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PyCharmMiscProject\Projetos Empresa\"/>
    </mc:Choice>
  </mc:AlternateContent>
  <xr:revisionPtr revIDLastSave="0" documentId="13_ncr:1_{3C8F14CD-A802-42A8-9A0F-9734AE08A31B}" xr6:coauthVersionLast="47" xr6:coauthVersionMax="47" xr10:uidLastSave="{00000000-0000-0000-0000-000000000000}"/>
  <bookViews>
    <workbookView xWindow="28680" yWindow="-120" windowWidth="29040" windowHeight="15720" activeTab="4" xr2:uid="{18D0DF2D-3C8B-4CF9-A491-4FEFD39E4FB1}"/>
  </bookViews>
  <sheets>
    <sheet name="Lançamentos" sheetId="1" r:id="rId1"/>
    <sheet name="Categorias" sheetId="2" r:id="rId2"/>
    <sheet name="DRE" sheetId="3" r:id="rId3"/>
    <sheet name="Fluxo de Caixa" sheetId="4" r:id="rId4"/>
    <sheet name="Dashboard" sheetId="5" r:id="rId5"/>
    <sheet name="Realizado vs Forecast" sheetId="6" state="hidden" r:id="rId6"/>
  </sheets>
  <definedNames>
    <definedName name="_xlnm._FilterDatabase" localSheetId="0" hidden="1">Lançamentos!$A$1:$H$349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5" i="5" l="1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IL78" i="4"/>
  <c r="IK78" i="4"/>
  <c r="IJ78" i="4"/>
  <c r="II78" i="4"/>
  <c r="IH78" i="4"/>
  <c r="IG78" i="4"/>
  <c r="IF78" i="4"/>
  <c r="IE78" i="4"/>
  <c r="ID78" i="4"/>
  <c r="IC78" i="4"/>
  <c r="IB78" i="4"/>
  <c r="IA78" i="4"/>
  <c r="HZ78" i="4"/>
  <c r="HY78" i="4"/>
  <c r="HX78" i="4"/>
  <c r="HW78" i="4"/>
  <c r="HV78" i="4"/>
  <c r="HU78" i="4"/>
  <c r="HT78" i="4"/>
  <c r="HS78" i="4"/>
  <c r="HR78" i="4"/>
  <c r="HQ78" i="4"/>
  <c r="HP78" i="4"/>
  <c r="HO78" i="4"/>
  <c r="HN78" i="4"/>
  <c r="HM78" i="4"/>
  <c r="HL78" i="4"/>
  <c r="HK78" i="4"/>
  <c r="HJ78" i="4"/>
  <c r="HI78" i="4"/>
  <c r="HH78" i="4"/>
  <c r="HG78" i="4"/>
  <c r="HF78" i="4"/>
  <c r="HE78" i="4"/>
  <c r="HD78" i="4"/>
  <c r="HC78" i="4"/>
  <c r="HB78" i="4"/>
  <c r="HA78" i="4"/>
  <c r="GZ78" i="4"/>
  <c r="GY78" i="4"/>
  <c r="GX78" i="4"/>
  <c r="GW78" i="4"/>
  <c r="GV78" i="4"/>
  <c r="GU78" i="4"/>
  <c r="GT78" i="4"/>
  <c r="GS78" i="4"/>
  <c r="GR78" i="4"/>
  <c r="GQ78" i="4"/>
  <c r="GP78" i="4"/>
  <c r="GO78" i="4"/>
  <c r="GN78" i="4"/>
  <c r="GM78" i="4"/>
  <c r="GL78" i="4"/>
  <c r="GK78" i="4"/>
  <c r="GJ78" i="4"/>
  <c r="GI78" i="4"/>
  <c r="GH78" i="4"/>
  <c r="GG78" i="4"/>
  <c r="GF78" i="4"/>
  <c r="GE78" i="4"/>
  <c r="GD78" i="4"/>
  <c r="GC78" i="4"/>
  <c r="GB78" i="4"/>
  <c r="GA78" i="4"/>
  <c r="FZ78" i="4"/>
  <c r="FY78" i="4"/>
  <c r="FX78" i="4"/>
  <c r="FW78" i="4"/>
  <c r="FV78" i="4"/>
  <c r="FU78" i="4"/>
  <c r="FT78" i="4"/>
  <c r="FS78" i="4"/>
  <c r="FR78" i="4"/>
  <c r="FQ78" i="4"/>
  <c r="FP78" i="4"/>
  <c r="FO78" i="4"/>
  <c r="FN78" i="4"/>
  <c r="FM78" i="4"/>
  <c r="FL78" i="4"/>
  <c r="FK78" i="4"/>
  <c r="FJ78" i="4"/>
  <c r="FI78" i="4"/>
  <c r="FH78" i="4"/>
  <c r="FG78" i="4"/>
  <c r="FF78" i="4"/>
  <c r="FE78" i="4"/>
  <c r="FD78" i="4"/>
  <c r="FC78" i="4"/>
  <c r="FB78" i="4"/>
  <c r="FA78" i="4"/>
  <c r="EZ78" i="4"/>
  <c r="EY78" i="4"/>
  <c r="EX78" i="4"/>
  <c r="EW78" i="4"/>
  <c r="EV78" i="4"/>
  <c r="EU78" i="4"/>
  <c r="ET78" i="4"/>
  <c r="ES78" i="4"/>
  <c r="ER78" i="4"/>
  <c r="EQ78" i="4"/>
  <c r="EP78" i="4"/>
  <c r="EO78" i="4"/>
  <c r="EN78" i="4"/>
  <c r="EM78" i="4"/>
  <c r="EL78" i="4"/>
  <c r="EK78" i="4"/>
  <c r="EJ78" i="4"/>
  <c r="EI78" i="4"/>
  <c r="EH78" i="4"/>
  <c r="EG78" i="4"/>
  <c r="EF78" i="4"/>
  <c r="EE78" i="4"/>
  <c r="ED78" i="4"/>
  <c r="EC78" i="4"/>
  <c r="EB78" i="4"/>
  <c r="EA78" i="4"/>
  <c r="DZ78" i="4"/>
  <c r="DY78" i="4"/>
  <c r="DX78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K78" i="4"/>
  <c r="DJ78" i="4"/>
  <c r="DI78" i="4"/>
  <c r="DH78" i="4"/>
  <c r="DG78" i="4"/>
  <c r="DF78" i="4"/>
  <c r="DE78" i="4"/>
  <c r="DD78" i="4"/>
  <c r="DC78" i="4"/>
  <c r="DB78" i="4"/>
  <c r="DA78" i="4"/>
  <c r="CZ78" i="4"/>
  <c r="CY78" i="4"/>
  <c r="CX78" i="4"/>
  <c r="CW78" i="4"/>
  <c r="CV78" i="4"/>
  <c r="CU78" i="4"/>
  <c r="CT78" i="4"/>
  <c r="CS78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G78" i="4"/>
  <c r="B6" i="6"/>
  <c r="B10" i="6"/>
  <c r="B9" i="6"/>
  <c r="B20" i="4"/>
  <c r="IL76" i="4"/>
  <c r="IK76" i="4"/>
  <c r="IJ76" i="4"/>
  <c r="II76" i="4"/>
  <c r="IH76" i="4"/>
  <c r="IG76" i="4"/>
  <c r="IF76" i="4"/>
  <c r="IE76" i="4"/>
  <c r="ID76" i="4"/>
  <c r="IC76" i="4"/>
  <c r="IB76" i="4"/>
  <c r="IA76" i="4"/>
  <c r="HZ76" i="4"/>
  <c r="HY76" i="4"/>
  <c r="HX76" i="4"/>
  <c r="HW76" i="4"/>
  <c r="HV76" i="4"/>
  <c r="HU76" i="4"/>
  <c r="HT76" i="4"/>
  <c r="HS76" i="4"/>
  <c r="HR76" i="4"/>
  <c r="HQ76" i="4"/>
  <c r="HP76" i="4"/>
  <c r="HO76" i="4"/>
  <c r="HN76" i="4"/>
  <c r="HM76" i="4"/>
  <c r="HL76" i="4"/>
  <c r="HK76" i="4"/>
  <c r="HJ76" i="4"/>
  <c r="HI76" i="4"/>
  <c r="HH76" i="4"/>
  <c r="HG76" i="4"/>
  <c r="HF76" i="4"/>
  <c r="HE76" i="4"/>
  <c r="HD76" i="4"/>
  <c r="HC76" i="4"/>
  <c r="HB76" i="4"/>
  <c r="HA76" i="4"/>
  <c r="GZ76" i="4"/>
  <c r="GY76" i="4"/>
  <c r="GX76" i="4"/>
  <c r="GW76" i="4"/>
  <c r="GV76" i="4"/>
  <c r="GU76" i="4"/>
  <c r="GT76" i="4"/>
  <c r="GS76" i="4"/>
  <c r="GR76" i="4"/>
  <c r="GQ76" i="4"/>
  <c r="GP76" i="4"/>
  <c r="GO76" i="4"/>
  <c r="GN76" i="4"/>
  <c r="GM76" i="4"/>
  <c r="GL76" i="4"/>
  <c r="GK76" i="4"/>
  <c r="GJ76" i="4"/>
  <c r="GI76" i="4"/>
  <c r="GH76" i="4"/>
  <c r="GG76" i="4"/>
  <c r="GF76" i="4"/>
  <c r="GE76" i="4"/>
  <c r="GD76" i="4"/>
  <c r="GC76" i="4"/>
  <c r="GB76" i="4"/>
  <c r="GA76" i="4"/>
  <c r="FZ76" i="4"/>
  <c r="FY76" i="4"/>
  <c r="FX76" i="4"/>
  <c r="FW76" i="4"/>
  <c r="FV76" i="4"/>
  <c r="FU76" i="4"/>
  <c r="FT76" i="4"/>
  <c r="FS76" i="4"/>
  <c r="FR76" i="4"/>
  <c r="FQ76" i="4"/>
  <c r="FP76" i="4"/>
  <c r="FO76" i="4"/>
  <c r="FN76" i="4"/>
  <c r="FM76" i="4"/>
  <c r="FL76" i="4"/>
  <c r="FK76" i="4"/>
  <c r="FJ76" i="4"/>
  <c r="FI76" i="4"/>
  <c r="FH76" i="4"/>
  <c r="FG76" i="4"/>
  <c r="FF76" i="4"/>
  <c r="FE76" i="4"/>
  <c r="FD76" i="4"/>
  <c r="FC76" i="4"/>
  <c r="FB76" i="4"/>
  <c r="FA76" i="4"/>
  <c r="EZ76" i="4"/>
  <c r="EY76" i="4"/>
  <c r="EX76" i="4"/>
  <c r="EW76" i="4"/>
  <c r="EV76" i="4"/>
  <c r="EU76" i="4"/>
  <c r="ET76" i="4"/>
  <c r="ES76" i="4"/>
  <c r="ER76" i="4"/>
  <c r="EQ76" i="4"/>
  <c r="EP76" i="4"/>
  <c r="EO76" i="4"/>
  <c r="EN76" i="4"/>
  <c r="EM76" i="4"/>
  <c r="EL76" i="4"/>
  <c r="EK76" i="4"/>
  <c r="EJ76" i="4"/>
  <c r="EI76" i="4"/>
  <c r="EH76" i="4"/>
  <c r="EG76" i="4"/>
  <c r="EF76" i="4"/>
  <c r="EE76" i="4"/>
  <c r="ED76" i="4"/>
  <c r="EC76" i="4"/>
  <c r="EB76" i="4"/>
  <c r="EA76" i="4"/>
  <c r="DZ76" i="4"/>
  <c r="DY76" i="4"/>
  <c r="DX76" i="4"/>
  <c r="DW76" i="4"/>
  <c r="DV76" i="4"/>
  <c r="DU76" i="4"/>
  <c r="DT76" i="4"/>
  <c r="DS76" i="4"/>
  <c r="DR76" i="4"/>
  <c r="DQ76" i="4"/>
  <c r="DP76" i="4"/>
  <c r="DO76" i="4"/>
  <c r="DN76" i="4"/>
  <c r="DM76" i="4"/>
  <c r="DL76" i="4"/>
  <c r="DK76" i="4"/>
  <c r="DJ76" i="4"/>
  <c r="DI76" i="4"/>
  <c r="DH76" i="4"/>
  <c r="DG76" i="4"/>
  <c r="DF76" i="4"/>
  <c r="DE76" i="4"/>
  <c r="DD76" i="4"/>
  <c r="DC76" i="4"/>
  <c r="DB76" i="4"/>
  <c r="DA76" i="4"/>
  <c r="CZ76" i="4"/>
  <c r="CY76" i="4"/>
  <c r="CX76" i="4"/>
  <c r="CW76" i="4"/>
  <c r="CV76" i="4"/>
  <c r="CU76" i="4"/>
  <c r="CT76" i="4"/>
  <c r="CS76" i="4"/>
  <c r="CR76" i="4"/>
  <c r="CQ76" i="4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IL75" i="4"/>
  <c r="IK75" i="4"/>
  <c r="IJ75" i="4"/>
  <c r="II75" i="4"/>
  <c r="IH75" i="4"/>
  <c r="IG75" i="4"/>
  <c r="IF75" i="4"/>
  <c r="IE75" i="4"/>
  <c r="ID75" i="4"/>
  <c r="IC75" i="4"/>
  <c r="IB75" i="4"/>
  <c r="IA75" i="4"/>
  <c r="HZ75" i="4"/>
  <c r="HY75" i="4"/>
  <c r="HX75" i="4"/>
  <c r="HW75" i="4"/>
  <c r="HV75" i="4"/>
  <c r="HU75" i="4"/>
  <c r="HT75" i="4"/>
  <c r="HS75" i="4"/>
  <c r="HR75" i="4"/>
  <c r="HQ75" i="4"/>
  <c r="HP75" i="4"/>
  <c r="HO75" i="4"/>
  <c r="HN75" i="4"/>
  <c r="HM75" i="4"/>
  <c r="HL75" i="4"/>
  <c r="HK75" i="4"/>
  <c r="HJ75" i="4"/>
  <c r="HI75" i="4"/>
  <c r="HH75" i="4"/>
  <c r="HG75" i="4"/>
  <c r="HF75" i="4"/>
  <c r="HE75" i="4"/>
  <c r="HD75" i="4"/>
  <c r="HC75" i="4"/>
  <c r="HB75" i="4"/>
  <c r="HA75" i="4"/>
  <c r="GZ75" i="4"/>
  <c r="GY75" i="4"/>
  <c r="GX75" i="4"/>
  <c r="GW75" i="4"/>
  <c r="GV75" i="4"/>
  <c r="GU75" i="4"/>
  <c r="GT75" i="4"/>
  <c r="GS75" i="4"/>
  <c r="GR75" i="4"/>
  <c r="GQ75" i="4"/>
  <c r="GP75" i="4"/>
  <c r="GO75" i="4"/>
  <c r="GN75" i="4"/>
  <c r="GM75" i="4"/>
  <c r="GL75" i="4"/>
  <c r="GK75" i="4"/>
  <c r="GJ75" i="4"/>
  <c r="GI75" i="4"/>
  <c r="GH75" i="4"/>
  <c r="GG75" i="4"/>
  <c r="GF75" i="4"/>
  <c r="GE75" i="4"/>
  <c r="GD75" i="4"/>
  <c r="GC75" i="4"/>
  <c r="GB75" i="4"/>
  <c r="GA75" i="4"/>
  <c r="FZ75" i="4"/>
  <c r="FY75" i="4"/>
  <c r="FX75" i="4"/>
  <c r="FW75" i="4"/>
  <c r="FV75" i="4"/>
  <c r="FU75" i="4"/>
  <c r="FT75" i="4"/>
  <c r="FS75" i="4"/>
  <c r="FR75" i="4"/>
  <c r="FQ75" i="4"/>
  <c r="FP75" i="4"/>
  <c r="FO75" i="4"/>
  <c r="FN75" i="4"/>
  <c r="FM75" i="4"/>
  <c r="FL75" i="4"/>
  <c r="FK75" i="4"/>
  <c r="FJ75" i="4"/>
  <c r="FI75" i="4"/>
  <c r="FH75" i="4"/>
  <c r="FG75" i="4"/>
  <c r="FF75" i="4"/>
  <c r="FE75" i="4"/>
  <c r="FD75" i="4"/>
  <c r="FC75" i="4"/>
  <c r="FB75" i="4"/>
  <c r="FA75" i="4"/>
  <c r="EZ75" i="4"/>
  <c r="EY75" i="4"/>
  <c r="EX75" i="4"/>
  <c r="EW75" i="4"/>
  <c r="EV75" i="4"/>
  <c r="EU75" i="4"/>
  <c r="ET75" i="4"/>
  <c r="ES75" i="4"/>
  <c r="ER75" i="4"/>
  <c r="EQ75" i="4"/>
  <c r="EP75" i="4"/>
  <c r="EO75" i="4"/>
  <c r="EN75" i="4"/>
  <c r="EM75" i="4"/>
  <c r="EL75" i="4"/>
  <c r="EK75" i="4"/>
  <c r="EJ75" i="4"/>
  <c r="EI75" i="4"/>
  <c r="EH75" i="4"/>
  <c r="EG75" i="4"/>
  <c r="EF75" i="4"/>
  <c r="EE75" i="4"/>
  <c r="ED75" i="4"/>
  <c r="EC75" i="4"/>
  <c r="EB75" i="4"/>
  <c r="EA75" i="4"/>
  <c r="DZ75" i="4"/>
  <c r="DY75" i="4"/>
  <c r="DX75" i="4"/>
  <c r="DW75" i="4"/>
  <c r="DV75" i="4"/>
  <c r="DU75" i="4"/>
  <c r="DT75" i="4"/>
  <c r="DS75" i="4"/>
  <c r="DR75" i="4"/>
  <c r="DQ75" i="4"/>
  <c r="DP75" i="4"/>
  <c r="DO75" i="4"/>
  <c r="DN75" i="4"/>
  <c r="DM75" i="4"/>
  <c r="DL75" i="4"/>
  <c r="DK75" i="4"/>
  <c r="DJ75" i="4"/>
  <c r="DI75" i="4"/>
  <c r="DH75" i="4"/>
  <c r="DG75" i="4"/>
  <c r="DF75" i="4"/>
  <c r="DE75" i="4"/>
  <c r="DD75" i="4"/>
  <c r="DC75" i="4"/>
  <c r="DB75" i="4"/>
  <c r="DA75" i="4"/>
  <c r="CZ75" i="4"/>
  <c r="CY75" i="4"/>
  <c r="CX75" i="4"/>
  <c r="CW75" i="4"/>
  <c r="CV75" i="4"/>
  <c r="CU75" i="4"/>
  <c r="CT75" i="4"/>
  <c r="CS75" i="4"/>
  <c r="CR75" i="4"/>
  <c r="CQ75" i="4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IL74" i="4"/>
  <c r="IK74" i="4"/>
  <c r="IJ74" i="4"/>
  <c r="II74" i="4"/>
  <c r="IH74" i="4"/>
  <c r="IG74" i="4"/>
  <c r="IF74" i="4"/>
  <c r="IE74" i="4"/>
  <c r="ID74" i="4"/>
  <c r="IC74" i="4"/>
  <c r="IB74" i="4"/>
  <c r="IA74" i="4"/>
  <c r="HZ74" i="4"/>
  <c r="HY74" i="4"/>
  <c r="HX74" i="4"/>
  <c r="HW74" i="4"/>
  <c r="HV74" i="4"/>
  <c r="HU74" i="4"/>
  <c r="HT74" i="4"/>
  <c r="HS74" i="4"/>
  <c r="HR74" i="4"/>
  <c r="HQ74" i="4"/>
  <c r="HP74" i="4"/>
  <c r="HO74" i="4"/>
  <c r="HN74" i="4"/>
  <c r="HM74" i="4"/>
  <c r="HL74" i="4"/>
  <c r="HK74" i="4"/>
  <c r="HJ74" i="4"/>
  <c r="HI74" i="4"/>
  <c r="HH74" i="4"/>
  <c r="HG74" i="4"/>
  <c r="HF74" i="4"/>
  <c r="HE74" i="4"/>
  <c r="HD74" i="4"/>
  <c r="HC74" i="4"/>
  <c r="HB74" i="4"/>
  <c r="HA74" i="4"/>
  <c r="GZ74" i="4"/>
  <c r="GY74" i="4"/>
  <c r="GX74" i="4"/>
  <c r="GW74" i="4"/>
  <c r="GV74" i="4"/>
  <c r="GU74" i="4"/>
  <c r="GT74" i="4"/>
  <c r="GS74" i="4"/>
  <c r="GR74" i="4"/>
  <c r="GQ74" i="4"/>
  <c r="GP74" i="4"/>
  <c r="GO74" i="4"/>
  <c r="GN74" i="4"/>
  <c r="GM74" i="4"/>
  <c r="GL74" i="4"/>
  <c r="GK74" i="4"/>
  <c r="GJ74" i="4"/>
  <c r="GI74" i="4"/>
  <c r="GH74" i="4"/>
  <c r="GG74" i="4"/>
  <c r="GF74" i="4"/>
  <c r="GE74" i="4"/>
  <c r="GD74" i="4"/>
  <c r="GC74" i="4"/>
  <c r="GB74" i="4"/>
  <c r="GA74" i="4"/>
  <c r="FZ74" i="4"/>
  <c r="FY74" i="4"/>
  <c r="FX74" i="4"/>
  <c r="FW74" i="4"/>
  <c r="FV74" i="4"/>
  <c r="FU74" i="4"/>
  <c r="FT74" i="4"/>
  <c r="FS74" i="4"/>
  <c r="FR74" i="4"/>
  <c r="FQ74" i="4"/>
  <c r="FP74" i="4"/>
  <c r="FO74" i="4"/>
  <c r="FN74" i="4"/>
  <c r="FM74" i="4"/>
  <c r="FL74" i="4"/>
  <c r="FK74" i="4"/>
  <c r="FJ74" i="4"/>
  <c r="FI74" i="4"/>
  <c r="FH74" i="4"/>
  <c r="FG74" i="4"/>
  <c r="FF74" i="4"/>
  <c r="FE74" i="4"/>
  <c r="FD74" i="4"/>
  <c r="FC74" i="4"/>
  <c r="FB74" i="4"/>
  <c r="FA74" i="4"/>
  <c r="EZ74" i="4"/>
  <c r="EY74" i="4"/>
  <c r="EX74" i="4"/>
  <c r="EW74" i="4"/>
  <c r="EV74" i="4"/>
  <c r="EU74" i="4"/>
  <c r="ET74" i="4"/>
  <c r="ES74" i="4"/>
  <c r="ER74" i="4"/>
  <c r="EQ74" i="4"/>
  <c r="EP74" i="4"/>
  <c r="EO74" i="4"/>
  <c r="EN74" i="4"/>
  <c r="EM74" i="4"/>
  <c r="EL74" i="4"/>
  <c r="EK74" i="4"/>
  <c r="EJ74" i="4"/>
  <c r="EI74" i="4"/>
  <c r="EH74" i="4"/>
  <c r="EG74" i="4"/>
  <c r="EF74" i="4"/>
  <c r="EE74" i="4"/>
  <c r="ED74" i="4"/>
  <c r="EC74" i="4"/>
  <c r="EB74" i="4"/>
  <c r="EA74" i="4"/>
  <c r="DZ74" i="4"/>
  <c r="DY74" i="4"/>
  <c r="DX74" i="4"/>
  <c r="DW74" i="4"/>
  <c r="DV74" i="4"/>
  <c r="DU74" i="4"/>
  <c r="DT74" i="4"/>
  <c r="DS74" i="4"/>
  <c r="DR74" i="4"/>
  <c r="DQ74" i="4"/>
  <c r="DP74" i="4"/>
  <c r="DO74" i="4"/>
  <c r="DN74" i="4"/>
  <c r="DM74" i="4"/>
  <c r="DL74" i="4"/>
  <c r="DK74" i="4"/>
  <c r="DJ74" i="4"/>
  <c r="DI74" i="4"/>
  <c r="DH74" i="4"/>
  <c r="DG74" i="4"/>
  <c r="DF74" i="4"/>
  <c r="DE74" i="4"/>
  <c r="DD74" i="4"/>
  <c r="DC74" i="4"/>
  <c r="DB74" i="4"/>
  <c r="DA74" i="4"/>
  <c r="CZ74" i="4"/>
  <c r="CY74" i="4"/>
  <c r="CX74" i="4"/>
  <c r="CW74" i="4"/>
  <c r="CV74" i="4"/>
  <c r="CU74" i="4"/>
  <c r="CT74" i="4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IL73" i="4"/>
  <c r="IK73" i="4"/>
  <c r="IJ73" i="4"/>
  <c r="II73" i="4"/>
  <c r="IH73" i="4"/>
  <c r="IG73" i="4"/>
  <c r="IF73" i="4"/>
  <c r="IE73" i="4"/>
  <c r="ID73" i="4"/>
  <c r="IC73" i="4"/>
  <c r="IB73" i="4"/>
  <c r="IA73" i="4"/>
  <c r="HZ73" i="4"/>
  <c r="HY73" i="4"/>
  <c r="HX73" i="4"/>
  <c r="HW73" i="4"/>
  <c r="HV73" i="4"/>
  <c r="HU73" i="4"/>
  <c r="HT73" i="4"/>
  <c r="HS73" i="4"/>
  <c r="HR73" i="4"/>
  <c r="HQ73" i="4"/>
  <c r="HP73" i="4"/>
  <c r="HO73" i="4"/>
  <c r="HN73" i="4"/>
  <c r="HM73" i="4"/>
  <c r="HL73" i="4"/>
  <c r="HK73" i="4"/>
  <c r="HJ73" i="4"/>
  <c r="HI73" i="4"/>
  <c r="HH73" i="4"/>
  <c r="HG73" i="4"/>
  <c r="HF73" i="4"/>
  <c r="HE73" i="4"/>
  <c r="HD73" i="4"/>
  <c r="HC73" i="4"/>
  <c r="HB73" i="4"/>
  <c r="HA73" i="4"/>
  <c r="GZ73" i="4"/>
  <c r="GY73" i="4"/>
  <c r="GX73" i="4"/>
  <c r="GW73" i="4"/>
  <c r="GV73" i="4"/>
  <c r="GU73" i="4"/>
  <c r="GT73" i="4"/>
  <c r="GS73" i="4"/>
  <c r="GR73" i="4"/>
  <c r="GQ73" i="4"/>
  <c r="GP73" i="4"/>
  <c r="GO73" i="4"/>
  <c r="GN73" i="4"/>
  <c r="GM73" i="4"/>
  <c r="GL73" i="4"/>
  <c r="GK73" i="4"/>
  <c r="GJ73" i="4"/>
  <c r="GI73" i="4"/>
  <c r="GH73" i="4"/>
  <c r="GG73" i="4"/>
  <c r="GF73" i="4"/>
  <c r="GE73" i="4"/>
  <c r="GD73" i="4"/>
  <c r="GC73" i="4"/>
  <c r="GB73" i="4"/>
  <c r="GA73" i="4"/>
  <c r="FZ73" i="4"/>
  <c r="FY73" i="4"/>
  <c r="FX73" i="4"/>
  <c r="FW73" i="4"/>
  <c r="FV73" i="4"/>
  <c r="FU73" i="4"/>
  <c r="FT73" i="4"/>
  <c r="FS73" i="4"/>
  <c r="FR73" i="4"/>
  <c r="FQ73" i="4"/>
  <c r="FP73" i="4"/>
  <c r="FO73" i="4"/>
  <c r="FN73" i="4"/>
  <c r="FM73" i="4"/>
  <c r="FL73" i="4"/>
  <c r="FK73" i="4"/>
  <c r="FJ73" i="4"/>
  <c r="FI73" i="4"/>
  <c r="FH73" i="4"/>
  <c r="FG73" i="4"/>
  <c r="FF73" i="4"/>
  <c r="FE73" i="4"/>
  <c r="FD73" i="4"/>
  <c r="FC73" i="4"/>
  <c r="FB73" i="4"/>
  <c r="FA73" i="4"/>
  <c r="EZ73" i="4"/>
  <c r="EY73" i="4"/>
  <c r="EX73" i="4"/>
  <c r="EW73" i="4"/>
  <c r="EV73" i="4"/>
  <c r="EU73" i="4"/>
  <c r="ET73" i="4"/>
  <c r="ES73" i="4"/>
  <c r="ER73" i="4"/>
  <c r="EQ73" i="4"/>
  <c r="EP73" i="4"/>
  <c r="EO73" i="4"/>
  <c r="EN73" i="4"/>
  <c r="EM73" i="4"/>
  <c r="EL73" i="4"/>
  <c r="EK73" i="4"/>
  <c r="EJ73" i="4"/>
  <c r="EI73" i="4"/>
  <c r="EH73" i="4"/>
  <c r="EG73" i="4"/>
  <c r="EF73" i="4"/>
  <c r="EE73" i="4"/>
  <c r="ED73" i="4"/>
  <c r="EC73" i="4"/>
  <c r="EB73" i="4"/>
  <c r="EA73" i="4"/>
  <c r="DZ73" i="4"/>
  <c r="DY73" i="4"/>
  <c r="DX73" i="4"/>
  <c r="DW73" i="4"/>
  <c r="DV73" i="4"/>
  <c r="DU73" i="4"/>
  <c r="DT73" i="4"/>
  <c r="DS73" i="4"/>
  <c r="DR73" i="4"/>
  <c r="DQ73" i="4"/>
  <c r="DP73" i="4"/>
  <c r="DO73" i="4"/>
  <c r="DN73" i="4"/>
  <c r="DM73" i="4"/>
  <c r="DL73" i="4"/>
  <c r="DK73" i="4"/>
  <c r="DJ73" i="4"/>
  <c r="DI73" i="4"/>
  <c r="DH73" i="4"/>
  <c r="DG73" i="4"/>
  <c r="DF73" i="4"/>
  <c r="DE73" i="4"/>
  <c r="DD73" i="4"/>
  <c r="DC73" i="4"/>
  <c r="DB73" i="4"/>
  <c r="DA73" i="4"/>
  <c r="CZ73" i="4"/>
  <c r="CY73" i="4"/>
  <c r="CX73" i="4"/>
  <c r="CW73" i="4"/>
  <c r="CV73" i="4"/>
  <c r="CU73" i="4"/>
  <c r="CT73" i="4"/>
  <c r="CS73" i="4"/>
  <c r="CR73" i="4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IL72" i="4"/>
  <c r="IK72" i="4"/>
  <c r="IJ72" i="4"/>
  <c r="II72" i="4"/>
  <c r="IH72" i="4"/>
  <c r="IG72" i="4"/>
  <c r="IF72" i="4"/>
  <c r="IE72" i="4"/>
  <c r="ID72" i="4"/>
  <c r="IC72" i="4"/>
  <c r="IB72" i="4"/>
  <c r="IA72" i="4"/>
  <c r="HZ72" i="4"/>
  <c r="HY72" i="4"/>
  <c r="HX72" i="4"/>
  <c r="HW72" i="4"/>
  <c r="HV72" i="4"/>
  <c r="HU72" i="4"/>
  <c r="HT72" i="4"/>
  <c r="HS72" i="4"/>
  <c r="HR72" i="4"/>
  <c r="HQ72" i="4"/>
  <c r="HP72" i="4"/>
  <c r="HO72" i="4"/>
  <c r="HN72" i="4"/>
  <c r="HM72" i="4"/>
  <c r="HL72" i="4"/>
  <c r="HK72" i="4"/>
  <c r="HJ72" i="4"/>
  <c r="HI72" i="4"/>
  <c r="HH72" i="4"/>
  <c r="HG72" i="4"/>
  <c r="HF72" i="4"/>
  <c r="HE72" i="4"/>
  <c r="HD72" i="4"/>
  <c r="HC72" i="4"/>
  <c r="HB72" i="4"/>
  <c r="HA72" i="4"/>
  <c r="GZ72" i="4"/>
  <c r="GY72" i="4"/>
  <c r="GX72" i="4"/>
  <c r="GW72" i="4"/>
  <c r="GV72" i="4"/>
  <c r="GU72" i="4"/>
  <c r="GT72" i="4"/>
  <c r="GS72" i="4"/>
  <c r="GR72" i="4"/>
  <c r="GQ72" i="4"/>
  <c r="GP72" i="4"/>
  <c r="GO72" i="4"/>
  <c r="GN72" i="4"/>
  <c r="GM72" i="4"/>
  <c r="GL72" i="4"/>
  <c r="GK72" i="4"/>
  <c r="GJ72" i="4"/>
  <c r="GI72" i="4"/>
  <c r="GH72" i="4"/>
  <c r="GG72" i="4"/>
  <c r="GF72" i="4"/>
  <c r="GE72" i="4"/>
  <c r="GD72" i="4"/>
  <c r="GC72" i="4"/>
  <c r="GB72" i="4"/>
  <c r="GA72" i="4"/>
  <c r="FZ72" i="4"/>
  <c r="FY72" i="4"/>
  <c r="FX72" i="4"/>
  <c r="FW72" i="4"/>
  <c r="FV72" i="4"/>
  <c r="FU72" i="4"/>
  <c r="FT72" i="4"/>
  <c r="FS72" i="4"/>
  <c r="FR72" i="4"/>
  <c r="FQ72" i="4"/>
  <c r="FP72" i="4"/>
  <c r="FO72" i="4"/>
  <c r="FN72" i="4"/>
  <c r="FM72" i="4"/>
  <c r="FL72" i="4"/>
  <c r="FK72" i="4"/>
  <c r="FJ72" i="4"/>
  <c r="FI72" i="4"/>
  <c r="FH72" i="4"/>
  <c r="FG72" i="4"/>
  <c r="FF72" i="4"/>
  <c r="FE72" i="4"/>
  <c r="FD72" i="4"/>
  <c r="FC72" i="4"/>
  <c r="FB72" i="4"/>
  <c r="FA72" i="4"/>
  <c r="EZ72" i="4"/>
  <c r="EY72" i="4"/>
  <c r="EX72" i="4"/>
  <c r="EW72" i="4"/>
  <c r="EV72" i="4"/>
  <c r="EU72" i="4"/>
  <c r="ET72" i="4"/>
  <c r="ES72" i="4"/>
  <c r="ER72" i="4"/>
  <c r="EQ72" i="4"/>
  <c r="EP72" i="4"/>
  <c r="EO72" i="4"/>
  <c r="EN72" i="4"/>
  <c r="EM72" i="4"/>
  <c r="EL72" i="4"/>
  <c r="EK72" i="4"/>
  <c r="EJ72" i="4"/>
  <c r="EI72" i="4"/>
  <c r="EH72" i="4"/>
  <c r="EG72" i="4"/>
  <c r="EF72" i="4"/>
  <c r="EE72" i="4"/>
  <c r="ED72" i="4"/>
  <c r="EC72" i="4"/>
  <c r="EB72" i="4"/>
  <c r="EA72" i="4"/>
  <c r="DZ72" i="4"/>
  <c r="DY72" i="4"/>
  <c r="DX72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K7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IL71" i="4"/>
  <c r="IK71" i="4"/>
  <c r="IJ71" i="4"/>
  <c r="II71" i="4"/>
  <c r="IH71" i="4"/>
  <c r="IG71" i="4"/>
  <c r="IF71" i="4"/>
  <c r="IE71" i="4"/>
  <c r="ID71" i="4"/>
  <c r="IC71" i="4"/>
  <c r="IB71" i="4"/>
  <c r="IA71" i="4"/>
  <c r="HZ71" i="4"/>
  <c r="HY71" i="4"/>
  <c r="HX71" i="4"/>
  <c r="HW71" i="4"/>
  <c r="HV71" i="4"/>
  <c r="HU71" i="4"/>
  <c r="HT71" i="4"/>
  <c r="HS71" i="4"/>
  <c r="HR71" i="4"/>
  <c r="HQ71" i="4"/>
  <c r="HP71" i="4"/>
  <c r="HO71" i="4"/>
  <c r="HN71" i="4"/>
  <c r="HM71" i="4"/>
  <c r="HL71" i="4"/>
  <c r="HK71" i="4"/>
  <c r="HJ71" i="4"/>
  <c r="HI71" i="4"/>
  <c r="HH71" i="4"/>
  <c r="HG71" i="4"/>
  <c r="HF71" i="4"/>
  <c r="HE71" i="4"/>
  <c r="HD71" i="4"/>
  <c r="HC71" i="4"/>
  <c r="HB71" i="4"/>
  <c r="HA71" i="4"/>
  <c r="GZ71" i="4"/>
  <c r="GY71" i="4"/>
  <c r="GX71" i="4"/>
  <c r="GW71" i="4"/>
  <c r="GV71" i="4"/>
  <c r="GU71" i="4"/>
  <c r="GT71" i="4"/>
  <c r="GS71" i="4"/>
  <c r="GR71" i="4"/>
  <c r="GQ71" i="4"/>
  <c r="GP71" i="4"/>
  <c r="GO71" i="4"/>
  <c r="GN71" i="4"/>
  <c r="GM71" i="4"/>
  <c r="GL71" i="4"/>
  <c r="GK71" i="4"/>
  <c r="GJ71" i="4"/>
  <c r="GI71" i="4"/>
  <c r="GH71" i="4"/>
  <c r="GG71" i="4"/>
  <c r="GF71" i="4"/>
  <c r="GE71" i="4"/>
  <c r="GD71" i="4"/>
  <c r="GC71" i="4"/>
  <c r="GB71" i="4"/>
  <c r="GA71" i="4"/>
  <c r="FZ71" i="4"/>
  <c r="FY71" i="4"/>
  <c r="FX71" i="4"/>
  <c r="FW71" i="4"/>
  <c r="FV71" i="4"/>
  <c r="FU71" i="4"/>
  <c r="FT71" i="4"/>
  <c r="FS71" i="4"/>
  <c r="FR71" i="4"/>
  <c r="FQ71" i="4"/>
  <c r="FP71" i="4"/>
  <c r="FO71" i="4"/>
  <c r="FN71" i="4"/>
  <c r="FM71" i="4"/>
  <c r="FL71" i="4"/>
  <c r="FK71" i="4"/>
  <c r="FJ71" i="4"/>
  <c r="FI71" i="4"/>
  <c r="FH71" i="4"/>
  <c r="FG71" i="4"/>
  <c r="FF71" i="4"/>
  <c r="FE71" i="4"/>
  <c r="FD71" i="4"/>
  <c r="FC71" i="4"/>
  <c r="FB71" i="4"/>
  <c r="FA71" i="4"/>
  <c r="EZ71" i="4"/>
  <c r="EY71" i="4"/>
  <c r="EX71" i="4"/>
  <c r="EW71" i="4"/>
  <c r="EV71" i="4"/>
  <c r="EU71" i="4"/>
  <c r="ET71" i="4"/>
  <c r="ES71" i="4"/>
  <c r="ER71" i="4"/>
  <c r="EQ71" i="4"/>
  <c r="EP71" i="4"/>
  <c r="EO71" i="4"/>
  <c r="EN71" i="4"/>
  <c r="EM71" i="4"/>
  <c r="EL71" i="4"/>
  <c r="EK71" i="4"/>
  <c r="EJ71" i="4"/>
  <c r="EI71" i="4"/>
  <c r="EH71" i="4"/>
  <c r="EG71" i="4"/>
  <c r="EF71" i="4"/>
  <c r="EE71" i="4"/>
  <c r="ED71" i="4"/>
  <c r="EC71" i="4"/>
  <c r="EB71" i="4"/>
  <c r="EA71" i="4"/>
  <c r="DZ71" i="4"/>
  <c r="DY71" i="4"/>
  <c r="DX71" i="4"/>
  <c r="DW71" i="4"/>
  <c r="DV71" i="4"/>
  <c r="DU71" i="4"/>
  <c r="DT71" i="4"/>
  <c r="DS71" i="4"/>
  <c r="DR71" i="4"/>
  <c r="DQ71" i="4"/>
  <c r="DP71" i="4"/>
  <c r="DO71" i="4"/>
  <c r="DN71" i="4"/>
  <c r="DM71" i="4"/>
  <c r="DL71" i="4"/>
  <c r="DK71" i="4"/>
  <c r="DJ71" i="4"/>
  <c r="DI71" i="4"/>
  <c r="DH71" i="4"/>
  <c r="DG71" i="4"/>
  <c r="DF71" i="4"/>
  <c r="DE71" i="4"/>
  <c r="DD71" i="4"/>
  <c r="DC71" i="4"/>
  <c r="DB71" i="4"/>
  <c r="DA71" i="4"/>
  <c r="CZ71" i="4"/>
  <c r="CY71" i="4"/>
  <c r="CX71" i="4"/>
  <c r="CW71" i="4"/>
  <c r="CV71" i="4"/>
  <c r="CU71" i="4"/>
  <c r="CT71" i="4"/>
  <c r="CS71" i="4"/>
  <c r="CR71" i="4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IL70" i="4"/>
  <c r="IK70" i="4"/>
  <c r="IJ70" i="4"/>
  <c r="II70" i="4"/>
  <c r="IH70" i="4"/>
  <c r="IG70" i="4"/>
  <c r="IF70" i="4"/>
  <c r="IE70" i="4"/>
  <c r="ID70" i="4"/>
  <c r="IC70" i="4"/>
  <c r="IB70" i="4"/>
  <c r="IA70" i="4"/>
  <c r="HZ70" i="4"/>
  <c r="HY70" i="4"/>
  <c r="HX70" i="4"/>
  <c r="HW70" i="4"/>
  <c r="HV70" i="4"/>
  <c r="HU70" i="4"/>
  <c r="HT70" i="4"/>
  <c r="HS70" i="4"/>
  <c r="HR70" i="4"/>
  <c r="HQ70" i="4"/>
  <c r="HP70" i="4"/>
  <c r="HO70" i="4"/>
  <c r="HN70" i="4"/>
  <c r="HM70" i="4"/>
  <c r="HL70" i="4"/>
  <c r="HK70" i="4"/>
  <c r="HJ70" i="4"/>
  <c r="HI70" i="4"/>
  <c r="HH70" i="4"/>
  <c r="HG70" i="4"/>
  <c r="HF70" i="4"/>
  <c r="HE70" i="4"/>
  <c r="HD70" i="4"/>
  <c r="HC70" i="4"/>
  <c r="HB70" i="4"/>
  <c r="HA70" i="4"/>
  <c r="GZ70" i="4"/>
  <c r="GY70" i="4"/>
  <c r="GX70" i="4"/>
  <c r="GW70" i="4"/>
  <c r="GV70" i="4"/>
  <c r="GU70" i="4"/>
  <c r="GT70" i="4"/>
  <c r="GS70" i="4"/>
  <c r="GR70" i="4"/>
  <c r="GQ70" i="4"/>
  <c r="GP70" i="4"/>
  <c r="GO70" i="4"/>
  <c r="GN70" i="4"/>
  <c r="GM70" i="4"/>
  <c r="GL70" i="4"/>
  <c r="GK70" i="4"/>
  <c r="GJ70" i="4"/>
  <c r="GI70" i="4"/>
  <c r="GH70" i="4"/>
  <c r="GG70" i="4"/>
  <c r="GF70" i="4"/>
  <c r="GE70" i="4"/>
  <c r="GD70" i="4"/>
  <c r="GC70" i="4"/>
  <c r="GB70" i="4"/>
  <c r="GA70" i="4"/>
  <c r="FZ70" i="4"/>
  <c r="FY70" i="4"/>
  <c r="FX70" i="4"/>
  <c r="FW70" i="4"/>
  <c r="FV70" i="4"/>
  <c r="FU70" i="4"/>
  <c r="FT70" i="4"/>
  <c r="FS70" i="4"/>
  <c r="FR70" i="4"/>
  <c r="FQ70" i="4"/>
  <c r="FP70" i="4"/>
  <c r="FO70" i="4"/>
  <c r="FN70" i="4"/>
  <c r="FM70" i="4"/>
  <c r="FL70" i="4"/>
  <c r="FK70" i="4"/>
  <c r="FJ70" i="4"/>
  <c r="FI70" i="4"/>
  <c r="FH70" i="4"/>
  <c r="FG70" i="4"/>
  <c r="FF70" i="4"/>
  <c r="FE70" i="4"/>
  <c r="FD70" i="4"/>
  <c r="FC70" i="4"/>
  <c r="FB70" i="4"/>
  <c r="FA70" i="4"/>
  <c r="EZ70" i="4"/>
  <c r="EY70" i="4"/>
  <c r="EX70" i="4"/>
  <c r="EW70" i="4"/>
  <c r="EV70" i="4"/>
  <c r="EU70" i="4"/>
  <c r="ET70" i="4"/>
  <c r="ES70" i="4"/>
  <c r="ER70" i="4"/>
  <c r="EQ70" i="4"/>
  <c r="EP70" i="4"/>
  <c r="EO70" i="4"/>
  <c r="EN70" i="4"/>
  <c r="EM70" i="4"/>
  <c r="EL70" i="4"/>
  <c r="EK70" i="4"/>
  <c r="EJ70" i="4"/>
  <c r="EI70" i="4"/>
  <c r="EH70" i="4"/>
  <c r="EG70" i="4"/>
  <c r="EF70" i="4"/>
  <c r="EE70" i="4"/>
  <c r="ED70" i="4"/>
  <c r="EC70" i="4"/>
  <c r="EB70" i="4"/>
  <c r="EA70" i="4"/>
  <c r="DZ70" i="4"/>
  <c r="DY70" i="4"/>
  <c r="DX70" i="4"/>
  <c r="DW70" i="4"/>
  <c r="DV70" i="4"/>
  <c r="DU70" i="4"/>
  <c r="DT70" i="4"/>
  <c r="DS70" i="4"/>
  <c r="DR70" i="4"/>
  <c r="DQ70" i="4"/>
  <c r="DP70" i="4"/>
  <c r="DO70" i="4"/>
  <c r="DN70" i="4"/>
  <c r="DM70" i="4"/>
  <c r="DL70" i="4"/>
  <c r="DK70" i="4"/>
  <c r="DJ70" i="4"/>
  <c r="DI70" i="4"/>
  <c r="DH70" i="4"/>
  <c r="DG70" i="4"/>
  <c r="DF70" i="4"/>
  <c r="DE70" i="4"/>
  <c r="DD70" i="4"/>
  <c r="DC70" i="4"/>
  <c r="DB70" i="4"/>
  <c r="DA70" i="4"/>
  <c r="CZ70" i="4"/>
  <c r="CY70" i="4"/>
  <c r="CX70" i="4"/>
  <c r="CW70" i="4"/>
  <c r="CV70" i="4"/>
  <c r="CU70" i="4"/>
  <c r="CT70" i="4"/>
  <c r="CS70" i="4"/>
  <c r="CR70" i="4"/>
  <c r="CQ70" i="4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IL69" i="4"/>
  <c r="IK69" i="4"/>
  <c r="IJ69" i="4"/>
  <c r="II69" i="4"/>
  <c r="IH69" i="4"/>
  <c r="IG69" i="4"/>
  <c r="IF69" i="4"/>
  <c r="IE69" i="4"/>
  <c r="ID69" i="4"/>
  <c r="IC69" i="4"/>
  <c r="IB69" i="4"/>
  <c r="IA69" i="4"/>
  <c r="HZ69" i="4"/>
  <c r="HY69" i="4"/>
  <c r="HX69" i="4"/>
  <c r="HW69" i="4"/>
  <c r="HV69" i="4"/>
  <c r="HU69" i="4"/>
  <c r="HT69" i="4"/>
  <c r="HS69" i="4"/>
  <c r="HR69" i="4"/>
  <c r="HQ69" i="4"/>
  <c r="HP69" i="4"/>
  <c r="HO69" i="4"/>
  <c r="HN69" i="4"/>
  <c r="HM69" i="4"/>
  <c r="HL69" i="4"/>
  <c r="HK69" i="4"/>
  <c r="HJ69" i="4"/>
  <c r="HI69" i="4"/>
  <c r="HH69" i="4"/>
  <c r="HG69" i="4"/>
  <c r="HF69" i="4"/>
  <c r="HE69" i="4"/>
  <c r="HD69" i="4"/>
  <c r="HC69" i="4"/>
  <c r="HB69" i="4"/>
  <c r="HA69" i="4"/>
  <c r="GZ69" i="4"/>
  <c r="GY69" i="4"/>
  <c r="GX69" i="4"/>
  <c r="GW69" i="4"/>
  <c r="GV69" i="4"/>
  <c r="GU69" i="4"/>
  <c r="GT69" i="4"/>
  <c r="GS69" i="4"/>
  <c r="GR69" i="4"/>
  <c r="GQ69" i="4"/>
  <c r="GP69" i="4"/>
  <c r="GO69" i="4"/>
  <c r="GN69" i="4"/>
  <c r="GM69" i="4"/>
  <c r="GL69" i="4"/>
  <c r="GK69" i="4"/>
  <c r="GJ69" i="4"/>
  <c r="GI69" i="4"/>
  <c r="GH69" i="4"/>
  <c r="GG69" i="4"/>
  <c r="GF69" i="4"/>
  <c r="GE69" i="4"/>
  <c r="GD69" i="4"/>
  <c r="GC69" i="4"/>
  <c r="GB69" i="4"/>
  <c r="GA69" i="4"/>
  <c r="FZ69" i="4"/>
  <c r="FY69" i="4"/>
  <c r="FX69" i="4"/>
  <c r="FW69" i="4"/>
  <c r="FV69" i="4"/>
  <c r="FU69" i="4"/>
  <c r="FT69" i="4"/>
  <c r="FS69" i="4"/>
  <c r="FR69" i="4"/>
  <c r="FQ69" i="4"/>
  <c r="FP69" i="4"/>
  <c r="FO69" i="4"/>
  <c r="FN69" i="4"/>
  <c r="FM69" i="4"/>
  <c r="FL69" i="4"/>
  <c r="FK69" i="4"/>
  <c r="FJ69" i="4"/>
  <c r="FI69" i="4"/>
  <c r="FH69" i="4"/>
  <c r="FG69" i="4"/>
  <c r="FF69" i="4"/>
  <c r="FE69" i="4"/>
  <c r="FD69" i="4"/>
  <c r="FC69" i="4"/>
  <c r="FB69" i="4"/>
  <c r="FA69" i="4"/>
  <c r="EZ69" i="4"/>
  <c r="EY69" i="4"/>
  <c r="EX69" i="4"/>
  <c r="EW69" i="4"/>
  <c r="EV69" i="4"/>
  <c r="EU69" i="4"/>
  <c r="ET69" i="4"/>
  <c r="ES69" i="4"/>
  <c r="ER69" i="4"/>
  <c r="EQ69" i="4"/>
  <c r="EP69" i="4"/>
  <c r="EO69" i="4"/>
  <c r="EN69" i="4"/>
  <c r="EM69" i="4"/>
  <c r="EL69" i="4"/>
  <c r="EK69" i="4"/>
  <c r="EJ69" i="4"/>
  <c r="EI69" i="4"/>
  <c r="EH69" i="4"/>
  <c r="EG69" i="4"/>
  <c r="EF69" i="4"/>
  <c r="EE69" i="4"/>
  <c r="ED69" i="4"/>
  <c r="EC69" i="4"/>
  <c r="EB69" i="4"/>
  <c r="EA69" i="4"/>
  <c r="DZ69" i="4"/>
  <c r="DY69" i="4"/>
  <c r="DX69" i="4"/>
  <c r="DW69" i="4"/>
  <c r="DV69" i="4"/>
  <c r="DU69" i="4"/>
  <c r="DT69" i="4"/>
  <c r="DS69" i="4"/>
  <c r="DR69" i="4"/>
  <c r="DQ69" i="4"/>
  <c r="DP69" i="4"/>
  <c r="DO69" i="4"/>
  <c r="DN69" i="4"/>
  <c r="DM69" i="4"/>
  <c r="DL69" i="4"/>
  <c r="DK69" i="4"/>
  <c r="DJ69" i="4"/>
  <c r="DI69" i="4"/>
  <c r="DH69" i="4"/>
  <c r="DG69" i="4"/>
  <c r="DF69" i="4"/>
  <c r="DE69" i="4"/>
  <c r="DD69" i="4"/>
  <c r="DC69" i="4"/>
  <c r="DB69" i="4"/>
  <c r="DA69" i="4"/>
  <c r="CZ69" i="4"/>
  <c r="CY69" i="4"/>
  <c r="CX69" i="4"/>
  <c r="CW69" i="4"/>
  <c r="CV69" i="4"/>
  <c r="CU69" i="4"/>
  <c r="CT69" i="4"/>
  <c r="CS69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IL68" i="4"/>
  <c r="IK68" i="4"/>
  <c r="IJ68" i="4"/>
  <c r="II68" i="4"/>
  <c r="IH68" i="4"/>
  <c r="IG68" i="4"/>
  <c r="IF68" i="4"/>
  <c r="IE68" i="4"/>
  <c r="ID68" i="4"/>
  <c r="IC68" i="4"/>
  <c r="IB68" i="4"/>
  <c r="IA68" i="4"/>
  <c r="HZ68" i="4"/>
  <c r="HY68" i="4"/>
  <c r="HX68" i="4"/>
  <c r="HW68" i="4"/>
  <c r="HV68" i="4"/>
  <c r="HU68" i="4"/>
  <c r="HT68" i="4"/>
  <c r="HS68" i="4"/>
  <c r="HR68" i="4"/>
  <c r="HQ68" i="4"/>
  <c r="HP68" i="4"/>
  <c r="HO68" i="4"/>
  <c r="HN68" i="4"/>
  <c r="HM68" i="4"/>
  <c r="HL68" i="4"/>
  <c r="HK68" i="4"/>
  <c r="HJ68" i="4"/>
  <c r="HI68" i="4"/>
  <c r="HH68" i="4"/>
  <c r="HG68" i="4"/>
  <c r="HF68" i="4"/>
  <c r="HE68" i="4"/>
  <c r="HD68" i="4"/>
  <c r="HC68" i="4"/>
  <c r="HB68" i="4"/>
  <c r="HA68" i="4"/>
  <c r="GZ68" i="4"/>
  <c r="GY68" i="4"/>
  <c r="GX68" i="4"/>
  <c r="GW68" i="4"/>
  <c r="GV68" i="4"/>
  <c r="GU68" i="4"/>
  <c r="GT68" i="4"/>
  <c r="GS68" i="4"/>
  <c r="GR68" i="4"/>
  <c r="GQ68" i="4"/>
  <c r="GP68" i="4"/>
  <c r="GO68" i="4"/>
  <c r="GN68" i="4"/>
  <c r="GM68" i="4"/>
  <c r="GL68" i="4"/>
  <c r="GK68" i="4"/>
  <c r="GJ68" i="4"/>
  <c r="GI68" i="4"/>
  <c r="GH68" i="4"/>
  <c r="GG68" i="4"/>
  <c r="GF68" i="4"/>
  <c r="GE68" i="4"/>
  <c r="GD68" i="4"/>
  <c r="GC68" i="4"/>
  <c r="GB68" i="4"/>
  <c r="GA68" i="4"/>
  <c r="FZ68" i="4"/>
  <c r="FY68" i="4"/>
  <c r="FX68" i="4"/>
  <c r="FW68" i="4"/>
  <c r="FV68" i="4"/>
  <c r="FU68" i="4"/>
  <c r="FT68" i="4"/>
  <c r="FS68" i="4"/>
  <c r="FR68" i="4"/>
  <c r="FQ68" i="4"/>
  <c r="FP68" i="4"/>
  <c r="FO68" i="4"/>
  <c r="FN68" i="4"/>
  <c r="FM68" i="4"/>
  <c r="FL68" i="4"/>
  <c r="FK68" i="4"/>
  <c r="FJ68" i="4"/>
  <c r="FI68" i="4"/>
  <c r="FH68" i="4"/>
  <c r="FG68" i="4"/>
  <c r="FF68" i="4"/>
  <c r="FE68" i="4"/>
  <c r="FD68" i="4"/>
  <c r="FC68" i="4"/>
  <c r="FB68" i="4"/>
  <c r="FA68" i="4"/>
  <c r="EZ68" i="4"/>
  <c r="EY68" i="4"/>
  <c r="EX68" i="4"/>
  <c r="EW68" i="4"/>
  <c r="EV68" i="4"/>
  <c r="EU68" i="4"/>
  <c r="ET68" i="4"/>
  <c r="ES68" i="4"/>
  <c r="ER68" i="4"/>
  <c r="EQ68" i="4"/>
  <c r="EP68" i="4"/>
  <c r="EO68" i="4"/>
  <c r="EN68" i="4"/>
  <c r="EM68" i="4"/>
  <c r="EL68" i="4"/>
  <c r="EK68" i="4"/>
  <c r="EJ68" i="4"/>
  <c r="EI68" i="4"/>
  <c r="EH68" i="4"/>
  <c r="EG68" i="4"/>
  <c r="EF68" i="4"/>
  <c r="EE68" i="4"/>
  <c r="ED68" i="4"/>
  <c r="EC68" i="4"/>
  <c r="EB68" i="4"/>
  <c r="EA68" i="4"/>
  <c r="DZ68" i="4"/>
  <c r="DY68" i="4"/>
  <c r="DX68" i="4"/>
  <c r="DW68" i="4"/>
  <c r="DV68" i="4"/>
  <c r="DU68" i="4"/>
  <c r="DT68" i="4"/>
  <c r="DS68" i="4"/>
  <c r="DR68" i="4"/>
  <c r="DQ68" i="4"/>
  <c r="DP68" i="4"/>
  <c r="DO68" i="4"/>
  <c r="DN68" i="4"/>
  <c r="DM68" i="4"/>
  <c r="DL68" i="4"/>
  <c r="DK68" i="4"/>
  <c r="DJ68" i="4"/>
  <c r="DI68" i="4"/>
  <c r="DH68" i="4"/>
  <c r="DG68" i="4"/>
  <c r="DF68" i="4"/>
  <c r="DE68" i="4"/>
  <c r="DD68" i="4"/>
  <c r="DC68" i="4"/>
  <c r="DB68" i="4"/>
  <c r="DA68" i="4"/>
  <c r="CZ68" i="4"/>
  <c r="CY68" i="4"/>
  <c r="CX68" i="4"/>
  <c r="CW68" i="4"/>
  <c r="CV68" i="4"/>
  <c r="CU68" i="4"/>
  <c r="CT68" i="4"/>
  <c r="CS68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IL67" i="4"/>
  <c r="IK67" i="4"/>
  <c r="IJ67" i="4"/>
  <c r="II67" i="4"/>
  <c r="IH67" i="4"/>
  <c r="IG67" i="4"/>
  <c r="IF67" i="4"/>
  <c r="IE67" i="4"/>
  <c r="ID67" i="4"/>
  <c r="IC67" i="4"/>
  <c r="IB67" i="4"/>
  <c r="IA67" i="4"/>
  <c r="HZ67" i="4"/>
  <c r="HY67" i="4"/>
  <c r="HX67" i="4"/>
  <c r="HW67" i="4"/>
  <c r="HV67" i="4"/>
  <c r="HU67" i="4"/>
  <c r="HT67" i="4"/>
  <c r="HS67" i="4"/>
  <c r="HR67" i="4"/>
  <c r="HQ67" i="4"/>
  <c r="HP67" i="4"/>
  <c r="HO67" i="4"/>
  <c r="HN67" i="4"/>
  <c r="HM67" i="4"/>
  <c r="HL67" i="4"/>
  <c r="HK67" i="4"/>
  <c r="HJ67" i="4"/>
  <c r="HI67" i="4"/>
  <c r="HH67" i="4"/>
  <c r="HG67" i="4"/>
  <c r="HF67" i="4"/>
  <c r="HE67" i="4"/>
  <c r="HD67" i="4"/>
  <c r="HC67" i="4"/>
  <c r="HB67" i="4"/>
  <c r="HA67" i="4"/>
  <c r="GZ67" i="4"/>
  <c r="GY67" i="4"/>
  <c r="GX67" i="4"/>
  <c r="GW67" i="4"/>
  <c r="GV67" i="4"/>
  <c r="GU67" i="4"/>
  <c r="GT67" i="4"/>
  <c r="GS67" i="4"/>
  <c r="GR67" i="4"/>
  <c r="GQ67" i="4"/>
  <c r="GP67" i="4"/>
  <c r="GO67" i="4"/>
  <c r="GN67" i="4"/>
  <c r="GM67" i="4"/>
  <c r="GL67" i="4"/>
  <c r="GK67" i="4"/>
  <c r="GJ67" i="4"/>
  <c r="GI67" i="4"/>
  <c r="GH67" i="4"/>
  <c r="GG67" i="4"/>
  <c r="GF67" i="4"/>
  <c r="GE67" i="4"/>
  <c r="GD67" i="4"/>
  <c r="GC67" i="4"/>
  <c r="GB67" i="4"/>
  <c r="GA67" i="4"/>
  <c r="FZ67" i="4"/>
  <c r="FY67" i="4"/>
  <c r="FX67" i="4"/>
  <c r="FW67" i="4"/>
  <c r="FV67" i="4"/>
  <c r="FU67" i="4"/>
  <c r="FT67" i="4"/>
  <c r="FS67" i="4"/>
  <c r="FR67" i="4"/>
  <c r="FQ67" i="4"/>
  <c r="FP67" i="4"/>
  <c r="FO67" i="4"/>
  <c r="FN67" i="4"/>
  <c r="FM67" i="4"/>
  <c r="FL67" i="4"/>
  <c r="FK67" i="4"/>
  <c r="FJ67" i="4"/>
  <c r="FI67" i="4"/>
  <c r="FH67" i="4"/>
  <c r="FG67" i="4"/>
  <c r="FF67" i="4"/>
  <c r="FE67" i="4"/>
  <c r="FD67" i="4"/>
  <c r="FC67" i="4"/>
  <c r="FB67" i="4"/>
  <c r="FA67" i="4"/>
  <c r="EZ67" i="4"/>
  <c r="EY67" i="4"/>
  <c r="EX67" i="4"/>
  <c r="EW67" i="4"/>
  <c r="EV67" i="4"/>
  <c r="EU67" i="4"/>
  <c r="ET67" i="4"/>
  <c r="ES67" i="4"/>
  <c r="ER67" i="4"/>
  <c r="EQ67" i="4"/>
  <c r="EP67" i="4"/>
  <c r="EO67" i="4"/>
  <c r="EN67" i="4"/>
  <c r="EM67" i="4"/>
  <c r="EL67" i="4"/>
  <c r="EK67" i="4"/>
  <c r="EJ67" i="4"/>
  <c r="EI67" i="4"/>
  <c r="EH67" i="4"/>
  <c r="EG67" i="4"/>
  <c r="EF67" i="4"/>
  <c r="EE67" i="4"/>
  <c r="ED67" i="4"/>
  <c r="EC67" i="4"/>
  <c r="EB67" i="4"/>
  <c r="EA67" i="4"/>
  <c r="DZ67" i="4"/>
  <c r="DY67" i="4"/>
  <c r="DX67" i="4"/>
  <c r="DW67" i="4"/>
  <c r="DV67" i="4"/>
  <c r="DU67" i="4"/>
  <c r="DT67" i="4"/>
  <c r="DS67" i="4"/>
  <c r="DR67" i="4"/>
  <c r="DQ67" i="4"/>
  <c r="DP67" i="4"/>
  <c r="DO67" i="4"/>
  <c r="DN67" i="4"/>
  <c r="DM67" i="4"/>
  <c r="DL67" i="4"/>
  <c r="DK67" i="4"/>
  <c r="DJ67" i="4"/>
  <c r="DI67" i="4"/>
  <c r="DH67" i="4"/>
  <c r="DG67" i="4"/>
  <c r="DF67" i="4"/>
  <c r="DE67" i="4"/>
  <c r="DD67" i="4"/>
  <c r="DC67" i="4"/>
  <c r="DB67" i="4"/>
  <c r="DA67" i="4"/>
  <c r="CZ67" i="4"/>
  <c r="CY67" i="4"/>
  <c r="CX67" i="4"/>
  <c r="CW67" i="4"/>
  <c r="CV67" i="4"/>
  <c r="CU67" i="4"/>
  <c r="CT67" i="4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IL66" i="4"/>
  <c r="IK66" i="4"/>
  <c r="IJ66" i="4"/>
  <c r="II66" i="4"/>
  <c r="IH66" i="4"/>
  <c r="IG66" i="4"/>
  <c r="IF66" i="4"/>
  <c r="IE66" i="4"/>
  <c r="ID66" i="4"/>
  <c r="IC66" i="4"/>
  <c r="IB66" i="4"/>
  <c r="IA66" i="4"/>
  <c r="HZ66" i="4"/>
  <c r="HY66" i="4"/>
  <c r="HX66" i="4"/>
  <c r="HW66" i="4"/>
  <c r="HV66" i="4"/>
  <c r="HU66" i="4"/>
  <c r="HT66" i="4"/>
  <c r="HS66" i="4"/>
  <c r="HR66" i="4"/>
  <c r="HQ66" i="4"/>
  <c r="HP66" i="4"/>
  <c r="HO66" i="4"/>
  <c r="HN66" i="4"/>
  <c r="HM66" i="4"/>
  <c r="HL66" i="4"/>
  <c r="HK66" i="4"/>
  <c r="HJ66" i="4"/>
  <c r="HI66" i="4"/>
  <c r="HH66" i="4"/>
  <c r="HG66" i="4"/>
  <c r="HF66" i="4"/>
  <c r="HE66" i="4"/>
  <c r="HD66" i="4"/>
  <c r="HC66" i="4"/>
  <c r="HB66" i="4"/>
  <c r="HA66" i="4"/>
  <c r="GZ66" i="4"/>
  <c r="GY66" i="4"/>
  <c r="GX66" i="4"/>
  <c r="GW66" i="4"/>
  <c r="GV66" i="4"/>
  <c r="GU66" i="4"/>
  <c r="GT66" i="4"/>
  <c r="GS66" i="4"/>
  <c r="GR66" i="4"/>
  <c r="GQ66" i="4"/>
  <c r="GP66" i="4"/>
  <c r="GO66" i="4"/>
  <c r="GN66" i="4"/>
  <c r="GM66" i="4"/>
  <c r="GL66" i="4"/>
  <c r="GK66" i="4"/>
  <c r="GJ66" i="4"/>
  <c r="GI66" i="4"/>
  <c r="GH66" i="4"/>
  <c r="GG66" i="4"/>
  <c r="GF66" i="4"/>
  <c r="GE66" i="4"/>
  <c r="GD66" i="4"/>
  <c r="GC66" i="4"/>
  <c r="GB66" i="4"/>
  <c r="GA66" i="4"/>
  <c r="FZ66" i="4"/>
  <c r="FY66" i="4"/>
  <c r="FX66" i="4"/>
  <c r="FW66" i="4"/>
  <c r="FV66" i="4"/>
  <c r="FU66" i="4"/>
  <c r="FT66" i="4"/>
  <c r="FS66" i="4"/>
  <c r="FR66" i="4"/>
  <c r="FQ66" i="4"/>
  <c r="FP66" i="4"/>
  <c r="FO66" i="4"/>
  <c r="FN66" i="4"/>
  <c r="FM66" i="4"/>
  <c r="FL66" i="4"/>
  <c r="FK66" i="4"/>
  <c r="FJ66" i="4"/>
  <c r="FI66" i="4"/>
  <c r="FH66" i="4"/>
  <c r="FG66" i="4"/>
  <c r="FF66" i="4"/>
  <c r="FE66" i="4"/>
  <c r="FD66" i="4"/>
  <c r="FC66" i="4"/>
  <c r="FB66" i="4"/>
  <c r="FA66" i="4"/>
  <c r="EZ66" i="4"/>
  <c r="EY66" i="4"/>
  <c r="EX66" i="4"/>
  <c r="EW66" i="4"/>
  <c r="EV66" i="4"/>
  <c r="EU66" i="4"/>
  <c r="ET66" i="4"/>
  <c r="ES66" i="4"/>
  <c r="ER66" i="4"/>
  <c r="EQ66" i="4"/>
  <c r="EP66" i="4"/>
  <c r="EO66" i="4"/>
  <c r="EN66" i="4"/>
  <c r="EM66" i="4"/>
  <c r="EL66" i="4"/>
  <c r="EK66" i="4"/>
  <c r="EJ66" i="4"/>
  <c r="EI66" i="4"/>
  <c r="EH66" i="4"/>
  <c r="EG66" i="4"/>
  <c r="EF66" i="4"/>
  <c r="EE66" i="4"/>
  <c r="ED66" i="4"/>
  <c r="EC66" i="4"/>
  <c r="EB66" i="4"/>
  <c r="EA66" i="4"/>
  <c r="DZ66" i="4"/>
  <c r="DY66" i="4"/>
  <c r="DX66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K66" i="4"/>
  <c r="DJ66" i="4"/>
  <c r="DI66" i="4"/>
  <c r="DH66" i="4"/>
  <c r="DG66" i="4"/>
  <c r="DF66" i="4"/>
  <c r="DE66" i="4"/>
  <c r="DD66" i="4"/>
  <c r="DC66" i="4"/>
  <c r="DB66" i="4"/>
  <c r="DA66" i="4"/>
  <c r="CZ66" i="4"/>
  <c r="CY66" i="4"/>
  <c r="CX66" i="4"/>
  <c r="CW66" i="4"/>
  <c r="CV66" i="4"/>
  <c r="CU66" i="4"/>
  <c r="CT66" i="4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IL65" i="4"/>
  <c r="IK65" i="4"/>
  <c r="IJ65" i="4"/>
  <c r="II65" i="4"/>
  <c r="IH65" i="4"/>
  <c r="IG65" i="4"/>
  <c r="IF65" i="4"/>
  <c r="IE65" i="4"/>
  <c r="ID65" i="4"/>
  <c r="IC65" i="4"/>
  <c r="IB65" i="4"/>
  <c r="IA65" i="4"/>
  <c r="HZ65" i="4"/>
  <c r="HY65" i="4"/>
  <c r="HX65" i="4"/>
  <c r="HW65" i="4"/>
  <c r="HV65" i="4"/>
  <c r="HU65" i="4"/>
  <c r="HT65" i="4"/>
  <c r="HS65" i="4"/>
  <c r="HR65" i="4"/>
  <c r="HQ65" i="4"/>
  <c r="HP65" i="4"/>
  <c r="HO65" i="4"/>
  <c r="HN65" i="4"/>
  <c r="HM65" i="4"/>
  <c r="HL65" i="4"/>
  <c r="HK65" i="4"/>
  <c r="HJ65" i="4"/>
  <c r="HI65" i="4"/>
  <c r="HH65" i="4"/>
  <c r="HG65" i="4"/>
  <c r="HF65" i="4"/>
  <c r="HE65" i="4"/>
  <c r="HD65" i="4"/>
  <c r="HC65" i="4"/>
  <c r="HB65" i="4"/>
  <c r="HA65" i="4"/>
  <c r="GZ65" i="4"/>
  <c r="GY65" i="4"/>
  <c r="GX65" i="4"/>
  <c r="GW65" i="4"/>
  <c r="GV65" i="4"/>
  <c r="GU65" i="4"/>
  <c r="GT65" i="4"/>
  <c r="GS65" i="4"/>
  <c r="GR65" i="4"/>
  <c r="GQ65" i="4"/>
  <c r="GP65" i="4"/>
  <c r="GO65" i="4"/>
  <c r="GN65" i="4"/>
  <c r="GM65" i="4"/>
  <c r="GL65" i="4"/>
  <c r="GK65" i="4"/>
  <c r="GJ65" i="4"/>
  <c r="GI65" i="4"/>
  <c r="GH65" i="4"/>
  <c r="GG65" i="4"/>
  <c r="GF65" i="4"/>
  <c r="GE65" i="4"/>
  <c r="GD65" i="4"/>
  <c r="GC65" i="4"/>
  <c r="GB65" i="4"/>
  <c r="GA65" i="4"/>
  <c r="FZ65" i="4"/>
  <c r="FY65" i="4"/>
  <c r="FX65" i="4"/>
  <c r="FW65" i="4"/>
  <c r="FV65" i="4"/>
  <c r="FU65" i="4"/>
  <c r="FT65" i="4"/>
  <c r="FS65" i="4"/>
  <c r="FR65" i="4"/>
  <c r="FQ65" i="4"/>
  <c r="FP65" i="4"/>
  <c r="FO65" i="4"/>
  <c r="FN65" i="4"/>
  <c r="FM65" i="4"/>
  <c r="FL65" i="4"/>
  <c r="FK65" i="4"/>
  <c r="FJ65" i="4"/>
  <c r="FI65" i="4"/>
  <c r="FH65" i="4"/>
  <c r="FG65" i="4"/>
  <c r="FF65" i="4"/>
  <c r="FE65" i="4"/>
  <c r="FD65" i="4"/>
  <c r="FC65" i="4"/>
  <c r="FB65" i="4"/>
  <c r="FA65" i="4"/>
  <c r="EZ65" i="4"/>
  <c r="EY65" i="4"/>
  <c r="EX65" i="4"/>
  <c r="EW65" i="4"/>
  <c r="EV65" i="4"/>
  <c r="EU65" i="4"/>
  <c r="ET65" i="4"/>
  <c r="ES65" i="4"/>
  <c r="ER65" i="4"/>
  <c r="EQ65" i="4"/>
  <c r="EP65" i="4"/>
  <c r="EO65" i="4"/>
  <c r="EN65" i="4"/>
  <c r="EM65" i="4"/>
  <c r="EL65" i="4"/>
  <c r="EK65" i="4"/>
  <c r="EJ65" i="4"/>
  <c r="EI65" i="4"/>
  <c r="EH65" i="4"/>
  <c r="EG65" i="4"/>
  <c r="EF65" i="4"/>
  <c r="EE65" i="4"/>
  <c r="ED65" i="4"/>
  <c r="EC65" i="4"/>
  <c r="EB65" i="4"/>
  <c r="EA65" i="4"/>
  <c r="DZ65" i="4"/>
  <c r="DY65" i="4"/>
  <c r="DX65" i="4"/>
  <c r="DW65" i="4"/>
  <c r="DV65" i="4"/>
  <c r="DU65" i="4"/>
  <c r="DT65" i="4"/>
  <c r="DS65" i="4"/>
  <c r="DR65" i="4"/>
  <c r="DQ65" i="4"/>
  <c r="DP65" i="4"/>
  <c r="DO65" i="4"/>
  <c r="DN65" i="4"/>
  <c r="DM65" i="4"/>
  <c r="DL65" i="4"/>
  <c r="DK65" i="4"/>
  <c r="DJ65" i="4"/>
  <c r="DI65" i="4"/>
  <c r="DH65" i="4"/>
  <c r="DG65" i="4"/>
  <c r="DF65" i="4"/>
  <c r="DE65" i="4"/>
  <c r="DD65" i="4"/>
  <c r="DC65" i="4"/>
  <c r="DB65" i="4"/>
  <c r="DA65" i="4"/>
  <c r="CZ65" i="4"/>
  <c r="CY65" i="4"/>
  <c r="CX65" i="4"/>
  <c r="CW65" i="4"/>
  <c r="CV65" i="4"/>
  <c r="CU65" i="4"/>
  <c r="CT65" i="4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IL64" i="4"/>
  <c r="IK64" i="4"/>
  <c r="IJ64" i="4"/>
  <c r="II64" i="4"/>
  <c r="IH64" i="4"/>
  <c r="IG64" i="4"/>
  <c r="IF64" i="4"/>
  <c r="IE64" i="4"/>
  <c r="ID64" i="4"/>
  <c r="IC64" i="4"/>
  <c r="IB64" i="4"/>
  <c r="IA64" i="4"/>
  <c r="HZ64" i="4"/>
  <c r="HY64" i="4"/>
  <c r="HX64" i="4"/>
  <c r="HW64" i="4"/>
  <c r="HV64" i="4"/>
  <c r="HU64" i="4"/>
  <c r="HT64" i="4"/>
  <c r="HS64" i="4"/>
  <c r="HR64" i="4"/>
  <c r="HQ64" i="4"/>
  <c r="HP64" i="4"/>
  <c r="HO64" i="4"/>
  <c r="HN64" i="4"/>
  <c r="HM64" i="4"/>
  <c r="HL64" i="4"/>
  <c r="HK64" i="4"/>
  <c r="HJ64" i="4"/>
  <c r="HI64" i="4"/>
  <c r="HH64" i="4"/>
  <c r="HG64" i="4"/>
  <c r="HF64" i="4"/>
  <c r="HE64" i="4"/>
  <c r="HD64" i="4"/>
  <c r="HC64" i="4"/>
  <c r="HB64" i="4"/>
  <c r="HA64" i="4"/>
  <c r="GZ64" i="4"/>
  <c r="GY64" i="4"/>
  <c r="GX64" i="4"/>
  <c r="GW64" i="4"/>
  <c r="GV64" i="4"/>
  <c r="GU64" i="4"/>
  <c r="GT64" i="4"/>
  <c r="GS64" i="4"/>
  <c r="GR64" i="4"/>
  <c r="GQ64" i="4"/>
  <c r="GP64" i="4"/>
  <c r="GO64" i="4"/>
  <c r="GN64" i="4"/>
  <c r="GM64" i="4"/>
  <c r="GL64" i="4"/>
  <c r="GK64" i="4"/>
  <c r="GJ64" i="4"/>
  <c r="GI64" i="4"/>
  <c r="GH64" i="4"/>
  <c r="GG64" i="4"/>
  <c r="GF64" i="4"/>
  <c r="GE64" i="4"/>
  <c r="GD64" i="4"/>
  <c r="GC64" i="4"/>
  <c r="GB64" i="4"/>
  <c r="GA64" i="4"/>
  <c r="FZ64" i="4"/>
  <c r="FY64" i="4"/>
  <c r="FX64" i="4"/>
  <c r="FW64" i="4"/>
  <c r="FV64" i="4"/>
  <c r="FU64" i="4"/>
  <c r="FT64" i="4"/>
  <c r="FS64" i="4"/>
  <c r="FR64" i="4"/>
  <c r="FQ64" i="4"/>
  <c r="FP64" i="4"/>
  <c r="FO64" i="4"/>
  <c r="FN64" i="4"/>
  <c r="FM64" i="4"/>
  <c r="FL64" i="4"/>
  <c r="FK64" i="4"/>
  <c r="FJ64" i="4"/>
  <c r="FI64" i="4"/>
  <c r="FH64" i="4"/>
  <c r="FG64" i="4"/>
  <c r="FF64" i="4"/>
  <c r="FE64" i="4"/>
  <c r="FD64" i="4"/>
  <c r="FC64" i="4"/>
  <c r="FB64" i="4"/>
  <c r="FA64" i="4"/>
  <c r="EZ64" i="4"/>
  <c r="EY64" i="4"/>
  <c r="EX64" i="4"/>
  <c r="EW64" i="4"/>
  <c r="EV64" i="4"/>
  <c r="EU64" i="4"/>
  <c r="ET64" i="4"/>
  <c r="ES64" i="4"/>
  <c r="ER64" i="4"/>
  <c r="EQ64" i="4"/>
  <c r="EP64" i="4"/>
  <c r="EO64" i="4"/>
  <c r="EN64" i="4"/>
  <c r="EM64" i="4"/>
  <c r="EL64" i="4"/>
  <c r="EK64" i="4"/>
  <c r="EJ64" i="4"/>
  <c r="EI64" i="4"/>
  <c r="EH64" i="4"/>
  <c r="EG64" i="4"/>
  <c r="EF64" i="4"/>
  <c r="EE64" i="4"/>
  <c r="ED64" i="4"/>
  <c r="EC64" i="4"/>
  <c r="EB64" i="4"/>
  <c r="EA64" i="4"/>
  <c r="DZ64" i="4"/>
  <c r="DY64" i="4"/>
  <c r="DX64" i="4"/>
  <c r="DW64" i="4"/>
  <c r="DV64" i="4"/>
  <c r="DU64" i="4"/>
  <c r="DT64" i="4"/>
  <c r="DS64" i="4"/>
  <c r="DR64" i="4"/>
  <c r="DQ64" i="4"/>
  <c r="DP64" i="4"/>
  <c r="DO64" i="4"/>
  <c r="DN64" i="4"/>
  <c r="DM64" i="4"/>
  <c r="DL64" i="4"/>
  <c r="DK64" i="4"/>
  <c r="DJ64" i="4"/>
  <c r="DI64" i="4"/>
  <c r="DH64" i="4"/>
  <c r="DG64" i="4"/>
  <c r="DF64" i="4"/>
  <c r="DE64" i="4"/>
  <c r="DD64" i="4"/>
  <c r="DC64" i="4"/>
  <c r="DB64" i="4"/>
  <c r="DA64" i="4"/>
  <c r="CZ64" i="4"/>
  <c r="CY64" i="4"/>
  <c r="CX64" i="4"/>
  <c r="CW64" i="4"/>
  <c r="CV64" i="4"/>
  <c r="CU64" i="4"/>
  <c r="CT64" i="4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IL63" i="4"/>
  <c r="IK63" i="4"/>
  <c r="IJ63" i="4"/>
  <c r="II63" i="4"/>
  <c r="IH63" i="4"/>
  <c r="IG63" i="4"/>
  <c r="IF63" i="4"/>
  <c r="IE63" i="4"/>
  <c r="ID63" i="4"/>
  <c r="IC63" i="4"/>
  <c r="IB63" i="4"/>
  <c r="IA63" i="4"/>
  <c r="HZ63" i="4"/>
  <c r="HY63" i="4"/>
  <c r="HX63" i="4"/>
  <c r="HW63" i="4"/>
  <c r="HV63" i="4"/>
  <c r="HU63" i="4"/>
  <c r="HT63" i="4"/>
  <c r="HS63" i="4"/>
  <c r="HR63" i="4"/>
  <c r="HQ63" i="4"/>
  <c r="HP63" i="4"/>
  <c r="HO63" i="4"/>
  <c r="HN63" i="4"/>
  <c r="HM63" i="4"/>
  <c r="HL63" i="4"/>
  <c r="HK63" i="4"/>
  <c r="HJ63" i="4"/>
  <c r="HI63" i="4"/>
  <c r="HH63" i="4"/>
  <c r="HG63" i="4"/>
  <c r="HF63" i="4"/>
  <c r="HE63" i="4"/>
  <c r="HD63" i="4"/>
  <c r="HC63" i="4"/>
  <c r="HB63" i="4"/>
  <c r="HA63" i="4"/>
  <c r="GZ63" i="4"/>
  <c r="GY63" i="4"/>
  <c r="GX63" i="4"/>
  <c r="GW63" i="4"/>
  <c r="GV63" i="4"/>
  <c r="GU63" i="4"/>
  <c r="GT63" i="4"/>
  <c r="GS63" i="4"/>
  <c r="GR63" i="4"/>
  <c r="GQ63" i="4"/>
  <c r="GP63" i="4"/>
  <c r="GO63" i="4"/>
  <c r="GN63" i="4"/>
  <c r="GM63" i="4"/>
  <c r="GL63" i="4"/>
  <c r="GK63" i="4"/>
  <c r="GJ63" i="4"/>
  <c r="GI63" i="4"/>
  <c r="GH63" i="4"/>
  <c r="GG63" i="4"/>
  <c r="GF63" i="4"/>
  <c r="GE63" i="4"/>
  <c r="GD63" i="4"/>
  <c r="GC63" i="4"/>
  <c r="GB63" i="4"/>
  <c r="GA63" i="4"/>
  <c r="FZ63" i="4"/>
  <c r="FY63" i="4"/>
  <c r="FX63" i="4"/>
  <c r="FW63" i="4"/>
  <c r="FV63" i="4"/>
  <c r="FU63" i="4"/>
  <c r="FT63" i="4"/>
  <c r="FS63" i="4"/>
  <c r="FR63" i="4"/>
  <c r="FQ63" i="4"/>
  <c r="FP63" i="4"/>
  <c r="FO63" i="4"/>
  <c r="FN63" i="4"/>
  <c r="FM63" i="4"/>
  <c r="FL63" i="4"/>
  <c r="FK63" i="4"/>
  <c r="FJ63" i="4"/>
  <c r="FI63" i="4"/>
  <c r="FH63" i="4"/>
  <c r="FG63" i="4"/>
  <c r="FF63" i="4"/>
  <c r="FE63" i="4"/>
  <c r="FD63" i="4"/>
  <c r="FC63" i="4"/>
  <c r="FB63" i="4"/>
  <c r="FA63" i="4"/>
  <c r="EZ63" i="4"/>
  <c r="EY63" i="4"/>
  <c r="EX63" i="4"/>
  <c r="EW63" i="4"/>
  <c r="EV63" i="4"/>
  <c r="EU63" i="4"/>
  <c r="ET63" i="4"/>
  <c r="ES63" i="4"/>
  <c r="ER63" i="4"/>
  <c r="EQ63" i="4"/>
  <c r="EP63" i="4"/>
  <c r="EO63" i="4"/>
  <c r="EN63" i="4"/>
  <c r="EM63" i="4"/>
  <c r="EL63" i="4"/>
  <c r="EK63" i="4"/>
  <c r="EJ63" i="4"/>
  <c r="EI63" i="4"/>
  <c r="EH63" i="4"/>
  <c r="EG63" i="4"/>
  <c r="EF63" i="4"/>
  <c r="EE63" i="4"/>
  <c r="ED63" i="4"/>
  <c r="EC63" i="4"/>
  <c r="EB63" i="4"/>
  <c r="EA63" i="4"/>
  <c r="DZ63" i="4"/>
  <c r="DY63" i="4"/>
  <c r="DX63" i="4"/>
  <c r="DW63" i="4"/>
  <c r="DV63" i="4"/>
  <c r="DU63" i="4"/>
  <c r="DT63" i="4"/>
  <c r="DS63" i="4"/>
  <c r="DR63" i="4"/>
  <c r="DQ63" i="4"/>
  <c r="DP63" i="4"/>
  <c r="DO63" i="4"/>
  <c r="DN63" i="4"/>
  <c r="DM63" i="4"/>
  <c r="DL63" i="4"/>
  <c r="DK63" i="4"/>
  <c r="DJ63" i="4"/>
  <c r="DI63" i="4"/>
  <c r="DH63" i="4"/>
  <c r="DG63" i="4"/>
  <c r="DF63" i="4"/>
  <c r="DE63" i="4"/>
  <c r="DD63" i="4"/>
  <c r="DC63" i="4"/>
  <c r="DB63" i="4"/>
  <c r="DA63" i="4"/>
  <c r="CZ63" i="4"/>
  <c r="CY63" i="4"/>
  <c r="CX63" i="4"/>
  <c r="CW63" i="4"/>
  <c r="CV63" i="4"/>
  <c r="CU63" i="4"/>
  <c r="CT63" i="4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IL62" i="4"/>
  <c r="IK62" i="4"/>
  <c r="IJ62" i="4"/>
  <c r="II62" i="4"/>
  <c r="IH62" i="4"/>
  <c r="IG62" i="4"/>
  <c r="IF62" i="4"/>
  <c r="IE62" i="4"/>
  <c r="ID62" i="4"/>
  <c r="IC62" i="4"/>
  <c r="IB62" i="4"/>
  <c r="IA62" i="4"/>
  <c r="HZ62" i="4"/>
  <c r="HY62" i="4"/>
  <c r="HX62" i="4"/>
  <c r="HW62" i="4"/>
  <c r="HV62" i="4"/>
  <c r="HU62" i="4"/>
  <c r="HT62" i="4"/>
  <c r="HS62" i="4"/>
  <c r="HR62" i="4"/>
  <c r="HQ62" i="4"/>
  <c r="HP62" i="4"/>
  <c r="HO62" i="4"/>
  <c r="HN62" i="4"/>
  <c r="HM62" i="4"/>
  <c r="HL62" i="4"/>
  <c r="HK62" i="4"/>
  <c r="HJ62" i="4"/>
  <c r="HI62" i="4"/>
  <c r="HH62" i="4"/>
  <c r="HG62" i="4"/>
  <c r="HF62" i="4"/>
  <c r="HE62" i="4"/>
  <c r="HD62" i="4"/>
  <c r="HC62" i="4"/>
  <c r="HB62" i="4"/>
  <c r="HA62" i="4"/>
  <c r="GZ62" i="4"/>
  <c r="GY62" i="4"/>
  <c r="GX62" i="4"/>
  <c r="GW62" i="4"/>
  <c r="GV62" i="4"/>
  <c r="GU62" i="4"/>
  <c r="GT62" i="4"/>
  <c r="GS62" i="4"/>
  <c r="GR62" i="4"/>
  <c r="GQ62" i="4"/>
  <c r="GP62" i="4"/>
  <c r="GO62" i="4"/>
  <c r="GN62" i="4"/>
  <c r="GM62" i="4"/>
  <c r="GL62" i="4"/>
  <c r="GK62" i="4"/>
  <c r="GJ62" i="4"/>
  <c r="GI62" i="4"/>
  <c r="GH62" i="4"/>
  <c r="GG62" i="4"/>
  <c r="GF62" i="4"/>
  <c r="GE62" i="4"/>
  <c r="GD62" i="4"/>
  <c r="GC62" i="4"/>
  <c r="GB62" i="4"/>
  <c r="GA62" i="4"/>
  <c r="FZ62" i="4"/>
  <c r="FY62" i="4"/>
  <c r="FX62" i="4"/>
  <c r="FW62" i="4"/>
  <c r="FV62" i="4"/>
  <c r="FU62" i="4"/>
  <c r="FT62" i="4"/>
  <c r="FS62" i="4"/>
  <c r="FR62" i="4"/>
  <c r="FQ62" i="4"/>
  <c r="FP62" i="4"/>
  <c r="FO62" i="4"/>
  <c r="FN62" i="4"/>
  <c r="FM62" i="4"/>
  <c r="FL62" i="4"/>
  <c r="FK62" i="4"/>
  <c r="FJ62" i="4"/>
  <c r="FI62" i="4"/>
  <c r="FH62" i="4"/>
  <c r="FG62" i="4"/>
  <c r="FF62" i="4"/>
  <c r="FE62" i="4"/>
  <c r="FD62" i="4"/>
  <c r="FC62" i="4"/>
  <c r="FB62" i="4"/>
  <c r="FA62" i="4"/>
  <c r="EZ62" i="4"/>
  <c r="EY62" i="4"/>
  <c r="EX62" i="4"/>
  <c r="EW62" i="4"/>
  <c r="EV62" i="4"/>
  <c r="EU62" i="4"/>
  <c r="ET62" i="4"/>
  <c r="ES62" i="4"/>
  <c r="ER62" i="4"/>
  <c r="EQ62" i="4"/>
  <c r="EP62" i="4"/>
  <c r="EO62" i="4"/>
  <c r="EN62" i="4"/>
  <c r="EM62" i="4"/>
  <c r="EL62" i="4"/>
  <c r="EK62" i="4"/>
  <c r="EJ62" i="4"/>
  <c r="EI62" i="4"/>
  <c r="EH62" i="4"/>
  <c r="EG62" i="4"/>
  <c r="EF62" i="4"/>
  <c r="EE62" i="4"/>
  <c r="ED62" i="4"/>
  <c r="EC62" i="4"/>
  <c r="EB62" i="4"/>
  <c r="EA62" i="4"/>
  <c r="DZ62" i="4"/>
  <c r="DY62" i="4"/>
  <c r="DX62" i="4"/>
  <c r="DW62" i="4"/>
  <c r="DV62" i="4"/>
  <c r="DU62" i="4"/>
  <c r="DT62" i="4"/>
  <c r="DS62" i="4"/>
  <c r="DR62" i="4"/>
  <c r="DQ62" i="4"/>
  <c r="DP62" i="4"/>
  <c r="DO62" i="4"/>
  <c r="DN62" i="4"/>
  <c r="DM62" i="4"/>
  <c r="DL62" i="4"/>
  <c r="DK62" i="4"/>
  <c r="DJ62" i="4"/>
  <c r="DI62" i="4"/>
  <c r="DH62" i="4"/>
  <c r="DG62" i="4"/>
  <c r="DF62" i="4"/>
  <c r="DE62" i="4"/>
  <c r="DD62" i="4"/>
  <c r="DC62" i="4"/>
  <c r="DB62" i="4"/>
  <c r="DA62" i="4"/>
  <c r="CZ62" i="4"/>
  <c r="CY62" i="4"/>
  <c r="CX62" i="4"/>
  <c r="CW62" i="4"/>
  <c r="CV62" i="4"/>
  <c r="CU62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IL61" i="4"/>
  <c r="IK61" i="4"/>
  <c r="IJ61" i="4"/>
  <c r="II61" i="4"/>
  <c r="IH61" i="4"/>
  <c r="IG61" i="4"/>
  <c r="IF61" i="4"/>
  <c r="IE61" i="4"/>
  <c r="ID61" i="4"/>
  <c r="IC61" i="4"/>
  <c r="IB61" i="4"/>
  <c r="IA61" i="4"/>
  <c r="HZ61" i="4"/>
  <c r="HY61" i="4"/>
  <c r="HX61" i="4"/>
  <c r="HW61" i="4"/>
  <c r="HV61" i="4"/>
  <c r="HU61" i="4"/>
  <c r="HT61" i="4"/>
  <c r="HS61" i="4"/>
  <c r="HR61" i="4"/>
  <c r="HQ61" i="4"/>
  <c r="HP61" i="4"/>
  <c r="HO61" i="4"/>
  <c r="HN61" i="4"/>
  <c r="HM61" i="4"/>
  <c r="HL61" i="4"/>
  <c r="HK61" i="4"/>
  <c r="HJ61" i="4"/>
  <c r="HI61" i="4"/>
  <c r="HH61" i="4"/>
  <c r="HG61" i="4"/>
  <c r="HF61" i="4"/>
  <c r="HE61" i="4"/>
  <c r="HD61" i="4"/>
  <c r="HC61" i="4"/>
  <c r="HB61" i="4"/>
  <c r="HA61" i="4"/>
  <c r="GZ61" i="4"/>
  <c r="GY61" i="4"/>
  <c r="GX61" i="4"/>
  <c r="GW61" i="4"/>
  <c r="GV61" i="4"/>
  <c r="GU61" i="4"/>
  <c r="GT61" i="4"/>
  <c r="GS61" i="4"/>
  <c r="GR61" i="4"/>
  <c r="GQ61" i="4"/>
  <c r="GP61" i="4"/>
  <c r="GO61" i="4"/>
  <c r="GN61" i="4"/>
  <c r="GM61" i="4"/>
  <c r="GL61" i="4"/>
  <c r="GK61" i="4"/>
  <c r="GJ61" i="4"/>
  <c r="GI61" i="4"/>
  <c r="GH61" i="4"/>
  <c r="GG61" i="4"/>
  <c r="GF61" i="4"/>
  <c r="GE61" i="4"/>
  <c r="GD61" i="4"/>
  <c r="GC61" i="4"/>
  <c r="GB61" i="4"/>
  <c r="GA61" i="4"/>
  <c r="FZ61" i="4"/>
  <c r="FY61" i="4"/>
  <c r="FX61" i="4"/>
  <c r="FW61" i="4"/>
  <c r="FV61" i="4"/>
  <c r="FU61" i="4"/>
  <c r="FT61" i="4"/>
  <c r="FS61" i="4"/>
  <c r="FR61" i="4"/>
  <c r="FQ61" i="4"/>
  <c r="FP61" i="4"/>
  <c r="FO61" i="4"/>
  <c r="FN61" i="4"/>
  <c r="FM61" i="4"/>
  <c r="FL61" i="4"/>
  <c r="FK61" i="4"/>
  <c r="FJ61" i="4"/>
  <c r="FI61" i="4"/>
  <c r="FH61" i="4"/>
  <c r="FG61" i="4"/>
  <c r="FF61" i="4"/>
  <c r="FE61" i="4"/>
  <c r="FD61" i="4"/>
  <c r="FC61" i="4"/>
  <c r="FB61" i="4"/>
  <c r="FA61" i="4"/>
  <c r="EZ61" i="4"/>
  <c r="EY61" i="4"/>
  <c r="EX61" i="4"/>
  <c r="EW61" i="4"/>
  <c r="EV61" i="4"/>
  <c r="EU61" i="4"/>
  <c r="ET61" i="4"/>
  <c r="ES61" i="4"/>
  <c r="ER61" i="4"/>
  <c r="EQ61" i="4"/>
  <c r="EP61" i="4"/>
  <c r="EO61" i="4"/>
  <c r="EN61" i="4"/>
  <c r="EM61" i="4"/>
  <c r="EL61" i="4"/>
  <c r="EK61" i="4"/>
  <c r="EJ61" i="4"/>
  <c r="EI61" i="4"/>
  <c r="EH61" i="4"/>
  <c r="EG61" i="4"/>
  <c r="EF61" i="4"/>
  <c r="EE61" i="4"/>
  <c r="ED61" i="4"/>
  <c r="EC61" i="4"/>
  <c r="EB61" i="4"/>
  <c r="EA61" i="4"/>
  <c r="DZ61" i="4"/>
  <c r="DY61" i="4"/>
  <c r="DX61" i="4"/>
  <c r="DW61" i="4"/>
  <c r="DV61" i="4"/>
  <c r="DU61" i="4"/>
  <c r="DT61" i="4"/>
  <c r="DS61" i="4"/>
  <c r="DR61" i="4"/>
  <c r="DQ61" i="4"/>
  <c r="DP61" i="4"/>
  <c r="DO61" i="4"/>
  <c r="DN61" i="4"/>
  <c r="DM61" i="4"/>
  <c r="DL61" i="4"/>
  <c r="DK61" i="4"/>
  <c r="DJ61" i="4"/>
  <c r="DI61" i="4"/>
  <c r="DH61" i="4"/>
  <c r="DG61" i="4"/>
  <c r="DF61" i="4"/>
  <c r="DE61" i="4"/>
  <c r="DD61" i="4"/>
  <c r="DC61" i="4"/>
  <c r="DB61" i="4"/>
  <c r="DA61" i="4"/>
  <c r="CZ61" i="4"/>
  <c r="CY61" i="4"/>
  <c r="CX61" i="4"/>
  <c r="CW61" i="4"/>
  <c r="CV61" i="4"/>
  <c r="CU61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IL60" i="4"/>
  <c r="IK60" i="4"/>
  <c r="IJ60" i="4"/>
  <c r="II60" i="4"/>
  <c r="IH60" i="4"/>
  <c r="IG60" i="4"/>
  <c r="IF60" i="4"/>
  <c r="IE60" i="4"/>
  <c r="ID60" i="4"/>
  <c r="IC60" i="4"/>
  <c r="IB60" i="4"/>
  <c r="IA60" i="4"/>
  <c r="HZ60" i="4"/>
  <c r="HY60" i="4"/>
  <c r="HX60" i="4"/>
  <c r="HW60" i="4"/>
  <c r="HV60" i="4"/>
  <c r="HU60" i="4"/>
  <c r="HT60" i="4"/>
  <c r="HS60" i="4"/>
  <c r="HR60" i="4"/>
  <c r="HQ60" i="4"/>
  <c r="HP60" i="4"/>
  <c r="HO60" i="4"/>
  <c r="HN60" i="4"/>
  <c r="HM60" i="4"/>
  <c r="HL60" i="4"/>
  <c r="HK60" i="4"/>
  <c r="HJ60" i="4"/>
  <c r="HI60" i="4"/>
  <c r="HH60" i="4"/>
  <c r="HG60" i="4"/>
  <c r="HF60" i="4"/>
  <c r="HE60" i="4"/>
  <c r="HD60" i="4"/>
  <c r="HC60" i="4"/>
  <c r="HB60" i="4"/>
  <c r="HA60" i="4"/>
  <c r="GZ60" i="4"/>
  <c r="GY60" i="4"/>
  <c r="GX60" i="4"/>
  <c r="GW60" i="4"/>
  <c r="GV60" i="4"/>
  <c r="GU60" i="4"/>
  <c r="GT60" i="4"/>
  <c r="GS60" i="4"/>
  <c r="GR60" i="4"/>
  <c r="GQ60" i="4"/>
  <c r="GP60" i="4"/>
  <c r="GO60" i="4"/>
  <c r="GN60" i="4"/>
  <c r="GM60" i="4"/>
  <c r="GL60" i="4"/>
  <c r="GK60" i="4"/>
  <c r="GJ60" i="4"/>
  <c r="GI60" i="4"/>
  <c r="GH60" i="4"/>
  <c r="GG60" i="4"/>
  <c r="GF60" i="4"/>
  <c r="GE60" i="4"/>
  <c r="GD60" i="4"/>
  <c r="GC60" i="4"/>
  <c r="GB60" i="4"/>
  <c r="GA60" i="4"/>
  <c r="FZ60" i="4"/>
  <c r="FY60" i="4"/>
  <c r="FX60" i="4"/>
  <c r="FW60" i="4"/>
  <c r="FV60" i="4"/>
  <c r="FU60" i="4"/>
  <c r="FT60" i="4"/>
  <c r="FS60" i="4"/>
  <c r="FR60" i="4"/>
  <c r="FQ60" i="4"/>
  <c r="FP60" i="4"/>
  <c r="FO60" i="4"/>
  <c r="FN60" i="4"/>
  <c r="FM60" i="4"/>
  <c r="FL60" i="4"/>
  <c r="FK60" i="4"/>
  <c r="FJ60" i="4"/>
  <c r="FI60" i="4"/>
  <c r="FH60" i="4"/>
  <c r="FG60" i="4"/>
  <c r="FF60" i="4"/>
  <c r="FE60" i="4"/>
  <c r="FD60" i="4"/>
  <c r="FC60" i="4"/>
  <c r="FB60" i="4"/>
  <c r="FA60" i="4"/>
  <c r="EZ60" i="4"/>
  <c r="EY60" i="4"/>
  <c r="EX60" i="4"/>
  <c r="EW60" i="4"/>
  <c r="EV60" i="4"/>
  <c r="EU60" i="4"/>
  <c r="ET60" i="4"/>
  <c r="ES60" i="4"/>
  <c r="ER60" i="4"/>
  <c r="EQ60" i="4"/>
  <c r="EP60" i="4"/>
  <c r="EO60" i="4"/>
  <c r="EN60" i="4"/>
  <c r="EM60" i="4"/>
  <c r="EL60" i="4"/>
  <c r="EK60" i="4"/>
  <c r="EJ60" i="4"/>
  <c r="EI60" i="4"/>
  <c r="EH60" i="4"/>
  <c r="EG60" i="4"/>
  <c r="EF60" i="4"/>
  <c r="EE60" i="4"/>
  <c r="ED60" i="4"/>
  <c r="EC60" i="4"/>
  <c r="EB60" i="4"/>
  <c r="EA60" i="4"/>
  <c r="DZ60" i="4"/>
  <c r="DY60" i="4"/>
  <c r="DX60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K60" i="4"/>
  <c r="DJ60" i="4"/>
  <c r="DI60" i="4"/>
  <c r="DH60" i="4"/>
  <c r="DG60" i="4"/>
  <c r="DF60" i="4"/>
  <c r="DE60" i="4"/>
  <c r="DD60" i="4"/>
  <c r="DC60" i="4"/>
  <c r="DB60" i="4"/>
  <c r="DA60" i="4"/>
  <c r="CZ60" i="4"/>
  <c r="CY60" i="4"/>
  <c r="CX60" i="4"/>
  <c r="CW60" i="4"/>
  <c r="CV60" i="4"/>
  <c r="CU60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IL59" i="4"/>
  <c r="IK59" i="4"/>
  <c r="IJ59" i="4"/>
  <c r="II59" i="4"/>
  <c r="IH59" i="4"/>
  <c r="IG59" i="4"/>
  <c r="IF59" i="4"/>
  <c r="IE59" i="4"/>
  <c r="ID59" i="4"/>
  <c r="IC59" i="4"/>
  <c r="IB59" i="4"/>
  <c r="IA59" i="4"/>
  <c r="HZ59" i="4"/>
  <c r="HY59" i="4"/>
  <c r="HX59" i="4"/>
  <c r="HW59" i="4"/>
  <c r="HV59" i="4"/>
  <c r="HU59" i="4"/>
  <c r="HT59" i="4"/>
  <c r="HS59" i="4"/>
  <c r="HR59" i="4"/>
  <c r="HQ59" i="4"/>
  <c r="HP59" i="4"/>
  <c r="HO59" i="4"/>
  <c r="HN59" i="4"/>
  <c r="HM59" i="4"/>
  <c r="HL59" i="4"/>
  <c r="HK59" i="4"/>
  <c r="HJ59" i="4"/>
  <c r="HI59" i="4"/>
  <c r="HH59" i="4"/>
  <c r="HG59" i="4"/>
  <c r="HF59" i="4"/>
  <c r="HE59" i="4"/>
  <c r="HD59" i="4"/>
  <c r="HC59" i="4"/>
  <c r="HB59" i="4"/>
  <c r="HA59" i="4"/>
  <c r="GZ59" i="4"/>
  <c r="GY59" i="4"/>
  <c r="GX59" i="4"/>
  <c r="GW59" i="4"/>
  <c r="GV59" i="4"/>
  <c r="GU59" i="4"/>
  <c r="GT59" i="4"/>
  <c r="GS59" i="4"/>
  <c r="GR59" i="4"/>
  <c r="GQ59" i="4"/>
  <c r="GP59" i="4"/>
  <c r="GO59" i="4"/>
  <c r="GN59" i="4"/>
  <c r="GM59" i="4"/>
  <c r="GL59" i="4"/>
  <c r="GK59" i="4"/>
  <c r="GJ59" i="4"/>
  <c r="GI59" i="4"/>
  <c r="GH59" i="4"/>
  <c r="GG59" i="4"/>
  <c r="GF59" i="4"/>
  <c r="GE59" i="4"/>
  <c r="GD59" i="4"/>
  <c r="GC59" i="4"/>
  <c r="GB59" i="4"/>
  <c r="GA59" i="4"/>
  <c r="FZ59" i="4"/>
  <c r="FY59" i="4"/>
  <c r="FX59" i="4"/>
  <c r="FW59" i="4"/>
  <c r="FV59" i="4"/>
  <c r="FU59" i="4"/>
  <c r="FT59" i="4"/>
  <c r="FS59" i="4"/>
  <c r="FR59" i="4"/>
  <c r="FQ59" i="4"/>
  <c r="FP59" i="4"/>
  <c r="FO59" i="4"/>
  <c r="FN59" i="4"/>
  <c r="FM59" i="4"/>
  <c r="FL59" i="4"/>
  <c r="FK59" i="4"/>
  <c r="FJ59" i="4"/>
  <c r="FI59" i="4"/>
  <c r="FH59" i="4"/>
  <c r="FG59" i="4"/>
  <c r="FF59" i="4"/>
  <c r="FE59" i="4"/>
  <c r="FD59" i="4"/>
  <c r="FC59" i="4"/>
  <c r="FB59" i="4"/>
  <c r="FA59" i="4"/>
  <c r="EZ59" i="4"/>
  <c r="EY59" i="4"/>
  <c r="EX59" i="4"/>
  <c r="EW59" i="4"/>
  <c r="EV59" i="4"/>
  <c r="EU59" i="4"/>
  <c r="ET59" i="4"/>
  <c r="ES59" i="4"/>
  <c r="ER59" i="4"/>
  <c r="EQ59" i="4"/>
  <c r="EP59" i="4"/>
  <c r="EO59" i="4"/>
  <c r="EN59" i="4"/>
  <c r="EM59" i="4"/>
  <c r="EL59" i="4"/>
  <c r="EK59" i="4"/>
  <c r="EJ59" i="4"/>
  <c r="EI59" i="4"/>
  <c r="EH59" i="4"/>
  <c r="EG59" i="4"/>
  <c r="EF59" i="4"/>
  <c r="EE59" i="4"/>
  <c r="ED59" i="4"/>
  <c r="EC59" i="4"/>
  <c r="EB59" i="4"/>
  <c r="EA59" i="4"/>
  <c r="DZ59" i="4"/>
  <c r="DY59" i="4"/>
  <c r="DX59" i="4"/>
  <c r="DW59" i="4"/>
  <c r="DV59" i="4"/>
  <c r="DU59" i="4"/>
  <c r="DT59" i="4"/>
  <c r="DS59" i="4"/>
  <c r="DR59" i="4"/>
  <c r="DQ59" i="4"/>
  <c r="DP59" i="4"/>
  <c r="DO59" i="4"/>
  <c r="DN59" i="4"/>
  <c r="DM59" i="4"/>
  <c r="DL59" i="4"/>
  <c r="DK59" i="4"/>
  <c r="DJ59" i="4"/>
  <c r="DI59" i="4"/>
  <c r="DH59" i="4"/>
  <c r="DG59" i="4"/>
  <c r="DF59" i="4"/>
  <c r="DE59" i="4"/>
  <c r="DD59" i="4"/>
  <c r="DC59" i="4"/>
  <c r="DB59" i="4"/>
  <c r="DA59" i="4"/>
  <c r="CZ59" i="4"/>
  <c r="CY59" i="4"/>
  <c r="CX59" i="4"/>
  <c r="CW59" i="4"/>
  <c r="CV59" i="4"/>
  <c r="CU59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IL58" i="4"/>
  <c r="IK58" i="4"/>
  <c r="IJ58" i="4"/>
  <c r="II58" i="4"/>
  <c r="IH58" i="4"/>
  <c r="IG58" i="4"/>
  <c r="IF58" i="4"/>
  <c r="IE58" i="4"/>
  <c r="ID58" i="4"/>
  <c r="IC58" i="4"/>
  <c r="IB58" i="4"/>
  <c r="IA58" i="4"/>
  <c r="HZ58" i="4"/>
  <c r="HY58" i="4"/>
  <c r="HX58" i="4"/>
  <c r="HW58" i="4"/>
  <c r="HV58" i="4"/>
  <c r="HU58" i="4"/>
  <c r="HT58" i="4"/>
  <c r="HS58" i="4"/>
  <c r="HR58" i="4"/>
  <c r="HQ58" i="4"/>
  <c r="HP58" i="4"/>
  <c r="HO58" i="4"/>
  <c r="HN58" i="4"/>
  <c r="HM58" i="4"/>
  <c r="HL58" i="4"/>
  <c r="HK58" i="4"/>
  <c r="HJ58" i="4"/>
  <c r="HI58" i="4"/>
  <c r="HH58" i="4"/>
  <c r="HG58" i="4"/>
  <c r="HF58" i="4"/>
  <c r="HE58" i="4"/>
  <c r="HD58" i="4"/>
  <c r="HC58" i="4"/>
  <c r="HB58" i="4"/>
  <c r="HA58" i="4"/>
  <c r="GZ58" i="4"/>
  <c r="GY58" i="4"/>
  <c r="GX58" i="4"/>
  <c r="GW58" i="4"/>
  <c r="GV58" i="4"/>
  <c r="GU58" i="4"/>
  <c r="GT58" i="4"/>
  <c r="GS58" i="4"/>
  <c r="GR58" i="4"/>
  <c r="GQ58" i="4"/>
  <c r="GP58" i="4"/>
  <c r="GO58" i="4"/>
  <c r="GN58" i="4"/>
  <c r="GM58" i="4"/>
  <c r="GL58" i="4"/>
  <c r="GK58" i="4"/>
  <c r="GJ58" i="4"/>
  <c r="GI58" i="4"/>
  <c r="GH58" i="4"/>
  <c r="GG58" i="4"/>
  <c r="GF58" i="4"/>
  <c r="GE58" i="4"/>
  <c r="GD58" i="4"/>
  <c r="GC58" i="4"/>
  <c r="GB58" i="4"/>
  <c r="GA58" i="4"/>
  <c r="FZ58" i="4"/>
  <c r="FY58" i="4"/>
  <c r="FX58" i="4"/>
  <c r="FW58" i="4"/>
  <c r="FV58" i="4"/>
  <c r="FU58" i="4"/>
  <c r="FT58" i="4"/>
  <c r="FS58" i="4"/>
  <c r="FR58" i="4"/>
  <c r="FQ58" i="4"/>
  <c r="FP58" i="4"/>
  <c r="FO58" i="4"/>
  <c r="FN58" i="4"/>
  <c r="FM58" i="4"/>
  <c r="FL58" i="4"/>
  <c r="FK58" i="4"/>
  <c r="FJ58" i="4"/>
  <c r="FI58" i="4"/>
  <c r="FH58" i="4"/>
  <c r="FG58" i="4"/>
  <c r="FF58" i="4"/>
  <c r="FE58" i="4"/>
  <c r="FD58" i="4"/>
  <c r="FC58" i="4"/>
  <c r="FB58" i="4"/>
  <c r="FA58" i="4"/>
  <c r="EZ58" i="4"/>
  <c r="EY58" i="4"/>
  <c r="EX58" i="4"/>
  <c r="EW58" i="4"/>
  <c r="EV58" i="4"/>
  <c r="EU58" i="4"/>
  <c r="ET58" i="4"/>
  <c r="ES58" i="4"/>
  <c r="ER58" i="4"/>
  <c r="EQ58" i="4"/>
  <c r="EP58" i="4"/>
  <c r="EO58" i="4"/>
  <c r="EN58" i="4"/>
  <c r="EM58" i="4"/>
  <c r="EL58" i="4"/>
  <c r="EK58" i="4"/>
  <c r="EJ58" i="4"/>
  <c r="EI58" i="4"/>
  <c r="EH58" i="4"/>
  <c r="EG58" i="4"/>
  <c r="EF58" i="4"/>
  <c r="EE58" i="4"/>
  <c r="ED58" i="4"/>
  <c r="EC58" i="4"/>
  <c r="EB58" i="4"/>
  <c r="EA58" i="4"/>
  <c r="DZ58" i="4"/>
  <c r="DY58" i="4"/>
  <c r="DX58" i="4"/>
  <c r="DW58" i="4"/>
  <c r="DV58" i="4"/>
  <c r="DU58" i="4"/>
  <c r="DT58" i="4"/>
  <c r="DS58" i="4"/>
  <c r="DR58" i="4"/>
  <c r="DQ58" i="4"/>
  <c r="DP58" i="4"/>
  <c r="DO58" i="4"/>
  <c r="DN58" i="4"/>
  <c r="DM58" i="4"/>
  <c r="DL58" i="4"/>
  <c r="DK58" i="4"/>
  <c r="DJ58" i="4"/>
  <c r="DI58" i="4"/>
  <c r="DH58" i="4"/>
  <c r="DG58" i="4"/>
  <c r="DF58" i="4"/>
  <c r="DE58" i="4"/>
  <c r="DD58" i="4"/>
  <c r="DC58" i="4"/>
  <c r="DB58" i="4"/>
  <c r="DA58" i="4"/>
  <c r="CZ58" i="4"/>
  <c r="CY58" i="4"/>
  <c r="CX58" i="4"/>
  <c r="CW58" i="4"/>
  <c r="CV58" i="4"/>
  <c r="CU58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IL57" i="4"/>
  <c r="IK57" i="4"/>
  <c r="IJ57" i="4"/>
  <c r="II57" i="4"/>
  <c r="IH57" i="4"/>
  <c r="IG57" i="4"/>
  <c r="IF57" i="4"/>
  <c r="IE57" i="4"/>
  <c r="ID57" i="4"/>
  <c r="IC57" i="4"/>
  <c r="IB57" i="4"/>
  <c r="IA57" i="4"/>
  <c r="HZ57" i="4"/>
  <c r="HY57" i="4"/>
  <c r="HX57" i="4"/>
  <c r="HW57" i="4"/>
  <c r="HV57" i="4"/>
  <c r="HU57" i="4"/>
  <c r="HT57" i="4"/>
  <c r="HS57" i="4"/>
  <c r="HR57" i="4"/>
  <c r="HQ57" i="4"/>
  <c r="HP57" i="4"/>
  <c r="HO57" i="4"/>
  <c r="HN57" i="4"/>
  <c r="HM57" i="4"/>
  <c r="HL57" i="4"/>
  <c r="HK57" i="4"/>
  <c r="HJ57" i="4"/>
  <c r="HI57" i="4"/>
  <c r="HH57" i="4"/>
  <c r="HG57" i="4"/>
  <c r="HF57" i="4"/>
  <c r="HE57" i="4"/>
  <c r="HD57" i="4"/>
  <c r="HC57" i="4"/>
  <c r="HB57" i="4"/>
  <c r="HA57" i="4"/>
  <c r="GZ57" i="4"/>
  <c r="GY57" i="4"/>
  <c r="GX57" i="4"/>
  <c r="GW57" i="4"/>
  <c r="GV57" i="4"/>
  <c r="GU57" i="4"/>
  <c r="GT57" i="4"/>
  <c r="GS57" i="4"/>
  <c r="GR57" i="4"/>
  <c r="GQ57" i="4"/>
  <c r="GP57" i="4"/>
  <c r="GO57" i="4"/>
  <c r="GN57" i="4"/>
  <c r="GM57" i="4"/>
  <c r="GL57" i="4"/>
  <c r="GK57" i="4"/>
  <c r="GJ57" i="4"/>
  <c r="GI57" i="4"/>
  <c r="GH57" i="4"/>
  <c r="GG57" i="4"/>
  <c r="GF57" i="4"/>
  <c r="GE57" i="4"/>
  <c r="GD57" i="4"/>
  <c r="GC57" i="4"/>
  <c r="GB57" i="4"/>
  <c r="GA57" i="4"/>
  <c r="FZ57" i="4"/>
  <c r="FY57" i="4"/>
  <c r="FX57" i="4"/>
  <c r="FW57" i="4"/>
  <c r="FV57" i="4"/>
  <c r="FU57" i="4"/>
  <c r="FT57" i="4"/>
  <c r="FS57" i="4"/>
  <c r="FR57" i="4"/>
  <c r="FQ57" i="4"/>
  <c r="FP57" i="4"/>
  <c r="FO57" i="4"/>
  <c r="FN57" i="4"/>
  <c r="FM57" i="4"/>
  <c r="FL57" i="4"/>
  <c r="FK57" i="4"/>
  <c r="FJ57" i="4"/>
  <c r="FI57" i="4"/>
  <c r="FH57" i="4"/>
  <c r="FG57" i="4"/>
  <c r="FF57" i="4"/>
  <c r="FE57" i="4"/>
  <c r="FD57" i="4"/>
  <c r="FC57" i="4"/>
  <c r="FB57" i="4"/>
  <c r="FA57" i="4"/>
  <c r="EZ57" i="4"/>
  <c r="EY57" i="4"/>
  <c r="EX57" i="4"/>
  <c r="EW57" i="4"/>
  <c r="EV57" i="4"/>
  <c r="EU57" i="4"/>
  <c r="ET57" i="4"/>
  <c r="ES57" i="4"/>
  <c r="ER57" i="4"/>
  <c r="EQ57" i="4"/>
  <c r="EP57" i="4"/>
  <c r="EO57" i="4"/>
  <c r="EN57" i="4"/>
  <c r="EM57" i="4"/>
  <c r="EL57" i="4"/>
  <c r="EK57" i="4"/>
  <c r="EJ57" i="4"/>
  <c r="EI57" i="4"/>
  <c r="EH57" i="4"/>
  <c r="EG57" i="4"/>
  <c r="EF57" i="4"/>
  <c r="EE57" i="4"/>
  <c r="ED57" i="4"/>
  <c r="EC57" i="4"/>
  <c r="EB57" i="4"/>
  <c r="EA57" i="4"/>
  <c r="DZ57" i="4"/>
  <c r="DY57" i="4"/>
  <c r="DX57" i="4"/>
  <c r="DW57" i="4"/>
  <c r="DV57" i="4"/>
  <c r="DU57" i="4"/>
  <c r="DT57" i="4"/>
  <c r="DS57" i="4"/>
  <c r="DR57" i="4"/>
  <c r="DQ57" i="4"/>
  <c r="DP57" i="4"/>
  <c r="DO57" i="4"/>
  <c r="DN57" i="4"/>
  <c r="DM57" i="4"/>
  <c r="DL57" i="4"/>
  <c r="DK57" i="4"/>
  <c r="DJ57" i="4"/>
  <c r="DI57" i="4"/>
  <c r="DH57" i="4"/>
  <c r="DG57" i="4"/>
  <c r="DF57" i="4"/>
  <c r="DE57" i="4"/>
  <c r="DD57" i="4"/>
  <c r="DC57" i="4"/>
  <c r="DB57" i="4"/>
  <c r="DA57" i="4"/>
  <c r="CZ57" i="4"/>
  <c r="CY57" i="4"/>
  <c r="CX57" i="4"/>
  <c r="CW57" i="4"/>
  <c r="CV57" i="4"/>
  <c r="CU57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IL56" i="4"/>
  <c r="IK56" i="4"/>
  <c r="IJ56" i="4"/>
  <c r="II56" i="4"/>
  <c r="IH56" i="4"/>
  <c r="IG56" i="4"/>
  <c r="IF56" i="4"/>
  <c r="IE56" i="4"/>
  <c r="ID56" i="4"/>
  <c r="IC56" i="4"/>
  <c r="IB56" i="4"/>
  <c r="IA56" i="4"/>
  <c r="HZ56" i="4"/>
  <c r="HY56" i="4"/>
  <c r="HX56" i="4"/>
  <c r="HW56" i="4"/>
  <c r="HV56" i="4"/>
  <c r="HU56" i="4"/>
  <c r="HT56" i="4"/>
  <c r="HS56" i="4"/>
  <c r="HR56" i="4"/>
  <c r="HQ56" i="4"/>
  <c r="HP56" i="4"/>
  <c r="HO56" i="4"/>
  <c r="HN56" i="4"/>
  <c r="HM56" i="4"/>
  <c r="HL56" i="4"/>
  <c r="HK56" i="4"/>
  <c r="HJ56" i="4"/>
  <c r="HI56" i="4"/>
  <c r="HH56" i="4"/>
  <c r="HG56" i="4"/>
  <c r="HF56" i="4"/>
  <c r="HE56" i="4"/>
  <c r="HD56" i="4"/>
  <c r="HC56" i="4"/>
  <c r="HB56" i="4"/>
  <c r="HA56" i="4"/>
  <c r="GZ56" i="4"/>
  <c r="GY56" i="4"/>
  <c r="GX56" i="4"/>
  <c r="GW56" i="4"/>
  <c r="GV56" i="4"/>
  <c r="GU56" i="4"/>
  <c r="GT56" i="4"/>
  <c r="GS56" i="4"/>
  <c r="GR56" i="4"/>
  <c r="GQ56" i="4"/>
  <c r="GP56" i="4"/>
  <c r="GO56" i="4"/>
  <c r="GN56" i="4"/>
  <c r="GM56" i="4"/>
  <c r="GL56" i="4"/>
  <c r="GK56" i="4"/>
  <c r="GJ56" i="4"/>
  <c r="GI56" i="4"/>
  <c r="GH56" i="4"/>
  <c r="GG56" i="4"/>
  <c r="GF56" i="4"/>
  <c r="GE56" i="4"/>
  <c r="GD56" i="4"/>
  <c r="GC56" i="4"/>
  <c r="GB56" i="4"/>
  <c r="GA56" i="4"/>
  <c r="FZ56" i="4"/>
  <c r="FY56" i="4"/>
  <c r="FX56" i="4"/>
  <c r="FW56" i="4"/>
  <c r="FV56" i="4"/>
  <c r="FU56" i="4"/>
  <c r="FT56" i="4"/>
  <c r="FS56" i="4"/>
  <c r="FR56" i="4"/>
  <c r="FQ56" i="4"/>
  <c r="FP56" i="4"/>
  <c r="FO56" i="4"/>
  <c r="FN56" i="4"/>
  <c r="FM56" i="4"/>
  <c r="FL56" i="4"/>
  <c r="FK56" i="4"/>
  <c r="FJ56" i="4"/>
  <c r="FI56" i="4"/>
  <c r="FH56" i="4"/>
  <c r="FG56" i="4"/>
  <c r="FF56" i="4"/>
  <c r="FE56" i="4"/>
  <c r="FD56" i="4"/>
  <c r="FC56" i="4"/>
  <c r="FB56" i="4"/>
  <c r="FA56" i="4"/>
  <c r="EZ56" i="4"/>
  <c r="EY56" i="4"/>
  <c r="EX56" i="4"/>
  <c r="EW56" i="4"/>
  <c r="EV56" i="4"/>
  <c r="EU56" i="4"/>
  <c r="ET56" i="4"/>
  <c r="ES56" i="4"/>
  <c r="ER56" i="4"/>
  <c r="EQ56" i="4"/>
  <c r="EP56" i="4"/>
  <c r="EO56" i="4"/>
  <c r="EN56" i="4"/>
  <c r="EM56" i="4"/>
  <c r="EL56" i="4"/>
  <c r="EK56" i="4"/>
  <c r="EJ56" i="4"/>
  <c r="EI56" i="4"/>
  <c r="EH56" i="4"/>
  <c r="EG56" i="4"/>
  <c r="EF56" i="4"/>
  <c r="EE56" i="4"/>
  <c r="ED56" i="4"/>
  <c r="EC56" i="4"/>
  <c r="EB56" i="4"/>
  <c r="EA56" i="4"/>
  <c r="DZ56" i="4"/>
  <c r="DY56" i="4"/>
  <c r="DX56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K56" i="4"/>
  <c r="DJ56" i="4"/>
  <c r="DI56" i="4"/>
  <c r="DH56" i="4"/>
  <c r="DG56" i="4"/>
  <c r="DF56" i="4"/>
  <c r="DE56" i="4"/>
  <c r="DD56" i="4"/>
  <c r="DC56" i="4"/>
  <c r="DB56" i="4"/>
  <c r="DA56" i="4"/>
  <c r="CZ56" i="4"/>
  <c r="CY56" i="4"/>
  <c r="CX56" i="4"/>
  <c r="CW56" i="4"/>
  <c r="CV56" i="4"/>
  <c r="CU56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IL55" i="4"/>
  <c r="IK55" i="4"/>
  <c r="IJ55" i="4"/>
  <c r="II55" i="4"/>
  <c r="IH55" i="4"/>
  <c r="IG55" i="4"/>
  <c r="IF55" i="4"/>
  <c r="IE55" i="4"/>
  <c r="ID55" i="4"/>
  <c r="IC55" i="4"/>
  <c r="IB55" i="4"/>
  <c r="IA55" i="4"/>
  <c r="HZ55" i="4"/>
  <c r="HY55" i="4"/>
  <c r="HX55" i="4"/>
  <c r="HW55" i="4"/>
  <c r="HV55" i="4"/>
  <c r="HU55" i="4"/>
  <c r="HT55" i="4"/>
  <c r="HS55" i="4"/>
  <c r="HR55" i="4"/>
  <c r="HQ55" i="4"/>
  <c r="HP55" i="4"/>
  <c r="HO55" i="4"/>
  <c r="HN55" i="4"/>
  <c r="HM55" i="4"/>
  <c r="HL55" i="4"/>
  <c r="HK55" i="4"/>
  <c r="HJ55" i="4"/>
  <c r="HI55" i="4"/>
  <c r="HH55" i="4"/>
  <c r="HG55" i="4"/>
  <c r="HF55" i="4"/>
  <c r="HE55" i="4"/>
  <c r="HD55" i="4"/>
  <c r="HC55" i="4"/>
  <c r="HB55" i="4"/>
  <c r="HA55" i="4"/>
  <c r="GZ55" i="4"/>
  <c r="GY55" i="4"/>
  <c r="GX55" i="4"/>
  <c r="GW55" i="4"/>
  <c r="GV55" i="4"/>
  <c r="GU55" i="4"/>
  <c r="GT55" i="4"/>
  <c r="GS55" i="4"/>
  <c r="GR55" i="4"/>
  <c r="GQ55" i="4"/>
  <c r="GP55" i="4"/>
  <c r="GO55" i="4"/>
  <c r="GN55" i="4"/>
  <c r="GM55" i="4"/>
  <c r="GL55" i="4"/>
  <c r="GK55" i="4"/>
  <c r="GJ55" i="4"/>
  <c r="GI55" i="4"/>
  <c r="GH55" i="4"/>
  <c r="GG55" i="4"/>
  <c r="GF55" i="4"/>
  <c r="GE55" i="4"/>
  <c r="GD55" i="4"/>
  <c r="GC55" i="4"/>
  <c r="GB55" i="4"/>
  <c r="GA55" i="4"/>
  <c r="FZ55" i="4"/>
  <c r="FY55" i="4"/>
  <c r="FX55" i="4"/>
  <c r="FW55" i="4"/>
  <c r="FV55" i="4"/>
  <c r="FU55" i="4"/>
  <c r="FT55" i="4"/>
  <c r="FS55" i="4"/>
  <c r="FR55" i="4"/>
  <c r="FQ55" i="4"/>
  <c r="FP55" i="4"/>
  <c r="FO55" i="4"/>
  <c r="FN55" i="4"/>
  <c r="FM55" i="4"/>
  <c r="FL55" i="4"/>
  <c r="FK55" i="4"/>
  <c r="FJ55" i="4"/>
  <c r="FI55" i="4"/>
  <c r="FH55" i="4"/>
  <c r="FG55" i="4"/>
  <c r="FF55" i="4"/>
  <c r="FE55" i="4"/>
  <c r="FD55" i="4"/>
  <c r="FC55" i="4"/>
  <c r="FB55" i="4"/>
  <c r="FA55" i="4"/>
  <c r="EZ55" i="4"/>
  <c r="EY55" i="4"/>
  <c r="EX55" i="4"/>
  <c r="EW55" i="4"/>
  <c r="EV55" i="4"/>
  <c r="EU55" i="4"/>
  <c r="ET55" i="4"/>
  <c r="ES55" i="4"/>
  <c r="ER55" i="4"/>
  <c r="EQ55" i="4"/>
  <c r="EP55" i="4"/>
  <c r="EO55" i="4"/>
  <c r="EN55" i="4"/>
  <c r="EM55" i="4"/>
  <c r="EL55" i="4"/>
  <c r="EK55" i="4"/>
  <c r="EJ55" i="4"/>
  <c r="EI55" i="4"/>
  <c r="EH55" i="4"/>
  <c r="EG55" i="4"/>
  <c r="EF55" i="4"/>
  <c r="EE55" i="4"/>
  <c r="ED55" i="4"/>
  <c r="EC55" i="4"/>
  <c r="EB55" i="4"/>
  <c r="EA55" i="4"/>
  <c r="DZ55" i="4"/>
  <c r="DY55" i="4"/>
  <c r="DX55" i="4"/>
  <c r="DW55" i="4"/>
  <c r="DV55" i="4"/>
  <c r="DU55" i="4"/>
  <c r="DT55" i="4"/>
  <c r="DS55" i="4"/>
  <c r="DR55" i="4"/>
  <c r="DQ55" i="4"/>
  <c r="DP55" i="4"/>
  <c r="DO55" i="4"/>
  <c r="DN55" i="4"/>
  <c r="DM55" i="4"/>
  <c r="DL55" i="4"/>
  <c r="DK55" i="4"/>
  <c r="DJ55" i="4"/>
  <c r="DI55" i="4"/>
  <c r="DH55" i="4"/>
  <c r="DG55" i="4"/>
  <c r="DF55" i="4"/>
  <c r="DE55" i="4"/>
  <c r="DD55" i="4"/>
  <c r="DC55" i="4"/>
  <c r="DB55" i="4"/>
  <c r="DA55" i="4"/>
  <c r="CZ55" i="4"/>
  <c r="CY55" i="4"/>
  <c r="CX55" i="4"/>
  <c r="CW55" i="4"/>
  <c r="CV55" i="4"/>
  <c r="CU55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IL54" i="4"/>
  <c r="IK54" i="4"/>
  <c r="IJ54" i="4"/>
  <c r="II54" i="4"/>
  <c r="IH54" i="4"/>
  <c r="IG54" i="4"/>
  <c r="IF54" i="4"/>
  <c r="IE54" i="4"/>
  <c r="ID54" i="4"/>
  <c r="IC54" i="4"/>
  <c r="IB54" i="4"/>
  <c r="IA54" i="4"/>
  <c r="HZ54" i="4"/>
  <c r="HY54" i="4"/>
  <c r="HX54" i="4"/>
  <c r="HW54" i="4"/>
  <c r="HV54" i="4"/>
  <c r="HU54" i="4"/>
  <c r="HT54" i="4"/>
  <c r="HS54" i="4"/>
  <c r="HR54" i="4"/>
  <c r="HQ54" i="4"/>
  <c r="HP54" i="4"/>
  <c r="HO54" i="4"/>
  <c r="HN54" i="4"/>
  <c r="HM54" i="4"/>
  <c r="HL54" i="4"/>
  <c r="HK54" i="4"/>
  <c r="HJ54" i="4"/>
  <c r="HI54" i="4"/>
  <c r="HH54" i="4"/>
  <c r="HG54" i="4"/>
  <c r="HF54" i="4"/>
  <c r="HE54" i="4"/>
  <c r="HD54" i="4"/>
  <c r="HC54" i="4"/>
  <c r="HB54" i="4"/>
  <c r="HA54" i="4"/>
  <c r="GZ54" i="4"/>
  <c r="GY54" i="4"/>
  <c r="GX54" i="4"/>
  <c r="GW54" i="4"/>
  <c r="GV54" i="4"/>
  <c r="GU54" i="4"/>
  <c r="GT54" i="4"/>
  <c r="GS54" i="4"/>
  <c r="GR54" i="4"/>
  <c r="GQ54" i="4"/>
  <c r="GP54" i="4"/>
  <c r="GO54" i="4"/>
  <c r="GN54" i="4"/>
  <c r="GM54" i="4"/>
  <c r="GL54" i="4"/>
  <c r="GK54" i="4"/>
  <c r="GJ54" i="4"/>
  <c r="GI54" i="4"/>
  <c r="GH54" i="4"/>
  <c r="GG54" i="4"/>
  <c r="GF54" i="4"/>
  <c r="GE54" i="4"/>
  <c r="GD54" i="4"/>
  <c r="GC54" i="4"/>
  <c r="GB54" i="4"/>
  <c r="GA54" i="4"/>
  <c r="FZ54" i="4"/>
  <c r="FY54" i="4"/>
  <c r="FX54" i="4"/>
  <c r="FW54" i="4"/>
  <c r="FV54" i="4"/>
  <c r="FU54" i="4"/>
  <c r="FT54" i="4"/>
  <c r="FS54" i="4"/>
  <c r="FR54" i="4"/>
  <c r="FQ54" i="4"/>
  <c r="FP54" i="4"/>
  <c r="FO54" i="4"/>
  <c r="FN54" i="4"/>
  <c r="FM54" i="4"/>
  <c r="FL54" i="4"/>
  <c r="FK54" i="4"/>
  <c r="FJ54" i="4"/>
  <c r="FI54" i="4"/>
  <c r="FH54" i="4"/>
  <c r="FG54" i="4"/>
  <c r="FF54" i="4"/>
  <c r="FE54" i="4"/>
  <c r="FD54" i="4"/>
  <c r="FC54" i="4"/>
  <c r="FB54" i="4"/>
  <c r="FA54" i="4"/>
  <c r="EZ54" i="4"/>
  <c r="EY54" i="4"/>
  <c r="EX54" i="4"/>
  <c r="EW54" i="4"/>
  <c r="EV54" i="4"/>
  <c r="EU54" i="4"/>
  <c r="ET54" i="4"/>
  <c r="ES54" i="4"/>
  <c r="ER54" i="4"/>
  <c r="EQ54" i="4"/>
  <c r="EP54" i="4"/>
  <c r="EO54" i="4"/>
  <c r="EN54" i="4"/>
  <c r="EM54" i="4"/>
  <c r="EL54" i="4"/>
  <c r="EK54" i="4"/>
  <c r="EJ54" i="4"/>
  <c r="EI54" i="4"/>
  <c r="EH54" i="4"/>
  <c r="EG54" i="4"/>
  <c r="EF54" i="4"/>
  <c r="EE54" i="4"/>
  <c r="ED54" i="4"/>
  <c r="EC54" i="4"/>
  <c r="EB54" i="4"/>
  <c r="EA54" i="4"/>
  <c r="DZ54" i="4"/>
  <c r="DY54" i="4"/>
  <c r="DX54" i="4"/>
  <c r="DW54" i="4"/>
  <c r="DV54" i="4"/>
  <c r="DU54" i="4"/>
  <c r="DT54" i="4"/>
  <c r="DS54" i="4"/>
  <c r="DR54" i="4"/>
  <c r="DQ54" i="4"/>
  <c r="DP54" i="4"/>
  <c r="DO54" i="4"/>
  <c r="DN54" i="4"/>
  <c r="DM54" i="4"/>
  <c r="DL54" i="4"/>
  <c r="DK54" i="4"/>
  <c r="DJ54" i="4"/>
  <c r="DI54" i="4"/>
  <c r="DH54" i="4"/>
  <c r="DG54" i="4"/>
  <c r="DF54" i="4"/>
  <c r="DE54" i="4"/>
  <c r="DD54" i="4"/>
  <c r="DC54" i="4"/>
  <c r="DB54" i="4"/>
  <c r="DA54" i="4"/>
  <c r="CZ54" i="4"/>
  <c r="CY54" i="4"/>
  <c r="CX54" i="4"/>
  <c r="CW54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IL53" i="4"/>
  <c r="IK53" i="4"/>
  <c r="IJ53" i="4"/>
  <c r="II53" i="4"/>
  <c r="IH53" i="4"/>
  <c r="IG53" i="4"/>
  <c r="IF53" i="4"/>
  <c r="IE53" i="4"/>
  <c r="ID53" i="4"/>
  <c r="IC53" i="4"/>
  <c r="IB53" i="4"/>
  <c r="IA53" i="4"/>
  <c r="HZ53" i="4"/>
  <c r="HY53" i="4"/>
  <c r="HX53" i="4"/>
  <c r="HW53" i="4"/>
  <c r="HV53" i="4"/>
  <c r="HU53" i="4"/>
  <c r="HT53" i="4"/>
  <c r="HS53" i="4"/>
  <c r="HR53" i="4"/>
  <c r="HQ53" i="4"/>
  <c r="HP53" i="4"/>
  <c r="HO53" i="4"/>
  <c r="HN53" i="4"/>
  <c r="HM53" i="4"/>
  <c r="HL53" i="4"/>
  <c r="HK53" i="4"/>
  <c r="HJ53" i="4"/>
  <c r="HI53" i="4"/>
  <c r="HH53" i="4"/>
  <c r="HG53" i="4"/>
  <c r="HF53" i="4"/>
  <c r="HE53" i="4"/>
  <c r="HD53" i="4"/>
  <c r="HC53" i="4"/>
  <c r="HB53" i="4"/>
  <c r="HA53" i="4"/>
  <c r="GZ53" i="4"/>
  <c r="GY53" i="4"/>
  <c r="GX53" i="4"/>
  <c r="GW53" i="4"/>
  <c r="GV53" i="4"/>
  <c r="GU53" i="4"/>
  <c r="GT53" i="4"/>
  <c r="GS53" i="4"/>
  <c r="GR53" i="4"/>
  <c r="GQ53" i="4"/>
  <c r="GP53" i="4"/>
  <c r="GO53" i="4"/>
  <c r="GN53" i="4"/>
  <c r="GM53" i="4"/>
  <c r="GL53" i="4"/>
  <c r="GK53" i="4"/>
  <c r="GJ53" i="4"/>
  <c r="GI53" i="4"/>
  <c r="GH53" i="4"/>
  <c r="GG53" i="4"/>
  <c r="GF53" i="4"/>
  <c r="GE53" i="4"/>
  <c r="GD53" i="4"/>
  <c r="GC53" i="4"/>
  <c r="GB53" i="4"/>
  <c r="GA53" i="4"/>
  <c r="FZ53" i="4"/>
  <c r="FY53" i="4"/>
  <c r="FX53" i="4"/>
  <c r="FW53" i="4"/>
  <c r="FV53" i="4"/>
  <c r="FU53" i="4"/>
  <c r="FT53" i="4"/>
  <c r="FS53" i="4"/>
  <c r="FR53" i="4"/>
  <c r="FQ53" i="4"/>
  <c r="FP53" i="4"/>
  <c r="FO53" i="4"/>
  <c r="FN53" i="4"/>
  <c r="FM53" i="4"/>
  <c r="FL53" i="4"/>
  <c r="FK53" i="4"/>
  <c r="FJ53" i="4"/>
  <c r="FI53" i="4"/>
  <c r="FH53" i="4"/>
  <c r="FG53" i="4"/>
  <c r="FF53" i="4"/>
  <c r="FE53" i="4"/>
  <c r="FD53" i="4"/>
  <c r="FC53" i="4"/>
  <c r="FB53" i="4"/>
  <c r="FA53" i="4"/>
  <c r="EZ53" i="4"/>
  <c r="EY53" i="4"/>
  <c r="EX53" i="4"/>
  <c r="EW53" i="4"/>
  <c r="EV53" i="4"/>
  <c r="EU53" i="4"/>
  <c r="ET53" i="4"/>
  <c r="ES53" i="4"/>
  <c r="ER53" i="4"/>
  <c r="EQ53" i="4"/>
  <c r="EP53" i="4"/>
  <c r="EO53" i="4"/>
  <c r="EN53" i="4"/>
  <c r="EM53" i="4"/>
  <c r="EL53" i="4"/>
  <c r="EK53" i="4"/>
  <c r="EJ53" i="4"/>
  <c r="EI53" i="4"/>
  <c r="EH53" i="4"/>
  <c r="EG53" i="4"/>
  <c r="EF53" i="4"/>
  <c r="EE53" i="4"/>
  <c r="ED53" i="4"/>
  <c r="EC53" i="4"/>
  <c r="EB53" i="4"/>
  <c r="EA53" i="4"/>
  <c r="DZ53" i="4"/>
  <c r="DY53" i="4"/>
  <c r="DX53" i="4"/>
  <c r="DW53" i="4"/>
  <c r="DV53" i="4"/>
  <c r="DU53" i="4"/>
  <c r="DT53" i="4"/>
  <c r="DS53" i="4"/>
  <c r="DR53" i="4"/>
  <c r="DQ53" i="4"/>
  <c r="DP53" i="4"/>
  <c r="DO53" i="4"/>
  <c r="DN53" i="4"/>
  <c r="DM53" i="4"/>
  <c r="DL53" i="4"/>
  <c r="DK53" i="4"/>
  <c r="DJ53" i="4"/>
  <c r="DI53" i="4"/>
  <c r="DH53" i="4"/>
  <c r="DG53" i="4"/>
  <c r="DF53" i="4"/>
  <c r="DE53" i="4"/>
  <c r="DD53" i="4"/>
  <c r="DC53" i="4"/>
  <c r="DB53" i="4"/>
  <c r="DA53" i="4"/>
  <c r="CZ53" i="4"/>
  <c r="CY53" i="4"/>
  <c r="CX53" i="4"/>
  <c r="CW53" i="4"/>
  <c r="CV53" i="4"/>
  <c r="CU53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IL52" i="4"/>
  <c r="IK52" i="4"/>
  <c r="IJ52" i="4"/>
  <c r="II52" i="4"/>
  <c r="IH52" i="4"/>
  <c r="IG52" i="4"/>
  <c r="IF52" i="4"/>
  <c r="IE52" i="4"/>
  <c r="ID52" i="4"/>
  <c r="IC52" i="4"/>
  <c r="IB52" i="4"/>
  <c r="IA52" i="4"/>
  <c r="HZ52" i="4"/>
  <c r="HY52" i="4"/>
  <c r="HX52" i="4"/>
  <c r="HW52" i="4"/>
  <c r="HV52" i="4"/>
  <c r="HU52" i="4"/>
  <c r="HT52" i="4"/>
  <c r="HS52" i="4"/>
  <c r="HR52" i="4"/>
  <c r="HQ52" i="4"/>
  <c r="HP52" i="4"/>
  <c r="HO52" i="4"/>
  <c r="HN52" i="4"/>
  <c r="HM52" i="4"/>
  <c r="HL52" i="4"/>
  <c r="HK52" i="4"/>
  <c r="HJ52" i="4"/>
  <c r="HI52" i="4"/>
  <c r="HH52" i="4"/>
  <c r="HG52" i="4"/>
  <c r="HF52" i="4"/>
  <c r="HE52" i="4"/>
  <c r="HD52" i="4"/>
  <c r="HC52" i="4"/>
  <c r="HB52" i="4"/>
  <c r="HA52" i="4"/>
  <c r="GZ52" i="4"/>
  <c r="GY52" i="4"/>
  <c r="GX52" i="4"/>
  <c r="GW52" i="4"/>
  <c r="GV52" i="4"/>
  <c r="GU52" i="4"/>
  <c r="GT52" i="4"/>
  <c r="GS52" i="4"/>
  <c r="GR52" i="4"/>
  <c r="GQ52" i="4"/>
  <c r="GP52" i="4"/>
  <c r="GO52" i="4"/>
  <c r="GN52" i="4"/>
  <c r="GM52" i="4"/>
  <c r="GL52" i="4"/>
  <c r="GK52" i="4"/>
  <c r="GJ52" i="4"/>
  <c r="GI52" i="4"/>
  <c r="GH52" i="4"/>
  <c r="GG52" i="4"/>
  <c r="GF52" i="4"/>
  <c r="GE52" i="4"/>
  <c r="GD52" i="4"/>
  <c r="GC52" i="4"/>
  <c r="GB52" i="4"/>
  <c r="GA52" i="4"/>
  <c r="FZ52" i="4"/>
  <c r="FY52" i="4"/>
  <c r="FX52" i="4"/>
  <c r="FW52" i="4"/>
  <c r="FV52" i="4"/>
  <c r="FU52" i="4"/>
  <c r="FT52" i="4"/>
  <c r="FS52" i="4"/>
  <c r="FR52" i="4"/>
  <c r="FQ52" i="4"/>
  <c r="FP52" i="4"/>
  <c r="FO52" i="4"/>
  <c r="FN52" i="4"/>
  <c r="FM52" i="4"/>
  <c r="FL52" i="4"/>
  <c r="FK52" i="4"/>
  <c r="FJ52" i="4"/>
  <c r="FI52" i="4"/>
  <c r="FH52" i="4"/>
  <c r="FG52" i="4"/>
  <c r="FF52" i="4"/>
  <c r="FE52" i="4"/>
  <c r="FD52" i="4"/>
  <c r="FC52" i="4"/>
  <c r="FB52" i="4"/>
  <c r="FA52" i="4"/>
  <c r="EZ52" i="4"/>
  <c r="EY52" i="4"/>
  <c r="EX52" i="4"/>
  <c r="EW52" i="4"/>
  <c r="EV52" i="4"/>
  <c r="EU52" i="4"/>
  <c r="ET52" i="4"/>
  <c r="ES52" i="4"/>
  <c r="ER52" i="4"/>
  <c r="EQ52" i="4"/>
  <c r="EP52" i="4"/>
  <c r="EO52" i="4"/>
  <c r="EN52" i="4"/>
  <c r="EM52" i="4"/>
  <c r="EL52" i="4"/>
  <c r="EK52" i="4"/>
  <c r="EJ52" i="4"/>
  <c r="EI52" i="4"/>
  <c r="EH52" i="4"/>
  <c r="EG52" i="4"/>
  <c r="EF52" i="4"/>
  <c r="EE52" i="4"/>
  <c r="ED52" i="4"/>
  <c r="EC52" i="4"/>
  <c r="EB52" i="4"/>
  <c r="EA52" i="4"/>
  <c r="DZ52" i="4"/>
  <c r="DY52" i="4"/>
  <c r="DX52" i="4"/>
  <c r="DW52" i="4"/>
  <c r="DV52" i="4"/>
  <c r="DU52" i="4"/>
  <c r="DT52" i="4"/>
  <c r="DS52" i="4"/>
  <c r="DR52" i="4"/>
  <c r="DQ52" i="4"/>
  <c r="DP52" i="4"/>
  <c r="DO52" i="4"/>
  <c r="DN52" i="4"/>
  <c r="DM52" i="4"/>
  <c r="DL52" i="4"/>
  <c r="DK52" i="4"/>
  <c r="DJ52" i="4"/>
  <c r="DI52" i="4"/>
  <c r="DH52" i="4"/>
  <c r="DG52" i="4"/>
  <c r="DF52" i="4"/>
  <c r="DE52" i="4"/>
  <c r="DD52" i="4"/>
  <c r="DC52" i="4"/>
  <c r="DB52" i="4"/>
  <c r="DA52" i="4"/>
  <c r="CZ52" i="4"/>
  <c r="CY52" i="4"/>
  <c r="CX52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IL51" i="4"/>
  <c r="IK51" i="4"/>
  <c r="IJ51" i="4"/>
  <c r="II51" i="4"/>
  <c r="IH51" i="4"/>
  <c r="IG51" i="4"/>
  <c r="IF51" i="4"/>
  <c r="IE51" i="4"/>
  <c r="ID51" i="4"/>
  <c r="IC51" i="4"/>
  <c r="IB51" i="4"/>
  <c r="IA51" i="4"/>
  <c r="HZ51" i="4"/>
  <c r="HY51" i="4"/>
  <c r="HX51" i="4"/>
  <c r="HW51" i="4"/>
  <c r="HV51" i="4"/>
  <c r="HU51" i="4"/>
  <c r="HT51" i="4"/>
  <c r="HS51" i="4"/>
  <c r="HR51" i="4"/>
  <c r="HQ51" i="4"/>
  <c r="HP51" i="4"/>
  <c r="HO51" i="4"/>
  <c r="HN51" i="4"/>
  <c r="HM51" i="4"/>
  <c r="HL51" i="4"/>
  <c r="HK51" i="4"/>
  <c r="HJ51" i="4"/>
  <c r="HI51" i="4"/>
  <c r="HH51" i="4"/>
  <c r="HG51" i="4"/>
  <c r="HF51" i="4"/>
  <c r="HE51" i="4"/>
  <c r="HD51" i="4"/>
  <c r="HC51" i="4"/>
  <c r="HB51" i="4"/>
  <c r="HA51" i="4"/>
  <c r="GZ51" i="4"/>
  <c r="GY51" i="4"/>
  <c r="GX51" i="4"/>
  <c r="GW51" i="4"/>
  <c r="GV51" i="4"/>
  <c r="GU51" i="4"/>
  <c r="GT51" i="4"/>
  <c r="GS51" i="4"/>
  <c r="GR51" i="4"/>
  <c r="GQ51" i="4"/>
  <c r="GP51" i="4"/>
  <c r="GO51" i="4"/>
  <c r="GN51" i="4"/>
  <c r="GM51" i="4"/>
  <c r="GL51" i="4"/>
  <c r="GK51" i="4"/>
  <c r="GJ51" i="4"/>
  <c r="GI51" i="4"/>
  <c r="GH51" i="4"/>
  <c r="GG51" i="4"/>
  <c r="GF51" i="4"/>
  <c r="GE51" i="4"/>
  <c r="GD51" i="4"/>
  <c r="GC51" i="4"/>
  <c r="GB51" i="4"/>
  <c r="GA51" i="4"/>
  <c r="FZ51" i="4"/>
  <c r="FY51" i="4"/>
  <c r="FX51" i="4"/>
  <c r="FW51" i="4"/>
  <c r="FV51" i="4"/>
  <c r="FU51" i="4"/>
  <c r="FT51" i="4"/>
  <c r="FS51" i="4"/>
  <c r="FR51" i="4"/>
  <c r="FQ51" i="4"/>
  <c r="FP51" i="4"/>
  <c r="FO51" i="4"/>
  <c r="FN51" i="4"/>
  <c r="FM51" i="4"/>
  <c r="FL51" i="4"/>
  <c r="FK51" i="4"/>
  <c r="FJ51" i="4"/>
  <c r="FI51" i="4"/>
  <c r="FH51" i="4"/>
  <c r="FG51" i="4"/>
  <c r="FF51" i="4"/>
  <c r="FE51" i="4"/>
  <c r="FD51" i="4"/>
  <c r="FC51" i="4"/>
  <c r="FB51" i="4"/>
  <c r="FA51" i="4"/>
  <c r="EZ51" i="4"/>
  <c r="EY51" i="4"/>
  <c r="EX51" i="4"/>
  <c r="EW51" i="4"/>
  <c r="EV51" i="4"/>
  <c r="EU51" i="4"/>
  <c r="ET51" i="4"/>
  <c r="ES51" i="4"/>
  <c r="ER51" i="4"/>
  <c r="EQ51" i="4"/>
  <c r="EP51" i="4"/>
  <c r="EO51" i="4"/>
  <c r="EN51" i="4"/>
  <c r="EM51" i="4"/>
  <c r="EL51" i="4"/>
  <c r="EK51" i="4"/>
  <c r="EJ51" i="4"/>
  <c r="EI51" i="4"/>
  <c r="EH51" i="4"/>
  <c r="EG51" i="4"/>
  <c r="EF51" i="4"/>
  <c r="EE51" i="4"/>
  <c r="ED51" i="4"/>
  <c r="EC51" i="4"/>
  <c r="EB51" i="4"/>
  <c r="EA51" i="4"/>
  <c r="DZ51" i="4"/>
  <c r="DY51" i="4"/>
  <c r="DX51" i="4"/>
  <c r="DW51" i="4"/>
  <c r="DV51" i="4"/>
  <c r="DU51" i="4"/>
  <c r="DT51" i="4"/>
  <c r="DS51" i="4"/>
  <c r="DR51" i="4"/>
  <c r="DQ51" i="4"/>
  <c r="DP51" i="4"/>
  <c r="DO51" i="4"/>
  <c r="DN51" i="4"/>
  <c r="DM51" i="4"/>
  <c r="DL51" i="4"/>
  <c r="DK51" i="4"/>
  <c r="DJ51" i="4"/>
  <c r="DI51" i="4"/>
  <c r="DH51" i="4"/>
  <c r="DG51" i="4"/>
  <c r="DF51" i="4"/>
  <c r="DE51" i="4"/>
  <c r="DD51" i="4"/>
  <c r="DC51" i="4"/>
  <c r="DB51" i="4"/>
  <c r="DA51" i="4"/>
  <c r="CZ51" i="4"/>
  <c r="CY51" i="4"/>
  <c r="CX51" i="4"/>
  <c r="CW51" i="4"/>
  <c r="CV51" i="4"/>
  <c r="CU51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IL50" i="4"/>
  <c r="IK50" i="4"/>
  <c r="IJ50" i="4"/>
  <c r="II50" i="4"/>
  <c r="IH50" i="4"/>
  <c r="IG50" i="4"/>
  <c r="IF50" i="4"/>
  <c r="IE50" i="4"/>
  <c r="ID50" i="4"/>
  <c r="IC50" i="4"/>
  <c r="IB50" i="4"/>
  <c r="IA50" i="4"/>
  <c r="HZ50" i="4"/>
  <c r="HY50" i="4"/>
  <c r="HX50" i="4"/>
  <c r="HW50" i="4"/>
  <c r="HV50" i="4"/>
  <c r="HU50" i="4"/>
  <c r="HT50" i="4"/>
  <c r="HS50" i="4"/>
  <c r="HR50" i="4"/>
  <c r="HQ50" i="4"/>
  <c r="HP50" i="4"/>
  <c r="HO50" i="4"/>
  <c r="HN50" i="4"/>
  <c r="HM50" i="4"/>
  <c r="HL50" i="4"/>
  <c r="HK50" i="4"/>
  <c r="HJ50" i="4"/>
  <c r="HI50" i="4"/>
  <c r="HH50" i="4"/>
  <c r="HG50" i="4"/>
  <c r="HF50" i="4"/>
  <c r="HE50" i="4"/>
  <c r="HD50" i="4"/>
  <c r="HC50" i="4"/>
  <c r="HB50" i="4"/>
  <c r="HA50" i="4"/>
  <c r="GZ50" i="4"/>
  <c r="GY50" i="4"/>
  <c r="GX50" i="4"/>
  <c r="GW50" i="4"/>
  <c r="GV50" i="4"/>
  <c r="GU50" i="4"/>
  <c r="GT50" i="4"/>
  <c r="GS50" i="4"/>
  <c r="GR50" i="4"/>
  <c r="GQ50" i="4"/>
  <c r="GP50" i="4"/>
  <c r="GO50" i="4"/>
  <c r="GN50" i="4"/>
  <c r="GM50" i="4"/>
  <c r="GL50" i="4"/>
  <c r="GK50" i="4"/>
  <c r="GJ50" i="4"/>
  <c r="GI50" i="4"/>
  <c r="GH50" i="4"/>
  <c r="GG50" i="4"/>
  <c r="GF50" i="4"/>
  <c r="GE50" i="4"/>
  <c r="GD50" i="4"/>
  <c r="GC50" i="4"/>
  <c r="GB50" i="4"/>
  <c r="GA50" i="4"/>
  <c r="FZ50" i="4"/>
  <c r="FY50" i="4"/>
  <c r="FX50" i="4"/>
  <c r="FW50" i="4"/>
  <c r="FV50" i="4"/>
  <c r="FU50" i="4"/>
  <c r="FT50" i="4"/>
  <c r="FS50" i="4"/>
  <c r="FR50" i="4"/>
  <c r="FQ50" i="4"/>
  <c r="FP50" i="4"/>
  <c r="FO50" i="4"/>
  <c r="FN50" i="4"/>
  <c r="FM50" i="4"/>
  <c r="FL50" i="4"/>
  <c r="FK50" i="4"/>
  <c r="FJ50" i="4"/>
  <c r="FI50" i="4"/>
  <c r="FH50" i="4"/>
  <c r="FG50" i="4"/>
  <c r="FF50" i="4"/>
  <c r="FE50" i="4"/>
  <c r="FD50" i="4"/>
  <c r="FC50" i="4"/>
  <c r="FB50" i="4"/>
  <c r="FA50" i="4"/>
  <c r="EZ50" i="4"/>
  <c r="EY50" i="4"/>
  <c r="EX50" i="4"/>
  <c r="EW50" i="4"/>
  <c r="EV50" i="4"/>
  <c r="EU50" i="4"/>
  <c r="ET50" i="4"/>
  <c r="ES50" i="4"/>
  <c r="ER50" i="4"/>
  <c r="EQ50" i="4"/>
  <c r="EP50" i="4"/>
  <c r="EO50" i="4"/>
  <c r="EN50" i="4"/>
  <c r="EM50" i="4"/>
  <c r="EL50" i="4"/>
  <c r="EK50" i="4"/>
  <c r="EJ50" i="4"/>
  <c r="EI50" i="4"/>
  <c r="EH50" i="4"/>
  <c r="EG50" i="4"/>
  <c r="EF50" i="4"/>
  <c r="EE50" i="4"/>
  <c r="ED50" i="4"/>
  <c r="EC50" i="4"/>
  <c r="EB50" i="4"/>
  <c r="EA50" i="4"/>
  <c r="DZ50" i="4"/>
  <c r="DY50" i="4"/>
  <c r="DX50" i="4"/>
  <c r="DW50" i="4"/>
  <c r="DV50" i="4"/>
  <c r="DU50" i="4"/>
  <c r="DT50" i="4"/>
  <c r="DS50" i="4"/>
  <c r="DR50" i="4"/>
  <c r="DQ50" i="4"/>
  <c r="DP50" i="4"/>
  <c r="DO50" i="4"/>
  <c r="DN50" i="4"/>
  <c r="DM50" i="4"/>
  <c r="DL50" i="4"/>
  <c r="DK50" i="4"/>
  <c r="DJ50" i="4"/>
  <c r="DI50" i="4"/>
  <c r="DH50" i="4"/>
  <c r="DG50" i="4"/>
  <c r="DF50" i="4"/>
  <c r="DE50" i="4"/>
  <c r="DD50" i="4"/>
  <c r="DC50" i="4"/>
  <c r="DB50" i="4"/>
  <c r="DA50" i="4"/>
  <c r="CZ50" i="4"/>
  <c r="CY50" i="4"/>
  <c r="CX50" i="4"/>
  <c r="CW50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IL49" i="4"/>
  <c r="IK49" i="4"/>
  <c r="IJ49" i="4"/>
  <c r="II49" i="4"/>
  <c r="IH49" i="4"/>
  <c r="IG49" i="4"/>
  <c r="IF49" i="4"/>
  <c r="IE49" i="4"/>
  <c r="ID49" i="4"/>
  <c r="IC49" i="4"/>
  <c r="IB49" i="4"/>
  <c r="IA49" i="4"/>
  <c r="HZ49" i="4"/>
  <c r="HY49" i="4"/>
  <c r="HX49" i="4"/>
  <c r="HW49" i="4"/>
  <c r="HV49" i="4"/>
  <c r="HU49" i="4"/>
  <c r="HT49" i="4"/>
  <c r="HS49" i="4"/>
  <c r="HR49" i="4"/>
  <c r="HQ49" i="4"/>
  <c r="HP49" i="4"/>
  <c r="HO49" i="4"/>
  <c r="HN49" i="4"/>
  <c r="HM49" i="4"/>
  <c r="HL49" i="4"/>
  <c r="HK49" i="4"/>
  <c r="HJ49" i="4"/>
  <c r="HI49" i="4"/>
  <c r="HH49" i="4"/>
  <c r="HG49" i="4"/>
  <c r="HF49" i="4"/>
  <c r="HE49" i="4"/>
  <c r="HD49" i="4"/>
  <c r="HC49" i="4"/>
  <c r="HB49" i="4"/>
  <c r="HA49" i="4"/>
  <c r="GZ49" i="4"/>
  <c r="GY49" i="4"/>
  <c r="GX49" i="4"/>
  <c r="GW49" i="4"/>
  <c r="GV49" i="4"/>
  <c r="GU49" i="4"/>
  <c r="GT49" i="4"/>
  <c r="GS49" i="4"/>
  <c r="GR49" i="4"/>
  <c r="GQ49" i="4"/>
  <c r="GP49" i="4"/>
  <c r="GO49" i="4"/>
  <c r="GN49" i="4"/>
  <c r="GM49" i="4"/>
  <c r="GL49" i="4"/>
  <c r="GK49" i="4"/>
  <c r="GJ49" i="4"/>
  <c r="GI49" i="4"/>
  <c r="GH49" i="4"/>
  <c r="GG49" i="4"/>
  <c r="GF49" i="4"/>
  <c r="GE49" i="4"/>
  <c r="GD49" i="4"/>
  <c r="GC49" i="4"/>
  <c r="GB49" i="4"/>
  <c r="GA49" i="4"/>
  <c r="FZ49" i="4"/>
  <c r="FY49" i="4"/>
  <c r="FX49" i="4"/>
  <c r="FW49" i="4"/>
  <c r="FV49" i="4"/>
  <c r="FU49" i="4"/>
  <c r="FT49" i="4"/>
  <c r="FS49" i="4"/>
  <c r="FR49" i="4"/>
  <c r="FQ49" i="4"/>
  <c r="FP49" i="4"/>
  <c r="FO49" i="4"/>
  <c r="FN49" i="4"/>
  <c r="FM49" i="4"/>
  <c r="FL49" i="4"/>
  <c r="FK49" i="4"/>
  <c r="FJ49" i="4"/>
  <c r="FI49" i="4"/>
  <c r="FH49" i="4"/>
  <c r="FG49" i="4"/>
  <c r="FF49" i="4"/>
  <c r="FE49" i="4"/>
  <c r="FD49" i="4"/>
  <c r="FC49" i="4"/>
  <c r="FB49" i="4"/>
  <c r="FA49" i="4"/>
  <c r="EZ49" i="4"/>
  <c r="EY49" i="4"/>
  <c r="EX49" i="4"/>
  <c r="EW49" i="4"/>
  <c r="EV49" i="4"/>
  <c r="EU49" i="4"/>
  <c r="ET49" i="4"/>
  <c r="ES49" i="4"/>
  <c r="ER49" i="4"/>
  <c r="EQ49" i="4"/>
  <c r="EP49" i="4"/>
  <c r="EO49" i="4"/>
  <c r="EN49" i="4"/>
  <c r="EM49" i="4"/>
  <c r="EL49" i="4"/>
  <c r="EK49" i="4"/>
  <c r="EJ49" i="4"/>
  <c r="EI49" i="4"/>
  <c r="EH49" i="4"/>
  <c r="EG49" i="4"/>
  <c r="EF49" i="4"/>
  <c r="EE49" i="4"/>
  <c r="ED49" i="4"/>
  <c r="EC49" i="4"/>
  <c r="EB49" i="4"/>
  <c r="EA49" i="4"/>
  <c r="DZ49" i="4"/>
  <c r="DY49" i="4"/>
  <c r="DX49" i="4"/>
  <c r="DW49" i="4"/>
  <c r="DV49" i="4"/>
  <c r="DU49" i="4"/>
  <c r="DT49" i="4"/>
  <c r="DS49" i="4"/>
  <c r="DR49" i="4"/>
  <c r="DQ49" i="4"/>
  <c r="DP49" i="4"/>
  <c r="DO49" i="4"/>
  <c r="DN49" i="4"/>
  <c r="DM49" i="4"/>
  <c r="DL49" i="4"/>
  <c r="DK49" i="4"/>
  <c r="DJ49" i="4"/>
  <c r="DI49" i="4"/>
  <c r="DH49" i="4"/>
  <c r="DG49" i="4"/>
  <c r="DF49" i="4"/>
  <c r="DE49" i="4"/>
  <c r="DD49" i="4"/>
  <c r="DC49" i="4"/>
  <c r="DB49" i="4"/>
  <c r="DA49" i="4"/>
  <c r="CZ49" i="4"/>
  <c r="CY49" i="4"/>
  <c r="CX49" i="4"/>
  <c r="CW49" i="4"/>
  <c r="CV49" i="4"/>
  <c r="CU49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IL48" i="4"/>
  <c r="IK48" i="4"/>
  <c r="IJ48" i="4"/>
  <c r="II48" i="4"/>
  <c r="IH48" i="4"/>
  <c r="IG48" i="4"/>
  <c r="IF48" i="4"/>
  <c r="IE48" i="4"/>
  <c r="ID48" i="4"/>
  <c r="IC48" i="4"/>
  <c r="IB48" i="4"/>
  <c r="IA48" i="4"/>
  <c r="HZ48" i="4"/>
  <c r="HY48" i="4"/>
  <c r="HX48" i="4"/>
  <c r="HW48" i="4"/>
  <c r="HV48" i="4"/>
  <c r="HU48" i="4"/>
  <c r="HT48" i="4"/>
  <c r="HS48" i="4"/>
  <c r="HR48" i="4"/>
  <c r="HQ48" i="4"/>
  <c r="HP48" i="4"/>
  <c r="HO48" i="4"/>
  <c r="HN48" i="4"/>
  <c r="HM48" i="4"/>
  <c r="HL48" i="4"/>
  <c r="HK48" i="4"/>
  <c r="HJ48" i="4"/>
  <c r="HI48" i="4"/>
  <c r="HH48" i="4"/>
  <c r="HG48" i="4"/>
  <c r="HF48" i="4"/>
  <c r="HE48" i="4"/>
  <c r="HD48" i="4"/>
  <c r="HC48" i="4"/>
  <c r="HB48" i="4"/>
  <c r="HA48" i="4"/>
  <c r="GZ48" i="4"/>
  <c r="GY48" i="4"/>
  <c r="GX48" i="4"/>
  <c r="GW48" i="4"/>
  <c r="GV48" i="4"/>
  <c r="GU48" i="4"/>
  <c r="GT48" i="4"/>
  <c r="GS48" i="4"/>
  <c r="GR48" i="4"/>
  <c r="GQ48" i="4"/>
  <c r="GP48" i="4"/>
  <c r="GO48" i="4"/>
  <c r="GN48" i="4"/>
  <c r="GM48" i="4"/>
  <c r="GL48" i="4"/>
  <c r="GK48" i="4"/>
  <c r="GJ48" i="4"/>
  <c r="GI48" i="4"/>
  <c r="GH48" i="4"/>
  <c r="GG48" i="4"/>
  <c r="GF48" i="4"/>
  <c r="GE48" i="4"/>
  <c r="GD48" i="4"/>
  <c r="GC48" i="4"/>
  <c r="GB48" i="4"/>
  <c r="GA48" i="4"/>
  <c r="FZ48" i="4"/>
  <c r="FY48" i="4"/>
  <c r="FX48" i="4"/>
  <c r="FW48" i="4"/>
  <c r="FV48" i="4"/>
  <c r="FU48" i="4"/>
  <c r="FT48" i="4"/>
  <c r="FS48" i="4"/>
  <c r="FR48" i="4"/>
  <c r="FQ48" i="4"/>
  <c r="FP48" i="4"/>
  <c r="FO48" i="4"/>
  <c r="FN48" i="4"/>
  <c r="FM48" i="4"/>
  <c r="FL48" i="4"/>
  <c r="FK48" i="4"/>
  <c r="FJ48" i="4"/>
  <c r="FI48" i="4"/>
  <c r="FH48" i="4"/>
  <c r="FG48" i="4"/>
  <c r="FF48" i="4"/>
  <c r="FE48" i="4"/>
  <c r="FD48" i="4"/>
  <c r="FC48" i="4"/>
  <c r="FB48" i="4"/>
  <c r="FA48" i="4"/>
  <c r="EZ48" i="4"/>
  <c r="EY48" i="4"/>
  <c r="EX48" i="4"/>
  <c r="EW48" i="4"/>
  <c r="EV48" i="4"/>
  <c r="EU48" i="4"/>
  <c r="ET48" i="4"/>
  <c r="ES48" i="4"/>
  <c r="ER48" i="4"/>
  <c r="EQ48" i="4"/>
  <c r="EP48" i="4"/>
  <c r="EO48" i="4"/>
  <c r="EN48" i="4"/>
  <c r="EM48" i="4"/>
  <c r="EL48" i="4"/>
  <c r="EK48" i="4"/>
  <c r="EJ48" i="4"/>
  <c r="EI48" i="4"/>
  <c r="EH48" i="4"/>
  <c r="EG48" i="4"/>
  <c r="EF48" i="4"/>
  <c r="EE48" i="4"/>
  <c r="ED48" i="4"/>
  <c r="EC48" i="4"/>
  <c r="EB48" i="4"/>
  <c r="EA48" i="4"/>
  <c r="DZ48" i="4"/>
  <c r="DY48" i="4"/>
  <c r="DX48" i="4"/>
  <c r="DW48" i="4"/>
  <c r="DV48" i="4"/>
  <c r="DU48" i="4"/>
  <c r="DT48" i="4"/>
  <c r="DS48" i="4"/>
  <c r="DR48" i="4"/>
  <c r="DQ48" i="4"/>
  <c r="DP48" i="4"/>
  <c r="DO48" i="4"/>
  <c r="DN48" i="4"/>
  <c r="DM48" i="4"/>
  <c r="DL48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IL47" i="4"/>
  <c r="IK47" i="4"/>
  <c r="IJ47" i="4"/>
  <c r="II47" i="4"/>
  <c r="IH47" i="4"/>
  <c r="IG47" i="4"/>
  <c r="IF47" i="4"/>
  <c r="IE47" i="4"/>
  <c r="ID47" i="4"/>
  <c r="IC47" i="4"/>
  <c r="IB47" i="4"/>
  <c r="IA47" i="4"/>
  <c r="HZ47" i="4"/>
  <c r="HY47" i="4"/>
  <c r="HX47" i="4"/>
  <c r="HW47" i="4"/>
  <c r="HV47" i="4"/>
  <c r="HU47" i="4"/>
  <c r="HT47" i="4"/>
  <c r="HS47" i="4"/>
  <c r="HR47" i="4"/>
  <c r="HQ47" i="4"/>
  <c r="HP47" i="4"/>
  <c r="HO47" i="4"/>
  <c r="HN47" i="4"/>
  <c r="HM47" i="4"/>
  <c r="HL47" i="4"/>
  <c r="HK47" i="4"/>
  <c r="HJ47" i="4"/>
  <c r="HI47" i="4"/>
  <c r="HH47" i="4"/>
  <c r="HG47" i="4"/>
  <c r="HF47" i="4"/>
  <c r="HE47" i="4"/>
  <c r="HD47" i="4"/>
  <c r="HC47" i="4"/>
  <c r="HB47" i="4"/>
  <c r="HA47" i="4"/>
  <c r="GZ47" i="4"/>
  <c r="GY47" i="4"/>
  <c r="GX47" i="4"/>
  <c r="GW47" i="4"/>
  <c r="GV47" i="4"/>
  <c r="GU47" i="4"/>
  <c r="GT47" i="4"/>
  <c r="GS47" i="4"/>
  <c r="GR47" i="4"/>
  <c r="GQ47" i="4"/>
  <c r="GP47" i="4"/>
  <c r="GO47" i="4"/>
  <c r="GN47" i="4"/>
  <c r="GM47" i="4"/>
  <c r="GL47" i="4"/>
  <c r="GK47" i="4"/>
  <c r="GJ47" i="4"/>
  <c r="GI47" i="4"/>
  <c r="GH47" i="4"/>
  <c r="GG47" i="4"/>
  <c r="GF47" i="4"/>
  <c r="GE47" i="4"/>
  <c r="GD47" i="4"/>
  <c r="GC47" i="4"/>
  <c r="GB47" i="4"/>
  <c r="GA47" i="4"/>
  <c r="FZ47" i="4"/>
  <c r="FY47" i="4"/>
  <c r="FX47" i="4"/>
  <c r="FW47" i="4"/>
  <c r="FV47" i="4"/>
  <c r="FU47" i="4"/>
  <c r="FT47" i="4"/>
  <c r="FS47" i="4"/>
  <c r="FR47" i="4"/>
  <c r="FQ47" i="4"/>
  <c r="FP47" i="4"/>
  <c r="FO47" i="4"/>
  <c r="FN47" i="4"/>
  <c r="FM47" i="4"/>
  <c r="FL47" i="4"/>
  <c r="FK47" i="4"/>
  <c r="FJ47" i="4"/>
  <c r="FI47" i="4"/>
  <c r="FH47" i="4"/>
  <c r="FG47" i="4"/>
  <c r="FF47" i="4"/>
  <c r="FE47" i="4"/>
  <c r="FD47" i="4"/>
  <c r="FC47" i="4"/>
  <c r="FB47" i="4"/>
  <c r="FA47" i="4"/>
  <c r="EZ47" i="4"/>
  <c r="EY47" i="4"/>
  <c r="EX47" i="4"/>
  <c r="EW47" i="4"/>
  <c r="EV47" i="4"/>
  <c r="EU47" i="4"/>
  <c r="ET47" i="4"/>
  <c r="ES47" i="4"/>
  <c r="ER47" i="4"/>
  <c r="EQ47" i="4"/>
  <c r="EP47" i="4"/>
  <c r="EO47" i="4"/>
  <c r="EN47" i="4"/>
  <c r="EM47" i="4"/>
  <c r="EL47" i="4"/>
  <c r="EK47" i="4"/>
  <c r="EJ47" i="4"/>
  <c r="EI47" i="4"/>
  <c r="EH47" i="4"/>
  <c r="EG47" i="4"/>
  <c r="EF47" i="4"/>
  <c r="EE47" i="4"/>
  <c r="ED47" i="4"/>
  <c r="EC47" i="4"/>
  <c r="EB47" i="4"/>
  <c r="EA47" i="4"/>
  <c r="DZ47" i="4"/>
  <c r="DY47" i="4"/>
  <c r="DX47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K47" i="4"/>
  <c r="DJ47" i="4"/>
  <c r="DI47" i="4"/>
  <c r="DH47" i="4"/>
  <c r="DG47" i="4"/>
  <c r="DF47" i="4"/>
  <c r="DE47" i="4"/>
  <c r="DD47" i="4"/>
  <c r="DC47" i="4"/>
  <c r="DB47" i="4"/>
  <c r="DA47" i="4"/>
  <c r="CZ47" i="4"/>
  <c r="CY47" i="4"/>
  <c r="CX47" i="4"/>
  <c r="CW47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IL46" i="4"/>
  <c r="IK46" i="4"/>
  <c r="IJ46" i="4"/>
  <c r="II46" i="4"/>
  <c r="IH46" i="4"/>
  <c r="IG46" i="4"/>
  <c r="IF46" i="4"/>
  <c r="IE46" i="4"/>
  <c r="ID46" i="4"/>
  <c r="IC46" i="4"/>
  <c r="IB46" i="4"/>
  <c r="IA46" i="4"/>
  <c r="HZ46" i="4"/>
  <c r="HY46" i="4"/>
  <c r="HX46" i="4"/>
  <c r="HW46" i="4"/>
  <c r="HV46" i="4"/>
  <c r="HU46" i="4"/>
  <c r="HT46" i="4"/>
  <c r="HS46" i="4"/>
  <c r="HR46" i="4"/>
  <c r="HQ46" i="4"/>
  <c r="HP46" i="4"/>
  <c r="HO46" i="4"/>
  <c r="HN46" i="4"/>
  <c r="HM46" i="4"/>
  <c r="HL46" i="4"/>
  <c r="HK46" i="4"/>
  <c r="HJ46" i="4"/>
  <c r="HI46" i="4"/>
  <c r="HH46" i="4"/>
  <c r="HG46" i="4"/>
  <c r="HF46" i="4"/>
  <c r="HE46" i="4"/>
  <c r="HD46" i="4"/>
  <c r="HC46" i="4"/>
  <c r="HB46" i="4"/>
  <c r="HA46" i="4"/>
  <c r="GZ46" i="4"/>
  <c r="GY46" i="4"/>
  <c r="GX46" i="4"/>
  <c r="GW46" i="4"/>
  <c r="GV46" i="4"/>
  <c r="GU46" i="4"/>
  <c r="GT46" i="4"/>
  <c r="GS46" i="4"/>
  <c r="GR46" i="4"/>
  <c r="GQ46" i="4"/>
  <c r="GP46" i="4"/>
  <c r="GO46" i="4"/>
  <c r="GN46" i="4"/>
  <c r="GM46" i="4"/>
  <c r="GL46" i="4"/>
  <c r="GK46" i="4"/>
  <c r="GJ46" i="4"/>
  <c r="GI46" i="4"/>
  <c r="GH46" i="4"/>
  <c r="GG46" i="4"/>
  <c r="GF46" i="4"/>
  <c r="GE46" i="4"/>
  <c r="GD46" i="4"/>
  <c r="GC46" i="4"/>
  <c r="GB46" i="4"/>
  <c r="GA46" i="4"/>
  <c r="FZ46" i="4"/>
  <c r="FY46" i="4"/>
  <c r="FX46" i="4"/>
  <c r="FW46" i="4"/>
  <c r="FV46" i="4"/>
  <c r="FU46" i="4"/>
  <c r="FT46" i="4"/>
  <c r="FS46" i="4"/>
  <c r="FR46" i="4"/>
  <c r="FQ46" i="4"/>
  <c r="FP46" i="4"/>
  <c r="FO46" i="4"/>
  <c r="FN46" i="4"/>
  <c r="FM46" i="4"/>
  <c r="FL46" i="4"/>
  <c r="FK46" i="4"/>
  <c r="FJ46" i="4"/>
  <c r="FI46" i="4"/>
  <c r="FH46" i="4"/>
  <c r="FG46" i="4"/>
  <c r="FF46" i="4"/>
  <c r="FE46" i="4"/>
  <c r="FD46" i="4"/>
  <c r="FC46" i="4"/>
  <c r="FB46" i="4"/>
  <c r="FA46" i="4"/>
  <c r="EZ46" i="4"/>
  <c r="EY46" i="4"/>
  <c r="EX46" i="4"/>
  <c r="EW46" i="4"/>
  <c r="EV46" i="4"/>
  <c r="EU46" i="4"/>
  <c r="ET46" i="4"/>
  <c r="ES46" i="4"/>
  <c r="ER46" i="4"/>
  <c r="EQ46" i="4"/>
  <c r="EP46" i="4"/>
  <c r="EO46" i="4"/>
  <c r="EN46" i="4"/>
  <c r="EM46" i="4"/>
  <c r="EL46" i="4"/>
  <c r="EK46" i="4"/>
  <c r="EJ46" i="4"/>
  <c r="EI46" i="4"/>
  <c r="EH46" i="4"/>
  <c r="EG46" i="4"/>
  <c r="EF46" i="4"/>
  <c r="EE46" i="4"/>
  <c r="ED46" i="4"/>
  <c r="EC46" i="4"/>
  <c r="EB46" i="4"/>
  <c r="EA46" i="4"/>
  <c r="DZ46" i="4"/>
  <c r="DY46" i="4"/>
  <c r="DX46" i="4"/>
  <c r="DW46" i="4"/>
  <c r="DV46" i="4"/>
  <c r="DU46" i="4"/>
  <c r="DT46" i="4"/>
  <c r="DS46" i="4"/>
  <c r="DR46" i="4"/>
  <c r="DQ46" i="4"/>
  <c r="DP46" i="4"/>
  <c r="DO46" i="4"/>
  <c r="DN46" i="4"/>
  <c r="DM46" i="4"/>
  <c r="DL46" i="4"/>
  <c r="DK46" i="4"/>
  <c r="DJ46" i="4"/>
  <c r="DI46" i="4"/>
  <c r="DH46" i="4"/>
  <c r="DG46" i="4"/>
  <c r="DF46" i="4"/>
  <c r="DE46" i="4"/>
  <c r="DD46" i="4"/>
  <c r="DC46" i="4"/>
  <c r="DB46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IL45" i="4"/>
  <c r="IK45" i="4"/>
  <c r="IJ45" i="4"/>
  <c r="II45" i="4"/>
  <c r="IH45" i="4"/>
  <c r="IG45" i="4"/>
  <c r="IF45" i="4"/>
  <c r="IE45" i="4"/>
  <c r="ID45" i="4"/>
  <c r="IC45" i="4"/>
  <c r="IB45" i="4"/>
  <c r="IA45" i="4"/>
  <c r="HZ45" i="4"/>
  <c r="HY45" i="4"/>
  <c r="HX45" i="4"/>
  <c r="HW45" i="4"/>
  <c r="HV45" i="4"/>
  <c r="HU45" i="4"/>
  <c r="HT45" i="4"/>
  <c r="HS45" i="4"/>
  <c r="HR45" i="4"/>
  <c r="HQ45" i="4"/>
  <c r="HP45" i="4"/>
  <c r="HO45" i="4"/>
  <c r="HN45" i="4"/>
  <c r="HM45" i="4"/>
  <c r="HL45" i="4"/>
  <c r="HK45" i="4"/>
  <c r="HJ45" i="4"/>
  <c r="HI45" i="4"/>
  <c r="HH45" i="4"/>
  <c r="HG45" i="4"/>
  <c r="HF45" i="4"/>
  <c r="HE45" i="4"/>
  <c r="HD45" i="4"/>
  <c r="HC45" i="4"/>
  <c r="HB45" i="4"/>
  <c r="HA45" i="4"/>
  <c r="GZ45" i="4"/>
  <c r="GY45" i="4"/>
  <c r="GX45" i="4"/>
  <c r="GW45" i="4"/>
  <c r="GV45" i="4"/>
  <c r="GU45" i="4"/>
  <c r="GT45" i="4"/>
  <c r="GS45" i="4"/>
  <c r="GR45" i="4"/>
  <c r="GQ45" i="4"/>
  <c r="GP45" i="4"/>
  <c r="GO45" i="4"/>
  <c r="GN45" i="4"/>
  <c r="GM45" i="4"/>
  <c r="GL45" i="4"/>
  <c r="GK45" i="4"/>
  <c r="GJ45" i="4"/>
  <c r="GI45" i="4"/>
  <c r="GH45" i="4"/>
  <c r="GG45" i="4"/>
  <c r="GF45" i="4"/>
  <c r="GE45" i="4"/>
  <c r="GD45" i="4"/>
  <c r="GC45" i="4"/>
  <c r="GB45" i="4"/>
  <c r="GA45" i="4"/>
  <c r="FZ45" i="4"/>
  <c r="FY45" i="4"/>
  <c r="FX45" i="4"/>
  <c r="FW45" i="4"/>
  <c r="FV45" i="4"/>
  <c r="FU45" i="4"/>
  <c r="FT45" i="4"/>
  <c r="FS45" i="4"/>
  <c r="FR45" i="4"/>
  <c r="FQ45" i="4"/>
  <c r="FP45" i="4"/>
  <c r="FO45" i="4"/>
  <c r="FN45" i="4"/>
  <c r="FM45" i="4"/>
  <c r="FL45" i="4"/>
  <c r="FK45" i="4"/>
  <c r="FJ45" i="4"/>
  <c r="FI45" i="4"/>
  <c r="FH45" i="4"/>
  <c r="FG45" i="4"/>
  <c r="FF45" i="4"/>
  <c r="FE45" i="4"/>
  <c r="FD45" i="4"/>
  <c r="FC45" i="4"/>
  <c r="FB45" i="4"/>
  <c r="FA45" i="4"/>
  <c r="EZ45" i="4"/>
  <c r="EY45" i="4"/>
  <c r="EX45" i="4"/>
  <c r="EW45" i="4"/>
  <c r="EV45" i="4"/>
  <c r="EU45" i="4"/>
  <c r="ET45" i="4"/>
  <c r="ES45" i="4"/>
  <c r="ER45" i="4"/>
  <c r="EQ45" i="4"/>
  <c r="EP45" i="4"/>
  <c r="EO45" i="4"/>
  <c r="EN45" i="4"/>
  <c r="EM45" i="4"/>
  <c r="EL45" i="4"/>
  <c r="EK45" i="4"/>
  <c r="EJ45" i="4"/>
  <c r="EI45" i="4"/>
  <c r="EH45" i="4"/>
  <c r="EG45" i="4"/>
  <c r="EF45" i="4"/>
  <c r="EE45" i="4"/>
  <c r="ED45" i="4"/>
  <c r="EC45" i="4"/>
  <c r="EB45" i="4"/>
  <c r="EA45" i="4"/>
  <c r="DZ45" i="4"/>
  <c r="DY45" i="4"/>
  <c r="DX45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K45" i="4"/>
  <c r="DJ45" i="4"/>
  <c r="DI45" i="4"/>
  <c r="DH45" i="4"/>
  <c r="DG45" i="4"/>
  <c r="DF45" i="4"/>
  <c r="DE45" i="4"/>
  <c r="DD45" i="4"/>
  <c r="DC45" i="4"/>
  <c r="DB45" i="4"/>
  <c r="DA45" i="4"/>
  <c r="CZ45" i="4"/>
  <c r="CY45" i="4"/>
  <c r="CX45" i="4"/>
  <c r="CW45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IL44" i="4"/>
  <c r="IK44" i="4"/>
  <c r="IJ44" i="4"/>
  <c r="II44" i="4"/>
  <c r="IH44" i="4"/>
  <c r="IG44" i="4"/>
  <c r="IF44" i="4"/>
  <c r="IE44" i="4"/>
  <c r="ID44" i="4"/>
  <c r="IC44" i="4"/>
  <c r="IB44" i="4"/>
  <c r="IA44" i="4"/>
  <c r="HZ44" i="4"/>
  <c r="HY44" i="4"/>
  <c r="HX44" i="4"/>
  <c r="HW44" i="4"/>
  <c r="HV44" i="4"/>
  <c r="HU44" i="4"/>
  <c r="HT44" i="4"/>
  <c r="HS44" i="4"/>
  <c r="HR44" i="4"/>
  <c r="HQ44" i="4"/>
  <c r="HP44" i="4"/>
  <c r="HO44" i="4"/>
  <c r="HN44" i="4"/>
  <c r="HM44" i="4"/>
  <c r="HL44" i="4"/>
  <c r="HK44" i="4"/>
  <c r="HJ44" i="4"/>
  <c r="HI44" i="4"/>
  <c r="HH44" i="4"/>
  <c r="HG44" i="4"/>
  <c r="HF44" i="4"/>
  <c r="HE44" i="4"/>
  <c r="HD44" i="4"/>
  <c r="HC44" i="4"/>
  <c r="HB44" i="4"/>
  <c r="HA44" i="4"/>
  <c r="GZ44" i="4"/>
  <c r="GY44" i="4"/>
  <c r="GX44" i="4"/>
  <c r="GW44" i="4"/>
  <c r="GV44" i="4"/>
  <c r="GU44" i="4"/>
  <c r="GT44" i="4"/>
  <c r="GS44" i="4"/>
  <c r="GR44" i="4"/>
  <c r="GQ44" i="4"/>
  <c r="GP44" i="4"/>
  <c r="GO44" i="4"/>
  <c r="GN44" i="4"/>
  <c r="GM44" i="4"/>
  <c r="GL44" i="4"/>
  <c r="GK44" i="4"/>
  <c r="GJ44" i="4"/>
  <c r="GI44" i="4"/>
  <c r="GH44" i="4"/>
  <c r="GG44" i="4"/>
  <c r="GF44" i="4"/>
  <c r="GE44" i="4"/>
  <c r="GD44" i="4"/>
  <c r="GC44" i="4"/>
  <c r="GB44" i="4"/>
  <c r="GA44" i="4"/>
  <c r="FZ44" i="4"/>
  <c r="FY44" i="4"/>
  <c r="FX44" i="4"/>
  <c r="FW44" i="4"/>
  <c r="FV44" i="4"/>
  <c r="FU44" i="4"/>
  <c r="FT44" i="4"/>
  <c r="FS44" i="4"/>
  <c r="FR44" i="4"/>
  <c r="FQ44" i="4"/>
  <c r="FP44" i="4"/>
  <c r="FO44" i="4"/>
  <c r="FN44" i="4"/>
  <c r="FM44" i="4"/>
  <c r="FL44" i="4"/>
  <c r="FK44" i="4"/>
  <c r="FJ44" i="4"/>
  <c r="FI44" i="4"/>
  <c r="FH44" i="4"/>
  <c r="FG44" i="4"/>
  <c r="FF44" i="4"/>
  <c r="FE44" i="4"/>
  <c r="FD44" i="4"/>
  <c r="FC44" i="4"/>
  <c r="FB44" i="4"/>
  <c r="FA44" i="4"/>
  <c r="EZ44" i="4"/>
  <c r="EY44" i="4"/>
  <c r="EX44" i="4"/>
  <c r="EW44" i="4"/>
  <c r="EV44" i="4"/>
  <c r="EU44" i="4"/>
  <c r="ET44" i="4"/>
  <c r="ES44" i="4"/>
  <c r="ER44" i="4"/>
  <c r="EQ44" i="4"/>
  <c r="EP44" i="4"/>
  <c r="EO44" i="4"/>
  <c r="EN44" i="4"/>
  <c r="EM44" i="4"/>
  <c r="EL44" i="4"/>
  <c r="EK44" i="4"/>
  <c r="EJ44" i="4"/>
  <c r="EI44" i="4"/>
  <c r="EH44" i="4"/>
  <c r="EG44" i="4"/>
  <c r="EF44" i="4"/>
  <c r="EE44" i="4"/>
  <c r="ED44" i="4"/>
  <c r="EC44" i="4"/>
  <c r="EB44" i="4"/>
  <c r="EA44" i="4"/>
  <c r="DZ44" i="4"/>
  <c r="DY44" i="4"/>
  <c r="DX44" i="4"/>
  <c r="DW44" i="4"/>
  <c r="DV44" i="4"/>
  <c r="DU44" i="4"/>
  <c r="DT44" i="4"/>
  <c r="DS44" i="4"/>
  <c r="DR44" i="4"/>
  <c r="DQ44" i="4"/>
  <c r="DP44" i="4"/>
  <c r="DO44" i="4"/>
  <c r="DN44" i="4"/>
  <c r="DM44" i="4"/>
  <c r="DL44" i="4"/>
  <c r="DK44" i="4"/>
  <c r="DJ44" i="4"/>
  <c r="DI44" i="4"/>
  <c r="DH44" i="4"/>
  <c r="DG44" i="4"/>
  <c r="DF44" i="4"/>
  <c r="DE44" i="4"/>
  <c r="DD44" i="4"/>
  <c r="DC44" i="4"/>
  <c r="DB44" i="4"/>
  <c r="DA44" i="4"/>
  <c r="CZ44" i="4"/>
  <c r="CY44" i="4"/>
  <c r="CX44" i="4"/>
  <c r="CW44" i="4"/>
  <c r="CV44" i="4"/>
  <c r="CU44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P43" i="4"/>
  <c r="HO43" i="4"/>
  <c r="HN43" i="4"/>
  <c r="HM43" i="4"/>
  <c r="HL43" i="4"/>
  <c r="HK43" i="4"/>
  <c r="HJ43" i="4"/>
  <c r="HI43" i="4"/>
  <c r="HH43" i="4"/>
  <c r="HG43" i="4"/>
  <c r="HF43" i="4"/>
  <c r="HE43" i="4"/>
  <c r="HD43" i="4"/>
  <c r="HC43" i="4"/>
  <c r="HB43" i="4"/>
  <c r="HA43" i="4"/>
  <c r="GZ43" i="4"/>
  <c r="GY43" i="4"/>
  <c r="GX43" i="4"/>
  <c r="GW43" i="4"/>
  <c r="GV43" i="4"/>
  <c r="GU43" i="4"/>
  <c r="GT43" i="4"/>
  <c r="GS43" i="4"/>
  <c r="GR43" i="4"/>
  <c r="GQ43" i="4"/>
  <c r="GP43" i="4"/>
  <c r="GO43" i="4"/>
  <c r="GN43" i="4"/>
  <c r="GM43" i="4"/>
  <c r="GL43" i="4"/>
  <c r="GK43" i="4"/>
  <c r="GJ43" i="4"/>
  <c r="GI43" i="4"/>
  <c r="GH43" i="4"/>
  <c r="GG43" i="4"/>
  <c r="GF43" i="4"/>
  <c r="GE43" i="4"/>
  <c r="GD43" i="4"/>
  <c r="GC43" i="4"/>
  <c r="GB43" i="4"/>
  <c r="GA43" i="4"/>
  <c r="FZ43" i="4"/>
  <c r="FY43" i="4"/>
  <c r="FX43" i="4"/>
  <c r="FW43" i="4"/>
  <c r="FV43" i="4"/>
  <c r="FU43" i="4"/>
  <c r="FT43" i="4"/>
  <c r="FS43" i="4"/>
  <c r="FR43" i="4"/>
  <c r="FQ43" i="4"/>
  <c r="FP43" i="4"/>
  <c r="FO43" i="4"/>
  <c r="FN43" i="4"/>
  <c r="FM43" i="4"/>
  <c r="FL43" i="4"/>
  <c r="FK43" i="4"/>
  <c r="FJ43" i="4"/>
  <c r="FI43" i="4"/>
  <c r="FH43" i="4"/>
  <c r="FG43" i="4"/>
  <c r="FF43" i="4"/>
  <c r="FE43" i="4"/>
  <c r="FD43" i="4"/>
  <c r="FC43" i="4"/>
  <c r="FB43" i="4"/>
  <c r="FA43" i="4"/>
  <c r="EZ43" i="4"/>
  <c r="EY43" i="4"/>
  <c r="EX43" i="4"/>
  <c r="EW43" i="4"/>
  <c r="EV43" i="4"/>
  <c r="EU43" i="4"/>
  <c r="ET43" i="4"/>
  <c r="ES43" i="4"/>
  <c r="ER43" i="4"/>
  <c r="EQ43" i="4"/>
  <c r="EP43" i="4"/>
  <c r="EO43" i="4"/>
  <c r="EN43" i="4"/>
  <c r="EM43" i="4"/>
  <c r="EL43" i="4"/>
  <c r="EK43" i="4"/>
  <c r="EJ43" i="4"/>
  <c r="EI43" i="4"/>
  <c r="EH43" i="4"/>
  <c r="EG43" i="4"/>
  <c r="EF43" i="4"/>
  <c r="EE43" i="4"/>
  <c r="ED43" i="4"/>
  <c r="EC43" i="4"/>
  <c r="EB43" i="4"/>
  <c r="EA43" i="4"/>
  <c r="DZ43" i="4"/>
  <c r="DY43" i="4"/>
  <c r="DX43" i="4"/>
  <c r="DW43" i="4"/>
  <c r="DV43" i="4"/>
  <c r="DU43" i="4"/>
  <c r="DT43" i="4"/>
  <c r="DS43" i="4"/>
  <c r="DR43" i="4"/>
  <c r="DQ43" i="4"/>
  <c r="DP43" i="4"/>
  <c r="DO43" i="4"/>
  <c r="DN43" i="4"/>
  <c r="DM43" i="4"/>
  <c r="DL43" i="4"/>
  <c r="DK43" i="4"/>
  <c r="DJ43" i="4"/>
  <c r="DI43" i="4"/>
  <c r="DH43" i="4"/>
  <c r="DG43" i="4"/>
  <c r="DF43" i="4"/>
  <c r="DE43" i="4"/>
  <c r="DD43" i="4"/>
  <c r="DC43" i="4"/>
  <c r="DB43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IL42" i="4"/>
  <c r="IK42" i="4"/>
  <c r="IJ42" i="4"/>
  <c r="II42" i="4"/>
  <c r="IH42" i="4"/>
  <c r="IG42" i="4"/>
  <c r="IF42" i="4"/>
  <c r="IE42" i="4"/>
  <c r="ID42" i="4"/>
  <c r="IC42" i="4"/>
  <c r="IB42" i="4"/>
  <c r="IA42" i="4"/>
  <c r="HZ42" i="4"/>
  <c r="HY42" i="4"/>
  <c r="HX42" i="4"/>
  <c r="HW42" i="4"/>
  <c r="HV42" i="4"/>
  <c r="HU42" i="4"/>
  <c r="HT42" i="4"/>
  <c r="HS42" i="4"/>
  <c r="HR42" i="4"/>
  <c r="HQ42" i="4"/>
  <c r="HP42" i="4"/>
  <c r="HO42" i="4"/>
  <c r="HN42" i="4"/>
  <c r="HM42" i="4"/>
  <c r="HL42" i="4"/>
  <c r="HK42" i="4"/>
  <c r="HJ42" i="4"/>
  <c r="HI42" i="4"/>
  <c r="HH42" i="4"/>
  <c r="HG42" i="4"/>
  <c r="HF42" i="4"/>
  <c r="HE42" i="4"/>
  <c r="HD42" i="4"/>
  <c r="HC42" i="4"/>
  <c r="HB42" i="4"/>
  <c r="HA42" i="4"/>
  <c r="GZ42" i="4"/>
  <c r="GY42" i="4"/>
  <c r="GX42" i="4"/>
  <c r="GW42" i="4"/>
  <c r="GV42" i="4"/>
  <c r="GU42" i="4"/>
  <c r="GT42" i="4"/>
  <c r="GS42" i="4"/>
  <c r="GR42" i="4"/>
  <c r="GQ42" i="4"/>
  <c r="GP42" i="4"/>
  <c r="GO42" i="4"/>
  <c r="GN42" i="4"/>
  <c r="GM42" i="4"/>
  <c r="GL42" i="4"/>
  <c r="GK42" i="4"/>
  <c r="GJ42" i="4"/>
  <c r="GI42" i="4"/>
  <c r="GH42" i="4"/>
  <c r="GG42" i="4"/>
  <c r="GF42" i="4"/>
  <c r="GE42" i="4"/>
  <c r="GD42" i="4"/>
  <c r="GC42" i="4"/>
  <c r="GB42" i="4"/>
  <c r="GA42" i="4"/>
  <c r="FZ42" i="4"/>
  <c r="FY42" i="4"/>
  <c r="FX42" i="4"/>
  <c r="FW42" i="4"/>
  <c r="FV42" i="4"/>
  <c r="FU42" i="4"/>
  <c r="FT42" i="4"/>
  <c r="FS42" i="4"/>
  <c r="FR42" i="4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D42" i="4"/>
  <c r="FC42" i="4"/>
  <c r="FB42" i="4"/>
  <c r="FA42" i="4"/>
  <c r="EZ42" i="4"/>
  <c r="EY42" i="4"/>
  <c r="EX42" i="4"/>
  <c r="EW42" i="4"/>
  <c r="EV42" i="4"/>
  <c r="EU42" i="4"/>
  <c r="ET42" i="4"/>
  <c r="ES42" i="4"/>
  <c r="ER42" i="4"/>
  <c r="EQ42" i="4"/>
  <c r="EP42" i="4"/>
  <c r="EO42" i="4"/>
  <c r="EN42" i="4"/>
  <c r="EM42" i="4"/>
  <c r="EL42" i="4"/>
  <c r="EK42" i="4"/>
  <c r="EJ42" i="4"/>
  <c r="EI42" i="4"/>
  <c r="EH42" i="4"/>
  <c r="EG42" i="4"/>
  <c r="EF42" i="4"/>
  <c r="EE42" i="4"/>
  <c r="ED42" i="4"/>
  <c r="EC42" i="4"/>
  <c r="EB42" i="4"/>
  <c r="EA42" i="4"/>
  <c r="DZ42" i="4"/>
  <c r="DY42" i="4"/>
  <c r="DX42" i="4"/>
  <c r="DW42" i="4"/>
  <c r="DV42" i="4"/>
  <c r="DU42" i="4"/>
  <c r="DT42" i="4"/>
  <c r="DS42" i="4"/>
  <c r="DR42" i="4"/>
  <c r="DQ42" i="4"/>
  <c r="DP42" i="4"/>
  <c r="DO42" i="4"/>
  <c r="DN42" i="4"/>
  <c r="DM42" i="4"/>
  <c r="DL42" i="4"/>
  <c r="DK42" i="4"/>
  <c r="DJ42" i="4"/>
  <c r="DI42" i="4"/>
  <c r="DH42" i="4"/>
  <c r="DG42" i="4"/>
  <c r="DF42" i="4"/>
  <c r="DE42" i="4"/>
  <c r="DD42" i="4"/>
  <c r="DC42" i="4"/>
  <c r="DB42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IL41" i="4"/>
  <c r="IK41" i="4"/>
  <c r="IJ41" i="4"/>
  <c r="II41" i="4"/>
  <c r="IH41" i="4"/>
  <c r="IG41" i="4"/>
  <c r="IF41" i="4"/>
  <c r="IE41" i="4"/>
  <c r="ID41" i="4"/>
  <c r="IC41" i="4"/>
  <c r="IB41" i="4"/>
  <c r="IA41" i="4"/>
  <c r="HZ41" i="4"/>
  <c r="HY41" i="4"/>
  <c r="HX41" i="4"/>
  <c r="HW41" i="4"/>
  <c r="HV41" i="4"/>
  <c r="HU41" i="4"/>
  <c r="HT41" i="4"/>
  <c r="HS41" i="4"/>
  <c r="HR41" i="4"/>
  <c r="HQ41" i="4"/>
  <c r="HP41" i="4"/>
  <c r="HO41" i="4"/>
  <c r="HN41" i="4"/>
  <c r="HM41" i="4"/>
  <c r="HL41" i="4"/>
  <c r="HK41" i="4"/>
  <c r="HJ41" i="4"/>
  <c r="HI41" i="4"/>
  <c r="HH41" i="4"/>
  <c r="HG41" i="4"/>
  <c r="HF41" i="4"/>
  <c r="HE41" i="4"/>
  <c r="HD41" i="4"/>
  <c r="HC41" i="4"/>
  <c r="HB41" i="4"/>
  <c r="HA41" i="4"/>
  <c r="GZ41" i="4"/>
  <c r="GY41" i="4"/>
  <c r="GX41" i="4"/>
  <c r="GW41" i="4"/>
  <c r="GV41" i="4"/>
  <c r="GU41" i="4"/>
  <c r="GT41" i="4"/>
  <c r="GS41" i="4"/>
  <c r="GR41" i="4"/>
  <c r="GQ41" i="4"/>
  <c r="GP41" i="4"/>
  <c r="GO41" i="4"/>
  <c r="GN41" i="4"/>
  <c r="GM41" i="4"/>
  <c r="GL41" i="4"/>
  <c r="GK41" i="4"/>
  <c r="GJ41" i="4"/>
  <c r="GI41" i="4"/>
  <c r="GH41" i="4"/>
  <c r="GG41" i="4"/>
  <c r="GF41" i="4"/>
  <c r="GE41" i="4"/>
  <c r="GD41" i="4"/>
  <c r="GC41" i="4"/>
  <c r="GB41" i="4"/>
  <c r="GA41" i="4"/>
  <c r="FZ41" i="4"/>
  <c r="FY41" i="4"/>
  <c r="FX41" i="4"/>
  <c r="FW41" i="4"/>
  <c r="FV41" i="4"/>
  <c r="FU41" i="4"/>
  <c r="FT41" i="4"/>
  <c r="FS41" i="4"/>
  <c r="FR41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D41" i="4"/>
  <c r="FC41" i="4"/>
  <c r="FB41" i="4"/>
  <c r="FA41" i="4"/>
  <c r="EZ41" i="4"/>
  <c r="EY41" i="4"/>
  <c r="EX41" i="4"/>
  <c r="EW41" i="4"/>
  <c r="EV41" i="4"/>
  <c r="EU41" i="4"/>
  <c r="ET41" i="4"/>
  <c r="ES41" i="4"/>
  <c r="ER41" i="4"/>
  <c r="EQ41" i="4"/>
  <c r="EP41" i="4"/>
  <c r="EO41" i="4"/>
  <c r="EN41" i="4"/>
  <c r="EM41" i="4"/>
  <c r="EL41" i="4"/>
  <c r="EK41" i="4"/>
  <c r="EJ41" i="4"/>
  <c r="EI41" i="4"/>
  <c r="EH41" i="4"/>
  <c r="EG41" i="4"/>
  <c r="EF41" i="4"/>
  <c r="EE41" i="4"/>
  <c r="ED41" i="4"/>
  <c r="EC41" i="4"/>
  <c r="EB41" i="4"/>
  <c r="EA41" i="4"/>
  <c r="DZ41" i="4"/>
  <c r="DY41" i="4"/>
  <c r="DX41" i="4"/>
  <c r="DW41" i="4"/>
  <c r="DV41" i="4"/>
  <c r="DU41" i="4"/>
  <c r="DT41" i="4"/>
  <c r="DS41" i="4"/>
  <c r="DR41" i="4"/>
  <c r="DQ41" i="4"/>
  <c r="DP41" i="4"/>
  <c r="DO41" i="4"/>
  <c r="DN41" i="4"/>
  <c r="DM41" i="4"/>
  <c r="DL41" i="4"/>
  <c r="DK41" i="4"/>
  <c r="DJ41" i="4"/>
  <c r="DI41" i="4"/>
  <c r="DH41" i="4"/>
  <c r="DG41" i="4"/>
  <c r="DF41" i="4"/>
  <c r="DE41" i="4"/>
  <c r="DD41" i="4"/>
  <c r="DC41" i="4"/>
  <c r="DB41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IL40" i="4"/>
  <c r="IK40" i="4"/>
  <c r="IJ40" i="4"/>
  <c r="II40" i="4"/>
  <c r="IH40" i="4"/>
  <c r="IG40" i="4"/>
  <c r="IF40" i="4"/>
  <c r="IE40" i="4"/>
  <c r="ID40" i="4"/>
  <c r="IC40" i="4"/>
  <c r="IB40" i="4"/>
  <c r="IA40" i="4"/>
  <c r="HZ40" i="4"/>
  <c r="HY40" i="4"/>
  <c r="HX40" i="4"/>
  <c r="HW40" i="4"/>
  <c r="HV40" i="4"/>
  <c r="HU40" i="4"/>
  <c r="HT40" i="4"/>
  <c r="HS40" i="4"/>
  <c r="HR40" i="4"/>
  <c r="HQ40" i="4"/>
  <c r="HP40" i="4"/>
  <c r="HO40" i="4"/>
  <c r="HN40" i="4"/>
  <c r="HM40" i="4"/>
  <c r="HL40" i="4"/>
  <c r="HK40" i="4"/>
  <c r="HJ40" i="4"/>
  <c r="HI40" i="4"/>
  <c r="HH40" i="4"/>
  <c r="HG40" i="4"/>
  <c r="HF40" i="4"/>
  <c r="HE40" i="4"/>
  <c r="HD40" i="4"/>
  <c r="HC40" i="4"/>
  <c r="HB40" i="4"/>
  <c r="HA40" i="4"/>
  <c r="GZ40" i="4"/>
  <c r="GY40" i="4"/>
  <c r="GX40" i="4"/>
  <c r="GW40" i="4"/>
  <c r="GV40" i="4"/>
  <c r="GU40" i="4"/>
  <c r="GT40" i="4"/>
  <c r="GS40" i="4"/>
  <c r="GR40" i="4"/>
  <c r="GQ40" i="4"/>
  <c r="GP40" i="4"/>
  <c r="GO40" i="4"/>
  <c r="GN40" i="4"/>
  <c r="GM40" i="4"/>
  <c r="GL40" i="4"/>
  <c r="GK40" i="4"/>
  <c r="GJ40" i="4"/>
  <c r="GI40" i="4"/>
  <c r="GH40" i="4"/>
  <c r="GG40" i="4"/>
  <c r="GF40" i="4"/>
  <c r="GE40" i="4"/>
  <c r="GD40" i="4"/>
  <c r="GC40" i="4"/>
  <c r="GB40" i="4"/>
  <c r="GA40" i="4"/>
  <c r="FZ40" i="4"/>
  <c r="FY40" i="4"/>
  <c r="FX40" i="4"/>
  <c r="FW40" i="4"/>
  <c r="FV40" i="4"/>
  <c r="FU40" i="4"/>
  <c r="FT40" i="4"/>
  <c r="FS40" i="4"/>
  <c r="FR40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D40" i="4"/>
  <c r="FC40" i="4"/>
  <c r="FB40" i="4"/>
  <c r="FA40" i="4"/>
  <c r="EZ40" i="4"/>
  <c r="EY40" i="4"/>
  <c r="EX40" i="4"/>
  <c r="EW40" i="4"/>
  <c r="EV40" i="4"/>
  <c r="EU40" i="4"/>
  <c r="ET40" i="4"/>
  <c r="ES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F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IL39" i="4"/>
  <c r="IK39" i="4"/>
  <c r="IJ39" i="4"/>
  <c r="II39" i="4"/>
  <c r="IH39" i="4"/>
  <c r="IG39" i="4"/>
  <c r="IF39" i="4"/>
  <c r="IE39" i="4"/>
  <c r="ID39" i="4"/>
  <c r="IC39" i="4"/>
  <c r="IB39" i="4"/>
  <c r="IA39" i="4"/>
  <c r="HZ39" i="4"/>
  <c r="HY39" i="4"/>
  <c r="HX39" i="4"/>
  <c r="HW39" i="4"/>
  <c r="HV39" i="4"/>
  <c r="HU39" i="4"/>
  <c r="HT39" i="4"/>
  <c r="HS39" i="4"/>
  <c r="HR39" i="4"/>
  <c r="HQ39" i="4"/>
  <c r="HP39" i="4"/>
  <c r="HO39" i="4"/>
  <c r="HN39" i="4"/>
  <c r="HM39" i="4"/>
  <c r="HL39" i="4"/>
  <c r="HK39" i="4"/>
  <c r="HJ39" i="4"/>
  <c r="HI39" i="4"/>
  <c r="HH39" i="4"/>
  <c r="HG39" i="4"/>
  <c r="HF39" i="4"/>
  <c r="HE39" i="4"/>
  <c r="HD39" i="4"/>
  <c r="HC39" i="4"/>
  <c r="HB39" i="4"/>
  <c r="HA39" i="4"/>
  <c r="GZ39" i="4"/>
  <c r="GY39" i="4"/>
  <c r="GX39" i="4"/>
  <c r="GW39" i="4"/>
  <c r="GV39" i="4"/>
  <c r="GU39" i="4"/>
  <c r="GT39" i="4"/>
  <c r="GS39" i="4"/>
  <c r="GR39" i="4"/>
  <c r="GQ39" i="4"/>
  <c r="GP39" i="4"/>
  <c r="GO39" i="4"/>
  <c r="GN39" i="4"/>
  <c r="GM39" i="4"/>
  <c r="GL39" i="4"/>
  <c r="GK39" i="4"/>
  <c r="GJ39" i="4"/>
  <c r="GI39" i="4"/>
  <c r="GH39" i="4"/>
  <c r="GG39" i="4"/>
  <c r="GF39" i="4"/>
  <c r="GE39" i="4"/>
  <c r="GD39" i="4"/>
  <c r="GC39" i="4"/>
  <c r="GB39" i="4"/>
  <c r="GA39" i="4"/>
  <c r="FZ39" i="4"/>
  <c r="FY39" i="4"/>
  <c r="FX39" i="4"/>
  <c r="FW39" i="4"/>
  <c r="FV39" i="4"/>
  <c r="FU39" i="4"/>
  <c r="FT39" i="4"/>
  <c r="FS39" i="4"/>
  <c r="FR39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C39" i="4"/>
  <c r="FB39" i="4"/>
  <c r="FA39" i="4"/>
  <c r="EZ39" i="4"/>
  <c r="EY39" i="4"/>
  <c r="EX39" i="4"/>
  <c r="EW39" i="4"/>
  <c r="EV39" i="4"/>
  <c r="EU39" i="4"/>
  <c r="ET39" i="4"/>
  <c r="ES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F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S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IL38" i="4"/>
  <c r="IK38" i="4"/>
  <c r="IJ38" i="4"/>
  <c r="II38" i="4"/>
  <c r="IH38" i="4"/>
  <c r="IG38" i="4"/>
  <c r="IF38" i="4"/>
  <c r="IE38" i="4"/>
  <c r="ID38" i="4"/>
  <c r="IC38" i="4"/>
  <c r="IB38" i="4"/>
  <c r="IA38" i="4"/>
  <c r="HZ38" i="4"/>
  <c r="HY38" i="4"/>
  <c r="HX38" i="4"/>
  <c r="HW38" i="4"/>
  <c r="HV38" i="4"/>
  <c r="HU38" i="4"/>
  <c r="HT38" i="4"/>
  <c r="HS38" i="4"/>
  <c r="HR38" i="4"/>
  <c r="HQ38" i="4"/>
  <c r="HP38" i="4"/>
  <c r="HO38" i="4"/>
  <c r="HN38" i="4"/>
  <c r="HM38" i="4"/>
  <c r="HL38" i="4"/>
  <c r="HK38" i="4"/>
  <c r="HJ38" i="4"/>
  <c r="HI38" i="4"/>
  <c r="HH38" i="4"/>
  <c r="HG38" i="4"/>
  <c r="HF38" i="4"/>
  <c r="HE38" i="4"/>
  <c r="HD38" i="4"/>
  <c r="HC38" i="4"/>
  <c r="HB38" i="4"/>
  <c r="HA38" i="4"/>
  <c r="GZ38" i="4"/>
  <c r="GY38" i="4"/>
  <c r="GX38" i="4"/>
  <c r="GW38" i="4"/>
  <c r="GV38" i="4"/>
  <c r="GU38" i="4"/>
  <c r="GT38" i="4"/>
  <c r="GS38" i="4"/>
  <c r="GR38" i="4"/>
  <c r="GQ38" i="4"/>
  <c r="GP38" i="4"/>
  <c r="GO38" i="4"/>
  <c r="GN38" i="4"/>
  <c r="GM38" i="4"/>
  <c r="GL38" i="4"/>
  <c r="GK38" i="4"/>
  <c r="GJ38" i="4"/>
  <c r="GI38" i="4"/>
  <c r="GH38" i="4"/>
  <c r="GG38" i="4"/>
  <c r="GF38" i="4"/>
  <c r="GE38" i="4"/>
  <c r="GD38" i="4"/>
  <c r="GC38" i="4"/>
  <c r="GB38" i="4"/>
  <c r="GA38" i="4"/>
  <c r="FZ38" i="4"/>
  <c r="FY38" i="4"/>
  <c r="FX38" i="4"/>
  <c r="FW38" i="4"/>
  <c r="FV38" i="4"/>
  <c r="FU38" i="4"/>
  <c r="FT38" i="4"/>
  <c r="FS38" i="4"/>
  <c r="FR38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D38" i="4"/>
  <c r="FC38" i="4"/>
  <c r="FB38" i="4"/>
  <c r="FA38" i="4"/>
  <c r="EZ38" i="4"/>
  <c r="EY38" i="4"/>
  <c r="EX38" i="4"/>
  <c r="EW38" i="4"/>
  <c r="EV38" i="4"/>
  <c r="EU38" i="4"/>
  <c r="ET38" i="4"/>
  <c r="ES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F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IL37" i="4"/>
  <c r="IK37" i="4"/>
  <c r="IJ37" i="4"/>
  <c r="II37" i="4"/>
  <c r="IH37" i="4"/>
  <c r="IG37" i="4"/>
  <c r="IF37" i="4"/>
  <c r="IE37" i="4"/>
  <c r="ID37" i="4"/>
  <c r="IC37" i="4"/>
  <c r="IB37" i="4"/>
  <c r="IA37" i="4"/>
  <c r="HZ37" i="4"/>
  <c r="HY37" i="4"/>
  <c r="HX37" i="4"/>
  <c r="HW37" i="4"/>
  <c r="HV37" i="4"/>
  <c r="HU37" i="4"/>
  <c r="HT37" i="4"/>
  <c r="HS37" i="4"/>
  <c r="HR37" i="4"/>
  <c r="HQ37" i="4"/>
  <c r="HP37" i="4"/>
  <c r="HO37" i="4"/>
  <c r="HN37" i="4"/>
  <c r="HM37" i="4"/>
  <c r="HL37" i="4"/>
  <c r="HK37" i="4"/>
  <c r="HJ37" i="4"/>
  <c r="HI37" i="4"/>
  <c r="HH37" i="4"/>
  <c r="HG37" i="4"/>
  <c r="HF37" i="4"/>
  <c r="HE37" i="4"/>
  <c r="HD37" i="4"/>
  <c r="HC37" i="4"/>
  <c r="HB37" i="4"/>
  <c r="HA37" i="4"/>
  <c r="GZ37" i="4"/>
  <c r="GY37" i="4"/>
  <c r="GX37" i="4"/>
  <c r="GW37" i="4"/>
  <c r="GV37" i="4"/>
  <c r="GU37" i="4"/>
  <c r="GT37" i="4"/>
  <c r="GS37" i="4"/>
  <c r="GR37" i="4"/>
  <c r="GQ37" i="4"/>
  <c r="GP37" i="4"/>
  <c r="GO37" i="4"/>
  <c r="GN37" i="4"/>
  <c r="GM37" i="4"/>
  <c r="GL37" i="4"/>
  <c r="GK37" i="4"/>
  <c r="GJ37" i="4"/>
  <c r="GI37" i="4"/>
  <c r="GH37" i="4"/>
  <c r="GG37" i="4"/>
  <c r="GF37" i="4"/>
  <c r="GE37" i="4"/>
  <c r="GD37" i="4"/>
  <c r="GC37" i="4"/>
  <c r="GB37" i="4"/>
  <c r="GA37" i="4"/>
  <c r="FZ37" i="4"/>
  <c r="FY37" i="4"/>
  <c r="FX37" i="4"/>
  <c r="FW37" i="4"/>
  <c r="FV37" i="4"/>
  <c r="FU37" i="4"/>
  <c r="FT37" i="4"/>
  <c r="FS37" i="4"/>
  <c r="FR37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D37" i="4"/>
  <c r="FC37" i="4"/>
  <c r="FB37" i="4"/>
  <c r="FA37" i="4"/>
  <c r="EZ37" i="4"/>
  <c r="EY37" i="4"/>
  <c r="EX37" i="4"/>
  <c r="EW37" i="4"/>
  <c r="EV37" i="4"/>
  <c r="EU37" i="4"/>
  <c r="ET37" i="4"/>
  <c r="ES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F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IL36" i="4"/>
  <c r="IK36" i="4"/>
  <c r="IJ36" i="4"/>
  <c r="II36" i="4"/>
  <c r="IH36" i="4"/>
  <c r="IG36" i="4"/>
  <c r="IF36" i="4"/>
  <c r="IE36" i="4"/>
  <c r="ID36" i="4"/>
  <c r="IC36" i="4"/>
  <c r="IB36" i="4"/>
  <c r="IA36" i="4"/>
  <c r="HZ36" i="4"/>
  <c r="HY36" i="4"/>
  <c r="HX36" i="4"/>
  <c r="HW36" i="4"/>
  <c r="HV36" i="4"/>
  <c r="HU36" i="4"/>
  <c r="HT36" i="4"/>
  <c r="HS36" i="4"/>
  <c r="HR36" i="4"/>
  <c r="HQ36" i="4"/>
  <c r="HP36" i="4"/>
  <c r="HO36" i="4"/>
  <c r="HN36" i="4"/>
  <c r="HM36" i="4"/>
  <c r="HL36" i="4"/>
  <c r="HK36" i="4"/>
  <c r="HJ36" i="4"/>
  <c r="HI36" i="4"/>
  <c r="HH36" i="4"/>
  <c r="HG36" i="4"/>
  <c r="HF36" i="4"/>
  <c r="HE36" i="4"/>
  <c r="HD36" i="4"/>
  <c r="HC36" i="4"/>
  <c r="HB36" i="4"/>
  <c r="HA36" i="4"/>
  <c r="GZ36" i="4"/>
  <c r="GY36" i="4"/>
  <c r="GX36" i="4"/>
  <c r="GW36" i="4"/>
  <c r="GV36" i="4"/>
  <c r="GU36" i="4"/>
  <c r="GT36" i="4"/>
  <c r="GS36" i="4"/>
  <c r="GR36" i="4"/>
  <c r="GQ36" i="4"/>
  <c r="GP36" i="4"/>
  <c r="GO36" i="4"/>
  <c r="GN36" i="4"/>
  <c r="GM36" i="4"/>
  <c r="GL36" i="4"/>
  <c r="GK36" i="4"/>
  <c r="GJ36" i="4"/>
  <c r="GI36" i="4"/>
  <c r="GH36" i="4"/>
  <c r="GG36" i="4"/>
  <c r="GF36" i="4"/>
  <c r="GE36" i="4"/>
  <c r="GD36" i="4"/>
  <c r="GC36" i="4"/>
  <c r="GB36" i="4"/>
  <c r="GA36" i="4"/>
  <c r="FZ36" i="4"/>
  <c r="FY36" i="4"/>
  <c r="FX36" i="4"/>
  <c r="FW36" i="4"/>
  <c r="FV36" i="4"/>
  <c r="FU36" i="4"/>
  <c r="FT36" i="4"/>
  <c r="FS36" i="4"/>
  <c r="FR36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C36" i="4"/>
  <c r="FB36" i="4"/>
  <c r="FA36" i="4"/>
  <c r="EZ36" i="4"/>
  <c r="EY36" i="4"/>
  <c r="EX36" i="4"/>
  <c r="EW36" i="4"/>
  <c r="EV36" i="4"/>
  <c r="EU36" i="4"/>
  <c r="ET36" i="4"/>
  <c r="ES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F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IL35" i="4"/>
  <c r="IK35" i="4"/>
  <c r="IJ35" i="4"/>
  <c r="II35" i="4"/>
  <c r="IH35" i="4"/>
  <c r="IG35" i="4"/>
  <c r="IF35" i="4"/>
  <c r="IE35" i="4"/>
  <c r="ID35" i="4"/>
  <c r="IC35" i="4"/>
  <c r="IB35" i="4"/>
  <c r="IA35" i="4"/>
  <c r="HZ35" i="4"/>
  <c r="HY35" i="4"/>
  <c r="HX35" i="4"/>
  <c r="HW35" i="4"/>
  <c r="HV35" i="4"/>
  <c r="HU35" i="4"/>
  <c r="HT35" i="4"/>
  <c r="HS35" i="4"/>
  <c r="HR35" i="4"/>
  <c r="HQ35" i="4"/>
  <c r="HP35" i="4"/>
  <c r="HO35" i="4"/>
  <c r="HN35" i="4"/>
  <c r="HM35" i="4"/>
  <c r="HL35" i="4"/>
  <c r="HK35" i="4"/>
  <c r="HJ35" i="4"/>
  <c r="HI35" i="4"/>
  <c r="HH35" i="4"/>
  <c r="HG35" i="4"/>
  <c r="HF35" i="4"/>
  <c r="HE35" i="4"/>
  <c r="HD35" i="4"/>
  <c r="HC35" i="4"/>
  <c r="HB35" i="4"/>
  <c r="HA35" i="4"/>
  <c r="GZ35" i="4"/>
  <c r="GY35" i="4"/>
  <c r="GX35" i="4"/>
  <c r="GW35" i="4"/>
  <c r="GV35" i="4"/>
  <c r="GU35" i="4"/>
  <c r="GT35" i="4"/>
  <c r="GS35" i="4"/>
  <c r="GR35" i="4"/>
  <c r="GQ35" i="4"/>
  <c r="GP35" i="4"/>
  <c r="GO35" i="4"/>
  <c r="GN35" i="4"/>
  <c r="GM35" i="4"/>
  <c r="GL35" i="4"/>
  <c r="GK35" i="4"/>
  <c r="GJ35" i="4"/>
  <c r="GI35" i="4"/>
  <c r="GH35" i="4"/>
  <c r="GG35" i="4"/>
  <c r="GF35" i="4"/>
  <c r="GE35" i="4"/>
  <c r="GD35" i="4"/>
  <c r="GC35" i="4"/>
  <c r="GB35" i="4"/>
  <c r="GA35" i="4"/>
  <c r="FZ35" i="4"/>
  <c r="FY35" i="4"/>
  <c r="FX35" i="4"/>
  <c r="FW35" i="4"/>
  <c r="FV35" i="4"/>
  <c r="FU35" i="4"/>
  <c r="FT35" i="4"/>
  <c r="FS35" i="4"/>
  <c r="FR35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D35" i="4"/>
  <c r="FC35" i="4"/>
  <c r="FB35" i="4"/>
  <c r="FA35" i="4"/>
  <c r="EZ35" i="4"/>
  <c r="EY35" i="4"/>
  <c r="EX35" i="4"/>
  <c r="EW35" i="4"/>
  <c r="EV35" i="4"/>
  <c r="EU35" i="4"/>
  <c r="ET35" i="4"/>
  <c r="ES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F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S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V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IL32" i="4"/>
  <c r="IK32" i="4"/>
  <c r="IJ32" i="4"/>
  <c r="II32" i="4"/>
  <c r="IH32" i="4"/>
  <c r="IG32" i="4"/>
  <c r="IF32" i="4"/>
  <c r="IE32" i="4"/>
  <c r="ID32" i="4"/>
  <c r="IC32" i="4"/>
  <c r="IB32" i="4"/>
  <c r="IA32" i="4"/>
  <c r="HZ32" i="4"/>
  <c r="HY32" i="4"/>
  <c r="HX32" i="4"/>
  <c r="HW32" i="4"/>
  <c r="HV32" i="4"/>
  <c r="HU32" i="4"/>
  <c r="HT32" i="4"/>
  <c r="HS32" i="4"/>
  <c r="HR32" i="4"/>
  <c r="HQ32" i="4"/>
  <c r="HP32" i="4"/>
  <c r="HO32" i="4"/>
  <c r="HN32" i="4"/>
  <c r="HM32" i="4"/>
  <c r="HL32" i="4"/>
  <c r="HK32" i="4"/>
  <c r="HJ32" i="4"/>
  <c r="HI32" i="4"/>
  <c r="HH32" i="4"/>
  <c r="HG32" i="4"/>
  <c r="HF32" i="4"/>
  <c r="HE32" i="4"/>
  <c r="HD32" i="4"/>
  <c r="HC32" i="4"/>
  <c r="HB32" i="4"/>
  <c r="HA32" i="4"/>
  <c r="GZ32" i="4"/>
  <c r="GY32" i="4"/>
  <c r="GX32" i="4"/>
  <c r="GW32" i="4"/>
  <c r="GV32" i="4"/>
  <c r="GU32" i="4"/>
  <c r="GT32" i="4"/>
  <c r="GS32" i="4"/>
  <c r="GR32" i="4"/>
  <c r="GQ32" i="4"/>
  <c r="GP32" i="4"/>
  <c r="GO32" i="4"/>
  <c r="GN32" i="4"/>
  <c r="GM32" i="4"/>
  <c r="GL32" i="4"/>
  <c r="GK32" i="4"/>
  <c r="GJ32" i="4"/>
  <c r="GI32" i="4"/>
  <c r="GH32" i="4"/>
  <c r="GG32" i="4"/>
  <c r="GF32" i="4"/>
  <c r="GE32" i="4"/>
  <c r="GD32" i="4"/>
  <c r="GC32" i="4"/>
  <c r="GB32" i="4"/>
  <c r="GA32" i="4"/>
  <c r="FZ32" i="4"/>
  <c r="FY32" i="4"/>
  <c r="FX32" i="4"/>
  <c r="FW32" i="4"/>
  <c r="FV32" i="4"/>
  <c r="FU32" i="4"/>
  <c r="FT32" i="4"/>
  <c r="FS32" i="4"/>
  <c r="FR32" i="4"/>
  <c r="FQ32" i="4"/>
  <c r="FP32" i="4"/>
  <c r="FO32" i="4"/>
  <c r="FN32" i="4"/>
  <c r="FM32" i="4"/>
  <c r="FL32" i="4"/>
  <c r="FK32" i="4"/>
  <c r="FJ32" i="4"/>
  <c r="FI32" i="4"/>
  <c r="FH32" i="4"/>
  <c r="FG32" i="4"/>
  <c r="FF32" i="4"/>
  <c r="FE32" i="4"/>
  <c r="FD32" i="4"/>
  <c r="FC32" i="4"/>
  <c r="FB32" i="4"/>
  <c r="FA32" i="4"/>
  <c r="EZ32" i="4"/>
  <c r="EY32" i="4"/>
  <c r="EX32" i="4"/>
  <c r="EW32" i="4"/>
  <c r="EV32" i="4"/>
  <c r="EU32" i="4"/>
  <c r="ET32" i="4"/>
  <c r="ES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F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S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IL31" i="4"/>
  <c r="IK31" i="4"/>
  <c r="IJ31" i="4"/>
  <c r="II31" i="4"/>
  <c r="IH31" i="4"/>
  <c r="IG31" i="4"/>
  <c r="IF31" i="4"/>
  <c r="IE31" i="4"/>
  <c r="ID31" i="4"/>
  <c r="IC31" i="4"/>
  <c r="IB31" i="4"/>
  <c r="IA31" i="4"/>
  <c r="HZ31" i="4"/>
  <c r="HY31" i="4"/>
  <c r="HX31" i="4"/>
  <c r="HW31" i="4"/>
  <c r="HV31" i="4"/>
  <c r="HU31" i="4"/>
  <c r="HT31" i="4"/>
  <c r="HS31" i="4"/>
  <c r="HR31" i="4"/>
  <c r="HQ31" i="4"/>
  <c r="HP31" i="4"/>
  <c r="HO31" i="4"/>
  <c r="HN31" i="4"/>
  <c r="HM31" i="4"/>
  <c r="HL31" i="4"/>
  <c r="HK31" i="4"/>
  <c r="HJ31" i="4"/>
  <c r="HI31" i="4"/>
  <c r="HH31" i="4"/>
  <c r="HG31" i="4"/>
  <c r="HF31" i="4"/>
  <c r="HE31" i="4"/>
  <c r="HD31" i="4"/>
  <c r="HC31" i="4"/>
  <c r="HB31" i="4"/>
  <c r="HA31" i="4"/>
  <c r="GZ31" i="4"/>
  <c r="GY31" i="4"/>
  <c r="GX31" i="4"/>
  <c r="GW31" i="4"/>
  <c r="GV31" i="4"/>
  <c r="GU31" i="4"/>
  <c r="GT31" i="4"/>
  <c r="GS31" i="4"/>
  <c r="GR31" i="4"/>
  <c r="GQ31" i="4"/>
  <c r="GP31" i="4"/>
  <c r="GO31" i="4"/>
  <c r="GN31" i="4"/>
  <c r="GM31" i="4"/>
  <c r="GL31" i="4"/>
  <c r="GK31" i="4"/>
  <c r="GJ31" i="4"/>
  <c r="GI31" i="4"/>
  <c r="GH31" i="4"/>
  <c r="GG31" i="4"/>
  <c r="GF31" i="4"/>
  <c r="GE31" i="4"/>
  <c r="GD31" i="4"/>
  <c r="GC31" i="4"/>
  <c r="GB31" i="4"/>
  <c r="GA31" i="4"/>
  <c r="FZ31" i="4"/>
  <c r="FY31" i="4"/>
  <c r="FX31" i="4"/>
  <c r="FW31" i="4"/>
  <c r="FV31" i="4"/>
  <c r="FU31" i="4"/>
  <c r="FT31" i="4"/>
  <c r="FS31" i="4"/>
  <c r="FR31" i="4"/>
  <c r="FQ31" i="4"/>
  <c r="FP31" i="4"/>
  <c r="FO31" i="4"/>
  <c r="FN31" i="4"/>
  <c r="FM31" i="4"/>
  <c r="FL31" i="4"/>
  <c r="FK31" i="4"/>
  <c r="FJ31" i="4"/>
  <c r="FI31" i="4"/>
  <c r="FH31" i="4"/>
  <c r="FG31" i="4"/>
  <c r="FF31" i="4"/>
  <c r="FE31" i="4"/>
  <c r="FD31" i="4"/>
  <c r="FC31" i="4"/>
  <c r="FB31" i="4"/>
  <c r="FA31" i="4"/>
  <c r="EZ31" i="4"/>
  <c r="EY31" i="4"/>
  <c r="EX31" i="4"/>
  <c r="EW31" i="4"/>
  <c r="EV31" i="4"/>
  <c r="EU31" i="4"/>
  <c r="ET31" i="4"/>
  <c r="ES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F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IL30" i="4"/>
  <c r="IK30" i="4"/>
  <c r="IJ30" i="4"/>
  <c r="II30" i="4"/>
  <c r="IH30" i="4"/>
  <c r="IG30" i="4"/>
  <c r="IF30" i="4"/>
  <c r="IE30" i="4"/>
  <c r="ID30" i="4"/>
  <c r="IC30" i="4"/>
  <c r="IB30" i="4"/>
  <c r="IA30" i="4"/>
  <c r="HZ30" i="4"/>
  <c r="HY30" i="4"/>
  <c r="HX30" i="4"/>
  <c r="HW30" i="4"/>
  <c r="HV30" i="4"/>
  <c r="HU30" i="4"/>
  <c r="HT30" i="4"/>
  <c r="HS30" i="4"/>
  <c r="HR30" i="4"/>
  <c r="HQ30" i="4"/>
  <c r="HP30" i="4"/>
  <c r="HO30" i="4"/>
  <c r="HN30" i="4"/>
  <c r="HM30" i="4"/>
  <c r="HL30" i="4"/>
  <c r="HK30" i="4"/>
  <c r="HJ30" i="4"/>
  <c r="HI30" i="4"/>
  <c r="HH30" i="4"/>
  <c r="HG30" i="4"/>
  <c r="HF30" i="4"/>
  <c r="HE30" i="4"/>
  <c r="HD30" i="4"/>
  <c r="HC30" i="4"/>
  <c r="HB30" i="4"/>
  <c r="HA30" i="4"/>
  <c r="GZ30" i="4"/>
  <c r="GY30" i="4"/>
  <c r="GX30" i="4"/>
  <c r="GW30" i="4"/>
  <c r="GV30" i="4"/>
  <c r="GU30" i="4"/>
  <c r="GT30" i="4"/>
  <c r="GS30" i="4"/>
  <c r="GR30" i="4"/>
  <c r="GQ30" i="4"/>
  <c r="GP30" i="4"/>
  <c r="GO30" i="4"/>
  <c r="GN30" i="4"/>
  <c r="GM30" i="4"/>
  <c r="GL30" i="4"/>
  <c r="GK30" i="4"/>
  <c r="GJ30" i="4"/>
  <c r="GI30" i="4"/>
  <c r="GH30" i="4"/>
  <c r="GG30" i="4"/>
  <c r="GF30" i="4"/>
  <c r="GE30" i="4"/>
  <c r="GD30" i="4"/>
  <c r="GC30" i="4"/>
  <c r="GB30" i="4"/>
  <c r="GA30" i="4"/>
  <c r="FZ30" i="4"/>
  <c r="FY30" i="4"/>
  <c r="FX30" i="4"/>
  <c r="FW30" i="4"/>
  <c r="FV30" i="4"/>
  <c r="FU30" i="4"/>
  <c r="FT30" i="4"/>
  <c r="FS30" i="4"/>
  <c r="FR30" i="4"/>
  <c r="FQ30" i="4"/>
  <c r="FP30" i="4"/>
  <c r="FO30" i="4"/>
  <c r="FN30" i="4"/>
  <c r="FM30" i="4"/>
  <c r="FL30" i="4"/>
  <c r="FK30" i="4"/>
  <c r="FJ30" i="4"/>
  <c r="FI30" i="4"/>
  <c r="FH30" i="4"/>
  <c r="FG30" i="4"/>
  <c r="FF30" i="4"/>
  <c r="FE30" i="4"/>
  <c r="FD30" i="4"/>
  <c r="FC30" i="4"/>
  <c r="FB30" i="4"/>
  <c r="FA30" i="4"/>
  <c r="EZ30" i="4"/>
  <c r="EY30" i="4"/>
  <c r="EX30" i="4"/>
  <c r="EW30" i="4"/>
  <c r="EV30" i="4"/>
  <c r="EU30" i="4"/>
  <c r="ET30" i="4"/>
  <c r="ES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F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S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IL29" i="4"/>
  <c r="IK29" i="4"/>
  <c r="IJ29" i="4"/>
  <c r="II29" i="4"/>
  <c r="IH29" i="4"/>
  <c r="IG29" i="4"/>
  <c r="IF29" i="4"/>
  <c r="IE29" i="4"/>
  <c r="ID29" i="4"/>
  <c r="IC29" i="4"/>
  <c r="IB29" i="4"/>
  <c r="IA29" i="4"/>
  <c r="HZ29" i="4"/>
  <c r="HY29" i="4"/>
  <c r="HX29" i="4"/>
  <c r="HW29" i="4"/>
  <c r="HV29" i="4"/>
  <c r="HU29" i="4"/>
  <c r="HT29" i="4"/>
  <c r="HS29" i="4"/>
  <c r="HR29" i="4"/>
  <c r="HQ29" i="4"/>
  <c r="HP29" i="4"/>
  <c r="HO29" i="4"/>
  <c r="HN29" i="4"/>
  <c r="HM29" i="4"/>
  <c r="HL29" i="4"/>
  <c r="HK29" i="4"/>
  <c r="HJ29" i="4"/>
  <c r="HI29" i="4"/>
  <c r="HH29" i="4"/>
  <c r="HG29" i="4"/>
  <c r="HF29" i="4"/>
  <c r="HE29" i="4"/>
  <c r="HD29" i="4"/>
  <c r="HC29" i="4"/>
  <c r="HB29" i="4"/>
  <c r="HA29" i="4"/>
  <c r="GZ29" i="4"/>
  <c r="GY29" i="4"/>
  <c r="GX29" i="4"/>
  <c r="GW29" i="4"/>
  <c r="GV29" i="4"/>
  <c r="GU29" i="4"/>
  <c r="GT29" i="4"/>
  <c r="GS29" i="4"/>
  <c r="GR29" i="4"/>
  <c r="GQ29" i="4"/>
  <c r="GP29" i="4"/>
  <c r="GO29" i="4"/>
  <c r="GN29" i="4"/>
  <c r="GM29" i="4"/>
  <c r="GL29" i="4"/>
  <c r="GK29" i="4"/>
  <c r="GJ29" i="4"/>
  <c r="GI29" i="4"/>
  <c r="GH29" i="4"/>
  <c r="GG29" i="4"/>
  <c r="GF29" i="4"/>
  <c r="GE29" i="4"/>
  <c r="GD29" i="4"/>
  <c r="GC29" i="4"/>
  <c r="GB29" i="4"/>
  <c r="GA29" i="4"/>
  <c r="FZ29" i="4"/>
  <c r="FY29" i="4"/>
  <c r="FX29" i="4"/>
  <c r="FW29" i="4"/>
  <c r="FV29" i="4"/>
  <c r="FU29" i="4"/>
  <c r="FT29" i="4"/>
  <c r="FS29" i="4"/>
  <c r="FR29" i="4"/>
  <c r="FQ29" i="4"/>
  <c r="FP29" i="4"/>
  <c r="FO29" i="4"/>
  <c r="FN29" i="4"/>
  <c r="FM29" i="4"/>
  <c r="FL29" i="4"/>
  <c r="FK29" i="4"/>
  <c r="FJ29" i="4"/>
  <c r="FI29" i="4"/>
  <c r="FH29" i="4"/>
  <c r="FG29" i="4"/>
  <c r="FF29" i="4"/>
  <c r="FE29" i="4"/>
  <c r="FD29" i="4"/>
  <c r="FC29" i="4"/>
  <c r="FB29" i="4"/>
  <c r="FA29" i="4"/>
  <c r="EZ29" i="4"/>
  <c r="EY29" i="4"/>
  <c r="EX29" i="4"/>
  <c r="EW29" i="4"/>
  <c r="EV29" i="4"/>
  <c r="EU29" i="4"/>
  <c r="ET29" i="4"/>
  <c r="ES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F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IL28" i="4"/>
  <c r="IK28" i="4"/>
  <c r="IJ28" i="4"/>
  <c r="II28" i="4"/>
  <c r="IH28" i="4"/>
  <c r="IG28" i="4"/>
  <c r="IF28" i="4"/>
  <c r="IE28" i="4"/>
  <c r="ID28" i="4"/>
  <c r="IC28" i="4"/>
  <c r="IB28" i="4"/>
  <c r="IA28" i="4"/>
  <c r="HZ28" i="4"/>
  <c r="HY28" i="4"/>
  <c r="HX28" i="4"/>
  <c r="HW28" i="4"/>
  <c r="HV28" i="4"/>
  <c r="HU28" i="4"/>
  <c r="HT28" i="4"/>
  <c r="HS28" i="4"/>
  <c r="HR28" i="4"/>
  <c r="HQ28" i="4"/>
  <c r="HP28" i="4"/>
  <c r="HO28" i="4"/>
  <c r="HN28" i="4"/>
  <c r="HM28" i="4"/>
  <c r="HL28" i="4"/>
  <c r="HK28" i="4"/>
  <c r="HJ28" i="4"/>
  <c r="HI28" i="4"/>
  <c r="HH28" i="4"/>
  <c r="HG28" i="4"/>
  <c r="HF28" i="4"/>
  <c r="HE28" i="4"/>
  <c r="HD28" i="4"/>
  <c r="HC28" i="4"/>
  <c r="HB28" i="4"/>
  <c r="HA28" i="4"/>
  <c r="GZ28" i="4"/>
  <c r="GY28" i="4"/>
  <c r="GX28" i="4"/>
  <c r="GW28" i="4"/>
  <c r="GV28" i="4"/>
  <c r="GU28" i="4"/>
  <c r="GT28" i="4"/>
  <c r="GS28" i="4"/>
  <c r="GR28" i="4"/>
  <c r="GQ28" i="4"/>
  <c r="GP28" i="4"/>
  <c r="GO28" i="4"/>
  <c r="GN28" i="4"/>
  <c r="GM28" i="4"/>
  <c r="GL28" i="4"/>
  <c r="GK28" i="4"/>
  <c r="GJ28" i="4"/>
  <c r="GI28" i="4"/>
  <c r="GH28" i="4"/>
  <c r="GG28" i="4"/>
  <c r="GF28" i="4"/>
  <c r="GE28" i="4"/>
  <c r="GD28" i="4"/>
  <c r="GC28" i="4"/>
  <c r="GB28" i="4"/>
  <c r="GA28" i="4"/>
  <c r="FZ28" i="4"/>
  <c r="FY28" i="4"/>
  <c r="FX28" i="4"/>
  <c r="FW28" i="4"/>
  <c r="FV28" i="4"/>
  <c r="FU28" i="4"/>
  <c r="FT28" i="4"/>
  <c r="FS28" i="4"/>
  <c r="FR28" i="4"/>
  <c r="FQ28" i="4"/>
  <c r="FP28" i="4"/>
  <c r="FO28" i="4"/>
  <c r="FN28" i="4"/>
  <c r="FM28" i="4"/>
  <c r="FL28" i="4"/>
  <c r="FK28" i="4"/>
  <c r="FJ28" i="4"/>
  <c r="FI28" i="4"/>
  <c r="FH28" i="4"/>
  <c r="FG28" i="4"/>
  <c r="FF28" i="4"/>
  <c r="FE28" i="4"/>
  <c r="FD28" i="4"/>
  <c r="FC28" i="4"/>
  <c r="FB28" i="4"/>
  <c r="FA28" i="4"/>
  <c r="EZ28" i="4"/>
  <c r="EY28" i="4"/>
  <c r="EX28" i="4"/>
  <c r="EW28" i="4"/>
  <c r="EV28" i="4"/>
  <c r="EU28" i="4"/>
  <c r="ET28" i="4"/>
  <c r="ES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F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IL27" i="4"/>
  <c r="IK27" i="4"/>
  <c r="IJ27" i="4"/>
  <c r="II27" i="4"/>
  <c r="IH27" i="4"/>
  <c r="IG27" i="4"/>
  <c r="IF27" i="4"/>
  <c r="IE27" i="4"/>
  <c r="ID27" i="4"/>
  <c r="IC27" i="4"/>
  <c r="IB27" i="4"/>
  <c r="IA27" i="4"/>
  <c r="HZ27" i="4"/>
  <c r="HY27" i="4"/>
  <c r="HX27" i="4"/>
  <c r="HW27" i="4"/>
  <c r="HV27" i="4"/>
  <c r="HU27" i="4"/>
  <c r="HT27" i="4"/>
  <c r="HS27" i="4"/>
  <c r="HR27" i="4"/>
  <c r="HQ27" i="4"/>
  <c r="HP27" i="4"/>
  <c r="HO27" i="4"/>
  <c r="HN27" i="4"/>
  <c r="HM27" i="4"/>
  <c r="HL27" i="4"/>
  <c r="HK27" i="4"/>
  <c r="HJ27" i="4"/>
  <c r="HI27" i="4"/>
  <c r="HH27" i="4"/>
  <c r="HG27" i="4"/>
  <c r="HF27" i="4"/>
  <c r="HE27" i="4"/>
  <c r="HD27" i="4"/>
  <c r="HC27" i="4"/>
  <c r="HB27" i="4"/>
  <c r="HA27" i="4"/>
  <c r="GZ27" i="4"/>
  <c r="GY27" i="4"/>
  <c r="GX27" i="4"/>
  <c r="GW27" i="4"/>
  <c r="GV27" i="4"/>
  <c r="GU27" i="4"/>
  <c r="GT27" i="4"/>
  <c r="GS27" i="4"/>
  <c r="GR27" i="4"/>
  <c r="GQ27" i="4"/>
  <c r="GP27" i="4"/>
  <c r="GO27" i="4"/>
  <c r="GN27" i="4"/>
  <c r="GM27" i="4"/>
  <c r="GL27" i="4"/>
  <c r="GK27" i="4"/>
  <c r="GJ27" i="4"/>
  <c r="GI27" i="4"/>
  <c r="GH27" i="4"/>
  <c r="GG27" i="4"/>
  <c r="GF27" i="4"/>
  <c r="GE27" i="4"/>
  <c r="GD27" i="4"/>
  <c r="GC27" i="4"/>
  <c r="GB27" i="4"/>
  <c r="GA27" i="4"/>
  <c r="FZ27" i="4"/>
  <c r="FY27" i="4"/>
  <c r="FX27" i="4"/>
  <c r="FW27" i="4"/>
  <c r="FV27" i="4"/>
  <c r="FU27" i="4"/>
  <c r="FT27" i="4"/>
  <c r="FS27" i="4"/>
  <c r="FR27" i="4"/>
  <c r="FQ27" i="4"/>
  <c r="FP27" i="4"/>
  <c r="FO27" i="4"/>
  <c r="FN27" i="4"/>
  <c r="FM27" i="4"/>
  <c r="FL27" i="4"/>
  <c r="FK27" i="4"/>
  <c r="FJ27" i="4"/>
  <c r="FI27" i="4"/>
  <c r="FH27" i="4"/>
  <c r="FG27" i="4"/>
  <c r="FF27" i="4"/>
  <c r="FE27" i="4"/>
  <c r="FD27" i="4"/>
  <c r="FC27" i="4"/>
  <c r="FB27" i="4"/>
  <c r="FA27" i="4"/>
  <c r="EZ27" i="4"/>
  <c r="EY27" i="4"/>
  <c r="EX27" i="4"/>
  <c r="EW27" i="4"/>
  <c r="EV27" i="4"/>
  <c r="EU27" i="4"/>
  <c r="ET27" i="4"/>
  <c r="ES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F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IL26" i="4"/>
  <c r="IK26" i="4"/>
  <c r="IJ26" i="4"/>
  <c r="II26" i="4"/>
  <c r="IH26" i="4"/>
  <c r="IG26" i="4"/>
  <c r="IF26" i="4"/>
  <c r="IE26" i="4"/>
  <c r="ID26" i="4"/>
  <c r="IC26" i="4"/>
  <c r="IB26" i="4"/>
  <c r="IA26" i="4"/>
  <c r="HZ26" i="4"/>
  <c r="HY26" i="4"/>
  <c r="HX26" i="4"/>
  <c r="HW26" i="4"/>
  <c r="HV26" i="4"/>
  <c r="HU26" i="4"/>
  <c r="HT26" i="4"/>
  <c r="HS26" i="4"/>
  <c r="HR26" i="4"/>
  <c r="HQ26" i="4"/>
  <c r="HP26" i="4"/>
  <c r="HO26" i="4"/>
  <c r="HN26" i="4"/>
  <c r="HM26" i="4"/>
  <c r="HL26" i="4"/>
  <c r="HK26" i="4"/>
  <c r="HJ26" i="4"/>
  <c r="HI26" i="4"/>
  <c r="HH26" i="4"/>
  <c r="HG26" i="4"/>
  <c r="HF26" i="4"/>
  <c r="HE26" i="4"/>
  <c r="HD26" i="4"/>
  <c r="HC26" i="4"/>
  <c r="HB26" i="4"/>
  <c r="HA26" i="4"/>
  <c r="GZ26" i="4"/>
  <c r="GY26" i="4"/>
  <c r="GX26" i="4"/>
  <c r="GW26" i="4"/>
  <c r="GV26" i="4"/>
  <c r="GU26" i="4"/>
  <c r="GT26" i="4"/>
  <c r="GS26" i="4"/>
  <c r="GR26" i="4"/>
  <c r="GQ26" i="4"/>
  <c r="GP26" i="4"/>
  <c r="GO26" i="4"/>
  <c r="GN26" i="4"/>
  <c r="GM26" i="4"/>
  <c r="GL26" i="4"/>
  <c r="GK26" i="4"/>
  <c r="GJ26" i="4"/>
  <c r="GI26" i="4"/>
  <c r="GH26" i="4"/>
  <c r="GG26" i="4"/>
  <c r="GF26" i="4"/>
  <c r="GE26" i="4"/>
  <c r="GD26" i="4"/>
  <c r="GC26" i="4"/>
  <c r="GB26" i="4"/>
  <c r="GA26" i="4"/>
  <c r="FZ26" i="4"/>
  <c r="FY26" i="4"/>
  <c r="FX26" i="4"/>
  <c r="FW26" i="4"/>
  <c r="FV26" i="4"/>
  <c r="FU26" i="4"/>
  <c r="FT26" i="4"/>
  <c r="FS26" i="4"/>
  <c r="FR26" i="4"/>
  <c r="FQ26" i="4"/>
  <c r="FP26" i="4"/>
  <c r="FO26" i="4"/>
  <c r="FN26" i="4"/>
  <c r="FM26" i="4"/>
  <c r="FL26" i="4"/>
  <c r="FK26" i="4"/>
  <c r="FJ26" i="4"/>
  <c r="FI26" i="4"/>
  <c r="FH26" i="4"/>
  <c r="FG26" i="4"/>
  <c r="FF26" i="4"/>
  <c r="FE26" i="4"/>
  <c r="FD26" i="4"/>
  <c r="FC26" i="4"/>
  <c r="FB26" i="4"/>
  <c r="FA26" i="4"/>
  <c r="EZ26" i="4"/>
  <c r="EY26" i="4"/>
  <c r="EX26" i="4"/>
  <c r="EW26" i="4"/>
  <c r="EV26" i="4"/>
  <c r="EU26" i="4"/>
  <c r="ET26" i="4"/>
  <c r="ES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IL25" i="4"/>
  <c r="IK25" i="4"/>
  <c r="IJ25" i="4"/>
  <c r="II25" i="4"/>
  <c r="IH25" i="4"/>
  <c r="IG25" i="4"/>
  <c r="IF25" i="4"/>
  <c r="IE25" i="4"/>
  <c r="ID25" i="4"/>
  <c r="IC25" i="4"/>
  <c r="IB25" i="4"/>
  <c r="IA25" i="4"/>
  <c r="HZ25" i="4"/>
  <c r="HY25" i="4"/>
  <c r="HX25" i="4"/>
  <c r="HW25" i="4"/>
  <c r="HV25" i="4"/>
  <c r="HU25" i="4"/>
  <c r="HT25" i="4"/>
  <c r="HS25" i="4"/>
  <c r="HR25" i="4"/>
  <c r="HQ25" i="4"/>
  <c r="HP25" i="4"/>
  <c r="HO25" i="4"/>
  <c r="HN25" i="4"/>
  <c r="HM25" i="4"/>
  <c r="HL25" i="4"/>
  <c r="HK25" i="4"/>
  <c r="HJ25" i="4"/>
  <c r="HI25" i="4"/>
  <c r="HH25" i="4"/>
  <c r="HG25" i="4"/>
  <c r="HF25" i="4"/>
  <c r="HE25" i="4"/>
  <c r="HD25" i="4"/>
  <c r="HC25" i="4"/>
  <c r="HB25" i="4"/>
  <c r="HA25" i="4"/>
  <c r="GZ25" i="4"/>
  <c r="GY25" i="4"/>
  <c r="GX25" i="4"/>
  <c r="GW25" i="4"/>
  <c r="GV25" i="4"/>
  <c r="GU25" i="4"/>
  <c r="GT25" i="4"/>
  <c r="GS25" i="4"/>
  <c r="GR25" i="4"/>
  <c r="GQ25" i="4"/>
  <c r="GP25" i="4"/>
  <c r="GO25" i="4"/>
  <c r="GN25" i="4"/>
  <c r="GM25" i="4"/>
  <c r="GL25" i="4"/>
  <c r="GK25" i="4"/>
  <c r="GJ25" i="4"/>
  <c r="GI25" i="4"/>
  <c r="GH25" i="4"/>
  <c r="GG25" i="4"/>
  <c r="GF25" i="4"/>
  <c r="GE25" i="4"/>
  <c r="GD25" i="4"/>
  <c r="GC25" i="4"/>
  <c r="GB25" i="4"/>
  <c r="GA25" i="4"/>
  <c r="FZ25" i="4"/>
  <c r="FY25" i="4"/>
  <c r="FX25" i="4"/>
  <c r="FW25" i="4"/>
  <c r="FV25" i="4"/>
  <c r="FU25" i="4"/>
  <c r="FT25" i="4"/>
  <c r="FS25" i="4"/>
  <c r="FR25" i="4"/>
  <c r="FQ25" i="4"/>
  <c r="FP25" i="4"/>
  <c r="FO25" i="4"/>
  <c r="FN25" i="4"/>
  <c r="FM25" i="4"/>
  <c r="FL25" i="4"/>
  <c r="FK25" i="4"/>
  <c r="FJ25" i="4"/>
  <c r="FI25" i="4"/>
  <c r="FH25" i="4"/>
  <c r="FG25" i="4"/>
  <c r="FF25" i="4"/>
  <c r="FE25" i="4"/>
  <c r="FD25" i="4"/>
  <c r="FC25" i="4"/>
  <c r="FB25" i="4"/>
  <c r="FA25" i="4"/>
  <c r="EZ25" i="4"/>
  <c r="EY25" i="4"/>
  <c r="EX25" i="4"/>
  <c r="EW25" i="4"/>
  <c r="EV25" i="4"/>
  <c r="EU25" i="4"/>
  <c r="ET25" i="4"/>
  <c r="ES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F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IL24" i="4"/>
  <c r="IK24" i="4"/>
  <c r="IJ24" i="4"/>
  <c r="II24" i="4"/>
  <c r="IH24" i="4"/>
  <c r="IG24" i="4"/>
  <c r="IF24" i="4"/>
  <c r="IE24" i="4"/>
  <c r="ID24" i="4"/>
  <c r="IC24" i="4"/>
  <c r="IB24" i="4"/>
  <c r="IA24" i="4"/>
  <c r="HZ24" i="4"/>
  <c r="HY24" i="4"/>
  <c r="HX24" i="4"/>
  <c r="HW24" i="4"/>
  <c r="HV24" i="4"/>
  <c r="HU24" i="4"/>
  <c r="HT24" i="4"/>
  <c r="HS24" i="4"/>
  <c r="HR24" i="4"/>
  <c r="HQ24" i="4"/>
  <c r="HP24" i="4"/>
  <c r="HO24" i="4"/>
  <c r="HN24" i="4"/>
  <c r="HM24" i="4"/>
  <c r="HL24" i="4"/>
  <c r="HK24" i="4"/>
  <c r="HJ24" i="4"/>
  <c r="HI24" i="4"/>
  <c r="HH24" i="4"/>
  <c r="HG24" i="4"/>
  <c r="HF24" i="4"/>
  <c r="HE24" i="4"/>
  <c r="HD24" i="4"/>
  <c r="HC24" i="4"/>
  <c r="HB24" i="4"/>
  <c r="HA24" i="4"/>
  <c r="GZ24" i="4"/>
  <c r="GY24" i="4"/>
  <c r="GX24" i="4"/>
  <c r="GW24" i="4"/>
  <c r="GV24" i="4"/>
  <c r="GU24" i="4"/>
  <c r="GT24" i="4"/>
  <c r="GS24" i="4"/>
  <c r="GR24" i="4"/>
  <c r="GQ24" i="4"/>
  <c r="GP24" i="4"/>
  <c r="GO24" i="4"/>
  <c r="GN24" i="4"/>
  <c r="GM24" i="4"/>
  <c r="GL24" i="4"/>
  <c r="GK24" i="4"/>
  <c r="GJ24" i="4"/>
  <c r="GI24" i="4"/>
  <c r="GH24" i="4"/>
  <c r="GG24" i="4"/>
  <c r="GF24" i="4"/>
  <c r="GE24" i="4"/>
  <c r="GD24" i="4"/>
  <c r="GC24" i="4"/>
  <c r="GB24" i="4"/>
  <c r="GA24" i="4"/>
  <c r="FZ24" i="4"/>
  <c r="FY24" i="4"/>
  <c r="FX24" i="4"/>
  <c r="FW24" i="4"/>
  <c r="FV24" i="4"/>
  <c r="FU24" i="4"/>
  <c r="FT24" i="4"/>
  <c r="FS24" i="4"/>
  <c r="FR24" i="4"/>
  <c r="FQ24" i="4"/>
  <c r="FP24" i="4"/>
  <c r="FO24" i="4"/>
  <c r="FN24" i="4"/>
  <c r="FM24" i="4"/>
  <c r="FL24" i="4"/>
  <c r="FK24" i="4"/>
  <c r="FJ24" i="4"/>
  <c r="FI24" i="4"/>
  <c r="FH24" i="4"/>
  <c r="FG24" i="4"/>
  <c r="FF24" i="4"/>
  <c r="FE24" i="4"/>
  <c r="FD24" i="4"/>
  <c r="FC24" i="4"/>
  <c r="FB24" i="4"/>
  <c r="FA24" i="4"/>
  <c r="EZ24" i="4"/>
  <c r="EY24" i="4"/>
  <c r="EX24" i="4"/>
  <c r="EW24" i="4"/>
  <c r="EV24" i="4"/>
  <c r="EU24" i="4"/>
  <c r="ET24" i="4"/>
  <c r="ES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IL23" i="4"/>
  <c r="IK23" i="4"/>
  <c r="IJ23" i="4"/>
  <c r="II23" i="4"/>
  <c r="IH23" i="4"/>
  <c r="IG23" i="4"/>
  <c r="IF23" i="4"/>
  <c r="IE23" i="4"/>
  <c r="ID23" i="4"/>
  <c r="IC23" i="4"/>
  <c r="IB23" i="4"/>
  <c r="IA23" i="4"/>
  <c r="HZ23" i="4"/>
  <c r="HY23" i="4"/>
  <c r="HX23" i="4"/>
  <c r="HW23" i="4"/>
  <c r="HV23" i="4"/>
  <c r="HU23" i="4"/>
  <c r="HT23" i="4"/>
  <c r="HS23" i="4"/>
  <c r="HR23" i="4"/>
  <c r="HQ23" i="4"/>
  <c r="HP23" i="4"/>
  <c r="HO23" i="4"/>
  <c r="HN23" i="4"/>
  <c r="HM23" i="4"/>
  <c r="HL23" i="4"/>
  <c r="HK23" i="4"/>
  <c r="HJ23" i="4"/>
  <c r="HI23" i="4"/>
  <c r="HH23" i="4"/>
  <c r="HG23" i="4"/>
  <c r="HF23" i="4"/>
  <c r="HE23" i="4"/>
  <c r="HD23" i="4"/>
  <c r="HC23" i="4"/>
  <c r="HB23" i="4"/>
  <c r="HA23" i="4"/>
  <c r="GZ23" i="4"/>
  <c r="GY23" i="4"/>
  <c r="GX23" i="4"/>
  <c r="GW23" i="4"/>
  <c r="GV23" i="4"/>
  <c r="GU23" i="4"/>
  <c r="GT23" i="4"/>
  <c r="GS23" i="4"/>
  <c r="GR23" i="4"/>
  <c r="GQ23" i="4"/>
  <c r="GP23" i="4"/>
  <c r="GO23" i="4"/>
  <c r="GN23" i="4"/>
  <c r="GM23" i="4"/>
  <c r="GL23" i="4"/>
  <c r="GK23" i="4"/>
  <c r="GJ23" i="4"/>
  <c r="GI23" i="4"/>
  <c r="GH23" i="4"/>
  <c r="GG23" i="4"/>
  <c r="GF23" i="4"/>
  <c r="GE23" i="4"/>
  <c r="GD23" i="4"/>
  <c r="GC23" i="4"/>
  <c r="GB23" i="4"/>
  <c r="GA23" i="4"/>
  <c r="FZ23" i="4"/>
  <c r="FY23" i="4"/>
  <c r="FX23" i="4"/>
  <c r="FW23" i="4"/>
  <c r="FV23" i="4"/>
  <c r="FU23" i="4"/>
  <c r="FT23" i="4"/>
  <c r="FS23" i="4"/>
  <c r="FR23" i="4"/>
  <c r="FQ23" i="4"/>
  <c r="FP23" i="4"/>
  <c r="FO23" i="4"/>
  <c r="FN23" i="4"/>
  <c r="FM23" i="4"/>
  <c r="FL23" i="4"/>
  <c r="FK23" i="4"/>
  <c r="FJ23" i="4"/>
  <c r="FI23" i="4"/>
  <c r="FH23" i="4"/>
  <c r="FG23" i="4"/>
  <c r="FF23" i="4"/>
  <c r="FE23" i="4"/>
  <c r="FD23" i="4"/>
  <c r="FC23" i="4"/>
  <c r="FB23" i="4"/>
  <c r="FA23" i="4"/>
  <c r="EZ23" i="4"/>
  <c r="EY23" i="4"/>
  <c r="EX23" i="4"/>
  <c r="EW23" i="4"/>
  <c r="EV23" i="4"/>
  <c r="EU23" i="4"/>
  <c r="ET23" i="4"/>
  <c r="ES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F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IL22" i="4"/>
  <c r="IK22" i="4"/>
  <c r="IJ22" i="4"/>
  <c r="II22" i="4"/>
  <c r="IH22" i="4"/>
  <c r="IG22" i="4"/>
  <c r="IF22" i="4"/>
  <c r="IE22" i="4"/>
  <c r="ID22" i="4"/>
  <c r="IC22" i="4"/>
  <c r="IB22" i="4"/>
  <c r="IA22" i="4"/>
  <c r="HZ22" i="4"/>
  <c r="HY22" i="4"/>
  <c r="HX22" i="4"/>
  <c r="HW22" i="4"/>
  <c r="HV22" i="4"/>
  <c r="HU22" i="4"/>
  <c r="HT22" i="4"/>
  <c r="HS22" i="4"/>
  <c r="HR22" i="4"/>
  <c r="HQ22" i="4"/>
  <c r="HP22" i="4"/>
  <c r="HO22" i="4"/>
  <c r="HN22" i="4"/>
  <c r="HM22" i="4"/>
  <c r="HL22" i="4"/>
  <c r="HK22" i="4"/>
  <c r="HJ22" i="4"/>
  <c r="HI22" i="4"/>
  <c r="HH22" i="4"/>
  <c r="HG22" i="4"/>
  <c r="HF22" i="4"/>
  <c r="HE22" i="4"/>
  <c r="HD22" i="4"/>
  <c r="HC22" i="4"/>
  <c r="HB22" i="4"/>
  <c r="HA22" i="4"/>
  <c r="GZ22" i="4"/>
  <c r="GY22" i="4"/>
  <c r="GX22" i="4"/>
  <c r="GW22" i="4"/>
  <c r="GV22" i="4"/>
  <c r="GU22" i="4"/>
  <c r="GT22" i="4"/>
  <c r="GS22" i="4"/>
  <c r="GR22" i="4"/>
  <c r="GQ22" i="4"/>
  <c r="GP22" i="4"/>
  <c r="GO22" i="4"/>
  <c r="GN22" i="4"/>
  <c r="GM22" i="4"/>
  <c r="GL22" i="4"/>
  <c r="GK22" i="4"/>
  <c r="GJ22" i="4"/>
  <c r="GI22" i="4"/>
  <c r="GH22" i="4"/>
  <c r="GG22" i="4"/>
  <c r="GF22" i="4"/>
  <c r="GE22" i="4"/>
  <c r="GD22" i="4"/>
  <c r="GC22" i="4"/>
  <c r="GB22" i="4"/>
  <c r="GA22" i="4"/>
  <c r="FZ22" i="4"/>
  <c r="FY22" i="4"/>
  <c r="FX22" i="4"/>
  <c r="FW22" i="4"/>
  <c r="FV22" i="4"/>
  <c r="FU22" i="4"/>
  <c r="FT22" i="4"/>
  <c r="FS22" i="4"/>
  <c r="FR22" i="4"/>
  <c r="FQ22" i="4"/>
  <c r="FP22" i="4"/>
  <c r="FO22" i="4"/>
  <c r="FN22" i="4"/>
  <c r="FM22" i="4"/>
  <c r="FL22" i="4"/>
  <c r="FK22" i="4"/>
  <c r="FJ22" i="4"/>
  <c r="FI22" i="4"/>
  <c r="FH22" i="4"/>
  <c r="FG22" i="4"/>
  <c r="FF22" i="4"/>
  <c r="FE22" i="4"/>
  <c r="FD22" i="4"/>
  <c r="FC22" i="4"/>
  <c r="FB22" i="4"/>
  <c r="FA22" i="4"/>
  <c r="EZ22" i="4"/>
  <c r="EY22" i="4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B6" i="5"/>
  <c r="C6" i="5"/>
  <c r="E9" i="5" s="1"/>
  <c r="A13" i="4"/>
  <c r="B6" i="4"/>
  <c r="B3" i="3"/>
  <c r="B3" i="4" s="1"/>
  <c r="B5" i="4" s="1"/>
  <c r="B8" i="4" s="1"/>
  <c r="B15" i="6"/>
  <c r="C15" i="6" s="1"/>
  <c r="B83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EZ19" i="4"/>
  <c r="FA19" i="4"/>
  <c r="FB19" i="4"/>
  <c r="FC19" i="4"/>
  <c r="FD19" i="4"/>
  <c r="FE19" i="4"/>
  <c r="FF19" i="4"/>
  <c r="FG19" i="4"/>
  <c r="FH19" i="4"/>
  <c r="FI19" i="4"/>
  <c r="FJ19" i="4"/>
  <c r="FK19" i="4"/>
  <c r="FL19" i="4"/>
  <c r="FM19" i="4"/>
  <c r="FN19" i="4"/>
  <c r="FO19" i="4"/>
  <c r="FP19" i="4"/>
  <c r="FQ19" i="4"/>
  <c r="FR19" i="4"/>
  <c r="FS19" i="4"/>
  <c r="FT19" i="4"/>
  <c r="FU19" i="4"/>
  <c r="FV19" i="4"/>
  <c r="FW19" i="4"/>
  <c r="FX19" i="4"/>
  <c r="FY19" i="4"/>
  <c r="FZ19" i="4"/>
  <c r="GA19" i="4"/>
  <c r="GB19" i="4"/>
  <c r="GC19" i="4"/>
  <c r="GD19" i="4"/>
  <c r="GE19" i="4"/>
  <c r="GF19" i="4"/>
  <c r="GG19" i="4"/>
  <c r="GH19" i="4"/>
  <c r="GI19" i="4"/>
  <c r="GJ19" i="4"/>
  <c r="GK19" i="4"/>
  <c r="GL19" i="4"/>
  <c r="GM19" i="4"/>
  <c r="GN19" i="4"/>
  <c r="GO19" i="4"/>
  <c r="GP19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HI19" i="4"/>
  <c r="HJ19" i="4"/>
  <c r="HK19" i="4"/>
  <c r="HL19" i="4"/>
  <c r="HM19" i="4"/>
  <c r="HN19" i="4"/>
  <c r="HO19" i="4"/>
  <c r="HP19" i="4"/>
  <c r="HQ19" i="4"/>
  <c r="HR19" i="4"/>
  <c r="HS19" i="4"/>
  <c r="HT19" i="4"/>
  <c r="HU19" i="4"/>
  <c r="HV19" i="4"/>
  <c r="HW19" i="4"/>
  <c r="HX19" i="4"/>
  <c r="HY19" i="4"/>
  <c r="HZ19" i="4"/>
  <c r="IA19" i="4"/>
  <c r="IB19" i="4"/>
  <c r="IC19" i="4"/>
  <c r="ID19" i="4"/>
  <c r="IE19" i="4"/>
  <c r="IF19" i="4"/>
  <c r="IG19" i="4"/>
  <c r="IH19" i="4"/>
  <c r="II19" i="4"/>
  <c r="IJ19" i="4"/>
  <c r="IK19" i="4"/>
  <c r="IL19" i="4"/>
  <c r="A14" i="4"/>
  <c r="A15" i="4"/>
  <c r="H5" i="1"/>
  <c r="E5" i="1"/>
  <c r="D5" i="1"/>
  <c r="E2" i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D2" i="1"/>
  <c r="D3" i="1"/>
  <c r="D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N65" i="5" l="1"/>
  <c r="N17" i="5"/>
  <c r="N25" i="5"/>
  <c r="N33" i="5"/>
  <c r="N41" i="5"/>
  <c r="N49" i="5"/>
  <c r="N57" i="5"/>
  <c r="N20" i="5"/>
  <c r="N28" i="5"/>
  <c r="N36" i="5"/>
  <c r="N44" i="5"/>
  <c r="N52" i="5"/>
  <c r="N60" i="5"/>
  <c r="N15" i="5"/>
  <c r="N23" i="5"/>
  <c r="N31" i="5"/>
  <c r="N39" i="5"/>
  <c r="N47" i="5"/>
  <c r="N63" i="5"/>
  <c r="N18" i="5"/>
  <c r="N26" i="5"/>
  <c r="N34" i="5"/>
  <c r="N42" i="5"/>
  <c r="N50" i="5"/>
  <c r="N58" i="5"/>
  <c r="N55" i="5"/>
  <c r="N13" i="5"/>
  <c r="N21" i="5"/>
  <c r="N29" i="5"/>
  <c r="N37" i="5"/>
  <c r="N45" i="5"/>
  <c r="N53" i="5"/>
  <c r="N61" i="5"/>
  <c r="N16" i="5"/>
  <c r="N24" i="5"/>
  <c r="N32" i="5"/>
  <c r="N40" i="5"/>
  <c r="N48" i="5"/>
  <c r="N56" i="5"/>
  <c r="N64" i="5"/>
  <c r="N19" i="5"/>
  <c r="N27" i="5"/>
  <c r="N35" i="5"/>
  <c r="N43" i="5"/>
  <c r="N51" i="5"/>
  <c r="N59" i="5"/>
  <c r="N14" i="5"/>
  <c r="N22" i="5"/>
  <c r="N30" i="5"/>
  <c r="N38" i="5"/>
  <c r="N46" i="5"/>
  <c r="N54" i="5"/>
  <c r="N62" i="5"/>
  <c r="E15" i="6"/>
  <c r="B14" i="4"/>
  <c r="B7" i="4"/>
  <c r="B9" i="5"/>
  <c r="C9" i="5"/>
  <c r="B13" i="4"/>
  <c r="B15" i="4"/>
  <c r="B16" i="5"/>
  <c r="D5" i="4"/>
  <c r="L5" i="4"/>
  <c r="E5" i="4"/>
  <c r="M5" i="4"/>
  <c r="F5" i="4"/>
  <c r="I5" i="4"/>
  <c r="G5" i="4"/>
  <c r="H5" i="4"/>
  <c r="J5" i="4"/>
  <c r="C5" i="4"/>
  <c r="K5" i="4"/>
  <c r="B5" i="3"/>
  <c r="B17" i="5"/>
  <c r="B22" i="5"/>
  <c r="B24" i="5"/>
  <c r="B15" i="5"/>
  <c r="B23" i="5"/>
  <c r="B21" i="5"/>
  <c r="B19" i="5"/>
  <c r="B18" i="5"/>
  <c r="IK82" i="4"/>
  <c r="HU82" i="4"/>
  <c r="HE82" i="4"/>
  <c r="GO82" i="4"/>
  <c r="FY82" i="4"/>
  <c r="FI82" i="4"/>
  <c r="ES82" i="4"/>
  <c r="EC82" i="4"/>
  <c r="DM82" i="4"/>
  <c r="CW82" i="4"/>
  <c r="CG82" i="4"/>
  <c r="BQ82" i="4"/>
  <c r="BA82" i="4"/>
  <c r="AK82" i="4"/>
  <c r="M82" i="4"/>
  <c r="IJ82" i="4"/>
  <c r="IB82" i="4"/>
  <c r="HT82" i="4"/>
  <c r="HL82" i="4"/>
  <c r="HD82" i="4"/>
  <c r="GV82" i="4"/>
  <c r="GN82" i="4"/>
  <c r="GF82" i="4"/>
  <c r="FX82" i="4"/>
  <c r="FP82" i="4"/>
  <c r="FH82" i="4"/>
  <c r="EZ82" i="4"/>
  <c r="ER82" i="4"/>
  <c r="EJ82" i="4"/>
  <c r="EB82" i="4"/>
  <c r="DT82" i="4"/>
  <c r="DL82" i="4"/>
  <c r="DD82" i="4"/>
  <c r="CV82" i="4"/>
  <c r="CN82" i="4"/>
  <c r="CF82" i="4"/>
  <c r="BX82" i="4"/>
  <c r="BP82" i="4"/>
  <c r="BH82" i="4"/>
  <c r="AZ82" i="4"/>
  <c r="AR82" i="4"/>
  <c r="AJ82" i="4"/>
  <c r="AB82" i="4"/>
  <c r="T82" i="4"/>
  <c r="L82" i="4"/>
  <c r="D82" i="4"/>
  <c r="II82" i="4"/>
  <c r="HK82" i="4"/>
  <c r="GM82" i="4"/>
  <c r="FO82" i="4"/>
  <c r="EQ82" i="4"/>
  <c r="DS82" i="4"/>
  <c r="CU82" i="4"/>
  <c r="BW82" i="4"/>
  <c r="AY82" i="4"/>
  <c r="AI82" i="4"/>
  <c r="C82" i="4"/>
  <c r="IH82" i="4"/>
  <c r="HZ82" i="4"/>
  <c r="HR82" i="4"/>
  <c r="HJ82" i="4"/>
  <c r="HB82" i="4"/>
  <c r="GT82" i="4"/>
  <c r="GL82" i="4"/>
  <c r="GD82" i="4"/>
  <c r="FV82" i="4"/>
  <c r="FN82" i="4"/>
  <c r="FF82" i="4"/>
  <c r="EX82" i="4"/>
  <c r="EP82" i="4"/>
  <c r="EH82" i="4"/>
  <c r="DZ82" i="4"/>
  <c r="DR82" i="4"/>
  <c r="DJ82" i="4"/>
  <c r="DB82" i="4"/>
  <c r="CT82" i="4"/>
  <c r="CL82" i="4"/>
  <c r="CD82" i="4"/>
  <c r="BV82" i="4"/>
  <c r="BN82" i="4"/>
  <c r="BF82" i="4"/>
  <c r="AX82" i="4"/>
  <c r="AP82" i="4"/>
  <c r="AH82" i="4"/>
  <c r="Z82" i="4"/>
  <c r="R82" i="4"/>
  <c r="J82" i="4"/>
  <c r="B82" i="4"/>
  <c r="HS82" i="4"/>
  <c r="IG82" i="4"/>
  <c r="HY82" i="4"/>
  <c r="HQ82" i="4"/>
  <c r="HI82" i="4"/>
  <c r="HA82" i="4"/>
  <c r="GS82" i="4"/>
  <c r="GK82" i="4"/>
  <c r="GC82" i="4"/>
  <c r="FU82" i="4"/>
  <c r="FM82" i="4"/>
  <c r="FE82" i="4"/>
  <c r="EW82" i="4"/>
  <c r="EO82" i="4"/>
  <c r="EG82" i="4"/>
  <c r="DY82" i="4"/>
  <c r="DQ82" i="4"/>
  <c r="DI82" i="4"/>
  <c r="DA82" i="4"/>
  <c r="CS82" i="4"/>
  <c r="CK82" i="4"/>
  <c r="CC82" i="4"/>
  <c r="BU82" i="4"/>
  <c r="BM82" i="4"/>
  <c r="BE82" i="4"/>
  <c r="AW82" i="4"/>
  <c r="AO82" i="4"/>
  <c r="AG82" i="4"/>
  <c r="Y82" i="4"/>
  <c r="Q82" i="4"/>
  <c r="I82" i="4"/>
  <c r="IA82" i="4"/>
  <c r="GU82" i="4"/>
  <c r="FW82" i="4"/>
  <c r="EY82" i="4"/>
  <c r="EA82" i="4"/>
  <c r="DC82" i="4"/>
  <c r="CE82" i="4"/>
  <c r="BG82" i="4"/>
  <c r="S82" i="4"/>
  <c r="IF82" i="4"/>
  <c r="HX82" i="4"/>
  <c r="HP82" i="4"/>
  <c r="HH82" i="4"/>
  <c r="GZ82" i="4"/>
  <c r="GR82" i="4"/>
  <c r="GJ82" i="4"/>
  <c r="GB82" i="4"/>
  <c r="FT82" i="4"/>
  <c r="FL82" i="4"/>
  <c r="FD82" i="4"/>
  <c r="EV82" i="4"/>
  <c r="EN82" i="4"/>
  <c r="EF82" i="4"/>
  <c r="DX82" i="4"/>
  <c r="DP82" i="4"/>
  <c r="DH82" i="4"/>
  <c r="CZ82" i="4"/>
  <c r="CR82" i="4"/>
  <c r="CJ82" i="4"/>
  <c r="CB82" i="4"/>
  <c r="BT82" i="4"/>
  <c r="BL82" i="4"/>
  <c r="BD82" i="4"/>
  <c r="AV82" i="4"/>
  <c r="AN82" i="4"/>
  <c r="AF82" i="4"/>
  <c r="X82" i="4"/>
  <c r="P82" i="4"/>
  <c r="H82" i="4"/>
  <c r="IB77" i="4"/>
  <c r="EZ77" i="4"/>
  <c r="BW77" i="4"/>
  <c r="HC82" i="4"/>
  <c r="GE82" i="4"/>
  <c r="FG82" i="4"/>
  <c r="EI82" i="4"/>
  <c r="DK82" i="4"/>
  <c r="CM82" i="4"/>
  <c r="BO82" i="4"/>
  <c r="AQ82" i="4"/>
  <c r="AA82" i="4"/>
  <c r="K82" i="4"/>
  <c r="IE82" i="4"/>
  <c r="HW82" i="4"/>
  <c r="HO82" i="4"/>
  <c r="HG82" i="4"/>
  <c r="GY82" i="4"/>
  <c r="GQ82" i="4"/>
  <c r="GI82" i="4"/>
  <c r="GA82" i="4"/>
  <c r="FS82" i="4"/>
  <c r="FK82" i="4"/>
  <c r="FC82" i="4"/>
  <c r="EU82" i="4"/>
  <c r="EM82" i="4"/>
  <c r="EE82" i="4"/>
  <c r="DW82" i="4"/>
  <c r="DO82" i="4"/>
  <c r="DG82" i="4"/>
  <c r="CY82" i="4"/>
  <c r="CQ82" i="4"/>
  <c r="CI82" i="4"/>
  <c r="CA82" i="4"/>
  <c r="BS82" i="4"/>
  <c r="BK82" i="4"/>
  <c r="BC82" i="4"/>
  <c r="AU82" i="4"/>
  <c r="AM82" i="4"/>
  <c r="AE82" i="4"/>
  <c r="W82" i="4"/>
  <c r="O82" i="4"/>
  <c r="G82" i="4"/>
  <c r="EN33" i="4"/>
  <c r="BL33" i="4"/>
  <c r="IH77" i="4"/>
  <c r="AG77" i="4"/>
  <c r="FX77" i="4"/>
  <c r="DL77" i="4"/>
  <c r="IL82" i="4"/>
  <c r="ID82" i="4"/>
  <c r="HV82" i="4"/>
  <c r="HN82" i="4"/>
  <c r="HF82" i="4"/>
  <c r="GX82" i="4"/>
  <c r="GP82" i="4"/>
  <c r="GH82" i="4"/>
  <c r="FZ82" i="4"/>
  <c r="FR82" i="4"/>
  <c r="FJ82" i="4"/>
  <c r="FB82" i="4"/>
  <c r="ET82" i="4"/>
  <c r="EL82" i="4"/>
  <c r="ED82" i="4"/>
  <c r="DV82" i="4"/>
  <c r="DN82" i="4"/>
  <c r="DF82" i="4"/>
  <c r="CX82" i="4"/>
  <c r="CP82" i="4"/>
  <c r="CH82" i="4"/>
  <c r="BZ82" i="4"/>
  <c r="BR82" i="4"/>
  <c r="BJ82" i="4"/>
  <c r="BB82" i="4"/>
  <c r="AT82" i="4"/>
  <c r="AL82" i="4"/>
  <c r="AD82" i="4"/>
  <c r="V82" i="4"/>
  <c r="N82" i="4"/>
  <c r="F82" i="4"/>
  <c r="GY33" i="4"/>
  <c r="EM33" i="4"/>
  <c r="CA33" i="4"/>
  <c r="O33" i="4"/>
  <c r="HA77" i="4"/>
  <c r="FE77" i="4"/>
  <c r="EG77" i="4"/>
  <c r="CS77" i="4"/>
  <c r="CC77" i="4"/>
  <c r="IJ77" i="4"/>
  <c r="HZ77" i="4"/>
  <c r="HD77" i="4"/>
  <c r="GI77" i="4"/>
  <c r="DY77" i="4"/>
  <c r="AM77" i="4"/>
  <c r="IC82" i="4"/>
  <c r="HM82" i="4"/>
  <c r="GW82" i="4"/>
  <c r="GG82" i="4"/>
  <c r="FQ82" i="4"/>
  <c r="FA82" i="4"/>
  <c r="EK82" i="4"/>
  <c r="DU82" i="4"/>
  <c r="DE82" i="4"/>
  <c r="CO82" i="4"/>
  <c r="BY82" i="4"/>
  <c r="BI82" i="4"/>
  <c r="AS82" i="4"/>
  <c r="AC82" i="4"/>
  <c r="U82" i="4"/>
  <c r="E82" i="4"/>
  <c r="II77" i="4"/>
  <c r="HY77" i="4"/>
  <c r="HC77" i="4"/>
  <c r="FV77" i="4"/>
  <c r="FH77" i="4"/>
  <c r="EW77" i="4"/>
  <c r="DJ77" i="4"/>
  <c r="CV77" i="4"/>
  <c r="CF77" i="4"/>
  <c r="BP77" i="4"/>
  <c r="AJ77" i="4"/>
  <c r="D77" i="4"/>
  <c r="HV77" i="4"/>
  <c r="B14" i="5"/>
  <c r="B20" i="5"/>
  <c r="B13" i="5"/>
  <c r="B16" i="6"/>
  <c r="H2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D9" i="5" l="1"/>
  <c r="I29" i="5" a="1"/>
  <c r="I29" i="5" s="1"/>
  <c r="H29" i="5" s="1"/>
  <c r="I17" i="5" a="1"/>
  <c r="I17" i="5" s="1"/>
  <c r="H17" i="5" s="1"/>
  <c r="I15" i="5" a="1"/>
  <c r="I15" i="5" s="1"/>
  <c r="J15" i="5" s="1"/>
  <c r="I14" i="5" a="1"/>
  <c r="I14" i="5" s="1"/>
  <c r="H14" i="5" s="1"/>
  <c r="I23" i="5" a="1"/>
  <c r="I23" i="5" s="1"/>
  <c r="J23" i="5" s="1"/>
  <c r="I19" i="5" a="1"/>
  <c r="I19" i="5" s="1"/>
  <c r="I24" i="5" a="1"/>
  <c r="I24" i="5" s="1"/>
  <c r="I21" i="5" a="1"/>
  <c r="I21" i="5" s="1"/>
  <c r="I28" i="5" a="1"/>
  <c r="I28" i="5" s="1"/>
  <c r="I16" i="5" a="1"/>
  <c r="I16" i="5" s="1"/>
  <c r="I13" i="5" a="1"/>
  <c r="I13" i="5" s="1"/>
  <c r="I18" i="5" a="1"/>
  <c r="I18" i="5" s="1"/>
  <c r="I30" i="5" a="1"/>
  <c r="I30" i="5" s="1"/>
  <c r="I20" i="5" a="1"/>
  <c r="I20" i="5" s="1"/>
  <c r="I27" i="5" a="1"/>
  <c r="I27" i="5" s="1"/>
  <c r="I22" i="5" a="1"/>
  <c r="I22" i="5" s="1"/>
  <c r="C16" i="6"/>
  <c r="E16" i="6"/>
  <c r="D18" i="5"/>
  <c r="C18" i="5"/>
  <c r="M15" i="4"/>
  <c r="N15" i="4" s="1"/>
  <c r="M13" i="4"/>
  <c r="N13" i="4" s="1"/>
  <c r="M7" i="4"/>
  <c r="M14" i="4"/>
  <c r="N14" i="4" s="1"/>
  <c r="M8" i="4"/>
  <c r="D19" i="5"/>
  <c r="C19" i="5"/>
  <c r="K8" i="4"/>
  <c r="K15" i="4"/>
  <c r="K13" i="4"/>
  <c r="K7" i="4"/>
  <c r="K14" i="4"/>
  <c r="E15" i="4"/>
  <c r="E13" i="4"/>
  <c r="E7" i="4"/>
  <c r="E14" i="4"/>
  <c r="E8" i="4"/>
  <c r="D13" i="5"/>
  <c r="C13" i="5"/>
  <c r="J8" i="4"/>
  <c r="J15" i="4"/>
  <c r="J13" i="4"/>
  <c r="J14" i="4"/>
  <c r="J7" i="4"/>
  <c r="D14" i="5"/>
  <c r="C14" i="5"/>
  <c r="G7" i="4"/>
  <c r="G14" i="4"/>
  <c r="G8" i="4"/>
  <c r="G15" i="4"/>
  <c r="G13" i="4"/>
  <c r="C8" i="4"/>
  <c r="C15" i="4"/>
  <c r="C13" i="4"/>
  <c r="C7" i="4"/>
  <c r="C14" i="4"/>
  <c r="L8" i="4"/>
  <c r="L15" i="4"/>
  <c r="L13" i="4"/>
  <c r="L7" i="4"/>
  <c r="L14" i="4"/>
  <c r="D20" i="5"/>
  <c r="C20" i="5"/>
  <c r="D15" i="5"/>
  <c r="C15" i="5"/>
  <c r="H7" i="4"/>
  <c r="H14" i="4"/>
  <c r="H8" i="4"/>
  <c r="H15" i="4"/>
  <c r="H13" i="4"/>
  <c r="D16" i="5"/>
  <c r="C16" i="5"/>
  <c r="I14" i="4"/>
  <c r="I8" i="4"/>
  <c r="I15" i="4"/>
  <c r="I13" i="4"/>
  <c r="I7" i="4"/>
  <c r="D8" i="4"/>
  <c r="D15" i="4"/>
  <c r="D13" i="4"/>
  <c r="D7" i="4"/>
  <c r="D14" i="4"/>
  <c r="D17" i="5"/>
  <c r="C17" i="5"/>
  <c r="F7" i="4"/>
  <c r="F13" i="4"/>
  <c r="F14" i="4"/>
  <c r="F15" i="4"/>
  <c r="F8" i="4"/>
  <c r="B17" i="3"/>
  <c r="B14" i="3"/>
  <c r="B11" i="3"/>
  <c r="B7" i="3"/>
  <c r="B15" i="3"/>
  <c r="B13" i="3"/>
  <c r="B9" i="3"/>
  <c r="B6" i="3"/>
  <c r="D22" i="5"/>
  <c r="C22" i="5"/>
  <c r="D21" i="5"/>
  <c r="C21" i="5"/>
  <c r="C23" i="5"/>
  <c r="D23" i="5"/>
  <c r="C24" i="5"/>
  <c r="D24" i="5"/>
  <c r="C5" i="3"/>
  <c r="K5" i="3"/>
  <c r="I5" i="3"/>
  <c r="D5" i="3"/>
  <c r="L5" i="3"/>
  <c r="E5" i="3"/>
  <c r="M5" i="3"/>
  <c r="F5" i="3"/>
  <c r="H5" i="3"/>
  <c r="G5" i="3"/>
  <c r="J5" i="3"/>
  <c r="GS77" i="4"/>
  <c r="IA77" i="4"/>
  <c r="T33" i="4"/>
  <c r="CF33" i="4"/>
  <c r="ER33" i="4"/>
  <c r="HD33" i="4"/>
  <c r="BM77" i="4"/>
  <c r="FS77" i="4"/>
  <c r="GG33" i="4"/>
  <c r="AW33" i="4"/>
  <c r="DI33" i="4"/>
  <c r="FU33" i="4"/>
  <c r="IG33" i="4"/>
  <c r="AM33" i="4"/>
  <c r="CY33" i="4"/>
  <c r="FK33" i="4"/>
  <c r="HW33" i="4"/>
  <c r="DJ33" i="4"/>
  <c r="FV33" i="4"/>
  <c r="AW77" i="4"/>
  <c r="DX33" i="4"/>
  <c r="GJ33" i="4"/>
  <c r="BV33" i="4"/>
  <c r="EK77" i="4"/>
  <c r="AQ33" i="4"/>
  <c r="FG33" i="4"/>
  <c r="AB33" i="4"/>
  <c r="CN33" i="4"/>
  <c r="EZ33" i="4"/>
  <c r="HL33" i="4"/>
  <c r="AD77" i="4"/>
  <c r="AL77" i="4"/>
  <c r="GP77" i="4"/>
  <c r="I77" i="4"/>
  <c r="DZ77" i="4"/>
  <c r="DG77" i="4"/>
  <c r="BE33" i="4"/>
  <c r="DQ33" i="4"/>
  <c r="GC33" i="4"/>
  <c r="AU33" i="4"/>
  <c r="DG33" i="4"/>
  <c r="FS33" i="4"/>
  <c r="IE33" i="4"/>
  <c r="BF33" i="4"/>
  <c r="DR33" i="4"/>
  <c r="GD33" i="4"/>
  <c r="H33" i="4"/>
  <c r="BT33" i="4"/>
  <c r="EF33" i="4"/>
  <c r="GR33" i="4"/>
  <c r="C77" i="4"/>
  <c r="HG77" i="4"/>
  <c r="EH33" i="4"/>
  <c r="AJ33" i="4"/>
  <c r="CV33" i="4"/>
  <c r="FH33" i="4"/>
  <c r="HT33" i="4"/>
  <c r="HB77" i="4"/>
  <c r="CZ33" i="4"/>
  <c r="BM33" i="4"/>
  <c r="DY33" i="4"/>
  <c r="GK33" i="4"/>
  <c r="BC33" i="4"/>
  <c r="DO33" i="4"/>
  <c r="GA33" i="4"/>
  <c r="B33" i="4"/>
  <c r="BN33" i="4"/>
  <c r="DZ33" i="4"/>
  <c r="GL33" i="4"/>
  <c r="P33" i="4"/>
  <c r="CB33" i="4"/>
  <c r="GZ33" i="4"/>
  <c r="AI77" i="4"/>
  <c r="GT33" i="4"/>
  <c r="AR33" i="4"/>
  <c r="DD33" i="4"/>
  <c r="FP33" i="4"/>
  <c r="IB33" i="4"/>
  <c r="FT33" i="4"/>
  <c r="I33" i="4"/>
  <c r="BU33" i="4"/>
  <c r="EG33" i="4"/>
  <c r="GS33" i="4"/>
  <c r="BK33" i="4"/>
  <c r="DW33" i="4"/>
  <c r="GI33" i="4"/>
  <c r="Q77" i="4"/>
  <c r="X33" i="4"/>
  <c r="CJ33" i="4"/>
  <c r="EV33" i="4"/>
  <c r="HH33" i="4"/>
  <c r="HB33" i="4"/>
  <c r="CU33" i="4"/>
  <c r="AZ33" i="4"/>
  <c r="DL33" i="4"/>
  <c r="FX33" i="4"/>
  <c r="IJ33" i="4"/>
  <c r="FF77" i="4"/>
  <c r="Q33" i="4"/>
  <c r="CC33" i="4"/>
  <c r="EO33" i="4"/>
  <c r="HA33" i="4"/>
  <c r="G33" i="4"/>
  <c r="BS33" i="4"/>
  <c r="EE33" i="4"/>
  <c r="GQ33" i="4"/>
  <c r="R33" i="4"/>
  <c r="CD33" i="4"/>
  <c r="EP33" i="4"/>
  <c r="AF33" i="4"/>
  <c r="CR33" i="4"/>
  <c r="FD33" i="4"/>
  <c r="HP33" i="4"/>
  <c r="AY77" i="4"/>
  <c r="IH33" i="4"/>
  <c r="IG77" i="4"/>
  <c r="BH33" i="4"/>
  <c r="DT33" i="4"/>
  <c r="GF33" i="4"/>
  <c r="AQ77" i="4"/>
  <c r="CU77" i="4"/>
  <c r="Y33" i="4"/>
  <c r="CK33" i="4"/>
  <c r="EW33" i="4"/>
  <c r="HI33" i="4"/>
  <c r="Z33" i="4"/>
  <c r="CL33" i="4"/>
  <c r="EX33" i="4"/>
  <c r="HJ33" i="4"/>
  <c r="AN33" i="4"/>
  <c r="FL33" i="4"/>
  <c r="HX33" i="4"/>
  <c r="DO77" i="4"/>
  <c r="GA77" i="4"/>
  <c r="J33" i="4"/>
  <c r="T77" i="4"/>
  <c r="D33" i="4"/>
  <c r="BP33" i="4"/>
  <c r="EB33" i="4"/>
  <c r="GN33" i="4"/>
  <c r="K77" i="4"/>
  <c r="AG33" i="4"/>
  <c r="CS33" i="4"/>
  <c r="FE33" i="4"/>
  <c r="HQ33" i="4"/>
  <c r="W33" i="4"/>
  <c r="CI33" i="4"/>
  <c r="EU33" i="4"/>
  <c r="HG33" i="4"/>
  <c r="AH33" i="4"/>
  <c r="CT33" i="4"/>
  <c r="FF33" i="4"/>
  <c r="HR33" i="4"/>
  <c r="AV33" i="4"/>
  <c r="DH33" i="4"/>
  <c r="IF33" i="4"/>
  <c r="L33" i="4"/>
  <c r="BX33" i="4"/>
  <c r="EJ33" i="4"/>
  <c r="GV33" i="4"/>
  <c r="AO33" i="4"/>
  <c r="DA33" i="4"/>
  <c r="FM33" i="4"/>
  <c r="HY33" i="4"/>
  <c r="ER77" i="4"/>
  <c r="AE33" i="4"/>
  <c r="CQ33" i="4"/>
  <c r="FC33" i="4"/>
  <c r="HO33" i="4"/>
  <c r="AP33" i="4"/>
  <c r="DB33" i="4"/>
  <c r="FN33" i="4"/>
  <c r="HZ33" i="4"/>
  <c r="BD33" i="4"/>
  <c r="DP33" i="4"/>
  <c r="GB33" i="4"/>
  <c r="HF77" i="4"/>
  <c r="AX33" i="4"/>
  <c r="HM77" i="4"/>
  <c r="BI33" i="4"/>
  <c r="DU33" i="4"/>
  <c r="K140" i="4"/>
  <c r="EA77" i="4"/>
  <c r="P96" i="4"/>
  <c r="FD77" i="4"/>
  <c r="F33" i="4"/>
  <c r="BR33" i="4"/>
  <c r="ED33" i="4"/>
  <c r="GP33" i="4"/>
  <c r="S140" i="4"/>
  <c r="BX77" i="4"/>
  <c r="GC77" i="4"/>
  <c r="CA77" i="4"/>
  <c r="GN77" i="4"/>
  <c r="R77" i="4"/>
  <c r="CL77" i="4"/>
  <c r="DZ96" i="4"/>
  <c r="FF140" i="4"/>
  <c r="EH77" i="4"/>
  <c r="T140" i="4"/>
  <c r="CN140" i="4"/>
  <c r="M77" i="4"/>
  <c r="AI33" i="4"/>
  <c r="FO33" i="4"/>
  <c r="FB140" i="4"/>
  <c r="FA77" i="4"/>
  <c r="IC77" i="4"/>
  <c r="BO33" i="4"/>
  <c r="FW33" i="4"/>
  <c r="BC77" i="4"/>
  <c r="FK77" i="4"/>
  <c r="F77" i="4"/>
  <c r="V96" i="4"/>
  <c r="AT77" i="4"/>
  <c r="BB77" i="4"/>
  <c r="DN140" i="4"/>
  <c r="ET77" i="4"/>
  <c r="Y77" i="4"/>
  <c r="EM77" i="4"/>
  <c r="IL77" i="4"/>
  <c r="E33" i="4"/>
  <c r="BQ33" i="4"/>
  <c r="EC33" i="4"/>
  <c r="GO33" i="4"/>
  <c r="EO77" i="4"/>
  <c r="AF77" i="4"/>
  <c r="BD77" i="4"/>
  <c r="DP77" i="4"/>
  <c r="GJ77" i="4"/>
  <c r="N33" i="4"/>
  <c r="BZ33" i="4"/>
  <c r="EL33" i="4"/>
  <c r="GX33" i="4"/>
  <c r="CN77" i="4"/>
  <c r="GM77" i="4"/>
  <c r="I140" i="4"/>
  <c r="BE140" i="4"/>
  <c r="BE96" i="4"/>
  <c r="CQ77" i="4"/>
  <c r="GY77" i="4"/>
  <c r="AP77" i="4"/>
  <c r="AP140" i="4"/>
  <c r="BN77" i="4"/>
  <c r="EU77" i="4"/>
  <c r="AY33" i="4"/>
  <c r="GE33" i="4"/>
  <c r="E96" i="4"/>
  <c r="DW77" i="4"/>
  <c r="CE33" i="4"/>
  <c r="GM33" i="4"/>
  <c r="BS77" i="4"/>
  <c r="FW77" i="4"/>
  <c r="CX77" i="4"/>
  <c r="EL77" i="4"/>
  <c r="FJ140" i="4"/>
  <c r="AO77" i="4"/>
  <c r="EY77" i="4"/>
  <c r="O140" i="4"/>
  <c r="DO140" i="4"/>
  <c r="M33" i="4"/>
  <c r="BY33" i="4"/>
  <c r="EK33" i="4"/>
  <c r="GW33" i="4"/>
  <c r="AN77" i="4"/>
  <c r="BT77" i="4"/>
  <c r="CR77" i="4"/>
  <c r="EN77" i="4"/>
  <c r="EN96" i="4"/>
  <c r="HH77" i="4"/>
  <c r="V33" i="4"/>
  <c r="CH33" i="4"/>
  <c r="ET33" i="4"/>
  <c r="HF33" i="4"/>
  <c r="BG140" i="4"/>
  <c r="DC77" i="4"/>
  <c r="GX77" i="4"/>
  <c r="DD77" i="4"/>
  <c r="HJ77" i="4"/>
  <c r="CT77" i="4"/>
  <c r="FG77" i="4"/>
  <c r="AK77" i="4"/>
  <c r="DM77" i="4"/>
  <c r="FY77" i="4"/>
  <c r="IK77" i="4"/>
  <c r="BG33" i="4"/>
  <c r="GU33" i="4"/>
  <c r="BI77" i="4"/>
  <c r="BY77" i="4"/>
  <c r="CO77" i="4"/>
  <c r="FQ77" i="4"/>
  <c r="FQ96" i="4"/>
  <c r="HC33" i="4"/>
  <c r="BR77" i="4"/>
  <c r="BE77" i="4"/>
  <c r="FM77" i="4"/>
  <c r="GI140" i="4"/>
  <c r="GI96" i="4"/>
  <c r="U33" i="4"/>
  <c r="CG33" i="4"/>
  <c r="ES33" i="4"/>
  <c r="HE33" i="4"/>
  <c r="AA77" i="4"/>
  <c r="FN77" i="4"/>
  <c r="X77" i="4"/>
  <c r="FL77" i="4"/>
  <c r="AD33" i="4"/>
  <c r="CP33" i="4"/>
  <c r="FB33" i="4"/>
  <c r="HN33" i="4"/>
  <c r="DQ77" i="4"/>
  <c r="HI77" i="4"/>
  <c r="EO96" i="4"/>
  <c r="DR77" i="4"/>
  <c r="HT77" i="4"/>
  <c r="L30" i="6" a="1"/>
  <c r="L30" i="6" s="1"/>
  <c r="M30" i="6" s="1"/>
  <c r="L16" i="6" a="1"/>
  <c r="L16" i="6" s="1"/>
  <c r="M16" i="6" s="1"/>
  <c r="L13" i="6" a="1"/>
  <c r="L13" i="6" s="1"/>
  <c r="M13" i="6" s="1"/>
  <c r="L15" i="6" a="1"/>
  <c r="L15" i="6" s="1"/>
  <c r="M15" i="6" s="1"/>
  <c r="L52" i="6" a="1"/>
  <c r="L52" i="6" s="1"/>
  <c r="M52" i="6" s="1"/>
  <c r="L54" i="6" a="1"/>
  <c r="L54" i="6" s="1"/>
  <c r="M54" i="6" s="1"/>
  <c r="L55" i="6" a="1"/>
  <c r="L55" i="6" s="1"/>
  <c r="M55" i="6" s="1"/>
  <c r="L46" i="6" a="1"/>
  <c r="L46" i="6" s="1"/>
  <c r="M46" i="6" s="1"/>
  <c r="L49" i="6" a="1"/>
  <c r="L49" i="6" s="1"/>
  <c r="M49" i="6" s="1"/>
  <c r="L47" i="6" a="1"/>
  <c r="L47" i="6" s="1"/>
  <c r="M47" i="6" s="1"/>
  <c r="L56" i="6" a="1"/>
  <c r="L56" i="6" s="1"/>
  <c r="M56" i="6" s="1"/>
  <c r="L41" i="6" a="1"/>
  <c r="L41" i="6" s="1"/>
  <c r="M41" i="6" s="1"/>
  <c r="L51" i="6" a="1"/>
  <c r="L51" i="6" s="1"/>
  <c r="M51" i="6" s="1"/>
  <c r="L48" i="6" a="1"/>
  <c r="L48" i="6" s="1"/>
  <c r="M48" i="6" s="1"/>
  <c r="L34" i="6" a="1"/>
  <c r="L34" i="6" s="1"/>
  <c r="M34" i="6" s="1"/>
  <c r="L43" i="6" a="1"/>
  <c r="L43" i="6" s="1"/>
  <c r="M43" i="6" s="1"/>
  <c r="L42" i="6" a="1"/>
  <c r="L42" i="6" s="1"/>
  <c r="M42" i="6" s="1"/>
  <c r="L40" i="6" a="1"/>
  <c r="L40" i="6" s="1"/>
  <c r="M40" i="6" s="1"/>
  <c r="L35" i="6" a="1"/>
  <c r="L35" i="6" s="1"/>
  <c r="M35" i="6" s="1"/>
  <c r="L44" i="6" a="1"/>
  <c r="L44" i="6" s="1"/>
  <c r="M44" i="6" s="1"/>
  <c r="L37" i="6" a="1"/>
  <c r="L37" i="6" s="1"/>
  <c r="M37" i="6" s="1"/>
  <c r="L28" i="6" a="1"/>
  <c r="L28" i="6" s="1"/>
  <c r="M28" i="6" s="1"/>
  <c r="L39" i="6" a="1"/>
  <c r="L39" i="6" s="1"/>
  <c r="M39" i="6" s="1"/>
  <c r="L29" i="6" a="1"/>
  <c r="L29" i="6" s="1"/>
  <c r="M29" i="6" s="1"/>
  <c r="L32" i="6" a="1"/>
  <c r="L32" i="6" s="1"/>
  <c r="M32" i="6" s="1"/>
  <c r="L23" i="6" a="1"/>
  <c r="L23" i="6" s="1"/>
  <c r="M23" i="6" s="1"/>
  <c r="L33" i="6" a="1"/>
  <c r="L33" i="6" s="1"/>
  <c r="M33" i="6" s="1"/>
  <c r="L38" i="6" a="1"/>
  <c r="L38" i="6" s="1"/>
  <c r="M38" i="6" s="1"/>
  <c r="L24" i="6" a="1"/>
  <c r="L24" i="6" s="1"/>
  <c r="M24" i="6" s="1"/>
  <c r="L22" i="6" a="1"/>
  <c r="L22" i="6" s="1"/>
  <c r="M22" i="6" s="1"/>
  <c r="L18" i="6" a="1"/>
  <c r="L18" i="6" s="1"/>
  <c r="M18" i="6" s="1"/>
  <c r="L20" i="6" a="1"/>
  <c r="L20" i="6" s="1"/>
  <c r="M20" i="6" s="1"/>
  <c r="L26" i="6" a="1"/>
  <c r="L26" i="6" s="1"/>
  <c r="M26" i="6" s="1"/>
  <c r="L19" i="6" a="1"/>
  <c r="L19" i="6" s="1"/>
  <c r="M19" i="6" s="1"/>
  <c r="L27" i="6" a="1"/>
  <c r="L27" i="6" s="1"/>
  <c r="M27" i="6" s="1"/>
  <c r="L8" i="6" a="1"/>
  <c r="L8" i="6" s="1"/>
  <c r="M8" i="6" s="1"/>
  <c r="L21" i="6" a="1"/>
  <c r="L21" i="6" s="1"/>
  <c r="M21" i="6" s="1"/>
  <c r="L10" i="6" a="1"/>
  <c r="L10" i="6" s="1"/>
  <c r="M10" i="6" s="1"/>
  <c r="L7" i="6" a="1"/>
  <c r="L7" i="6" s="1"/>
  <c r="M7" i="6" s="1"/>
  <c r="L14" i="6" a="1"/>
  <c r="L14" i="6" s="1"/>
  <c r="M14" i="6" s="1"/>
  <c r="L9" i="6" a="1"/>
  <c r="L9" i="6" s="1"/>
  <c r="M9" i="6" s="1"/>
  <c r="L12" i="6" a="1"/>
  <c r="L12" i="6" s="1"/>
  <c r="M12" i="6" s="1"/>
  <c r="L11" i="6" a="1"/>
  <c r="L11" i="6" s="1"/>
  <c r="M11" i="6" s="1"/>
  <c r="Z77" i="4"/>
  <c r="BV77" i="4"/>
  <c r="L58" i="6" a="1"/>
  <c r="L58" i="6" s="1"/>
  <c r="M58" i="6" s="1"/>
  <c r="L53" i="6" a="1"/>
  <c r="L53" i="6" s="1"/>
  <c r="M53" i="6" s="1"/>
  <c r="L57" i="6" a="1"/>
  <c r="L57" i="6" s="1"/>
  <c r="M57" i="6" s="1"/>
  <c r="L50" i="6" a="1"/>
  <c r="L50" i="6" s="1"/>
  <c r="M50" i="6" s="1"/>
  <c r="L45" i="6" a="1"/>
  <c r="L45" i="6" s="1"/>
  <c r="M45" i="6" s="1"/>
  <c r="L31" i="6" a="1"/>
  <c r="L31" i="6" s="1"/>
  <c r="M31" i="6" s="1"/>
  <c r="S77" i="4"/>
  <c r="FU77" i="4"/>
  <c r="EC77" i="4"/>
  <c r="EC96" i="4"/>
  <c r="GO77" i="4"/>
  <c r="BW33" i="4"/>
  <c r="HK33" i="4"/>
  <c r="HN77" i="4"/>
  <c r="H16" i="6"/>
  <c r="D16" i="6" a="1"/>
  <c r="D16" i="6" s="1"/>
  <c r="F16" i="6" a="1"/>
  <c r="F16" i="6" s="1"/>
  <c r="B17" i="6"/>
  <c r="G16" i="6"/>
  <c r="EI77" i="4"/>
  <c r="E77" i="4"/>
  <c r="CP77" i="4"/>
  <c r="DC33" i="4"/>
  <c r="CY77" i="4"/>
  <c r="V77" i="4"/>
  <c r="DF77" i="4"/>
  <c r="DN77" i="4"/>
  <c r="ED96" i="4"/>
  <c r="BU77" i="4"/>
  <c r="FC96" i="4"/>
  <c r="HW96" i="4"/>
  <c r="AC33" i="4"/>
  <c r="CO33" i="4"/>
  <c r="FA33" i="4"/>
  <c r="HM33" i="4"/>
  <c r="DS77" i="4"/>
  <c r="BG77" i="4"/>
  <c r="GL77" i="4"/>
  <c r="H77" i="4"/>
  <c r="CB77" i="4"/>
  <c r="DX77" i="4"/>
  <c r="DX96" i="4"/>
  <c r="EV140" i="4"/>
  <c r="FT77" i="4"/>
  <c r="GR77" i="4"/>
  <c r="HP77" i="4"/>
  <c r="AL33" i="4"/>
  <c r="CX33" i="4"/>
  <c r="FJ33" i="4"/>
  <c r="HV33" i="4"/>
  <c r="L77" i="4"/>
  <c r="EB77" i="4"/>
  <c r="HS77" i="4"/>
  <c r="HK77" i="4"/>
  <c r="O77" i="4"/>
  <c r="EE77" i="4"/>
  <c r="IE77" i="4"/>
  <c r="B77" i="4"/>
  <c r="AX77" i="4"/>
  <c r="DB140" i="4"/>
  <c r="BO77" i="4"/>
  <c r="GF77" i="4"/>
  <c r="L36" i="6" a="1"/>
  <c r="L36" i="6" s="1"/>
  <c r="M36" i="6" s="1"/>
  <c r="L25" i="6" a="1"/>
  <c r="L25" i="6" s="1"/>
  <c r="M25" i="6" s="1"/>
  <c r="D140" i="4"/>
  <c r="BA77" i="4"/>
  <c r="CM33" i="4"/>
  <c r="IA33" i="4"/>
  <c r="EX77" i="4"/>
  <c r="CI77" i="4"/>
  <c r="HS33" i="4"/>
  <c r="GT77" i="4"/>
  <c r="AZ77" i="4"/>
  <c r="AC77" i="4"/>
  <c r="DE77" i="4"/>
  <c r="GG77" i="4"/>
  <c r="DS33" i="4"/>
  <c r="II33" i="4"/>
  <c r="DK77" i="4"/>
  <c r="N77" i="4"/>
  <c r="BJ77" i="4"/>
  <c r="FJ77" i="4"/>
  <c r="CK77" i="4"/>
  <c r="GK77" i="4"/>
  <c r="AE96" i="4"/>
  <c r="BK96" i="4"/>
  <c r="CQ140" i="4"/>
  <c r="FK140" i="4"/>
  <c r="AK33" i="4"/>
  <c r="CW33" i="4"/>
  <c r="FI33" i="4"/>
  <c r="HU33" i="4"/>
  <c r="GV77" i="4"/>
  <c r="AV77" i="4"/>
  <c r="BL77" i="4"/>
  <c r="EV77" i="4"/>
  <c r="AT33" i="4"/>
  <c r="DF33" i="4"/>
  <c r="FR33" i="4"/>
  <c r="ID33" i="4"/>
  <c r="AB77" i="4"/>
  <c r="EP77" i="4"/>
  <c r="ID77" i="4"/>
  <c r="AE77" i="4"/>
  <c r="EQ77" i="4"/>
  <c r="CD96" i="4"/>
  <c r="CE77" i="4"/>
  <c r="GQ77" i="4"/>
  <c r="AR140" i="4"/>
  <c r="DL140" i="4"/>
  <c r="BQ77" i="4"/>
  <c r="ES96" i="4"/>
  <c r="DK33" i="4"/>
  <c r="AS77" i="4"/>
  <c r="GW77" i="4"/>
  <c r="K33" i="4"/>
  <c r="EI33" i="4"/>
  <c r="G77" i="4"/>
  <c r="HO77" i="4"/>
  <c r="BZ77" i="4"/>
  <c r="CH77" i="4"/>
  <c r="ED77" i="4"/>
  <c r="FB77" i="4"/>
  <c r="ID140" i="4"/>
  <c r="DA77" i="4"/>
  <c r="GU77" i="4"/>
  <c r="AS33" i="4"/>
  <c r="DE33" i="4"/>
  <c r="FQ33" i="4"/>
  <c r="IC33" i="4"/>
  <c r="GE77" i="4"/>
  <c r="CM77" i="4"/>
  <c r="HR77" i="4"/>
  <c r="BL96" i="4"/>
  <c r="CZ77" i="4"/>
  <c r="GB77" i="4"/>
  <c r="HX77" i="4"/>
  <c r="BB33" i="4"/>
  <c r="DN33" i="4"/>
  <c r="FZ33" i="4"/>
  <c r="IL33" i="4"/>
  <c r="AR77" i="4"/>
  <c r="FC77" i="4"/>
  <c r="AU77" i="4"/>
  <c r="FP77" i="4"/>
  <c r="J77" i="4"/>
  <c r="AH77" i="4"/>
  <c r="BF77" i="4"/>
  <c r="BF140" i="4"/>
  <c r="CD77" i="4"/>
  <c r="GD96" i="4"/>
  <c r="AY96" i="4"/>
  <c r="CU140" i="4"/>
  <c r="DI77" i="4"/>
  <c r="HL77" i="4"/>
  <c r="ES77" i="4"/>
  <c r="C33" i="4"/>
  <c r="EA33" i="4"/>
  <c r="B11" i="6"/>
  <c r="U77" i="4"/>
  <c r="GH77" i="4"/>
  <c r="AS140" i="4"/>
  <c r="DU77" i="4"/>
  <c r="AA33" i="4"/>
  <c r="EY33" i="4"/>
  <c r="W77" i="4"/>
  <c r="EJ77" i="4"/>
  <c r="F140" i="4"/>
  <c r="BJ140" i="4"/>
  <c r="DV77" i="4"/>
  <c r="FR77" i="4"/>
  <c r="FZ77" i="4"/>
  <c r="HQ77" i="4"/>
  <c r="AM96" i="4"/>
  <c r="BS96" i="4"/>
  <c r="FS140" i="4"/>
  <c r="BA33" i="4"/>
  <c r="DM33" i="4"/>
  <c r="FY33" i="4"/>
  <c r="IK33" i="4"/>
  <c r="CM140" i="4"/>
  <c r="DB77" i="4"/>
  <c r="P77" i="4"/>
  <c r="AF96" i="4"/>
  <c r="CJ77" i="4"/>
  <c r="DH77" i="4"/>
  <c r="EF77" i="4"/>
  <c r="GZ77" i="4"/>
  <c r="IF77" i="4"/>
  <c r="BJ33" i="4"/>
  <c r="DV33" i="4"/>
  <c r="GH33" i="4"/>
  <c r="BH77" i="4"/>
  <c r="FO77" i="4"/>
  <c r="DQ140" i="4"/>
  <c r="GK140" i="4"/>
  <c r="GK96" i="4"/>
  <c r="BK77" i="4"/>
  <c r="GD77" i="4"/>
  <c r="DS96" i="4"/>
  <c r="EQ140" i="4"/>
  <c r="DT77" i="4"/>
  <c r="HW77" i="4"/>
  <c r="AZ96" i="4"/>
  <c r="CG77" i="4"/>
  <c r="CW77" i="4"/>
  <c r="FI77" i="4"/>
  <c r="FI96" i="4"/>
  <c r="HE77" i="4"/>
  <c r="HU77" i="4"/>
  <c r="S33" i="4"/>
  <c r="EQ33" i="4"/>
  <c r="J29" i="5" l="1"/>
  <c r="J17" i="5"/>
  <c r="J14" i="5"/>
  <c r="E22" i="5"/>
  <c r="H23" i="5"/>
  <c r="H15" i="5"/>
  <c r="J18" i="5"/>
  <c r="H18" i="5"/>
  <c r="H13" i="5"/>
  <c r="J13" i="5"/>
  <c r="J16" i="5"/>
  <c r="H16" i="5"/>
  <c r="H27" i="5"/>
  <c r="J27" i="5"/>
  <c r="H22" i="5"/>
  <c r="J22" i="5"/>
  <c r="J28" i="5"/>
  <c r="H28" i="5"/>
  <c r="J20" i="5"/>
  <c r="H20" i="5"/>
  <c r="H21" i="5"/>
  <c r="J21" i="5"/>
  <c r="J30" i="5"/>
  <c r="H30" i="5"/>
  <c r="J24" i="5"/>
  <c r="H24" i="5"/>
  <c r="J19" i="5"/>
  <c r="H19" i="5"/>
  <c r="E20" i="5"/>
  <c r="C17" i="6"/>
  <c r="E17" i="6"/>
  <c r="E15" i="5"/>
  <c r="E24" i="5"/>
  <c r="E16" i="5"/>
  <c r="E23" i="5"/>
  <c r="E14" i="5"/>
  <c r="E21" i="5"/>
  <c r="E17" i="5"/>
  <c r="E18" i="5"/>
  <c r="E19" i="5"/>
  <c r="E13" i="5"/>
  <c r="F13" i="5" s="1"/>
  <c r="E15" i="3"/>
  <c r="E13" i="3"/>
  <c r="E9" i="3"/>
  <c r="E6" i="3"/>
  <c r="E17" i="3"/>
  <c r="E11" i="3"/>
  <c r="E7" i="3"/>
  <c r="E14" i="3"/>
  <c r="L15" i="3"/>
  <c r="L13" i="3"/>
  <c r="L6" i="3"/>
  <c r="L17" i="3"/>
  <c r="L14" i="3"/>
  <c r="L11" i="3"/>
  <c r="L7" i="3"/>
  <c r="L9" i="3"/>
  <c r="D9" i="3"/>
  <c r="D17" i="3"/>
  <c r="D14" i="3"/>
  <c r="D11" i="3"/>
  <c r="D7" i="3"/>
  <c r="D15" i="3"/>
  <c r="D13" i="3"/>
  <c r="D6" i="3"/>
  <c r="J17" i="3"/>
  <c r="J14" i="3"/>
  <c r="J11" i="3"/>
  <c r="J7" i="3"/>
  <c r="J15" i="3"/>
  <c r="J13" i="3"/>
  <c r="J9" i="3"/>
  <c r="J6" i="3"/>
  <c r="I17" i="3"/>
  <c r="I14" i="3"/>
  <c r="I11" i="3"/>
  <c r="I7" i="3"/>
  <c r="I13" i="3"/>
  <c r="I9" i="3"/>
  <c r="I6" i="3"/>
  <c r="I15" i="3"/>
  <c r="G17" i="3"/>
  <c r="G14" i="3"/>
  <c r="G11" i="3"/>
  <c r="G7" i="3"/>
  <c r="G15" i="3"/>
  <c r="G13" i="3"/>
  <c r="G9" i="3"/>
  <c r="G6" i="3"/>
  <c r="K15" i="3"/>
  <c r="K13" i="3"/>
  <c r="K9" i="3"/>
  <c r="K6" i="3"/>
  <c r="K17" i="3"/>
  <c r="K14" i="3"/>
  <c r="K11" i="3"/>
  <c r="K7" i="3"/>
  <c r="M15" i="3"/>
  <c r="M13" i="3"/>
  <c r="M9" i="3"/>
  <c r="M6" i="3"/>
  <c r="M14" i="3"/>
  <c r="M17" i="3"/>
  <c r="M11" i="3"/>
  <c r="M7" i="3"/>
  <c r="H11" i="3"/>
  <c r="H15" i="3"/>
  <c r="H13" i="3"/>
  <c r="H9" i="3"/>
  <c r="H6" i="3"/>
  <c r="H17" i="3"/>
  <c r="H14" i="3"/>
  <c r="H7" i="3"/>
  <c r="C15" i="3"/>
  <c r="C13" i="3"/>
  <c r="C9" i="3"/>
  <c r="C6" i="3"/>
  <c r="C17" i="3"/>
  <c r="C14" i="3"/>
  <c r="C11" i="3"/>
  <c r="C7" i="3"/>
  <c r="F15" i="3"/>
  <c r="F13" i="3"/>
  <c r="F9" i="3"/>
  <c r="F6" i="3"/>
  <c r="F17" i="3"/>
  <c r="F14" i="3"/>
  <c r="F11" i="3"/>
  <c r="F7" i="3"/>
  <c r="B9" i="4"/>
  <c r="B10" i="4" s="1"/>
  <c r="C6" i="4" s="1"/>
  <c r="GI141" i="4"/>
  <c r="BE141" i="4"/>
  <c r="M9" i="4"/>
  <c r="K9" i="4"/>
  <c r="H9" i="4"/>
  <c r="D9" i="4"/>
  <c r="G9" i="4"/>
  <c r="N8" i="4"/>
  <c r="L9" i="4"/>
  <c r="E9" i="4"/>
  <c r="F9" i="4"/>
  <c r="B8" i="3"/>
  <c r="C9" i="4"/>
  <c r="I9" i="4"/>
  <c r="J9" i="4"/>
  <c r="N7" i="4"/>
  <c r="B79" i="4"/>
  <c r="C20" i="4" s="1"/>
  <c r="BK141" i="4"/>
  <c r="FZ96" i="4"/>
  <c r="DD96" i="4"/>
  <c r="DV96" i="4"/>
  <c r="CW96" i="4"/>
  <c r="GN140" i="4"/>
  <c r="DT96" i="4"/>
  <c r="DS140" i="4"/>
  <c r="DS141" i="4" s="1"/>
  <c r="BW96" i="4"/>
  <c r="DQ96" i="4"/>
  <c r="DQ141" i="4" s="1"/>
  <c r="AF140" i="4"/>
  <c r="HV140" i="4"/>
  <c r="HT96" i="4"/>
  <c r="EZ96" i="4"/>
  <c r="CF96" i="4"/>
  <c r="L96" i="4"/>
  <c r="L141" i="4" s="1"/>
  <c r="AY140" i="4"/>
  <c r="AY141" i="4" s="1"/>
  <c r="HR96" i="4"/>
  <c r="AH96" i="4"/>
  <c r="GC96" i="4"/>
  <c r="GC140" i="4"/>
  <c r="FU140" i="4"/>
  <c r="CJ140" i="4"/>
  <c r="AV96" i="4"/>
  <c r="EE140" i="4"/>
  <c r="CY96" i="4"/>
  <c r="CY140" i="4"/>
  <c r="HN140" i="4"/>
  <c r="CG96" i="4"/>
  <c r="BK140" i="4"/>
  <c r="AE140" i="4"/>
  <c r="AE141" i="4" s="1"/>
  <c r="GX140" i="4"/>
  <c r="GG96" i="4"/>
  <c r="DG140" i="4"/>
  <c r="BQ140" i="4"/>
  <c r="HY140" i="4"/>
  <c r="FE140" i="4"/>
  <c r="DX140" i="4"/>
  <c r="DX141" i="4" s="1"/>
  <c r="CZ96" i="4"/>
  <c r="HW140" i="4"/>
  <c r="HW141" i="4" s="1"/>
  <c r="FC140" i="4"/>
  <c r="FC141" i="4" s="1"/>
  <c r="W96" i="4"/>
  <c r="GH140" i="4"/>
  <c r="GO140" i="4"/>
  <c r="EJ140" i="4"/>
  <c r="DD140" i="4"/>
  <c r="Z140" i="4"/>
  <c r="B96" i="4"/>
  <c r="BM96" i="4"/>
  <c r="BM140" i="4"/>
  <c r="FT96" i="4"/>
  <c r="CI96" i="4"/>
  <c r="IH96" i="4"/>
  <c r="HS96" i="4"/>
  <c r="EN140" i="4"/>
  <c r="EN141" i="4" s="1"/>
  <c r="AD96" i="4"/>
  <c r="BY140" i="4"/>
  <c r="GV96" i="4"/>
  <c r="FP96" i="4"/>
  <c r="EY96" i="4"/>
  <c r="BT140" i="4"/>
  <c r="BR140" i="4"/>
  <c r="FA96" i="4"/>
  <c r="DZ140" i="4"/>
  <c r="DZ141" i="4" s="1"/>
  <c r="DR96" i="4"/>
  <c r="P140" i="4"/>
  <c r="EM96" i="4"/>
  <c r="EM140" i="4"/>
  <c r="AF141" i="4"/>
  <c r="IL140" i="4"/>
  <c r="FI140" i="4"/>
  <c r="FI141" i="4" s="1"/>
  <c r="DT140" i="4"/>
  <c r="AZ140" i="4"/>
  <c r="AZ141" i="4" s="1"/>
  <c r="CL96" i="4"/>
  <c r="CC96" i="4"/>
  <c r="CC140" i="4"/>
  <c r="GU96" i="4"/>
  <c r="GZ96" i="4"/>
  <c r="GZ141" i="4" s="1"/>
  <c r="HC96" i="4"/>
  <c r="BS140" i="4"/>
  <c r="BS141" i="4" s="1"/>
  <c r="AM140" i="4"/>
  <c r="AM141" i="4" s="1"/>
  <c r="ET96" i="4"/>
  <c r="HT140" i="4"/>
  <c r="HR140" i="4"/>
  <c r="GL96" i="4"/>
  <c r="GL141" i="4" s="1"/>
  <c r="AH140" i="4"/>
  <c r="FU96" i="4"/>
  <c r="FU141" i="4" s="1"/>
  <c r="DI140" i="4"/>
  <c r="IF96" i="4"/>
  <c r="BL140" i="4"/>
  <c r="BL141" i="4" s="1"/>
  <c r="HF140" i="4"/>
  <c r="GW96" i="4"/>
  <c r="HE140" i="4"/>
  <c r="ES140" i="4"/>
  <c r="ES141" i="4" s="1"/>
  <c r="IG96" i="4"/>
  <c r="IG140" i="4"/>
  <c r="FM140" i="4"/>
  <c r="GP140" i="4"/>
  <c r="EL96" i="4"/>
  <c r="CP96" i="4"/>
  <c r="DE96" i="4"/>
  <c r="U140" i="4"/>
  <c r="AI96" i="4"/>
  <c r="HY96" i="4"/>
  <c r="FE96" i="4"/>
  <c r="DA140" i="4"/>
  <c r="HX96" i="4"/>
  <c r="CZ140" i="4"/>
  <c r="CB96" i="4"/>
  <c r="DW96" i="4"/>
  <c r="FZ140" i="4"/>
  <c r="EC140" i="4"/>
  <c r="EC141" i="4" s="1"/>
  <c r="BA96" i="4"/>
  <c r="BA141" i="4" s="1"/>
  <c r="C96" i="4"/>
  <c r="Y96" i="4"/>
  <c r="Y140" i="4"/>
  <c r="FT140" i="4"/>
  <c r="X96" i="4"/>
  <c r="CI140" i="4"/>
  <c r="BC96" i="4"/>
  <c r="BC141" i="4" s="1"/>
  <c r="BC140" i="4"/>
  <c r="CO96" i="4"/>
  <c r="IH140" i="4"/>
  <c r="HB96" i="4"/>
  <c r="HS140" i="4"/>
  <c r="DV140" i="4"/>
  <c r="BZ96" i="4"/>
  <c r="E140" i="4"/>
  <c r="E141" i="4" s="1"/>
  <c r="GV140" i="4"/>
  <c r="EB96" i="4"/>
  <c r="BH96" i="4"/>
  <c r="I96" i="4"/>
  <c r="I141" i="4" s="1"/>
  <c r="EY140" i="4"/>
  <c r="DC96" i="4"/>
  <c r="GJ96" i="4"/>
  <c r="IC140" i="4"/>
  <c r="HK96" i="4"/>
  <c r="DR140" i="4"/>
  <c r="N96" i="4"/>
  <c r="CW140" i="4"/>
  <c r="BW140" i="4"/>
  <c r="GZ140" i="4"/>
  <c r="HC140" i="4"/>
  <c r="GE96" i="4"/>
  <c r="EZ140" i="4"/>
  <c r="CF140" i="4"/>
  <c r="GL140" i="4"/>
  <c r="DI96" i="4"/>
  <c r="DI141" i="4" s="1"/>
  <c r="AO140" i="4"/>
  <c r="IF140" i="4"/>
  <c r="AV140" i="4"/>
  <c r="FG96" i="4"/>
  <c r="FM96" i="4"/>
  <c r="GG140" i="4"/>
  <c r="AI140" i="4"/>
  <c r="DA96" i="4"/>
  <c r="HX140" i="4"/>
  <c r="DW140" i="4"/>
  <c r="W140" i="4"/>
  <c r="ED140" i="4"/>
  <c r="ED141" i="4" s="1"/>
  <c r="B140" i="4"/>
  <c r="Q96" i="4"/>
  <c r="Q141" i="4" s="1"/>
  <c r="Q140" i="4"/>
  <c r="FQ140" i="4"/>
  <c r="FQ141" i="4" s="1"/>
  <c r="IJ96" i="4"/>
  <c r="HD96" i="4"/>
  <c r="HB140" i="4"/>
  <c r="FN96" i="4"/>
  <c r="FN141" i="4" s="1"/>
  <c r="BD96" i="4"/>
  <c r="IK96" i="4"/>
  <c r="FP140" i="4"/>
  <c r="DC140" i="4"/>
  <c r="CE96" i="4"/>
  <c r="GJ140" i="4"/>
  <c r="HG96" i="4"/>
  <c r="V140" i="4"/>
  <c r="V141" i="4" s="1"/>
  <c r="BI96" i="4"/>
  <c r="G96" i="4"/>
  <c r="G140" i="4"/>
  <c r="HK140" i="4"/>
  <c r="FO96" i="4"/>
  <c r="BN96" i="4"/>
  <c r="GS96" i="4"/>
  <c r="GS140" i="4"/>
  <c r="GK141" i="4"/>
  <c r="FW96" i="4"/>
  <c r="CL140" i="4"/>
  <c r="FW140" i="4"/>
  <c r="FD96" i="4"/>
  <c r="GE140" i="4"/>
  <c r="EI96" i="4"/>
  <c r="ET140" i="4"/>
  <c r="DF96" i="4"/>
  <c r="HM96" i="4"/>
  <c r="DU96" i="4"/>
  <c r="DU141" i="4" s="1"/>
  <c r="EK96" i="4"/>
  <c r="L140" i="4"/>
  <c r="GD140" i="4"/>
  <c r="GD141" i="4" s="1"/>
  <c r="EX96" i="4"/>
  <c r="AO96" i="4"/>
  <c r="AO141" i="4" s="1"/>
  <c r="GB96" i="4"/>
  <c r="FG140" i="4"/>
  <c r="BO96" i="4"/>
  <c r="AQ96" i="4"/>
  <c r="GW140" i="4"/>
  <c r="CG140" i="4"/>
  <c r="BU96" i="4"/>
  <c r="BU140" i="4"/>
  <c r="AG140" i="4"/>
  <c r="EL140" i="4"/>
  <c r="DE140" i="4"/>
  <c r="AC96" i="4"/>
  <c r="HL96" i="4"/>
  <c r="BX96" i="4"/>
  <c r="HJ96" i="4"/>
  <c r="GR96" i="4"/>
  <c r="CB140" i="4"/>
  <c r="CH96" i="4"/>
  <c r="CH141" i="4" s="1"/>
  <c r="BA140" i="4"/>
  <c r="C140" i="4"/>
  <c r="BV96" i="4"/>
  <c r="L17" i="6" a="1"/>
  <c r="L17" i="6" s="1"/>
  <c r="M17" i="6" s="1"/>
  <c r="X140" i="4"/>
  <c r="AA96" i="4"/>
  <c r="CO140" i="4"/>
  <c r="IJ140" i="4"/>
  <c r="BP96" i="4"/>
  <c r="FN140" i="4"/>
  <c r="EH96" i="4"/>
  <c r="AN96" i="4"/>
  <c r="FR96" i="4"/>
  <c r="BZ140" i="4"/>
  <c r="AD140" i="4"/>
  <c r="FY96" i="4"/>
  <c r="DM96" i="4"/>
  <c r="EB140" i="4"/>
  <c r="BH140" i="4"/>
  <c r="FL96" i="4"/>
  <c r="DP96" i="4"/>
  <c r="FA140" i="4"/>
  <c r="IB96" i="4"/>
  <c r="FO140" i="4"/>
  <c r="R96" i="4"/>
  <c r="CK96" i="4"/>
  <c r="CK140" i="4"/>
  <c r="AW140" i="4"/>
  <c r="M96" i="4"/>
  <c r="M141" i="4" s="1"/>
  <c r="GU140" i="4"/>
  <c r="HU96" i="4"/>
  <c r="II96" i="4"/>
  <c r="FD140" i="4"/>
  <c r="EF96" i="4"/>
  <c r="EI140" i="4"/>
  <c r="DK96" i="4"/>
  <c r="DK141" i="4" s="1"/>
  <c r="IL96" i="4"/>
  <c r="IL141" i="4" s="1"/>
  <c r="CX96" i="4"/>
  <c r="BJ96" i="4"/>
  <c r="BJ141" i="4" s="1"/>
  <c r="EX140" i="4"/>
  <c r="DJ96" i="4"/>
  <c r="GB140" i="4"/>
  <c r="DH96" i="4"/>
  <c r="BO140" i="4"/>
  <c r="AQ140" i="4"/>
  <c r="ID96" i="4"/>
  <c r="ID141" i="4" s="1"/>
  <c r="BB96" i="4"/>
  <c r="CD140" i="4"/>
  <c r="CD141" i="4" s="1"/>
  <c r="J96" i="4"/>
  <c r="J140" i="4"/>
  <c r="AG96" i="4"/>
  <c r="AG141" i="4" s="1"/>
  <c r="GQ96" i="4"/>
  <c r="CP140" i="4"/>
  <c r="HL140" i="4"/>
  <c r="ER96" i="4"/>
  <c r="AJ96" i="4"/>
  <c r="HJ140" i="4"/>
  <c r="FV96" i="4"/>
  <c r="FV141" i="4" s="1"/>
  <c r="GR140" i="4"/>
  <c r="H96" i="4"/>
  <c r="AT96" i="4"/>
  <c r="AL96" i="4"/>
  <c r="L6" i="6" a="1"/>
  <c r="L6" i="6" s="1"/>
  <c r="M6" i="6" s="1"/>
  <c r="HD140" i="4"/>
  <c r="CV96" i="4"/>
  <c r="AB96" i="4"/>
  <c r="EH140" i="4"/>
  <c r="CT96" i="4"/>
  <c r="HI96" i="4"/>
  <c r="HI140" i="4"/>
  <c r="EG140" i="4"/>
  <c r="BD140" i="4"/>
  <c r="AN140" i="4"/>
  <c r="IK140" i="4"/>
  <c r="AK96" i="4"/>
  <c r="CE140" i="4"/>
  <c r="FL140" i="4"/>
  <c r="HG140" i="4"/>
  <c r="GA96" i="4"/>
  <c r="DN96" i="4"/>
  <c r="DN141" i="4" s="1"/>
  <c r="BI140" i="4"/>
  <c r="FB96" i="4"/>
  <c r="FB141" i="4" s="1"/>
  <c r="CN96" i="4"/>
  <c r="CN141" i="4" s="1"/>
  <c r="HZ96" i="4"/>
  <c r="HZ141" i="4" s="1"/>
  <c r="BN140" i="4"/>
  <c r="AW96" i="4"/>
  <c r="IA96" i="4"/>
  <c r="N140" i="4"/>
  <c r="M140" i="4"/>
  <c r="GM96" i="4"/>
  <c r="EF140" i="4"/>
  <c r="DK140" i="4"/>
  <c r="CM96" i="4"/>
  <c r="CM141" i="4" s="1"/>
  <c r="DF140" i="4"/>
  <c r="F96" i="4"/>
  <c r="F141" i="4" s="1"/>
  <c r="HM140" i="4"/>
  <c r="DU140" i="4"/>
  <c r="AS96" i="4"/>
  <c r="AS141" i="4" s="1"/>
  <c r="EK140" i="4"/>
  <c r="DJ140" i="4"/>
  <c r="IE96" i="4"/>
  <c r="GF96" i="4"/>
  <c r="GF141" i="4" s="1"/>
  <c r="AR96" i="4"/>
  <c r="AR141" i="4" s="1"/>
  <c r="AC140" i="4"/>
  <c r="ER140" i="4"/>
  <c r="BX140" i="4"/>
  <c r="D96" i="4"/>
  <c r="D141" i="4" s="1"/>
  <c r="FV140" i="4"/>
  <c r="EP96" i="4"/>
  <c r="H140" i="4"/>
  <c r="CH140" i="4"/>
  <c r="FX96" i="4"/>
  <c r="BV140" i="4"/>
  <c r="AX96" i="4"/>
  <c r="HQ96" i="4"/>
  <c r="HQ140" i="4"/>
  <c r="EW140" i="4"/>
  <c r="AA140" i="4"/>
  <c r="HO96" i="4"/>
  <c r="CV140" i="4"/>
  <c r="BP140" i="4"/>
  <c r="CT140" i="4"/>
  <c r="EG96" i="4"/>
  <c r="EG141" i="4" s="1"/>
  <c r="CS140" i="4"/>
  <c r="HP96" i="4"/>
  <c r="EU96" i="4"/>
  <c r="DO96" i="4"/>
  <c r="DO141" i="4" s="1"/>
  <c r="O96" i="4"/>
  <c r="O141" i="4" s="1"/>
  <c r="FJ96" i="4"/>
  <c r="FJ141" i="4" s="1"/>
  <c r="FY140" i="4"/>
  <c r="DM140" i="4"/>
  <c r="HA140" i="4"/>
  <c r="DY140" i="4"/>
  <c r="DP140" i="4"/>
  <c r="CR96" i="4"/>
  <c r="CR141" i="4" s="1"/>
  <c r="GA140" i="4"/>
  <c r="CA96" i="4"/>
  <c r="CA141" i="4" s="1"/>
  <c r="BR96" i="4"/>
  <c r="BR141" i="4" s="1"/>
  <c r="IB140" i="4"/>
  <c r="FH96" i="4"/>
  <c r="T96" i="4"/>
  <c r="T141" i="4" s="1"/>
  <c r="HZ140" i="4"/>
  <c r="GT96" i="4"/>
  <c r="GT141" i="4" s="1"/>
  <c r="R140" i="4"/>
  <c r="EA96" i="4"/>
  <c r="S96" i="4"/>
  <c r="S141" i="4" s="1"/>
  <c r="HH96" i="4"/>
  <c r="HU140" i="4"/>
  <c r="GN96" i="4"/>
  <c r="GN141" i="4" s="1"/>
  <c r="II140" i="4"/>
  <c r="GM140" i="4"/>
  <c r="EQ96" i="4"/>
  <c r="EQ141" i="4" s="1"/>
  <c r="GY96" i="4"/>
  <c r="GY140" i="4"/>
  <c r="FS96" i="4"/>
  <c r="FS141" i="4" s="1"/>
  <c r="HV96" i="4"/>
  <c r="CX140" i="4"/>
  <c r="CU96" i="4"/>
  <c r="CU141" i="4" s="1"/>
  <c r="BF96" i="4"/>
  <c r="BF141" i="4" s="1"/>
  <c r="DH140" i="4"/>
  <c r="CJ96" i="4"/>
  <c r="IE140" i="4"/>
  <c r="EE96" i="4"/>
  <c r="EE141" i="4" s="1"/>
  <c r="HN96" i="4"/>
  <c r="HF96" i="4"/>
  <c r="BB140" i="4"/>
  <c r="HE96" i="4"/>
  <c r="GF140" i="4"/>
  <c r="DL96" i="4"/>
  <c r="DL141" i="4" s="1"/>
  <c r="GQ140" i="4"/>
  <c r="FK96" i="4"/>
  <c r="FK141" i="4" s="1"/>
  <c r="CQ96" i="4"/>
  <c r="CQ141" i="4" s="1"/>
  <c r="GX96" i="4"/>
  <c r="GP96" i="4"/>
  <c r="U96" i="4"/>
  <c r="DG96" i="4"/>
  <c r="BQ96" i="4"/>
  <c r="BQ141" i="4" s="1"/>
  <c r="AJ140" i="4"/>
  <c r="EP140" i="4"/>
  <c r="DB96" i="4"/>
  <c r="DB141" i="4" s="1"/>
  <c r="EV96" i="4"/>
  <c r="EV141" i="4" s="1"/>
  <c r="GH96" i="4"/>
  <c r="AT140" i="4"/>
  <c r="AL140" i="4"/>
  <c r="F17" i="6" a="1"/>
  <c r="F17" i="6" s="1"/>
  <c r="B18" i="6"/>
  <c r="G17" i="6"/>
  <c r="H17" i="6"/>
  <c r="D17" i="6" a="1"/>
  <c r="D17" i="6" s="1"/>
  <c r="GO96" i="4"/>
  <c r="FX140" i="4"/>
  <c r="EJ96" i="4"/>
  <c r="EJ141" i="4" s="1"/>
  <c r="AX140" i="4"/>
  <c r="Z96" i="4"/>
  <c r="Z141" i="4" s="1"/>
  <c r="EW96" i="4"/>
  <c r="EO140" i="4"/>
  <c r="EO141" i="4" s="1"/>
  <c r="HO140" i="4"/>
  <c r="AB140" i="4"/>
  <c r="CS96" i="4"/>
  <c r="BG96" i="4"/>
  <c r="BG141" i="4" s="1"/>
  <c r="HP140" i="4"/>
  <c r="EU140" i="4"/>
  <c r="FR140" i="4"/>
  <c r="BY96" i="4"/>
  <c r="AK140" i="4"/>
  <c r="AP96" i="4"/>
  <c r="AP141" i="4" s="1"/>
  <c r="HA96" i="4"/>
  <c r="DY96" i="4"/>
  <c r="DY141" i="4" s="1"/>
  <c r="CR140" i="4"/>
  <c r="BT96" i="4"/>
  <c r="BT141" i="4" s="1"/>
  <c r="CA140" i="4"/>
  <c r="AU96" i="4"/>
  <c r="AU140" i="4"/>
  <c r="IC96" i="4"/>
  <c r="IC141" i="4" s="1"/>
  <c r="FH140" i="4"/>
  <c r="GT140" i="4"/>
  <c r="FF96" i="4"/>
  <c r="FF141" i="4" s="1"/>
  <c r="IA140" i="4"/>
  <c r="EA140" i="4"/>
  <c r="HH140" i="4"/>
  <c r="P141" i="4"/>
  <c r="K96" i="4"/>
  <c r="K141" i="4" s="1"/>
  <c r="E18" i="6" l="1"/>
  <c r="C18" i="6"/>
  <c r="C79" i="4"/>
  <c r="D20" i="4" s="1"/>
  <c r="D79" i="4" s="1"/>
  <c r="E20" i="4" s="1"/>
  <c r="E79" i="4" s="1"/>
  <c r="F20" i="4" s="1"/>
  <c r="F79" i="4" s="1"/>
  <c r="G20" i="4" s="1"/>
  <c r="G79" i="4" s="1"/>
  <c r="H20" i="4" s="1"/>
  <c r="H79" i="4" s="1"/>
  <c r="I20" i="4" s="1"/>
  <c r="I79" i="4" s="1"/>
  <c r="J20" i="4" s="1"/>
  <c r="J79" i="4" s="1"/>
  <c r="K20" i="4" s="1"/>
  <c r="K79" i="4" s="1"/>
  <c r="L20" i="4" s="1"/>
  <c r="L79" i="4" s="1"/>
  <c r="M20" i="4" s="1"/>
  <c r="M79" i="4" s="1"/>
  <c r="N20" i="4" s="1"/>
  <c r="N79" i="4" s="1"/>
  <c r="O20" i="4" s="1"/>
  <c r="O79" i="4" s="1"/>
  <c r="P20" i="4" s="1"/>
  <c r="P79" i="4" s="1"/>
  <c r="Q20" i="4" s="1"/>
  <c r="Q79" i="4" s="1"/>
  <c r="R20" i="4" s="1"/>
  <c r="R79" i="4" s="1"/>
  <c r="S20" i="4" s="1"/>
  <c r="S79" i="4" s="1"/>
  <c r="T20" i="4" s="1"/>
  <c r="T79" i="4" s="1"/>
  <c r="U20" i="4" s="1"/>
  <c r="U79" i="4" s="1"/>
  <c r="V20" i="4" s="1"/>
  <c r="V79" i="4" s="1"/>
  <c r="W20" i="4" s="1"/>
  <c r="W79" i="4" s="1"/>
  <c r="X20" i="4" s="1"/>
  <c r="X79" i="4" s="1"/>
  <c r="Y20" i="4" s="1"/>
  <c r="Y79" i="4" s="1"/>
  <c r="Z20" i="4" s="1"/>
  <c r="Z79" i="4" s="1"/>
  <c r="AA20" i="4" s="1"/>
  <c r="AA79" i="4" s="1"/>
  <c r="AB20" i="4" s="1"/>
  <c r="AB79" i="4" s="1"/>
  <c r="AC20" i="4" s="1"/>
  <c r="AC79" i="4" s="1"/>
  <c r="AD20" i="4" s="1"/>
  <c r="AD79" i="4" s="1"/>
  <c r="AE20" i="4" s="1"/>
  <c r="AE79" i="4" s="1"/>
  <c r="AF20" i="4" s="1"/>
  <c r="AF79" i="4" s="1"/>
  <c r="AG20" i="4" s="1"/>
  <c r="AG79" i="4" s="1"/>
  <c r="AH20" i="4" s="1"/>
  <c r="AH79" i="4" s="1"/>
  <c r="AI20" i="4" s="1"/>
  <c r="AI79" i="4" s="1"/>
  <c r="AJ20" i="4" s="1"/>
  <c r="AJ79" i="4" s="1"/>
  <c r="AK20" i="4" s="1"/>
  <c r="AK79" i="4" s="1"/>
  <c r="AL20" i="4" s="1"/>
  <c r="AL79" i="4" s="1"/>
  <c r="AM20" i="4" s="1"/>
  <c r="AM79" i="4" s="1"/>
  <c r="AN20" i="4" s="1"/>
  <c r="AN79" i="4" s="1"/>
  <c r="AO20" i="4" s="1"/>
  <c r="AO79" i="4" s="1"/>
  <c r="AP20" i="4" s="1"/>
  <c r="AP79" i="4" s="1"/>
  <c r="AQ20" i="4" s="1"/>
  <c r="AQ79" i="4" s="1"/>
  <c r="AR20" i="4" s="1"/>
  <c r="AR79" i="4" s="1"/>
  <c r="AS20" i="4" s="1"/>
  <c r="AS79" i="4" s="1"/>
  <c r="AT20" i="4" s="1"/>
  <c r="AT79" i="4" s="1"/>
  <c r="AU20" i="4" s="1"/>
  <c r="AU79" i="4" s="1"/>
  <c r="AV20" i="4" s="1"/>
  <c r="AV79" i="4" s="1"/>
  <c r="AW20" i="4" s="1"/>
  <c r="AW79" i="4" s="1"/>
  <c r="AX20" i="4" s="1"/>
  <c r="AX79" i="4" s="1"/>
  <c r="AY20" i="4" s="1"/>
  <c r="AY79" i="4" s="1"/>
  <c r="AZ20" i="4" s="1"/>
  <c r="AZ79" i="4" s="1"/>
  <c r="BA20" i="4" s="1"/>
  <c r="BA79" i="4" s="1"/>
  <c r="BB20" i="4" s="1"/>
  <c r="BB79" i="4" s="1"/>
  <c r="BC20" i="4" s="1"/>
  <c r="BC79" i="4" s="1"/>
  <c r="BD20" i="4" s="1"/>
  <c r="BD79" i="4" s="1"/>
  <c r="BE20" i="4" s="1"/>
  <c r="BE79" i="4" s="1"/>
  <c r="BF20" i="4" s="1"/>
  <c r="BF79" i="4" s="1"/>
  <c r="BG20" i="4" s="1"/>
  <c r="BG79" i="4" s="1"/>
  <c r="BH20" i="4" s="1"/>
  <c r="BH79" i="4" s="1"/>
  <c r="BI20" i="4" s="1"/>
  <c r="BI79" i="4" s="1"/>
  <c r="BJ20" i="4" s="1"/>
  <c r="BJ79" i="4" s="1"/>
  <c r="BK20" i="4" s="1"/>
  <c r="BK79" i="4" s="1"/>
  <c r="BL20" i="4" s="1"/>
  <c r="BL79" i="4" s="1"/>
  <c r="BM20" i="4" s="1"/>
  <c r="BM79" i="4" s="1"/>
  <c r="BN20" i="4" s="1"/>
  <c r="BN79" i="4" s="1"/>
  <c r="BO20" i="4" s="1"/>
  <c r="BO79" i="4" s="1"/>
  <c r="BP20" i="4" s="1"/>
  <c r="BP79" i="4" s="1"/>
  <c r="BQ20" i="4" s="1"/>
  <c r="BQ79" i="4" s="1"/>
  <c r="BR20" i="4" s="1"/>
  <c r="BR79" i="4" s="1"/>
  <c r="BS20" i="4" s="1"/>
  <c r="BS79" i="4" s="1"/>
  <c r="BT20" i="4" s="1"/>
  <c r="BT79" i="4" s="1"/>
  <c r="BU20" i="4" s="1"/>
  <c r="BU79" i="4" s="1"/>
  <c r="BV20" i="4" s="1"/>
  <c r="BV79" i="4" s="1"/>
  <c r="BW20" i="4" s="1"/>
  <c r="BW79" i="4" s="1"/>
  <c r="BX20" i="4" s="1"/>
  <c r="BX79" i="4" s="1"/>
  <c r="BY20" i="4" s="1"/>
  <c r="BY79" i="4" s="1"/>
  <c r="BZ20" i="4" s="1"/>
  <c r="BZ79" i="4" s="1"/>
  <c r="CA20" i="4" s="1"/>
  <c r="CA79" i="4" s="1"/>
  <c r="CB20" i="4" s="1"/>
  <c r="CB79" i="4" s="1"/>
  <c r="CC20" i="4" s="1"/>
  <c r="CC79" i="4" s="1"/>
  <c r="CD20" i="4" s="1"/>
  <c r="CD79" i="4" s="1"/>
  <c r="CE20" i="4" s="1"/>
  <c r="CE79" i="4" s="1"/>
  <c r="CF20" i="4" s="1"/>
  <c r="CF79" i="4" s="1"/>
  <c r="CG20" i="4" s="1"/>
  <c r="CG79" i="4" s="1"/>
  <c r="CH20" i="4" s="1"/>
  <c r="CH79" i="4" s="1"/>
  <c r="CI20" i="4" s="1"/>
  <c r="CI79" i="4" s="1"/>
  <c r="CJ20" i="4" s="1"/>
  <c r="CJ79" i="4" s="1"/>
  <c r="CK20" i="4" s="1"/>
  <c r="CK79" i="4" s="1"/>
  <c r="CL20" i="4" s="1"/>
  <c r="CL79" i="4" s="1"/>
  <c r="CM20" i="4" s="1"/>
  <c r="CM79" i="4" s="1"/>
  <c r="CN20" i="4" s="1"/>
  <c r="CN79" i="4" s="1"/>
  <c r="CO20" i="4" s="1"/>
  <c r="CO79" i="4" s="1"/>
  <c r="CP20" i="4" s="1"/>
  <c r="CP79" i="4" s="1"/>
  <c r="CQ20" i="4" s="1"/>
  <c r="CQ79" i="4" s="1"/>
  <c r="CR20" i="4" s="1"/>
  <c r="CR79" i="4" s="1"/>
  <c r="CS20" i="4" s="1"/>
  <c r="CS79" i="4" s="1"/>
  <c r="CT20" i="4" s="1"/>
  <c r="CT79" i="4" s="1"/>
  <c r="CU20" i="4" s="1"/>
  <c r="CU79" i="4" s="1"/>
  <c r="CV20" i="4" s="1"/>
  <c r="CV79" i="4" s="1"/>
  <c r="CW20" i="4" s="1"/>
  <c r="CW79" i="4" s="1"/>
  <c r="CX20" i="4" s="1"/>
  <c r="CX79" i="4" s="1"/>
  <c r="CY20" i="4" s="1"/>
  <c r="CY79" i="4" s="1"/>
  <c r="CZ20" i="4" s="1"/>
  <c r="CZ79" i="4" s="1"/>
  <c r="DA20" i="4" s="1"/>
  <c r="DA79" i="4" s="1"/>
  <c r="DB20" i="4" s="1"/>
  <c r="DB79" i="4" s="1"/>
  <c r="DC20" i="4" s="1"/>
  <c r="DC79" i="4" s="1"/>
  <c r="DD20" i="4" s="1"/>
  <c r="DD79" i="4" s="1"/>
  <c r="DE20" i="4" s="1"/>
  <c r="DE79" i="4" s="1"/>
  <c r="DF20" i="4" s="1"/>
  <c r="DF79" i="4" s="1"/>
  <c r="DG20" i="4" s="1"/>
  <c r="DG79" i="4" s="1"/>
  <c r="DH20" i="4" s="1"/>
  <c r="DH79" i="4" s="1"/>
  <c r="DI20" i="4" s="1"/>
  <c r="DI79" i="4" s="1"/>
  <c r="DJ20" i="4" s="1"/>
  <c r="DJ79" i="4" s="1"/>
  <c r="DK20" i="4" s="1"/>
  <c r="DK79" i="4" s="1"/>
  <c r="DL20" i="4" s="1"/>
  <c r="DL79" i="4" s="1"/>
  <c r="DM20" i="4" s="1"/>
  <c r="DM79" i="4" s="1"/>
  <c r="DN20" i="4" s="1"/>
  <c r="DN79" i="4" s="1"/>
  <c r="DO20" i="4" s="1"/>
  <c r="DO79" i="4" s="1"/>
  <c r="DP20" i="4" s="1"/>
  <c r="DP79" i="4" s="1"/>
  <c r="DQ20" i="4" s="1"/>
  <c r="DQ79" i="4" s="1"/>
  <c r="DR20" i="4" s="1"/>
  <c r="DR79" i="4" s="1"/>
  <c r="DS20" i="4" s="1"/>
  <c r="DS79" i="4" s="1"/>
  <c r="DT20" i="4" s="1"/>
  <c r="DT79" i="4" s="1"/>
  <c r="DU20" i="4" s="1"/>
  <c r="DU79" i="4" s="1"/>
  <c r="DV20" i="4" s="1"/>
  <c r="DV79" i="4" s="1"/>
  <c r="DW20" i="4" s="1"/>
  <c r="DW79" i="4" s="1"/>
  <c r="DX20" i="4" s="1"/>
  <c r="DX79" i="4" s="1"/>
  <c r="DY20" i="4" s="1"/>
  <c r="DY79" i="4" s="1"/>
  <c r="DZ20" i="4" s="1"/>
  <c r="DZ79" i="4" s="1"/>
  <c r="EA20" i="4" s="1"/>
  <c r="EA79" i="4" s="1"/>
  <c r="EB20" i="4" s="1"/>
  <c r="EB79" i="4" s="1"/>
  <c r="EC20" i="4" s="1"/>
  <c r="EC79" i="4" s="1"/>
  <c r="ED20" i="4" s="1"/>
  <c r="ED79" i="4" s="1"/>
  <c r="EE20" i="4" s="1"/>
  <c r="EE79" i="4" s="1"/>
  <c r="EF20" i="4" s="1"/>
  <c r="EF79" i="4" s="1"/>
  <c r="EG20" i="4" s="1"/>
  <c r="EG79" i="4" s="1"/>
  <c r="EH20" i="4" s="1"/>
  <c r="EH79" i="4" s="1"/>
  <c r="EI20" i="4" s="1"/>
  <c r="EI79" i="4" s="1"/>
  <c r="EJ20" i="4" s="1"/>
  <c r="EJ79" i="4" s="1"/>
  <c r="EK20" i="4" s="1"/>
  <c r="EK79" i="4" s="1"/>
  <c r="EL20" i="4" s="1"/>
  <c r="EL79" i="4" s="1"/>
  <c r="EM20" i="4" s="1"/>
  <c r="EM79" i="4" s="1"/>
  <c r="EN20" i="4" s="1"/>
  <c r="EN79" i="4" s="1"/>
  <c r="EO20" i="4" s="1"/>
  <c r="EO79" i="4" s="1"/>
  <c r="EP20" i="4" s="1"/>
  <c r="EP79" i="4" s="1"/>
  <c r="EQ20" i="4" s="1"/>
  <c r="EQ79" i="4" s="1"/>
  <c r="ER20" i="4" s="1"/>
  <c r="ER79" i="4" s="1"/>
  <c r="ES20" i="4" s="1"/>
  <c r="ES79" i="4" s="1"/>
  <c r="ET20" i="4" s="1"/>
  <c r="ET79" i="4" s="1"/>
  <c r="EU20" i="4" s="1"/>
  <c r="EU79" i="4" s="1"/>
  <c r="EV20" i="4" s="1"/>
  <c r="EV79" i="4" s="1"/>
  <c r="EW20" i="4" s="1"/>
  <c r="EW79" i="4" s="1"/>
  <c r="EX20" i="4" s="1"/>
  <c r="EX79" i="4" s="1"/>
  <c r="EY20" i="4" s="1"/>
  <c r="EY79" i="4" s="1"/>
  <c r="EZ20" i="4" s="1"/>
  <c r="EZ79" i="4" s="1"/>
  <c r="FA20" i="4" s="1"/>
  <c r="FA79" i="4" s="1"/>
  <c r="FB20" i="4" s="1"/>
  <c r="FB79" i="4" s="1"/>
  <c r="FC20" i="4" s="1"/>
  <c r="FC79" i="4" s="1"/>
  <c r="FD20" i="4" s="1"/>
  <c r="FD79" i="4" s="1"/>
  <c r="FE20" i="4" s="1"/>
  <c r="FE79" i="4" s="1"/>
  <c r="FF20" i="4" s="1"/>
  <c r="FF79" i="4" s="1"/>
  <c r="FG20" i="4" s="1"/>
  <c r="FG79" i="4" s="1"/>
  <c r="FH20" i="4" s="1"/>
  <c r="FH79" i="4" s="1"/>
  <c r="FI20" i="4" s="1"/>
  <c r="FI79" i="4" s="1"/>
  <c r="FJ20" i="4" s="1"/>
  <c r="FJ79" i="4" s="1"/>
  <c r="FK20" i="4" s="1"/>
  <c r="FK79" i="4" s="1"/>
  <c r="FL20" i="4" s="1"/>
  <c r="FL79" i="4" s="1"/>
  <c r="FM20" i="4" s="1"/>
  <c r="FM79" i="4" s="1"/>
  <c r="FN20" i="4" s="1"/>
  <c r="FN79" i="4" s="1"/>
  <c r="FO20" i="4" s="1"/>
  <c r="FO79" i="4" s="1"/>
  <c r="FP20" i="4" s="1"/>
  <c r="FP79" i="4" s="1"/>
  <c r="FQ20" i="4" s="1"/>
  <c r="FQ79" i="4" s="1"/>
  <c r="FR20" i="4" s="1"/>
  <c r="FR79" i="4" s="1"/>
  <c r="FS20" i="4" s="1"/>
  <c r="FS79" i="4" s="1"/>
  <c r="FT20" i="4" s="1"/>
  <c r="FT79" i="4" s="1"/>
  <c r="FU20" i="4" s="1"/>
  <c r="FU79" i="4" s="1"/>
  <c r="FV20" i="4" s="1"/>
  <c r="FV79" i="4" s="1"/>
  <c r="FW20" i="4" s="1"/>
  <c r="FW79" i="4" s="1"/>
  <c r="FX20" i="4" s="1"/>
  <c r="FX79" i="4" s="1"/>
  <c r="FY20" i="4" s="1"/>
  <c r="FY79" i="4" s="1"/>
  <c r="FZ20" i="4" s="1"/>
  <c r="FZ79" i="4" s="1"/>
  <c r="GA20" i="4" s="1"/>
  <c r="GA79" i="4" s="1"/>
  <c r="GB20" i="4" s="1"/>
  <c r="GB79" i="4" s="1"/>
  <c r="GC20" i="4" s="1"/>
  <c r="GC79" i="4" s="1"/>
  <c r="GD20" i="4" s="1"/>
  <c r="GD79" i="4" s="1"/>
  <c r="GE20" i="4" s="1"/>
  <c r="GE79" i="4" s="1"/>
  <c r="GF20" i="4" s="1"/>
  <c r="GF79" i="4" s="1"/>
  <c r="GG20" i="4" s="1"/>
  <c r="GG79" i="4" s="1"/>
  <c r="GH20" i="4" s="1"/>
  <c r="GH79" i="4" s="1"/>
  <c r="GI20" i="4" s="1"/>
  <c r="GI79" i="4" s="1"/>
  <c r="GJ20" i="4" s="1"/>
  <c r="GJ79" i="4" s="1"/>
  <c r="GK20" i="4" s="1"/>
  <c r="GK79" i="4" s="1"/>
  <c r="GL20" i="4" s="1"/>
  <c r="GL79" i="4" s="1"/>
  <c r="GM20" i="4" s="1"/>
  <c r="GM79" i="4" s="1"/>
  <c r="GN20" i="4" s="1"/>
  <c r="GN79" i="4" s="1"/>
  <c r="GO20" i="4" s="1"/>
  <c r="GO79" i="4" s="1"/>
  <c r="GP20" i="4" s="1"/>
  <c r="GP79" i="4" s="1"/>
  <c r="GQ20" i="4" s="1"/>
  <c r="GQ79" i="4" s="1"/>
  <c r="GR20" i="4" s="1"/>
  <c r="GR79" i="4" s="1"/>
  <c r="GS20" i="4" s="1"/>
  <c r="GS79" i="4" s="1"/>
  <c r="GT20" i="4" s="1"/>
  <c r="GT79" i="4" s="1"/>
  <c r="GU20" i="4" s="1"/>
  <c r="GU79" i="4" s="1"/>
  <c r="GV20" i="4" s="1"/>
  <c r="GV79" i="4" s="1"/>
  <c r="GW20" i="4" s="1"/>
  <c r="GW79" i="4" s="1"/>
  <c r="GX20" i="4" s="1"/>
  <c r="GX79" i="4" s="1"/>
  <c r="GY20" i="4" s="1"/>
  <c r="GY79" i="4" s="1"/>
  <c r="GZ20" i="4" s="1"/>
  <c r="GZ79" i="4" s="1"/>
  <c r="HA20" i="4" s="1"/>
  <c r="HA79" i="4" s="1"/>
  <c r="HB20" i="4" s="1"/>
  <c r="HB79" i="4" s="1"/>
  <c r="HC20" i="4" s="1"/>
  <c r="HC79" i="4" s="1"/>
  <c r="HD20" i="4" s="1"/>
  <c r="HD79" i="4" s="1"/>
  <c r="HE20" i="4" s="1"/>
  <c r="HE79" i="4" s="1"/>
  <c r="HF20" i="4" s="1"/>
  <c r="HF79" i="4" s="1"/>
  <c r="HG20" i="4" s="1"/>
  <c r="HG79" i="4" s="1"/>
  <c r="HH20" i="4" s="1"/>
  <c r="HH79" i="4" s="1"/>
  <c r="HI20" i="4" s="1"/>
  <c r="HI79" i="4" s="1"/>
  <c r="HJ20" i="4" s="1"/>
  <c r="HJ79" i="4" s="1"/>
  <c r="HK20" i="4" s="1"/>
  <c r="HK79" i="4" s="1"/>
  <c r="HL20" i="4" s="1"/>
  <c r="HL79" i="4" s="1"/>
  <c r="HM20" i="4" s="1"/>
  <c r="HM79" i="4" s="1"/>
  <c r="HN20" i="4" s="1"/>
  <c r="HN79" i="4" s="1"/>
  <c r="HO20" i="4" s="1"/>
  <c r="HO79" i="4" s="1"/>
  <c r="HP20" i="4" s="1"/>
  <c r="HP79" i="4" s="1"/>
  <c r="HQ20" i="4" s="1"/>
  <c r="HQ79" i="4" s="1"/>
  <c r="HR20" i="4" s="1"/>
  <c r="HR79" i="4" s="1"/>
  <c r="HS20" i="4" s="1"/>
  <c r="HS79" i="4" s="1"/>
  <c r="HT20" i="4" s="1"/>
  <c r="HT79" i="4" s="1"/>
  <c r="HU20" i="4" s="1"/>
  <c r="HU79" i="4" s="1"/>
  <c r="HV20" i="4" s="1"/>
  <c r="HV79" i="4" s="1"/>
  <c r="HW20" i="4" s="1"/>
  <c r="HW79" i="4" s="1"/>
  <c r="HX20" i="4" s="1"/>
  <c r="HX79" i="4" s="1"/>
  <c r="HY20" i="4" s="1"/>
  <c r="HY79" i="4" s="1"/>
  <c r="HZ20" i="4" s="1"/>
  <c r="HZ79" i="4" s="1"/>
  <c r="IA20" i="4" s="1"/>
  <c r="IA79" i="4" s="1"/>
  <c r="IB20" i="4" s="1"/>
  <c r="IB79" i="4" s="1"/>
  <c r="IC20" i="4" s="1"/>
  <c r="IC79" i="4" s="1"/>
  <c r="ID20" i="4" s="1"/>
  <c r="ID79" i="4" s="1"/>
  <c r="IE20" i="4" s="1"/>
  <c r="IE79" i="4" s="1"/>
  <c r="IF20" i="4" s="1"/>
  <c r="IF79" i="4" s="1"/>
  <c r="IG20" i="4" s="1"/>
  <c r="IG79" i="4" s="1"/>
  <c r="IH20" i="4" s="1"/>
  <c r="IH79" i="4" s="1"/>
  <c r="II20" i="4" s="1"/>
  <c r="II79" i="4" s="1"/>
  <c r="IJ20" i="4" s="1"/>
  <c r="IJ79" i="4" s="1"/>
  <c r="IK20" i="4" s="1"/>
  <c r="IK79" i="4" s="1"/>
  <c r="IL20" i="4" s="1"/>
  <c r="IL79" i="4" s="1"/>
  <c r="G141" i="4"/>
  <c r="GC141" i="4"/>
  <c r="GY141" i="4"/>
  <c r="IE141" i="4"/>
  <c r="U141" i="4"/>
  <c r="HI141" i="4"/>
  <c r="AN141" i="4"/>
  <c r="FE141" i="4"/>
  <c r="AV141" i="4"/>
  <c r="EW141" i="4"/>
  <c r="HN141" i="4"/>
  <c r="HV141" i="4"/>
  <c r="FH141" i="4"/>
  <c r="BP141" i="4"/>
  <c r="GV141" i="4"/>
  <c r="CS141" i="4"/>
  <c r="CY141" i="4"/>
  <c r="C141" i="4"/>
  <c r="CC141" i="4"/>
  <c r="EM141" i="4"/>
  <c r="DR141" i="4"/>
  <c r="HA141" i="4"/>
  <c r="HR141" i="4"/>
  <c r="GO141" i="4"/>
  <c r="HE141" i="4"/>
  <c r="DJ141" i="4"/>
  <c r="II141" i="4"/>
  <c r="BM141" i="4"/>
  <c r="BY141" i="4"/>
  <c r="GH141" i="4"/>
  <c r="J141" i="4"/>
  <c r="AL141" i="4"/>
  <c r="HO141" i="4"/>
  <c r="AT141" i="4"/>
  <c r="IB141" i="4"/>
  <c r="DM141" i="4"/>
  <c r="FM141" i="4"/>
  <c r="DC141" i="4"/>
  <c r="HY141" i="4"/>
  <c r="FP141" i="4"/>
  <c r="IH141" i="4"/>
  <c r="CZ141" i="4"/>
  <c r="CF141" i="4"/>
  <c r="DT141" i="4"/>
  <c r="M8" i="3"/>
  <c r="M10" i="3" s="1"/>
  <c r="M12" i="3" s="1"/>
  <c r="M16" i="3" s="1"/>
  <c r="M18" i="3" s="1"/>
  <c r="J8" i="3"/>
  <c r="J10" i="3" s="1"/>
  <c r="J12" i="3" s="1"/>
  <c r="J16" i="3" s="1"/>
  <c r="J18" i="3" s="1"/>
  <c r="N9" i="3"/>
  <c r="N17" i="3"/>
  <c r="N9" i="4"/>
  <c r="N11" i="3"/>
  <c r="N15" i="3"/>
  <c r="N7" i="3"/>
  <c r="N13" i="3"/>
  <c r="I8" i="3"/>
  <c r="I10" i="3" s="1"/>
  <c r="I12" i="3" s="1"/>
  <c r="I16" i="3" s="1"/>
  <c r="I18" i="3" s="1"/>
  <c r="N14" i="3"/>
  <c r="E8" i="3"/>
  <c r="E10" i="3" s="1"/>
  <c r="E12" i="3" s="1"/>
  <c r="E16" i="3" s="1"/>
  <c r="E18" i="3" s="1"/>
  <c r="N6" i="3"/>
  <c r="G8" i="3"/>
  <c r="G10" i="3" s="1"/>
  <c r="G12" i="3" s="1"/>
  <c r="G16" i="3" s="1"/>
  <c r="G18" i="3" s="1"/>
  <c r="L8" i="3"/>
  <c r="L10" i="3" s="1"/>
  <c r="L12" i="3" s="1"/>
  <c r="L16" i="3" s="1"/>
  <c r="L18" i="3" s="1"/>
  <c r="B10" i="3"/>
  <c r="C8" i="3"/>
  <c r="C10" i="3" s="1"/>
  <c r="C12" i="3" s="1"/>
  <c r="C16" i="3" s="1"/>
  <c r="C18" i="3" s="1"/>
  <c r="C10" i="4"/>
  <c r="D6" i="4" s="1"/>
  <c r="D10" i="4" s="1"/>
  <c r="E6" i="4" s="1"/>
  <c r="E10" i="4" s="1"/>
  <c r="F6" i="4" s="1"/>
  <c r="F10" i="4" s="1"/>
  <c r="G6" i="4" s="1"/>
  <c r="G10" i="4" s="1"/>
  <c r="H6" i="4" s="1"/>
  <c r="H10" i="4" s="1"/>
  <c r="I6" i="4" s="1"/>
  <c r="I10" i="4" s="1"/>
  <c r="J6" i="4" s="1"/>
  <c r="J10" i="4" s="1"/>
  <c r="K6" i="4" s="1"/>
  <c r="K10" i="4" s="1"/>
  <c r="L6" i="4" s="1"/>
  <c r="L10" i="4" s="1"/>
  <c r="M6" i="4" s="1"/>
  <c r="M10" i="4" s="1"/>
  <c r="N10" i="4" s="1"/>
  <c r="D8" i="3"/>
  <c r="D10" i="3" s="1"/>
  <c r="D12" i="3" s="1"/>
  <c r="D16" i="3" s="1"/>
  <c r="D18" i="3" s="1"/>
  <c r="H8" i="3"/>
  <c r="H10" i="3" s="1"/>
  <c r="H12" i="3" s="1"/>
  <c r="H16" i="3" s="1"/>
  <c r="H18" i="3" s="1"/>
  <c r="K8" i="3"/>
  <c r="K10" i="3" s="1"/>
  <c r="K12" i="3" s="1"/>
  <c r="K16" i="3" s="1"/>
  <c r="K18" i="3" s="1"/>
  <c r="F8" i="3"/>
  <c r="F10" i="3" s="1"/>
  <c r="F12" i="3" s="1"/>
  <c r="F16" i="3" s="1"/>
  <c r="F18" i="3" s="1"/>
  <c r="F14" i="5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X141" i="4"/>
  <c r="BO141" i="4"/>
  <c r="FO141" i="4"/>
  <c r="DD141" i="4"/>
  <c r="HH141" i="4"/>
  <c r="GM141" i="4"/>
  <c r="DH141" i="4"/>
  <c r="FL141" i="4"/>
  <c r="FR141" i="4"/>
  <c r="HM141" i="4"/>
  <c r="FW141" i="4"/>
  <c r="HD141" i="4"/>
  <c r="N141" i="4"/>
  <c r="IF141" i="4"/>
  <c r="GU141" i="4"/>
  <c r="CI141" i="4"/>
  <c r="EZ141" i="4"/>
  <c r="AJ141" i="4"/>
  <c r="EF141" i="4"/>
  <c r="CK141" i="4"/>
  <c r="AA141" i="4"/>
  <c r="GR141" i="4"/>
  <c r="GB141" i="4"/>
  <c r="DF141" i="4"/>
  <c r="CE141" i="4"/>
  <c r="IJ141" i="4"/>
  <c r="FG141" i="4"/>
  <c r="X141" i="4"/>
  <c r="AI141" i="4"/>
  <c r="FA141" i="4"/>
  <c r="FT141" i="4"/>
  <c r="CG141" i="4"/>
  <c r="HT141" i="4"/>
  <c r="CW141" i="4"/>
  <c r="DV141" i="4"/>
  <c r="AU141" i="4"/>
  <c r="EU141" i="4"/>
  <c r="DP141" i="4"/>
  <c r="F15" i="6" a="1"/>
  <c r="F15" i="6" s="1"/>
  <c r="C10" i="6" a="1"/>
  <c r="C10" i="6" s="1"/>
  <c r="BZ141" i="4"/>
  <c r="CJ141" i="4"/>
  <c r="HP141" i="4"/>
  <c r="DG141" i="4"/>
  <c r="EA141" i="4"/>
  <c r="CT141" i="4"/>
  <c r="ER141" i="4"/>
  <c r="R141" i="4"/>
  <c r="HJ141" i="4"/>
  <c r="HB141" i="4"/>
  <c r="DW141" i="4"/>
  <c r="IG141" i="4"/>
  <c r="ET141" i="4"/>
  <c r="AD141" i="4"/>
  <c r="FZ141" i="4"/>
  <c r="BX141" i="4"/>
  <c r="BU141" i="4"/>
  <c r="EX141" i="4"/>
  <c r="EI141" i="4"/>
  <c r="BI141" i="4"/>
  <c r="GE141" i="4"/>
  <c r="HK141" i="4"/>
  <c r="BH141" i="4"/>
  <c r="CB141" i="4"/>
  <c r="CL141" i="4"/>
  <c r="W141" i="4"/>
  <c r="AH141" i="4"/>
  <c r="EP141" i="4"/>
  <c r="AK141" i="4"/>
  <c r="GP141" i="4"/>
  <c r="BB141" i="4"/>
  <c r="EH141" i="4"/>
  <c r="HL141" i="4"/>
  <c r="HQ141" i="4"/>
  <c r="AB141" i="4"/>
  <c r="HU141" i="4"/>
  <c r="BV141" i="4"/>
  <c r="IK141" i="4"/>
  <c r="DA141" i="4"/>
  <c r="EB141" i="4"/>
  <c r="DE141" i="4"/>
  <c r="GX141" i="4"/>
  <c r="HF141" i="4"/>
  <c r="AX141" i="4"/>
  <c r="IA141" i="4"/>
  <c r="GA141" i="4"/>
  <c r="CV141" i="4"/>
  <c r="H141" i="4"/>
  <c r="GQ141" i="4"/>
  <c r="CX141" i="4"/>
  <c r="FY141" i="4"/>
  <c r="AC141" i="4"/>
  <c r="FD141" i="4"/>
  <c r="GS141" i="4"/>
  <c r="HG141" i="4"/>
  <c r="BD141" i="4"/>
  <c r="CO141" i="4"/>
  <c r="Y141" i="4"/>
  <c r="HX141" i="4"/>
  <c r="CP141" i="4"/>
  <c r="GW141" i="4"/>
  <c r="HC141" i="4"/>
  <c r="EY141" i="4"/>
  <c r="HS141" i="4"/>
  <c r="B141" i="4"/>
  <c r="B142" i="4" s="1"/>
  <c r="C83" i="4" s="1"/>
  <c r="C142" i="4" s="1"/>
  <c r="D83" i="4" s="1"/>
  <c r="D142" i="4" s="1"/>
  <c r="E83" i="4" s="1"/>
  <c r="E142" i="4" s="1"/>
  <c r="F83" i="4" s="1"/>
  <c r="F142" i="4" s="1"/>
  <c r="G83" i="4" s="1"/>
  <c r="G142" i="4" s="1"/>
  <c r="H83" i="4" s="1"/>
  <c r="H142" i="4" s="1"/>
  <c r="I83" i="4" s="1"/>
  <c r="I142" i="4" s="1"/>
  <c r="J83" i="4" s="1"/>
  <c r="J142" i="4" s="1"/>
  <c r="K83" i="4" s="1"/>
  <c r="K142" i="4" s="1"/>
  <c r="L83" i="4" s="1"/>
  <c r="L142" i="4" s="1"/>
  <c r="M83" i="4" s="1"/>
  <c r="M142" i="4" s="1"/>
  <c r="N83" i="4" s="1"/>
  <c r="D15" i="6" a="1"/>
  <c r="D15" i="6" s="1"/>
  <c r="C9" i="6" a="1"/>
  <c r="C9" i="6" s="1"/>
  <c r="GG141" i="4"/>
  <c r="BW141" i="4"/>
  <c r="G18" i="6"/>
  <c r="H18" i="6"/>
  <c r="D18" i="6" a="1"/>
  <c r="D18" i="6" s="1"/>
  <c r="F18" i="6" a="1"/>
  <c r="F18" i="6" s="1"/>
  <c r="B19" i="6"/>
  <c r="AW141" i="4"/>
  <c r="AQ141" i="4"/>
  <c r="EK141" i="4"/>
  <c r="BN141" i="4"/>
  <c r="GJ141" i="4"/>
  <c r="EL141" i="4"/>
  <c r="E19" i="6" l="1"/>
  <c r="C19" i="6"/>
  <c r="G15" i="6"/>
  <c r="H15" i="6" s="1"/>
  <c r="B12" i="3"/>
  <c r="N10" i="3"/>
  <c r="N8" i="3"/>
  <c r="C11" i="6"/>
  <c r="D9" i="6"/>
  <c r="E9" i="6"/>
  <c r="D10" i="6"/>
  <c r="E10" i="6"/>
  <c r="D19" i="6" a="1"/>
  <c r="D19" i="6" s="1"/>
  <c r="F19" i="6" a="1"/>
  <c r="F19" i="6" s="1"/>
  <c r="B20" i="6"/>
  <c r="G19" i="6"/>
  <c r="H19" i="6"/>
  <c r="N142" i="4"/>
  <c r="O83" i="4" s="1"/>
  <c r="O142" i="4" s="1"/>
  <c r="P83" i="4" s="1"/>
  <c r="P142" i="4" s="1"/>
  <c r="Q83" i="4" s="1"/>
  <c r="Q142" i="4" s="1"/>
  <c r="R83" i="4" s="1"/>
  <c r="R142" i="4" s="1"/>
  <c r="S83" i="4" s="1"/>
  <c r="S142" i="4" s="1"/>
  <c r="T83" i="4" s="1"/>
  <c r="T142" i="4" s="1"/>
  <c r="U83" i="4" s="1"/>
  <c r="U142" i="4" s="1"/>
  <c r="V83" i="4" s="1"/>
  <c r="V142" i="4" s="1"/>
  <c r="W83" i="4" s="1"/>
  <c r="W142" i="4" s="1"/>
  <c r="X83" i="4" s="1"/>
  <c r="X142" i="4" s="1"/>
  <c r="Y83" i="4" s="1"/>
  <c r="Y142" i="4" s="1"/>
  <c r="Z83" i="4" s="1"/>
  <c r="Z142" i="4" s="1"/>
  <c r="AA83" i="4" s="1"/>
  <c r="AA142" i="4" s="1"/>
  <c r="AB83" i="4" s="1"/>
  <c r="AB142" i="4" s="1"/>
  <c r="AC83" i="4" s="1"/>
  <c r="AC142" i="4" s="1"/>
  <c r="AD83" i="4" s="1"/>
  <c r="AD142" i="4" s="1"/>
  <c r="AE83" i="4" s="1"/>
  <c r="AE142" i="4" s="1"/>
  <c r="AF83" i="4" s="1"/>
  <c r="AF142" i="4" s="1"/>
  <c r="AG83" i="4" s="1"/>
  <c r="AG142" i="4" s="1"/>
  <c r="AH83" i="4" s="1"/>
  <c r="AH142" i="4" s="1"/>
  <c r="AI83" i="4" s="1"/>
  <c r="AI142" i="4" s="1"/>
  <c r="AJ83" i="4" s="1"/>
  <c r="AJ142" i="4" s="1"/>
  <c r="AK83" i="4" s="1"/>
  <c r="AK142" i="4" s="1"/>
  <c r="AL83" i="4" s="1"/>
  <c r="AL142" i="4" s="1"/>
  <c r="AM83" i="4" s="1"/>
  <c r="AM142" i="4" s="1"/>
  <c r="AN83" i="4" s="1"/>
  <c r="AN142" i="4" s="1"/>
  <c r="AO83" i="4" s="1"/>
  <c r="AO142" i="4" s="1"/>
  <c r="AP83" i="4" s="1"/>
  <c r="AP142" i="4" s="1"/>
  <c r="AQ83" i="4" s="1"/>
  <c r="AQ142" i="4" s="1"/>
  <c r="AR83" i="4" s="1"/>
  <c r="AR142" i="4" s="1"/>
  <c r="AS83" i="4" s="1"/>
  <c r="AS142" i="4" s="1"/>
  <c r="AT83" i="4" s="1"/>
  <c r="AT142" i="4" s="1"/>
  <c r="AU83" i="4" s="1"/>
  <c r="AU142" i="4" s="1"/>
  <c r="AV83" i="4" s="1"/>
  <c r="AV142" i="4" s="1"/>
  <c r="AW83" i="4" s="1"/>
  <c r="AW142" i="4" s="1"/>
  <c r="AX83" i="4" s="1"/>
  <c r="AX142" i="4" s="1"/>
  <c r="AY83" i="4" s="1"/>
  <c r="AY142" i="4" s="1"/>
  <c r="AZ83" i="4" s="1"/>
  <c r="AZ142" i="4" s="1"/>
  <c r="BA83" i="4" s="1"/>
  <c r="BA142" i="4" s="1"/>
  <c r="BB83" i="4" s="1"/>
  <c r="BB142" i="4" s="1"/>
  <c r="BC83" i="4" s="1"/>
  <c r="BC142" i="4" s="1"/>
  <c r="BD83" i="4" s="1"/>
  <c r="BD142" i="4" s="1"/>
  <c r="BE83" i="4" s="1"/>
  <c r="BE142" i="4" s="1"/>
  <c r="BF83" i="4" s="1"/>
  <c r="BF142" i="4" s="1"/>
  <c r="BG83" i="4" s="1"/>
  <c r="BG142" i="4" s="1"/>
  <c r="BH83" i="4" s="1"/>
  <c r="BH142" i="4" s="1"/>
  <c r="BI83" i="4" s="1"/>
  <c r="BI142" i="4" s="1"/>
  <c r="BJ83" i="4" s="1"/>
  <c r="BJ142" i="4" s="1"/>
  <c r="BK83" i="4" s="1"/>
  <c r="BK142" i="4" s="1"/>
  <c r="BL83" i="4" s="1"/>
  <c r="BL142" i="4" s="1"/>
  <c r="BM83" i="4" s="1"/>
  <c r="BM142" i="4" s="1"/>
  <c r="BN83" i="4" s="1"/>
  <c r="BN142" i="4" s="1"/>
  <c r="BO83" i="4" s="1"/>
  <c r="BO142" i="4" s="1"/>
  <c r="BP83" i="4" s="1"/>
  <c r="BP142" i="4" s="1"/>
  <c r="BQ83" i="4" s="1"/>
  <c r="BQ142" i="4" s="1"/>
  <c r="BR83" i="4" s="1"/>
  <c r="BR142" i="4" s="1"/>
  <c r="BS83" i="4" s="1"/>
  <c r="BS142" i="4" s="1"/>
  <c r="BT83" i="4" s="1"/>
  <c r="BT142" i="4" s="1"/>
  <c r="BU83" i="4" s="1"/>
  <c r="BU142" i="4" s="1"/>
  <c r="BV83" i="4" s="1"/>
  <c r="BV142" i="4" s="1"/>
  <c r="BW83" i="4" s="1"/>
  <c r="BW142" i="4" s="1"/>
  <c r="BX83" i="4" s="1"/>
  <c r="BX142" i="4" s="1"/>
  <c r="BY83" i="4" s="1"/>
  <c r="BY142" i="4" s="1"/>
  <c r="BZ83" i="4" s="1"/>
  <c r="BZ142" i="4" s="1"/>
  <c r="CA83" i="4" s="1"/>
  <c r="CA142" i="4" s="1"/>
  <c r="CB83" i="4" s="1"/>
  <c r="CB142" i="4" s="1"/>
  <c r="CC83" i="4" s="1"/>
  <c r="CC142" i="4" s="1"/>
  <c r="CD83" i="4" s="1"/>
  <c r="CD142" i="4" s="1"/>
  <c r="CE83" i="4" s="1"/>
  <c r="CE142" i="4" s="1"/>
  <c r="CF83" i="4" s="1"/>
  <c r="CF142" i="4" s="1"/>
  <c r="CG83" i="4" s="1"/>
  <c r="CG142" i="4" s="1"/>
  <c r="CH83" i="4" s="1"/>
  <c r="CH142" i="4" s="1"/>
  <c r="CI83" i="4" s="1"/>
  <c r="CI142" i="4" s="1"/>
  <c r="CJ83" i="4" s="1"/>
  <c r="CJ142" i="4" s="1"/>
  <c r="CK83" i="4" s="1"/>
  <c r="CK142" i="4" s="1"/>
  <c r="CL83" i="4" s="1"/>
  <c r="CL142" i="4" s="1"/>
  <c r="CM83" i="4" s="1"/>
  <c r="CM142" i="4" s="1"/>
  <c r="CN83" i="4" s="1"/>
  <c r="CN142" i="4" s="1"/>
  <c r="CO83" i="4" s="1"/>
  <c r="CO142" i="4" s="1"/>
  <c r="CP83" i="4" s="1"/>
  <c r="CP142" i="4" s="1"/>
  <c r="CQ83" i="4" s="1"/>
  <c r="CQ142" i="4" s="1"/>
  <c r="CR83" i="4" s="1"/>
  <c r="CR142" i="4" s="1"/>
  <c r="CS83" i="4" s="1"/>
  <c r="CS142" i="4" s="1"/>
  <c r="CT83" i="4" s="1"/>
  <c r="CT142" i="4" s="1"/>
  <c r="CU83" i="4" s="1"/>
  <c r="CU142" i="4" s="1"/>
  <c r="CV83" i="4" s="1"/>
  <c r="CV142" i="4" s="1"/>
  <c r="CW83" i="4" s="1"/>
  <c r="CW142" i="4" s="1"/>
  <c r="CX83" i="4" s="1"/>
  <c r="CX142" i="4" s="1"/>
  <c r="CY83" i="4" s="1"/>
  <c r="CY142" i="4" s="1"/>
  <c r="CZ83" i="4" s="1"/>
  <c r="CZ142" i="4" s="1"/>
  <c r="DA83" i="4" s="1"/>
  <c r="DA142" i="4" s="1"/>
  <c r="DB83" i="4" s="1"/>
  <c r="DB142" i="4" s="1"/>
  <c r="DC83" i="4" s="1"/>
  <c r="DC142" i="4" s="1"/>
  <c r="DD83" i="4" s="1"/>
  <c r="DD142" i="4" s="1"/>
  <c r="DE83" i="4" s="1"/>
  <c r="DE142" i="4" s="1"/>
  <c r="DF83" i="4" s="1"/>
  <c r="DF142" i="4" s="1"/>
  <c r="DG83" i="4" s="1"/>
  <c r="DG142" i="4" s="1"/>
  <c r="DH83" i="4" s="1"/>
  <c r="DH142" i="4" s="1"/>
  <c r="DI83" i="4" s="1"/>
  <c r="DI142" i="4" s="1"/>
  <c r="DJ83" i="4" s="1"/>
  <c r="DJ142" i="4" s="1"/>
  <c r="DK83" i="4" s="1"/>
  <c r="DK142" i="4" s="1"/>
  <c r="DL83" i="4" s="1"/>
  <c r="DL142" i="4" s="1"/>
  <c r="DM83" i="4" s="1"/>
  <c r="DM142" i="4" s="1"/>
  <c r="DN83" i="4" s="1"/>
  <c r="DN142" i="4" s="1"/>
  <c r="DO83" i="4" s="1"/>
  <c r="DO142" i="4" s="1"/>
  <c r="DP83" i="4" s="1"/>
  <c r="DP142" i="4" s="1"/>
  <c r="DQ83" i="4" s="1"/>
  <c r="DQ142" i="4" s="1"/>
  <c r="DR83" i="4" s="1"/>
  <c r="DR142" i="4" s="1"/>
  <c r="DS83" i="4" s="1"/>
  <c r="DS142" i="4" s="1"/>
  <c r="DT83" i="4" s="1"/>
  <c r="DT142" i="4" s="1"/>
  <c r="DU83" i="4" s="1"/>
  <c r="DU142" i="4" s="1"/>
  <c r="DV83" i="4" s="1"/>
  <c r="DV142" i="4" s="1"/>
  <c r="DW83" i="4" s="1"/>
  <c r="DW142" i="4" s="1"/>
  <c r="DX83" i="4" s="1"/>
  <c r="DX142" i="4" s="1"/>
  <c r="DY83" i="4" s="1"/>
  <c r="DY142" i="4" s="1"/>
  <c r="DZ83" i="4" s="1"/>
  <c r="DZ142" i="4" s="1"/>
  <c r="EA83" i="4" s="1"/>
  <c r="EA142" i="4" s="1"/>
  <c r="EB83" i="4" s="1"/>
  <c r="EB142" i="4" s="1"/>
  <c r="EC83" i="4" s="1"/>
  <c r="EC142" i="4" s="1"/>
  <c r="ED83" i="4" s="1"/>
  <c r="ED142" i="4" s="1"/>
  <c r="EE83" i="4" s="1"/>
  <c r="EE142" i="4" s="1"/>
  <c r="EF83" i="4" s="1"/>
  <c r="EF142" i="4" s="1"/>
  <c r="EG83" i="4" s="1"/>
  <c r="EG142" i="4" s="1"/>
  <c r="EH83" i="4" s="1"/>
  <c r="EH142" i="4" s="1"/>
  <c r="EI83" i="4" s="1"/>
  <c r="EI142" i="4" s="1"/>
  <c r="EJ83" i="4" s="1"/>
  <c r="EJ142" i="4" s="1"/>
  <c r="EK83" i="4" s="1"/>
  <c r="EK142" i="4" s="1"/>
  <c r="EL83" i="4" s="1"/>
  <c r="EL142" i="4" s="1"/>
  <c r="EM83" i="4" s="1"/>
  <c r="EM142" i="4" s="1"/>
  <c r="EN83" i="4" s="1"/>
  <c r="EN142" i="4" s="1"/>
  <c r="EO83" i="4" s="1"/>
  <c r="EO142" i="4" s="1"/>
  <c r="EP83" i="4" s="1"/>
  <c r="EP142" i="4" s="1"/>
  <c r="EQ83" i="4" s="1"/>
  <c r="EQ142" i="4" s="1"/>
  <c r="ER83" i="4" s="1"/>
  <c r="ER142" i="4" s="1"/>
  <c r="ES83" i="4" s="1"/>
  <c r="ES142" i="4" s="1"/>
  <c r="ET83" i="4" s="1"/>
  <c r="ET142" i="4" s="1"/>
  <c r="EU83" i="4" s="1"/>
  <c r="EU142" i="4" s="1"/>
  <c r="EV83" i="4" s="1"/>
  <c r="EV142" i="4" s="1"/>
  <c r="EW83" i="4" s="1"/>
  <c r="EW142" i="4" s="1"/>
  <c r="EX83" i="4" s="1"/>
  <c r="EX142" i="4" s="1"/>
  <c r="EY83" i="4" s="1"/>
  <c r="EY142" i="4" s="1"/>
  <c r="EZ83" i="4" s="1"/>
  <c r="EZ142" i="4" s="1"/>
  <c r="FA83" i="4" s="1"/>
  <c r="FA142" i="4" s="1"/>
  <c r="FB83" i="4" s="1"/>
  <c r="FB142" i="4" s="1"/>
  <c r="FC83" i="4" s="1"/>
  <c r="FC142" i="4" s="1"/>
  <c r="FD83" i="4" s="1"/>
  <c r="FD142" i="4" s="1"/>
  <c r="FE83" i="4" s="1"/>
  <c r="FE142" i="4" s="1"/>
  <c r="FF83" i="4" s="1"/>
  <c r="FF142" i="4" s="1"/>
  <c r="FG83" i="4" s="1"/>
  <c r="FG142" i="4" s="1"/>
  <c r="FH83" i="4" s="1"/>
  <c r="FH142" i="4" s="1"/>
  <c r="FI83" i="4" s="1"/>
  <c r="FI142" i="4" s="1"/>
  <c r="FJ83" i="4" s="1"/>
  <c r="FJ142" i="4" s="1"/>
  <c r="FK83" i="4" s="1"/>
  <c r="FK142" i="4" s="1"/>
  <c r="FL83" i="4" s="1"/>
  <c r="FL142" i="4" s="1"/>
  <c r="FM83" i="4" s="1"/>
  <c r="FM142" i="4" s="1"/>
  <c r="FN83" i="4" s="1"/>
  <c r="FN142" i="4" s="1"/>
  <c r="FO83" i="4" s="1"/>
  <c r="FO142" i="4" s="1"/>
  <c r="FP83" i="4" s="1"/>
  <c r="FP142" i="4" s="1"/>
  <c r="FQ83" i="4" s="1"/>
  <c r="FQ142" i="4" s="1"/>
  <c r="FR83" i="4" s="1"/>
  <c r="FR142" i="4" s="1"/>
  <c r="FS83" i="4" s="1"/>
  <c r="FS142" i="4" s="1"/>
  <c r="FT83" i="4" s="1"/>
  <c r="FT142" i="4" s="1"/>
  <c r="FU83" i="4" s="1"/>
  <c r="FU142" i="4" s="1"/>
  <c r="FV83" i="4" s="1"/>
  <c r="FV142" i="4" s="1"/>
  <c r="FW83" i="4" s="1"/>
  <c r="FW142" i="4" s="1"/>
  <c r="FX83" i="4" s="1"/>
  <c r="FX142" i="4" s="1"/>
  <c r="FY83" i="4" s="1"/>
  <c r="FY142" i="4" s="1"/>
  <c r="FZ83" i="4" s="1"/>
  <c r="FZ142" i="4" s="1"/>
  <c r="GA83" i="4" s="1"/>
  <c r="GA142" i="4" s="1"/>
  <c r="GB83" i="4" s="1"/>
  <c r="GB142" i="4" s="1"/>
  <c r="GC83" i="4" s="1"/>
  <c r="GC142" i="4" s="1"/>
  <c r="GD83" i="4" s="1"/>
  <c r="GD142" i="4" s="1"/>
  <c r="GE83" i="4" s="1"/>
  <c r="GE142" i="4" s="1"/>
  <c r="GF83" i="4" s="1"/>
  <c r="GF142" i="4" s="1"/>
  <c r="GG83" i="4" s="1"/>
  <c r="GG142" i="4" s="1"/>
  <c r="GH83" i="4" s="1"/>
  <c r="GH142" i="4" s="1"/>
  <c r="GI83" i="4" s="1"/>
  <c r="GI142" i="4" s="1"/>
  <c r="GJ83" i="4" s="1"/>
  <c r="GJ142" i="4" s="1"/>
  <c r="GK83" i="4" s="1"/>
  <c r="GK142" i="4" s="1"/>
  <c r="GL83" i="4" s="1"/>
  <c r="GL142" i="4" s="1"/>
  <c r="GM83" i="4" s="1"/>
  <c r="GM142" i="4" s="1"/>
  <c r="GN83" i="4" s="1"/>
  <c r="GN142" i="4" s="1"/>
  <c r="GO83" i="4" s="1"/>
  <c r="GO142" i="4" s="1"/>
  <c r="GP83" i="4" s="1"/>
  <c r="GP142" i="4" s="1"/>
  <c r="GQ83" i="4" s="1"/>
  <c r="GQ142" i="4" s="1"/>
  <c r="GR83" i="4" s="1"/>
  <c r="GR142" i="4" s="1"/>
  <c r="GS83" i="4" s="1"/>
  <c r="GS142" i="4" s="1"/>
  <c r="GT83" i="4" s="1"/>
  <c r="GT142" i="4" s="1"/>
  <c r="GU83" i="4" s="1"/>
  <c r="GU142" i="4" s="1"/>
  <c r="GV83" i="4" s="1"/>
  <c r="GV142" i="4" s="1"/>
  <c r="GW83" i="4" s="1"/>
  <c r="GW142" i="4" s="1"/>
  <c r="GX83" i="4" s="1"/>
  <c r="GX142" i="4" s="1"/>
  <c r="GY83" i="4" s="1"/>
  <c r="GY142" i="4" s="1"/>
  <c r="GZ83" i="4" s="1"/>
  <c r="GZ142" i="4" s="1"/>
  <c r="HA83" i="4" s="1"/>
  <c r="HA142" i="4" s="1"/>
  <c r="HB83" i="4" s="1"/>
  <c r="HB142" i="4" s="1"/>
  <c r="HC83" i="4" s="1"/>
  <c r="HC142" i="4" s="1"/>
  <c r="HD83" i="4" s="1"/>
  <c r="HD142" i="4" s="1"/>
  <c r="HE83" i="4" s="1"/>
  <c r="HE142" i="4" s="1"/>
  <c r="HF83" i="4" s="1"/>
  <c r="HF142" i="4" s="1"/>
  <c r="HG83" i="4" s="1"/>
  <c r="HG142" i="4" s="1"/>
  <c r="HH83" i="4" s="1"/>
  <c r="HH142" i="4" s="1"/>
  <c r="HI83" i="4" s="1"/>
  <c r="HI142" i="4" s="1"/>
  <c r="HJ83" i="4" s="1"/>
  <c r="HJ142" i="4" s="1"/>
  <c r="HK83" i="4" s="1"/>
  <c r="HK142" i="4" s="1"/>
  <c r="HL83" i="4" s="1"/>
  <c r="HL142" i="4" s="1"/>
  <c r="HM83" i="4" s="1"/>
  <c r="HM142" i="4" s="1"/>
  <c r="HN83" i="4" s="1"/>
  <c r="HN142" i="4" s="1"/>
  <c r="HO83" i="4" s="1"/>
  <c r="HO142" i="4" s="1"/>
  <c r="HP83" i="4" s="1"/>
  <c r="HP142" i="4" s="1"/>
  <c r="HQ83" i="4" s="1"/>
  <c r="HQ142" i="4" s="1"/>
  <c r="HR83" i="4" s="1"/>
  <c r="HR142" i="4" s="1"/>
  <c r="HS83" i="4" s="1"/>
  <c r="HS142" i="4" s="1"/>
  <c r="HT83" i="4" s="1"/>
  <c r="HT142" i="4" s="1"/>
  <c r="HU83" i="4" s="1"/>
  <c r="HU142" i="4" s="1"/>
  <c r="HV83" i="4" s="1"/>
  <c r="HV142" i="4" s="1"/>
  <c r="HW83" i="4" s="1"/>
  <c r="HW142" i="4" s="1"/>
  <c r="HX83" i="4" s="1"/>
  <c r="HX142" i="4" s="1"/>
  <c r="HY83" i="4" s="1"/>
  <c r="HY142" i="4" s="1"/>
  <c r="HZ83" i="4" s="1"/>
  <c r="HZ142" i="4" s="1"/>
  <c r="IA83" i="4" s="1"/>
  <c r="IA142" i="4" s="1"/>
  <c r="IB83" i="4" s="1"/>
  <c r="IB142" i="4" s="1"/>
  <c r="IC83" i="4" s="1"/>
  <c r="IC142" i="4" s="1"/>
  <c r="ID83" i="4" s="1"/>
  <c r="ID142" i="4" s="1"/>
  <c r="IE83" i="4" s="1"/>
  <c r="IE142" i="4" s="1"/>
  <c r="IF83" i="4" s="1"/>
  <c r="IF142" i="4" s="1"/>
  <c r="IG83" i="4" s="1"/>
  <c r="IG142" i="4" s="1"/>
  <c r="IH83" i="4" s="1"/>
  <c r="IH142" i="4" s="1"/>
  <c r="II83" i="4" s="1"/>
  <c r="II142" i="4" s="1"/>
  <c r="IJ83" i="4" s="1"/>
  <c r="IJ142" i="4" s="1"/>
  <c r="IK83" i="4" s="1"/>
  <c r="IK142" i="4" s="1"/>
  <c r="IL83" i="4" s="1"/>
  <c r="IL142" i="4" s="1"/>
  <c r="E20" i="6" l="1"/>
  <c r="C20" i="6"/>
  <c r="B16" i="3"/>
  <c r="N12" i="3"/>
  <c r="F20" i="6" a="1"/>
  <c r="F20" i="6" s="1"/>
  <c r="B21" i="6"/>
  <c r="G20" i="6"/>
  <c r="H20" i="6"/>
  <c r="D20" i="6" a="1"/>
  <c r="D20" i="6" s="1"/>
  <c r="D11" i="6"/>
  <c r="E11" i="6"/>
  <c r="E21" i="6" l="1"/>
  <c r="C21" i="6"/>
  <c r="N16" i="3"/>
  <c r="B18" i="3"/>
  <c r="N18" i="3" s="1"/>
  <c r="G21" i="6"/>
  <c r="H21" i="6"/>
  <c r="D21" i="6" a="1"/>
  <c r="D21" i="6" s="1"/>
  <c r="F21" i="6" a="1"/>
  <c r="F21" i="6" s="1"/>
  <c r="B22" i="6"/>
  <c r="E22" i="6" l="1"/>
  <c r="C22" i="6"/>
  <c r="D22" i="6" a="1"/>
  <c r="D22" i="6" s="1"/>
  <c r="F22" i="6" a="1"/>
  <c r="F22" i="6" s="1"/>
  <c r="B23" i="6"/>
  <c r="G22" i="6"/>
  <c r="H22" i="6"/>
  <c r="C23" i="6" l="1"/>
  <c r="E23" i="6"/>
  <c r="F23" i="6" a="1"/>
  <c r="F23" i="6" s="1"/>
  <c r="B24" i="6"/>
  <c r="G23" i="6"/>
  <c r="H23" i="6"/>
  <c r="D23" i="6" a="1"/>
  <c r="D23" i="6" s="1"/>
  <c r="C24" i="6" l="1"/>
  <c r="E24" i="6"/>
  <c r="H24" i="6"/>
  <c r="D24" i="6" a="1"/>
  <c r="D24" i="6" s="1"/>
  <c r="F24" i="6" a="1"/>
  <c r="F24" i="6" s="1"/>
  <c r="B25" i="6"/>
  <c r="G24" i="6"/>
  <c r="C25" i="6" l="1"/>
  <c r="E25" i="6"/>
  <c r="F25" i="6" a="1"/>
  <c r="F25" i="6" s="1"/>
  <c r="B26" i="6"/>
  <c r="G25" i="6"/>
  <c r="H25" i="6"/>
  <c r="D25" i="6" a="1"/>
  <c r="D25" i="6" s="1"/>
  <c r="C26" i="6" l="1"/>
  <c r="E26" i="6"/>
  <c r="G26" i="6"/>
  <c r="H26" i="6"/>
  <c r="D26" i="6" a="1"/>
  <c r="D26" i="6" s="1"/>
  <c r="F26" i="6" a="1"/>
  <c r="F26" i="6" s="1"/>
  <c r="B27" i="6"/>
  <c r="E27" i="6" l="1"/>
  <c r="C27" i="6"/>
  <c r="D27" i="6" a="1"/>
  <c r="D27" i="6" s="1"/>
  <c r="F27" i="6" a="1"/>
  <c r="F27" i="6" s="1"/>
  <c r="B28" i="6"/>
  <c r="G27" i="6"/>
  <c r="H27" i="6"/>
  <c r="E28" i="6" l="1"/>
  <c r="C28" i="6"/>
  <c r="F28" i="6" a="1"/>
  <c r="F28" i="6" s="1"/>
  <c r="B29" i="6"/>
  <c r="G28" i="6"/>
  <c r="H28" i="6"/>
  <c r="D28" i="6" a="1"/>
  <c r="D28" i="6" s="1"/>
  <c r="E29" i="6" l="1"/>
  <c r="C29" i="6"/>
  <c r="G29" i="6"/>
  <c r="H29" i="6"/>
  <c r="D29" i="6" a="1"/>
  <c r="D29" i="6" s="1"/>
  <c r="F29" i="6" a="1"/>
  <c r="F29" i="6" s="1"/>
  <c r="B30" i="6"/>
  <c r="C30" i="6" l="1"/>
  <c r="E30" i="6"/>
  <c r="D30" i="6" a="1"/>
  <c r="D30" i="6" s="1"/>
  <c r="F30" i="6" a="1"/>
  <c r="F30" i="6" s="1"/>
  <c r="B31" i="6"/>
  <c r="G30" i="6"/>
  <c r="H30" i="6"/>
  <c r="C31" i="6" l="1"/>
  <c r="E31" i="6"/>
  <c r="F31" i="6" a="1"/>
  <c r="F31" i="6" s="1"/>
  <c r="B32" i="6"/>
  <c r="G31" i="6"/>
  <c r="H31" i="6"/>
  <c r="D31" i="6" a="1"/>
  <c r="D31" i="6" s="1"/>
  <c r="C32" i="6" l="1"/>
  <c r="E32" i="6"/>
  <c r="H32" i="6"/>
  <c r="D32" i="6" a="1"/>
  <c r="D32" i="6" s="1"/>
  <c r="F32" i="6" a="1"/>
  <c r="F32" i="6" s="1"/>
  <c r="B33" i="6"/>
  <c r="G32" i="6"/>
  <c r="C33" i="6" l="1"/>
  <c r="E33" i="6"/>
  <c r="F33" i="6" a="1"/>
  <c r="F33" i="6" s="1"/>
  <c r="B34" i="6"/>
  <c r="G33" i="6"/>
  <c r="H33" i="6"/>
  <c r="D33" i="6" a="1"/>
  <c r="D33" i="6" s="1"/>
  <c r="E34" i="6" l="1"/>
  <c r="C34" i="6"/>
  <c r="H34" i="6"/>
  <c r="D34" i="6" a="1"/>
  <c r="D34" i="6" s="1"/>
  <c r="F34" i="6" a="1"/>
  <c r="F34" i="6" s="1"/>
  <c r="B35" i="6"/>
  <c r="G34" i="6"/>
  <c r="C35" i="6" l="1"/>
  <c r="E35" i="6"/>
  <c r="F35" i="6" a="1"/>
  <c r="F35" i="6" s="1"/>
  <c r="B36" i="6"/>
  <c r="G35" i="6"/>
  <c r="H35" i="6"/>
  <c r="D35" i="6" a="1"/>
  <c r="D35" i="6" s="1"/>
  <c r="E36" i="6" l="1"/>
  <c r="C36" i="6"/>
  <c r="G36" i="6"/>
  <c r="H36" i="6"/>
  <c r="D36" i="6" a="1"/>
  <c r="D36" i="6" s="1"/>
  <c r="F36" i="6" a="1"/>
  <c r="F36" i="6" s="1"/>
  <c r="B37" i="6"/>
  <c r="C37" i="6" l="1"/>
  <c r="E37" i="6"/>
  <c r="G37" i="6"/>
  <c r="D37" i="6" a="1"/>
  <c r="D37" i="6" s="1"/>
  <c r="F37" i="6" a="1"/>
  <c r="F37" i="6" s="1"/>
  <c r="B38" i="6"/>
  <c r="H37" i="6"/>
  <c r="E38" i="6" l="1"/>
  <c r="C38" i="6"/>
  <c r="D38" i="6" a="1"/>
  <c r="D38" i="6" s="1"/>
  <c r="F38" i="6" a="1"/>
  <c r="F38" i="6" s="1"/>
  <c r="B39" i="6"/>
  <c r="G38" i="6"/>
  <c r="H38" i="6"/>
  <c r="C39" i="6" l="1"/>
  <c r="E39" i="6"/>
  <c r="F39" i="6" a="1"/>
  <c r="F39" i="6" s="1"/>
  <c r="B40" i="6"/>
  <c r="G39" i="6"/>
  <c r="H39" i="6"/>
  <c r="D39" i="6" a="1"/>
  <c r="D39" i="6" s="1"/>
  <c r="C40" i="6" l="1"/>
  <c r="E40" i="6"/>
  <c r="H40" i="6"/>
  <c r="D40" i="6" a="1"/>
  <c r="D40" i="6" s="1"/>
  <c r="F40" i="6" a="1"/>
  <c r="F40" i="6" s="1"/>
  <c r="B41" i="6"/>
  <c r="G40" i="6"/>
  <c r="C41" i="6" l="1"/>
  <c r="E41" i="6"/>
  <c r="F41" i="6" a="1"/>
  <c r="F41" i="6" s="1"/>
  <c r="B42" i="6"/>
  <c r="G41" i="6"/>
  <c r="H41" i="6"/>
  <c r="D41" i="6" a="1"/>
  <c r="D41" i="6" s="1"/>
  <c r="C42" i="6" l="1"/>
  <c r="E42" i="6"/>
  <c r="H42" i="6"/>
  <c r="D42" i="6" a="1"/>
  <c r="D42" i="6" s="1"/>
  <c r="F42" i="6" a="1"/>
  <c r="F42" i="6" s="1"/>
  <c r="B43" i="6"/>
  <c r="G42" i="6"/>
  <c r="E43" i="6" l="1"/>
  <c r="C43" i="6"/>
  <c r="F43" i="6" a="1"/>
  <c r="F43" i="6" s="1"/>
  <c r="B44" i="6"/>
  <c r="G43" i="6"/>
  <c r="H43" i="6"/>
  <c r="D43" i="6" a="1"/>
  <c r="D43" i="6" s="1"/>
  <c r="E44" i="6" l="1"/>
  <c r="C44" i="6"/>
  <c r="H44" i="6"/>
  <c r="D44" i="6" a="1"/>
  <c r="D44" i="6" s="1"/>
  <c r="F44" i="6" a="1"/>
  <c r="F44" i="6" s="1"/>
  <c r="G44" i="6"/>
  <c r="B45" i="6"/>
  <c r="E45" i="6" l="1"/>
  <c r="C45" i="6"/>
  <c r="G45" i="6"/>
  <c r="F45" i="6" a="1"/>
  <c r="F45" i="6" s="1"/>
  <c r="B46" i="6"/>
  <c r="H45" i="6"/>
  <c r="D45" i="6" a="1"/>
  <c r="D45" i="6" s="1"/>
  <c r="C46" i="6" l="1"/>
  <c r="E46" i="6"/>
  <c r="D46" i="6" a="1"/>
  <c r="D46" i="6" s="1"/>
  <c r="G46" i="6"/>
  <c r="H46" i="6"/>
  <c r="F46" i="6" a="1"/>
  <c r="F46" i="6" s="1"/>
  <c r="B47" i="6"/>
  <c r="C47" i="6" l="1"/>
  <c r="E47" i="6"/>
  <c r="F47" i="6" a="1"/>
  <c r="F47" i="6" s="1"/>
  <c r="B48" i="6"/>
  <c r="G47" i="6"/>
  <c r="D47" i="6" a="1"/>
  <c r="D47" i="6" s="1"/>
  <c r="H47" i="6"/>
  <c r="C48" i="6" l="1"/>
  <c r="E48" i="6"/>
  <c r="H48" i="6"/>
  <c r="D48" i="6" a="1"/>
  <c r="D48" i="6" s="1"/>
  <c r="F48" i="6" a="1"/>
  <c r="F48" i="6" s="1"/>
  <c r="B49" i="6"/>
  <c r="G48" i="6"/>
  <c r="C49" i="6" l="1"/>
  <c r="E49" i="6"/>
  <c r="F49" i="6" a="1"/>
  <c r="F49" i="6" s="1"/>
  <c r="B50" i="6"/>
  <c r="G49" i="6"/>
  <c r="H49" i="6"/>
  <c r="D49" i="6" a="1"/>
  <c r="D49" i="6" s="1"/>
  <c r="E50" i="6" l="1"/>
  <c r="C50" i="6"/>
  <c r="H50" i="6"/>
  <c r="D50" i="6" a="1"/>
  <c r="D50" i="6" s="1"/>
  <c r="F50" i="6" a="1"/>
  <c r="F50" i="6" s="1"/>
  <c r="B51" i="6"/>
  <c r="G50" i="6"/>
  <c r="E51" i="6" l="1"/>
  <c r="C51" i="6"/>
  <c r="G51" i="6"/>
  <c r="H51" i="6"/>
  <c r="F51" i="6" a="1"/>
  <c r="F51" i="6" s="1"/>
  <c r="B52" i="6"/>
  <c r="D51" i="6" a="1"/>
  <c r="D51" i="6" s="1"/>
  <c r="E52" i="6" l="1"/>
  <c r="C52" i="6"/>
  <c r="D52" i="6" a="1"/>
  <c r="D52" i="6" s="1"/>
  <c r="B53" i="6"/>
  <c r="F52" i="6" a="1"/>
  <c r="F52" i="6" s="1"/>
  <c r="G52" i="6"/>
  <c r="H52" i="6"/>
  <c r="C53" i="6" l="1"/>
  <c r="E53" i="6"/>
  <c r="G53" i="6"/>
  <c r="F53" i="6" a="1"/>
  <c r="F53" i="6" s="1"/>
  <c r="B54" i="6"/>
  <c r="D53" i="6" a="1"/>
  <c r="D53" i="6" s="1"/>
  <c r="H53" i="6"/>
  <c r="C54" i="6" l="1"/>
  <c r="E54" i="6"/>
  <c r="D54" i="6" a="1"/>
  <c r="D54" i="6" s="1"/>
  <c r="G54" i="6"/>
  <c r="H54" i="6"/>
  <c r="F54" i="6" a="1"/>
  <c r="F54" i="6" s="1"/>
  <c r="B55" i="6"/>
  <c r="C55" i="6" l="1"/>
  <c r="E55" i="6"/>
  <c r="F55" i="6" a="1"/>
  <c r="F55" i="6" s="1"/>
  <c r="B56" i="6"/>
  <c r="G55" i="6"/>
  <c r="D55" i="6" a="1"/>
  <c r="D55" i="6" s="1"/>
  <c r="H55" i="6"/>
  <c r="C56" i="6" l="1"/>
  <c r="E56" i="6"/>
  <c r="H56" i="6"/>
  <c r="D56" i="6" a="1"/>
  <c r="D56" i="6" s="1"/>
  <c r="F56" i="6" a="1"/>
  <c r="F56" i="6" s="1"/>
  <c r="B57" i="6"/>
  <c r="G56" i="6"/>
  <c r="C57" i="6" l="1"/>
  <c r="E57" i="6"/>
  <c r="H57" i="6"/>
  <c r="G57" i="6"/>
  <c r="D57" i="6" a="1"/>
  <c r="D57" i="6" s="1"/>
  <c r="B58" i="6"/>
  <c r="F57" i="6" a="1"/>
  <c r="F57" i="6" s="1"/>
  <c r="C58" i="6" l="1"/>
  <c r="E58" i="6"/>
  <c r="F58" i="6" a="1"/>
  <c r="F58" i="6" s="1"/>
  <c r="G58" i="6"/>
  <c r="D58" i="6" a="1"/>
  <c r="D58" i="6" s="1"/>
  <c r="B59" i="6"/>
  <c r="H58" i="6"/>
  <c r="C59" i="6" l="1"/>
  <c r="E59" i="6"/>
  <c r="B60" i="6"/>
  <c r="G59" i="6"/>
  <c r="D59" i="6" a="1"/>
  <c r="D59" i="6" s="1"/>
  <c r="F59" i="6" a="1"/>
  <c r="F59" i="6" s="1"/>
  <c r="H59" i="6"/>
  <c r="E60" i="6" l="1"/>
  <c r="C60" i="6"/>
  <c r="H60" i="6"/>
  <c r="F60" i="6" a="1"/>
  <c r="F60" i="6" s="1"/>
  <c r="B61" i="6"/>
  <c r="D60" i="6" a="1"/>
  <c r="D60" i="6" s="1"/>
  <c r="G60" i="6"/>
  <c r="E61" i="6" l="1"/>
  <c r="C61" i="6"/>
  <c r="G61" i="6"/>
  <c r="H61" i="6"/>
  <c r="D61" i="6" a="1"/>
  <c r="D61" i="6" s="1"/>
  <c r="F61" i="6" a="1"/>
  <c r="F61" i="6" s="1"/>
  <c r="B62" i="6"/>
  <c r="E62" i="6" l="1"/>
  <c r="C62" i="6"/>
  <c r="H62" i="6"/>
  <c r="B63" i="6"/>
  <c r="F62" i="6" a="1"/>
  <c r="F62" i="6" s="1"/>
  <c r="G62" i="6"/>
  <c r="D62" i="6" a="1"/>
  <c r="D62" i="6" s="1"/>
  <c r="C63" i="6" l="1"/>
  <c r="E63" i="6"/>
  <c r="F63" i="6" a="1"/>
  <c r="F63" i="6" s="1"/>
  <c r="D63" i="6" a="1"/>
  <c r="D63" i="6" s="1"/>
  <c r="B64" i="6"/>
  <c r="G63" i="6"/>
  <c r="H63" i="6"/>
  <c r="C64" i="6" l="1"/>
  <c r="E64" i="6"/>
  <c r="B65" i="6"/>
  <c r="D64" i="6" a="1"/>
  <c r="D64" i="6" s="1"/>
  <c r="F64" i="6" a="1"/>
  <c r="F64" i="6" s="1"/>
  <c r="G64" i="6"/>
  <c r="H64" i="6"/>
  <c r="C65" i="6" l="1"/>
  <c r="E65" i="6"/>
  <c r="H65" i="6"/>
  <c r="D65" i="6" a="1"/>
  <c r="D65" i="6" s="1"/>
  <c r="F65" i="6" a="1"/>
  <c r="F65" i="6" s="1"/>
  <c r="G65" i="6"/>
  <c r="B66" i="6"/>
  <c r="E66" i="6" l="1"/>
  <c r="C66" i="6"/>
  <c r="G66" i="6"/>
  <c r="D66" i="6" a="1"/>
  <c r="D66" i="6" s="1"/>
  <c r="F66" i="6" a="1"/>
  <c r="F66" i="6" s="1"/>
  <c r="H66" i="6"/>
  <c r="B67" i="6"/>
  <c r="E67" i="6" l="1"/>
  <c r="C67" i="6"/>
  <c r="D67" i="6" a="1"/>
  <c r="D67" i="6" s="1"/>
  <c r="F67" i="6" a="1"/>
  <c r="F67" i="6" s="1"/>
  <c r="H67" i="6"/>
  <c r="G6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<sst xmlns="http://schemas.openxmlformats.org/spreadsheetml/2006/main" count="1830" uniqueCount="312">
  <si>
    <t>Categoria</t>
  </si>
  <si>
    <t>Tipo</t>
  </si>
  <si>
    <t>Grupo DRE</t>
  </si>
  <si>
    <t>Vendas de Produtos</t>
  </si>
  <si>
    <t>Receita Bruta</t>
  </si>
  <si>
    <t>Vendas de Serviços</t>
  </si>
  <si>
    <t>Outras Receitas</t>
  </si>
  <si>
    <t>Impostos sobre Vendas</t>
  </si>
  <si>
    <t>Deduções</t>
  </si>
  <si>
    <t>Devoluções</t>
  </si>
  <si>
    <t>Custo de Mercadoria Vendida</t>
  </si>
  <si>
    <t>CMV</t>
  </si>
  <si>
    <t>Custo de Serviços Prestados</t>
  </si>
  <si>
    <t>Salários e Encargos</t>
  </si>
  <si>
    <t>Despesas Operacionais</t>
  </si>
  <si>
    <t>Aluguel</t>
  </si>
  <si>
    <t>Água, Luz e Internet</t>
  </si>
  <si>
    <t>Material de Escritório</t>
  </si>
  <si>
    <t>Marketing e Publicidade</t>
  </si>
  <si>
    <t>Manutenção</t>
  </si>
  <si>
    <t>Transporte e Viagens</t>
  </si>
  <si>
    <t>Serviços de Terceiros</t>
  </si>
  <si>
    <t>Juros e Tarifas Bancárias</t>
  </si>
  <si>
    <t>Despesas Financeiras</t>
  </si>
  <si>
    <t>Empréstimos e Financiamentos</t>
  </si>
  <si>
    <t>Receitas Financeiras</t>
  </si>
  <si>
    <t>Impostos sobre Lucro</t>
  </si>
  <si>
    <t>Impostos</t>
  </si>
  <si>
    <t>Banco</t>
  </si>
  <si>
    <t>Saldo Inicial</t>
  </si>
  <si>
    <t>Banco do Brasil</t>
  </si>
  <si>
    <t>Itaú</t>
  </si>
  <si>
    <t>Caixa</t>
  </si>
  <si>
    <t>Data</t>
  </si>
  <si>
    <t>Entrada</t>
  </si>
  <si>
    <t>Saída</t>
  </si>
  <si>
    <t>Valor</t>
  </si>
  <si>
    <t>Mês</t>
  </si>
  <si>
    <t>DRE - Demonstração do Resultado</t>
  </si>
  <si>
    <t>Ano:</t>
  </si>
  <si>
    <t>Grupo</t>
  </si>
  <si>
    <t>Total Ano</t>
  </si>
  <si>
    <t>(+) Receita Bruta</t>
  </si>
  <si>
    <t>(-) Deduções</t>
  </si>
  <si>
    <t>(=) Receita Líquida</t>
  </si>
  <si>
    <t>(-) CMV</t>
  </si>
  <si>
    <t>(=) Lucro Bruto</t>
  </si>
  <si>
    <t>(-) Despesas Operacionais</t>
  </si>
  <si>
    <t>(=) EBITDA</t>
  </si>
  <si>
    <t>(+) Receitas Financeiras</t>
  </si>
  <si>
    <t>(-) Despesas Financeiras</t>
  </si>
  <si>
    <t>(+) Outras Receitas</t>
  </si>
  <si>
    <t>(=) Resultado antes dos Impostos</t>
  </si>
  <si>
    <t>(-) Impostos sobre Lucro</t>
  </si>
  <si>
    <t>(=) LUCRO LÍQUIDO</t>
  </si>
  <si>
    <t>Fluxo de Caixa</t>
  </si>
  <si>
    <t>Item</t>
  </si>
  <si>
    <t>Total</t>
  </si>
  <si>
    <t>(+) Total de Entradas</t>
  </si>
  <si>
    <t>(-) Total de Saídas</t>
  </si>
  <si>
    <t>(=) Fluxo do Mês</t>
  </si>
  <si>
    <t>(=) Saldo Acumulado</t>
  </si>
  <si>
    <t>Detalhamento por Banco</t>
  </si>
  <si>
    <t>DASHBOARD FINANCEIRO</t>
  </si>
  <si>
    <t>FILTROS</t>
  </si>
  <si>
    <t>Mês Inicial</t>
  </si>
  <si>
    <t>Mês Final</t>
  </si>
  <si>
    <t>Todas</t>
  </si>
  <si>
    <t>Todos</t>
  </si>
  <si>
    <t>ENTRADAS</t>
  </si>
  <si>
    <t>SAÍDAS</t>
  </si>
  <si>
    <t>RESULTADO</t>
  </si>
  <si>
    <t>SALDO ATUAL</t>
  </si>
  <si>
    <t>EVOLUÇÃO MENSAL</t>
  </si>
  <si>
    <t>Entradas</t>
  </si>
  <si>
    <t>Saídas</t>
  </si>
  <si>
    <t>Resultado</t>
  </si>
  <si>
    <t>Saldo Acum.</t>
  </si>
  <si>
    <t>TOP DESPESAS POR CATEGORIA</t>
  </si>
  <si>
    <t>%</t>
  </si>
  <si>
    <t>TOP RECEITAS POR CATEGORIA</t>
  </si>
  <si>
    <t>Recebimento de Clientes</t>
  </si>
  <si>
    <t>Vendas Online</t>
  </si>
  <si>
    <t>Comissões Recebidas</t>
  </si>
  <si>
    <t>Aluguel Recebido</t>
  </si>
  <si>
    <t>Reembolsos</t>
  </si>
  <si>
    <t>Aporte de Sócios</t>
  </si>
  <si>
    <t>Empréstimo Recebido</t>
  </si>
  <si>
    <t>Frete sobre Vendas</t>
  </si>
  <si>
    <t>Embalagens</t>
  </si>
  <si>
    <t>Combustível</t>
  </si>
  <si>
    <t>Pró-labore</t>
  </si>
  <si>
    <t>Benefícios (VR/VT/Plano)</t>
  </si>
  <si>
    <t>Software e Assinaturas</t>
  </si>
  <si>
    <t>Telefone e Celular</t>
  </si>
  <si>
    <t>Limpeza e Conservação</t>
  </si>
  <si>
    <t>Seguros</t>
  </si>
  <si>
    <t>Treinamento e Capacitação</t>
  </si>
  <si>
    <t>Honorários Contábeis</t>
  </si>
  <si>
    <t>Honorários Jurídicos</t>
  </si>
  <si>
    <t>Equipamentos e Informática</t>
  </si>
  <si>
    <t>Móveis e Utensílios</t>
  </si>
  <si>
    <t>Refeições e Confraternizações</t>
  </si>
  <si>
    <t>Correios e Entregas</t>
  </si>
  <si>
    <t>Taxas e Anuidades</t>
  </si>
  <si>
    <t>IOF</t>
  </si>
  <si>
    <t>Cartão de Crédito</t>
  </si>
  <si>
    <t>Multas e Juros</t>
  </si>
  <si>
    <t>Pagamento de Fornecedores</t>
  </si>
  <si>
    <t>Retirada de Sócios</t>
  </si>
  <si>
    <t>INSS / FGTS</t>
  </si>
  <si>
    <t>Simples Nacional / DAS</t>
  </si>
  <si>
    <t>ISS</t>
  </si>
  <si>
    <t>ICMS</t>
  </si>
  <si>
    <t>PIS/COFINS</t>
  </si>
  <si>
    <t>FLUXO DE CAIXA DIÁRIO (Mai-Dez)</t>
  </si>
  <si>
    <t>Data →</t>
  </si>
  <si>
    <t>SALDO INICIAL DO DIA</t>
  </si>
  <si>
    <t>💰 RECEITAS</t>
  </si>
  <si>
    <t>TOTAL ENTRADAS</t>
  </si>
  <si>
    <t>💸 DESPESAS</t>
  </si>
  <si>
    <t>TOTAL SAÍDAS</t>
  </si>
  <si>
    <t>FLUXO DO DIA</t>
  </si>
  <si>
    <t>SALDO FINAL DO DIA</t>
  </si>
  <si>
    <t>FORECAST DIÁRIO (Mai-Dez)</t>
  </si>
  <si>
    <t>SALDO INICIAL DO DIA (Forecast)</t>
  </si>
  <si>
    <t>💰 RECEITAS PREVISTAS</t>
  </si>
  <si>
    <t>TOTAL ENTRADAS PREVISTAS</t>
  </si>
  <si>
    <t>💸 DESPESAS PREVISTAS</t>
  </si>
  <si>
    <t>TOTAL SAÍDAS PREVISTAS</t>
  </si>
  <si>
    <t>FLUXO PREVISTO DO DIA</t>
  </si>
  <si>
    <t>SALDO FINAL FORECAST</t>
  </si>
  <si>
    <t>REALIZADO vs FORECAST</t>
  </si>
  <si>
    <t>Data Inicial</t>
  </si>
  <si>
    <t>Data Final</t>
  </si>
  <si>
    <t>Visão</t>
  </si>
  <si>
    <t>REALIZADO</t>
  </si>
  <si>
    <t>FORECAST</t>
  </si>
  <si>
    <t>DESVIO R$</t>
  </si>
  <si>
    <t>DESVIO %</t>
  </si>
  <si>
    <t>EVOLUÇÃO TEMPORAL (conforme visão)</t>
  </si>
  <si>
    <t>Período</t>
  </si>
  <si>
    <t>Realizado Entradas</t>
  </si>
  <si>
    <t>Forecast Entradas</t>
  </si>
  <si>
    <t>Realizado Saídas</t>
  </si>
  <si>
    <t>Forecast Saídas</t>
  </si>
  <si>
    <t>Desvio Resultado</t>
  </si>
  <si>
    <t>Desvio %</t>
  </si>
  <si>
    <t>DESVIO POR CATEGORIA</t>
  </si>
  <si>
    <t>Realizado</t>
  </si>
  <si>
    <t>Forecast</t>
  </si>
  <si>
    <t>Desvio</t>
  </si>
  <si>
    <t>Cresol</t>
  </si>
  <si>
    <t>Stone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</si>
  <si>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</si>
  <si>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</si>
  <si>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</si>
  <si>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</si>
  <si>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</si>
  <si>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</si>
  <si>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</si>
  <si>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</si>
  <si>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Descrição Extrato</t>
  </si>
  <si>
    <t>PIX CREDITO DE: POLLYANA ROCHA DA SILVA</t>
  </si>
  <si>
    <t>PIX CREDITO DE: LUCINEIA COSTA SARAIVA DE AM</t>
  </si>
  <si>
    <t>TED CRÉDITO 082 0000 07679404000100 BANCO</t>
  </si>
  <si>
    <t>PIX CREDITO DE: ANTONIO DONIZETI BIN - 31/05</t>
  </si>
  <si>
    <t>PIX DEBITO INTERCOOPERATIVO PARA: CONDOMINIO RESIDENCIAL SPA</t>
  </si>
  <si>
    <t>PAGAMENTO DE TÍTULOS - IB SPAL IND BRAS DE BEBIDAS SA</t>
  </si>
  <si>
    <t>PAGAMENTO DE TÍTULOS - IB PENNACCHI CIA LTDA</t>
  </si>
  <si>
    <t>PIX DEBITO PARA: WYLLAMY SANTOS DA SILVA</t>
  </si>
  <si>
    <t>CRÉDITO ANTECIPAÇÃO DE RECEBÍVEIS 10260001062611934-STONE -ELO</t>
  </si>
  <si>
    <t>CRÉDITO ANTECIPAÇÃO DE RECEBÍVEIS 10260001062611805-STONE -VISA</t>
  </si>
  <si>
    <t>CRÉDITO ANTECIPAÇÃO DE RECEBÍVEIS 10260001062611777-STONE -MASTERC</t>
  </si>
  <si>
    <t>CRÉDITO ANTECIPAÇÃO DE RECEBÍVEIS 10260001062611738-STONE -AMERICA</t>
  </si>
  <si>
    <t>TED CRÉDITO 001 3132 09092759000116 NAIP I</t>
  </si>
  <si>
    <t>DÉBITO CONVÊNIOS - SANCOR SANCOR SEGUROS DO BR</t>
  </si>
  <si>
    <t>VENDAS CARTAO TIPO DEBITO 10260001062608808-STONE -VISA EL</t>
  </si>
  <si>
    <t>VENDAS CARTAO TIPO DEBITO 10260001062608783-STONE -MAESTRO</t>
  </si>
  <si>
    <t>VENDAS CARTAO TIPO DEBITO 10260001062608736-STONE -ELO DEB</t>
  </si>
  <si>
    <t>Tarifa</t>
  </si>
  <si>
    <t>Joao Victor Parpinelli | Pix | Maquininha</t>
  </si>
  <si>
    <t>Amanda Cristina Gomes | Pix | Maquininha</t>
  </si>
  <si>
    <t>NINA DE CASTRO BINOTTO | GONCALVES | Pix | Maquininha</t>
  </si>
  <si>
    <t>DANIELLE LAZARIN BIDOIA | Pix | Maquininha</t>
  </si>
  <si>
    <t>Elza de Jesus Alves | Pix | Maquininha</t>
  </si>
  <si>
    <t>ANA PAULA BARROS | Pix | Maquininha</t>
  </si>
  <si>
    <t>LUCAS JOSE DE OLIVE | Pix | Maquininha</t>
  </si>
  <si>
    <t>MARIUSA DEL MATTA DE OLIVEIRA | ROCHA | Pix | Maquininha</t>
  </si>
  <si>
    <t>MARYA EDUARDA VALDEVINO | FERREIRA | Pix | Maquininha | PLUXEE BENEFICIOS BRASIL S A ITAÚ UNIBANCO S.A.</t>
  </si>
  <si>
    <t>Pix | Maquininha | PLUXEE BENEFICIOS BRASIL S A ITAÚ UNIBANCO S.A. | Transferência | TED Ag:0912•Cc:59466</t>
  </si>
  <si>
    <t>VITOR HUGO DI TROCCHIO VIEIRA | Pix | Maquininha</t>
  </si>
  <si>
    <t>ISABELA GUARIENTI | Pix | Maquininha</t>
  </si>
  <si>
    <t>RAMON LUIS BARZON DUARTE | 06835367962 | Pix | Maquininha | Informações do Comprovante | Código da autenticação | efa5f186-b3534fe1954e-57b6de849ca2 | Ouvidoria | Se nosso atendimento não atendeu às suas expectativas, ligue para 08009422174 em dias | úteis, das 9h às 18h, horário de Brasília. Você também pode enviar um e-mail para | ouvidoria@stone.com.br | CNPJ 16.501.555/000157 | Dúvidas? Fale com a gente! | Regiões Metropolitanas Envie um WhatsApp Outras regiões Envie um e-mail | 30049680 30049680 0800 326 0506 meajuda@stone.com.br</t>
  </si>
  <si>
    <t>PIX CREDITO DE: DANIELLE LAZARIN BIDOIA</t>
  </si>
  <si>
    <t>PIX CREDITO DE: JULIANO VINICIOS MANTOVANI</t>
  </si>
  <si>
    <t>PIX CREDITO DE: CLEONICE DE MORAES MELO</t>
  </si>
  <si>
    <t>PIX DEBITO PARA: CONDOMINIO RESIDENCIAL OUR</t>
  </si>
  <si>
    <t>PAGAMENTO DE TÍTULOS - IB CARVOARIA FESTEIRO LTDA</t>
  </si>
  <si>
    <t>PAGAMENTO DE TÍTULOS - IB NAIELEN LEOPOLDINO CIA LTDA</t>
  </si>
  <si>
    <t>PAGAMENTO DE TÍTULOS - IB JBAND DISTRIBUIDORA DE BEBIDAS</t>
  </si>
  <si>
    <t>PAGAMENTO DE TÍTULOS - IB CIABEL DISTRIBUIDORA DE BEBIDAS</t>
  </si>
  <si>
    <t>PIX CREDITO DE: RUTI MARQUES PEDRINI</t>
  </si>
  <si>
    <t>CRÉDITO ANTECIPAÇÃO DE RECEBÍVEIS 10260002062612183-STONE -VISA</t>
  </si>
  <si>
    <t>CRÉDITO ANTECIPAÇÃO DE RECEBÍVEIS 10260002062612144-STONE -MASTERC</t>
  </si>
  <si>
    <t>CRÉDITO ANTECIPAÇÃO DE RECEBÍVEIS 10260002062612049-STONE -ELO</t>
  </si>
  <si>
    <t>VENDAS CARTAO TIPO DEBITO 10260002062609786-STONE -VISA EL</t>
  </si>
  <si>
    <t>VENDAS CARTAO TIPO DEBITO 10260002062609766-STONE -MAESTRO</t>
  </si>
  <si>
    <t>Gerson Cardoso Santiago | Pix | Maquininha</t>
  </si>
  <si>
    <t>BRENDA DOS SANTOS ORTEGA | Pix | Maquininha</t>
  </si>
  <si>
    <t>Rafael Vinicius da Silva Evangelista | Pix | Maquininha</t>
  </si>
  <si>
    <t>Luigi Ladeira Palácios Pereira | Pix | Maquininha</t>
  </si>
  <si>
    <t>BIANCA BEATRIZ P S O GARCIA | Pix | Maquininha</t>
  </si>
  <si>
    <t>CAROLINA GIL REALES DA SILVA | Pix | Maquininha</t>
  </si>
  <si>
    <t>RAMON LUIS BARZON DUARTE | 06835367962 | Pix | Maquininha</t>
  </si>
  <si>
    <t>GEOVANNA MONTINI GARCIA | Pix | Maquininha</t>
  </si>
  <si>
    <t>LAUDISLEIA ALMEIDA AZEVEDO | DA CRUS | Pix | Maquininha</t>
  </si>
  <si>
    <t>Alessandra Kowalezuck da Silva | Pix | Maquininha</t>
  </si>
  <si>
    <t>ANA CLARA FERREIRA SANTOS | Pix | Maquininha</t>
  </si>
  <si>
    <t>PAGAMENTO DE TÍTULOS - IB SABORES DO LAR FOODS</t>
  </si>
  <si>
    <t>CRÉDITO ANTECIPAÇÃO DE RECEBÍVEIS 10260003062610976-STONE -VISA</t>
  </si>
  <si>
    <t>CRÉDITO ANTECIPAÇÃO DE RECEBÍVEIS 10260003062610934-STONE -MASTERC</t>
  </si>
  <si>
    <t>CRÉDITO ANTECIPAÇÃO DE RECEBÍVEIS 10260003062610835-STONE -ELO</t>
  </si>
  <si>
    <t>VENDAS CARTAO TIPO DEBITO 10260003062608694-STONE -VISA EL</t>
  </si>
  <si>
    <t>VENDAS CARTAO TIPO DEBITO 10260003062608674-STONE -MAESTRO</t>
  </si>
  <si>
    <t>ANNA PAULA DE CAMPOS | CORDEIRO | Pix | Maquininha</t>
  </si>
  <si>
    <t>Bruno Martins Centenaro | Pix | Maquininha</t>
  </si>
  <si>
    <t>VITOR MENEZES DE SOUZA | Pix | Maquininha</t>
  </si>
  <si>
    <t>Andressa Kamila Blis | Pix | Maquininha</t>
  </si>
  <si>
    <t>LUKAS DE FIGUEIREDO ARAUJO | Pix | Maquininha</t>
  </si>
  <si>
    <t>Pollyana Rocha da Silva | Pix | Maquininha</t>
  </si>
  <si>
    <t>Cláudia Regina Rosa Alves | Pix | Maquininha</t>
  </si>
  <si>
    <t>Meu Sindico Ltda | Pix | Maquininha</t>
  </si>
  <si>
    <t>Bruno Santiago Branco Correia | Pix | Maquininha</t>
  </si>
  <si>
    <t>RICARDO ALEXANDRE GALDIOLI | SENKO | Pix | Maquininha</t>
  </si>
  <si>
    <t>LUCINEIA COSTA SARAIVA DE | AMORIM 03674457946 | Pix | Maquininha</t>
  </si>
  <si>
    <t>Joao Pedro Moreno Prado Sampaio | Pix | Maquininha</t>
  </si>
  <si>
    <t>Rogerio Santo Fechio | Pix | Maquininha</t>
  </si>
  <si>
    <t>LUCAS JOSE DE OLIVEIRA | GONCALVES | Pix | Maquininha</t>
  </si>
  <si>
    <t>EMERSON NORA RIBEIRO | Pix | Maquininha</t>
  </si>
  <si>
    <t>HELOISY VITORIA FARIAS VIEIRA | Pix | Maquininha</t>
  </si>
  <si>
    <t>Emerson Nora Ribeiro | Pix | Maquininha</t>
  </si>
  <si>
    <t>Guilherme Amaro Pereira | Pix | Maquininha</t>
  </si>
  <si>
    <t>AMILTON MARQUES DA SILVA | Pix | Maquininha</t>
  </si>
  <si>
    <t>ANA BOUTIQUE MARINGA LTDA | Pix | Maquininha</t>
  </si>
  <si>
    <t>Luana Pereira Barbosa | Pix | Maquininha</t>
  </si>
  <si>
    <t>NIKOLAS MAZUR | Pix | Maquininha</t>
  </si>
  <si>
    <t>Mateus Henrique Floriano Lira | Pix | Maquininha</t>
  </si>
  <si>
    <t>LUCAS DE SOUZA ARAUJO | Pix | Maquininha</t>
  </si>
  <si>
    <t>Luziana Leite de Souza | Pix | Maquininha</t>
  </si>
  <si>
    <t>HEVELLEN CRIS CORREA PUHINA | GUIMARAES | Pix | Maquininha</t>
  </si>
  <si>
    <t>Dayane Tonon | Pix | Maquininha</t>
  </si>
  <si>
    <t>GUSTAVO ESTEVAM FERREIRA | Pix | Maquininha</t>
  </si>
  <si>
    <t>PIX CREDITO DE: HEVELYN TAYNARA NAVARRO NICO</t>
  </si>
  <si>
    <t>PIX DEBITO PARA: WYLLAMY SANTOS DA SILVA LT</t>
  </si>
  <si>
    <t>PIX DEBITO PARA: JOSE BRITO DA SILV - 04/06</t>
  </si>
  <si>
    <t>COMPRAS NO DEBITO CARTAO MASTERCARD LEJON AUTO SERVICO</t>
  </si>
  <si>
    <t>COMPRAS NO DEBITO CARTAO MASTERCARD ATACADAO 042 AS</t>
  </si>
  <si>
    <t>PIX CREDITO DE: ADLE MOHAMED SALIM B - 04/06</t>
  </si>
  <si>
    <t>COMPRAS NO DEBITO CARTAO MASTERCARD ASSAI ATACADISTA LJ215</t>
  </si>
  <si>
    <t>PAGAMENTO DE TÍTULOS - IB ARILU DISTRIBUIDORA S.A.</t>
  </si>
  <si>
    <t>PAGAMENTO DE TÍTULOS - IB BRF SA</t>
  </si>
  <si>
    <t>CRÉDITO ANTECIPAÇÃO DE RECEBÍVEIS 10260005062622800-STONE -ELO</t>
  </si>
  <si>
    <t>CRÉDITO ANTECIPAÇÃO DE RECEBÍVEIS 10260005062622660-STONE -VISA</t>
  </si>
  <si>
    <t>CRÉDITO ANTECIPAÇÃO DE RECEBÍVEIS 10260005062622631-STONE -MASTERC</t>
  </si>
  <si>
    <t>VENDAS CARTAO TIPO DEBITO 10260005062618101-STONE -VISA EL</t>
  </si>
  <si>
    <t>VENDAS CARTAO TIPO DEBITO 10260005062617986-STONE -MAESTRO</t>
  </si>
  <si>
    <t>VENDAS CARTAO TIPO DEBITO 10260005062617773-STONE -ELO DEB</t>
  </si>
  <si>
    <t>Maria Eduarda Lopes artigas | Pix | Maquininha</t>
  </si>
  <si>
    <t>ANA JULIA DALPIAZ DELFINO | COELHO | Pix | Maquininha</t>
  </si>
  <si>
    <t>JORGE ABILIO GASPAR MACHADO | Pix | Maquininha</t>
  </si>
  <si>
    <t>HENRIQUE MOLINA PAES LANDIN | Pix | Maquininha</t>
  </si>
  <si>
    <t>FATIMA APARECIDA PARIS | RODRIGUES | Pix | Maquininha</t>
  </si>
  <si>
    <t>CLEITON AUGUSTO MILIATTI | Pix | Maquininha</t>
  </si>
  <si>
    <t>Raissa Fernanda Benevides | Pix | Maquininha</t>
  </si>
  <si>
    <t>Lucimara Tavares Lopes Silva | Pix | Maquininha</t>
  </si>
  <si>
    <t>VINICIUS MARIANO DA SILVA | Pix | Maquininha</t>
  </si>
  <si>
    <t>TIAGO LABER DE CARVALHO DA | ROCHA | Pix | Maquininha</t>
  </si>
  <si>
    <t>MARYANGELA SANCHEZ DELFINO | Pix | Maquininha</t>
  </si>
  <si>
    <t>Maria Aparecida da Silva Pereira | Pix | Maquininha</t>
  </si>
  <si>
    <t>KEITI PATRICIA TAUSCHER DA | CUNHA | Pix | Maquininha</t>
  </si>
  <si>
    <t>Julia Karas | Pix | Maquininha</t>
  </si>
  <si>
    <t>CAROLINE HEIL DE ARAUJO | Pix | Maquininha</t>
  </si>
  <si>
    <t>ANA BOUTIQUE MARINGA LTDA | Pix | Maquininha | PLUXEE BENEFICIOS BRASIL S A ITAÚ UNIBANCO S.A.</t>
  </si>
  <si>
    <t>MILENA TEIXEIRA DOS SANTOS | Pix | Maquininha</t>
  </si>
  <si>
    <t>JOAO RICARDO ABUCARMA | COPLAS | Pix | Maquininha</t>
  </si>
  <si>
    <t>BRUNA DE FAVARI BELLI | Pix | Maquininha</t>
  </si>
  <si>
    <t>Jhulia Aparecida de Paes da Silva | Pix | Maquininha</t>
  </si>
  <si>
    <t>EMPREENDIMENTOS MEDICOS JK | S S | Pix | Maquininha</t>
  </si>
  <si>
    <t>DANIELA SONEGO | Pix | Maquininha</t>
  </si>
  <si>
    <t>Mauricio Tezolin | Pix | Maquininha</t>
  </si>
  <si>
    <t>Jeferson Dos Santos Silva | Pix | Maquininha</t>
  </si>
  <si>
    <t>RAFAEL BELINATI GARCIA | POLIMENI | Pix | Maquininha</t>
  </si>
  <si>
    <t>Cristiam Alisson de Assis | Pix | Maquininha</t>
  </si>
  <si>
    <t>PIX DEBITO PARA: GELOCHEF INDUSTRIA E COMER</t>
  </si>
  <si>
    <t>PAGAMENTO DE TÍTULOS - IB DISTRIBUIDORA DE SUCOS MARINGA L</t>
  </si>
  <si>
    <t>PAGAMENTO DE TÍTULOS - IB GRUPO PEREIRA</t>
  </si>
  <si>
    <t>PAGAMENTO DE TÍTULOS - IB PEPSICO DO BRASIL LTDA</t>
  </si>
  <si>
    <t>CRÉDITO ANTECIPAÇÃO DE RECEBÍVEIS 10260008062616363-STONE -VISA</t>
  </si>
  <si>
    <t>CRÉDITO ANTECIPAÇÃO DE RECEBÍVEIS 10260008062616320-STONE -MASTERC</t>
  </si>
  <si>
    <t>CRÉDITO ANTECIPAÇÃO DE RECEBÍVEIS 10260008062616284-STONE -AMERICA</t>
  </si>
  <si>
    <t>CRÉDITO ANTECIPAÇÃO DE RECEBÍVEIS 10260008062616209-STONE -ELO</t>
  </si>
  <si>
    <t>VENDAS CARTAO TIPO DEBITO 10260008062612581-STONE -VISA EL</t>
  </si>
  <si>
    <t>VENDAS CARTAO TIPO DEBITO 10260008062612324-STONE -MAESTRO</t>
  </si>
  <si>
    <t>VENDAS CARTAO TIPO DEBITO 10260008062611843-STONE -ELO DEB</t>
  </si>
  <si>
    <t>PIX CREDITO DE: ALELO S.A.</t>
  </si>
  <si>
    <t>HERA IMOBILIARIA LTDA | Pix | Maquininha</t>
  </si>
  <si>
    <t>Julia Gomes de Jesus | Pix | Maquininha</t>
  </si>
  <si>
    <t>Ano</t>
  </si>
  <si>
    <t>Categoria (aux)</t>
  </si>
  <si>
    <t>Tipo (aux)</t>
  </si>
  <si>
    <t>Valor (aux)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</si>
</sst>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yy"/>
    <numFmt numFmtId="165" formatCode="0.0%"/>
    <numFmt numFmtId="166" formatCode="&quot;R$&quot;\ #,##0.00;[Red]\(&quot;R$&quot;\ #,##0.00\);\-"/>
    <numFmt numFmtId="167" formatCode="0.0%;[Red]\-0.0%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6"/>
      <color rgb="FF548235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b/>
      <sz val="16"/>
      <color rgb="FF2E75B6"/>
      <name val="Aptos Narrow"/>
      <family val="2"/>
      <scheme val="minor"/>
    </font>
    <font>
      <b/>
      <sz val="16"/>
      <color rgb="FF7030A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38572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9F0"/>
        <bgColor indexed="64"/>
      </patternFill>
    </fill>
    <fill>
      <patternFill patternType="solid">
        <fgColor rgb="FF9966C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0" xfId="0" applyFont="1" applyFill="1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4" fillId="3" borderId="0" xfId="0" applyFont="1" applyFill="1"/>
    <xf numFmtId="0" fontId="2" fillId="2" borderId="0" xfId="0" applyFont="1" applyFill="1" applyAlignment="1">
      <alignment horizontal="center"/>
    </xf>
    <xf numFmtId="17" fontId="2" fillId="2" borderId="0" xfId="0" applyNumberFormat="1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4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2" fillId="6" borderId="0" xfId="0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7" fontId="4" fillId="5" borderId="0" xfId="0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2" fillId="9" borderId="0" xfId="0" applyFont="1" applyFill="1"/>
    <xf numFmtId="0" fontId="1" fillId="12" borderId="0" xfId="0" applyFont="1" applyFill="1" applyAlignment="1">
      <alignment horizontal="center"/>
    </xf>
    <xf numFmtId="0" fontId="1" fillId="12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165" fontId="0" fillId="0" borderId="0" xfId="0" applyNumberFormat="1"/>
    <xf numFmtId="166" fontId="12" fillId="11" borderId="0" xfId="0" applyNumberFormat="1" applyFont="1" applyFill="1" applyAlignment="1">
      <alignment horizontal="center"/>
    </xf>
    <xf numFmtId="166" fontId="13" fillId="12" borderId="0" xfId="0" applyNumberFormat="1" applyFont="1" applyFill="1" applyAlignment="1">
      <alignment horizontal="center"/>
    </xf>
    <xf numFmtId="166" fontId="14" fillId="7" borderId="0" xfId="0" applyNumberFormat="1" applyFont="1" applyFill="1" applyAlignment="1">
      <alignment horizontal="center"/>
    </xf>
    <xf numFmtId="166" fontId="15" fillId="13" borderId="0" xfId="0" applyNumberFormat="1" applyFont="1" applyFill="1" applyAlignment="1">
      <alignment horizontal="center"/>
    </xf>
    <xf numFmtId="166" fontId="0" fillId="0" borderId="0" xfId="0" applyNumberFormat="1"/>
    <xf numFmtId="166" fontId="2" fillId="2" borderId="0" xfId="0" applyNumberFormat="1" applyFont="1" applyFill="1"/>
    <xf numFmtId="166" fontId="1" fillId="5" borderId="0" xfId="0" applyNumberFormat="1" applyFont="1" applyFill="1"/>
    <xf numFmtId="166" fontId="1" fillId="4" borderId="0" xfId="0" applyNumberFormat="1" applyFont="1" applyFill="1"/>
    <xf numFmtId="166" fontId="2" fillId="5" borderId="0" xfId="0" applyNumberFormat="1" applyFont="1" applyFill="1"/>
    <xf numFmtId="16" fontId="2" fillId="2" borderId="0" xfId="0" applyNumberFormat="1" applyFont="1" applyFill="1" applyAlignment="1">
      <alignment horizontal="center"/>
    </xf>
    <xf numFmtId="166" fontId="1" fillId="7" borderId="0" xfId="0" applyNumberFormat="1" applyFont="1" applyFill="1"/>
    <xf numFmtId="166" fontId="2" fillId="8" borderId="0" xfId="0" applyNumberFormat="1" applyFont="1" applyFill="1"/>
    <xf numFmtId="0" fontId="17" fillId="11" borderId="0" xfId="0" applyFont="1" applyFill="1"/>
    <xf numFmtId="166" fontId="17" fillId="11" borderId="0" xfId="0" applyNumberFormat="1" applyFont="1" applyFill="1"/>
    <xf numFmtId="166" fontId="2" fillId="9" borderId="0" xfId="0" applyNumberFormat="1" applyFont="1" applyFill="1"/>
    <xf numFmtId="0" fontId="8" fillId="12" borderId="0" xfId="0" applyFont="1" applyFill="1"/>
    <xf numFmtId="166" fontId="8" fillId="12" borderId="0" xfId="0" applyNumberFormat="1" applyFont="1" applyFill="1"/>
    <xf numFmtId="0" fontId="1" fillId="5" borderId="0" xfId="0" applyFont="1" applyFill="1"/>
    <xf numFmtId="0" fontId="2" fillId="10" borderId="0" xfId="0" applyFont="1" applyFill="1"/>
    <xf numFmtId="16" fontId="2" fillId="10" borderId="0" xfId="0" applyNumberFormat="1" applyFont="1" applyFill="1" applyAlignment="1">
      <alignment horizontal="center"/>
    </xf>
    <xf numFmtId="0" fontId="1" fillId="13" borderId="0" xfId="0" applyFont="1" applyFill="1"/>
    <xf numFmtId="166" fontId="1" fillId="13" borderId="0" xfId="0" applyNumberFormat="1" applyFont="1" applyFill="1"/>
    <xf numFmtId="0" fontId="2" fillId="14" borderId="0" xfId="0" applyFont="1" applyFill="1"/>
    <xf numFmtId="166" fontId="2" fillId="14" borderId="0" xfId="0" applyNumberFormat="1" applyFont="1" applyFill="1"/>
    <xf numFmtId="166" fontId="2" fillId="10" borderId="0" xfId="0" applyNumberFormat="1" applyFont="1" applyFill="1"/>
    <xf numFmtId="14" fontId="4" fillId="5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167" fontId="0" fillId="0" borderId="0" xfId="0" applyNumberFormat="1"/>
    <xf numFmtId="166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66" fontId="18" fillId="7" borderId="0" xfId="0" applyNumberFormat="1" applyFont="1" applyFill="1" applyAlignment="1">
      <alignment horizontal="center"/>
    </xf>
    <xf numFmtId="167" fontId="18" fillId="7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9" fillId="2" borderId="0" xfId="0" applyFont="1" applyFill="1"/>
    <xf numFmtId="0" fontId="1" fillId="16" borderId="0" xfId="0" applyFont="1" applyFill="1" applyAlignment="1">
      <alignment horizontal="center"/>
    </xf>
    <xf numFmtId="0" fontId="1" fillId="16" borderId="0" xfId="0" applyFont="1" applyFill="1"/>
    <xf numFmtId="0" fontId="3" fillId="2" borderId="0" xfId="0" applyFont="1" applyFill="1"/>
    <xf numFmtId="0" fontId="9" fillId="2" borderId="0" xfId="0" applyFont="1" applyFill="1"/>
    <xf numFmtId="0" fontId="16" fillId="2" borderId="0" xfId="0" applyFont="1" applyFill="1"/>
    <xf numFmtId="0" fontId="16" fillId="10" borderId="0" xfId="0" applyFont="1" applyFill="1"/>
    <xf numFmtId="0" fontId="0" fillId="0" borderId="0" xfId="0"/>
    <xf numFmtId="0" fontId="10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vs Saídas (Mensal)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Dashboard!$C$12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numRef>
              <c:f>Dashboard!$B$13:$B$24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Dashboard!$C$13:$C$24</c:f>
              <c:numCache>
                <c:formatCode>"R$"\ #,##0.00;[Red]\("R$"\ 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20878.129999999965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A-41D4-B4F7-764E616B5AE8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Dashboard!$B$13:$B$24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Dashboard!$D$13:$D$24</c:f>
              <c:numCache>
                <c:formatCode>"R$"\ #,##0.00;[Red]\("R$"\ 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-17711.340000000004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A-41D4-B4F7-764E616B5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517712"/>
        <c:axId val="627504752"/>
      </c:barChart>
      <c:dateAx>
        <c:axId val="627517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504752"/>
        <c:crosses val="autoZero"/>
        <c:auto val="1"/>
        <c:lblOffset val="100"/>
        <c:baseTimeUnit val="months"/>
      </c:dateAx>
      <c:valAx>
        <c:axId val="62750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5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Saldo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Dashboard!$F$12</c:f>
              <c:strCache>
                <c:ptCount val="1"/>
                <c:pt idx="0">
                  <c:v>Saldo Acum.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Dashboard!$F$13:$F$24</c:f>
              <c:numCache>
                <c:formatCode>"R$"\ #,##0.00;[Red]\("R$"\ 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3166.7899999999609</c:v>
                </c:pt>
                <c:pt idx="6">
                  <c:v>3166.7899999999609</c:v>
                </c:pt>
                <c:pt idx="7">
                  <c:v>3166.7899999999609</c:v>
                </c:pt>
                <c:pt idx="8">
                  <c:v>3166.7899999999609</c:v>
                </c:pt>
                <c:pt idx="9">
                  <c:v>3166.7899999999609</c:v>
                </c:pt>
                <c:pt idx="10">
                  <c:v>3166.7899999999609</c:v>
                </c:pt>
                <c:pt idx="11">
                  <c:v>3166.7899999999609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B-4C16-93CD-5896A4F23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57952"/>
        <c:axId val="556968992"/>
      </c:lineChart>
      <c:catAx>
        <c:axId val="556957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968992"/>
        <c:crosses val="autoZero"/>
        <c:auto val="1"/>
        <c:lblAlgn val="ctr"/>
        <c:lblOffset val="100"/>
        <c:noMultiLvlLbl val="0"/>
      </c:catAx>
      <c:valAx>
        <c:axId val="5569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95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Saldo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Dashboard!$F$12</c:f>
              <c:strCache>
                <c:ptCount val="1"/>
                <c:pt idx="0">
                  <c:v>Saldo Acum.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Dashboard!$B$13:$B$24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Dashboard!$F$13:$F$24</c:f>
              <c:numCache>
                <c:formatCode>"R$"\ #,##0.00;[Red]\("R$"\ 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3166.7899999999609</c:v>
                </c:pt>
                <c:pt idx="6">
                  <c:v>3166.7899999999609</c:v>
                </c:pt>
                <c:pt idx="7">
                  <c:v>3166.7899999999609</c:v>
                </c:pt>
                <c:pt idx="8">
                  <c:v>3166.7899999999609</c:v>
                </c:pt>
                <c:pt idx="9">
                  <c:v>3166.7899999999609</c:v>
                </c:pt>
                <c:pt idx="10">
                  <c:v>3166.7899999999609</c:v>
                </c:pt>
                <c:pt idx="11">
                  <c:v>3166.7899999999609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F-4ADE-A6CF-EBBC2537B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687600"/>
        <c:axId val="629686160"/>
      </c:lineChart>
      <c:dateAx>
        <c:axId val="6296876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9686160"/>
        <c:crosses val="autoZero"/>
        <c:auto val="1"/>
        <c:lblOffset val="100"/>
        <c:baseTimeUnit val="months"/>
      </c:dateAx>
      <c:valAx>
        <c:axId val="6296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968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Dashboard!$I$12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D1-42CD-8091-189C2379FC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D1-42CD-8091-189C2379FC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D1-42CD-8091-189C2379FC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D1-42CD-8091-189C2379FC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D1-42CD-8091-189C2379FC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D1-42CD-8091-189C2379FC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3D1-42CD-8091-189C2379FC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3D1-42CD-8091-189C2379FC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3D1-42CD-8091-189C2379FC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3D1-42CD-8091-189C2379FC2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3D1-42CD-8091-189C2379FC2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3D1-42CD-8091-189C2379FC2C}"/>
              </c:ext>
            </c:extLst>
          </c:dPt>
          <c:cat>
            <c:strRef>
              <c:f>Dashboard!$H$13:$H$24</c:f>
              <c:strCache>
                <c:ptCount val="4"/>
                <c:pt idx="0">
                  <c:v>Pagamento de Fornecedores</c:v>
                </c:pt>
                <c:pt idx="1">
                  <c:v>Aluguel</c:v>
                </c:pt>
                <c:pt idx="2">
                  <c:v>Seguros</c:v>
                </c:pt>
                <c:pt idx="3">
                  <c:v>Juros e Tarifas Bancárias</c:v>
                </c:pt>
              </c:strCache>
            </c:strRef>
          </c:cat>
          <c:val>
            <c:numRef>
              <c:f>Dashboard!$I$13:$I$24</c:f>
              <c:numCache>
                <c:formatCode>"R$"\ #,##0.00;[Red]\("R$"\ #,##0.00\);\-</c:formatCode>
                <c:ptCount val="12"/>
                <c:pt idx="0">
                  <c:v>-14865.69</c:v>
                </c:pt>
                <c:pt idx="1">
                  <c:v>-2474.1799999999998</c:v>
                </c:pt>
                <c:pt idx="2">
                  <c:v>-356.9</c:v>
                </c:pt>
                <c:pt idx="3">
                  <c:v>-14.569999999999997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499D-84C5-4CA5A683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e Saídas: Realizado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'Realizado vs Forecast'!$F$14:$F$66</c:f>
              <c:strCache>
                <c:ptCount val="53"/>
                <c:pt idx="0">
                  <c:v>Forecast Saídas</c:v>
                </c:pt>
                <c:pt idx="1">
                  <c:v>-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multiLvlStrRef>
              <c:f>'Realizado vs Forecast'!$B$67:$E$67</c:f>
            </c:multiLvlStrRef>
          </c:cat>
          <c:val>
            <c:numRef>
              <c:f>'Realizado vs Forecast'!$F$67</c:f>
              <c:numCache>
                <c:formatCode>"R$"\ #,##0.00;[Red]\("R$"\ #,##0.00\);\-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8-4629-87F8-41C679DAF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841535"/>
        <c:axId val="767849695"/>
      </c:barChart>
      <c:catAx>
        <c:axId val="76784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7849695"/>
        <c:crosses val="autoZero"/>
        <c:auto val="1"/>
        <c:lblAlgn val="ctr"/>
        <c:lblOffset val="100"/>
        <c:noMultiLvlLbl val="0"/>
      </c:catAx>
      <c:valAx>
        <c:axId val="7678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784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Desvio % por 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'Realizado vs Forecast'!$H$14:$H$66</c:f>
              <c:strCache>
                <c:ptCount val="53"/>
                <c:pt idx="0">
                  <c:v>Desvio %</c:v>
                </c:pt>
                <c:pt idx="1">
                  <c:v>0,0%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'Realizado vs Forecast'!$B$15:$B$67</c:f>
              <c:strCache>
                <c:ptCount val="1"/>
                <c:pt idx="0">
                  <c:v>01/01/2026</c:v>
                </c:pt>
              </c:strCache>
            </c:strRef>
          </c:cat>
          <c:val>
            <c:numRef>
              <c:f>'Realizado vs Forecast'!$H$67</c:f>
              <c:numCache>
                <c:formatCode>0.0%;[Red]\-0.0%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1-4042-B7EB-0B15BF63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299647"/>
        <c:axId val="831301567"/>
      </c:lineChart>
      <c:dateAx>
        <c:axId val="8312996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301567"/>
        <c:crosses val="autoZero"/>
        <c:auto val="1"/>
        <c:lblOffset val="100"/>
        <c:baseTimeUnit val="days"/>
      </c:dateAx>
      <c:valAx>
        <c:axId val="83130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29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Desvio por Categoria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'Realizado vs Forecast'!$M$5</c:f>
              <c:strCache>
                <c:ptCount val="1"/>
                <c:pt idx="0">
                  <c:v>Desvio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'Realizado vs Forecast'!$J$6:$J$58</c:f>
              <c:strCache>
                <c:ptCount val="53"/>
                <c:pt idx="0">
                  <c:v>Vendas de Produtos</c:v>
                </c:pt>
                <c:pt idx="1">
                  <c:v>Vendas de Serviços</c:v>
                </c:pt>
                <c:pt idx="2">
                  <c:v>Outras Receitas</c:v>
                </c:pt>
                <c:pt idx="3">
                  <c:v>Receitas Financeiras</c:v>
                </c:pt>
                <c:pt idx="4">
                  <c:v>Recebimento de Clientes</c:v>
                </c:pt>
                <c:pt idx="5">
                  <c:v>Vendas Online</c:v>
                </c:pt>
                <c:pt idx="6">
                  <c:v>Comissões Recebidas</c:v>
                </c:pt>
                <c:pt idx="7">
                  <c:v>Aluguel Recebido</c:v>
                </c:pt>
                <c:pt idx="8">
                  <c:v>Reembolsos</c:v>
                </c:pt>
                <c:pt idx="9">
                  <c:v>Aporte de Sócios</c:v>
                </c:pt>
                <c:pt idx="10">
                  <c:v>Empréstimo Recebido</c:v>
                </c:pt>
                <c:pt idx="11">
                  <c:v>Impostos sobre Vendas</c:v>
                </c:pt>
                <c:pt idx="12">
                  <c:v>Devoluções</c:v>
                </c:pt>
                <c:pt idx="13">
                  <c:v>Custo de Mercadoria Vendida</c:v>
                </c:pt>
                <c:pt idx="14">
                  <c:v>Custo de Serviços Prestados</c:v>
                </c:pt>
                <c:pt idx="15">
                  <c:v>Salários e Encargos</c:v>
                </c:pt>
                <c:pt idx="16">
                  <c:v>Aluguel</c:v>
                </c:pt>
                <c:pt idx="17">
                  <c:v>Água, Luz e Internet</c:v>
                </c:pt>
                <c:pt idx="18">
                  <c:v>Material de Escritório</c:v>
                </c:pt>
                <c:pt idx="19">
                  <c:v>Marketing e Publicidade</c:v>
                </c:pt>
                <c:pt idx="20">
                  <c:v>Manutenção</c:v>
                </c:pt>
                <c:pt idx="21">
                  <c:v>Transporte e Viagens</c:v>
                </c:pt>
                <c:pt idx="22">
                  <c:v>Serviços de Terceiros</c:v>
                </c:pt>
                <c:pt idx="23">
                  <c:v>Juros e Tarifas Bancárias</c:v>
                </c:pt>
                <c:pt idx="24">
                  <c:v>Empréstimos e Financiamentos</c:v>
                </c:pt>
                <c:pt idx="25">
                  <c:v>Impostos sobre Lucro</c:v>
                </c:pt>
                <c:pt idx="26">
                  <c:v>Frete sobre Vendas</c:v>
                </c:pt>
                <c:pt idx="27">
                  <c:v>Embalagens</c:v>
                </c:pt>
                <c:pt idx="28">
                  <c:v>Combustível</c:v>
                </c:pt>
                <c:pt idx="29">
                  <c:v>Pró-labore</c:v>
                </c:pt>
                <c:pt idx="30">
                  <c:v>Benefícios (VR/VT/Plano)</c:v>
                </c:pt>
                <c:pt idx="31">
                  <c:v>Software e Assinaturas</c:v>
                </c:pt>
                <c:pt idx="32">
                  <c:v>Telefone e Celular</c:v>
                </c:pt>
                <c:pt idx="33">
                  <c:v>Limpeza e Conservação</c:v>
                </c:pt>
                <c:pt idx="34">
                  <c:v>Seguros</c:v>
                </c:pt>
                <c:pt idx="35">
                  <c:v>Treinamento e Capacitação</c:v>
                </c:pt>
                <c:pt idx="36">
                  <c:v>Honorários Contábeis</c:v>
                </c:pt>
                <c:pt idx="37">
                  <c:v>Honorários Jurídicos</c:v>
                </c:pt>
                <c:pt idx="38">
                  <c:v>Equipamentos e Informática</c:v>
                </c:pt>
                <c:pt idx="39">
                  <c:v>Móveis e Utensílios</c:v>
                </c:pt>
                <c:pt idx="40">
                  <c:v>Refeições e Confraternizações</c:v>
                </c:pt>
                <c:pt idx="41">
                  <c:v>Correios e Entregas</c:v>
                </c:pt>
                <c:pt idx="42">
                  <c:v>Taxas e Anuidades</c:v>
                </c:pt>
                <c:pt idx="43">
                  <c:v>IOF</c:v>
                </c:pt>
                <c:pt idx="44">
                  <c:v>Cartão de Crédito</c:v>
                </c:pt>
                <c:pt idx="45">
                  <c:v>Multas e Juros</c:v>
                </c:pt>
                <c:pt idx="46">
                  <c:v>Pagamento de Fornecedores</c:v>
                </c:pt>
                <c:pt idx="47">
                  <c:v>Retirada de Sócios</c:v>
                </c:pt>
                <c:pt idx="48">
                  <c:v>INSS / FGTS</c:v>
                </c:pt>
                <c:pt idx="49">
                  <c:v>Simples Nacional / DAS</c:v>
                </c:pt>
                <c:pt idx="50">
                  <c:v>ISS</c:v>
                </c:pt>
                <c:pt idx="51">
                  <c:v>ICMS</c:v>
                </c:pt>
                <c:pt idx="52">
                  <c:v>PIS/COFINS</c:v>
                </c:pt>
              </c:strCache>
            </c:strRef>
          </c:cat>
          <c:val>
            <c:numRef>
              <c:f>'Realizado vs Forecast'!$M$6:$M$58</c:f>
              <c:numCache>
                <c:formatCode>"R$"\ #,##0.00;[Red]\("R$"\ #,##0.00\);\-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D2-469E-9673-4FACD00F8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940928"/>
        <c:axId val="1754932768"/>
      </c:barChart>
      <c:catAx>
        <c:axId val="175494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4932768"/>
        <c:crosses val="autoZero"/>
        <c:auto val="1"/>
        <c:lblAlgn val="ctr"/>
        <c:lblOffset val="100"/>
        <c:noMultiLvlLbl val="0"/>
      </c:catAx>
      <c:valAx>
        <c:axId val="175493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494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60959</xdr:rowOff>
    </xdr:from>
    <xdr:to>
      <xdr:col>5</xdr:col>
      <xdr:colOff>1520190</xdr:colOff>
      <xdr:row>41</xdr:row>
      <xdr:rowOff>89534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896790-8E03-A8E7-0860-69B23F6E9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42</xdr:row>
      <xdr:rowOff>87629</xdr:rowOff>
    </xdr:from>
    <xdr:to>
      <xdr:col>5</xdr:col>
      <xdr:colOff>1520190</xdr:colOff>
      <xdr:row>58</xdr:row>
      <xdr:rowOff>116204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7CAE3F-EE74-2435-4588-C0D2D5711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87629</xdr:rowOff>
    </xdr:from>
    <xdr:to>
      <xdr:col>5</xdr:col>
      <xdr:colOff>1520190</xdr:colOff>
      <xdr:row>58</xdr:row>
      <xdr:rowOff>116204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B5FFAB7-A226-51E2-7155-B6993608D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186690</xdr:colOff>
      <xdr:row>31</xdr:row>
      <xdr:rowOff>57149</xdr:rowOff>
    </xdr:from>
    <xdr:to>
      <xdr:col>9</xdr:col>
      <xdr:colOff>891540</xdr:colOff>
      <xdr:row>58</xdr:row>
      <xdr:rowOff>102869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5D0A97-CDE4-003F-0770-18E8B2B8D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68</xdr:row>
      <xdr:rowOff>0</xdr:rowOff>
    </xdr:from>
    <xdr:to>
      <xdr:col>8</xdr:col>
      <xdr:colOff>0</xdr:colOff>
      <xdr:row>85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DA4E7B-5898-4FFD-D1B3-2907E7E51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8</xdr:col>
      <xdr:colOff>0</xdr:colOff>
      <xdr:row>102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29B490-1D9B-66E1-305F-0B2C9A4FC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59</xdr:row>
      <xdr:rowOff>0</xdr:rowOff>
    </xdr:from>
    <xdr:to>
      <xdr:col>16</xdr:col>
      <xdr:colOff>0</xdr:colOff>
      <xdr:row>110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38ACF5-4285-7332-8E24-372B96714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8E6270-3F2F-4BBB-9DB1-2B576B4C899B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3e729171-54fd-44af-a8c2-6c497777a43d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1494-6EAF-479D-944C-7F3E9EABC04D}">
  <dimension ref="A1:H2413"/>
  <sheetViews>
    <sheetView workbookViewId="0">
      <selection activeCell="F4" sqref="F4"/>
    </sheetView>
  </sheetViews>
  <sheetFormatPr defaultRowHeight="14.4" x14ac:dyDescent="0.3"/>
  <cols>
    <col min="1" max="1" width="10.33203125" bestFit="1" customWidth="1"/>
    <col min="2" max="2" width="83.77734375" customWidth="1"/>
    <col min="3" max="3" width="9.44140625" bestFit="1" customWidth="1"/>
    <col min="4" max="4" width="8.33203125" bestFit="1" customWidth="1"/>
    <col min="5" max="5" width="21.77734375" bestFit="1" customWidth="1"/>
    <col min="6" max="6" width="14" bestFit="1" customWidth="1"/>
    <col min="7" max="7" width="6.21875" bestFit="1" customWidth="1"/>
    <col min="8" max="8" width="7.6640625" bestFit="1" customWidth="1"/>
  </cols>
  <sheetData>
    <row r="1" spans="1:8" x14ac:dyDescent="0.3">
      <c r="A1" s="1" t="s">
        <v>33</v>
      </c>
      <c r="B1" s="67" t="s">
        <v>162</v>
      </c>
      <c r="C1" s="1" t="s">
        <v>0</v>
      </c>
      <c r="D1" s="1" t="s">
        <v>1</v>
      </c>
      <c r="E1" s="1" t="s">
        <v>2</v>
      </c>
      <c r="F1" s="1" t="s">
        <v>36</v>
      </c>
      <c r="G1" s="1" t="s">
        <v>28</v>
      </c>
      <c r="H1" s="1" t="s">
        <v>37</v>
      </c>
    </row>
    <row r="2" spans="1:8" x14ac:dyDescent="0.3">
      <c r="A2" s="2" t="s">
        <v>154</v>
      </c>
      <c r="B2" s="2" t="s">
        <v>163</v>
      </c>
      <c r="C2" t="s">
        <v>3</v>
      </c>
      <c r="D2" t="str">
        <f>IF(C2="","",VLOOKUP(C2,Categorias!$A$2:$C$54,2,FALSE))</f>
        <v>Entrada</v>
      </c>
      <c r="E2" t="str">
        <f>IF(C2="","",VLOOKUP(C2,Categorias!$A$2:$C$54,3,FALSE))</f>
        <v>Receita Bruta</v>
      </c>
      <c r="F2" s="37">
        <v>16.989999999999998</v>
      </c>
      <c r="G2" t="s">
        <v>152</v>
      </c>
      <c r="H2" s="3">
        <f t="shared" ref="H2:H32" si="0">IF(A2="","",DATE(YEAR(A2),MONTH(A2),1))</f>
        <v>46174</v>
      </c>
    </row>
    <row r="3" spans="1:8" x14ac:dyDescent="0.3">
      <c r="A3" s="2" t="s">
        <v>154</v>
      </c>
      <c r="B3" s="2" t="s">
        <v>164</v>
      </c>
      <c r="C3" t="s">
        <v>3</v>
      </c>
      <c r="D3" t="str">
        <f>IF(C3="","",VLOOKUP(C3,Categorias!$A$2:$C$54,2,FALSE))</f>
        <v>Entrada</v>
      </c>
      <c r="E3" t="str">
        <f>IF(C3="","",VLOOKUP(C3,Categorias!$A$2:$C$54,3,FALSE))</f>
        <v>Receita Bruta</v>
      </c>
      <c r="F3" s="37">
        <v>25.98</v>
      </c>
      <c r="G3" t="s">
        <v>152</v>
      </c>
      <c r="H3" s="3">
        <f t="shared" si="0"/>
        <v>46174</v>
      </c>
    </row>
    <row r="4" spans="1:8" x14ac:dyDescent="0.3">
      <c r="A4" s="2" t="s">
        <v>154</v>
      </c>
      <c r="B4" s="2" t="s">
        <v>165</v>
      </c>
      <c r="C4" t="s">
        <v>3</v>
      </c>
      <c r="D4" t="str">
        <f>IF(C4="","",VLOOKUP(C4,Categorias!$A$2:$C$54,2,FALSE))</f>
        <v>Entrada</v>
      </c>
      <c r="E4" t="str">
        <f>IF(C4="","",VLOOKUP(C4,Categorias!$A$2:$C$54,3,FALSE))</f>
        <v>Receita Bruta</v>
      </c>
      <c r="F4" s="37">
        <v>19.39</v>
      </c>
      <c r="G4" t="s">
        <v>152</v>
      </c>
      <c r="H4" s="3">
        <f t="shared" si="0"/>
        <v>46174</v>
      </c>
    </row>
    <row r="5" spans="1:8" x14ac:dyDescent="0.3">
      <c r="A5" s="2" t="s">
        <v>154</v>
      </c>
      <c r="B5" s="2" t="s">
        <v>166</v>
      </c>
      <c r="C5" t="s">
        <v>3</v>
      </c>
      <c r="D5" t="str">
        <f>IF(C5="","",VLOOKUP(C5,Categorias!$A$2:$C$54,2,FALSE))</f>
        <v>Entrada</v>
      </c>
      <c r="E5" t="str">
        <f>IF(C5="","",VLOOKUP(C5,Categorias!$A$2:$C$54,3,FALSE))</f>
        <v>Receita Bruta</v>
      </c>
      <c r="F5" s="37">
        <v>13.99</v>
      </c>
      <c r="G5" t="s">
        <v>152</v>
      </c>
      <c r="H5" s="3">
        <f t="shared" si="0"/>
        <v>46174</v>
      </c>
    </row>
    <row r="6" spans="1:8" x14ac:dyDescent="0.3">
      <c r="A6" s="2" t="s">
        <v>154</v>
      </c>
      <c r="B6" s="2" t="s">
        <v>167</v>
      </c>
      <c r="C6" t="s">
        <v>15</v>
      </c>
      <c r="D6" t="str">
        <f>IF(C6="","",VLOOKUP(C6,Categorias!$A$2:$C$54,2,FALSE))</f>
        <v>Saída</v>
      </c>
      <c r="E6" t="str">
        <f>IF(C6="","",VLOOKUP(C6,Categorias!$A$2:$C$54,3,FALSE))</f>
        <v>Despesas Operacionais</v>
      </c>
      <c r="F6" s="37">
        <v>-1532.31</v>
      </c>
      <c r="G6" t="s">
        <v>152</v>
      </c>
      <c r="H6" s="3">
        <f t="shared" si="0"/>
        <v>46174</v>
      </c>
    </row>
    <row r="7" spans="1:8" x14ac:dyDescent="0.3">
      <c r="A7" s="2" t="s">
        <v>154</v>
      </c>
      <c r="B7" s="2" t="s">
        <v>168</v>
      </c>
      <c r="C7" t="s">
        <v>108</v>
      </c>
      <c r="D7" t="str">
        <f>IF(C7="","",VLOOKUP(C7,Categorias!$A$2:$C$54,2,FALSE))</f>
        <v>Saída</v>
      </c>
      <c r="E7" t="str">
        <f>IF(C7="","",VLOOKUP(C7,Categorias!$A$2:$C$54,3,FALSE))</f>
        <v>CMV</v>
      </c>
      <c r="F7" s="37">
        <v>-709.94</v>
      </c>
      <c r="G7" t="s">
        <v>152</v>
      </c>
      <c r="H7" s="3">
        <f t="shared" si="0"/>
        <v>46174</v>
      </c>
    </row>
    <row r="8" spans="1:8" x14ac:dyDescent="0.3">
      <c r="A8" s="2" t="s">
        <v>154</v>
      </c>
      <c r="B8" s="2" t="s">
        <v>169</v>
      </c>
      <c r="C8" t="s">
        <v>108</v>
      </c>
      <c r="D8" t="str">
        <f>IF(C8="","",VLOOKUP(C8,Categorias!$A$2:$C$54,2,FALSE))</f>
        <v>Saída</v>
      </c>
      <c r="E8" t="str">
        <f>IF(C8="","",VLOOKUP(C8,Categorias!$A$2:$C$54,3,FALSE))</f>
        <v>CMV</v>
      </c>
      <c r="F8" s="37">
        <v>-1048.92</v>
      </c>
      <c r="G8" t="s">
        <v>152</v>
      </c>
      <c r="H8" s="3">
        <f t="shared" si="0"/>
        <v>46174</v>
      </c>
    </row>
    <row r="9" spans="1:8" x14ac:dyDescent="0.3">
      <c r="A9" s="2" t="s">
        <v>154</v>
      </c>
      <c r="B9" s="2" t="s">
        <v>170</v>
      </c>
      <c r="C9" t="s">
        <v>108</v>
      </c>
      <c r="D9" t="str">
        <f>IF(C9="","",VLOOKUP(C9,Categorias!$A$2:$C$54,2,FALSE))</f>
        <v>Saída</v>
      </c>
      <c r="E9" t="str">
        <f>IF(C9="","",VLOOKUP(C9,Categorias!$A$2:$C$54,3,FALSE))</f>
        <v>CMV</v>
      </c>
      <c r="F9" s="37">
        <v>-500</v>
      </c>
      <c r="G9" t="s">
        <v>152</v>
      </c>
      <c r="H9" s="3">
        <f t="shared" si="0"/>
        <v>46174</v>
      </c>
    </row>
    <row r="10" spans="1:8" x14ac:dyDescent="0.3">
      <c r="A10" s="2" t="s">
        <v>154</v>
      </c>
      <c r="B10" s="2" t="s">
        <v>171</v>
      </c>
      <c r="C10" t="s">
        <v>3</v>
      </c>
      <c r="D10" t="str">
        <f>IF(C10="","",VLOOKUP(C10,Categorias!$A$2:$C$54,2,FALSE))</f>
        <v>Entrada</v>
      </c>
      <c r="E10" t="str">
        <f>IF(C10="","",VLOOKUP(C10,Categorias!$A$2:$C$54,3,FALSE))</f>
        <v>Receita Bruta</v>
      </c>
      <c r="F10" s="37">
        <v>204.67</v>
      </c>
      <c r="G10" t="s">
        <v>152</v>
      </c>
      <c r="H10" s="3">
        <f t="shared" si="0"/>
        <v>46174</v>
      </c>
    </row>
    <row r="11" spans="1:8" x14ac:dyDescent="0.3">
      <c r="A11" s="2" t="s">
        <v>154</v>
      </c>
      <c r="B11" s="2" t="s">
        <v>172</v>
      </c>
      <c r="C11" t="s">
        <v>3</v>
      </c>
      <c r="D11" t="str">
        <f>IF(C11="","",VLOOKUP(C11,Categorias!$A$2:$C$54,2,FALSE))</f>
        <v>Entrada</v>
      </c>
      <c r="E11" t="str">
        <f>IF(C11="","",VLOOKUP(C11,Categorias!$A$2:$C$54,3,FALSE))</f>
        <v>Receita Bruta</v>
      </c>
      <c r="F11" s="37">
        <v>659.74</v>
      </c>
      <c r="G11" t="s">
        <v>152</v>
      </c>
      <c r="H11" s="3">
        <f t="shared" si="0"/>
        <v>46174</v>
      </c>
    </row>
    <row r="12" spans="1:8" x14ac:dyDescent="0.3">
      <c r="A12" s="2" t="s">
        <v>154</v>
      </c>
      <c r="B12" s="2" t="s">
        <v>173</v>
      </c>
      <c r="C12" t="s">
        <v>3</v>
      </c>
      <c r="D12" t="str">
        <f>IF(C12="","",VLOOKUP(C12,Categorias!$A$2:$C$54,2,FALSE))</f>
        <v>Entrada</v>
      </c>
      <c r="E12" t="str">
        <f>IF(C12="","",VLOOKUP(C12,Categorias!$A$2:$C$54,3,FALSE))</f>
        <v>Receita Bruta</v>
      </c>
      <c r="F12" s="37">
        <v>1472.8</v>
      </c>
      <c r="G12" t="s">
        <v>152</v>
      </c>
      <c r="H12" s="3">
        <f t="shared" si="0"/>
        <v>46174</v>
      </c>
    </row>
    <row r="13" spans="1:8" x14ac:dyDescent="0.3">
      <c r="A13" s="2" t="s">
        <v>154</v>
      </c>
      <c r="B13" s="2" t="s">
        <v>174</v>
      </c>
      <c r="C13" t="s">
        <v>3</v>
      </c>
      <c r="D13" t="str">
        <f>IF(C13="","",VLOOKUP(C13,Categorias!$A$2:$C$54,2,FALSE))</f>
        <v>Entrada</v>
      </c>
      <c r="E13" t="str">
        <f>IF(C13="","",VLOOKUP(C13,Categorias!$A$2:$C$54,3,FALSE))</f>
        <v>Receita Bruta</v>
      </c>
      <c r="F13" s="37">
        <v>57.67</v>
      </c>
      <c r="G13" t="s">
        <v>152</v>
      </c>
      <c r="H13" s="3">
        <f t="shared" si="0"/>
        <v>46174</v>
      </c>
    </row>
    <row r="14" spans="1:8" x14ac:dyDescent="0.3">
      <c r="A14" s="2" t="s">
        <v>154</v>
      </c>
      <c r="B14" s="2" t="s">
        <v>175</v>
      </c>
      <c r="C14" t="s">
        <v>3</v>
      </c>
      <c r="D14" t="str">
        <f>IF(C14="","",VLOOKUP(C14,Categorias!$A$2:$C$54,2,FALSE))</f>
        <v>Entrada</v>
      </c>
      <c r="E14" t="str">
        <f>IF(C14="","",VLOOKUP(C14,Categorias!$A$2:$C$54,3,FALSE))</f>
        <v>Receita Bruta</v>
      </c>
      <c r="F14" s="37">
        <v>13.97</v>
      </c>
      <c r="G14" t="s">
        <v>152</v>
      </c>
      <c r="H14" s="3">
        <f t="shared" si="0"/>
        <v>46174</v>
      </c>
    </row>
    <row r="15" spans="1:8" x14ac:dyDescent="0.3">
      <c r="A15" s="2" t="s">
        <v>154</v>
      </c>
      <c r="B15" s="2" t="s">
        <v>176</v>
      </c>
      <c r="C15" t="s">
        <v>96</v>
      </c>
      <c r="D15" t="str">
        <f>IF(C15="","",VLOOKUP(C15,Categorias!$A$2:$C$54,2,FALSE))</f>
        <v>Saída</v>
      </c>
      <c r="E15" t="str">
        <f>IF(C15="","",VLOOKUP(C15,Categorias!$A$2:$C$54,3,FALSE))</f>
        <v>Despesas Operacionais</v>
      </c>
      <c r="F15" s="37">
        <v>-356.9</v>
      </c>
      <c r="G15" t="s">
        <v>152</v>
      </c>
      <c r="H15" s="3">
        <f t="shared" si="0"/>
        <v>46174</v>
      </c>
    </row>
    <row r="16" spans="1:8" x14ac:dyDescent="0.3">
      <c r="A16" s="2" t="s">
        <v>154</v>
      </c>
      <c r="B16" s="2" t="s">
        <v>177</v>
      </c>
      <c r="C16" t="s">
        <v>3</v>
      </c>
      <c r="D16" t="str">
        <f>IF(C16="","",VLOOKUP(C16,Categorias!$A$2:$C$54,2,FALSE))</f>
        <v>Entrada</v>
      </c>
      <c r="E16" t="str">
        <f>IF(C16="","",VLOOKUP(C16,Categorias!$A$2:$C$54,3,FALSE))</f>
        <v>Receita Bruta</v>
      </c>
      <c r="F16" s="37">
        <v>397.01</v>
      </c>
      <c r="G16" t="s">
        <v>152</v>
      </c>
      <c r="H16" s="3">
        <f t="shared" si="0"/>
        <v>46174</v>
      </c>
    </row>
    <row r="17" spans="1:8" x14ac:dyDescent="0.3">
      <c r="A17" s="2" t="s">
        <v>154</v>
      </c>
      <c r="B17" s="2" t="s">
        <v>178</v>
      </c>
      <c r="C17" t="s">
        <v>3</v>
      </c>
      <c r="D17" t="str">
        <f>IF(C17="","",VLOOKUP(C17,Categorias!$A$2:$C$54,2,FALSE))</f>
        <v>Entrada</v>
      </c>
      <c r="E17" t="str">
        <f>IF(C17="","",VLOOKUP(C17,Categorias!$A$2:$C$54,3,FALSE))</f>
        <v>Receita Bruta</v>
      </c>
      <c r="F17" s="37">
        <v>1728.51</v>
      </c>
      <c r="G17" t="s">
        <v>152</v>
      </c>
      <c r="H17" s="3">
        <f t="shared" si="0"/>
        <v>46174</v>
      </c>
    </row>
    <row r="18" spans="1:8" x14ac:dyDescent="0.3">
      <c r="A18" s="2" t="s">
        <v>154</v>
      </c>
      <c r="B18" s="2" t="s">
        <v>179</v>
      </c>
      <c r="C18" t="s">
        <v>3</v>
      </c>
      <c r="D18" t="str">
        <f>IF(C18="","",VLOOKUP(C18,Categorias!$A$2:$C$54,2,FALSE))</f>
        <v>Entrada</v>
      </c>
      <c r="E18" t="str">
        <f>IF(C18="","",VLOOKUP(C18,Categorias!$A$2:$C$54,3,FALSE))</f>
        <v>Receita Bruta</v>
      </c>
      <c r="F18" s="37">
        <v>105.57</v>
      </c>
      <c r="G18" t="s">
        <v>152</v>
      </c>
      <c r="H18" s="3">
        <f t="shared" si="0"/>
        <v>46174</v>
      </c>
    </row>
    <row r="19" spans="1:8" x14ac:dyDescent="0.3">
      <c r="A19" s="2" t="s">
        <v>154</v>
      </c>
      <c r="B19" s="2" t="s">
        <v>180</v>
      </c>
      <c r="C19" t="s">
        <v>22</v>
      </c>
      <c r="D19" t="str">
        <f>IF(C19="","",VLOOKUP(C19,Categorias!$A$2:$C$54,2,FALSE))</f>
        <v>Saída</v>
      </c>
      <c r="E19" t="str">
        <f>IF(C19="","",VLOOKUP(C19,Categorias!$A$2:$C$54,3,FALSE))</f>
        <v>Despesas Financeiras</v>
      </c>
      <c r="F19" s="37">
        <v>-0.08</v>
      </c>
      <c r="G19" t="s">
        <v>153</v>
      </c>
      <c r="H19" s="3">
        <f t="shared" si="0"/>
        <v>46174</v>
      </c>
    </row>
    <row r="20" spans="1:8" x14ac:dyDescent="0.3">
      <c r="A20" s="2" t="s">
        <v>154</v>
      </c>
      <c r="B20" s="2" t="s">
        <v>181</v>
      </c>
      <c r="C20" t="s">
        <v>3</v>
      </c>
      <c r="D20" t="str">
        <f>IF(C20="","",VLOOKUP(C20,Categorias!$A$2:$C$54,2,FALSE))</f>
        <v>Entrada</v>
      </c>
      <c r="E20" t="str">
        <f>IF(C20="","",VLOOKUP(C20,Categorias!$A$2:$C$54,3,FALSE))</f>
        <v>Receita Bruta</v>
      </c>
      <c r="F20" s="37">
        <v>16.989999999999998</v>
      </c>
      <c r="G20" t="s">
        <v>153</v>
      </c>
      <c r="H20" s="3">
        <f t="shared" si="0"/>
        <v>46174</v>
      </c>
    </row>
    <row r="21" spans="1:8" x14ac:dyDescent="0.3">
      <c r="A21" s="2" t="s">
        <v>154</v>
      </c>
      <c r="B21" s="2" t="s">
        <v>180</v>
      </c>
      <c r="C21" t="s">
        <v>22</v>
      </c>
      <c r="D21" t="str">
        <f>IF(C21="","",VLOOKUP(C21,Categorias!$A$2:$C$54,2,FALSE))</f>
        <v>Saída</v>
      </c>
      <c r="E21" t="str">
        <f>IF(C21="","",VLOOKUP(C21,Categorias!$A$2:$C$54,3,FALSE))</f>
        <v>Despesas Financeiras</v>
      </c>
      <c r="F21" s="37">
        <v>-0.01</v>
      </c>
      <c r="G21" t="s">
        <v>153</v>
      </c>
      <c r="H21" s="3">
        <f t="shared" si="0"/>
        <v>46174</v>
      </c>
    </row>
    <row r="22" spans="1:8" x14ac:dyDescent="0.3">
      <c r="A22" s="2" t="s">
        <v>154</v>
      </c>
      <c r="B22" s="2" t="s">
        <v>182</v>
      </c>
      <c r="C22" t="s">
        <v>3</v>
      </c>
      <c r="D22" t="str">
        <f>IF(C22="","",VLOOKUP(C22,Categorias!$A$2:$C$54,2,FALSE))</f>
        <v>Entrada</v>
      </c>
      <c r="E22" t="str">
        <f>IF(C22="","",VLOOKUP(C22,Categorias!$A$2:$C$54,3,FALSE))</f>
        <v>Receita Bruta</v>
      </c>
      <c r="F22" s="37">
        <v>3.99</v>
      </c>
      <c r="G22" t="s">
        <v>153</v>
      </c>
      <c r="H22" s="3">
        <f t="shared" si="0"/>
        <v>46174</v>
      </c>
    </row>
    <row r="23" spans="1:8" x14ac:dyDescent="0.3">
      <c r="A23" s="2" t="s">
        <v>154</v>
      </c>
      <c r="B23" s="2" t="s">
        <v>180</v>
      </c>
      <c r="C23" t="s">
        <v>22</v>
      </c>
      <c r="D23" t="str">
        <f>IF(C23="","",VLOOKUP(C23,Categorias!$A$2:$C$54,2,FALSE))</f>
        <v>Saída</v>
      </c>
      <c r="E23" t="str">
        <f>IF(C23="","",VLOOKUP(C23,Categorias!$A$2:$C$54,3,FALSE))</f>
        <v>Despesas Financeiras</v>
      </c>
      <c r="F23" s="37">
        <v>-0.08</v>
      </c>
      <c r="G23" t="s">
        <v>153</v>
      </c>
      <c r="H23" s="3">
        <f t="shared" si="0"/>
        <v>46174</v>
      </c>
    </row>
    <row r="24" spans="1:8" x14ac:dyDescent="0.3">
      <c r="A24" s="2" t="s">
        <v>154</v>
      </c>
      <c r="B24" s="2" t="s">
        <v>183</v>
      </c>
      <c r="C24" t="s">
        <v>3</v>
      </c>
      <c r="D24" t="str">
        <f>IF(C24="","",VLOOKUP(C24,Categorias!$A$2:$C$54,2,FALSE))</f>
        <v>Entrada</v>
      </c>
      <c r="E24" t="str">
        <f>IF(C24="","",VLOOKUP(C24,Categorias!$A$2:$C$54,3,FALSE))</f>
        <v>Receita Bruta</v>
      </c>
      <c r="F24" s="37">
        <v>16.96</v>
      </c>
      <c r="G24" t="s">
        <v>153</v>
      </c>
      <c r="H24" s="3">
        <f t="shared" si="0"/>
        <v>46174</v>
      </c>
    </row>
    <row r="25" spans="1:8" x14ac:dyDescent="0.3">
      <c r="A25" s="2" t="s">
        <v>154</v>
      </c>
      <c r="B25" s="2" t="s">
        <v>180</v>
      </c>
      <c r="C25" t="s">
        <v>22</v>
      </c>
      <c r="D25" t="str">
        <f>IF(C25="","",VLOOKUP(C25,Categorias!$A$2:$C$54,2,FALSE))</f>
        <v>Saída</v>
      </c>
      <c r="E25" t="str">
        <f>IF(C25="","",VLOOKUP(C25,Categorias!$A$2:$C$54,3,FALSE))</f>
        <v>Despesas Financeiras</v>
      </c>
      <c r="F25" s="37">
        <v>-0.09</v>
      </c>
      <c r="G25" t="s">
        <v>153</v>
      </c>
      <c r="H25" s="3">
        <f t="shared" si="0"/>
        <v>46174</v>
      </c>
    </row>
    <row r="26" spans="1:8" x14ac:dyDescent="0.3">
      <c r="A26" s="2" t="s">
        <v>154</v>
      </c>
      <c r="B26" s="2" t="s">
        <v>184</v>
      </c>
      <c r="C26" t="s">
        <v>3</v>
      </c>
      <c r="D26" t="str">
        <f>IF(C26="","",VLOOKUP(C26,Categorias!$A$2:$C$54,2,FALSE))</f>
        <v>Entrada</v>
      </c>
      <c r="E26" t="str">
        <f>IF(C26="","",VLOOKUP(C26,Categorias!$A$2:$C$54,3,FALSE))</f>
        <v>Receita Bruta</v>
      </c>
      <c r="F26" s="37">
        <v>19.78</v>
      </c>
      <c r="G26" t="s">
        <v>153</v>
      </c>
      <c r="H26" s="3">
        <f t="shared" si="0"/>
        <v>46174</v>
      </c>
    </row>
    <row r="27" spans="1:8" x14ac:dyDescent="0.3">
      <c r="A27" s="2" t="s">
        <v>154</v>
      </c>
      <c r="B27" s="2" t="s">
        <v>180</v>
      </c>
      <c r="C27" t="s">
        <v>22</v>
      </c>
      <c r="D27" t="str">
        <f>IF(C27="","",VLOOKUP(C27,Categorias!$A$2:$C$54,2,FALSE))</f>
        <v>Saída</v>
      </c>
      <c r="E27" t="str">
        <f>IF(C27="","",VLOOKUP(C27,Categorias!$A$2:$C$54,3,FALSE))</f>
        <v>Despesas Financeiras</v>
      </c>
      <c r="F27" s="37">
        <v>-0.09</v>
      </c>
      <c r="G27" t="s">
        <v>153</v>
      </c>
      <c r="H27" s="3">
        <f t="shared" si="0"/>
        <v>46174</v>
      </c>
    </row>
    <row r="28" spans="1:8" x14ac:dyDescent="0.3">
      <c r="A28" s="2" t="s">
        <v>154</v>
      </c>
      <c r="B28" s="2" t="s">
        <v>185</v>
      </c>
      <c r="C28" t="s">
        <v>3</v>
      </c>
      <c r="D28" t="str">
        <f>IF(C28="","",VLOOKUP(C28,Categorias!$A$2:$C$54,2,FALSE))</f>
        <v>Entrada</v>
      </c>
      <c r="E28" t="str">
        <f>IF(C28="","",VLOOKUP(C28,Categorias!$A$2:$C$54,3,FALSE))</f>
        <v>Receita Bruta</v>
      </c>
      <c r="F28" s="37">
        <v>18.88</v>
      </c>
      <c r="G28" t="s">
        <v>153</v>
      </c>
      <c r="H28" s="3">
        <f t="shared" si="0"/>
        <v>46174</v>
      </c>
    </row>
    <row r="29" spans="1:8" x14ac:dyDescent="0.3">
      <c r="A29" s="2" t="s">
        <v>154</v>
      </c>
      <c r="B29" s="2" t="s">
        <v>180</v>
      </c>
      <c r="C29" t="s">
        <v>22</v>
      </c>
      <c r="D29" t="str">
        <f>IF(C29="","",VLOOKUP(C29,Categorias!$A$2:$C$54,2,FALSE))</f>
        <v>Saída</v>
      </c>
      <c r="E29" t="str">
        <f>IF(C29="","",VLOOKUP(C29,Categorias!$A$2:$C$54,3,FALSE))</f>
        <v>Despesas Financeiras</v>
      </c>
      <c r="F29" s="37">
        <v>-0.04</v>
      </c>
      <c r="G29" t="s">
        <v>153</v>
      </c>
      <c r="H29" s="3">
        <f t="shared" si="0"/>
        <v>46174</v>
      </c>
    </row>
    <row r="30" spans="1:8" x14ac:dyDescent="0.3">
      <c r="A30" s="2" t="s">
        <v>154</v>
      </c>
      <c r="B30" s="2" t="s">
        <v>186</v>
      </c>
      <c r="C30" t="s">
        <v>3</v>
      </c>
      <c r="D30" t="str">
        <f>IF(C30="","",VLOOKUP(C30,Categorias!$A$2:$C$54,2,FALSE))</f>
        <v>Entrada</v>
      </c>
      <c r="E30" t="str">
        <f>IF(C30="","",VLOOKUP(C30,Categorias!$A$2:$C$54,3,FALSE))</f>
        <v>Receita Bruta</v>
      </c>
      <c r="F30" s="37">
        <v>9.99</v>
      </c>
      <c r="G30" t="s">
        <v>153</v>
      </c>
      <c r="H30" s="3">
        <f t="shared" si="0"/>
        <v>46174</v>
      </c>
    </row>
    <row r="31" spans="1:8" x14ac:dyDescent="0.3">
      <c r="A31" s="2" t="s">
        <v>154</v>
      </c>
      <c r="B31" s="2" t="s">
        <v>180</v>
      </c>
      <c r="C31" t="s">
        <v>22</v>
      </c>
      <c r="D31" t="str">
        <f>IF(C31="","",VLOOKUP(C31,Categorias!$A$2:$C$54,2,FALSE))</f>
        <v>Saída</v>
      </c>
      <c r="E31" t="str">
        <f>IF(C31="","",VLOOKUP(C31,Categorias!$A$2:$C$54,3,FALSE))</f>
        <v>Despesas Financeiras</v>
      </c>
      <c r="F31" s="37">
        <v>-0.1</v>
      </c>
      <c r="G31" t="s">
        <v>153</v>
      </c>
      <c r="H31" s="3">
        <f t="shared" si="0"/>
        <v>46174</v>
      </c>
    </row>
    <row r="32" spans="1:8" x14ac:dyDescent="0.3">
      <c r="A32" s="2" t="s">
        <v>154</v>
      </c>
      <c r="B32" s="2" t="s">
        <v>187</v>
      </c>
      <c r="C32" t="s">
        <v>3</v>
      </c>
      <c r="D32" t="str">
        <f>IF(C32="","",VLOOKUP(C32,Categorias!$A$2:$C$54,2,FALSE))</f>
        <v>Entrada</v>
      </c>
      <c r="E32" t="str">
        <f>IF(C32="","",VLOOKUP(C32,Categorias!$A$2:$C$54,3,FALSE))</f>
        <v>Receita Bruta</v>
      </c>
      <c r="F32" s="37">
        <v>20.98</v>
      </c>
      <c r="G32" t="s">
        <v>153</v>
      </c>
      <c r="H32" s="3">
        <f t="shared" si="0"/>
        <v>46174</v>
      </c>
    </row>
    <row r="33" spans="1:8" x14ac:dyDescent="0.3">
      <c r="A33" s="2" t="s">
        <v>154</v>
      </c>
      <c r="B33" s="2" t="s">
        <v>180</v>
      </c>
      <c r="C33" t="s">
        <v>22</v>
      </c>
      <c r="D33" t="str">
        <f>IF(C33="","",VLOOKUP(C33,Categorias!$A$2:$C$54,2,FALSE))</f>
        <v>Saída</v>
      </c>
      <c r="E33" t="str">
        <f>IF(C33="","",VLOOKUP(C33,Categorias!$A$2:$C$54,3,FALSE))</f>
        <v>Despesas Financeiras</v>
      </c>
      <c r="F33" s="37">
        <v>-0.01</v>
      </c>
      <c r="G33" t="s">
        <v>153</v>
      </c>
      <c r="H33" s="3">
        <f t="shared" ref="H33:H64" si="1">IF(A33="","",DATE(YEAR(A33),MONTH(A33),1))</f>
        <v>46174</v>
      </c>
    </row>
    <row r="34" spans="1:8" x14ac:dyDescent="0.3">
      <c r="A34" s="2" t="s">
        <v>154</v>
      </c>
      <c r="B34" s="2" t="s">
        <v>188</v>
      </c>
      <c r="C34" t="s">
        <v>3</v>
      </c>
      <c r="D34" t="str">
        <f>IF(C34="","",VLOOKUP(C34,Categorias!$A$2:$C$54,2,FALSE))</f>
        <v>Entrada</v>
      </c>
      <c r="E34" t="str">
        <f>IF(C34="","",VLOOKUP(C34,Categorias!$A$2:$C$54,3,FALSE))</f>
        <v>Receita Bruta</v>
      </c>
      <c r="F34" s="37">
        <v>3.99</v>
      </c>
      <c r="G34" t="s">
        <v>153</v>
      </c>
      <c r="H34" s="3">
        <f t="shared" si="1"/>
        <v>46174</v>
      </c>
    </row>
    <row r="35" spans="1:8" x14ac:dyDescent="0.3">
      <c r="A35" s="2" t="s">
        <v>154</v>
      </c>
      <c r="B35" s="2" t="s">
        <v>180</v>
      </c>
      <c r="C35" t="s">
        <v>22</v>
      </c>
      <c r="D35" t="str">
        <f>IF(C35="","",VLOOKUP(C35,Categorias!$A$2:$C$54,2,FALSE))</f>
        <v>Saída</v>
      </c>
      <c r="E35" t="str">
        <f>IF(C35="","",VLOOKUP(C35,Categorias!$A$2:$C$54,3,FALSE))</f>
        <v>Despesas Financeiras</v>
      </c>
      <c r="F35" s="37">
        <v>-0.02</v>
      </c>
      <c r="G35" t="s">
        <v>153</v>
      </c>
      <c r="H35" s="3">
        <f t="shared" si="1"/>
        <v>46174</v>
      </c>
    </row>
    <row r="36" spans="1:8" x14ac:dyDescent="0.3">
      <c r="A36" s="2" t="s">
        <v>154</v>
      </c>
      <c r="B36" s="2" t="s">
        <v>189</v>
      </c>
      <c r="C36" t="s">
        <v>3</v>
      </c>
      <c r="D36" t="str">
        <f>IF(C36="","",VLOOKUP(C36,Categorias!$A$2:$C$54,2,FALSE))</f>
        <v>Entrada</v>
      </c>
      <c r="E36" t="str">
        <f>IF(C36="","",VLOOKUP(C36,Categorias!$A$2:$C$54,3,FALSE))</f>
        <v>Receita Bruta</v>
      </c>
      <c r="F36" s="37">
        <v>5.89</v>
      </c>
      <c r="G36" t="s">
        <v>153</v>
      </c>
      <c r="H36" s="3">
        <f t="shared" si="1"/>
        <v>46174</v>
      </c>
    </row>
    <row r="37" spans="1:8" x14ac:dyDescent="0.3">
      <c r="A37" s="2" t="s">
        <v>154</v>
      </c>
      <c r="B37" s="2" t="s">
        <v>190</v>
      </c>
      <c r="C37" t="s">
        <v>3</v>
      </c>
      <c r="D37" t="str">
        <f>IF(C37="","",VLOOKUP(C37,Categorias!$A$2:$C$54,2,FALSE))</f>
        <v>Entrada</v>
      </c>
      <c r="E37" t="str">
        <f>IF(C37="","",VLOOKUP(C37,Categorias!$A$2:$C$54,3,FALSE))</f>
        <v>Receita Bruta</v>
      </c>
      <c r="F37" s="37">
        <v>12.71</v>
      </c>
      <c r="G37" t="s">
        <v>153</v>
      </c>
      <c r="H37" s="3">
        <f t="shared" si="1"/>
        <v>46174</v>
      </c>
    </row>
    <row r="38" spans="1:8" x14ac:dyDescent="0.3">
      <c r="A38" s="2" t="s">
        <v>154</v>
      </c>
      <c r="B38" s="2" t="s">
        <v>180</v>
      </c>
      <c r="C38" t="s">
        <v>22</v>
      </c>
      <c r="D38" t="str">
        <f>IF(C38="","",VLOOKUP(C38,Categorias!$A$2:$C$54,2,FALSE))</f>
        <v>Saída</v>
      </c>
      <c r="E38" t="str">
        <f>IF(C38="","",VLOOKUP(C38,Categorias!$A$2:$C$54,3,FALSE))</f>
        <v>Despesas Financeiras</v>
      </c>
      <c r="F38" s="37">
        <v>-0.06</v>
      </c>
      <c r="G38" t="s">
        <v>153</v>
      </c>
      <c r="H38" s="3">
        <f t="shared" si="1"/>
        <v>46174</v>
      </c>
    </row>
    <row r="39" spans="1:8" x14ac:dyDescent="0.3">
      <c r="A39" s="2" t="s">
        <v>154</v>
      </c>
      <c r="B39" s="2" t="s">
        <v>191</v>
      </c>
      <c r="C39" t="s">
        <v>3</v>
      </c>
      <c r="D39" t="str">
        <f>IF(C39="","",VLOOKUP(C39,Categorias!$A$2:$C$54,2,FALSE))</f>
        <v>Entrada</v>
      </c>
      <c r="E39" t="str">
        <f>IF(C39="","",VLOOKUP(C39,Categorias!$A$2:$C$54,3,FALSE))</f>
        <v>Receita Bruta</v>
      </c>
      <c r="F39" s="37">
        <v>12.99</v>
      </c>
      <c r="G39" t="s">
        <v>153</v>
      </c>
      <c r="H39" s="3">
        <f t="shared" si="1"/>
        <v>46174</v>
      </c>
    </row>
    <row r="40" spans="1:8" x14ac:dyDescent="0.3">
      <c r="A40" s="2" t="s">
        <v>154</v>
      </c>
      <c r="B40" s="2" t="s">
        <v>180</v>
      </c>
      <c r="C40" t="s">
        <v>22</v>
      </c>
      <c r="D40" t="str">
        <f>IF(C40="","",VLOOKUP(C40,Categorias!$A$2:$C$54,2,FALSE))</f>
        <v>Saída</v>
      </c>
      <c r="E40" t="str">
        <f>IF(C40="","",VLOOKUP(C40,Categorias!$A$2:$C$54,3,FALSE))</f>
        <v>Despesas Financeiras</v>
      </c>
      <c r="F40" s="37">
        <v>-7.0000000000000007E-2</v>
      </c>
      <c r="G40" t="s">
        <v>153</v>
      </c>
      <c r="H40" s="3">
        <f t="shared" si="1"/>
        <v>46174</v>
      </c>
    </row>
    <row r="41" spans="1:8" x14ac:dyDescent="0.3">
      <c r="A41" s="2" t="s">
        <v>154</v>
      </c>
      <c r="B41" s="2" t="s">
        <v>192</v>
      </c>
      <c r="C41" t="s">
        <v>3</v>
      </c>
      <c r="D41" t="str">
        <f>IF(C41="","",VLOOKUP(C41,Categorias!$A$2:$C$54,2,FALSE))</f>
        <v>Entrada</v>
      </c>
      <c r="E41" t="str">
        <f>IF(C41="","",VLOOKUP(C41,Categorias!$A$2:$C$54,3,FALSE))</f>
        <v>Receita Bruta</v>
      </c>
      <c r="F41" s="37">
        <v>14.99</v>
      </c>
      <c r="G41" t="s">
        <v>153</v>
      </c>
      <c r="H41" s="3">
        <f t="shared" si="1"/>
        <v>46174</v>
      </c>
    </row>
    <row r="42" spans="1:8" x14ac:dyDescent="0.3">
      <c r="A42" s="2" t="s">
        <v>154</v>
      </c>
      <c r="B42" s="2" t="s">
        <v>180</v>
      </c>
      <c r="C42" t="s">
        <v>22</v>
      </c>
      <c r="D42" t="str">
        <f>IF(C42="","",VLOOKUP(C42,Categorias!$A$2:$C$54,2,FALSE))</f>
        <v>Saída</v>
      </c>
      <c r="E42" t="str">
        <f>IF(C42="","",VLOOKUP(C42,Categorias!$A$2:$C$54,3,FALSE))</f>
        <v>Despesas Financeiras</v>
      </c>
      <c r="F42" s="37">
        <v>-0.1</v>
      </c>
      <c r="G42" t="s">
        <v>153</v>
      </c>
      <c r="H42" s="3">
        <f t="shared" si="1"/>
        <v>46174</v>
      </c>
    </row>
    <row r="43" spans="1:8" x14ac:dyDescent="0.3">
      <c r="A43" s="2" t="s">
        <v>154</v>
      </c>
      <c r="B43" s="2" t="s">
        <v>193</v>
      </c>
      <c r="C43" t="s">
        <v>3</v>
      </c>
      <c r="D43" t="str">
        <f>IF(C43="","",VLOOKUP(C43,Categorias!$A$2:$C$54,2,FALSE))</f>
        <v>Entrada</v>
      </c>
      <c r="E43" t="str">
        <f>IF(C43="","",VLOOKUP(C43,Categorias!$A$2:$C$54,3,FALSE))</f>
        <v>Receita Bruta</v>
      </c>
      <c r="F43" s="37">
        <v>21.56</v>
      </c>
      <c r="G43" t="s">
        <v>153</v>
      </c>
      <c r="H43" s="3">
        <f t="shared" si="1"/>
        <v>46174</v>
      </c>
    </row>
    <row r="44" spans="1:8" x14ac:dyDescent="0.3">
      <c r="A44" s="2" t="s">
        <v>155</v>
      </c>
      <c r="B44" s="2" t="s">
        <v>194</v>
      </c>
      <c r="C44" t="s">
        <v>3</v>
      </c>
      <c r="D44" t="str">
        <f>IF(C44="","",VLOOKUP(C44,Categorias!$A$2:$C$54,2,FALSE))</f>
        <v>Entrada</v>
      </c>
      <c r="E44" t="str">
        <f>IF(C44="","",VLOOKUP(C44,Categorias!$A$2:$C$54,3,FALSE))</f>
        <v>Receita Bruta</v>
      </c>
      <c r="F44" s="37">
        <v>9.89</v>
      </c>
      <c r="G44" t="s">
        <v>152</v>
      </c>
      <c r="H44" s="3">
        <f t="shared" si="1"/>
        <v>46174</v>
      </c>
    </row>
    <row r="45" spans="1:8" x14ac:dyDescent="0.3">
      <c r="A45" s="2" t="s">
        <v>155</v>
      </c>
      <c r="B45" s="2" t="s">
        <v>195</v>
      </c>
      <c r="C45" t="s">
        <v>3</v>
      </c>
      <c r="D45" t="str">
        <f>IF(C45="","",VLOOKUP(C45,Categorias!$A$2:$C$54,2,FALSE))</f>
        <v>Entrada</v>
      </c>
      <c r="E45" t="str">
        <f>IF(C45="","",VLOOKUP(C45,Categorias!$A$2:$C$54,3,FALSE))</f>
        <v>Receita Bruta</v>
      </c>
      <c r="F45" s="37">
        <v>12</v>
      </c>
      <c r="G45" t="s">
        <v>152</v>
      </c>
      <c r="H45" s="3">
        <f t="shared" si="1"/>
        <v>46174</v>
      </c>
    </row>
    <row r="46" spans="1:8" x14ac:dyDescent="0.3">
      <c r="A46" s="2" t="s">
        <v>155</v>
      </c>
      <c r="B46" s="2" t="s">
        <v>165</v>
      </c>
      <c r="C46" t="s">
        <v>3</v>
      </c>
      <c r="D46" t="str">
        <f>IF(C46="","",VLOOKUP(C46,Categorias!$A$2:$C$54,2,FALSE))</f>
        <v>Entrada</v>
      </c>
      <c r="E46" t="str">
        <f>IF(C46="","",VLOOKUP(C46,Categorias!$A$2:$C$54,3,FALSE))</f>
        <v>Receita Bruta</v>
      </c>
      <c r="F46" s="37">
        <v>73.38</v>
      </c>
      <c r="G46" t="s">
        <v>152</v>
      </c>
      <c r="H46" s="3">
        <f t="shared" si="1"/>
        <v>46174</v>
      </c>
    </row>
    <row r="47" spans="1:8" x14ac:dyDescent="0.3">
      <c r="A47" s="2" t="s">
        <v>155</v>
      </c>
      <c r="B47" s="2" t="s">
        <v>196</v>
      </c>
      <c r="C47" t="s">
        <v>3</v>
      </c>
      <c r="D47" t="str">
        <f>IF(C47="","",VLOOKUP(C47,Categorias!$A$2:$C$54,2,FALSE))</f>
        <v>Entrada</v>
      </c>
      <c r="E47" t="str">
        <f>IF(C47="","",VLOOKUP(C47,Categorias!$A$2:$C$54,3,FALSE))</f>
        <v>Receita Bruta</v>
      </c>
      <c r="F47" s="37">
        <v>5.5</v>
      </c>
      <c r="G47" t="s">
        <v>152</v>
      </c>
      <c r="H47" s="3">
        <f t="shared" si="1"/>
        <v>46174</v>
      </c>
    </row>
    <row r="48" spans="1:8" x14ac:dyDescent="0.3">
      <c r="A48" s="2" t="s">
        <v>155</v>
      </c>
      <c r="B48" s="2" t="s">
        <v>197</v>
      </c>
      <c r="C48" t="s">
        <v>15</v>
      </c>
      <c r="D48" t="str">
        <f>IF(C48="","",VLOOKUP(C48,Categorias!$A$2:$C$54,2,FALSE))</f>
        <v>Saída</v>
      </c>
      <c r="E48" t="str">
        <f>IF(C48="","",VLOOKUP(C48,Categorias!$A$2:$C$54,3,FALSE))</f>
        <v>Despesas Operacionais</v>
      </c>
      <c r="F48" s="37">
        <v>-358.03</v>
      </c>
      <c r="G48" t="s">
        <v>152</v>
      </c>
      <c r="H48" s="3">
        <f t="shared" si="1"/>
        <v>46174</v>
      </c>
    </row>
    <row r="49" spans="1:8" x14ac:dyDescent="0.3">
      <c r="A49" s="2" t="s">
        <v>155</v>
      </c>
      <c r="B49" s="2" t="s">
        <v>198</v>
      </c>
      <c r="C49" t="s">
        <v>108</v>
      </c>
      <c r="D49" t="str">
        <f>IF(C49="","",VLOOKUP(C49,Categorias!$A$2:$C$54,2,FALSE))</f>
        <v>Saída</v>
      </c>
      <c r="E49" t="str">
        <f>IF(C49="","",VLOOKUP(C49,Categorias!$A$2:$C$54,3,FALSE))</f>
        <v>CMV</v>
      </c>
      <c r="F49" s="37">
        <v>-190</v>
      </c>
      <c r="G49" t="s">
        <v>152</v>
      </c>
      <c r="H49" s="3">
        <f t="shared" si="1"/>
        <v>46174</v>
      </c>
    </row>
    <row r="50" spans="1:8" x14ac:dyDescent="0.3">
      <c r="A50" s="2" t="s">
        <v>155</v>
      </c>
      <c r="B50" s="2" t="s">
        <v>199</v>
      </c>
      <c r="C50" t="s">
        <v>108</v>
      </c>
      <c r="D50" t="str">
        <f>IF(C50="","",VLOOKUP(C50,Categorias!$A$2:$C$54,2,FALSE))</f>
        <v>Saída</v>
      </c>
      <c r="E50" t="str">
        <f>IF(C50="","",VLOOKUP(C50,Categorias!$A$2:$C$54,3,FALSE))</f>
        <v>CMV</v>
      </c>
      <c r="F50" s="37">
        <v>-135</v>
      </c>
      <c r="G50" t="s">
        <v>152</v>
      </c>
      <c r="H50" s="3">
        <f t="shared" si="1"/>
        <v>46174</v>
      </c>
    </row>
    <row r="51" spans="1:8" x14ac:dyDescent="0.3">
      <c r="A51" s="2" t="s">
        <v>155</v>
      </c>
      <c r="B51" s="2" t="s">
        <v>200</v>
      </c>
      <c r="C51" t="s">
        <v>108</v>
      </c>
      <c r="D51" t="str">
        <f>IF(C51="","",VLOOKUP(C51,Categorias!$A$2:$C$54,2,FALSE))</f>
        <v>Saída</v>
      </c>
      <c r="E51" t="str">
        <f>IF(C51="","",VLOOKUP(C51,Categorias!$A$2:$C$54,3,FALSE))</f>
        <v>CMV</v>
      </c>
      <c r="F51" s="37">
        <v>-539.79999999999995</v>
      </c>
      <c r="G51" t="s">
        <v>152</v>
      </c>
      <c r="H51" s="3">
        <f t="shared" si="1"/>
        <v>46174</v>
      </c>
    </row>
    <row r="52" spans="1:8" x14ac:dyDescent="0.3">
      <c r="A52" s="2" t="s">
        <v>155</v>
      </c>
      <c r="B52" s="2" t="s">
        <v>200</v>
      </c>
      <c r="C52" t="s">
        <v>108</v>
      </c>
      <c r="D52" t="str">
        <f>IF(C52="","",VLOOKUP(C52,Categorias!$A$2:$C$54,2,FALSE))</f>
        <v>Saída</v>
      </c>
      <c r="E52" t="str">
        <f>IF(C52="","",VLOOKUP(C52,Categorias!$A$2:$C$54,3,FALSE))</f>
        <v>CMV</v>
      </c>
      <c r="F52" s="37">
        <v>-187</v>
      </c>
      <c r="G52" t="s">
        <v>152</v>
      </c>
      <c r="H52" s="3">
        <f t="shared" si="1"/>
        <v>46174</v>
      </c>
    </row>
    <row r="53" spans="1:8" x14ac:dyDescent="0.3">
      <c r="A53" s="2" t="s">
        <v>155</v>
      </c>
      <c r="B53" s="2" t="s">
        <v>201</v>
      </c>
      <c r="C53" t="s">
        <v>108</v>
      </c>
      <c r="D53" t="str">
        <f>IF(C53="","",VLOOKUP(C53,Categorias!$A$2:$C$54,2,FALSE))</f>
        <v>Saída</v>
      </c>
      <c r="E53" t="str">
        <f>IF(C53="","",VLOOKUP(C53,Categorias!$A$2:$C$54,3,FALSE))</f>
        <v>CMV</v>
      </c>
      <c r="F53" s="37">
        <v>-668.92</v>
      </c>
      <c r="G53" t="s">
        <v>152</v>
      </c>
      <c r="H53" s="3">
        <f t="shared" si="1"/>
        <v>46174</v>
      </c>
    </row>
    <row r="54" spans="1:8" x14ac:dyDescent="0.3">
      <c r="A54" s="2" t="s">
        <v>155</v>
      </c>
      <c r="B54" s="2" t="s">
        <v>202</v>
      </c>
      <c r="C54" t="s">
        <v>3</v>
      </c>
      <c r="D54" t="str">
        <f>IF(C54="","",VLOOKUP(C54,Categorias!$A$2:$C$54,2,FALSE))</f>
        <v>Entrada</v>
      </c>
      <c r="E54" t="str">
        <f>IF(C54="","",VLOOKUP(C54,Categorias!$A$2:$C$54,3,FALSE))</f>
        <v>Receita Bruta</v>
      </c>
      <c r="F54" s="37">
        <v>872.54</v>
      </c>
      <c r="G54" t="s">
        <v>152</v>
      </c>
      <c r="H54" s="3">
        <f t="shared" si="1"/>
        <v>46174</v>
      </c>
    </row>
    <row r="55" spans="1:8" x14ac:dyDescent="0.3">
      <c r="A55" s="2" t="s">
        <v>155</v>
      </c>
      <c r="B55" s="2" t="s">
        <v>203</v>
      </c>
      <c r="C55" t="s">
        <v>3</v>
      </c>
      <c r="D55" t="str">
        <f>IF(C55="","",VLOOKUP(C55,Categorias!$A$2:$C$54,2,FALSE))</f>
        <v>Entrada</v>
      </c>
      <c r="E55" t="str">
        <f>IF(C55="","",VLOOKUP(C55,Categorias!$A$2:$C$54,3,FALSE))</f>
        <v>Receita Bruta</v>
      </c>
      <c r="F55" s="37">
        <v>138.94</v>
      </c>
      <c r="G55" t="s">
        <v>152</v>
      </c>
      <c r="H55" s="3">
        <f t="shared" si="1"/>
        <v>46174</v>
      </c>
    </row>
    <row r="56" spans="1:8" x14ac:dyDescent="0.3">
      <c r="A56" s="2" t="s">
        <v>155</v>
      </c>
      <c r="B56" s="2" t="s">
        <v>204</v>
      </c>
      <c r="C56" t="s">
        <v>3</v>
      </c>
      <c r="D56" t="str">
        <f>IF(C56="","",VLOOKUP(C56,Categorias!$A$2:$C$54,2,FALSE))</f>
        <v>Entrada</v>
      </c>
      <c r="E56" t="str">
        <f>IF(C56="","",VLOOKUP(C56,Categorias!$A$2:$C$54,3,FALSE))</f>
        <v>Receita Bruta</v>
      </c>
      <c r="F56" s="37">
        <v>532.29999999999995</v>
      </c>
      <c r="G56" t="s">
        <v>152</v>
      </c>
      <c r="H56" s="3">
        <f t="shared" si="1"/>
        <v>46174</v>
      </c>
    </row>
    <row r="57" spans="1:8" x14ac:dyDescent="0.3">
      <c r="A57" s="2" t="s">
        <v>155</v>
      </c>
      <c r="B57" s="2" t="s">
        <v>205</v>
      </c>
      <c r="C57" t="s">
        <v>3</v>
      </c>
      <c r="D57" t="str">
        <f>IF(C57="","",VLOOKUP(C57,Categorias!$A$2:$C$54,2,FALSE))</f>
        <v>Entrada</v>
      </c>
      <c r="E57" t="str">
        <f>IF(C57="","",VLOOKUP(C57,Categorias!$A$2:$C$54,3,FALSE))</f>
        <v>Receita Bruta</v>
      </c>
      <c r="F57" s="37">
        <v>86.64</v>
      </c>
      <c r="G57" t="s">
        <v>152</v>
      </c>
      <c r="H57" s="3">
        <f t="shared" si="1"/>
        <v>46174</v>
      </c>
    </row>
    <row r="58" spans="1:8" x14ac:dyDescent="0.3">
      <c r="A58" s="2" t="s">
        <v>155</v>
      </c>
      <c r="B58" s="2" t="s">
        <v>206</v>
      </c>
      <c r="C58" t="s">
        <v>3</v>
      </c>
      <c r="D58" t="str">
        <f>IF(C58="","",VLOOKUP(C58,Categorias!$A$2:$C$54,2,FALSE))</f>
        <v>Entrada</v>
      </c>
      <c r="E58" t="str">
        <f>IF(C58="","",VLOOKUP(C58,Categorias!$A$2:$C$54,3,FALSE))</f>
        <v>Receita Bruta</v>
      </c>
      <c r="F58" s="37">
        <v>84.83</v>
      </c>
      <c r="G58" t="s">
        <v>152</v>
      </c>
      <c r="H58" s="3">
        <f t="shared" si="1"/>
        <v>46174</v>
      </c>
    </row>
    <row r="59" spans="1:8" x14ac:dyDescent="0.3">
      <c r="A59" s="2" t="s">
        <v>155</v>
      </c>
      <c r="B59" s="2" t="s">
        <v>207</v>
      </c>
      <c r="C59" t="s">
        <v>3</v>
      </c>
      <c r="D59" t="str">
        <f>IF(C59="","",VLOOKUP(C59,Categorias!$A$2:$C$54,2,FALSE))</f>
        <v>Entrada</v>
      </c>
      <c r="E59" t="str">
        <f>IF(C59="","",VLOOKUP(C59,Categorias!$A$2:$C$54,3,FALSE))</f>
        <v>Receita Bruta</v>
      </c>
      <c r="F59" s="37">
        <v>389.22</v>
      </c>
      <c r="G59" t="s">
        <v>152</v>
      </c>
      <c r="H59" s="3">
        <f t="shared" si="1"/>
        <v>46174</v>
      </c>
    </row>
    <row r="60" spans="1:8" x14ac:dyDescent="0.3">
      <c r="A60" s="2" t="s">
        <v>155</v>
      </c>
      <c r="B60" s="2" t="s">
        <v>180</v>
      </c>
      <c r="C60" t="s">
        <v>22</v>
      </c>
      <c r="D60" t="str">
        <f>IF(C60="","",VLOOKUP(C60,Categorias!$A$2:$C$54,2,FALSE))</f>
        <v>Saída</v>
      </c>
      <c r="E60" t="str">
        <f>IF(C60="","",VLOOKUP(C60,Categorias!$A$2:$C$54,3,FALSE))</f>
        <v>Despesas Financeiras</v>
      </c>
      <c r="F60" s="37">
        <v>-0.05</v>
      </c>
      <c r="G60" t="s">
        <v>153</v>
      </c>
      <c r="H60" s="3">
        <f t="shared" si="1"/>
        <v>46174</v>
      </c>
    </row>
    <row r="61" spans="1:8" x14ac:dyDescent="0.3">
      <c r="A61" s="2" t="s">
        <v>155</v>
      </c>
      <c r="B61" s="2" t="s">
        <v>183</v>
      </c>
      <c r="C61" t="s">
        <v>3</v>
      </c>
      <c r="D61" t="str">
        <f>IF(C61="","",VLOOKUP(C61,Categorias!$A$2:$C$54,2,FALSE))</f>
        <v>Entrada</v>
      </c>
      <c r="E61" t="str">
        <f>IF(C61="","",VLOOKUP(C61,Categorias!$A$2:$C$54,3,FALSE))</f>
        <v>Receita Bruta</v>
      </c>
      <c r="F61" s="37">
        <v>10.99</v>
      </c>
      <c r="G61" t="s">
        <v>153</v>
      </c>
      <c r="H61" s="3">
        <f t="shared" si="1"/>
        <v>46174</v>
      </c>
    </row>
    <row r="62" spans="1:8" x14ac:dyDescent="0.3">
      <c r="A62" s="2" t="s">
        <v>155</v>
      </c>
      <c r="B62" s="2" t="s">
        <v>180</v>
      </c>
      <c r="C62" t="s">
        <v>22</v>
      </c>
      <c r="D62" t="str">
        <f>IF(C62="","",VLOOKUP(C62,Categorias!$A$2:$C$54,2,FALSE))</f>
        <v>Saída</v>
      </c>
      <c r="E62" t="str">
        <f>IF(C62="","",VLOOKUP(C62,Categorias!$A$2:$C$54,3,FALSE))</f>
        <v>Despesas Financeiras</v>
      </c>
      <c r="F62" s="37">
        <v>-0.14000000000000001</v>
      </c>
      <c r="G62" t="s">
        <v>153</v>
      </c>
      <c r="H62" s="3">
        <f t="shared" si="1"/>
        <v>46174</v>
      </c>
    </row>
    <row r="63" spans="1:8" x14ac:dyDescent="0.3">
      <c r="A63" s="2" t="s">
        <v>155</v>
      </c>
      <c r="B63" s="2" t="s">
        <v>208</v>
      </c>
      <c r="C63" t="s">
        <v>3</v>
      </c>
      <c r="D63" t="str">
        <f>IF(C63="","",VLOOKUP(C63,Categorias!$A$2:$C$54,2,FALSE))</f>
        <v>Entrada</v>
      </c>
      <c r="E63" t="str">
        <f>IF(C63="","",VLOOKUP(C63,Categorias!$A$2:$C$54,3,FALSE))</f>
        <v>Receita Bruta</v>
      </c>
      <c r="F63" s="37">
        <v>28.68</v>
      </c>
      <c r="G63" t="s">
        <v>153</v>
      </c>
      <c r="H63" s="3">
        <f t="shared" si="1"/>
        <v>46174</v>
      </c>
    </row>
    <row r="64" spans="1:8" x14ac:dyDescent="0.3">
      <c r="A64" s="2" t="s">
        <v>155</v>
      </c>
      <c r="B64" s="2" t="s">
        <v>180</v>
      </c>
      <c r="C64" t="s">
        <v>22</v>
      </c>
      <c r="D64" t="str">
        <f>IF(C64="","",VLOOKUP(C64,Categorias!$A$2:$C$54,2,FALSE))</f>
        <v>Saída</v>
      </c>
      <c r="E64" t="str">
        <f>IF(C64="","",VLOOKUP(C64,Categorias!$A$2:$C$54,3,FALSE))</f>
        <v>Despesas Financeiras</v>
      </c>
      <c r="F64" s="37">
        <v>-0.04</v>
      </c>
      <c r="G64" t="s">
        <v>153</v>
      </c>
      <c r="H64" s="3">
        <f t="shared" si="1"/>
        <v>46174</v>
      </c>
    </row>
    <row r="65" spans="1:8" x14ac:dyDescent="0.3">
      <c r="A65" s="2" t="s">
        <v>155</v>
      </c>
      <c r="B65" s="2" t="s">
        <v>209</v>
      </c>
      <c r="C65" t="s">
        <v>3</v>
      </c>
      <c r="D65" t="str">
        <f>IF(C65="","",VLOOKUP(C65,Categorias!$A$2:$C$54,2,FALSE))</f>
        <v>Entrada</v>
      </c>
      <c r="E65" t="str">
        <f>IF(C65="","",VLOOKUP(C65,Categorias!$A$2:$C$54,3,FALSE))</f>
        <v>Receita Bruta</v>
      </c>
      <c r="F65" s="37">
        <v>8.99</v>
      </c>
      <c r="G65" t="s">
        <v>153</v>
      </c>
      <c r="H65" s="3">
        <f t="shared" ref="H65:H96" si="2">IF(A65="","",DATE(YEAR(A65),MONTH(A65),1))</f>
        <v>46174</v>
      </c>
    </row>
    <row r="66" spans="1:8" x14ac:dyDescent="0.3">
      <c r="A66" s="2" t="s">
        <v>155</v>
      </c>
      <c r="B66" s="2" t="s">
        <v>180</v>
      </c>
      <c r="C66" t="s">
        <v>22</v>
      </c>
      <c r="D66" t="str">
        <f>IF(C66="","",VLOOKUP(C66,Categorias!$A$2:$C$54,2,FALSE))</f>
        <v>Saída</v>
      </c>
      <c r="E66" t="str">
        <f>IF(C66="","",VLOOKUP(C66,Categorias!$A$2:$C$54,3,FALSE))</f>
        <v>Despesas Financeiras</v>
      </c>
      <c r="F66" s="37">
        <v>-0.22</v>
      </c>
      <c r="G66" t="s">
        <v>153</v>
      </c>
      <c r="H66" s="3">
        <f t="shared" si="2"/>
        <v>46174</v>
      </c>
    </row>
    <row r="67" spans="1:8" x14ac:dyDescent="0.3">
      <c r="A67" s="2" t="s">
        <v>155</v>
      </c>
      <c r="B67" s="2" t="s">
        <v>210</v>
      </c>
      <c r="C67" t="s">
        <v>3</v>
      </c>
      <c r="D67" t="str">
        <f>IF(C67="","",VLOOKUP(C67,Categorias!$A$2:$C$54,2,FALSE))</f>
        <v>Entrada</v>
      </c>
      <c r="E67" t="str">
        <f>IF(C67="","",VLOOKUP(C67,Categorias!$A$2:$C$54,3,FALSE))</f>
        <v>Receita Bruta</v>
      </c>
      <c r="F67" s="37">
        <v>44.95</v>
      </c>
      <c r="G67" t="s">
        <v>153</v>
      </c>
      <c r="H67" s="3">
        <f t="shared" si="2"/>
        <v>46174</v>
      </c>
    </row>
    <row r="68" spans="1:8" x14ac:dyDescent="0.3">
      <c r="A68" s="2" t="s">
        <v>155</v>
      </c>
      <c r="B68" s="2" t="s">
        <v>180</v>
      </c>
      <c r="C68" t="s">
        <v>22</v>
      </c>
      <c r="D68" t="str">
        <f>IF(C68="","",VLOOKUP(C68,Categorias!$A$2:$C$54,2,FALSE))</f>
        <v>Saída</v>
      </c>
      <c r="E68" t="str">
        <f>IF(C68="","",VLOOKUP(C68,Categorias!$A$2:$C$54,3,FALSE))</f>
        <v>Despesas Financeiras</v>
      </c>
      <c r="F68" s="37">
        <v>-0.02</v>
      </c>
      <c r="G68" t="s">
        <v>153</v>
      </c>
      <c r="H68" s="3">
        <f t="shared" si="2"/>
        <v>46174</v>
      </c>
    </row>
    <row r="69" spans="1:8" x14ac:dyDescent="0.3">
      <c r="A69" s="2" t="s">
        <v>155</v>
      </c>
      <c r="B69" s="2" t="s">
        <v>211</v>
      </c>
      <c r="C69" t="s">
        <v>3</v>
      </c>
      <c r="D69" t="str">
        <f>IF(C69="","",VLOOKUP(C69,Categorias!$A$2:$C$54,2,FALSE))</f>
        <v>Entrada</v>
      </c>
      <c r="E69" t="str">
        <f>IF(C69="","",VLOOKUP(C69,Categorias!$A$2:$C$54,3,FALSE))</f>
        <v>Receita Bruta</v>
      </c>
      <c r="F69" s="37">
        <v>5.99</v>
      </c>
      <c r="G69" t="s">
        <v>153</v>
      </c>
      <c r="H69" s="3">
        <f t="shared" si="2"/>
        <v>46174</v>
      </c>
    </row>
    <row r="70" spans="1:8" x14ac:dyDescent="0.3">
      <c r="A70" s="2" t="s">
        <v>155</v>
      </c>
      <c r="B70" s="2" t="s">
        <v>180</v>
      </c>
      <c r="C70" t="s">
        <v>22</v>
      </c>
      <c r="D70" t="str">
        <f>IF(C70="","",VLOOKUP(C70,Categorias!$A$2:$C$54,2,FALSE))</f>
        <v>Saída</v>
      </c>
      <c r="E70" t="str">
        <f>IF(C70="","",VLOOKUP(C70,Categorias!$A$2:$C$54,3,FALSE))</f>
        <v>Despesas Financeiras</v>
      </c>
      <c r="F70" s="37">
        <v>-7.0000000000000007E-2</v>
      </c>
      <c r="G70" t="s">
        <v>153</v>
      </c>
      <c r="H70" s="3">
        <f t="shared" si="2"/>
        <v>46174</v>
      </c>
    </row>
    <row r="71" spans="1:8" x14ac:dyDescent="0.3">
      <c r="A71" s="2" t="s">
        <v>155</v>
      </c>
      <c r="B71" s="2" t="s">
        <v>209</v>
      </c>
      <c r="C71" t="s">
        <v>3</v>
      </c>
      <c r="D71" t="str">
        <f>IF(C71="","",VLOOKUP(C71,Categorias!$A$2:$C$54,2,FALSE))</f>
        <v>Entrada</v>
      </c>
      <c r="E71" t="str">
        <f>IF(C71="","",VLOOKUP(C71,Categorias!$A$2:$C$54,3,FALSE))</f>
        <v>Receita Bruta</v>
      </c>
      <c r="F71" s="37">
        <v>14.99</v>
      </c>
      <c r="G71" t="s">
        <v>153</v>
      </c>
      <c r="H71" s="3">
        <f t="shared" si="2"/>
        <v>46174</v>
      </c>
    </row>
    <row r="72" spans="1:8" x14ac:dyDescent="0.3">
      <c r="A72" s="2" t="s">
        <v>155</v>
      </c>
      <c r="B72" s="2" t="s">
        <v>180</v>
      </c>
      <c r="C72" t="s">
        <v>22</v>
      </c>
      <c r="D72" t="str">
        <f>IF(C72="","",VLOOKUP(C72,Categorias!$A$2:$C$54,2,FALSE))</f>
        <v>Saída</v>
      </c>
      <c r="E72" t="str">
        <f>IF(C72="","",VLOOKUP(C72,Categorias!$A$2:$C$54,3,FALSE))</f>
        <v>Despesas Financeiras</v>
      </c>
      <c r="F72" s="37">
        <v>-0.14000000000000001</v>
      </c>
      <c r="G72" t="s">
        <v>153</v>
      </c>
      <c r="H72" s="3">
        <f t="shared" si="2"/>
        <v>46174</v>
      </c>
    </row>
    <row r="73" spans="1:8" x14ac:dyDescent="0.3">
      <c r="A73" s="2" t="s">
        <v>155</v>
      </c>
      <c r="B73" s="2" t="s">
        <v>209</v>
      </c>
      <c r="C73" t="s">
        <v>3</v>
      </c>
      <c r="D73" t="str">
        <f>IF(C73="","",VLOOKUP(C73,Categorias!$A$2:$C$54,2,FALSE))</f>
        <v>Entrada</v>
      </c>
      <c r="E73" t="str">
        <f>IF(C73="","",VLOOKUP(C73,Categorias!$A$2:$C$54,3,FALSE))</f>
        <v>Receita Bruta</v>
      </c>
      <c r="F73" s="37">
        <v>28.99</v>
      </c>
      <c r="G73" t="s">
        <v>153</v>
      </c>
      <c r="H73" s="3">
        <f t="shared" si="2"/>
        <v>46174</v>
      </c>
    </row>
    <row r="74" spans="1:8" x14ac:dyDescent="0.3">
      <c r="A74" s="2" t="s">
        <v>155</v>
      </c>
      <c r="B74" s="2" t="s">
        <v>180</v>
      </c>
      <c r="C74" t="s">
        <v>22</v>
      </c>
      <c r="D74" t="str">
        <f>IF(C74="","",VLOOKUP(C74,Categorias!$A$2:$C$54,2,FALSE))</f>
        <v>Saída</v>
      </c>
      <c r="E74" t="str">
        <f>IF(C74="","",VLOOKUP(C74,Categorias!$A$2:$C$54,3,FALSE))</f>
        <v>Despesas Financeiras</v>
      </c>
      <c r="F74" s="37">
        <v>-0.02</v>
      </c>
      <c r="G74" t="s">
        <v>153</v>
      </c>
      <c r="H74" s="3">
        <f t="shared" si="2"/>
        <v>46174</v>
      </c>
    </row>
    <row r="75" spans="1:8" x14ac:dyDescent="0.3">
      <c r="A75" s="2" t="s">
        <v>155</v>
      </c>
      <c r="B75" s="2" t="s">
        <v>212</v>
      </c>
      <c r="C75" t="s">
        <v>3</v>
      </c>
      <c r="D75" t="str">
        <f>IF(C75="","",VLOOKUP(C75,Categorias!$A$2:$C$54,2,FALSE))</f>
        <v>Entrada</v>
      </c>
      <c r="E75" t="str">
        <f>IF(C75="","",VLOOKUP(C75,Categorias!$A$2:$C$54,3,FALSE))</f>
        <v>Receita Bruta</v>
      </c>
      <c r="F75" s="37">
        <v>5.89</v>
      </c>
      <c r="G75" t="s">
        <v>153</v>
      </c>
      <c r="H75" s="3">
        <f t="shared" si="2"/>
        <v>46174</v>
      </c>
    </row>
    <row r="76" spans="1:8" x14ac:dyDescent="0.3">
      <c r="A76" s="2" t="s">
        <v>155</v>
      </c>
      <c r="B76" s="2" t="s">
        <v>180</v>
      </c>
      <c r="C76" t="s">
        <v>22</v>
      </c>
      <c r="D76" t="str">
        <f>IF(C76="","",VLOOKUP(C76,Categorias!$A$2:$C$54,2,FALSE))</f>
        <v>Saída</v>
      </c>
      <c r="E76" t="str">
        <f>IF(C76="","",VLOOKUP(C76,Categorias!$A$2:$C$54,3,FALSE))</f>
        <v>Despesas Financeiras</v>
      </c>
      <c r="F76" s="37">
        <v>-0.08</v>
      </c>
      <c r="G76" t="s">
        <v>153</v>
      </c>
      <c r="H76" s="3">
        <f t="shared" si="2"/>
        <v>46174</v>
      </c>
    </row>
    <row r="77" spans="1:8" x14ac:dyDescent="0.3">
      <c r="A77" s="2" t="s">
        <v>155</v>
      </c>
      <c r="B77" s="2" t="s">
        <v>212</v>
      </c>
      <c r="C77" t="s">
        <v>3</v>
      </c>
      <c r="D77" t="str">
        <f>IF(C77="","",VLOOKUP(C77,Categorias!$A$2:$C$54,2,FALSE))</f>
        <v>Entrada</v>
      </c>
      <c r="E77" t="str">
        <f>IF(C77="","",VLOOKUP(C77,Categorias!$A$2:$C$54,3,FALSE))</f>
        <v>Receita Bruta</v>
      </c>
      <c r="F77" s="37">
        <v>17.98</v>
      </c>
      <c r="G77" t="s">
        <v>153</v>
      </c>
      <c r="H77" s="3">
        <f t="shared" si="2"/>
        <v>46174</v>
      </c>
    </row>
    <row r="78" spans="1:8" x14ac:dyDescent="0.3">
      <c r="A78" s="2" t="s">
        <v>155</v>
      </c>
      <c r="B78" s="2" t="s">
        <v>180</v>
      </c>
      <c r="C78" t="s">
        <v>22</v>
      </c>
      <c r="D78" t="str">
        <f>IF(C78="","",VLOOKUP(C78,Categorias!$A$2:$C$54,2,FALSE))</f>
        <v>Saída</v>
      </c>
      <c r="E78" t="str">
        <f>IF(C78="","",VLOOKUP(C78,Categorias!$A$2:$C$54,3,FALSE))</f>
        <v>Despesas Financeiras</v>
      </c>
      <c r="F78" s="37">
        <v>-0.17</v>
      </c>
      <c r="G78" t="s">
        <v>153</v>
      </c>
      <c r="H78" s="3">
        <f t="shared" si="2"/>
        <v>46174</v>
      </c>
    </row>
    <row r="79" spans="1:8" x14ac:dyDescent="0.3">
      <c r="A79" s="2" t="s">
        <v>155</v>
      </c>
      <c r="B79" s="2" t="s">
        <v>213</v>
      </c>
      <c r="C79" t="s">
        <v>3</v>
      </c>
      <c r="D79" t="str">
        <f>IF(C79="","",VLOOKUP(C79,Categorias!$A$2:$C$54,2,FALSE))</f>
        <v>Entrada</v>
      </c>
      <c r="E79" t="str">
        <f>IF(C79="","",VLOOKUP(C79,Categorias!$A$2:$C$54,3,FALSE))</f>
        <v>Receita Bruta</v>
      </c>
      <c r="F79" s="37">
        <v>34.979999999999997</v>
      </c>
      <c r="G79" t="s">
        <v>153</v>
      </c>
      <c r="H79" s="3">
        <f t="shared" si="2"/>
        <v>46174</v>
      </c>
    </row>
    <row r="80" spans="1:8" x14ac:dyDescent="0.3">
      <c r="A80" s="2" t="s">
        <v>155</v>
      </c>
      <c r="B80" s="2" t="s">
        <v>180</v>
      </c>
      <c r="C80" t="s">
        <v>22</v>
      </c>
      <c r="D80" t="str">
        <f>IF(C80="","",VLOOKUP(C80,Categorias!$A$2:$C$54,2,FALSE))</f>
        <v>Saída</v>
      </c>
      <c r="E80" t="str">
        <f>IF(C80="","",VLOOKUP(C80,Categorias!$A$2:$C$54,3,FALSE))</f>
        <v>Despesas Financeiras</v>
      </c>
      <c r="F80" s="37">
        <v>-0.1</v>
      </c>
      <c r="G80" t="s">
        <v>153</v>
      </c>
      <c r="H80" s="3">
        <f t="shared" si="2"/>
        <v>46174</v>
      </c>
    </row>
    <row r="81" spans="1:8" x14ac:dyDescent="0.3">
      <c r="A81" s="2" t="s">
        <v>155</v>
      </c>
      <c r="B81" s="2" t="s">
        <v>214</v>
      </c>
      <c r="C81" t="s">
        <v>3</v>
      </c>
      <c r="D81" t="str">
        <f>IF(C81="","",VLOOKUP(C81,Categorias!$A$2:$C$54,2,FALSE))</f>
        <v>Entrada</v>
      </c>
      <c r="E81" t="str">
        <f>IF(C81="","",VLOOKUP(C81,Categorias!$A$2:$C$54,3,FALSE))</f>
        <v>Receita Bruta</v>
      </c>
      <c r="F81" s="37">
        <v>21.56</v>
      </c>
      <c r="G81" t="s">
        <v>153</v>
      </c>
      <c r="H81" s="3">
        <f t="shared" si="2"/>
        <v>46174</v>
      </c>
    </row>
    <row r="82" spans="1:8" x14ac:dyDescent="0.3">
      <c r="A82" s="2" t="s">
        <v>155</v>
      </c>
      <c r="B82" s="2" t="s">
        <v>180</v>
      </c>
      <c r="C82" t="s">
        <v>22</v>
      </c>
      <c r="D82" t="str">
        <f>IF(C82="","",VLOOKUP(C82,Categorias!$A$2:$C$54,2,FALSE))</f>
        <v>Saída</v>
      </c>
      <c r="E82" t="str">
        <f>IF(C82="","",VLOOKUP(C82,Categorias!$A$2:$C$54,3,FALSE))</f>
        <v>Despesas Financeiras</v>
      </c>
      <c r="F82" s="37">
        <v>-7.0000000000000007E-2</v>
      </c>
      <c r="G82" t="s">
        <v>153</v>
      </c>
      <c r="H82" s="3">
        <f t="shared" si="2"/>
        <v>46174</v>
      </c>
    </row>
    <row r="83" spans="1:8" x14ac:dyDescent="0.3">
      <c r="A83" s="2" t="s">
        <v>155</v>
      </c>
      <c r="B83" s="2" t="s">
        <v>215</v>
      </c>
      <c r="C83" t="s">
        <v>3</v>
      </c>
      <c r="D83" t="str">
        <f>IF(C83="","",VLOOKUP(C83,Categorias!$A$2:$C$54,2,FALSE))</f>
        <v>Entrada</v>
      </c>
      <c r="E83" t="str">
        <f>IF(C83="","",VLOOKUP(C83,Categorias!$A$2:$C$54,3,FALSE))</f>
        <v>Receita Bruta</v>
      </c>
      <c r="F83" s="37">
        <v>14.99</v>
      </c>
      <c r="G83" t="s">
        <v>153</v>
      </c>
      <c r="H83" s="3">
        <f t="shared" si="2"/>
        <v>46174</v>
      </c>
    </row>
    <row r="84" spans="1:8" x14ac:dyDescent="0.3">
      <c r="A84" s="2" t="s">
        <v>155</v>
      </c>
      <c r="B84" s="2" t="s">
        <v>180</v>
      </c>
      <c r="C84" t="s">
        <v>22</v>
      </c>
      <c r="D84" t="str">
        <f>IF(C84="","",VLOOKUP(C84,Categorias!$A$2:$C$54,2,FALSE))</f>
        <v>Saída</v>
      </c>
      <c r="E84" t="str">
        <f>IF(C84="","",VLOOKUP(C84,Categorias!$A$2:$C$54,3,FALSE))</f>
        <v>Despesas Financeiras</v>
      </c>
      <c r="F84" s="37">
        <v>-0.12</v>
      </c>
      <c r="G84" t="s">
        <v>153</v>
      </c>
      <c r="H84" s="3">
        <f t="shared" si="2"/>
        <v>46174</v>
      </c>
    </row>
    <row r="85" spans="1:8" x14ac:dyDescent="0.3">
      <c r="A85" s="2" t="s">
        <v>155</v>
      </c>
      <c r="B85" s="2" t="s">
        <v>216</v>
      </c>
      <c r="C85" t="s">
        <v>3</v>
      </c>
      <c r="D85" t="str">
        <f>IF(C85="","",VLOOKUP(C85,Categorias!$A$2:$C$54,2,FALSE))</f>
        <v>Entrada</v>
      </c>
      <c r="E85" t="str">
        <f>IF(C85="","",VLOOKUP(C85,Categorias!$A$2:$C$54,3,FALSE))</f>
        <v>Receita Bruta</v>
      </c>
      <c r="F85" s="37">
        <v>24.9</v>
      </c>
      <c r="G85" t="s">
        <v>153</v>
      </c>
      <c r="H85" s="3">
        <f t="shared" si="2"/>
        <v>46174</v>
      </c>
    </row>
    <row r="86" spans="1:8" x14ac:dyDescent="0.3">
      <c r="A86" s="2" t="s">
        <v>155</v>
      </c>
      <c r="B86" s="2" t="s">
        <v>180</v>
      </c>
      <c r="C86" t="s">
        <v>22</v>
      </c>
      <c r="D86" t="str">
        <f>IF(C86="","",VLOOKUP(C86,Categorias!$A$2:$C$54,2,FALSE))</f>
        <v>Saída</v>
      </c>
      <c r="E86" t="str">
        <f>IF(C86="","",VLOOKUP(C86,Categorias!$A$2:$C$54,3,FALSE))</f>
        <v>Despesas Financeiras</v>
      </c>
      <c r="F86" s="37">
        <v>-0.06</v>
      </c>
      <c r="G86" t="s">
        <v>153</v>
      </c>
      <c r="H86" s="3">
        <f t="shared" si="2"/>
        <v>46174</v>
      </c>
    </row>
    <row r="87" spans="1:8" x14ac:dyDescent="0.3">
      <c r="A87" s="2" t="s">
        <v>155</v>
      </c>
      <c r="B87" s="2" t="s">
        <v>217</v>
      </c>
      <c r="C87" t="s">
        <v>3</v>
      </c>
      <c r="D87" t="str">
        <f>IF(C87="","",VLOOKUP(C87,Categorias!$A$2:$C$54,2,FALSE))</f>
        <v>Entrada</v>
      </c>
      <c r="E87" t="str">
        <f>IF(C87="","",VLOOKUP(C87,Categorias!$A$2:$C$54,3,FALSE))</f>
        <v>Receita Bruta</v>
      </c>
      <c r="F87" s="37">
        <v>13.68</v>
      </c>
      <c r="G87" t="s">
        <v>153</v>
      </c>
      <c r="H87" s="3">
        <f t="shared" si="2"/>
        <v>46174</v>
      </c>
    </row>
    <row r="88" spans="1:8" x14ac:dyDescent="0.3">
      <c r="A88" s="2" t="s">
        <v>155</v>
      </c>
      <c r="B88" s="2" t="s">
        <v>180</v>
      </c>
      <c r="C88" t="s">
        <v>22</v>
      </c>
      <c r="D88" t="str">
        <f>IF(C88="","",VLOOKUP(C88,Categorias!$A$2:$C$54,2,FALSE))</f>
        <v>Saída</v>
      </c>
      <c r="E88" t="str">
        <f>IF(C88="","",VLOOKUP(C88,Categorias!$A$2:$C$54,3,FALSE))</f>
        <v>Despesas Financeiras</v>
      </c>
      <c r="F88" s="37">
        <v>-0.06</v>
      </c>
      <c r="G88" t="s">
        <v>153</v>
      </c>
      <c r="H88" s="3">
        <f t="shared" si="2"/>
        <v>46174</v>
      </c>
    </row>
    <row r="89" spans="1:8" x14ac:dyDescent="0.3">
      <c r="A89" s="2" t="s">
        <v>155</v>
      </c>
      <c r="B89" s="2" t="s">
        <v>210</v>
      </c>
      <c r="C89" t="s">
        <v>3</v>
      </c>
      <c r="D89" t="str">
        <f>IF(C89="","",VLOOKUP(C89,Categorias!$A$2:$C$54,2,FALSE))</f>
        <v>Entrada</v>
      </c>
      <c r="E89" t="str">
        <f>IF(C89="","",VLOOKUP(C89,Categorias!$A$2:$C$54,3,FALSE))</f>
        <v>Receita Bruta</v>
      </c>
      <c r="F89" s="37">
        <v>13.99</v>
      </c>
      <c r="G89" t="s">
        <v>153</v>
      </c>
      <c r="H89" s="3">
        <f t="shared" si="2"/>
        <v>46174</v>
      </c>
    </row>
    <row r="90" spans="1:8" x14ac:dyDescent="0.3">
      <c r="A90" s="2" t="s">
        <v>155</v>
      </c>
      <c r="B90" s="2" t="s">
        <v>180</v>
      </c>
      <c r="C90" t="s">
        <v>22</v>
      </c>
      <c r="D90" t="str">
        <f>IF(C90="","",VLOOKUP(C90,Categorias!$A$2:$C$54,2,FALSE))</f>
        <v>Saída</v>
      </c>
      <c r="E90" t="str">
        <f>IF(C90="","",VLOOKUP(C90,Categorias!$A$2:$C$54,3,FALSE))</f>
        <v>Despesas Financeiras</v>
      </c>
      <c r="F90" s="37">
        <v>-0.05</v>
      </c>
      <c r="G90" t="s">
        <v>153</v>
      </c>
      <c r="H90" s="3">
        <f t="shared" si="2"/>
        <v>46174</v>
      </c>
    </row>
    <row r="91" spans="1:8" x14ac:dyDescent="0.3">
      <c r="A91" s="2" t="s">
        <v>155</v>
      </c>
      <c r="B91" s="2" t="s">
        <v>218</v>
      </c>
      <c r="C91" t="s">
        <v>3</v>
      </c>
      <c r="D91" t="str">
        <f>IF(C91="","",VLOOKUP(C91,Categorias!$A$2:$C$54,2,FALSE))</f>
        <v>Entrada</v>
      </c>
      <c r="E91" t="str">
        <f>IF(C91="","",VLOOKUP(C91,Categorias!$A$2:$C$54,3,FALSE))</f>
        <v>Receita Bruta</v>
      </c>
      <c r="F91" s="37">
        <v>10.99</v>
      </c>
      <c r="G91" t="s">
        <v>153</v>
      </c>
      <c r="H91" s="3">
        <f t="shared" si="2"/>
        <v>46174</v>
      </c>
    </row>
    <row r="92" spans="1:8" x14ac:dyDescent="0.3">
      <c r="A92" s="2" t="s">
        <v>155</v>
      </c>
      <c r="B92" s="2" t="s">
        <v>180</v>
      </c>
      <c r="C92" t="s">
        <v>22</v>
      </c>
      <c r="D92" t="str">
        <f>IF(C92="","",VLOOKUP(C92,Categorias!$A$2:$C$54,2,FALSE))</f>
        <v>Saída</v>
      </c>
      <c r="E92" t="str">
        <f>IF(C92="","",VLOOKUP(C92,Categorias!$A$2:$C$54,3,FALSE))</f>
        <v>Despesas Financeiras</v>
      </c>
      <c r="F92" s="37">
        <v>-0.1</v>
      </c>
      <c r="G92" t="s">
        <v>153</v>
      </c>
      <c r="H92" s="3">
        <f t="shared" si="2"/>
        <v>46174</v>
      </c>
    </row>
    <row r="93" spans="1:8" x14ac:dyDescent="0.3">
      <c r="A93" s="2" t="s">
        <v>155</v>
      </c>
      <c r="B93" s="2" t="s">
        <v>214</v>
      </c>
      <c r="C93" t="s">
        <v>3</v>
      </c>
      <c r="D93" t="str">
        <f>IF(C93="","",VLOOKUP(C93,Categorias!$A$2:$C$54,2,FALSE))</f>
        <v>Entrada</v>
      </c>
      <c r="E93" t="str">
        <f>IF(C93="","",VLOOKUP(C93,Categorias!$A$2:$C$54,3,FALSE))</f>
        <v>Receita Bruta</v>
      </c>
      <c r="F93" s="37">
        <v>21.56</v>
      </c>
      <c r="G93" t="s">
        <v>153</v>
      </c>
      <c r="H93" s="3">
        <f t="shared" si="2"/>
        <v>46174</v>
      </c>
    </row>
    <row r="94" spans="1:8" x14ac:dyDescent="0.3">
      <c r="A94" s="2" t="s">
        <v>156</v>
      </c>
      <c r="B94" s="2" t="s">
        <v>167</v>
      </c>
      <c r="C94" t="s">
        <v>15</v>
      </c>
      <c r="D94" t="str">
        <f>IF(C94="","",VLOOKUP(C94,Categorias!$A$2:$C$54,2,FALSE))</f>
        <v>Saída</v>
      </c>
      <c r="E94" t="str">
        <f>IF(C94="","",VLOOKUP(C94,Categorias!$A$2:$C$54,3,FALSE))</f>
        <v>Despesas Operacionais</v>
      </c>
      <c r="F94" s="37">
        <v>-583.84</v>
      </c>
      <c r="G94" t="s">
        <v>152</v>
      </c>
      <c r="H94" s="3">
        <f t="shared" si="2"/>
        <v>46174</v>
      </c>
    </row>
    <row r="95" spans="1:8" x14ac:dyDescent="0.3">
      <c r="A95" s="2" t="s">
        <v>156</v>
      </c>
      <c r="B95" s="2" t="s">
        <v>165</v>
      </c>
      <c r="C95" t="s">
        <v>3</v>
      </c>
      <c r="D95" t="str">
        <f>IF(C95="","",VLOOKUP(C95,Categorias!$A$2:$C$54,2,FALSE))</f>
        <v>Entrada</v>
      </c>
      <c r="E95" t="str">
        <f>IF(C95="","",VLOOKUP(C95,Categorias!$A$2:$C$54,3,FALSE))</f>
        <v>Receita Bruta</v>
      </c>
      <c r="F95" s="37">
        <v>123.08</v>
      </c>
      <c r="G95" t="s">
        <v>152</v>
      </c>
      <c r="H95" s="3">
        <f t="shared" si="2"/>
        <v>46174</v>
      </c>
    </row>
    <row r="96" spans="1:8" x14ac:dyDescent="0.3">
      <c r="A96" s="2" t="s">
        <v>156</v>
      </c>
      <c r="B96" s="2" t="s">
        <v>219</v>
      </c>
      <c r="C96" t="s">
        <v>108</v>
      </c>
      <c r="D96" t="str">
        <f>IF(C96="","",VLOOKUP(C96,Categorias!$A$2:$C$54,2,FALSE))</f>
        <v>Saída</v>
      </c>
      <c r="E96" t="str">
        <f>IF(C96="","",VLOOKUP(C96,Categorias!$A$2:$C$54,3,FALSE))</f>
        <v>CMV</v>
      </c>
      <c r="F96" s="37">
        <v>-463.5</v>
      </c>
      <c r="G96" t="s">
        <v>152</v>
      </c>
      <c r="H96" s="3">
        <f t="shared" si="2"/>
        <v>46174</v>
      </c>
    </row>
    <row r="97" spans="1:8" x14ac:dyDescent="0.3">
      <c r="A97" s="2" t="s">
        <v>156</v>
      </c>
      <c r="B97" s="2" t="s">
        <v>220</v>
      </c>
      <c r="C97" t="s">
        <v>3</v>
      </c>
      <c r="D97" t="str">
        <f>IF(C97="","",VLOOKUP(C97,Categorias!$A$2:$C$54,2,FALSE))</f>
        <v>Entrada</v>
      </c>
      <c r="E97" t="str">
        <f>IF(C97="","",VLOOKUP(C97,Categorias!$A$2:$C$54,3,FALSE))</f>
        <v>Receita Bruta</v>
      </c>
      <c r="F97" s="37">
        <v>171.52</v>
      </c>
      <c r="G97" t="s">
        <v>152</v>
      </c>
      <c r="H97" s="3">
        <f t="shared" ref="H97:H128" si="3">IF(A97="","",DATE(YEAR(A97),MONTH(A97),1))</f>
        <v>46174</v>
      </c>
    </row>
    <row r="98" spans="1:8" x14ac:dyDescent="0.3">
      <c r="A98" s="2" t="s">
        <v>156</v>
      </c>
      <c r="B98" s="2" t="s">
        <v>221</v>
      </c>
      <c r="C98" t="s">
        <v>3</v>
      </c>
      <c r="D98" t="str">
        <f>IF(C98="","",VLOOKUP(C98,Categorias!$A$2:$C$54,2,FALSE))</f>
        <v>Entrada</v>
      </c>
      <c r="E98" t="str">
        <f>IF(C98="","",VLOOKUP(C98,Categorias!$A$2:$C$54,3,FALSE))</f>
        <v>Receita Bruta</v>
      </c>
      <c r="F98" s="37">
        <v>653.83000000000004</v>
      </c>
      <c r="G98" t="s">
        <v>152</v>
      </c>
      <c r="H98" s="3">
        <f t="shared" si="3"/>
        <v>46174</v>
      </c>
    </row>
    <row r="99" spans="1:8" x14ac:dyDescent="0.3">
      <c r="A99" s="2" t="s">
        <v>156</v>
      </c>
      <c r="B99" s="2" t="s">
        <v>222</v>
      </c>
      <c r="C99" t="s">
        <v>3</v>
      </c>
      <c r="D99" t="str">
        <f>IF(C99="","",VLOOKUP(C99,Categorias!$A$2:$C$54,2,FALSE))</f>
        <v>Entrada</v>
      </c>
      <c r="E99" t="str">
        <f>IF(C99="","",VLOOKUP(C99,Categorias!$A$2:$C$54,3,FALSE))</f>
        <v>Receita Bruta</v>
      </c>
      <c r="F99" s="37">
        <v>63.6</v>
      </c>
      <c r="G99" t="s">
        <v>152</v>
      </c>
      <c r="H99" s="3">
        <f t="shared" si="3"/>
        <v>46174</v>
      </c>
    </row>
    <row r="100" spans="1:8" x14ac:dyDescent="0.3">
      <c r="A100" s="2" t="s">
        <v>156</v>
      </c>
      <c r="B100" s="2" t="s">
        <v>223</v>
      </c>
      <c r="C100" t="s">
        <v>3</v>
      </c>
      <c r="D100" t="str">
        <f>IF(C100="","",VLOOKUP(C100,Categorias!$A$2:$C$54,2,FALSE))</f>
        <v>Entrada</v>
      </c>
      <c r="E100" t="str">
        <f>IF(C100="","",VLOOKUP(C100,Categorias!$A$2:$C$54,3,FALSE))</f>
        <v>Receita Bruta</v>
      </c>
      <c r="F100" s="37">
        <v>119.56</v>
      </c>
      <c r="G100" t="s">
        <v>152</v>
      </c>
      <c r="H100" s="3">
        <f t="shared" si="3"/>
        <v>46174</v>
      </c>
    </row>
    <row r="101" spans="1:8" x14ac:dyDescent="0.3">
      <c r="A101" s="2" t="s">
        <v>156</v>
      </c>
      <c r="B101" s="2" t="s">
        <v>224</v>
      </c>
      <c r="C101" t="s">
        <v>3</v>
      </c>
      <c r="D101" t="str">
        <f>IF(C101="","",VLOOKUP(C101,Categorias!$A$2:$C$54,2,FALSE))</f>
        <v>Entrada</v>
      </c>
      <c r="E101" t="str">
        <f>IF(C101="","",VLOOKUP(C101,Categorias!$A$2:$C$54,3,FALSE))</f>
        <v>Receita Bruta</v>
      </c>
      <c r="F101" s="37">
        <v>399.92</v>
      </c>
      <c r="G101" t="s">
        <v>152</v>
      </c>
      <c r="H101" s="3">
        <f t="shared" si="3"/>
        <v>46174</v>
      </c>
    </row>
    <row r="102" spans="1:8" x14ac:dyDescent="0.3">
      <c r="A102" s="2" t="s">
        <v>156</v>
      </c>
      <c r="B102" s="2" t="s">
        <v>180</v>
      </c>
      <c r="C102" t="s">
        <v>22</v>
      </c>
      <c r="D102" t="str">
        <f>IF(C102="","",VLOOKUP(C102,Categorias!$A$2:$C$54,2,FALSE))</f>
        <v>Saída</v>
      </c>
      <c r="E102" t="str">
        <f>IF(C102="","",VLOOKUP(C102,Categorias!$A$2:$C$54,3,FALSE))</f>
        <v>Despesas Financeiras</v>
      </c>
      <c r="F102" s="37">
        <v>-0.06</v>
      </c>
      <c r="G102" t="s">
        <v>153</v>
      </c>
      <c r="H102" s="3">
        <f t="shared" si="3"/>
        <v>46174</v>
      </c>
    </row>
    <row r="103" spans="1:8" x14ac:dyDescent="0.3">
      <c r="A103" s="2" t="s">
        <v>156</v>
      </c>
      <c r="B103" s="2" t="s">
        <v>225</v>
      </c>
      <c r="C103" t="s">
        <v>3</v>
      </c>
      <c r="D103" t="str">
        <f>IF(C103="","",VLOOKUP(C103,Categorias!$A$2:$C$54,2,FALSE))</f>
        <v>Entrada</v>
      </c>
      <c r="E103" t="str">
        <f>IF(C103="","",VLOOKUP(C103,Categorias!$A$2:$C$54,3,FALSE))</f>
        <v>Receita Bruta</v>
      </c>
      <c r="F103" s="37">
        <v>12.99</v>
      </c>
      <c r="G103" t="s">
        <v>153</v>
      </c>
      <c r="H103" s="3">
        <f t="shared" si="3"/>
        <v>46174</v>
      </c>
    </row>
    <row r="104" spans="1:8" x14ac:dyDescent="0.3">
      <c r="A104" s="2" t="s">
        <v>156</v>
      </c>
      <c r="B104" s="2" t="s">
        <v>180</v>
      </c>
      <c r="C104" t="s">
        <v>22</v>
      </c>
      <c r="D104" t="str">
        <f>IF(C104="","",VLOOKUP(C104,Categorias!$A$2:$C$54,2,FALSE))</f>
        <v>Saída</v>
      </c>
      <c r="E104" t="str">
        <f>IF(C104="","",VLOOKUP(C104,Categorias!$A$2:$C$54,3,FALSE))</f>
        <v>Despesas Financeiras</v>
      </c>
      <c r="F104" s="37">
        <v>-0.06</v>
      </c>
      <c r="G104" t="s">
        <v>153</v>
      </c>
      <c r="H104" s="3">
        <f t="shared" si="3"/>
        <v>46174</v>
      </c>
    </row>
    <row r="105" spans="1:8" x14ac:dyDescent="0.3">
      <c r="A105" s="2" t="s">
        <v>156</v>
      </c>
      <c r="B105" s="2" t="s">
        <v>191</v>
      </c>
      <c r="C105" t="s">
        <v>3</v>
      </c>
      <c r="D105" t="str">
        <f>IF(C105="","",VLOOKUP(C105,Categorias!$A$2:$C$54,2,FALSE))</f>
        <v>Entrada</v>
      </c>
      <c r="E105" t="str">
        <f>IF(C105="","",VLOOKUP(C105,Categorias!$A$2:$C$54,3,FALSE))</f>
        <v>Receita Bruta</v>
      </c>
      <c r="F105" s="37">
        <v>12.99</v>
      </c>
      <c r="G105" t="s">
        <v>153</v>
      </c>
      <c r="H105" s="3">
        <f t="shared" si="3"/>
        <v>46174</v>
      </c>
    </row>
    <row r="106" spans="1:8" x14ac:dyDescent="0.3">
      <c r="A106" s="2" t="s">
        <v>156</v>
      </c>
      <c r="B106" s="2" t="s">
        <v>180</v>
      </c>
      <c r="C106" t="s">
        <v>22</v>
      </c>
      <c r="D106" t="str">
        <f>IF(C106="","",VLOOKUP(C106,Categorias!$A$2:$C$54,2,FALSE))</f>
        <v>Saída</v>
      </c>
      <c r="E106" t="str">
        <f>IF(C106="","",VLOOKUP(C106,Categorias!$A$2:$C$54,3,FALSE))</f>
        <v>Despesas Financeiras</v>
      </c>
      <c r="F106" s="37">
        <v>-0.25</v>
      </c>
      <c r="G106" t="s">
        <v>153</v>
      </c>
      <c r="H106" s="3">
        <f t="shared" si="3"/>
        <v>46174</v>
      </c>
    </row>
    <row r="107" spans="1:8" x14ac:dyDescent="0.3">
      <c r="A107" s="2" t="s">
        <v>156</v>
      </c>
      <c r="B107" s="2" t="s">
        <v>226</v>
      </c>
      <c r="C107" t="s">
        <v>3</v>
      </c>
      <c r="D107" t="str">
        <f>IF(C107="","",VLOOKUP(C107,Categorias!$A$2:$C$54,2,FALSE))</f>
        <v>Entrada</v>
      </c>
      <c r="E107" t="str">
        <f>IF(C107="","",VLOOKUP(C107,Categorias!$A$2:$C$54,3,FALSE))</f>
        <v>Receita Bruta</v>
      </c>
      <c r="F107" s="37">
        <v>50.11</v>
      </c>
      <c r="G107" t="s">
        <v>153</v>
      </c>
      <c r="H107" s="3">
        <f t="shared" si="3"/>
        <v>46174</v>
      </c>
    </row>
    <row r="108" spans="1:8" x14ac:dyDescent="0.3">
      <c r="A108" s="2" t="s">
        <v>156</v>
      </c>
      <c r="B108" s="2" t="s">
        <v>180</v>
      </c>
      <c r="C108" t="s">
        <v>22</v>
      </c>
      <c r="D108" t="str">
        <f>IF(C108="","",VLOOKUP(C108,Categorias!$A$2:$C$54,2,FALSE))</f>
        <v>Saída</v>
      </c>
      <c r="E108" t="str">
        <f>IF(C108="","",VLOOKUP(C108,Categorias!$A$2:$C$54,3,FALSE))</f>
        <v>Despesas Financeiras</v>
      </c>
      <c r="F108" s="37">
        <v>-0.02</v>
      </c>
      <c r="G108" t="s">
        <v>153</v>
      </c>
      <c r="H108" s="3">
        <f t="shared" si="3"/>
        <v>46174</v>
      </c>
    </row>
    <row r="109" spans="1:8" x14ac:dyDescent="0.3">
      <c r="A109" s="2" t="s">
        <v>156</v>
      </c>
      <c r="B109" s="2" t="s">
        <v>227</v>
      </c>
      <c r="C109" t="s">
        <v>3</v>
      </c>
      <c r="D109" t="str">
        <f>IF(C109="","",VLOOKUP(C109,Categorias!$A$2:$C$54,2,FALSE))</f>
        <v>Entrada</v>
      </c>
      <c r="E109" t="str">
        <f>IF(C109="","",VLOOKUP(C109,Categorias!$A$2:$C$54,3,FALSE))</f>
        <v>Receita Bruta</v>
      </c>
      <c r="F109" s="37">
        <v>4.49</v>
      </c>
      <c r="G109" t="s">
        <v>153</v>
      </c>
      <c r="H109" s="3">
        <f t="shared" si="3"/>
        <v>46174</v>
      </c>
    </row>
    <row r="110" spans="1:8" x14ac:dyDescent="0.3">
      <c r="A110" s="2" t="s">
        <v>156</v>
      </c>
      <c r="B110" s="2" t="s">
        <v>180</v>
      </c>
      <c r="C110" t="s">
        <v>22</v>
      </c>
      <c r="D110" t="str">
        <f>IF(C110="","",VLOOKUP(C110,Categorias!$A$2:$C$54,2,FALSE))</f>
        <v>Saída</v>
      </c>
      <c r="E110" t="str">
        <f>IF(C110="","",VLOOKUP(C110,Categorias!$A$2:$C$54,3,FALSE))</f>
        <v>Despesas Financeiras</v>
      </c>
      <c r="F110" s="37">
        <v>-7.0000000000000007E-2</v>
      </c>
      <c r="G110" t="s">
        <v>153</v>
      </c>
      <c r="H110" s="3">
        <f t="shared" si="3"/>
        <v>46174</v>
      </c>
    </row>
    <row r="111" spans="1:8" x14ac:dyDescent="0.3">
      <c r="A111" s="2" t="s">
        <v>156</v>
      </c>
      <c r="B111" s="2" t="s">
        <v>228</v>
      </c>
      <c r="C111" t="s">
        <v>3</v>
      </c>
      <c r="D111" t="str">
        <f>IF(C111="","",VLOOKUP(C111,Categorias!$A$2:$C$54,2,FALSE))</f>
        <v>Entrada</v>
      </c>
      <c r="E111" t="str">
        <f>IF(C111="","",VLOOKUP(C111,Categorias!$A$2:$C$54,3,FALSE))</f>
        <v>Receita Bruta</v>
      </c>
      <c r="F111" s="37">
        <v>14.99</v>
      </c>
      <c r="G111" t="s">
        <v>153</v>
      </c>
      <c r="H111" s="3">
        <f t="shared" si="3"/>
        <v>46174</v>
      </c>
    </row>
    <row r="112" spans="1:8" x14ac:dyDescent="0.3">
      <c r="A112" s="2" t="s">
        <v>156</v>
      </c>
      <c r="B112" s="2" t="s">
        <v>180</v>
      </c>
      <c r="C112" t="s">
        <v>22</v>
      </c>
      <c r="D112" t="str">
        <f>IF(C112="","",VLOOKUP(C112,Categorias!$A$2:$C$54,2,FALSE))</f>
        <v>Saída</v>
      </c>
      <c r="E112" t="str">
        <f>IF(C112="","",VLOOKUP(C112,Categorias!$A$2:$C$54,3,FALSE))</f>
        <v>Despesas Financeiras</v>
      </c>
      <c r="F112" s="37">
        <v>-0.02</v>
      </c>
      <c r="G112" t="s">
        <v>153</v>
      </c>
      <c r="H112" s="3">
        <f t="shared" si="3"/>
        <v>46174</v>
      </c>
    </row>
    <row r="113" spans="1:8" x14ac:dyDescent="0.3">
      <c r="A113" s="2" t="s">
        <v>156</v>
      </c>
      <c r="B113" s="2" t="s">
        <v>229</v>
      </c>
      <c r="C113" t="s">
        <v>3</v>
      </c>
      <c r="D113" t="str">
        <f>IF(C113="","",VLOOKUP(C113,Categorias!$A$2:$C$54,2,FALSE))</f>
        <v>Entrada</v>
      </c>
      <c r="E113" t="str">
        <f>IF(C113="","",VLOOKUP(C113,Categorias!$A$2:$C$54,3,FALSE))</f>
        <v>Receita Bruta</v>
      </c>
      <c r="F113" s="37">
        <v>4.49</v>
      </c>
      <c r="G113" t="s">
        <v>153</v>
      </c>
      <c r="H113" s="3">
        <f t="shared" si="3"/>
        <v>46174</v>
      </c>
    </row>
    <row r="114" spans="1:8" x14ac:dyDescent="0.3">
      <c r="A114" s="2" t="s">
        <v>156</v>
      </c>
      <c r="B114" s="2" t="s">
        <v>180</v>
      </c>
      <c r="C114" t="s">
        <v>22</v>
      </c>
      <c r="D114" t="str">
        <f>IF(C114="","",VLOOKUP(C114,Categorias!$A$2:$C$54,2,FALSE))</f>
        <v>Saída</v>
      </c>
      <c r="E114" t="str">
        <f>IF(C114="","",VLOOKUP(C114,Categorias!$A$2:$C$54,3,FALSE))</f>
        <v>Despesas Financeiras</v>
      </c>
      <c r="F114" s="37">
        <v>-0.02</v>
      </c>
      <c r="G114" t="s">
        <v>153</v>
      </c>
      <c r="H114" s="3">
        <f t="shared" si="3"/>
        <v>46174</v>
      </c>
    </row>
    <row r="115" spans="1:8" x14ac:dyDescent="0.3">
      <c r="A115" s="2" t="s">
        <v>156</v>
      </c>
      <c r="B115" s="2" t="s">
        <v>229</v>
      </c>
      <c r="C115" t="s">
        <v>3</v>
      </c>
      <c r="D115" t="str">
        <f>IF(C115="","",VLOOKUP(C115,Categorias!$A$2:$C$54,2,FALSE))</f>
        <v>Entrada</v>
      </c>
      <c r="E115" t="str">
        <f>IF(C115="","",VLOOKUP(C115,Categorias!$A$2:$C$54,3,FALSE))</f>
        <v>Receita Bruta</v>
      </c>
      <c r="F115" s="37">
        <v>5.89</v>
      </c>
      <c r="G115" t="s">
        <v>153</v>
      </c>
      <c r="H115" s="3">
        <f t="shared" si="3"/>
        <v>46174</v>
      </c>
    </row>
    <row r="116" spans="1:8" x14ac:dyDescent="0.3">
      <c r="A116" s="2" t="s">
        <v>156</v>
      </c>
      <c r="B116" s="2" t="s">
        <v>180</v>
      </c>
      <c r="C116" t="s">
        <v>22</v>
      </c>
      <c r="D116" t="str">
        <f>IF(C116="","",VLOOKUP(C116,Categorias!$A$2:$C$54,2,FALSE))</f>
        <v>Saída</v>
      </c>
      <c r="E116" t="str">
        <f>IF(C116="","",VLOOKUP(C116,Categorias!$A$2:$C$54,3,FALSE))</f>
        <v>Despesas Financeiras</v>
      </c>
      <c r="F116" s="37">
        <v>-0.11</v>
      </c>
      <c r="G116" t="s">
        <v>153</v>
      </c>
      <c r="H116" s="3">
        <f t="shared" si="3"/>
        <v>46174</v>
      </c>
    </row>
    <row r="117" spans="1:8" x14ac:dyDescent="0.3">
      <c r="A117" s="2" t="s">
        <v>156</v>
      </c>
      <c r="B117" s="2" t="s">
        <v>230</v>
      </c>
      <c r="C117" t="s">
        <v>3</v>
      </c>
      <c r="D117" t="str">
        <f>IF(C117="","",VLOOKUP(C117,Categorias!$A$2:$C$54,2,FALSE))</f>
        <v>Entrada</v>
      </c>
      <c r="E117" t="str">
        <f>IF(C117="","",VLOOKUP(C117,Categorias!$A$2:$C$54,3,FALSE))</f>
        <v>Receita Bruta</v>
      </c>
      <c r="F117" s="37">
        <v>23.98</v>
      </c>
      <c r="G117" t="s">
        <v>153</v>
      </c>
      <c r="H117" s="3">
        <f t="shared" si="3"/>
        <v>46174</v>
      </c>
    </row>
    <row r="118" spans="1:8" x14ac:dyDescent="0.3">
      <c r="A118" s="2" t="s">
        <v>156</v>
      </c>
      <c r="B118" s="2" t="s">
        <v>180</v>
      </c>
      <c r="C118" t="s">
        <v>22</v>
      </c>
      <c r="D118" t="str">
        <f>IF(C118="","",VLOOKUP(C118,Categorias!$A$2:$C$54,2,FALSE))</f>
        <v>Saída</v>
      </c>
      <c r="E118" t="str">
        <f>IF(C118="","",VLOOKUP(C118,Categorias!$A$2:$C$54,3,FALSE))</f>
        <v>Despesas Financeiras</v>
      </c>
      <c r="F118" s="37">
        <v>-0.04</v>
      </c>
      <c r="G118" t="s">
        <v>153</v>
      </c>
      <c r="H118" s="3">
        <f t="shared" si="3"/>
        <v>46174</v>
      </c>
    </row>
    <row r="119" spans="1:8" x14ac:dyDescent="0.3">
      <c r="A119" s="2" t="s">
        <v>156</v>
      </c>
      <c r="B119" s="2" t="s">
        <v>231</v>
      </c>
      <c r="C119" t="s">
        <v>3</v>
      </c>
      <c r="D119" t="str">
        <f>IF(C119="","",VLOOKUP(C119,Categorias!$A$2:$C$54,2,FALSE))</f>
        <v>Entrada</v>
      </c>
      <c r="E119" t="str">
        <f>IF(C119="","",VLOOKUP(C119,Categorias!$A$2:$C$54,3,FALSE))</f>
        <v>Receita Bruta</v>
      </c>
      <c r="F119" s="37">
        <v>9.99</v>
      </c>
      <c r="G119" t="s">
        <v>153</v>
      </c>
      <c r="H119" s="3">
        <f t="shared" si="3"/>
        <v>46174</v>
      </c>
    </row>
    <row r="120" spans="1:8" x14ac:dyDescent="0.3">
      <c r="A120" s="2" t="s">
        <v>156</v>
      </c>
      <c r="B120" s="2" t="s">
        <v>180</v>
      </c>
      <c r="C120" t="s">
        <v>22</v>
      </c>
      <c r="D120" t="str">
        <f>IF(C120="","",VLOOKUP(C120,Categorias!$A$2:$C$54,2,FALSE))</f>
        <v>Saída</v>
      </c>
      <c r="E120" t="str">
        <f>IF(C120="","",VLOOKUP(C120,Categorias!$A$2:$C$54,3,FALSE))</f>
        <v>Despesas Financeiras</v>
      </c>
      <c r="F120" s="37">
        <v>-0.1</v>
      </c>
      <c r="G120" t="s">
        <v>153</v>
      </c>
      <c r="H120" s="3">
        <f t="shared" si="3"/>
        <v>46174</v>
      </c>
    </row>
    <row r="121" spans="1:8" x14ac:dyDescent="0.3">
      <c r="A121" s="2" t="s">
        <v>156</v>
      </c>
      <c r="B121" s="2" t="s">
        <v>214</v>
      </c>
      <c r="C121" t="s">
        <v>3</v>
      </c>
      <c r="D121" t="str">
        <f>IF(C121="","",VLOOKUP(C121,Categorias!$A$2:$C$54,2,FALSE))</f>
        <v>Entrada</v>
      </c>
      <c r="E121" t="str">
        <f>IF(C121="","",VLOOKUP(C121,Categorias!$A$2:$C$54,3,FALSE))</f>
        <v>Receita Bruta</v>
      </c>
      <c r="F121" s="37">
        <v>21.56</v>
      </c>
      <c r="G121" t="s">
        <v>153</v>
      </c>
      <c r="H121" s="3">
        <f t="shared" si="3"/>
        <v>46174</v>
      </c>
    </row>
    <row r="122" spans="1:8" x14ac:dyDescent="0.3">
      <c r="A122" s="2" t="s">
        <v>156</v>
      </c>
      <c r="B122" s="2" t="s">
        <v>180</v>
      </c>
      <c r="C122" t="s">
        <v>22</v>
      </c>
      <c r="D122" t="str">
        <f>IF(C122="","",VLOOKUP(C122,Categorias!$A$2:$C$54,2,FALSE))</f>
        <v>Saída</v>
      </c>
      <c r="E122" t="str">
        <f>IF(C122="","",VLOOKUP(C122,Categorias!$A$2:$C$54,3,FALSE))</f>
        <v>Despesas Financeiras</v>
      </c>
      <c r="F122" s="37">
        <v>-0.25</v>
      </c>
      <c r="G122" t="s">
        <v>153</v>
      </c>
      <c r="H122" s="3">
        <f t="shared" si="3"/>
        <v>46174</v>
      </c>
    </row>
    <row r="123" spans="1:8" x14ac:dyDescent="0.3">
      <c r="A123" s="2" t="s">
        <v>156</v>
      </c>
      <c r="B123" s="2" t="s">
        <v>232</v>
      </c>
      <c r="C123" t="s">
        <v>3</v>
      </c>
      <c r="D123" t="str">
        <f>IF(C123="","",VLOOKUP(C123,Categorias!$A$2:$C$54,2,FALSE))</f>
        <v>Entrada</v>
      </c>
      <c r="E123" t="str">
        <f>IF(C123="","",VLOOKUP(C123,Categorias!$A$2:$C$54,3,FALSE))</f>
        <v>Receita Bruta</v>
      </c>
      <c r="F123" s="37">
        <v>50.47</v>
      </c>
      <c r="G123" t="s">
        <v>153</v>
      </c>
      <c r="H123" s="3">
        <f t="shared" si="3"/>
        <v>46174</v>
      </c>
    </row>
    <row r="124" spans="1:8" x14ac:dyDescent="0.3">
      <c r="A124" s="2" t="s">
        <v>156</v>
      </c>
      <c r="B124" s="2" t="s">
        <v>180</v>
      </c>
      <c r="C124" t="s">
        <v>22</v>
      </c>
      <c r="D124" t="str">
        <f>IF(C124="","",VLOOKUP(C124,Categorias!$A$2:$C$54,2,FALSE))</f>
        <v>Saída</v>
      </c>
      <c r="E124" t="str">
        <f>IF(C124="","",VLOOKUP(C124,Categorias!$A$2:$C$54,3,FALSE))</f>
        <v>Despesas Financeiras</v>
      </c>
      <c r="F124" s="37">
        <v>-0.02</v>
      </c>
      <c r="G124" t="s">
        <v>153</v>
      </c>
      <c r="H124" s="3">
        <f t="shared" si="3"/>
        <v>46174</v>
      </c>
    </row>
    <row r="125" spans="1:8" x14ac:dyDescent="0.3">
      <c r="A125" s="2" t="s">
        <v>156</v>
      </c>
      <c r="B125" s="2" t="s">
        <v>233</v>
      </c>
      <c r="C125" t="s">
        <v>3</v>
      </c>
      <c r="D125" t="str">
        <f>IF(C125="","",VLOOKUP(C125,Categorias!$A$2:$C$54,2,FALSE))</f>
        <v>Entrada</v>
      </c>
      <c r="E125" t="str">
        <f>IF(C125="","",VLOOKUP(C125,Categorias!$A$2:$C$54,3,FALSE))</f>
        <v>Receita Bruta</v>
      </c>
      <c r="F125" s="37">
        <v>5.89</v>
      </c>
      <c r="G125" t="s">
        <v>153</v>
      </c>
      <c r="H125" s="3">
        <f t="shared" si="3"/>
        <v>46174</v>
      </c>
    </row>
    <row r="126" spans="1:8" x14ac:dyDescent="0.3">
      <c r="A126" s="2" t="s">
        <v>157</v>
      </c>
      <c r="B126" s="2" t="s">
        <v>180</v>
      </c>
      <c r="C126" t="s">
        <v>22</v>
      </c>
      <c r="D126" t="str">
        <f>IF(C126="","",VLOOKUP(C126,Categorias!$A$2:$C$54,2,FALSE))</f>
        <v>Saída</v>
      </c>
      <c r="E126" t="str">
        <f>IF(C126="","",VLOOKUP(C126,Categorias!$A$2:$C$54,3,FALSE))</f>
        <v>Despesas Financeiras</v>
      </c>
      <c r="F126" s="37">
        <v>-0.02</v>
      </c>
      <c r="G126" t="s">
        <v>153</v>
      </c>
      <c r="H126" s="3">
        <f t="shared" si="3"/>
        <v>46174</v>
      </c>
    </row>
    <row r="127" spans="1:8" x14ac:dyDescent="0.3">
      <c r="A127" s="2" t="s">
        <v>157</v>
      </c>
      <c r="B127" s="2" t="s">
        <v>234</v>
      </c>
      <c r="C127" t="s">
        <v>3</v>
      </c>
      <c r="D127" t="str">
        <f>IF(C127="","",VLOOKUP(C127,Categorias!$A$2:$C$54,2,FALSE))</f>
        <v>Entrada</v>
      </c>
      <c r="E127" t="str">
        <f>IF(C127="","",VLOOKUP(C127,Categorias!$A$2:$C$54,3,FALSE))</f>
        <v>Receita Bruta</v>
      </c>
      <c r="F127" s="37">
        <v>4.99</v>
      </c>
      <c r="G127" t="s">
        <v>153</v>
      </c>
      <c r="H127" s="3">
        <f t="shared" si="3"/>
        <v>46174</v>
      </c>
    </row>
    <row r="128" spans="1:8" x14ac:dyDescent="0.3">
      <c r="A128" s="2" t="s">
        <v>157</v>
      </c>
      <c r="B128" s="2" t="s">
        <v>180</v>
      </c>
      <c r="C128" t="s">
        <v>22</v>
      </c>
      <c r="D128" t="str">
        <f>IF(C128="","",VLOOKUP(C128,Categorias!$A$2:$C$54,2,FALSE))</f>
        <v>Saída</v>
      </c>
      <c r="E128" t="str">
        <f>IF(C128="","",VLOOKUP(C128,Categorias!$A$2:$C$54,3,FALSE))</f>
        <v>Despesas Financeiras</v>
      </c>
      <c r="F128" s="37">
        <v>-0.16</v>
      </c>
      <c r="G128" t="s">
        <v>153</v>
      </c>
      <c r="H128" s="3">
        <f t="shared" si="3"/>
        <v>46174</v>
      </c>
    </row>
    <row r="129" spans="1:8" x14ac:dyDescent="0.3">
      <c r="A129" s="2" t="s">
        <v>157</v>
      </c>
      <c r="B129" s="2" t="s">
        <v>235</v>
      </c>
      <c r="C129" t="s">
        <v>3</v>
      </c>
      <c r="D129" t="str">
        <f>IF(C129="","",VLOOKUP(C129,Categorias!$A$2:$C$54,2,FALSE))</f>
        <v>Entrada</v>
      </c>
      <c r="E129" t="str">
        <f>IF(C129="","",VLOOKUP(C129,Categorias!$A$2:$C$54,3,FALSE))</f>
        <v>Receita Bruta</v>
      </c>
      <c r="F129" s="37">
        <v>33.06</v>
      </c>
      <c r="G129" t="s">
        <v>153</v>
      </c>
      <c r="H129" s="3">
        <f t="shared" ref="H129:H160" si="4">IF(A129="","",DATE(YEAR(A129),MONTH(A129),1))</f>
        <v>46174</v>
      </c>
    </row>
    <row r="130" spans="1:8" x14ac:dyDescent="0.3">
      <c r="A130" s="2" t="s">
        <v>157</v>
      </c>
      <c r="B130" s="2" t="s">
        <v>180</v>
      </c>
      <c r="C130" t="s">
        <v>22</v>
      </c>
      <c r="D130" t="str">
        <f>IF(C130="","",VLOOKUP(C130,Categorias!$A$2:$C$54,2,FALSE))</f>
        <v>Saída</v>
      </c>
      <c r="E130" t="str">
        <f>IF(C130="","",VLOOKUP(C130,Categorias!$A$2:$C$54,3,FALSE))</f>
        <v>Despesas Financeiras</v>
      </c>
      <c r="F130" s="37">
        <v>-7.0000000000000007E-2</v>
      </c>
      <c r="G130" t="s">
        <v>153</v>
      </c>
      <c r="H130" s="3">
        <f t="shared" si="4"/>
        <v>46174</v>
      </c>
    </row>
    <row r="131" spans="1:8" x14ac:dyDescent="0.3">
      <c r="A131" s="2" t="s">
        <v>157</v>
      </c>
      <c r="B131" s="2" t="s">
        <v>183</v>
      </c>
      <c r="C131" t="s">
        <v>3</v>
      </c>
      <c r="D131" t="str">
        <f>IF(C131="","",VLOOKUP(C131,Categorias!$A$2:$C$54,2,FALSE))</f>
        <v>Entrada</v>
      </c>
      <c r="E131" t="str">
        <f>IF(C131="","",VLOOKUP(C131,Categorias!$A$2:$C$54,3,FALSE))</f>
        <v>Receita Bruta</v>
      </c>
      <c r="F131" s="37">
        <v>15.88</v>
      </c>
      <c r="G131" t="s">
        <v>153</v>
      </c>
      <c r="H131" s="3">
        <f t="shared" si="4"/>
        <v>46174</v>
      </c>
    </row>
    <row r="132" spans="1:8" x14ac:dyDescent="0.3">
      <c r="A132" s="2" t="s">
        <v>157</v>
      </c>
      <c r="B132" s="2" t="s">
        <v>180</v>
      </c>
      <c r="C132" t="s">
        <v>22</v>
      </c>
      <c r="D132" t="str">
        <f>IF(C132="","",VLOOKUP(C132,Categorias!$A$2:$C$54,2,FALSE))</f>
        <v>Saída</v>
      </c>
      <c r="E132" t="str">
        <f>IF(C132="","",VLOOKUP(C132,Categorias!$A$2:$C$54,3,FALSE))</f>
        <v>Despesas Financeiras</v>
      </c>
      <c r="F132" s="37">
        <v>-0.02</v>
      </c>
      <c r="G132" t="s">
        <v>153</v>
      </c>
      <c r="H132" s="3">
        <f t="shared" si="4"/>
        <v>46174</v>
      </c>
    </row>
    <row r="133" spans="1:8" x14ac:dyDescent="0.3">
      <c r="A133" s="2" t="s">
        <v>157</v>
      </c>
      <c r="B133" s="2" t="s">
        <v>236</v>
      </c>
      <c r="C133" t="s">
        <v>3</v>
      </c>
      <c r="D133" t="str">
        <f>IF(C133="","",VLOOKUP(C133,Categorias!$A$2:$C$54,2,FALSE))</f>
        <v>Entrada</v>
      </c>
      <c r="E133" t="str">
        <f>IF(C133="","",VLOOKUP(C133,Categorias!$A$2:$C$54,3,FALSE))</f>
        <v>Receita Bruta</v>
      </c>
      <c r="F133" s="37">
        <v>4.49</v>
      </c>
      <c r="G133" t="s">
        <v>153</v>
      </c>
      <c r="H133" s="3">
        <f t="shared" si="4"/>
        <v>46174</v>
      </c>
    </row>
    <row r="134" spans="1:8" x14ac:dyDescent="0.3">
      <c r="A134" s="2" t="s">
        <v>157</v>
      </c>
      <c r="B134" s="2" t="s">
        <v>180</v>
      </c>
      <c r="C134" t="s">
        <v>22</v>
      </c>
      <c r="D134" t="str">
        <f>IF(C134="","",VLOOKUP(C134,Categorias!$A$2:$C$54,2,FALSE))</f>
        <v>Saída</v>
      </c>
      <c r="E134" t="str">
        <f>IF(C134="","",VLOOKUP(C134,Categorias!$A$2:$C$54,3,FALSE))</f>
        <v>Despesas Financeiras</v>
      </c>
      <c r="F134" s="37">
        <v>-7.0000000000000007E-2</v>
      </c>
      <c r="G134" t="s">
        <v>153</v>
      </c>
      <c r="H134" s="3">
        <f t="shared" si="4"/>
        <v>46174</v>
      </c>
    </row>
    <row r="135" spans="1:8" x14ac:dyDescent="0.3">
      <c r="A135" s="2" t="s">
        <v>157</v>
      </c>
      <c r="B135" s="2" t="s">
        <v>237</v>
      </c>
      <c r="C135" t="s">
        <v>3</v>
      </c>
      <c r="D135" t="str">
        <f>IF(C135="","",VLOOKUP(C135,Categorias!$A$2:$C$54,2,FALSE))</f>
        <v>Entrada</v>
      </c>
      <c r="E135" t="str">
        <f>IF(C135="","",VLOOKUP(C135,Categorias!$A$2:$C$54,3,FALSE))</f>
        <v>Receita Bruta</v>
      </c>
      <c r="F135" s="37">
        <v>14.99</v>
      </c>
      <c r="G135" t="s">
        <v>153</v>
      </c>
      <c r="H135" s="3">
        <f t="shared" si="4"/>
        <v>46174</v>
      </c>
    </row>
    <row r="136" spans="1:8" x14ac:dyDescent="0.3">
      <c r="A136" s="2" t="s">
        <v>157</v>
      </c>
      <c r="B136" s="2" t="s">
        <v>180</v>
      </c>
      <c r="C136" t="s">
        <v>22</v>
      </c>
      <c r="D136" t="str">
        <f>IF(C136="","",VLOOKUP(C136,Categorias!$A$2:$C$54,2,FALSE))</f>
        <v>Saída</v>
      </c>
      <c r="E136" t="str">
        <f>IF(C136="","",VLOOKUP(C136,Categorias!$A$2:$C$54,3,FALSE))</f>
        <v>Despesas Financeiras</v>
      </c>
      <c r="F136" s="37">
        <v>-0.1</v>
      </c>
      <c r="G136" t="s">
        <v>153</v>
      </c>
      <c r="H136" s="3">
        <f t="shared" si="4"/>
        <v>46174</v>
      </c>
    </row>
    <row r="137" spans="1:8" x14ac:dyDescent="0.3">
      <c r="A137" s="2" t="s">
        <v>157</v>
      </c>
      <c r="B137" s="2" t="s">
        <v>238</v>
      </c>
      <c r="C137" t="s">
        <v>3</v>
      </c>
      <c r="D137" t="str">
        <f>IF(C137="","",VLOOKUP(C137,Categorias!$A$2:$C$54,2,FALSE))</f>
        <v>Entrada</v>
      </c>
      <c r="E137" t="str">
        <f>IF(C137="","",VLOOKUP(C137,Categorias!$A$2:$C$54,3,FALSE))</f>
        <v>Receita Bruta</v>
      </c>
      <c r="F137" s="37">
        <v>20.98</v>
      </c>
      <c r="G137" t="s">
        <v>153</v>
      </c>
      <c r="H137" s="3">
        <f t="shared" si="4"/>
        <v>46174</v>
      </c>
    </row>
    <row r="138" spans="1:8" x14ac:dyDescent="0.3">
      <c r="A138" s="2" t="s">
        <v>157</v>
      </c>
      <c r="B138" s="2" t="s">
        <v>180</v>
      </c>
      <c r="C138" t="s">
        <v>22</v>
      </c>
      <c r="D138" t="str">
        <f>IF(C138="","",VLOOKUP(C138,Categorias!$A$2:$C$54,2,FALSE))</f>
        <v>Saída</v>
      </c>
      <c r="E138" t="str">
        <f>IF(C138="","",VLOOKUP(C138,Categorias!$A$2:$C$54,3,FALSE))</f>
        <v>Despesas Financeiras</v>
      </c>
      <c r="F138" s="37">
        <v>-0.23</v>
      </c>
      <c r="G138" t="s">
        <v>153</v>
      </c>
      <c r="H138" s="3">
        <f t="shared" si="4"/>
        <v>46174</v>
      </c>
    </row>
    <row r="139" spans="1:8" x14ac:dyDescent="0.3">
      <c r="A139" s="2" t="s">
        <v>157</v>
      </c>
      <c r="B139" s="2" t="s">
        <v>226</v>
      </c>
      <c r="C139" t="s">
        <v>3</v>
      </c>
      <c r="D139" t="str">
        <f>IF(C139="","",VLOOKUP(C139,Categorias!$A$2:$C$54,2,FALSE))</f>
        <v>Entrada</v>
      </c>
      <c r="E139" t="str">
        <f>IF(C139="","",VLOOKUP(C139,Categorias!$A$2:$C$54,3,FALSE))</f>
        <v>Receita Bruta</v>
      </c>
      <c r="F139" s="37">
        <v>47.12</v>
      </c>
      <c r="G139" t="s">
        <v>153</v>
      </c>
      <c r="H139" s="3">
        <f t="shared" si="4"/>
        <v>46174</v>
      </c>
    </row>
    <row r="140" spans="1:8" x14ac:dyDescent="0.3">
      <c r="A140" s="2" t="s">
        <v>157</v>
      </c>
      <c r="B140" s="2" t="s">
        <v>180</v>
      </c>
      <c r="C140" t="s">
        <v>22</v>
      </c>
      <c r="D140" t="str">
        <f>IF(C140="","",VLOOKUP(C140,Categorias!$A$2:$C$54,2,FALSE))</f>
        <v>Saída</v>
      </c>
      <c r="E140" t="str">
        <f>IF(C140="","",VLOOKUP(C140,Categorias!$A$2:$C$54,3,FALSE))</f>
        <v>Despesas Financeiras</v>
      </c>
      <c r="F140" s="37">
        <v>-0.16</v>
      </c>
      <c r="G140" t="s">
        <v>153</v>
      </c>
      <c r="H140" s="3">
        <f t="shared" si="4"/>
        <v>46174</v>
      </c>
    </row>
    <row r="141" spans="1:8" x14ac:dyDescent="0.3">
      <c r="A141" s="2" t="s">
        <v>157</v>
      </c>
      <c r="B141" s="2" t="s">
        <v>209</v>
      </c>
      <c r="C141" t="s">
        <v>3</v>
      </c>
      <c r="D141" t="str">
        <f>IF(C141="","",VLOOKUP(C141,Categorias!$A$2:$C$54,2,FALSE))</f>
        <v>Entrada</v>
      </c>
      <c r="E141" t="str">
        <f>IF(C141="","",VLOOKUP(C141,Categorias!$A$2:$C$54,3,FALSE))</f>
        <v>Receita Bruta</v>
      </c>
      <c r="F141" s="37">
        <v>32.97</v>
      </c>
      <c r="G141" t="s">
        <v>153</v>
      </c>
      <c r="H141" s="3">
        <f t="shared" si="4"/>
        <v>46174</v>
      </c>
    </row>
    <row r="142" spans="1:8" x14ac:dyDescent="0.3">
      <c r="A142" s="2" t="s">
        <v>157</v>
      </c>
      <c r="B142" s="2" t="s">
        <v>180</v>
      </c>
      <c r="C142" t="s">
        <v>22</v>
      </c>
      <c r="D142" t="str">
        <f>IF(C142="","",VLOOKUP(C142,Categorias!$A$2:$C$54,2,FALSE))</f>
        <v>Saída</v>
      </c>
      <c r="E142" t="str">
        <f>IF(C142="","",VLOOKUP(C142,Categorias!$A$2:$C$54,3,FALSE))</f>
        <v>Despesas Financeiras</v>
      </c>
      <c r="F142" s="37">
        <v>-0.09</v>
      </c>
      <c r="G142" t="s">
        <v>153</v>
      </c>
      <c r="H142" s="3">
        <f t="shared" si="4"/>
        <v>46174</v>
      </c>
    </row>
    <row r="143" spans="1:8" x14ac:dyDescent="0.3">
      <c r="A143" s="2" t="s">
        <v>157</v>
      </c>
      <c r="B143" s="2" t="s">
        <v>184</v>
      </c>
      <c r="C143" t="s">
        <v>3</v>
      </c>
      <c r="D143" t="str">
        <f>IF(C143="","",VLOOKUP(C143,Categorias!$A$2:$C$54,2,FALSE))</f>
        <v>Entrada</v>
      </c>
      <c r="E143" t="str">
        <f>IF(C143="","",VLOOKUP(C143,Categorias!$A$2:$C$54,3,FALSE))</f>
        <v>Receita Bruta</v>
      </c>
      <c r="F143" s="37">
        <v>19.78</v>
      </c>
      <c r="G143" t="s">
        <v>153</v>
      </c>
      <c r="H143" s="3">
        <f t="shared" si="4"/>
        <v>46174</v>
      </c>
    </row>
    <row r="144" spans="1:8" x14ac:dyDescent="0.3">
      <c r="A144" s="2" t="s">
        <v>157</v>
      </c>
      <c r="B144" s="2" t="s">
        <v>180</v>
      </c>
      <c r="C144" t="s">
        <v>22</v>
      </c>
      <c r="D144" t="str">
        <f>IF(C144="","",VLOOKUP(C144,Categorias!$A$2:$C$54,2,FALSE))</f>
        <v>Saída</v>
      </c>
      <c r="E144" t="str">
        <f>IF(C144="","",VLOOKUP(C144,Categorias!$A$2:$C$54,3,FALSE))</f>
        <v>Despesas Financeiras</v>
      </c>
      <c r="F144" s="37">
        <v>-0.05</v>
      </c>
      <c r="G144" t="s">
        <v>153</v>
      </c>
      <c r="H144" s="3">
        <f t="shared" si="4"/>
        <v>46174</v>
      </c>
    </row>
    <row r="145" spans="1:8" x14ac:dyDescent="0.3">
      <c r="A145" s="2" t="s">
        <v>157</v>
      </c>
      <c r="B145" s="2" t="s">
        <v>239</v>
      </c>
      <c r="C145" t="s">
        <v>3</v>
      </c>
      <c r="D145" t="str">
        <f>IF(C145="","",VLOOKUP(C145,Categorias!$A$2:$C$54,2,FALSE))</f>
        <v>Entrada</v>
      </c>
      <c r="E145" t="str">
        <f>IF(C145="","",VLOOKUP(C145,Categorias!$A$2:$C$54,3,FALSE))</f>
        <v>Receita Bruta</v>
      </c>
      <c r="F145" s="37">
        <v>10.99</v>
      </c>
      <c r="G145" t="s">
        <v>153</v>
      </c>
      <c r="H145" s="3">
        <f t="shared" si="4"/>
        <v>46174</v>
      </c>
    </row>
    <row r="146" spans="1:8" x14ac:dyDescent="0.3">
      <c r="A146" s="2" t="s">
        <v>157</v>
      </c>
      <c r="B146" s="2" t="s">
        <v>180</v>
      </c>
      <c r="C146" t="s">
        <v>22</v>
      </c>
      <c r="D146" t="str">
        <f>IF(C146="","",VLOOKUP(C146,Categorias!$A$2:$C$54,2,FALSE))</f>
        <v>Saída</v>
      </c>
      <c r="E146" t="str">
        <f>IF(C146="","",VLOOKUP(C146,Categorias!$A$2:$C$54,3,FALSE))</f>
        <v>Despesas Financeiras</v>
      </c>
      <c r="F146" s="37">
        <v>-0.06</v>
      </c>
      <c r="G146" t="s">
        <v>153</v>
      </c>
      <c r="H146" s="3">
        <f t="shared" si="4"/>
        <v>46174</v>
      </c>
    </row>
    <row r="147" spans="1:8" x14ac:dyDescent="0.3">
      <c r="A147" s="2" t="s">
        <v>157</v>
      </c>
      <c r="B147" s="2" t="s">
        <v>240</v>
      </c>
      <c r="C147" t="s">
        <v>3</v>
      </c>
      <c r="D147" t="str">
        <f>IF(C147="","",VLOOKUP(C147,Categorias!$A$2:$C$54,2,FALSE))</f>
        <v>Entrada</v>
      </c>
      <c r="E147" t="str">
        <f>IF(C147="","",VLOOKUP(C147,Categorias!$A$2:$C$54,3,FALSE))</f>
        <v>Receita Bruta</v>
      </c>
      <c r="F147" s="37">
        <v>12.99</v>
      </c>
      <c r="G147" t="s">
        <v>153</v>
      </c>
      <c r="H147" s="3">
        <f t="shared" si="4"/>
        <v>46174</v>
      </c>
    </row>
    <row r="148" spans="1:8" x14ac:dyDescent="0.3">
      <c r="A148" s="2" t="s">
        <v>157</v>
      </c>
      <c r="B148" s="2" t="s">
        <v>180</v>
      </c>
      <c r="C148" t="s">
        <v>22</v>
      </c>
      <c r="D148" t="str">
        <f>IF(C148="","",VLOOKUP(C148,Categorias!$A$2:$C$54,2,FALSE))</f>
        <v>Saída</v>
      </c>
      <c r="E148" t="str">
        <f>IF(C148="","",VLOOKUP(C148,Categorias!$A$2:$C$54,3,FALSE))</f>
        <v>Despesas Financeiras</v>
      </c>
      <c r="F148" s="37">
        <v>-7.0000000000000007E-2</v>
      </c>
      <c r="G148" t="s">
        <v>153</v>
      </c>
      <c r="H148" s="3">
        <f t="shared" si="4"/>
        <v>46174</v>
      </c>
    </row>
    <row r="149" spans="1:8" x14ac:dyDescent="0.3">
      <c r="A149" s="2" t="s">
        <v>157</v>
      </c>
      <c r="B149" s="2" t="s">
        <v>241</v>
      </c>
      <c r="C149" t="s">
        <v>3</v>
      </c>
      <c r="D149" t="str">
        <f>IF(C149="","",VLOOKUP(C149,Categorias!$A$2:$C$54,2,FALSE))</f>
        <v>Entrada</v>
      </c>
      <c r="E149" t="str">
        <f>IF(C149="","",VLOOKUP(C149,Categorias!$A$2:$C$54,3,FALSE))</f>
        <v>Receita Bruta</v>
      </c>
      <c r="F149" s="37">
        <v>15.99</v>
      </c>
      <c r="G149" t="s">
        <v>153</v>
      </c>
      <c r="H149" s="3">
        <f t="shared" si="4"/>
        <v>46174</v>
      </c>
    </row>
    <row r="150" spans="1:8" x14ac:dyDescent="0.3">
      <c r="A150" s="2" t="s">
        <v>157</v>
      </c>
      <c r="B150" s="2" t="s">
        <v>180</v>
      </c>
      <c r="C150" t="s">
        <v>22</v>
      </c>
      <c r="D150" t="str">
        <f>IF(C150="","",VLOOKUP(C150,Categorias!$A$2:$C$54,2,FALSE))</f>
        <v>Saída</v>
      </c>
      <c r="E150" t="str">
        <f>IF(C150="","",VLOOKUP(C150,Categorias!$A$2:$C$54,3,FALSE))</f>
        <v>Despesas Financeiras</v>
      </c>
      <c r="F150" s="37">
        <v>-0.06</v>
      </c>
      <c r="G150" t="s">
        <v>153</v>
      </c>
      <c r="H150" s="3">
        <f t="shared" si="4"/>
        <v>46174</v>
      </c>
    </row>
    <row r="151" spans="1:8" x14ac:dyDescent="0.3">
      <c r="A151" s="2" t="s">
        <v>157</v>
      </c>
      <c r="B151" s="2" t="s">
        <v>242</v>
      </c>
      <c r="C151" t="s">
        <v>3</v>
      </c>
      <c r="D151" t="str">
        <f>IF(C151="","",VLOOKUP(C151,Categorias!$A$2:$C$54,2,FALSE))</f>
        <v>Entrada</v>
      </c>
      <c r="E151" t="str">
        <f>IF(C151="","",VLOOKUP(C151,Categorias!$A$2:$C$54,3,FALSE))</f>
        <v>Receita Bruta</v>
      </c>
      <c r="F151" s="37">
        <v>12.99</v>
      </c>
      <c r="G151" t="s">
        <v>153</v>
      </c>
      <c r="H151" s="3">
        <f t="shared" si="4"/>
        <v>46174</v>
      </c>
    </row>
    <row r="152" spans="1:8" x14ac:dyDescent="0.3">
      <c r="A152" s="2" t="s">
        <v>157</v>
      </c>
      <c r="B152" s="2" t="s">
        <v>180</v>
      </c>
      <c r="C152" t="s">
        <v>22</v>
      </c>
      <c r="D152" t="str">
        <f>IF(C152="","",VLOOKUP(C152,Categorias!$A$2:$C$54,2,FALSE))</f>
        <v>Saída</v>
      </c>
      <c r="E152" t="str">
        <f>IF(C152="","",VLOOKUP(C152,Categorias!$A$2:$C$54,3,FALSE))</f>
        <v>Despesas Financeiras</v>
      </c>
      <c r="F152" s="37">
        <v>-0.09</v>
      </c>
      <c r="G152" t="s">
        <v>153</v>
      </c>
      <c r="H152" s="3">
        <f t="shared" si="4"/>
        <v>46174</v>
      </c>
    </row>
    <row r="153" spans="1:8" x14ac:dyDescent="0.3">
      <c r="A153" s="2" t="s">
        <v>157</v>
      </c>
      <c r="B153" s="2" t="s">
        <v>243</v>
      </c>
      <c r="C153" t="s">
        <v>3</v>
      </c>
      <c r="D153" t="str">
        <f>IF(C153="","",VLOOKUP(C153,Categorias!$A$2:$C$54,2,FALSE))</f>
        <v>Entrada</v>
      </c>
      <c r="E153" t="str">
        <f>IF(C153="","",VLOOKUP(C153,Categorias!$A$2:$C$54,3,FALSE))</f>
        <v>Receita Bruta</v>
      </c>
      <c r="F153" s="37">
        <v>18.510000000000002</v>
      </c>
      <c r="G153" t="s">
        <v>153</v>
      </c>
      <c r="H153" s="3">
        <f t="shared" si="4"/>
        <v>46174</v>
      </c>
    </row>
    <row r="154" spans="1:8" x14ac:dyDescent="0.3">
      <c r="A154" s="2" t="s">
        <v>157</v>
      </c>
      <c r="B154" s="2" t="s">
        <v>180</v>
      </c>
      <c r="C154" t="s">
        <v>22</v>
      </c>
      <c r="D154" t="str">
        <f>IF(C154="","",VLOOKUP(C154,Categorias!$A$2:$C$54,2,FALSE))</f>
        <v>Saída</v>
      </c>
      <c r="E154" t="str">
        <f>IF(C154="","",VLOOKUP(C154,Categorias!$A$2:$C$54,3,FALSE))</f>
        <v>Despesas Financeiras</v>
      </c>
      <c r="F154" s="37">
        <v>-0.06</v>
      </c>
      <c r="G154" t="s">
        <v>153</v>
      </c>
      <c r="H154" s="3">
        <f t="shared" si="4"/>
        <v>46174</v>
      </c>
    </row>
    <row r="155" spans="1:8" x14ac:dyDescent="0.3">
      <c r="A155" s="2" t="s">
        <v>157</v>
      </c>
      <c r="B155" s="2" t="s">
        <v>186</v>
      </c>
      <c r="C155" t="s">
        <v>3</v>
      </c>
      <c r="D155" t="str">
        <f>IF(C155="","",VLOOKUP(C155,Categorias!$A$2:$C$54,2,FALSE))</f>
        <v>Entrada</v>
      </c>
      <c r="E155" t="str">
        <f>IF(C155="","",VLOOKUP(C155,Categorias!$A$2:$C$54,3,FALSE))</f>
        <v>Receita Bruta</v>
      </c>
      <c r="F155" s="37">
        <v>13.38</v>
      </c>
      <c r="G155" t="s">
        <v>153</v>
      </c>
      <c r="H155" s="3">
        <f t="shared" si="4"/>
        <v>46174</v>
      </c>
    </row>
    <row r="156" spans="1:8" x14ac:dyDescent="0.3">
      <c r="A156" s="2" t="s">
        <v>157</v>
      </c>
      <c r="B156" s="2" t="s">
        <v>180</v>
      </c>
      <c r="C156" t="s">
        <v>22</v>
      </c>
      <c r="D156" t="str">
        <f>IF(C156="","",VLOOKUP(C156,Categorias!$A$2:$C$54,2,FALSE))</f>
        <v>Saída</v>
      </c>
      <c r="E156" t="str">
        <f>IF(C156="","",VLOOKUP(C156,Categorias!$A$2:$C$54,3,FALSE))</f>
        <v>Despesas Financeiras</v>
      </c>
      <c r="F156" s="37">
        <v>-0.16</v>
      </c>
      <c r="G156" t="s">
        <v>153</v>
      </c>
      <c r="H156" s="3">
        <f t="shared" si="4"/>
        <v>46174</v>
      </c>
    </row>
    <row r="157" spans="1:8" x14ac:dyDescent="0.3">
      <c r="A157" s="2" t="s">
        <v>157</v>
      </c>
      <c r="B157" s="2" t="s">
        <v>244</v>
      </c>
      <c r="C157" t="s">
        <v>3</v>
      </c>
      <c r="D157" t="str">
        <f>IF(C157="","",VLOOKUP(C157,Categorias!$A$2:$C$54,2,FALSE))</f>
        <v>Entrada</v>
      </c>
      <c r="E157" t="str">
        <f>IF(C157="","",VLOOKUP(C157,Categorias!$A$2:$C$54,3,FALSE))</f>
        <v>Receita Bruta</v>
      </c>
      <c r="F157" s="37">
        <v>32.97</v>
      </c>
      <c r="G157" t="s">
        <v>153</v>
      </c>
      <c r="H157" s="3">
        <f t="shared" si="4"/>
        <v>46174</v>
      </c>
    </row>
    <row r="158" spans="1:8" x14ac:dyDescent="0.3">
      <c r="A158" s="2" t="s">
        <v>157</v>
      </c>
      <c r="B158" s="2" t="s">
        <v>180</v>
      </c>
      <c r="C158" t="s">
        <v>22</v>
      </c>
      <c r="D158" t="str">
        <f>IF(C158="","",VLOOKUP(C158,Categorias!$A$2:$C$54,2,FALSE))</f>
        <v>Saída</v>
      </c>
      <c r="E158" t="str">
        <f>IF(C158="","",VLOOKUP(C158,Categorias!$A$2:$C$54,3,FALSE))</f>
        <v>Despesas Financeiras</v>
      </c>
      <c r="F158" s="37">
        <v>-7.0000000000000007E-2</v>
      </c>
      <c r="G158" t="s">
        <v>153</v>
      </c>
      <c r="H158" s="3">
        <f t="shared" si="4"/>
        <v>46174</v>
      </c>
    </row>
    <row r="159" spans="1:8" x14ac:dyDescent="0.3">
      <c r="A159" s="2" t="s">
        <v>157</v>
      </c>
      <c r="B159" s="2" t="s">
        <v>245</v>
      </c>
      <c r="C159" t="s">
        <v>3</v>
      </c>
      <c r="D159" t="str">
        <f>IF(C159="","",VLOOKUP(C159,Categorias!$A$2:$C$54,2,FALSE))</f>
        <v>Entrada</v>
      </c>
      <c r="E159" t="str">
        <f>IF(C159="","",VLOOKUP(C159,Categorias!$A$2:$C$54,3,FALSE))</f>
        <v>Receita Bruta</v>
      </c>
      <c r="F159" s="37">
        <v>14.99</v>
      </c>
      <c r="G159" t="s">
        <v>153</v>
      </c>
      <c r="H159" s="3">
        <f t="shared" si="4"/>
        <v>46174</v>
      </c>
    </row>
    <row r="160" spans="1:8" x14ac:dyDescent="0.3">
      <c r="A160" s="2" t="s">
        <v>157</v>
      </c>
      <c r="B160" s="2" t="s">
        <v>180</v>
      </c>
      <c r="C160" t="s">
        <v>22</v>
      </c>
      <c r="D160" t="str">
        <f>IF(C160="","",VLOOKUP(C160,Categorias!$A$2:$C$54,2,FALSE))</f>
        <v>Saída</v>
      </c>
      <c r="E160" t="str">
        <f>IF(C160="","",VLOOKUP(C160,Categorias!$A$2:$C$54,3,FALSE))</f>
        <v>Despesas Financeiras</v>
      </c>
      <c r="F160" s="37">
        <v>-0.01</v>
      </c>
      <c r="G160" t="s">
        <v>153</v>
      </c>
      <c r="H160" s="3">
        <f t="shared" si="4"/>
        <v>46174</v>
      </c>
    </row>
    <row r="161" spans="1:8" x14ac:dyDescent="0.3">
      <c r="A161" s="2" t="s">
        <v>157</v>
      </c>
      <c r="B161" s="2" t="s">
        <v>246</v>
      </c>
      <c r="C161" t="s">
        <v>3</v>
      </c>
      <c r="D161" t="str">
        <f>IF(C161="","",VLOOKUP(C161,Categorias!$A$2:$C$54,2,FALSE))</f>
        <v>Entrada</v>
      </c>
      <c r="E161" t="str">
        <f>IF(C161="","",VLOOKUP(C161,Categorias!$A$2:$C$54,3,FALSE))</f>
        <v>Receita Bruta</v>
      </c>
      <c r="F161" s="37">
        <v>3.58</v>
      </c>
      <c r="G161" t="s">
        <v>153</v>
      </c>
      <c r="H161" s="3">
        <f t="shared" ref="H161:H192" si="5">IF(A161="","",DATE(YEAR(A161),MONTH(A161),1))</f>
        <v>46174</v>
      </c>
    </row>
    <row r="162" spans="1:8" x14ac:dyDescent="0.3">
      <c r="A162" s="2" t="s">
        <v>157</v>
      </c>
      <c r="B162" s="2" t="s">
        <v>180</v>
      </c>
      <c r="C162" t="s">
        <v>22</v>
      </c>
      <c r="D162" t="str">
        <f>IF(C162="","",VLOOKUP(C162,Categorias!$A$2:$C$54,2,FALSE))</f>
        <v>Saída</v>
      </c>
      <c r="E162" t="str">
        <f>IF(C162="","",VLOOKUP(C162,Categorias!$A$2:$C$54,3,FALSE))</f>
        <v>Despesas Financeiras</v>
      </c>
      <c r="F162" s="37">
        <v>-0.04</v>
      </c>
      <c r="G162" t="s">
        <v>153</v>
      </c>
      <c r="H162" s="3">
        <f t="shared" si="5"/>
        <v>46174</v>
      </c>
    </row>
    <row r="163" spans="1:8" x14ac:dyDescent="0.3">
      <c r="A163" s="2" t="s">
        <v>157</v>
      </c>
      <c r="B163" s="2" t="s">
        <v>242</v>
      </c>
      <c r="C163" t="s">
        <v>3</v>
      </c>
      <c r="D163" t="str">
        <f>IF(C163="","",VLOOKUP(C163,Categorias!$A$2:$C$54,2,FALSE))</f>
        <v>Entrada</v>
      </c>
      <c r="E163" t="str">
        <f>IF(C163="","",VLOOKUP(C163,Categorias!$A$2:$C$54,3,FALSE))</f>
        <v>Receita Bruta</v>
      </c>
      <c r="F163" s="37">
        <v>9.99</v>
      </c>
      <c r="G163" t="s">
        <v>153</v>
      </c>
      <c r="H163" s="3">
        <f t="shared" si="5"/>
        <v>46174</v>
      </c>
    </row>
    <row r="164" spans="1:8" x14ac:dyDescent="0.3">
      <c r="A164" s="2" t="s">
        <v>157</v>
      </c>
      <c r="B164" s="2" t="s">
        <v>180</v>
      </c>
      <c r="C164" t="s">
        <v>22</v>
      </c>
      <c r="D164" t="str">
        <f>IF(C164="","",VLOOKUP(C164,Categorias!$A$2:$C$54,2,FALSE))</f>
        <v>Saída</v>
      </c>
      <c r="E164" t="str">
        <f>IF(C164="","",VLOOKUP(C164,Categorias!$A$2:$C$54,3,FALSE))</f>
        <v>Despesas Financeiras</v>
      </c>
      <c r="F164" s="37">
        <v>-0.31</v>
      </c>
      <c r="G164" t="s">
        <v>153</v>
      </c>
      <c r="H164" s="3">
        <f t="shared" si="5"/>
        <v>46174</v>
      </c>
    </row>
    <row r="165" spans="1:8" x14ac:dyDescent="0.3">
      <c r="A165" s="2" t="s">
        <v>157</v>
      </c>
      <c r="B165" s="2" t="s">
        <v>247</v>
      </c>
      <c r="C165" t="s">
        <v>3</v>
      </c>
      <c r="D165" t="str">
        <f>IF(C165="","",VLOOKUP(C165,Categorias!$A$2:$C$54,2,FALSE))</f>
        <v>Entrada</v>
      </c>
      <c r="E165" t="str">
        <f>IF(C165="","",VLOOKUP(C165,Categorias!$A$2:$C$54,3,FALSE))</f>
        <v>Receita Bruta</v>
      </c>
      <c r="F165" s="37">
        <v>63.96</v>
      </c>
      <c r="G165" t="s">
        <v>153</v>
      </c>
      <c r="H165" s="3">
        <f t="shared" si="5"/>
        <v>46174</v>
      </c>
    </row>
    <row r="166" spans="1:8" x14ac:dyDescent="0.3">
      <c r="A166" s="2" t="s">
        <v>157</v>
      </c>
      <c r="B166" s="2" t="s">
        <v>180</v>
      </c>
      <c r="C166" t="s">
        <v>22</v>
      </c>
      <c r="D166" t="str">
        <f>IF(C166="","",VLOOKUP(C166,Categorias!$A$2:$C$54,2,FALSE))</f>
        <v>Saída</v>
      </c>
      <c r="E166" t="str">
        <f>IF(C166="","",VLOOKUP(C166,Categorias!$A$2:$C$54,3,FALSE))</f>
        <v>Despesas Financeiras</v>
      </c>
      <c r="F166" s="37">
        <v>-0.18</v>
      </c>
      <c r="G166" t="s">
        <v>153</v>
      </c>
      <c r="H166" s="3">
        <f t="shared" si="5"/>
        <v>46174</v>
      </c>
    </row>
    <row r="167" spans="1:8" x14ac:dyDescent="0.3">
      <c r="A167" s="2" t="s">
        <v>157</v>
      </c>
      <c r="B167" s="2" t="s">
        <v>248</v>
      </c>
      <c r="C167" t="s">
        <v>3</v>
      </c>
      <c r="D167" t="str">
        <f>IF(C167="","",VLOOKUP(C167,Categorias!$A$2:$C$54,2,FALSE))</f>
        <v>Entrada</v>
      </c>
      <c r="E167" t="str">
        <f>IF(C167="","",VLOOKUP(C167,Categorias!$A$2:$C$54,3,FALSE))</f>
        <v>Receita Bruta</v>
      </c>
      <c r="F167" s="37">
        <v>37.200000000000003</v>
      </c>
      <c r="G167" t="s">
        <v>153</v>
      </c>
      <c r="H167" s="3">
        <f t="shared" si="5"/>
        <v>46174</v>
      </c>
    </row>
    <row r="168" spans="1:8" x14ac:dyDescent="0.3">
      <c r="A168" s="2" t="s">
        <v>157</v>
      </c>
      <c r="B168" s="2" t="s">
        <v>180</v>
      </c>
      <c r="C168" t="s">
        <v>22</v>
      </c>
      <c r="D168" t="str">
        <f>IF(C168="","",VLOOKUP(C168,Categorias!$A$2:$C$54,2,FALSE))</f>
        <v>Saída</v>
      </c>
      <c r="E168" t="str">
        <f>IF(C168="","",VLOOKUP(C168,Categorias!$A$2:$C$54,3,FALSE))</f>
        <v>Despesas Financeiras</v>
      </c>
      <c r="F168" s="37">
        <v>-0.05</v>
      </c>
      <c r="G168" t="s">
        <v>153</v>
      </c>
      <c r="H168" s="3">
        <f t="shared" si="5"/>
        <v>46174</v>
      </c>
    </row>
    <row r="169" spans="1:8" x14ac:dyDescent="0.3">
      <c r="A169" s="2" t="s">
        <v>157</v>
      </c>
      <c r="B169" s="2" t="s">
        <v>249</v>
      </c>
      <c r="C169" t="s">
        <v>3</v>
      </c>
      <c r="D169" t="str">
        <f>IF(C169="","",VLOOKUP(C169,Categorias!$A$2:$C$54,2,FALSE))</f>
        <v>Entrada</v>
      </c>
      <c r="E169" t="str">
        <f>IF(C169="","",VLOOKUP(C169,Categorias!$A$2:$C$54,3,FALSE))</f>
        <v>Receita Bruta</v>
      </c>
      <c r="F169" s="37">
        <v>11.99</v>
      </c>
      <c r="G169" t="s">
        <v>153</v>
      </c>
      <c r="H169" s="3">
        <f t="shared" si="5"/>
        <v>46174</v>
      </c>
    </row>
    <row r="170" spans="1:8" x14ac:dyDescent="0.3">
      <c r="A170" s="2" t="s">
        <v>157</v>
      </c>
      <c r="B170" s="2" t="s">
        <v>180</v>
      </c>
      <c r="C170" t="s">
        <v>22</v>
      </c>
      <c r="D170" t="str">
        <f>IF(C170="","",VLOOKUP(C170,Categorias!$A$2:$C$54,2,FALSE))</f>
        <v>Saída</v>
      </c>
      <c r="E170" t="str">
        <f>IF(C170="","",VLOOKUP(C170,Categorias!$A$2:$C$54,3,FALSE))</f>
        <v>Despesas Financeiras</v>
      </c>
      <c r="F170" s="37">
        <v>-0.09</v>
      </c>
      <c r="G170" t="s">
        <v>153</v>
      </c>
      <c r="H170" s="3">
        <f t="shared" si="5"/>
        <v>46174</v>
      </c>
    </row>
    <row r="171" spans="1:8" x14ac:dyDescent="0.3">
      <c r="A171" s="2" t="s">
        <v>157</v>
      </c>
      <c r="B171" s="2" t="s">
        <v>209</v>
      </c>
      <c r="C171" t="s">
        <v>3</v>
      </c>
      <c r="D171" t="str">
        <f>IF(C171="","",VLOOKUP(C171,Categorias!$A$2:$C$54,2,FALSE))</f>
        <v>Entrada</v>
      </c>
      <c r="E171" t="str">
        <f>IF(C171="","",VLOOKUP(C171,Categorias!$A$2:$C$54,3,FALSE))</f>
        <v>Receita Bruta</v>
      </c>
      <c r="F171" s="37">
        <v>19.97</v>
      </c>
      <c r="G171" t="s">
        <v>153</v>
      </c>
      <c r="H171" s="3">
        <f t="shared" si="5"/>
        <v>46174</v>
      </c>
    </row>
    <row r="172" spans="1:8" x14ac:dyDescent="0.3">
      <c r="A172" s="2" t="s">
        <v>157</v>
      </c>
      <c r="B172" s="2" t="s">
        <v>180</v>
      </c>
      <c r="C172" t="s">
        <v>22</v>
      </c>
      <c r="D172" t="str">
        <f>IF(C172="","",VLOOKUP(C172,Categorias!$A$2:$C$54,2,FALSE))</f>
        <v>Saída</v>
      </c>
      <c r="E172" t="str">
        <f>IF(C172="","",VLOOKUP(C172,Categorias!$A$2:$C$54,3,FALSE))</f>
        <v>Despesas Financeiras</v>
      </c>
      <c r="F172" s="37">
        <v>-0.02</v>
      </c>
      <c r="G172" t="s">
        <v>153</v>
      </c>
      <c r="H172" s="3">
        <f t="shared" si="5"/>
        <v>46174</v>
      </c>
    </row>
    <row r="173" spans="1:8" x14ac:dyDescent="0.3">
      <c r="A173" s="2" t="s">
        <v>157</v>
      </c>
      <c r="B173" s="2" t="s">
        <v>245</v>
      </c>
      <c r="C173" t="s">
        <v>3</v>
      </c>
      <c r="D173" t="str">
        <f>IF(C173="","",VLOOKUP(C173,Categorias!$A$2:$C$54,2,FALSE))</f>
        <v>Entrada</v>
      </c>
      <c r="E173" t="str">
        <f>IF(C173="","",VLOOKUP(C173,Categorias!$A$2:$C$54,3,FALSE))</f>
        <v>Receita Bruta</v>
      </c>
      <c r="F173" s="37">
        <v>5.89</v>
      </c>
      <c r="G173" t="s">
        <v>153</v>
      </c>
      <c r="H173" s="3">
        <f t="shared" si="5"/>
        <v>46174</v>
      </c>
    </row>
    <row r="174" spans="1:8" x14ac:dyDescent="0.3">
      <c r="A174" s="2" t="s">
        <v>157</v>
      </c>
      <c r="B174" s="2" t="s">
        <v>180</v>
      </c>
      <c r="C174" t="s">
        <v>22</v>
      </c>
      <c r="D174" t="str">
        <f>IF(C174="","",VLOOKUP(C174,Categorias!$A$2:$C$54,2,FALSE))</f>
        <v>Saída</v>
      </c>
      <c r="E174" t="str">
        <f>IF(C174="","",VLOOKUP(C174,Categorias!$A$2:$C$54,3,FALSE))</f>
        <v>Despesas Financeiras</v>
      </c>
      <c r="F174" s="37">
        <v>-0.04</v>
      </c>
      <c r="G174" t="s">
        <v>153</v>
      </c>
      <c r="H174" s="3">
        <f t="shared" si="5"/>
        <v>46174</v>
      </c>
    </row>
    <row r="175" spans="1:8" x14ac:dyDescent="0.3">
      <c r="A175" s="2" t="s">
        <v>157</v>
      </c>
      <c r="B175" s="2" t="s">
        <v>217</v>
      </c>
      <c r="C175" t="s">
        <v>3</v>
      </c>
      <c r="D175" t="str">
        <f>IF(C175="","",VLOOKUP(C175,Categorias!$A$2:$C$54,2,FALSE))</f>
        <v>Entrada</v>
      </c>
      <c r="E175" t="str">
        <f>IF(C175="","",VLOOKUP(C175,Categorias!$A$2:$C$54,3,FALSE))</f>
        <v>Receita Bruta</v>
      </c>
      <c r="F175" s="37">
        <v>8.69</v>
      </c>
      <c r="G175" t="s">
        <v>153</v>
      </c>
      <c r="H175" s="3">
        <f t="shared" si="5"/>
        <v>46174</v>
      </c>
    </row>
    <row r="176" spans="1:8" x14ac:dyDescent="0.3">
      <c r="A176" s="2" t="s">
        <v>157</v>
      </c>
      <c r="B176" s="2" t="s">
        <v>180</v>
      </c>
      <c r="C176" t="s">
        <v>22</v>
      </c>
      <c r="D176" t="str">
        <f>IF(C176="","",VLOOKUP(C176,Categorias!$A$2:$C$54,2,FALSE))</f>
        <v>Saída</v>
      </c>
      <c r="E176" t="str">
        <f>IF(C176="","",VLOOKUP(C176,Categorias!$A$2:$C$54,3,FALSE))</f>
        <v>Despesas Financeiras</v>
      </c>
      <c r="F176" s="37">
        <v>-0.19</v>
      </c>
      <c r="G176" t="s">
        <v>153</v>
      </c>
      <c r="H176" s="3">
        <f t="shared" si="5"/>
        <v>46174</v>
      </c>
    </row>
    <row r="177" spans="1:8" x14ac:dyDescent="0.3">
      <c r="A177" s="2" t="s">
        <v>157</v>
      </c>
      <c r="B177" s="2" t="s">
        <v>244</v>
      </c>
      <c r="C177" t="s">
        <v>3</v>
      </c>
      <c r="D177" t="str">
        <f>IF(C177="","",VLOOKUP(C177,Categorias!$A$2:$C$54,2,FALSE))</f>
        <v>Entrada</v>
      </c>
      <c r="E177" t="str">
        <f>IF(C177="","",VLOOKUP(C177,Categorias!$A$2:$C$54,3,FALSE))</f>
        <v>Receita Bruta</v>
      </c>
      <c r="F177" s="37">
        <v>39.9</v>
      </c>
      <c r="G177" t="s">
        <v>153</v>
      </c>
      <c r="H177" s="3">
        <f t="shared" si="5"/>
        <v>46174</v>
      </c>
    </row>
    <row r="178" spans="1:8" x14ac:dyDescent="0.3">
      <c r="A178" s="2" t="s">
        <v>157</v>
      </c>
      <c r="B178" s="2" t="s">
        <v>180</v>
      </c>
      <c r="C178" t="s">
        <v>22</v>
      </c>
      <c r="D178" t="str">
        <f>IF(C178="","",VLOOKUP(C178,Categorias!$A$2:$C$54,2,FALSE))</f>
        <v>Saída</v>
      </c>
      <c r="E178" t="str">
        <f>IF(C178="","",VLOOKUP(C178,Categorias!$A$2:$C$54,3,FALSE))</f>
        <v>Despesas Financeiras</v>
      </c>
      <c r="F178" s="37">
        <v>-7.0000000000000007E-2</v>
      </c>
      <c r="G178" t="s">
        <v>153</v>
      </c>
      <c r="H178" s="3">
        <f t="shared" si="5"/>
        <v>46174</v>
      </c>
    </row>
    <row r="179" spans="1:8" x14ac:dyDescent="0.3">
      <c r="A179" s="2" t="s">
        <v>157</v>
      </c>
      <c r="B179" s="2" t="s">
        <v>250</v>
      </c>
      <c r="C179" t="s">
        <v>3</v>
      </c>
      <c r="D179" t="str">
        <f>IF(C179="","",VLOOKUP(C179,Categorias!$A$2:$C$54,2,FALSE))</f>
        <v>Entrada</v>
      </c>
      <c r="E179" t="str">
        <f>IF(C179="","",VLOOKUP(C179,Categorias!$A$2:$C$54,3,FALSE))</f>
        <v>Receita Bruta</v>
      </c>
      <c r="F179" s="37">
        <v>14.88</v>
      </c>
      <c r="G179" t="s">
        <v>153</v>
      </c>
      <c r="H179" s="3">
        <f t="shared" si="5"/>
        <v>46174</v>
      </c>
    </row>
    <row r="180" spans="1:8" x14ac:dyDescent="0.3">
      <c r="A180" s="2" t="s">
        <v>157</v>
      </c>
      <c r="B180" s="2" t="s">
        <v>180</v>
      </c>
      <c r="C180" t="s">
        <v>22</v>
      </c>
      <c r="D180" t="str">
        <f>IF(C180="","",VLOOKUP(C180,Categorias!$A$2:$C$54,2,FALSE))</f>
        <v>Saída</v>
      </c>
      <c r="E180" t="str">
        <f>IF(C180="","",VLOOKUP(C180,Categorias!$A$2:$C$54,3,FALSE))</f>
        <v>Despesas Financeiras</v>
      </c>
      <c r="F180" s="37">
        <v>-0.15</v>
      </c>
      <c r="G180" t="s">
        <v>153</v>
      </c>
      <c r="H180" s="3">
        <f t="shared" si="5"/>
        <v>46174</v>
      </c>
    </row>
    <row r="181" spans="1:8" x14ac:dyDescent="0.3">
      <c r="A181" s="2" t="s">
        <v>157</v>
      </c>
      <c r="B181" s="2" t="s">
        <v>251</v>
      </c>
      <c r="C181" t="s">
        <v>3</v>
      </c>
      <c r="D181" t="str">
        <f>IF(C181="","",VLOOKUP(C181,Categorias!$A$2:$C$54,2,FALSE))</f>
        <v>Entrada</v>
      </c>
      <c r="E181" t="str">
        <f>IF(C181="","",VLOOKUP(C181,Categorias!$A$2:$C$54,3,FALSE))</f>
        <v>Receita Bruta</v>
      </c>
      <c r="F181" s="37">
        <v>31.57</v>
      </c>
      <c r="G181" t="s">
        <v>153</v>
      </c>
      <c r="H181" s="3">
        <f t="shared" si="5"/>
        <v>46174</v>
      </c>
    </row>
    <row r="182" spans="1:8" x14ac:dyDescent="0.3">
      <c r="A182" s="2" t="s">
        <v>157</v>
      </c>
      <c r="B182" s="2" t="s">
        <v>180</v>
      </c>
      <c r="C182" t="s">
        <v>22</v>
      </c>
      <c r="D182" t="str">
        <f>IF(C182="","",VLOOKUP(C182,Categorias!$A$2:$C$54,2,FALSE))</f>
        <v>Saída</v>
      </c>
      <c r="E182" t="str">
        <f>IF(C182="","",VLOOKUP(C182,Categorias!$A$2:$C$54,3,FALSE))</f>
        <v>Despesas Financeiras</v>
      </c>
      <c r="F182" s="37">
        <v>-0.05</v>
      </c>
      <c r="G182" t="s">
        <v>153</v>
      </c>
      <c r="H182" s="3">
        <f t="shared" si="5"/>
        <v>46174</v>
      </c>
    </row>
    <row r="183" spans="1:8" x14ac:dyDescent="0.3">
      <c r="A183" s="2" t="s">
        <v>157</v>
      </c>
      <c r="B183" s="2" t="s">
        <v>248</v>
      </c>
      <c r="C183" t="s">
        <v>3</v>
      </c>
      <c r="D183" t="str">
        <f>IF(C183="","",VLOOKUP(C183,Categorias!$A$2:$C$54,2,FALSE))</f>
        <v>Entrada</v>
      </c>
      <c r="E183" t="str">
        <f>IF(C183="","",VLOOKUP(C183,Categorias!$A$2:$C$54,3,FALSE))</f>
        <v>Receita Bruta</v>
      </c>
      <c r="F183" s="37">
        <v>10.98</v>
      </c>
      <c r="G183" t="s">
        <v>153</v>
      </c>
      <c r="H183" s="3">
        <f t="shared" si="5"/>
        <v>46174</v>
      </c>
    </row>
    <row r="184" spans="1:8" x14ac:dyDescent="0.3">
      <c r="A184" s="2" t="s">
        <v>157</v>
      </c>
      <c r="B184" s="2" t="s">
        <v>180</v>
      </c>
      <c r="C184" t="s">
        <v>22</v>
      </c>
      <c r="D184" t="str">
        <f>IF(C184="","",VLOOKUP(C184,Categorias!$A$2:$C$54,2,FALSE))</f>
        <v>Saída</v>
      </c>
      <c r="E184" t="str">
        <f>IF(C184="","",VLOOKUP(C184,Categorias!$A$2:$C$54,3,FALSE))</f>
        <v>Despesas Financeiras</v>
      </c>
      <c r="F184" s="37">
        <v>-0.11</v>
      </c>
      <c r="G184" t="s">
        <v>153</v>
      </c>
      <c r="H184" s="3">
        <f t="shared" si="5"/>
        <v>46174</v>
      </c>
    </row>
    <row r="185" spans="1:8" x14ac:dyDescent="0.3">
      <c r="A185" s="2" t="s">
        <v>157</v>
      </c>
      <c r="B185" s="2" t="s">
        <v>252</v>
      </c>
      <c r="C185" t="s">
        <v>3</v>
      </c>
      <c r="D185" t="str">
        <f>IF(C185="","",VLOOKUP(C185,Categorias!$A$2:$C$54,2,FALSE))</f>
        <v>Entrada</v>
      </c>
      <c r="E185" t="str">
        <f>IF(C185="","",VLOOKUP(C185,Categorias!$A$2:$C$54,3,FALSE))</f>
        <v>Receita Bruta</v>
      </c>
      <c r="F185" s="37">
        <v>22.16</v>
      </c>
      <c r="G185" t="s">
        <v>153</v>
      </c>
      <c r="H185" s="3">
        <f t="shared" si="5"/>
        <v>46174</v>
      </c>
    </row>
    <row r="186" spans="1:8" x14ac:dyDescent="0.3">
      <c r="A186" s="2" t="s">
        <v>158</v>
      </c>
      <c r="B186" s="2" t="s">
        <v>253</v>
      </c>
      <c r="C186" t="s">
        <v>3</v>
      </c>
      <c r="D186" t="str">
        <f>IF(C186="","",VLOOKUP(C186,Categorias!$A$2:$C$54,2,FALSE))</f>
        <v>Entrada</v>
      </c>
      <c r="E186" t="str">
        <f>IF(C186="","",VLOOKUP(C186,Categorias!$A$2:$C$54,3,FALSE))</f>
        <v>Receita Bruta</v>
      </c>
      <c r="F186" s="37">
        <v>18</v>
      </c>
      <c r="G186" t="s">
        <v>152</v>
      </c>
      <c r="H186" s="3">
        <f t="shared" si="5"/>
        <v>46174</v>
      </c>
    </row>
    <row r="187" spans="1:8" x14ac:dyDescent="0.3">
      <c r="A187" s="2" t="s">
        <v>158</v>
      </c>
      <c r="B187" s="2" t="s">
        <v>254</v>
      </c>
      <c r="C187" t="s">
        <v>108</v>
      </c>
      <c r="D187" t="str">
        <f>IF(C187="","",VLOOKUP(C187,Categorias!$A$2:$C$54,2,FALSE))</f>
        <v>Saída</v>
      </c>
      <c r="E187" t="str">
        <f>IF(C187="","",VLOOKUP(C187,Categorias!$A$2:$C$54,3,FALSE))</f>
        <v>CMV</v>
      </c>
      <c r="F187" s="37">
        <v>-330.35</v>
      </c>
      <c r="G187" t="s">
        <v>152</v>
      </c>
      <c r="H187" s="3">
        <f t="shared" si="5"/>
        <v>46174</v>
      </c>
    </row>
    <row r="188" spans="1:8" x14ac:dyDescent="0.3">
      <c r="A188" s="2" t="s">
        <v>158</v>
      </c>
      <c r="B188" s="2" t="s">
        <v>255</v>
      </c>
      <c r="C188" t="s">
        <v>108</v>
      </c>
      <c r="D188" t="str">
        <f>IF(C188="","",VLOOKUP(C188,Categorias!$A$2:$C$54,2,FALSE))</f>
        <v>Saída</v>
      </c>
      <c r="E188" t="str">
        <f>IF(C188="","",VLOOKUP(C188,Categorias!$A$2:$C$54,3,FALSE))</f>
        <v>CMV</v>
      </c>
      <c r="F188" s="37">
        <v>-450</v>
      </c>
      <c r="G188" t="s">
        <v>152</v>
      </c>
      <c r="H188" s="3">
        <f t="shared" si="5"/>
        <v>46174</v>
      </c>
    </row>
    <row r="189" spans="1:8" x14ac:dyDescent="0.3">
      <c r="A189" s="2" t="s">
        <v>158</v>
      </c>
      <c r="B189" s="2" t="s">
        <v>254</v>
      </c>
      <c r="C189" t="s">
        <v>108</v>
      </c>
      <c r="D189" t="str">
        <f>IF(C189="","",VLOOKUP(C189,Categorias!$A$2:$C$54,2,FALSE))</f>
        <v>Saída</v>
      </c>
      <c r="E189" t="str">
        <f>IF(C189="","",VLOOKUP(C189,Categorias!$A$2:$C$54,3,FALSE))</f>
        <v>CMV</v>
      </c>
      <c r="F189" s="37">
        <v>-1674.15</v>
      </c>
      <c r="G189" t="s">
        <v>152</v>
      </c>
      <c r="H189" s="3">
        <f t="shared" si="5"/>
        <v>46174</v>
      </c>
    </row>
    <row r="190" spans="1:8" x14ac:dyDescent="0.3">
      <c r="A190" s="2" t="s">
        <v>158</v>
      </c>
      <c r="B190" s="2" t="s">
        <v>256</v>
      </c>
      <c r="C190" t="s">
        <v>108</v>
      </c>
      <c r="D190" t="str">
        <f>IF(C190="","",VLOOKUP(C190,Categorias!$A$2:$C$54,2,FALSE))</f>
        <v>Saída</v>
      </c>
      <c r="E190" t="str">
        <f>IF(C190="","",VLOOKUP(C190,Categorias!$A$2:$C$54,3,FALSE))</f>
        <v>CMV</v>
      </c>
      <c r="F190" s="37">
        <v>-143.63999999999999</v>
      </c>
      <c r="G190" t="s">
        <v>152</v>
      </c>
      <c r="H190" s="3">
        <f t="shared" si="5"/>
        <v>46174</v>
      </c>
    </row>
    <row r="191" spans="1:8" x14ac:dyDescent="0.3">
      <c r="A191" s="2" t="s">
        <v>158</v>
      </c>
      <c r="B191" s="2" t="s">
        <v>257</v>
      </c>
      <c r="C191" t="s">
        <v>108</v>
      </c>
      <c r="D191" t="str">
        <f>IF(C191="","",VLOOKUP(C191,Categorias!$A$2:$C$54,2,FALSE))</f>
        <v>Saída</v>
      </c>
      <c r="E191" t="str">
        <f>IF(C191="","",VLOOKUP(C191,Categorias!$A$2:$C$54,3,FALSE))</f>
        <v>CMV</v>
      </c>
      <c r="F191" s="37">
        <v>-365.46</v>
      </c>
      <c r="G191" t="s">
        <v>152</v>
      </c>
      <c r="H191" s="3">
        <f t="shared" si="5"/>
        <v>46174</v>
      </c>
    </row>
    <row r="192" spans="1:8" x14ac:dyDescent="0.3">
      <c r="A192" s="2" t="s">
        <v>158</v>
      </c>
      <c r="B192" s="2" t="s">
        <v>258</v>
      </c>
      <c r="C192" t="s">
        <v>3</v>
      </c>
      <c r="D192" t="str">
        <f>IF(C192="","",VLOOKUP(C192,Categorias!$A$2:$C$54,2,FALSE))</f>
        <v>Entrada</v>
      </c>
      <c r="E192" t="str">
        <f>IF(C192="","",VLOOKUP(C192,Categorias!$A$2:$C$54,3,FALSE))</f>
        <v>Receita Bruta</v>
      </c>
      <c r="F192" s="37">
        <v>11.99</v>
      </c>
      <c r="G192" t="s">
        <v>152</v>
      </c>
      <c r="H192" s="3">
        <f t="shared" si="5"/>
        <v>46174</v>
      </c>
    </row>
    <row r="193" spans="1:8" x14ac:dyDescent="0.3">
      <c r="A193" s="2" t="s">
        <v>158</v>
      </c>
      <c r="B193" s="2" t="s">
        <v>259</v>
      </c>
      <c r="C193" t="s">
        <v>108</v>
      </c>
      <c r="D193" t="str">
        <f>IF(C193="","",VLOOKUP(C193,Categorias!$A$2:$C$54,2,FALSE))</f>
        <v>Saída</v>
      </c>
      <c r="E193" t="str">
        <f>IF(C193="","",VLOOKUP(C193,Categorias!$A$2:$C$54,3,FALSE))</f>
        <v>CMV</v>
      </c>
      <c r="F193" s="37">
        <v>-126.96</v>
      </c>
      <c r="G193" t="s">
        <v>152</v>
      </c>
      <c r="H193" s="3">
        <f t="shared" ref="H193:H256" si="6">IF(A193="","",DATE(YEAR(A193),MONTH(A193),1))</f>
        <v>46174</v>
      </c>
    </row>
    <row r="194" spans="1:8" x14ac:dyDescent="0.3">
      <c r="A194" s="2" t="s">
        <v>158</v>
      </c>
      <c r="B194" s="2" t="s">
        <v>165</v>
      </c>
      <c r="C194" t="s">
        <v>3</v>
      </c>
      <c r="D194" t="str">
        <f>IF(C194="","",VLOOKUP(C194,Categorias!$A$2:$C$54,2,FALSE))</f>
        <v>Entrada</v>
      </c>
      <c r="E194" t="str">
        <f>IF(C194="","",VLOOKUP(C194,Categorias!$A$2:$C$54,3,FALSE))</f>
        <v>Receita Bruta</v>
      </c>
      <c r="F194" s="37">
        <v>39.81</v>
      </c>
      <c r="G194" t="s">
        <v>152</v>
      </c>
      <c r="H194" s="3">
        <f t="shared" si="6"/>
        <v>46174</v>
      </c>
    </row>
    <row r="195" spans="1:8" x14ac:dyDescent="0.3">
      <c r="A195" s="2" t="s">
        <v>158</v>
      </c>
      <c r="B195" s="2" t="s">
        <v>260</v>
      </c>
      <c r="C195" t="s">
        <v>108</v>
      </c>
      <c r="D195" t="str">
        <f>IF(C195="","",VLOOKUP(C195,Categorias!$A$2:$C$54,2,FALSE))</f>
        <v>Saída</v>
      </c>
      <c r="E195" t="str">
        <f>IF(C195="","",VLOOKUP(C195,Categorias!$A$2:$C$54,3,FALSE))</f>
        <v>CMV</v>
      </c>
      <c r="F195" s="37">
        <v>-228.76</v>
      </c>
      <c r="G195" t="s">
        <v>152</v>
      </c>
      <c r="H195" s="3">
        <f t="shared" si="6"/>
        <v>46174</v>
      </c>
    </row>
    <row r="196" spans="1:8" x14ac:dyDescent="0.3">
      <c r="A196" s="2" t="s">
        <v>158</v>
      </c>
      <c r="B196" s="2" t="s">
        <v>168</v>
      </c>
      <c r="C196" t="s">
        <v>108</v>
      </c>
      <c r="D196" t="str">
        <f>IF(C196="","",VLOOKUP(C196,Categorias!$A$2:$C$54,2,FALSE))</f>
        <v>Saída</v>
      </c>
      <c r="E196" t="str">
        <f>IF(C196="","",VLOOKUP(C196,Categorias!$A$2:$C$54,3,FALSE))</f>
        <v>CMV</v>
      </c>
      <c r="F196" s="37">
        <v>-854.27</v>
      </c>
      <c r="G196" t="s">
        <v>152</v>
      </c>
      <c r="H196" s="3">
        <f t="shared" si="6"/>
        <v>46174</v>
      </c>
    </row>
    <row r="197" spans="1:8" x14ac:dyDescent="0.3">
      <c r="A197" s="2" t="s">
        <v>158</v>
      </c>
      <c r="B197" s="2" t="s">
        <v>261</v>
      </c>
      <c r="C197" t="s">
        <v>108</v>
      </c>
      <c r="D197" t="str">
        <f>IF(C197="","",VLOOKUP(C197,Categorias!$A$2:$C$54,2,FALSE))</f>
        <v>Saída</v>
      </c>
      <c r="E197" t="str">
        <f>IF(C197="","",VLOOKUP(C197,Categorias!$A$2:$C$54,3,FALSE))</f>
        <v>CMV</v>
      </c>
      <c r="F197" s="37">
        <v>-612.1</v>
      </c>
      <c r="G197" t="s">
        <v>152</v>
      </c>
      <c r="H197" s="3">
        <f t="shared" si="6"/>
        <v>46174</v>
      </c>
    </row>
    <row r="198" spans="1:8" x14ac:dyDescent="0.3">
      <c r="A198" s="2" t="s">
        <v>158</v>
      </c>
      <c r="B198" s="2" t="s">
        <v>262</v>
      </c>
      <c r="C198" t="s">
        <v>3</v>
      </c>
      <c r="D198" t="str">
        <f>IF(C198="","",VLOOKUP(C198,Categorias!$A$2:$C$54,2,FALSE))</f>
        <v>Entrada</v>
      </c>
      <c r="E198" t="str">
        <f>IF(C198="","",VLOOKUP(C198,Categorias!$A$2:$C$54,3,FALSE))</f>
        <v>Receita Bruta</v>
      </c>
      <c r="F198" s="37">
        <v>110.88</v>
      </c>
      <c r="G198" t="s">
        <v>152</v>
      </c>
      <c r="H198" s="3">
        <f t="shared" si="6"/>
        <v>46174</v>
      </c>
    </row>
    <row r="199" spans="1:8" x14ac:dyDescent="0.3">
      <c r="A199" s="2" t="s">
        <v>158</v>
      </c>
      <c r="B199" s="2" t="s">
        <v>263</v>
      </c>
      <c r="C199" t="s">
        <v>3</v>
      </c>
      <c r="D199" t="str">
        <f>IF(C199="","",VLOOKUP(C199,Categorias!$A$2:$C$54,2,FALSE))</f>
        <v>Entrada</v>
      </c>
      <c r="E199" t="str">
        <f>IF(C199="","",VLOOKUP(C199,Categorias!$A$2:$C$54,3,FALSE))</f>
        <v>Receita Bruta</v>
      </c>
      <c r="F199" s="37">
        <v>507.03</v>
      </c>
      <c r="G199" t="s">
        <v>152</v>
      </c>
      <c r="H199" s="3">
        <f t="shared" si="6"/>
        <v>46174</v>
      </c>
    </row>
    <row r="200" spans="1:8" x14ac:dyDescent="0.3">
      <c r="A200" t="s">
        <v>158</v>
      </c>
      <c r="B200" t="s">
        <v>264</v>
      </c>
      <c r="C200" t="s">
        <v>3</v>
      </c>
      <c r="D200" t="str">
        <f>IF(C200="","",VLOOKUP(C200,Categorias!$A$2:$C$54,2,FALSE))</f>
        <v>Entrada</v>
      </c>
      <c r="E200" t="str">
        <f>IF(C200="","",VLOOKUP(C200,Categorias!$A$2:$C$54,3,FALSE))</f>
        <v>Receita Bruta</v>
      </c>
      <c r="F200" s="37">
        <v>1195.4100000000001</v>
      </c>
      <c r="G200" t="s">
        <v>152</v>
      </c>
      <c r="H200" s="3">
        <f t="shared" si="6"/>
        <v>46174</v>
      </c>
    </row>
    <row r="201" spans="1:8" x14ac:dyDescent="0.3">
      <c r="A201" t="s">
        <v>158</v>
      </c>
      <c r="B201" t="s">
        <v>175</v>
      </c>
      <c r="C201" t="s">
        <v>3</v>
      </c>
      <c r="D201" t="str">
        <f>IF(C201="","",VLOOKUP(C201,Categorias!$A$2:$C$54,2,FALSE))</f>
        <v>Entrada</v>
      </c>
      <c r="E201" t="str">
        <f>IF(C201="","",VLOOKUP(C201,Categorias!$A$2:$C$54,3,FALSE))</f>
        <v>Receita Bruta</v>
      </c>
      <c r="F201" s="37">
        <v>5.63</v>
      </c>
      <c r="G201" t="s">
        <v>152</v>
      </c>
      <c r="H201" s="3">
        <f t="shared" si="6"/>
        <v>46174</v>
      </c>
    </row>
    <row r="202" spans="1:8" x14ac:dyDescent="0.3">
      <c r="A202" t="s">
        <v>158</v>
      </c>
      <c r="B202" t="s">
        <v>265</v>
      </c>
      <c r="C202" t="s">
        <v>3</v>
      </c>
      <c r="D202" t="str">
        <f>IF(C202="","",VLOOKUP(C202,Categorias!$A$2:$C$54,2,FALSE))</f>
        <v>Entrada</v>
      </c>
      <c r="E202" t="str">
        <f>IF(C202="","",VLOOKUP(C202,Categorias!$A$2:$C$54,3,FALSE))</f>
        <v>Receita Bruta</v>
      </c>
      <c r="F202" s="37">
        <v>506.76</v>
      </c>
      <c r="G202" t="s">
        <v>152</v>
      </c>
      <c r="H202" s="3">
        <f t="shared" si="6"/>
        <v>46174</v>
      </c>
    </row>
    <row r="203" spans="1:8" x14ac:dyDescent="0.3">
      <c r="A203" t="s">
        <v>158</v>
      </c>
      <c r="B203" t="s">
        <v>266</v>
      </c>
      <c r="C203" t="s">
        <v>3</v>
      </c>
      <c r="D203" t="str">
        <f>IF(C203="","",VLOOKUP(C203,Categorias!$A$2:$C$54,2,FALSE))</f>
        <v>Entrada</v>
      </c>
      <c r="E203" t="str">
        <f>IF(C203="","",VLOOKUP(C203,Categorias!$A$2:$C$54,3,FALSE))</f>
        <v>Receita Bruta</v>
      </c>
      <c r="F203" s="37">
        <v>1204.3699999999999</v>
      </c>
      <c r="G203" t="s">
        <v>152</v>
      </c>
      <c r="H203" s="3">
        <f t="shared" si="6"/>
        <v>46174</v>
      </c>
    </row>
    <row r="204" spans="1:8" x14ac:dyDescent="0.3">
      <c r="A204" t="s">
        <v>158</v>
      </c>
      <c r="B204" t="s">
        <v>267</v>
      </c>
      <c r="C204" t="s">
        <v>3</v>
      </c>
      <c r="D204" t="str">
        <f>IF(C204="","",VLOOKUP(C204,Categorias!$A$2:$C$54,2,FALSE))</f>
        <v>Entrada</v>
      </c>
      <c r="E204" t="str">
        <f>IF(C204="","",VLOOKUP(C204,Categorias!$A$2:$C$54,3,FALSE))</f>
        <v>Receita Bruta</v>
      </c>
      <c r="F204" s="37">
        <v>91.55</v>
      </c>
      <c r="G204" t="s">
        <v>152</v>
      </c>
      <c r="H204" s="3">
        <f t="shared" si="6"/>
        <v>46174</v>
      </c>
    </row>
    <row r="205" spans="1:8" x14ac:dyDescent="0.3">
      <c r="A205" t="s">
        <v>158</v>
      </c>
      <c r="B205" t="s">
        <v>180</v>
      </c>
      <c r="C205" t="s">
        <v>22</v>
      </c>
      <c r="D205" t="str">
        <f>IF(C205="","",VLOOKUP(C205,Categorias!$A$2:$C$54,2,FALSE))</f>
        <v>Saída</v>
      </c>
      <c r="E205" t="str">
        <f>IF(C205="","",VLOOKUP(C205,Categorias!$A$2:$C$54,3,FALSE))</f>
        <v>Despesas Financeiras</v>
      </c>
      <c r="F205" s="37">
        <v>-0.06</v>
      </c>
      <c r="G205" t="s">
        <v>153</v>
      </c>
      <c r="H205" s="3">
        <f t="shared" si="6"/>
        <v>46174</v>
      </c>
    </row>
    <row r="206" spans="1:8" x14ac:dyDescent="0.3">
      <c r="A206" t="s">
        <v>158</v>
      </c>
      <c r="B206" t="s">
        <v>268</v>
      </c>
      <c r="C206" t="s">
        <v>3</v>
      </c>
      <c r="D206" t="str">
        <f>IF(C206="","",VLOOKUP(C206,Categorias!$A$2:$C$54,2,FALSE))</f>
        <v>Entrada</v>
      </c>
      <c r="E206" t="str">
        <f>IF(C206="","",VLOOKUP(C206,Categorias!$A$2:$C$54,3,FALSE))</f>
        <v>Receita Bruta</v>
      </c>
      <c r="F206" s="37">
        <v>12.99</v>
      </c>
      <c r="G206" t="s">
        <v>153</v>
      </c>
      <c r="H206" s="3">
        <f t="shared" si="6"/>
        <v>46174</v>
      </c>
    </row>
    <row r="207" spans="1:8" x14ac:dyDescent="0.3">
      <c r="A207" t="s">
        <v>158</v>
      </c>
      <c r="B207" t="s">
        <v>180</v>
      </c>
      <c r="C207" t="s">
        <v>22</v>
      </c>
      <c r="D207" t="str">
        <f>IF(C207="","",VLOOKUP(C207,Categorias!$A$2:$C$54,2,FALSE))</f>
        <v>Saída</v>
      </c>
      <c r="E207" t="str">
        <f>IF(C207="","",VLOOKUP(C207,Categorias!$A$2:$C$54,3,FALSE))</f>
        <v>Despesas Financeiras</v>
      </c>
      <c r="F207" s="37">
        <v>-0.02</v>
      </c>
      <c r="G207" t="s">
        <v>153</v>
      </c>
      <c r="H207" s="3">
        <f t="shared" si="6"/>
        <v>46174</v>
      </c>
    </row>
    <row r="208" spans="1:8" x14ac:dyDescent="0.3">
      <c r="A208" t="s">
        <v>158</v>
      </c>
      <c r="B208" t="s">
        <v>188</v>
      </c>
      <c r="C208" t="s">
        <v>3</v>
      </c>
      <c r="D208" t="str">
        <f>IF(C208="","",VLOOKUP(C208,Categorias!$A$2:$C$54,2,FALSE))</f>
        <v>Entrada</v>
      </c>
      <c r="E208" t="str">
        <f>IF(C208="","",VLOOKUP(C208,Categorias!$A$2:$C$54,3,FALSE))</f>
        <v>Receita Bruta</v>
      </c>
      <c r="F208" s="37">
        <v>5.49</v>
      </c>
      <c r="G208" t="s">
        <v>153</v>
      </c>
      <c r="H208" s="3">
        <f t="shared" si="6"/>
        <v>46174</v>
      </c>
    </row>
    <row r="209" spans="1:8" x14ac:dyDescent="0.3">
      <c r="A209" t="s">
        <v>158</v>
      </c>
      <c r="B209" t="s">
        <v>180</v>
      </c>
      <c r="C209" t="s">
        <v>22</v>
      </c>
      <c r="D209" t="str">
        <f>IF(C209="","",VLOOKUP(C209,Categorias!$A$2:$C$54,2,FALSE))</f>
        <v>Saída</v>
      </c>
      <c r="E209" t="str">
        <f>IF(C209="","",VLOOKUP(C209,Categorias!$A$2:$C$54,3,FALSE))</f>
        <v>Despesas Financeiras</v>
      </c>
      <c r="F209" s="37">
        <v>-0.17</v>
      </c>
      <c r="G209" t="s">
        <v>153</v>
      </c>
      <c r="H209" s="3">
        <f t="shared" si="6"/>
        <v>46174</v>
      </c>
    </row>
    <row r="210" spans="1:8" x14ac:dyDescent="0.3">
      <c r="A210" t="s">
        <v>158</v>
      </c>
      <c r="B210" t="s">
        <v>269</v>
      </c>
      <c r="C210" t="s">
        <v>3</v>
      </c>
      <c r="D210" t="str">
        <f>IF(C210="","",VLOOKUP(C210,Categorias!$A$2:$C$54,2,FALSE))</f>
        <v>Entrada</v>
      </c>
      <c r="E210" t="str">
        <f>IF(C210="","",VLOOKUP(C210,Categorias!$A$2:$C$54,3,FALSE))</f>
        <v>Receita Bruta</v>
      </c>
      <c r="F210" s="37">
        <v>35.96</v>
      </c>
      <c r="G210" t="s">
        <v>153</v>
      </c>
      <c r="H210" s="3">
        <f t="shared" si="6"/>
        <v>46174</v>
      </c>
    </row>
    <row r="211" spans="1:8" x14ac:dyDescent="0.3">
      <c r="A211" t="s">
        <v>158</v>
      </c>
      <c r="B211" t="s">
        <v>180</v>
      </c>
      <c r="C211" t="s">
        <v>22</v>
      </c>
      <c r="D211" t="str">
        <f>IF(C211="","",VLOOKUP(C211,Categorias!$A$2:$C$54,2,FALSE))</f>
        <v>Saída</v>
      </c>
      <c r="E211" t="str">
        <f>IF(C211="","",VLOOKUP(C211,Categorias!$A$2:$C$54,3,FALSE))</f>
        <v>Despesas Financeiras</v>
      </c>
      <c r="F211" s="37">
        <v>-0.09</v>
      </c>
      <c r="G211" t="s">
        <v>153</v>
      </c>
      <c r="H211" s="3">
        <f t="shared" si="6"/>
        <v>46174</v>
      </c>
    </row>
    <row r="212" spans="1:8" x14ac:dyDescent="0.3">
      <c r="A212" t="s">
        <v>158</v>
      </c>
      <c r="B212" t="s">
        <v>183</v>
      </c>
      <c r="C212" t="s">
        <v>3</v>
      </c>
      <c r="D212" t="str">
        <f>IF(C212="","",VLOOKUP(C212,Categorias!$A$2:$C$54,2,FALSE))</f>
        <v>Entrada</v>
      </c>
      <c r="E212" t="str">
        <f>IF(C212="","",VLOOKUP(C212,Categorias!$A$2:$C$54,3,FALSE))</f>
        <v>Receita Bruta</v>
      </c>
      <c r="F212" s="37">
        <v>19.88</v>
      </c>
      <c r="G212" t="s">
        <v>153</v>
      </c>
      <c r="H212" s="3">
        <f t="shared" si="6"/>
        <v>46174</v>
      </c>
    </row>
    <row r="213" spans="1:8" x14ac:dyDescent="0.3">
      <c r="A213" t="s">
        <v>158</v>
      </c>
      <c r="B213" t="s">
        <v>180</v>
      </c>
      <c r="C213" t="s">
        <v>22</v>
      </c>
      <c r="D213" t="str">
        <f>IF(C213="","",VLOOKUP(C213,Categorias!$A$2:$C$54,2,FALSE))</f>
        <v>Saída</v>
      </c>
      <c r="E213" t="str">
        <f>IF(C213="","",VLOOKUP(C213,Categorias!$A$2:$C$54,3,FALSE))</f>
        <v>Despesas Financeiras</v>
      </c>
      <c r="F213" s="37">
        <v>-0.01</v>
      </c>
      <c r="G213" t="s">
        <v>153</v>
      </c>
      <c r="H213" s="3">
        <f t="shared" si="6"/>
        <v>46174</v>
      </c>
    </row>
    <row r="214" spans="1:8" x14ac:dyDescent="0.3">
      <c r="A214" t="s">
        <v>158</v>
      </c>
      <c r="B214" t="s">
        <v>270</v>
      </c>
      <c r="C214" t="s">
        <v>3</v>
      </c>
      <c r="D214" t="str">
        <f>IF(C214="","",VLOOKUP(C214,Categorias!$A$2:$C$54,2,FALSE))</f>
        <v>Entrada</v>
      </c>
      <c r="E214" t="str">
        <f>IF(C214="","",VLOOKUP(C214,Categorias!$A$2:$C$54,3,FALSE))</f>
        <v>Receita Bruta</v>
      </c>
      <c r="F214" s="37">
        <v>3.99</v>
      </c>
      <c r="G214" t="s">
        <v>153</v>
      </c>
      <c r="H214" s="3">
        <f t="shared" si="6"/>
        <v>46174</v>
      </c>
    </row>
    <row r="215" spans="1:8" x14ac:dyDescent="0.3">
      <c r="A215" t="s">
        <v>158</v>
      </c>
      <c r="B215" t="s">
        <v>180</v>
      </c>
      <c r="C215" t="s">
        <v>22</v>
      </c>
      <c r="D215" t="str">
        <f>IF(C215="","",VLOOKUP(C215,Categorias!$A$2:$C$54,2,FALSE))</f>
        <v>Saída</v>
      </c>
      <c r="E215" t="str">
        <f>IF(C215="","",VLOOKUP(C215,Categorias!$A$2:$C$54,3,FALSE))</f>
        <v>Despesas Financeiras</v>
      </c>
      <c r="F215" s="37">
        <v>-0.02</v>
      </c>
      <c r="G215" t="s">
        <v>153</v>
      </c>
      <c r="H215" s="3">
        <f t="shared" si="6"/>
        <v>46174</v>
      </c>
    </row>
    <row r="216" spans="1:8" x14ac:dyDescent="0.3">
      <c r="A216" t="s">
        <v>158</v>
      </c>
      <c r="B216" t="s">
        <v>271</v>
      </c>
      <c r="C216" t="s">
        <v>3</v>
      </c>
      <c r="D216" t="str">
        <f>IF(C216="","",VLOOKUP(C216,Categorias!$A$2:$C$54,2,FALSE))</f>
        <v>Entrada</v>
      </c>
      <c r="E216" t="str">
        <f>IF(C216="","",VLOOKUP(C216,Categorias!$A$2:$C$54,3,FALSE))</f>
        <v>Receita Bruta</v>
      </c>
      <c r="F216" s="37">
        <v>5.89</v>
      </c>
      <c r="G216" t="s">
        <v>153</v>
      </c>
      <c r="H216" s="3">
        <f t="shared" si="6"/>
        <v>46174</v>
      </c>
    </row>
    <row r="217" spans="1:8" x14ac:dyDescent="0.3">
      <c r="A217" t="s">
        <v>158</v>
      </c>
      <c r="B217" t="s">
        <v>180</v>
      </c>
      <c r="C217" t="s">
        <v>22</v>
      </c>
      <c r="D217" t="str">
        <f>IF(C217="","",VLOOKUP(C217,Categorias!$A$2:$C$54,2,FALSE))</f>
        <v>Saída</v>
      </c>
      <c r="E217" t="str">
        <f>IF(C217="","",VLOOKUP(C217,Categorias!$A$2:$C$54,3,FALSE))</f>
        <v>Despesas Financeiras</v>
      </c>
      <c r="F217" s="37">
        <v>-0.04</v>
      </c>
      <c r="G217" t="s">
        <v>153</v>
      </c>
      <c r="H217" s="3">
        <f t="shared" si="6"/>
        <v>46174</v>
      </c>
    </row>
    <row r="218" spans="1:8" x14ac:dyDescent="0.3">
      <c r="A218" t="s">
        <v>158</v>
      </c>
      <c r="B218" t="s">
        <v>233</v>
      </c>
      <c r="C218" t="s">
        <v>3</v>
      </c>
      <c r="D218" t="str">
        <f>IF(C218="","",VLOOKUP(C218,Categorias!$A$2:$C$54,2,FALSE))</f>
        <v>Entrada</v>
      </c>
      <c r="E218" t="str">
        <f>IF(C218="","",VLOOKUP(C218,Categorias!$A$2:$C$54,3,FALSE))</f>
        <v>Receita Bruta</v>
      </c>
      <c r="F218" s="37">
        <v>8.99</v>
      </c>
      <c r="G218" t="s">
        <v>153</v>
      </c>
      <c r="H218" s="3">
        <f t="shared" si="6"/>
        <v>46174</v>
      </c>
    </row>
    <row r="219" spans="1:8" x14ac:dyDescent="0.3">
      <c r="A219" t="s">
        <v>158</v>
      </c>
      <c r="B219" t="s">
        <v>180</v>
      </c>
      <c r="C219" t="s">
        <v>22</v>
      </c>
      <c r="D219" t="str">
        <f>IF(C219="","",VLOOKUP(C219,Categorias!$A$2:$C$54,2,FALSE))</f>
        <v>Saída</v>
      </c>
      <c r="E219" t="str">
        <f>IF(C219="","",VLOOKUP(C219,Categorias!$A$2:$C$54,3,FALSE))</f>
        <v>Despesas Financeiras</v>
      </c>
      <c r="F219" s="37">
        <v>-0.09</v>
      </c>
      <c r="G219" t="s">
        <v>153</v>
      </c>
      <c r="H219" s="3">
        <f t="shared" si="6"/>
        <v>46174</v>
      </c>
    </row>
    <row r="220" spans="1:8" x14ac:dyDescent="0.3">
      <c r="A220" t="s">
        <v>158</v>
      </c>
      <c r="B220" t="s">
        <v>272</v>
      </c>
      <c r="C220" t="s">
        <v>3</v>
      </c>
      <c r="D220" t="str">
        <f>IF(C220="","",VLOOKUP(C220,Categorias!$A$2:$C$54,2,FALSE))</f>
        <v>Entrada</v>
      </c>
      <c r="E220" t="str">
        <f>IF(C220="","",VLOOKUP(C220,Categorias!$A$2:$C$54,3,FALSE))</f>
        <v>Receita Bruta</v>
      </c>
      <c r="F220" s="37">
        <v>19.649999999999999</v>
      </c>
      <c r="G220" t="s">
        <v>153</v>
      </c>
      <c r="H220" s="3">
        <f t="shared" si="6"/>
        <v>46174</v>
      </c>
    </row>
    <row r="221" spans="1:8" x14ac:dyDescent="0.3">
      <c r="A221" t="s">
        <v>158</v>
      </c>
      <c r="B221" t="s">
        <v>180</v>
      </c>
      <c r="C221" t="s">
        <v>22</v>
      </c>
      <c r="D221" t="str">
        <f>IF(C221="","",VLOOKUP(C221,Categorias!$A$2:$C$54,2,FALSE))</f>
        <v>Saída</v>
      </c>
      <c r="E221" t="str">
        <f>IF(C221="","",VLOOKUP(C221,Categorias!$A$2:$C$54,3,FALSE))</f>
        <v>Despesas Financeiras</v>
      </c>
      <c r="F221" s="37">
        <v>-1.32</v>
      </c>
      <c r="G221" t="s">
        <v>153</v>
      </c>
      <c r="H221" s="3">
        <f t="shared" si="6"/>
        <v>46174</v>
      </c>
    </row>
    <row r="222" spans="1:8" x14ac:dyDescent="0.3">
      <c r="A222" t="s">
        <v>158</v>
      </c>
      <c r="B222" t="s">
        <v>273</v>
      </c>
      <c r="C222" t="s">
        <v>3</v>
      </c>
      <c r="D222" t="str">
        <f>IF(C222="","",VLOOKUP(C222,Categorias!$A$2:$C$54,2,FALSE))</f>
        <v>Entrada</v>
      </c>
      <c r="E222" t="str">
        <f>IF(C222="","",VLOOKUP(C222,Categorias!$A$2:$C$54,3,FALSE))</f>
        <v>Receita Bruta</v>
      </c>
      <c r="F222" s="37">
        <v>264.64</v>
      </c>
      <c r="G222" t="s">
        <v>153</v>
      </c>
      <c r="H222" s="3">
        <f t="shared" si="6"/>
        <v>46174</v>
      </c>
    </row>
    <row r="223" spans="1:8" x14ac:dyDescent="0.3">
      <c r="A223" t="s">
        <v>158</v>
      </c>
      <c r="B223" t="s">
        <v>180</v>
      </c>
      <c r="C223" t="s">
        <v>22</v>
      </c>
      <c r="D223" t="str">
        <f>IF(C223="","",VLOOKUP(C223,Categorias!$A$2:$C$54,2,FALSE))</f>
        <v>Saída</v>
      </c>
      <c r="E223" t="str">
        <f>IF(C223="","",VLOOKUP(C223,Categorias!$A$2:$C$54,3,FALSE))</f>
        <v>Despesas Financeiras</v>
      </c>
      <c r="F223" s="37">
        <v>-0.26</v>
      </c>
      <c r="G223" t="s">
        <v>153</v>
      </c>
      <c r="H223" s="3">
        <f t="shared" si="6"/>
        <v>46174</v>
      </c>
    </row>
    <row r="224" spans="1:8" x14ac:dyDescent="0.3">
      <c r="A224" t="s">
        <v>158</v>
      </c>
      <c r="B224" t="s">
        <v>274</v>
      </c>
      <c r="C224" t="s">
        <v>3</v>
      </c>
      <c r="D224" t="str">
        <f>IF(C224="","",VLOOKUP(C224,Categorias!$A$2:$C$54,2,FALSE))</f>
        <v>Entrada</v>
      </c>
      <c r="E224" t="str">
        <f>IF(C224="","",VLOOKUP(C224,Categorias!$A$2:$C$54,3,FALSE))</f>
        <v>Receita Bruta</v>
      </c>
      <c r="F224" s="37">
        <v>52.97</v>
      </c>
      <c r="G224" t="s">
        <v>153</v>
      </c>
      <c r="H224" s="3">
        <f t="shared" si="6"/>
        <v>46174</v>
      </c>
    </row>
    <row r="225" spans="1:8" x14ac:dyDescent="0.3">
      <c r="A225" t="s">
        <v>158</v>
      </c>
      <c r="B225" t="s">
        <v>180</v>
      </c>
      <c r="C225" t="s">
        <v>22</v>
      </c>
      <c r="D225" t="str">
        <f>IF(C225="","",VLOOKUP(C225,Categorias!$A$2:$C$54,2,FALSE))</f>
        <v>Saída</v>
      </c>
      <c r="E225" t="str">
        <f>IF(C225="","",VLOOKUP(C225,Categorias!$A$2:$C$54,3,FALSE))</f>
        <v>Despesas Financeiras</v>
      </c>
      <c r="F225" s="37">
        <v>-0.35</v>
      </c>
      <c r="G225" t="s">
        <v>153</v>
      </c>
      <c r="H225" s="3">
        <f t="shared" si="6"/>
        <v>46174</v>
      </c>
    </row>
    <row r="226" spans="1:8" x14ac:dyDescent="0.3">
      <c r="A226" t="s">
        <v>158</v>
      </c>
      <c r="B226" t="s">
        <v>210</v>
      </c>
      <c r="C226" t="s">
        <v>3</v>
      </c>
      <c r="D226" t="str">
        <f>IF(C226="","",VLOOKUP(C226,Categorias!$A$2:$C$54,2,FALSE))</f>
        <v>Entrada</v>
      </c>
      <c r="E226" t="str">
        <f>IF(C226="","",VLOOKUP(C226,Categorias!$A$2:$C$54,3,FALSE))</f>
        <v>Receita Bruta</v>
      </c>
      <c r="F226" s="37">
        <v>71.92</v>
      </c>
      <c r="G226" t="s">
        <v>153</v>
      </c>
      <c r="H226" s="3">
        <f t="shared" si="6"/>
        <v>46174</v>
      </c>
    </row>
    <row r="227" spans="1:8" x14ac:dyDescent="0.3">
      <c r="A227" t="s">
        <v>158</v>
      </c>
      <c r="B227" t="s">
        <v>180</v>
      </c>
      <c r="C227" t="s">
        <v>22</v>
      </c>
      <c r="D227" t="str">
        <f>IF(C227="","",VLOOKUP(C227,Categorias!$A$2:$C$54,2,FALSE))</f>
        <v>Saída</v>
      </c>
      <c r="E227" t="str">
        <f>IF(C227="","",VLOOKUP(C227,Categorias!$A$2:$C$54,3,FALSE))</f>
        <v>Despesas Financeiras</v>
      </c>
      <c r="F227" s="37">
        <v>-0.1</v>
      </c>
      <c r="G227" t="s">
        <v>153</v>
      </c>
      <c r="H227" s="3">
        <f t="shared" si="6"/>
        <v>46174</v>
      </c>
    </row>
    <row r="228" spans="1:8" x14ac:dyDescent="0.3">
      <c r="A228" t="s">
        <v>158</v>
      </c>
      <c r="B228" t="s">
        <v>209</v>
      </c>
      <c r="C228" t="s">
        <v>3</v>
      </c>
      <c r="D228" t="str">
        <f>IF(C228="","",VLOOKUP(C228,Categorias!$A$2:$C$54,2,FALSE))</f>
        <v>Entrada</v>
      </c>
      <c r="E228" t="str">
        <f>IF(C228="","",VLOOKUP(C228,Categorias!$A$2:$C$54,3,FALSE))</f>
        <v>Receita Bruta</v>
      </c>
      <c r="F228" s="37">
        <v>20.97</v>
      </c>
      <c r="G228" t="s">
        <v>153</v>
      </c>
      <c r="H228" s="3">
        <f t="shared" si="6"/>
        <v>46174</v>
      </c>
    </row>
    <row r="229" spans="1:8" x14ac:dyDescent="0.3">
      <c r="A229" t="s">
        <v>158</v>
      </c>
      <c r="B229" t="s">
        <v>180</v>
      </c>
      <c r="C229" t="s">
        <v>22</v>
      </c>
      <c r="D229" t="str">
        <f>IF(C229="","",VLOOKUP(C229,Categorias!$A$2:$C$54,2,FALSE))</f>
        <v>Saída</v>
      </c>
      <c r="E229" t="str">
        <f>IF(C229="","",VLOOKUP(C229,Categorias!$A$2:$C$54,3,FALSE))</f>
        <v>Despesas Financeiras</v>
      </c>
      <c r="F229" s="37">
        <v>-0.18</v>
      </c>
      <c r="G229" t="s">
        <v>153</v>
      </c>
      <c r="H229" s="3">
        <f t="shared" si="6"/>
        <v>46174</v>
      </c>
    </row>
    <row r="230" spans="1:8" x14ac:dyDescent="0.3">
      <c r="A230" t="s">
        <v>158</v>
      </c>
      <c r="B230" t="s">
        <v>275</v>
      </c>
      <c r="C230" t="s">
        <v>3</v>
      </c>
      <c r="D230" t="str">
        <f>IF(C230="","",VLOOKUP(C230,Categorias!$A$2:$C$54,2,FALSE))</f>
        <v>Entrada</v>
      </c>
      <c r="E230" t="str">
        <f>IF(C230="","",VLOOKUP(C230,Categorias!$A$2:$C$54,3,FALSE))</f>
        <v>Receita Bruta</v>
      </c>
      <c r="F230" s="37">
        <v>36.97</v>
      </c>
      <c r="G230" t="s">
        <v>153</v>
      </c>
      <c r="H230" s="3">
        <f t="shared" si="6"/>
        <v>46174</v>
      </c>
    </row>
    <row r="231" spans="1:8" x14ac:dyDescent="0.3">
      <c r="A231" t="s">
        <v>158</v>
      </c>
      <c r="B231" t="s">
        <v>180</v>
      </c>
      <c r="C231" t="s">
        <v>22</v>
      </c>
      <c r="D231" t="str">
        <f>IF(C231="","",VLOOKUP(C231,Categorias!$A$2:$C$54,2,FALSE))</f>
        <v>Saída</v>
      </c>
      <c r="E231" t="str">
        <f>IF(C231="","",VLOOKUP(C231,Categorias!$A$2:$C$54,3,FALSE))</f>
        <v>Despesas Financeiras</v>
      </c>
      <c r="F231" s="37">
        <v>-7.0000000000000007E-2</v>
      </c>
      <c r="G231" t="s">
        <v>153</v>
      </c>
      <c r="H231" s="3">
        <f t="shared" si="6"/>
        <v>46174</v>
      </c>
    </row>
    <row r="232" spans="1:8" x14ac:dyDescent="0.3">
      <c r="A232" t="s">
        <v>158</v>
      </c>
      <c r="B232" t="s">
        <v>229</v>
      </c>
      <c r="C232" t="s">
        <v>3</v>
      </c>
      <c r="D232" t="str">
        <f>IF(C232="","",VLOOKUP(C232,Categorias!$A$2:$C$54,2,FALSE))</f>
        <v>Entrada</v>
      </c>
      <c r="E232" t="str">
        <f>IF(C232="","",VLOOKUP(C232,Categorias!$A$2:$C$54,3,FALSE))</f>
        <v>Receita Bruta</v>
      </c>
      <c r="F232" s="37">
        <v>15.99</v>
      </c>
      <c r="G232" t="s">
        <v>153</v>
      </c>
      <c r="H232" s="3">
        <f t="shared" si="6"/>
        <v>46174</v>
      </c>
    </row>
    <row r="233" spans="1:8" x14ac:dyDescent="0.3">
      <c r="A233" t="s">
        <v>158</v>
      </c>
      <c r="B233" t="s">
        <v>180</v>
      </c>
      <c r="C233" t="s">
        <v>22</v>
      </c>
      <c r="D233" t="str">
        <f>IF(C233="","",VLOOKUP(C233,Categorias!$A$2:$C$54,2,FALSE))</f>
        <v>Saída</v>
      </c>
      <c r="E233" t="str">
        <f>IF(C233="","",VLOOKUP(C233,Categorias!$A$2:$C$54,3,FALSE))</f>
        <v>Despesas Financeiras</v>
      </c>
      <c r="F233" s="37">
        <v>-0.15</v>
      </c>
      <c r="G233" t="s">
        <v>153</v>
      </c>
      <c r="H233" s="3">
        <f t="shared" si="6"/>
        <v>46174</v>
      </c>
    </row>
    <row r="234" spans="1:8" x14ac:dyDescent="0.3">
      <c r="A234" t="s">
        <v>158</v>
      </c>
      <c r="B234" t="s">
        <v>269</v>
      </c>
      <c r="C234" t="s">
        <v>3</v>
      </c>
      <c r="D234" t="str">
        <f>IF(C234="","",VLOOKUP(C234,Categorias!$A$2:$C$54,2,FALSE))</f>
        <v>Entrada</v>
      </c>
      <c r="E234" t="str">
        <f>IF(C234="","",VLOOKUP(C234,Categorias!$A$2:$C$54,3,FALSE))</f>
        <v>Receita Bruta</v>
      </c>
      <c r="F234" s="37">
        <v>30.67</v>
      </c>
      <c r="G234" t="s">
        <v>153</v>
      </c>
      <c r="H234" s="3">
        <f t="shared" si="6"/>
        <v>46174</v>
      </c>
    </row>
    <row r="235" spans="1:8" x14ac:dyDescent="0.3">
      <c r="A235" t="s">
        <v>158</v>
      </c>
      <c r="B235" t="s">
        <v>180</v>
      </c>
      <c r="C235" t="s">
        <v>22</v>
      </c>
      <c r="D235" t="str">
        <f>IF(C235="","",VLOOKUP(C235,Categorias!$A$2:$C$54,2,FALSE))</f>
        <v>Saída</v>
      </c>
      <c r="E235" t="str">
        <f>IF(C235="","",VLOOKUP(C235,Categorias!$A$2:$C$54,3,FALSE))</f>
        <v>Despesas Financeiras</v>
      </c>
      <c r="F235" s="37">
        <v>-0.08</v>
      </c>
      <c r="G235" t="s">
        <v>153</v>
      </c>
      <c r="H235" s="3">
        <f t="shared" si="6"/>
        <v>46174</v>
      </c>
    </row>
    <row r="236" spans="1:8" x14ac:dyDescent="0.3">
      <c r="A236" t="s">
        <v>158</v>
      </c>
      <c r="B236" t="s">
        <v>214</v>
      </c>
      <c r="C236" t="s">
        <v>3</v>
      </c>
      <c r="D236" t="str">
        <f>IF(C236="","",VLOOKUP(C236,Categorias!$A$2:$C$54,2,FALSE))</f>
        <v>Entrada</v>
      </c>
      <c r="E236" t="str">
        <f>IF(C236="","",VLOOKUP(C236,Categorias!$A$2:$C$54,3,FALSE))</f>
        <v>Receita Bruta</v>
      </c>
      <c r="F236" s="37">
        <v>16.170000000000002</v>
      </c>
      <c r="G236" t="s">
        <v>153</v>
      </c>
      <c r="H236" s="3">
        <f t="shared" si="6"/>
        <v>46174</v>
      </c>
    </row>
    <row r="237" spans="1:8" x14ac:dyDescent="0.3">
      <c r="A237" t="s">
        <v>158</v>
      </c>
      <c r="B237" t="s">
        <v>180</v>
      </c>
      <c r="C237" t="s">
        <v>22</v>
      </c>
      <c r="D237" t="str">
        <f>IF(C237="","",VLOOKUP(C237,Categorias!$A$2:$C$54,2,FALSE))</f>
        <v>Saída</v>
      </c>
      <c r="E237" t="str">
        <f>IF(C237="","",VLOOKUP(C237,Categorias!$A$2:$C$54,3,FALSE))</f>
        <v>Despesas Financeiras</v>
      </c>
      <c r="F237" s="37">
        <v>-0.03</v>
      </c>
      <c r="G237" t="s">
        <v>153</v>
      </c>
      <c r="H237" s="3">
        <f t="shared" si="6"/>
        <v>46174</v>
      </c>
    </row>
    <row r="238" spans="1:8" x14ac:dyDescent="0.3">
      <c r="A238" t="s">
        <v>158</v>
      </c>
      <c r="B238" t="s">
        <v>276</v>
      </c>
      <c r="C238" t="s">
        <v>3</v>
      </c>
      <c r="D238" t="str">
        <f>IF(C238="","",VLOOKUP(C238,Categorias!$A$2:$C$54,2,FALSE))</f>
        <v>Entrada</v>
      </c>
      <c r="E238" t="str">
        <f>IF(C238="","",VLOOKUP(C238,Categorias!$A$2:$C$54,3,FALSE))</f>
        <v>Receita Bruta</v>
      </c>
      <c r="F238" s="37">
        <v>7.99</v>
      </c>
      <c r="G238" t="s">
        <v>153</v>
      </c>
      <c r="H238" s="3">
        <f t="shared" si="6"/>
        <v>46174</v>
      </c>
    </row>
    <row r="239" spans="1:8" x14ac:dyDescent="0.3">
      <c r="A239" t="s">
        <v>158</v>
      </c>
      <c r="B239" t="s">
        <v>180</v>
      </c>
      <c r="C239" t="s">
        <v>22</v>
      </c>
      <c r="D239" t="str">
        <f>IF(C239="","",VLOOKUP(C239,Categorias!$A$2:$C$54,2,FALSE))</f>
        <v>Saída</v>
      </c>
      <c r="E239" t="str">
        <f>IF(C239="","",VLOOKUP(C239,Categorias!$A$2:$C$54,3,FALSE))</f>
        <v>Despesas Financeiras</v>
      </c>
      <c r="F239" s="37">
        <v>-0.09</v>
      </c>
      <c r="G239" t="s">
        <v>153</v>
      </c>
      <c r="H239" s="3">
        <f t="shared" si="6"/>
        <v>46174</v>
      </c>
    </row>
    <row r="240" spans="1:8" x14ac:dyDescent="0.3">
      <c r="A240" t="s">
        <v>158</v>
      </c>
      <c r="B240" t="s">
        <v>277</v>
      </c>
      <c r="C240" t="s">
        <v>3</v>
      </c>
      <c r="D240" t="str">
        <f>IF(C240="","",VLOOKUP(C240,Categorias!$A$2:$C$54,2,FALSE))</f>
        <v>Entrada</v>
      </c>
      <c r="E240" t="str">
        <f>IF(C240="","",VLOOKUP(C240,Categorias!$A$2:$C$54,3,FALSE))</f>
        <v>Receita Bruta</v>
      </c>
      <c r="F240" s="37">
        <v>18.989999999999998</v>
      </c>
      <c r="G240" t="s">
        <v>153</v>
      </c>
      <c r="H240" s="3">
        <f t="shared" si="6"/>
        <v>46174</v>
      </c>
    </row>
    <row r="241" spans="1:8" x14ac:dyDescent="0.3">
      <c r="A241" t="s">
        <v>158</v>
      </c>
      <c r="B241" t="s">
        <v>180</v>
      </c>
      <c r="C241" t="s">
        <v>22</v>
      </c>
      <c r="D241" t="str">
        <f>IF(C241="","",VLOOKUP(C241,Categorias!$A$2:$C$54,2,FALSE))</f>
        <v>Saída</v>
      </c>
      <c r="E241" t="str">
        <f>IF(C241="","",VLOOKUP(C241,Categorias!$A$2:$C$54,3,FALSE))</f>
        <v>Despesas Financeiras</v>
      </c>
      <c r="F241" s="37">
        <v>-0.15</v>
      </c>
      <c r="G241" t="s">
        <v>153</v>
      </c>
      <c r="H241" s="3">
        <f t="shared" si="6"/>
        <v>46174</v>
      </c>
    </row>
    <row r="242" spans="1:8" x14ac:dyDescent="0.3">
      <c r="A242" t="s">
        <v>158</v>
      </c>
      <c r="B242" t="s">
        <v>278</v>
      </c>
      <c r="C242" t="s">
        <v>3</v>
      </c>
      <c r="D242" t="str">
        <f>IF(C242="","",VLOOKUP(C242,Categorias!$A$2:$C$54,2,FALSE))</f>
        <v>Entrada</v>
      </c>
      <c r="E242" t="str">
        <f>IF(C242="","",VLOOKUP(C242,Categorias!$A$2:$C$54,3,FALSE))</f>
        <v>Receita Bruta</v>
      </c>
      <c r="F242" s="37">
        <v>31.76</v>
      </c>
      <c r="G242" t="s">
        <v>153</v>
      </c>
      <c r="H242" s="3">
        <f t="shared" si="6"/>
        <v>46174</v>
      </c>
    </row>
    <row r="243" spans="1:8" x14ac:dyDescent="0.3">
      <c r="A243" t="s">
        <v>158</v>
      </c>
      <c r="B243" t="s">
        <v>180</v>
      </c>
      <c r="C243" t="s">
        <v>22</v>
      </c>
      <c r="D243" t="str">
        <f>IF(C243="","",VLOOKUP(C243,Categorias!$A$2:$C$54,2,FALSE))</f>
        <v>Saída</v>
      </c>
      <c r="E243" t="str">
        <f>IF(C243="","",VLOOKUP(C243,Categorias!$A$2:$C$54,3,FALSE))</f>
        <v>Despesas Financeiras</v>
      </c>
      <c r="F243" s="37">
        <v>-0.08</v>
      </c>
      <c r="G243" t="s">
        <v>153</v>
      </c>
      <c r="H243" s="3">
        <f t="shared" si="6"/>
        <v>46174</v>
      </c>
    </row>
    <row r="244" spans="1:8" x14ac:dyDescent="0.3">
      <c r="A244" t="s">
        <v>158</v>
      </c>
      <c r="B244" t="s">
        <v>279</v>
      </c>
      <c r="C244" t="s">
        <v>3</v>
      </c>
      <c r="D244" t="str">
        <f>IF(C244="","",VLOOKUP(C244,Categorias!$A$2:$C$54,2,FALSE))</f>
        <v>Entrada</v>
      </c>
      <c r="E244" t="str">
        <f>IF(C244="","",VLOOKUP(C244,Categorias!$A$2:$C$54,3,FALSE))</f>
        <v>Receita Bruta</v>
      </c>
      <c r="F244" s="37">
        <v>17.88</v>
      </c>
      <c r="G244" t="s">
        <v>153</v>
      </c>
      <c r="H244" s="3">
        <f t="shared" si="6"/>
        <v>46174</v>
      </c>
    </row>
    <row r="245" spans="1:8" x14ac:dyDescent="0.3">
      <c r="A245" t="s">
        <v>158</v>
      </c>
      <c r="B245" t="s">
        <v>180</v>
      </c>
      <c r="C245" t="s">
        <v>22</v>
      </c>
      <c r="D245" t="str">
        <f>IF(C245="","",VLOOKUP(C245,Categorias!$A$2:$C$54,2,FALSE))</f>
        <v>Saída</v>
      </c>
      <c r="E245" t="str">
        <f>IF(C245="","",VLOOKUP(C245,Categorias!$A$2:$C$54,3,FALSE))</f>
        <v>Despesas Financeiras</v>
      </c>
      <c r="F245" s="37">
        <v>-0.18</v>
      </c>
      <c r="G245" t="s">
        <v>153</v>
      </c>
      <c r="H245" s="3">
        <f t="shared" si="6"/>
        <v>46174</v>
      </c>
    </row>
    <row r="246" spans="1:8" x14ac:dyDescent="0.3">
      <c r="A246" t="s">
        <v>158</v>
      </c>
      <c r="B246" t="s">
        <v>278</v>
      </c>
      <c r="C246" t="s">
        <v>3</v>
      </c>
      <c r="D246" t="str">
        <f>IF(C246="","",VLOOKUP(C246,Categorias!$A$2:$C$54,2,FALSE))</f>
        <v>Entrada</v>
      </c>
      <c r="E246" t="str">
        <f>IF(C246="","",VLOOKUP(C246,Categorias!$A$2:$C$54,3,FALSE))</f>
        <v>Receita Bruta</v>
      </c>
      <c r="F246" s="37">
        <v>36.15</v>
      </c>
      <c r="G246" t="s">
        <v>153</v>
      </c>
      <c r="H246" s="3">
        <f t="shared" si="6"/>
        <v>46174</v>
      </c>
    </row>
    <row r="247" spans="1:8" x14ac:dyDescent="0.3">
      <c r="A247" t="s">
        <v>158</v>
      </c>
      <c r="B247" t="s">
        <v>180</v>
      </c>
      <c r="C247" t="s">
        <v>22</v>
      </c>
      <c r="D247" t="str">
        <f>IF(C247="","",VLOOKUP(C247,Categorias!$A$2:$C$54,2,FALSE))</f>
        <v>Saída</v>
      </c>
      <c r="E247" t="str">
        <f>IF(C247="","",VLOOKUP(C247,Categorias!$A$2:$C$54,3,FALSE))</f>
        <v>Despesas Financeiras</v>
      </c>
      <c r="F247" s="37">
        <v>-0.28999999999999998</v>
      </c>
      <c r="G247" t="s">
        <v>153</v>
      </c>
      <c r="H247" s="3">
        <f t="shared" si="6"/>
        <v>46174</v>
      </c>
    </row>
    <row r="248" spans="1:8" x14ac:dyDescent="0.3">
      <c r="A248" t="s">
        <v>158</v>
      </c>
      <c r="B248" t="s">
        <v>280</v>
      </c>
      <c r="C248" t="s">
        <v>3</v>
      </c>
      <c r="D248" t="str">
        <f>IF(C248="","",VLOOKUP(C248,Categorias!$A$2:$C$54,2,FALSE))</f>
        <v>Entrada</v>
      </c>
      <c r="E248" t="str">
        <f>IF(C248="","",VLOOKUP(C248,Categorias!$A$2:$C$54,3,FALSE))</f>
        <v>Receita Bruta</v>
      </c>
      <c r="F248" s="37">
        <v>58.95</v>
      </c>
      <c r="G248" t="s">
        <v>153</v>
      </c>
      <c r="H248" s="3">
        <f t="shared" si="6"/>
        <v>46174</v>
      </c>
    </row>
    <row r="249" spans="1:8" x14ac:dyDescent="0.3">
      <c r="A249" t="s">
        <v>158</v>
      </c>
      <c r="B249" t="s">
        <v>180</v>
      </c>
      <c r="C249" t="s">
        <v>22</v>
      </c>
      <c r="D249" t="str">
        <f>IF(C249="","",VLOOKUP(C249,Categorias!$A$2:$C$54,2,FALSE))</f>
        <v>Saída</v>
      </c>
      <c r="E249" t="str">
        <f>IF(C249="","",VLOOKUP(C249,Categorias!$A$2:$C$54,3,FALSE))</f>
        <v>Despesas Financeiras</v>
      </c>
      <c r="F249" s="37">
        <v>-7.0000000000000007E-2</v>
      </c>
      <c r="G249" t="s">
        <v>153</v>
      </c>
      <c r="H249" s="3">
        <f t="shared" si="6"/>
        <v>46174</v>
      </c>
    </row>
    <row r="250" spans="1:8" x14ac:dyDescent="0.3">
      <c r="A250" t="s">
        <v>158</v>
      </c>
      <c r="B250" t="s">
        <v>281</v>
      </c>
      <c r="C250" t="s">
        <v>3</v>
      </c>
      <c r="D250" t="str">
        <f>IF(C250="","",VLOOKUP(C250,Categorias!$A$2:$C$54,2,FALSE))</f>
        <v>Entrada</v>
      </c>
      <c r="E250" t="str">
        <f>IF(C250="","",VLOOKUP(C250,Categorias!$A$2:$C$54,3,FALSE))</f>
        <v>Receita Bruta</v>
      </c>
      <c r="F250" s="37">
        <v>14.99</v>
      </c>
      <c r="G250" t="s">
        <v>153</v>
      </c>
      <c r="H250" s="3">
        <f t="shared" si="6"/>
        <v>46174</v>
      </c>
    </row>
    <row r="251" spans="1:8" x14ac:dyDescent="0.3">
      <c r="A251" t="s">
        <v>158</v>
      </c>
      <c r="B251" t="s">
        <v>180</v>
      </c>
      <c r="C251" t="s">
        <v>22</v>
      </c>
      <c r="D251" t="str">
        <f>IF(C251="","",VLOOKUP(C251,Categorias!$A$2:$C$54,2,FALSE))</f>
        <v>Saída</v>
      </c>
      <c r="E251" t="str">
        <f>IF(C251="","",VLOOKUP(C251,Categorias!$A$2:$C$54,3,FALSE))</f>
        <v>Despesas Financeiras</v>
      </c>
      <c r="F251" s="37">
        <v>-0.17</v>
      </c>
      <c r="G251" t="s">
        <v>153</v>
      </c>
      <c r="H251" s="3">
        <f t="shared" si="6"/>
        <v>46174</v>
      </c>
    </row>
    <row r="252" spans="1:8" x14ac:dyDescent="0.3">
      <c r="A252" t="s">
        <v>158</v>
      </c>
      <c r="B252" t="s">
        <v>282</v>
      </c>
      <c r="C252" t="s">
        <v>3</v>
      </c>
      <c r="D252" t="str">
        <f>IF(C252="","",VLOOKUP(C252,Categorias!$A$2:$C$54,2,FALSE))</f>
        <v>Entrada</v>
      </c>
      <c r="E252" t="str">
        <f>IF(C252="","",VLOOKUP(C252,Categorias!$A$2:$C$54,3,FALSE))</f>
        <v>Receita Bruta</v>
      </c>
      <c r="F252" s="37">
        <v>34.97</v>
      </c>
      <c r="G252" t="s">
        <v>153</v>
      </c>
      <c r="H252" s="3">
        <f t="shared" si="6"/>
        <v>46174</v>
      </c>
    </row>
    <row r="253" spans="1:8" x14ac:dyDescent="0.3">
      <c r="A253" t="s">
        <v>158</v>
      </c>
      <c r="B253" t="s">
        <v>180</v>
      </c>
      <c r="C253" t="s">
        <v>22</v>
      </c>
      <c r="D253" t="str">
        <f>IF(C253="","",VLOOKUP(C253,Categorias!$A$2:$C$54,2,FALSE))</f>
        <v>Saída</v>
      </c>
      <c r="E253" t="str">
        <f>IF(C253="","",VLOOKUP(C253,Categorias!$A$2:$C$54,3,FALSE))</f>
        <v>Despesas Financeiras</v>
      </c>
      <c r="F253" s="37">
        <v>-0.09</v>
      </c>
      <c r="G253" t="s">
        <v>153</v>
      </c>
      <c r="H253" s="3">
        <f t="shared" si="6"/>
        <v>46174</v>
      </c>
    </row>
    <row r="254" spans="1:8" x14ac:dyDescent="0.3">
      <c r="A254" t="s">
        <v>158</v>
      </c>
      <c r="B254" t="s">
        <v>283</v>
      </c>
      <c r="C254" t="s">
        <v>3</v>
      </c>
      <c r="D254" t="str">
        <f>IF(C254="","",VLOOKUP(C254,Categorias!$A$2:$C$54,2,FALSE))</f>
        <v>Entrada</v>
      </c>
      <c r="E254" t="str">
        <f>IF(C254="","",VLOOKUP(C254,Categorias!$A$2:$C$54,3,FALSE))</f>
        <v>Receita Bruta</v>
      </c>
      <c r="F254" s="37">
        <v>18.98</v>
      </c>
      <c r="G254" t="s">
        <v>153</v>
      </c>
      <c r="H254" s="3">
        <f t="shared" si="6"/>
        <v>46174</v>
      </c>
    </row>
    <row r="255" spans="1:8" x14ac:dyDescent="0.3">
      <c r="A255" t="s">
        <v>158</v>
      </c>
      <c r="B255" t="s">
        <v>190</v>
      </c>
      <c r="C255" t="s">
        <v>3</v>
      </c>
      <c r="D255" t="str">
        <f>IF(C255="","",VLOOKUP(C255,Categorias!$A$2:$C$54,2,FALSE))</f>
        <v>Entrada</v>
      </c>
      <c r="E255" t="str">
        <f>IF(C255="","",VLOOKUP(C255,Categorias!$A$2:$C$54,3,FALSE))</f>
        <v>Receita Bruta</v>
      </c>
      <c r="F255" s="37">
        <v>4.1500000000000004</v>
      </c>
      <c r="G255" t="s">
        <v>153</v>
      </c>
      <c r="H255" s="3">
        <f t="shared" si="6"/>
        <v>46174</v>
      </c>
    </row>
    <row r="256" spans="1:8" x14ac:dyDescent="0.3">
      <c r="A256" t="s">
        <v>159</v>
      </c>
      <c r="B256" t="s">
        <v>180</v>
      </c>
      <c r="C256" t="s">
        <v>22</v>
      </c>
      <c r="D256" t="str">
        <f>IF(C256="","",VLOOKUP(C256,Categorias!$A$2:$C$54,2,FALSE))</f>
        <v>Saída</v>
      </c>
      <c r="E256" t="str">
        <f>IF(C256="","",VLOOKUP(C256,Categorias!$A$2:$C$54,3,FALSE))</f>
        <v>Despesas Financeiras</v>
      </c>
      <c r="F256" s="37">
        <v>-0.13</v>
      </c>
      <c r="G256" t="s">
        <v>153</v>
      </c>
      <c r="H256" s="3">
        <f t="shared" si="6"/>
        <v>46174</v>
      </c>
    </row>
    <row r="257" spans="1:8" x14ac:dyDescent="0.3">
      <c r="A257" t="s">
        <v>159</v>
      </c>
      <c r="B257" t="s">
        <v>284</v>
      </c>
      <c r="C257" t="s">
        <v>3</v>
      </c>
      <c r="D257" t="str">
        <f>IF(C257="","",VLOOKUP(C257,Categorias!$A$2:$C$54,2,FALSE))</f>
        <v>Entrada</v>
      </c>
      <c r="E257" t="str">
        <f>IF(C257="","",VLOOKUP(C257,Categorias!$A$2:$C$54,3,FALSE))</f>
        <v>Receita Bruta</v>
      </c>
      <c r="F257" s="37">
        <v>27.98</v>
      </c>
      <c r="G257" t="s">
        <v>153</v>
      </c>
      <c r="H257" s="3">
        <f t="shared" ref="H257:H320" si="7">IF(A257="","",DATE(YEAR(A257),MONTH(A257),1))</f>
        <v>46174</v>
      </c>
    </row>
    <row r="258" spans="1:8" x14ac:dyDescent="0.3">
      <c r="A258" t="s">
        <v>159</v>
      </c>
      <c r="B258" t="s">
        <v>180</v>
      </c>
      <c r="C258" t="s">
        <v>22</v>
      </c>
      <c r="D258" t="str">
        <f>IF(C258="","",VLOOKUP(C258,Categorias!$A$2:$C$54,2,FALSE))</f>
        <v>Saída</v>
      </c>
      <c r="E258" t="str">
        <f>IF(C258="","",VLOOKUP(C258,Categorias!$A$2:$C$54,3,FALSE))</f>
        <v>Despesas Financeiras</v>
      </c>
      <c r="F258" s="37">
        <v>-0.02</v>
      </c>
      <c r="G258" t="s">
        <v>153</v>
      </c>
      <c r="H258" s="3">
        <f t="shared" si="7"/>
        <v>46174</v>
      </c>
    </row>
    <row r="259" spans="1:8" x14ac:dyDescent="0.3">
      <c r="A259" t="s">
        <v>159</v>
      </c>
      <c r="B259" t="s">
        <v>233</v>
      </c>
      <c r="C259" t="s">
        <v>3</v>
      </c>
      <c r="D259" t="str">
        <f>IF(C259="","",VLOOKUP(C259,Categorias!$A$2:$C$54,2,FALSE))</f>
        <v>Entrada</v>
      </c>
      <c r="E259" t="str">
        <f>IF(C259="","",VLOOKUP(C259,Categorias!$A$2:$C$54,3,FALSE))</f>
        <v>Receita Bruta</v>
      </c>
      <c r="F259" s="37">
        <v>5.89</v>
      </c>
      <c r="G259" t="s">
        <v>153</v>
      </c>
      <c r="H259" s="3">
        <f t="shared" si="7"/>
        <v>46174</v>
      </c>
    </row>
    <row r="260" spans="1:8" x14ac:dyDescent="0.3">
      <c r="A260" t="s">
        <v>159</v>
      </c>
      <c r="B260" t="s">
        <v>180</v>
      </c>
      <c r="C260" t="s">
        <v>22</v>
      </c>
      <c r="D260" t="str">
        <f>IF(C260="","",VLOOKUP(C260,Categorias!$A$2:$C$54,2,FALSE))</f>
        <v>Saída</v>
      </c>
      <c r="E260" t="str">
        <f>IF(C260="","",VLOOKUP(C260,Categorias!$A$2:$C$54,3,FALSE))</f>
        <v>Despesas Financeiras</v>
      </c>
      <c r="F260" s="37">
        <v>-7.0000000000000007E-2</v>
      </c>
      <c r="G260" t="s">
        <v>153</v>
      </c>
      <c r="H260" s="3">
        <f t="shared" si="7"/>
        <v>46174</v>
      </c>
    </row>
    <row r="261" spans="1:8" x14ac:dyDescent="0.3">
      <c r="A261" t="s">
        <v>159</v>
      </c>
      <c r="B261" t="s">
        <v>212</v>
      </c>
      <c r="C261" t="s">
        <v>3</v>
      </c>
      <c r="D261" t="str">
        <f>IF(C261="","",VLOOKUP(C261,Categorias!$A$2:$C$54,2,FALSE))</f>
        <v>Entrada</v>
      </c>
      <c r="E261" t="str">
        <f>IF(C261="","",VLOOKUP(C261,Categorias!$A$2:$C$54,3,FALSE))</f>
        <v>Receita Bruta</v>
      </c>
      <c r="F261" s="37">
        <v>14.98</v>
      </c>
      <c r="G261" t="s">
        <v>153</v>
      </c>
      <c r="H261" s="3">
        <f t="shared" si="7"/>
        <v>46174</v>
      </c>
    </row>
    <row r="262" spans="1:8" x14ac:dyDescent="0.3">
      <c r="A262" t="s">
        <v>159</v>
      </c>
      <c r="B262" t="s">
        <v>180</v>
      </c>
      <c r="C262" t="s">
        <v>22</v>
      </c>
      <c r="D262" t="str">
        <f>IF(C262="","",VLOOKUP(C262,Categorias!$A$2:$C$54,2,FALSE))</f>
        <v>Saída</v>
      </c>
      <c r="E262" t="str">
        <f>IF(C262="","",VLOOKUP(C262,Categorias!$A$2:$C$54,3,FALSE))</f>
        <v>Despesas Financeiras</v>
      </c>
      <c r="F262" s="37">
        <v>-0.19</v>
      </c>
      <c r="G262" t="s">
        <v>153</v>
      </c>
      <c r="H262" s="3">
        <f t="shared" si="7"/>
        <v>46174</v>
      </c>
    </row>
    <row r="263" spans="1:8" x14ac:dyDescent="0.3">
      <c r="A263" t="s">
        <v>159</v>
      </c>
      <c r="B263" t="s">
        <v>243</v>
      </c>
      <c r="C263" t="s">
        <v>3</v>
      </c>
      <c r="D263" t="str">
        <f>IF(C263="","",VLOOKUP(C263,Categorias!$A$2:$C$54,2,FALSE))</f>
        <v>Entrada</v>
      </c>
      <c r="E263" t="str">
        <f>IF(C263="","",VLOOKUP(C263,Categorias!$A$2:$C$54,3,FALSE))</f>
        <v>Receita Bruta</v>
      </c>
      <c r="F263" s="37">
        <v>38.97</v>
      </c>
      <c r="G263" t="s">
        <v>153</v>
      </c>
      <c r="H263" s="3">
        <f t="shared" si="7"/>
        <v>46174</v>
      </c>
    </row>
    <row r="264" spans="1:8" x14ac:dyDescent="0.3">
      <c r="A264" t="s">
        <v>159</v>
      </c>
      <c r="B264" t="s">
        <v>180</v>
      </c>
      <c r="C264" t="s">
        <v>22</v>
      </c>
      <c r="D264" t="str">
        <f>IF(C264="","",VLOOKUP(C264,Categorias!$A$2:$C$54,2,FALSE))</f>
        <v>Saída</v>
      </c>
      <c r="E264" t="str">
        <f>IF(C264="","",VLOOKUP(C264,Categorias!$A$2:$C$54,3,FALSE))</f>
        <v>Despesas Financeiras</v>
      </c>
      <c r="F264" s="37">
        <v>-0.06</v>
      </c>
      <c r="G264" t="s">
        <v>153</v>
      </c>
      <c r="H264" s="3">
        <f t="shared" si="7"/>
        <v>46174</v>
      </c>
    </row>
    <row r="265" spans="1:8" x14ac:dyDescent="0.3">
      <c r="A265" t="s">
        <v>159</v>
      </c>
      <c r="B265" t="s">
        <v>285</v>
      </c>
      <c r="C265" t="s">
        <v>3</v>
      </c>
      <c r="D265" t="str">
        <f>IF(C265="","",VLOOKUP(C265,Categorias!$A$2:$C$54,2,FALSE))</f>
        <v>Entrada</v>
      </c>
      <c r="E265" t="str">
        <f>IF(C265="","",VLOOKUP(C265,Categorias!$A$2:$C$54,3,FALSE))</f>
        <v>Receita Bruta</v>
      </c>
      <c r="F265" s="37">
        <v>13.77</v>
      </c>
      <c r="G265" t="s">
        <v>153</v>
      </c>
      <c r="H265" s="3">
        <f t="shared" si="7"/>
        <v>46174</v>
      </c>
    </row>
    <row r="266" spans="1:8" x14ac:dyDescent="0.3">
      <c r="A266" t="s">
        <v>159</v>
      </c>
      <c r="B266" t="s">
        <v>180</v>
      </c>
      <c r="C266" t="s">
        <v>22</v>
      </c>
      <c r="D266" t="str">
        <f>IF(C266="","",VLOOKUP(C266,Categorias!$A$2:$C$54,2,FALSE))</f>
        <v>Saída</v>
      </c>
      <c r="E266" t="str">
        <f>IF(C266="","",VLOOKUP(C266,Categorias!$A$2:$C$54,3,FALSE))</f>
        <v>Despesas Financeiras</v>
      </c>
      <c r="F266" s="37">
        <v>-0.1</v>
      </c>
      <c r="G266" t="s">
        <v>153</v>
      </c>
      <c r="H266" s="3">
        <f t="shared" si="7"/>
        <v>46174</v>
      </c>
    </row>
    <row r="267" spans="1:8" x14ac:dyDescent="0.3">
      <c r="A267" t="s">
        <v>159</v>
      </c>
      <c r="B267" t="s">
        <v>286</v>
      </c>
      <c r="C267" t="s">
        <v>3</v>
      </c>
      <c r="D267" t="str">
        <f>IF(C267="","",VLOOKUP(C267,Categorias!$A$2:$C$54,2,FALSE))</f>
        <v>Entrada</v>
      </c>
      <c r="E267" t="str">
        <f>IF(C267="","",VLOOKUP(C267,Categorias!$A$2:$C$54,3,FALSE))</f>
        <v>Receita Bruta</v>
      </c>
      <c r="F267" s="37">
        <v>20.99</v>
      </c>
      <c r="G267" t="s">
        <v>153</v>
      </c>
      <c r="H267" s="3">
        <f t="shared" si="7"/>
        <v>46174</v>
      </c>
    </row>
    <row r="268" spans="1:8" x14ac:dyDescent="0.3">
      <c r="A268" t="s">
        <v>159</v>
      </c>
      <c r="B268" t="s">
        <v>180</v>
      </c>
      <c r="C268" t="s">
        <v>22</v>
      </c>
      <c r="D268" t="str">
        <f>IF(C268="","",VLOOKUP(C268,Categorias!$A$2:$C$54,2,FALSE))</f>
        <v>Saída</v>
      </c>
      <c r="E268" t="str">
        <f>IF(C268="","",VLOOKUP(C268,Categorias!$A$2:$C$54,3,FALSE))</f>
        <v>Despesas Financeiras</v>
      </c>
      <c r="F268" s="37">
        <v>-7.0000000000000007E-2</v>
      </c>
      <c r="G268" t="s">
        <v>153</v>
      </c>
      <c r="H268" s="3">
        <f t="shared" si="7"/>
        <v>46174</v>
      </c>
    </row>
    <row r="269" spans="1:8" x14ac:dyDescent="0.3">
      <c r="A269" t="s">
        <v>159</v>
      </c>
      <c r="B269" t="s">
        <v>245</v>
      </c>
      <c r="C269" t="s">
        <v>3</v>
      </c>
      <c r="D269" t="str">
        <f>IF(C269="","",VLOOKUP(C269,Categorias!$A$2:$C$54,2,FALSE))</f>
        <v>Entrada</v>
      </c>
      <c r="E269" t="str">
        <f>IF(C269="","",VLOOKUP(C269,Categorias!$A$2:$C$54,3,FALSE))</f>
        <v>Receita Bruta</v>
      </c>
      <c r="F269" s="37">
        <v>15.87</v>
      </c>
      <c r="G269" t="s">
        <v>153</v>
      </c>
      <c r="H269" s="3">
        <f t="shared" si="7"/>
        <v>46174</v>
      </c>
    </row>
    <row r="270" spans="1:8" x14ac:dyDescent="0.3">
      <c r="A270" t="s">
        <v>159</v>
      </c>
      <c r="B270" t="s">
        <v>180</v>
      </c>
      <c r="C270" t="s">
        <v>22</v>
      </c>
      <c r="D270" t="str">
        <f>IF(C270="","",VLOOKUP(C270,Categorias!$A$2:$C$54,2,FALSE))</f>
        <v>Saída</v>
      </c>
      <c r="E270" t="str">
        <f>IF(C270="","",VLOOKUP(C270,Categorias!$A$2:$C$54,3,FALSE))</f>
        <v>Despesas Financeiras</v>
      </c>
      <c r="F270" s="37">
        <v>-0.15</v>
      </c>
      <c r="G270" t="s">
        <v>153</v>
      </c>
      <c r="H270" s="3">
        <f t="shared" si="7"/>
        <v>46174</v>
      </c>
    </row>
    <row r="271" spans="1:8" x14ac:dyDescent="0.3">
      <c r="A271" t="s">
        <v>159</v>
      </c>
      <c r="B271" t="s">
        <v>248</v>
      </c>
      <c r="C271" t="s">
        <v>3</v>
      </c>
      <c r="D271" t="str">
        <f>IF(C271="","",VLOOKUP(C271,Categorias!$A$2:$C$54,2,FALSE))</f>
        <v>Entrada</v>
      </c>
      <c r="E271" t="str">
        <f>IF(C271="","",VLOOKUP(C271,Categorias!$A$2:$C$54,3,FALSE))</f>
        <v>Receita Bruta</v>
      </c>
      <c r="F271" s="37">
        <v>30.47</v>
      </c>
      <c r="G271" t="s">
        <v>153</v>
      </c>
      <c r="H271" s="3">
        <f t="shared" si="7"/>
        <v>46174</v>
      </c>
    </row>
    <row r="272" spans="1:8" x14ac:dyDescent="0.3">
      <c r="A272" t="s">
        <v>159</v>
      </c>
      <c r="B272" t="s">
        <v>180</v>
      </c>
      <c r="C272" t="s">
        <v>22</v>
      </c>
      <c r="D272" t="str">
        <f>IF(C272="","",VLOOKUP(C272,Categorias!$A$2:$C$54,2,FALSE))</f>
        <v>Saída</v>
      </c>
      <c r="E272" t="str">
        <f>IF(C272="","",VLOOKUP(C272,Categorias!$A$2:$C$54,3,FALSE))</f>
        <v>Despesas Financeiras</v>
      </c>
      <c r="F272" s="37">
        <v>-0.28000000000000003</v>
      </c>
      <c r="G272" t="s">
        <v>153</v>
      </c>
      <c r="H272" s="3">
        <f t="shared" si="7"/>
        <v>46174</v>
      </c>
    </row>
    <row r="273" spans="1:8" x14ac:dyDescent="0.3">
      <c r="A273" t="s">
        <v>159</v>
      </c>
      <c r="B273" t="s">
        <v>226</v>
      </c>
      <c r="C273" t="s">
        <v>3</v>
      </c>
      <c r="D273" t="str">
        <f>IF(C273="","",VLOOKUP(C273,Categorias!$A$2:$C$54,2,FALSE))</f>
        <v>Entrada</v>
      </c>
      <c r="E273" t="str">
        <f>IF(C273="","",VLOOKUP(C273,Categorias!$A$2:$C$54,3,FALSE))</f>
        <v>Receita Bruta</v>
      </c>
      <c r="F273" s="37">
        <v>56.32</v>
      </c>
      <c r="G273" t="s">
        <v>153</v>
      </c>
      <c r="H273" s="3">
        <f t="shared" si="7"/>
        <v>46174</v>
      </c>
    </row>
    <row r="274" spans="1:8" x14ac:dyDescent="0.3">
      <c r="A274" t="s">
        <v>159</v>
      </c>
      <c r="B274" t="s">
        <v>180</v>
      </c>
      <c r="C274" t="s">
        <v>22</v>
      </c>
      <c r="D274" t="str">
        <f>IF(C274="","",VLOOKUP(C274,Categorias!$A$2:$C$54,2,FALSE))</f>
        <v>Saída</v>
      </c>
      <c r="E274" t="str">
        <f>IF(C274="","",VLOOKUP(C274,Categorias!$A$2:$C$54,3,FALSE))</f>
        <v>Despesas Financeiras</v>
      </c>
      <c r="F274" s="37">
        <v>-0.11</v>
      </c>
      <c r="G274" t="s">
        <v>153</v>
      </c>
      <c r="H274" s="3">
        <f t="shared" si="7"/>
        <v>46174</v>
      </c>
    </row>
    <row r="275" spans="1:8" x14ac:dyDescent="0.3">
      <c r="A275" t="s">
        <v>159</v>
      </c>
      <c r="B275" t="s">
        <v>210</v>
      </c>
      <c r="C275" t="s">
        <v>3</v>
      </c>
      <c r="D275" t="str">
        <f>IF(C275="","",VLOOKUP(C275,Categorias!$A$2:$C$54,2,FALSE))</f>
        <v>Entrada</v>
      </c>
      <c r="E275" t="str">
        <f>IF(C275="","",VLOOKUP(C275,Categorias!$A$2:$C$54,3,FALSE))</f>
        <v>Receita Bruta</v>
      </c>
      <c r="F275" s="37">
        <v>22.87</v>
      </c>
      <c r="G275" t="s">
        <v>153</v>
      </c>
      <c r="H275" s="3">
        <f t="shared" si="7"/>
        <v>46174</v>
      </c>
    </row>
    <row r="276" spans="1:8" x14ac:dyDescent="0.3">
      <c r="A276" t="s">
        <v>159</v>
      </c>
      <c r="B276" t="s">
        <v>180</v>
      </c>
      <c r="C276" t="s">
        <v>22</v>
      </c>
      <c r="D276" t="str">
        <f>IF(C276="","",VLOOKUP(C276,Categorias!$A$2:$C$54,2,FALSE))</f>
        <v>Saída</v>
      </c>
      <c r="E276" t="str">
        <f>IF(C276="","",VLOOKUP(C276,Categorias!$A$2:$C$54,3,FALSE))</f>
        <v>Despesas Financeiras</v>
      </c>
      <c r="F276" s="37">
        <v>-0.1</v>
      </c>
      <c r="G276" t="s">
        <v>153</v>
      </c>
      <c r="H276" s="3">
        <f t="shared" si="7"/>
        <v>46174</v>
      </c>
    </row>
    <row r="277" spans="1:8" x14ac:dyDescent="0.3">
      <c r="A277" t="s">
        <v>159</v>
      </c>
      <c r="B277" t="s">
        <v>214</v>
      </c>
      <c r="C277" t="s">
        <v>3</v>
      </c>
      <c r="D277" t="str">
        <f>IF(C277="","",VLOOKUP(C277,Categorias!$A$2:$C$54,2,FALSE))</f>
        <v>Entrada</v>
      </c>
      <c r="E277" t="str">
        <f>IF(C277="","",VLOOKUP(C277,Categorias!$A$2:$C$54,3,FALSE))</f>
        <v>Receita Bruta</v>
      </c>
      <c r="F277" s="37">
        <v>21.56</v>
      </c>
      <c r="G277" t="s">
        <v>153</v>
      </c>
      <c r="H277" s="3">
        <f t="shared" si="7"/>
        <v>46174</v>
      </c>
    </row>
    <row r="278" spans="1:8" x14ac:dyDescent="0.3">
      <c r="A278" t="s">
        <v>159</v>
      </c>
      <c r="B278" t="s">
        <v>180</v>
      </c>
      <c r="C278" t="s">
        <v>22</v>
      </c>
      <c r="D278" t="str">
        <f>IF(C278="","",VLOOKUP(C278,Categorias!$A$2:$C$54,2,FALSE))</f>
        <v>Saída</v>
      </c>
      <c r="E278" t="str">
        <f>IF(C278="","",VLOOKUP(C278,Categorias!$A$2:$C$54,3,FALSE))</f>
        <v>Despesas Financeiras</v>
      </c>
      <c r="F278" s="37">
        <v>-0.1</v>
      </c>
      <c r="G278" t="s">
        <v>153</v>
      </c>
      <c r="H278" s="3">
        <f t="shared" si="7"/>
        <v>46174</v>
      </c>
    </row>
    <row r="279" spans="1:8" x14ac:dyDescent="0.3">
      <c r="A279" t="s">
        <v>159</v>
      </c>
      <c r="B279" t="s">
        <v>287</v>
      </c>
      <c r="C279" t="s">
        <v>3</v>
      </c>
      <c r="D279" t="str">
        <f>IF(C279="","",VLOOKUP(C279,Categorias!$A$2:$C$54,2,FALSE))</f>
        <v>Entrada</v>
      </c>
      <c r="E279" t="str">
        <f>IF(C279="","",VLOOKUP(C279,Categorias!$A$2:$C$54,3,FALSE))</f>
        <v>Receita Bruta</v>
      </c>
      <c r="F279" s="37">
        <v>20.48</v>
      </c>
      <c r="G279" t="s">
        <v>153</v>
      </c>
      <c r="H279" s="3">
        <f t="shared" si="7"/>
        <v>46174</v>
      </c>
    </row>
    <row r="280" spans="1:8" x14ac:dyDescent="0.3">
      <c r="A280" t="s">
        <v>159</v>
      </c>
      <c r="B280" t="s">
        <v>180</v>
      </c>
      <c r="C280" t="s">
        <v>22</v>
      </c>
      <c r="D280" t="str">
        <f>IF(C280="","",VLOOKUP(C280,Categorias!$A$2:$C$54,2,FALSE))</f>
        <v>Saída</v>
      </c>
      <c r="E280" t="str">
        <f>IF(C280="","",VLOOKUP(C280,Categorias!$A$2:$C$54,3,FALSE))</f>
        <v>Despesas Financeiras</v>
      </c>
      <c r="F280" s="37">
        <v>-0.53</v>
      </c>
      <c r="G280" t="s">
        <v>153</v>
      </c>
      <c r="H280" s="3">
        <f t="shared" si="7"/>
        <v>46174</v>
      </c>
    </row>
    <row r="281" spans="1:8" x14ac:dyDescent="0.3">
      <c r="A281" t="s">
        <v>159</v>
      </c>
      <c r="B281" t="s">
        <v>273</v>
      </c>
      <c r="C281" t="s">
        <v>3</v>
      </c>
      <c r="D281" t="str">
        <f>IF(C281="","",VLOOKUP(C281,Categorias!$A$2:$C$54,2,FALSE))</f>
        <v>Entrada</v>
      </c>
      <c r="E281" t="str">
        <f>IF(C281="","",VLOOKUP(C281,Categorias!$A$2:$C$54,3,FALSE))</f>
        <v>Receita Bruta</v>
      </c>
      <c r="F281" s="37">
        <v>107.88</v>
      </c>
      <c r="G281" t="s">
        <v>153</v>
      </c>
      <c r="H281" s="3">
        <f t="shared" si="7"/>
        <v>46174</v>
      </c>
    </row>
    <row r="282" spans="1:8" x14ac:dyDescent="0.3">
      <c r="A282" t="s">
        <v>159</v>
      </c>
      <c r="B282" t="s">
        <v>180</v>
      </c>
      <c r="C282" t="s">
        <v>22</v>
      </c>
      <c r="D282" t="str">
        <f>IF(C282="","",VLOOKUP(C282,Categorias!$A$2:$C$54,2,FALSE))</f>
        <v>Saída</v>
      </c>
      <c r="E282" t="str">
        <f>IF(C282="","",VLOOKUP(C282,Categorias!$A$2:$C$54,3,FALSE))</f>
        <v>Despesas Financeiras</v>
      </c>
      <c r="F282" s="37">
        <v>-0.13</v>
      </c>
      <c r="G282" t="s">
        <v>153</v>
      </c>
      <c r="H282" s="3">
        <f t="shared" si="7"/>
        <v>46174</v>
      </c>
    </row>
    <row r="283" spans="1:8" x14ac:dyDescent="0.3">
      <c r="A283" t="s">
        <v>159</v>
      </c>
      <c r="B283" t="s">
        <v>226</v>
      </c>
      <c r="C283" t="s">
        <v>3</v>
      </c>
      <c r="D283" t="str">
        <f>IF(C283="","",VLOOKUP(C283,Categorias!$A$2:$C$54,2,FALSE))</f>
        <v>Entrada</v>
      </c>
      <c r="E283" t="str">
        <f>IF(C283="","",VLOOKUP(C283,Categorias!$A$2:$C$54,3,FALSE))</f>
        <v>Receita Bruta</v>
      </c>
      <c r="F283" s="37">
        <v>26.98</v>
      </c>
      <c r="G283" t="s">
        <v>153</v>
      </c>
      <c r="H283" s="3">
        <f t="shared" si="7"/>
        <v>46174</v>
      </c>
    </row>
    <row r="284" spans="1:8" x14ac:dyDescent="0.3">
      <c r="A284" t="s">
        <v>159</v>
      </c>
      <c r="B284" t="s">
        <v>180</v>
      </c>
      <c r="C284" t="s">
        <v>22</v>
      </c>
      <c r="D284" t="str">
        <f>IF(C284="","",VLOOKUP(C284,Categorias!$A$2:$C$54,2,FALSE))</f>
        <v>Saída</v>
      </c>
      <c r="E284" t="str">
        <f>IF(C284="","",VLOOKUP(C284,Categorias!$A$2:$C$54,3,FALSE))</f>
        <v>Despesas Financeiras</v>
      </c>
      <c r="F284" s="37">
        <v>-0.19</v>
      </c>
      <c r="G284" t="s">
        <v>153</v>
      </c>
      <c r="H284" s="3">
        <f t="shared" si="7"/>
        <v>46174</v>
      </c>
    </row>
    <row r="285" spans="1:8" x14ac:dyDescent="0.3">
      <c r="A285" t="s">
        <v>159</v>
      </c>
      <c r="B285" t="s">
        <v>233</v>
      </c>
      <c r="C285" t="s">
        <v>3</v>
      </c>
      <c r="D285" t="str">
        <f>IF(C285="","",VLOOKUP(C285,Categorias!$A$2:$C$54,2,FALSE))</f>
        <v>Entrada</v>
      </c>
      <c r="E285" t="str">
        <f>IF(C285="","",VLOOKUP(C285,Categorias!$A$2:$C$54,3,FALSE))</f>
        <v>Receita Bruta</v>
      </c>
      <c r="F285" s="37">
        <v>38.89</v>
      </c>
      <c r="G285" t="s">
        <v>153</v>
      </c>
      <c r="H285" s="3">
        <f t="shared" si="7"/>
        <v>46174</v>
      </c>
    </row>
    <row r="286" spans="1:8" x14ac:dyDescent="0.3">
      <c r="A286" t="s">
        <v>159</v>
      </c>
      <c r="B286" t="s">
        <v>180</v>
      </c>
      <c r="C286" t="s">
        <v>22</v>
      </c>
      <c r="D286" t="str">
        <f>IF(C286="","",VLOOKUP(C286,Categorias!$A$2:$C$54,2,FALSE))</f>
        <v>Saída</v>
      </c>
      <c r="E286" t="str">
        <f>IF(C286="","",VLOOKUP(C286,Categorias!$A$2:$C$54,3,FALSE))</f>
        <v>Despesas Financeiras</v>
      </c>
      <c r="F286" s="37">
        <v>-0.05</v>
      </c>
      <c r="G286" t="s">
        <v>153</v>
      </c>
      <c r="H286" s="3">
        <f t="shared" si="7"/>
        <v>46174</v>
      </c>
    </row>
    <row r="287" spans="1:8" x14ac:dyDescent="0.3">
      <c r="A287" t="s">
        <v>159</v>
      </c>
      <c r="B287" t="s">
        <v>226</v>
      </c>
      <c r="C287" t="s">
        <v>3</v>
      </c>
      <c r="D287" t="str">
        <f>IF(C287="","",VLOOKUP(C287,Categorias!$A$2:$C$54,2,FALSE))</f>
        <v>Entrada</v>
      </c>
      <c r="E287" t="str">
        <f>IF(C287="","",VLOOKUP(C287,Categorias!$A$2:$C$54,3,FALSE))</f>
        <v>Receita Bruta</v>
      </c>
      <c r="F287" s="37">
        <v>11.97</v>
      </c>
      <c r="G287" t="s">
        <v>153</v>
      </c>
      <c r="H287" s="3">
        <f t="shared" si="7"/>
        <v>46174</v>
      </c>
    </row>
    <row r="288" spans="1:8" x14ac:dyDescent="0.3">
      <c r="A288" t="s">
        <v>159</v>
      </c>
      <c r="B288" t="s">
        <v>180</v>
      </c>
      <c r="C288" t="s">
        <v>22</v>
      </c>
      <c r="D288" t="str">
        <f>IF(C288="","",VLOOKUP(C288,Categorias!$A$2:$C$54,2,FALSE))</f>
        <v>Saída</v>
      </c>
      <c r="E288" t="str">
        <f>IF(C288="","",VLOOKUP(C288,Categorias!$A$2:$C$54,3,FALSE))</f>
        <v>Despesas Financeiras</v>
      </c>
      <c r="F288" s="37">
        <v>-0.21</v>
      </c>
      <c r="G288" t="s">
        <v>153</v>
      </c>
      <c r="H288" s="3">
        <f t="shared" si="7"/>
        <v>46174</v>
      </c>
    </row>
    <row r="289" spans="1:8" x14ac:dyDescent="0.3">
      <c r="A289" t="s">
        <v>159</v>
      </c>
      <c r="B289" t="s">
        <v>288</v>
      </c>
      <c r="C289" t="s">
        <v>3</v>
      </c>
      <c r="D289" t="str">
        <f>IF(C289="","",VLOOKUP(C289,Categorias!$A$2:$C$54,2,FALSE))</f>
        <v>Entrada</v>
      </c>
      <c r="E289" t="str">
        <f>IF(C289="","",VLOOKUP(C289,Categorias!$A$2:$C$54,3,FALSE))</f>
        <v>Receita Bruta</v>
      </c>
      <c r="F289" s="37">
        <v>43.97</v>
      </c>
      <c r="G289" t="s">
        <v>153</v>
      </c>
      <c r="H289" s="3">
        <f t="shared" si="7"/>
        <v>46174</v>
      </c>
    </row>
    <row r="290" spans="1:8" x14ac:dyDescent="0.3">
      <c r="A290" t="s">
        <v>160</v>
      </c>
      <c r="B290" t="s">
        <v>180</v>
      </c>
      <c r="C290" t="s">
        <v>22</v>
      </c>
      <c r="D290" t="str">
        <f>IF(C290="","",VLOOKUP(C290,Categorias!$A$2:$C$54,2,FALSE))</f>
        <v>Saída</v>
      </c>
      <c r="E290" t="str">
        <f>IF(C290="","",VLOOKUP(C290,Categorias!$A$2:$C$54,3,FALSE))</f>
        <v>Despesas Financeiras</v>
      </c>
      <c r="F290" s="37">
        <v>-0.04</v>
      </c>
      <c r="G290" t="s">
        <v>153</v>
      </c>
      <c r="H290" s="3">
        <f t="shared" si="7"/>
        <v>46174</v>
      </c>
    </row>
    <row r="291" spans="1:8" x14ac:dyDescent="0.3">
      <c r="A291" t="s">
        <v>160</v>
      </c>
      <c r="B291" t="s">
        <v>289</v>
      </c>
      <c r="C291" t="s">
        <v>3</v>
      </c>
      <c r="D291" t="str">
        <f>IF(C291="","",VLOOKUP(C291,Categorias!$A$2:$C$54,2,FALSE))</f>
        <v>Entrada</v>
      </c>
      <c r="E291" t="str">
        <f>IF(C291="","",VLOOKUP(C291,Categorias!$A$2:$C$54,3,FALSE))</f>
        <v>Receita Bruta</v>
      </c>
      <c r="F291" s="37">
        <v>9.99</v>
      </c>
      <c r="G291" t="s">
        <v>153</v>
      </c>
      <c r="H291" s="3">
        <f t="shared" si="7"/>
        <v>46174</v>
      </c>
    </row>
    <row r="292" spans="1:8" x14ac:dyDescent="0.3">
      <c r="A292" t="s">
        <v>160</v>
      </c>
      <c r="B292" t="s">
        <v>180</v>
      </c>
      <c r="C292" t="s">
        <v>22</v>
      </c>
      <c r="D292" t="str">
        <f>IF(C292="","",VLOOKUP(C292,Categorias!$A$2:$C$54,2,FALSE))</f>
        <v>Saída</v>
      </c>
      <c r="E292" t="str">
        <f>IF(C292="","",VLOOKUP(C292,Categorias!$A$2:$C$54,3,FALSE))</f>
        <v>Despesas Financeiras</v>
      </c>
      <c r="F292" s="37">
        <v>-0.06</v>
      </c>
      <c r="G292" t="s">
        <v>153</v>
      </c>
      <c r="H292" s="3">
        <f t="shared" si="7"/>
        <v>46174</v>
      </c>
    </row>
    <row r="293" spans="1:8" x14ac:dyDescent="0.3">
      <c r="A293" t="s">
        <v>160</v>
      </c>
      <c r="B293" t="s">
        <v>252</v>
      </c>
      <c r="C293" t="s">
        <v>3</v>
      </c>
      <c r="D293" t="str">
        <f>IF(C293="","",VLOOKUP(C293,Categorias!$A$2:$C$54,2,FALSE))</f>
        <v>Entrada</v>
      </c>
      <c r="E293" t="str">
        <f>IF(C293="","",VLOOKUP(C293,Categorias!$A$2:$C$54,3,FALSE))</f>
        <v>Receita Bruta</v>
      </c>
      <c r="F293" s="37">
        <v>12.98</v>
      </c>
      <c r="G293" t="s">
        <v>153</v>
      </c>
      <c r="H293" s="3">
        <f t="shared" si="7"/>
        <v>46174</v>
      </c>
    </row>
    <row r="294" spans="1:8" x14ac:dyDescent="0.3">
      <c r="A294" t="s">
        <v>160</v>
      </c>
      <c r="B294" t="s">
        <v>180</v>
      </c>
      <c r="C294" t="s">
        <v>22</v>
      </c>
      <c r="D294" t="str">
        <f>IF(C294="","",VLOOKUP(C294,Categorias!$A$2:$C$54,2,FALSE))</f>
        <v>Saída</v>
      </c>
      <c r="E294" t="str">
        <f>IF(C294="","",VLOOKUP(C294,Categorias!$A$2:$C$54,3,FALSE))</f>
        <v>Despesas Financeiras</v>
      </c>
      <c r="F294" s="37">
        <v>-0.02</v>
      </c>
      <c r="G294" t="s">
        <v>153</v>
      </c>
      <c r="H294" s="3">
        <f t="shared" si="7"/>
        <v>46174</v>
      </c>
    </row>
    <row r="295" spans="1:8" x14ac:dyDescent="0.3">
      <c r="A295" t="s">
        <v>160</v>
      </c>
      <c r="B295" t="s">
        <v>192</v>
      </c>
      <c r="C295" t="s">
        <v>3</v>
      </c>
      <c r="D295" t="str">
        <f>IF(C295="","",VLOOKUP(C295,Categorias!$A$2:$C$54,2,FALSE))</f>
        <v>Entrada</v>
      </c>
      <c r="E295" t="str">
        <f>IF(C295="","",VLOOKUP(C295,Categorias!$A$2:$C$54,3,FALSE))</f>
        <v>Receita Bruta</v>
      </c>
      <c r="F295" s="37">
        <v>4.8899999999999997</v>
      </c>
      <c r="G295" t="s">
        <v>153</v>
      </c>
      <c r="H295" s="3">
        <f t="shared" si="7"/>
        <v>46174</v>
      </c>
    </row>
    <row r="296" spans="1:8" x14ac:dyDescent="0.3">
      <c r="A296" t="s">
        <v>160</v>
      </c>
      <c r="B296" t="s">
        <v>180</v>
      </c>
      <c r="C296" t="s">
        <v>22</v>
      </c>
      <c r="D296" t="str">
        <f>IF(C296="","",VLOOKUP(C296,Categorias!$A$2:$C$54,2,FALSE))</f>
        <v>Saída</v>
      </c>
      <c r="E296" t="str">
        <f>IF(C296="","",VLOOKUP(C296,Categorias!$A$2:$C$54,3,FALSE))</f>
        <v>Despesas Financeiras</v>
      </c>
      <c r="F296" s="37">
        <v>-0.02</v>
      </c>
      <c r="G296" t="s">
        <v>153</v>
      </c>
      <c r="H296" s="3">
        <f t="shared" si="7"/>
        <v>46174</v>
      </c>
    </row>
    <row r="297" spans="1:8" x14ac:dyDescent="0.3">
      <c r="A297" t="s">
        <v>160</v>
      </c>
      <c r="B297" t="s">
        <v>183</v>
      </c>
      <c r="C297" t="s">
        <v>3</v>
      </c>
      <c r="D297" t="str">
        <f>IF(C297="","",VLOOKUP(C297,Categorias!$A$2:$C$54,2,FALSE))</f>
        <v>Entrada</v>
      </c>
      <c r="E297" t="str">
        <f>IF(C297="","",VLOOKUP(C297,Categorias!$A$2:$C$54,3,FALSE))</f>
        <v>Receita Bruta</v>
      </c>
      <c r="F297" s="37">
        <v>5.99</v>
      </c>
      <c r="G297" t="s">
        <v>153</v>
      </c>
      <c r="H297" s="3">
        <f t="shared" si="7"/>
        <v>46174</v>
      </c>
    </row>
    <row r="298" spans="1:8" x14ac:dyDescent="0.3">
      <c r="A298" t="s">
        <v>160</v>
      </c>
      <c r="B298" t="s">
        <v>180</v>
      </c>
      <c r="C298" t="s">
        <v>22</v>
      </c>
      <c r="D298" t="str">
        <f>IF(C298="","",VLOOKUP(C298,Categorias!$A$2:$C$54,2,FALSE))</f>
        <v>Saída</v>
      </c>
      <c r="E298" t="str">
        <f>IF(C298="","",VLOOKUP(C298,Categorias!$A$2:$C$54,3,FALSE))</f>
        <v>Despesas Financeiras</v>
      </c>
      <c r="F298" s="37">
        <v>-0.17</v>
      </c>
      <c r="G298" t="s">
        <v>153</v>
      </c>
      <c r="H298" s="3">
        <f t="shared" si="7"/>
        <v>46174</v>
      </c>
    </row>
    <row r="299" spans="1:8" x14ac:dyDescent="0.3">
      <c r="A299" t="s">
        <v>160</v>
      </c>
      <c r="B299" t="s">
        <v>243</v>
      </c>
      <c r="C299" t="s">
        <v>3</v>
      </c>
      <c r="D299" t="str">
        <f>IF(C299="","",VLOOKUP(C299,Categorias!$A$2:$C$54,2,FALSE))</f>
        <v>Entrada</v>
      </c>
      <c r="E299" t="str">
        <f>IF(C299="","",VLOOKUP(C299,Categorias!$A$2:$C$54,3,FALSE))</f>
        <v>Receita Bruta</v>
      </c>
      <c r="F299" s="37">
        <v>34.89</v>
      </c>
      <c r="G299" t="s">
        <v>153</v>
      </c>
      <c r="H299" s="3">
        <f t="shared" si="7"/>
        <v>46174</v>
      </c>
    </row>
    <row r="300" spans="1:8" x14ac:dyDescent="0.3">
      <c r="A300" t="s">
        <v>160</v>
      </c>
      <c r="B300" t="s">
        <v>180</v>
      </c>
      <c r="C300" t="s">
        <v>22</v>
      </c>
      <c r="D300" t="str">
        <f>IF(C300="","",VLOOKUP(C300,Categorias!$A$2:$C$54,2,FALSE))</f>
        <v>Saída</v>
      </c>
      <c r="E300" t="str">
        <f>IF(C300="","",VLOOKUP(C300,Categorias!$A$2:$C$54,3,FALSE))</f>
        <v>Despesas Financeiras</v>
      </c>
      <c r="F300" s="37">
        <v>-0.02</v>
      </c>
      <c r="G300" t="s">
        <v>153</v>
      </c>
      <c r="H300" s="3">
        <f t="shared" si="7"/>
        <v>46174</v>
      </c>
    </row>
    <row r="301" spans="1:8" x14ac:dyDescent="0.3">
      <c r="A301" t="s">
        <v>160</v>
      </c>
      <c r="B301" t="s">
        <v>271</v>
      </c>
      <c r="C301" t="s">
        <v>3</v>
      </c>
      <c r="D301" t="str">
        <f>IF(C301="","",VLOOKUP(C301,Categorias!$A$2:$C$54,2,FALSE))</f>
        <v>Entrada</v>
      </c>
      <c r="E301" t="str">
        <f>IF(C301="","",VLOOKUP(C301,Categorias!$A$2:$C$54,3,FALSE))</f>
        <v>Receita Bruta</v>
      </c>
      <c r="F301" s="37">
        <v>5.89</v>
      </c>
      <c r="G301" t="s">
        <v>153</v>
      </c>
      <c r="H301" s="3">
        <f t="shared" si="7"/>
        <v>46174</v>
      </c>
    </row>
    <row r="302" spans="1:8" x14ac:dyDescent="0.3">
      <c r="A302" t="s">
        <v>160</v>
      </c>
      <c r="B302" t="s">
        <v>180</v>
      </c>
      <c r="C302" t="s">
        <v>22</v>
      </c>
      <c r="D302" t="str">
        <f>IF(C302="","",VLOOKUP(C302,Categorias!$A$2:$C$54,2,FALSE))</f>
        <v>Saída</v>
      </c>
      <c r="E302" t="str">
        <f>IF(C302="","",VLOOKUP(C302,Categorias!$A$2:$C$54,3,FALSE))</f>
        <v>Despesas Financeiras</v>
      </c>
      <c r="F302" s="37">
        <v>-0.13</v>
      </c>
      <c r="G302" t="s">
        <v>153</v>
      </c>
      <c r="H302" s="3">
        <f t="shared" si="7"/>
        <v>46174</v>
      </c>
    </row>
    <row r="303" spans="1:8" x14ac:dyDescent="0.3">
      <c r="A303" t="s">
        <v>160</v>
      </c>
      <c r="B303" t="s">
        <v>226</v>
      </c>
      <c r="C303" t="s">
        <v>3</v>
      </c>
      <c r="D303" t="str">
        <f>IF(C303="","",VLOOKUP(C303,Categorias!$A$2:$C$54,2,FALSE))</f>
        <v>Entrada</v>
      </c>
      <c r="E303" t="str">
        <f>IF(C303="","",VLOOKUP(C303,Categorias!$A$2:$C$54,3,FALSE))</f>
        <v>Receita Bruta</v>
      </c>
      <c r="F303" s="37">
        <v>26.76</v>
      </c>
      <c r="G303" t="s">
        <v>153</v>
      </c>
      <c r="H303" s="3">
        <f t="shared" si="7"/>
        <v>46174</v>
      </c>
    </row>
    <row r="304" spans="1:8" x14ac:dyDescent="0.3">
      <c r="A304" t="s">
        <v>160</v>
      </c>
      <c r="B304" t="s">
        <v>180</v>
      </c>
      <c r="C304" t="s">
        <v>22</v>
      </c>
      <c r="D304" t="str">
        <f>IF(C304="","",VLOOKUP(C304,Categorias!$A$2:$C$54,2,FALSE))</f>
        <v>Saída</v>
      </c>
      <c r="E304" t="str">
        <f>IF(C304="","",VLOOKUP(C304,Categorias!$A$2:$C$54,3,FALSE))</f>
        <v>Despesas Financeiras</v>
      </c>
      <c r="F304" s="37">
        <v>-0.06</v>
      </c>
      <c r="G304" t="s">
        <v>153</v>
      </c>
      <c r="H304" s="3">
        <f t="shared" si="7"/>
        <v>46174</v>
      </c>
    </row>
    <row r="305" spans="1:8" x14ac:dyDescent="0.3">
      <c r="A305" t="s">
        <v>160</v>
      </c>
      <c r="B305" t="s">
        <v>290</v>
      </c>
      <c r="C305" t="s">
        <v>3</v>
      </c>
      <c r="D305" t="str">
        <f>IF(C305="","",VLOOKUP(C305,Categorias!$A$2:$C$54,2,FALSE))</f>
        <v>Entrada</v>
      </c>
      <c r="E305" t="str">
        <f>IF(C305="","",VLOOKUP(C305,Categorias!$A$2:$C$54,3,FALSE))</f>
        <v>Receita Bruta</v>
      </c>
      <c r="F305" s="37">
        <v>13.99</v>
      </c>
      <c r="G305" t="s">
        <v>153</v>
      </c>
      <c r="H305" s="3">
        <f t="shared" si="7"/>
        <v>46174</v>
      </c>
    </row>
    <row r="306" spans="1:8" x14ac:dyDescent="0.3">
      <c r="A306" t="s">
        <v>160</v>
      </c>
      <c r="B306" t="s">
        <v>180</v>
      </c>
      <c r="C306" t="s">
        <v>22</v>
      </c>
      <c r="D306" t="str">
        <f>IF(C306="","",VLOOKUP(C306,Categorias!$A$2:$C$54,2,FALSE))</f>
        <v>Saída</v>
      </c>
      <c r="E306" t="str">
        <f>IF(C306="","",VLOOKUP(C306,Categorias!$A$2:$C$54,3,FALSE))</f>
        <v>Despesas Financeiras</v>
      </c>
      <c r="F306" s="37">
        <v>-0.06</v>
      </c>
      <c r="G306" t="s">
        <v>153</v>
      </c>
      <c r="H306" s="3">
        <f t="shared" si="7"/>
        <v>46174</v>
      </c>
    </row>
    <row r="307" spans="1:8" x14ac:dyDescent="0.3">
      <c r="A307" t="s">
        <v>160</v>
      </c>
      <c r="B307" t="s">
        <v>182</v>
      </c>
      <c r="C307" t="s">
        <v>3</v>
      </c>
      <c r="D307" t="str">
        <f>IF(C307="","",VLOOKUP(C307,Categorias!$A$2:$C$54,2,FALSE))</f>
        <v>Entrada</v>
      </c>
      <c r="E307" t="str">
        <f>IF(C307="","",VLOOKUP(C307,Categorias!$A$2:$C$54,3,FALSE))</f>
        <v>Receita Bruta</v>
      </c>
      <c r="F307" s="37">
        <v>13.99</v>
      </c>
      <c r="G307" t="s">
        <v>153</v>
      </c>
      <c r="H307" s="3">
        <f t="shared" si="7"/>
        <v>46174</v>
      </c>
    </row>
    <row r="308" spans="1:8" x14ac:dyDescent="0.3">
      <c r="A308" t="s">
        <v>160</v>
      </c>
      <c r="B308" t="s">
        <v>180</v>
      </c>
      <c r="C308" t="s">
        <v>22</v>
      </c>
      <c r="D308" t="str">
        <f>IF(C308="","",VLOOKUP(C308,Categorias!$A$2:$C$54,2,FALSE))</f>
        <v>Saída</v>
      </c>
      <c r="E308" t="str">
        <f>IF(C308="","",VLOOKUP(C308,Categorias!$A$2:$C$54,3,FALSE))</f>
        <v>Despesas Financeiras</v>
      </c>
      <c r="F308" s="37">
        <v>-7.0000000000000007E-2</v>
      </c>
      <c r="G308" t="s">
        <v>153</v>
      </c>
      <c r="H308" s="3">
        <f t="shared" si="7"/>
        <v>46174</v>
      </c>
    </row>
    <row r="309" spans="1:8" x14ac:dyDescent="0.3">
      <c r="A309" t="s">
        <v>160</v>
      </c>
      <c r="B309" t="s">
        <v>191</v>
      </c>
      <c r="C309" t="s">
        <v>3</v>
      </c>
      <c r="D309" t="str">
        <f>IF(C309="","",VLOOKUP(C309,Categorias!$A$2:$C$54,2,FALSE))</f>
        <v>Entrada</v>
      </c>
      <c r="E309" t="str">
        <f>IF(C309="","",VLOOKUP(C309,Categorias!$A$2:$C$54,3,FALSE))</f>
        <v>Receita Bruta</v>
      </c>
      <c r="F309" s="37">
        <v>14.99</v>
      </c>
      <c r="G309" t="s">
        <v>153</v>
      </c>
      <c r="H309" s="3">
        <f t="shared" si="7"/>
        <v>46174</v>
      </c>
    </row>
    <row r="310" spans="1:8" x14ac:dyDescent="0.3">
      <c r="A310" t="s">
        <v>160</v>
      </c>
      <c r="B310" t="s">
        <v>180</v>
      </c>
      <c r="C310" t="s">
        <v>22</v>
      </c>
      <c r="D310" t="str">
        <f>IF(C310="","",VLOOKUP(C310,Categorias!$A$2:$C$54,2,FALSE))</f>
        <v>Saída</v>
      </c>
      <c r="E310" t="str">
        <f>IF(C310="","",VLOOKUP(C310,Categorias!$A$2:$C$54,3,FALSE))</f>
        <v>Despesas Financeiras</v>
      </c>
      <c r="F310" s="37">
        <v>-0.06</v>
      </c>
      <c r="G310" t="s">
        <v>153</v>
      </c>
      <c r="H310" s="3">
        <f t="shared" si="7"/>
        <v>46174</v>
      </c>
    </row>
    <row r="311" spans="1:8" x14ac:dyDescent="0.3">
      <c r="A311" t="s">
        <v>160</v>
      </c>
      <c r="B311" t="s">
        <v>291</v>
      </c>
      <c r="C311" t="s">
        <v>3</v>
      </c>
      <c r="D311" t="str">
        <f>IF(C311="","",VLOOKUP(C311,Categorias!$A$2:$C$54,2,FALSE))</f>
        <v>Entrada</v>
      </c>
      <c r="E311" t="str">
        <f>IF(C311="","",VLOOKUP(C311,Categorias!$A$2:$C$54,3,FALSE))</f>
        <v>Receita Bruta</v>
      </c>
      <c r="F311" s="37">
        <v>13.98</v>
      </c>
      <c r="G311" t="s">
        <v>153</v>
      </c>
      <c r="H311" s="3">
        <f t="shared" si="7"/>
        <v>46174</v>
      </c>
    </row>
    <row r="312" spans="1:8" x14ac:dyDescent="0.3">
      <c r="A312" t="s">
        <v>160</v>
      </c>
      <c r="B312" t="s">
        <v>180</v>
      </c>
      <c r="C312" t="s">
        <v>22</v>
      </c>
      <c r="D312" t="str">
        <f>IF(C312="","",VLOOKUP(C312,Categorias!$A$2:$C$54,2,FALSE))</f>
        <v>Saída</v>
      </c>
      <c r="E312" t="str">
        <f>IF(C312="","",VLOOKUP(C312,Categorias!$A$2:$C$54,3,FALSE))</f>
        <v>Despesas Financeiras</v>
      </c>
      <c r="F312" s="37">
        <v>-0.09</v>
      </c>
      <c r="G312" t="s">
        <v>153</v>
      </c>
      <c r="H312" s="3">
        <f t="shared" si="7"/>
        <v>46174</v>
      </c>
    </row>
    <row r="313" spans="1:8" x14ac:dyDescent="0.3">
      <c r="A313" t="s">
        <v>160</v>
      </c>
      <c r="B313" t="s">
        <v>272</v>
      </c>
      <c r="C313" t="s">
        <v>3</v>
      </c>
      <c r="D313" t="str">
        <f>IF(C313="","",VLOOKUP(C313,Categorias!$A$2:$C$54,2,FALSE))</f>
        <v>Entrada</v>
      </c>
      <c r="E313" t="str">
        <f>IF(C313="","",VLOOKUP(C313,Categorias!$A$2:$C$54,3,FALSE))</f>
        <v>Receita Bruta</v>
      </c>
      <c r="F313" s="37">
        <v>18.989999999999998</v>
      </c>
      <c r="G313" t="s">
        <v>153</v>
      </c>
      <c r="H313" s="3">
        <f t="shared" si="7"/>
        <v>46174</v>
      </c>
    </row>
    <row r="314" spans="1:8" x14ac:dyDescent="0.3">
      <c r="A314" t="s">
        <v>160</v>
      </c>
      <c r="B314" t="s">
        <v>180</v>
      </c>
      <c r="C314" t="s">
        <v>22</v>
      </c>
      <c r="D314" t="str">
        <f>IF(C314="","",VLOOKUP(C314,Categorias!$A$2:$C$54,2,FALSE))</f>
        <v>Saída</v>
      </c>
      <c r="E314" t="str">
        <f>IF(C314="","",VLOOKUP(C314,Categorias!$A$2:$C$54,3,FALSE))</f>
        <v>Despesas Financeiras</v>
      </c>
      <c r="F314" s="37">
        <v>-0.24</v>
      </c>
      <c r="G314" t="s">
        <v>153</v>
      </c>
      <c r="H314" s="3">
        <f t="shared" si="7"/>
        <v>46174</v>
      </c>
    </row>
    <row r="315" spans="1:8" x14ac:dyDescent="0.3">
      <c r="A315" t="s">
        <v>160</v>
      </c>
      <c r="B315" t="s">
        <v>292</v>
      </c>
      <c r="C315" t="s">
        <v>3</v>
      </c>
      <c r="D315" t="str">
        <f>IF(C315="","",VLOOKUP(C315,Categorias!$A$2:$C$54,2,FALSE))</f>
        <v>Entrada</v>
      </c>
      <c r="E315" t="str">
        <f>IF(C315="","",VLOOKUP(C315,Categorias!$A$2:$C$54,3,FALSE))</f>
        <v>Receita Bruta</v>
      </c>
      <c r="F315" s="37">
        <v>48.96</v>
      </c>
      <c r="G315" t="s">
        <v>153</v>
      </c>
      <c r="H315" s="3">
        <f t="shared" si="7"/>
        <v>46174</v>
      </c>
    </row>
    <row r="316" spans="1:8" x14ac:dyDescent="0.3">
      <c r="A316" t="s">
        <v>160</v>
      </c>
      <c r="B316" t="s">
        <v>180</v>
      </c>
      <c r="C316" t="s">
        <v>22</v>
      </c>
      <c r="D316" t="str">
        <f>IF(C316="","",VLOOKUP(C316,Categorias!$A$2:$C$54,2,FALSE))</f>
        <v>Saída</v>
      </c>
      <c r="E316" t="str">
        <f>IF(C316="","",VLOOKUP(C316,Categorias!$A$2:$C$54,3,FALSE))</f>
        <v>Despesas Financeiras</v>
      </c>
      <c r="F316" s="37">
        <v>-0.13</v>
      </c>
      <c r="G316" t="s">
        <v>153</v>
      </c>
      <c r="H316" s="3">
        <f t="shared" si="7"/>
        <v>46174</v>
      </c>
    </row>
    <row r="317" spans="1:8" x14ac:dyDescent="0.3">
      <c r="A317" t="s">
        <v>160</v>
      </c>
      <c r="B317" t="s">
        <v>183</v>
      </c>
      <c r="C317" t="s">
        <v>3</v>
      </c>
      <c r="D317" t="str">
        <f>IF(C317="","",VLOOKUP(C317,Categorias!$A$2:$C$54,2,FALSE))</f>
        <v>Entrada</v>
      </c>
      <c r="E317" t="str">
        <f>IF(C317="","",VLOOKUP(C317,Categorias!$A$2:$C$54,3,FALSE))</f>
        <v>Receita Bruta</v>
      </c>
      <c r="F317" s="37">
        <v>26.97</v>
      </c>
      <c r="G317" t="s">
        <v>153</v>
      </c>
      <c r="H317" s="3">
        <f t="shared" si="7"/>
        <v>46174</v>
      </c>
    </row>
    <row r="318" spans="1:8" x14ac:dyDescent="0.3">
      <c r="A318" t="s">
        <v>160</v>
      </c>
      <c r="B318" t="s">
        <v>180</v>
      </c>
      <c r="C318" t="s">
        <v>22</v>
      </c>
      <c r="D318" t="str">
        <f>IF(C318="","",VLOOKUP(C318,Categorias!$A$2:$C$54,2,FALSE))</f>
        <v>Saída</v>
      </c>
      <c r="E318" t="str">
        <f>IF(C318="","",VLOOKUP(C318,Categorias!$A$2:$C$54,3,FALSE))</f>
        <v>Despesas Financeiras</v>
      </c>
      <c r="F318" s="37">
        <v>-0.06</v>
      </c>
      <c r="G318" t="s">
        <v>153</v>
      </c>
      <c r="H318" s="3">
        <f t="shared" si="7"/>
        <v>46174</v>
      </c>
    </row>
    <row r="319" spans="1:8" x14ac:dyDescent="0.3">
      <c r="A319" t="s">
        <v>160</v>
      </c>
      <c r="B319" t="s">
        <v>210</v>
      </c>
      <c r="C319" t="s">
        <v>3</v>
      </c>
      <c r="D319" t="str">
        <f>IF(C319="","",VLOOKUP(C319,Categorias!$A$2:$C$54,2,FALSE))</f>
        <v>Entrada</v>
      </c>
      <c r="E319" t="str">
        <f>IF(C319="","",VLOOKUP(C319,Categorias!$A$2:$C$54,3,FALSE))</f>
        <v>Receita Bruta</v>
      </c>
      <c r="F319" s="37">
        <v>13.99</v>
      </c>
      <c r="G319" t="s">
        <v>153</v>
      </c>
      <c r="H319" s="3">
        <f t="shared" si="7"/>
        <v>46174</v>
      </c>
    </row>
    <row r="320" spans="1:8" x14ac:dyDescent="0.3">
      <c r="A320" t="s">
        <v>160</v>
      </c>
      <c r="B320" t="s">
        <v>180</v>
      </c>
      <c r="C320" t="s">
        <v>22</v>
      </c>
      <c r="D320" t="str">
        <f>IF(C320="","",VLOOKUP(C320,Categorias!$A$2:$C$54,2,FALSE))</f>
        <v>Saída</v>
      </c>
      <c r="E320" t="str">
        <f>IF(C320="","",VLOOKUP(C320,Categorias!$A$2:$C$54,3,FALSE))</f>
        <v>Despesas Financeiras</v>
      </c>
      <c r="F320" s="37">
        <v>-0.08</v>
      </c>
      <c r="G320" t="s">
        <v>153</v>
      </c>
      <c r="H320" s="3">
        <f t="shared" si="7"/>
        <v>46174</v>
      </c>
    </row>
    <row r="321" spans="1:8" x14ac:dyDescent="0.3">
      <c r="A321" t="s">
        <v>160</v>
      </c>
      <c r="B321" t="s">
        <v>214</v>
      </c>
      <c r="C321" t="s">
        <v>3</v>
      </c>
      <c r="D321" t="str">
        <f>IF(C321="","",VLOOKUP(C321,Categorias!$A$2:$C$54,2,FALSE))</f>
        <v>Entrada</v>
      </c>
      <c r="E321" t="str">
        <f>IF(C321="","",VLOOKUP(C321,Categorias!$A$2:$C$54,3,FALSE))</f>
        <v>Receita Bruta</v>
      </c>
      <c r="F321" s="37">
        <v>16.170000000000002</v>
      </c>
      <c r="G321" t="s">
        <v>153</v>
      </c>
      <c r="H321" s="3">
        <f t="shared" ref="H321:H349" si="8">IF(A321="","",DATE(YEAR(A321),MONTH(A321),1))</f>
        <v>46174</v>
      </c>
    </row>
    <row r="322" spans="1:8" x14ac:dyDescent="0.3">
      <c r="A322" t="s">
        <v>160</v>
      </c>
      <c r="B322" t="s">
        <v>180</v>
      </c>
      <c r="C322" t="s">
        <v>22</v>
      </c>
      <c r="D322" t="str">
        <f>IF(C322="","",VLOOKUP(C322,Categorias!$A$2:$C$54,2,FALSE))</f>
        <v>Saída</v>
      </c>
      <c r="E322" t="str">
        <f>IF(C322="","",VLOOKUP(C322,Categorias!$A$2:$C$54,3,FALSE))</f>
        <v>Despesas Financeiras</v>
      </c>
      <c r="F322" s="37">
        <v>-7.0000000000000007E-2</v>
      </c>
      <c r="G322" t="s">
        <v>153</v>
      </c>
      <c r="H322" s="3">
        <f t="shared" si="8"/>
        <v>46174</v>
      </c>
    </row>
    <row r="323" spans="1:8" x14ac:dyDescent="0.3">
      <c r="A323" t="s">
        <v>160</v>
      </c>
      <c r="B323" t="s">
        <v>293</v>
      </c>
      <c r="C323" t="s">
        <v>3</v>
      </c>
      <c r="D323" t="str">
        <f>IF(C323="","",VLOOKUP(C323,Categorias!$A$2:$C$54,2,FALSE))</f>
        <v>Entrada</v>
      </c>
      <c r="E323" t="str">
        <f>IF(C323="","",VLOOKUP(C323,Categorias!$A$2:$C$54,3,FALSE))</f>
        <v>Receita Bruta</v>
      </c>
      <c r="F323" s="37">
        <v>14.99</v>
      </c>
      <c r="G323" t="s">
        <v>153</v>
      </c>
      <c r="H323" s="3">
        <f t="shared" si="8"/>
        <v>46174</v>
      </c>
    </row>
    <row r="324" spans="1:8" x14ac:dyDescent="0.3">
      <c r="A324" t="s">
        <v>161</v>
      </c>
      <c r="B324" t="s">
        <v>294</v>
      </c>
      <c r="C324" t="s">
        <v>108</v>
      </c>
      <c r="D324" t="str">
        <f>IF(C324="","",VLOOKUP(C324,Categorias!$A$2:$C$54,2,FALSE))</f>
        <v>Saída</v>
      </c>
      <c r="E324" t="str">
        <f>IF(C324="","",VLOOKUP(C324,Categorias!$A$2:$C$54,3,FALSE))</f>
        <v>CMV</v>
      </c>
      <c r="F324" s="37">
        <v>-345</v>
      </c>
      <c r="G324" t="s">
        <v>152</v>
      </c>
      <c r="H324" s="3">
        <f t="shared" si="8"/>
        <v>46174</v>
      </c>
    </row>
    <row r="325" spans="1:8" x14ac:dyDescent="0.3">
      <c r="A325" t="s">
        <v>161</v>
      </c>
      <c r="B325" t="s">
        <v>200</v>
      </c>
      <c r="C325" t="s">
        <v>108</v>
      </c>
      <c r="D325" t="str">
        <f>IF(C325="","",VLOOKUP(C325,Categorias!$A$2:$C$54,2,FALSE))</f>
        <v>Saída</v>
      </c>
      <c r="E325" t="str">
        <f>IF(C325="","",VLOOKUP(C325,Categorias!$A$2:$C$54,3,FALSE))</f>
        <v>CMV</v>
      </c>
      <c r="F325" s="37">
        <v>-539</v>
      </c>
      <c r="G325" t="s">
        <v>152</v>
      </c>
      <c r="H325" s="3">
        <f t="shared" si="8"/>
        <v>46174</v>
      </c>
    </row>
    <row r="326" spans="1:8" x14ac:dyDescent="0.3">
      <c r="A326" t="s">
        <v>161</v>
      </c>
      <c r="B326" t="s">
        <v>295</v>
      </c>
      <c r="C326" t="s">
        <v>108</v>
      </c>
      <c r="D326" t="str">
        <f>IF(C326="","",VLOOKUP(C326,Categorias!$A$2:$C$54,2,FALSE))</f>
        <v>Saída</v>
      </c>
      <c r="E326" t="str">
        <f>IF(C326="","",VLOOKUP(C326,Categorias!$A$2:$C$54,3,FALSE))</f>
        <v>CMV</v>
      </c>
      <c r="F326" s="37">
        <v>-780.9</v>
      </c>
      <c r="G326" t="s">
        <v>152</v>
      </c>
      <c r="H326" s="3">
        <f t="shared" si="8"/>
        <v>46174</v>
      </c>
    </row>
    <row r="327" spans="1:8" x14ac:dyDescent="0.3">
      <c r="A327" t="s">
        <v>161</v>
      </c>
      <c r="B327" t="s">
        <v>296</v>
      </c>
      <c r="C327" t="s">
        <v>108</v>
      </c>
      <c r="D327" t="str">
        <f>IF(C327="","",VLOOKUP(C327,Categorias!$A$2:$C$54,2,FALSE))</f>
        <v>Saída</v>
      </c>
      <c r="E327" t="str">
        <f>IF(C327="","",VLOOKUP(C327,Categorias!$A$2:$C$54,3,FALSE))</f>
        <v>CMV</v>
      </c>
      <c r="F327" s="37">
        <v>-201.6</v>
      </c>
      <c r="G327" t="s">
        <v>152</v>
      </c>
      <c r="H327" s="3">
        <f t="shared" si="8"/>
        <v>46174</v>
      </c>
    </row>
    <row r="328" spans="1:8" x14ac:dyDescent="0.3">
      <c r="A328" t="s">
        <v>161</v>
      </c>
      <c r="B328" t="s">
        <v>297</v>
      </c>
      <c r="C328" t="s">
        <v>108</v>
      </c>
      <c r="D328" t="str">
        <f>IF(C328="","",VLOOKUP(C328,Categorias!$A$2:$C$54,2,FALSE))</f>
        <v>Saída</v>
      </c>
      <c r="E328" t="str">
        <f>IF(C328="","",VLOOKUP(C328,Categorias!$A$2:$C$54,3,FALSE))</f>
        <v>CMV</v>
      </c>
      <c r="F328" s="37">
        <v>-1216.1300000000001</v>
      </c>
      <c r="G328" t="s">
        <v>152</v>
      </c>
      <c r="H328" s="3">
        <f t="shared" si="8"/>
        <v>46174</v>
      </c>
    </row>
    <row r="329" spans="1:8" x14ac:dyDescent="0.3">
      <c r="A329" t="s">
        <v>161</v>
      </c>
      <c r="B329" t="s">
        <v>168</v>
      </c>
      <c r="C329" t="s">
        <v>108</v>
      </c>
      <c r="D329" t="str">
        <f>IF(C329="","",VLOOKUP(C329,Categorias!$A$2:$C$54,2,FALSE))</f>
        <v>Saída</v>
      </c>
      <c r="E329" t="str">
        <f>IF(C329="","",VLOOKUP(C329,Categorias!$A$2:$C$54,3,FALSE))</f>
        <v>CMV</v>
      </c>
      <c r="F329" s="37">
        <v>-540.49</v>
      </c>
      <c r="G329" t="s">
        <v>152</v>
      </c>
      <c r="H329" s="3">
        <f t="shared" si="8"/>
        <v>46174</v>
      </c>
    </row>
    <row r="330" spans="1:8" x14ac:dyDescent="0.3">
      <c r="A330" t="s">
        <v>161</v>
      </c>
      <c r="B330" t="s">
        <v>201</v>
      </c>
      <c r="C330" t="s">
        <v>108</v>
      </c>
      <c r="D330" t="str">
        <f>IF(C330="","",VLOOKUP(C330,Categorias!$A$2:$C$54,2,FALSE))</f>
        <v>Saída</v>
      </c>
      <c r="E330" t="str">
        <f>IF(C330="","",VLOOKUP(C330,Categorias!$A$2:$C$54,3,FALSE))</f>
        <v>CMV</v>
      </c>
      <c r="F330" s="37">
        <v>-1513.8</v>
      </c>
      <c r="G330" t="s">
        <v>152</v>
      </c>
      <c r="H330" s="3">
        <f t="shared" si="8"/>
        <v>46174</v>
      </c>
    </row>
    <row r="331" spans="1:8" x14ac:dyDescent="0.3">
      <c r="A331" t="s">
        <v>161</v>
      </c>
      <c r="B331" t="s">
        <v>298</v>
      </c>
      <c r="C331" t="s">
        <v>3</v>
      </c>
      <c r="D331" t="str">
        <f>IF(C331="","",VLOOKUP(C331,Categorias!$A$2:$C$54,2,FALSE))</f>
        <v>Entrada</v>
      </c>
      <c r="E331" t="str">
        <f>IF(C331="","",VLOOKUP(C331,Categorias!$A$2:$C$54,3,FALSE))</f>
        <v>Receita Bruta</v>
      </c>
      <c r="F331" s="37">
        <v>1139.3900000000001</v>
      </c>
      <c r="G331" t="s">
        <v>152</v>
      </c>
      <c r="H331" s="3">
        <f t="shared" si="8"/>
        <v>46174</v>
      </c>
    </row>
    <row r="332" spans="1:8" x14ac:dyDescent="0.3">
      <c r="A332" t="s">
        <v>161</v>
      </c>
      <c r="B332" t="s">
        <v>299</v>
      </c>
      <c r="C332" t="s">
        <v>3</v>
      </c>
      <c r="D332" t="str">
        <f>IF(C332="","",VLOOKUP(C332,Categorias!$A$2:$C$54,2,FALSE))</f>
        <v>Entrada</v>
      </c>
      <c r="E332" t="str">
        <f>IF(C332="","",VLOOKUP(C332,Categorias!$A$2:$C$54,3,FALSE))</f>
        <v>Receita Bruta</v>
      </c>
      <c r="F332" s="37">
        <v>1656.3</v>
      </c>
      <c r="G332" t="s">
        <v>152</v>
      </c>
      <c r="H332" s="3">
        <f t="shared" si="8"/>
        <v>46174</v>
      </c>
    </row>
    <row r="333" spans="1:8" x14ac:dyDescent="0.3">
      <c r="A333" t="s">
        <v>161</v>
      </c>
      <c r="B333" t="s">
        <v>300</v>
      </c>
      <c r="C333" t="s">
        <v>3</v>
      </c>
      <c r="D333" t="str">
        <f>IF(C333="","",VLOOKUP(C333,Categorias!$A$2:$C$54,2,FALSE))</f>
        <v>Entrada</v>
      </c>
      <c r="E333" t="str">
        <f>IF(C333="","",VLOOKUP(C333,Categorias!$A$2:$C$54,3,FALSE))</f>
        <v>Receita Bruta</v>
      </c>
      <c r="F333" s="37">
        <v>15.28</v>
      </c>
      <c r="G333" t="s">
        <v>152</v>
      </c>
      <c r="H333" s="3">
        <f t="shared" si="8"/>
        <v>46174</v>
      </c>
    </row>
    <row r="334" spans="1:8" x14ac:dyDescent="0.3">
      <c r="A334" t="s">
        <v>161</v>
      </c>
      <c r="B334" t="s">
        <v>301</v>
      </c>
      <c r="C334" t="s">
        <v>3</v>
      </c>
      <c r="D334" t="str">
        <f>IF(C334="","",VLOOKUP(C334,Categorias!$A$2:$C$54,2,FALSE))</f>
        <v>Entrada</v>
      </c>
      <c r="E334" t="str">
        <f>IF(C334="","",VLOOKUP(C334,Categorias!$A$2:$C$54,3,FALSE))</f>
        <v>Receita Bruta</v>
      </c>
      <c r="F334" s="37">
        <v>39.19</v>
      </c>
      <c r="G334" t="s">
        <v>152</v>
      </c>
      <c r="H334" s="3">
        <f t="shared" si="8"/>
        <v>46174</v>
      </c>
    </row>
    <row r="335" spans="1:8" x14ac:dyDescent="0.3">
      <c r="A335" t="s">
        <v>161</v>
      </c>
      <c r="B335" t="s">
        <v>170</v>
      </c>
      <c r="C335" t="s">
        <v>108</v>
      </c>
      <c r="D335" t="str">
        <f>IF(C335="","",VLOOKUP(C335,Categorias!$A$2:$C$54,2,FALSE))</f>
        <v>Saída</v>
      </c>
      <c r="E335" t="str">
        <f>IF(C335="","",VLOOKUP(C335,Categorias!$A$2:$C$54,3,FALSE))</f>
        <v>CMV</v>
      </c>
      <c r="F335" s="37">
        <v>-500</v>
      </c>
      <c r="G335" t="s">
        <v>152</v>
      </c>
      <c r="H335" s="3">
        <f t="shared" si="8"/>
        <v>46174</v>
      </c>
    </row>
    <row r="336" spans="1:8" x14ac:dyDescent="0.3">
      <c r="A336" t="s">
        <v>161</v>
      </c>
      <c r="B336" t="s">
        <v>302</v>
      </c>
      <c r="C336" t="s">
        <v>3</v>
      </c>
      <c r="D336" t="str">
        <f>IF(C336="","",VLOOKUP(C336,Categorias!$A$2:$C$54,2,FALSE))</f>
        <v>Entrada</v>
      </c>
      <c r="E336" t="str">
        <f>IF(C336="","",VLOOKUP(C336,Categorias!$A$2:$C$54,3,FALSE))</f>
        <v>Receita Bruta</v>
      </c>
      <c r="F336" s="37">
        <v>559.11</v>
      </c>
      <c r="G336" t="s">
        <v>152</v>
      </c>
      <c r="H336" s="3">
        <f t="shared" si="8"/>
        <v>46174</v>
      </c>
    </row>
    <row r="337" spans="1:8" x14ac:dyDescent="0.3">
      <c r="A337" t="s">
        <v>161</v>
      </c>
      <c r="B337" t="s">
        <v>303</v>
      </c>
      <c r="C337" t="s">
        <v>3</v>
      </c>
      <c r="D337" t="str">
        <f>IF(C337="","",VLOOKUP(C337,Categorias!$A$2:$C$54,2,FALSE))</f>
        <v>Entrada</v>
      </c>
      <c r="E337" t="str">
        <f>IF(C337="","",VLOOKUP(C337,Categorias!$A$2:$C$54,3,FALSE))</f>
        <v>Receita Bruta</v>
      </c>
      <c r="F337" s="37">
        <v>2098.0700000000002</v>
      </c>
      <c r="G337" t="s">
        <v>152</v>
      </c>
      <c r="H337" s="3">
        <f t="shared" si="8"/>
        <v>46174</v>
      </c>
    </row>
    <row r="338" spans="1:8" x14ac:dyDescent="0.3">
      <c r="A338" t="s">
        <v>161</v>
      </c>
      <c r="B338" t="s">
        <v>304</v>
      </c>
      <c r="C338" t="s">
        <v>3</v>
      </c>
      <c r="D338" t="str">
        <f>IF(C338="","",VLOOKUP(C338,Categorias!$A$2:$C$54,2,FALSE))</f>
        <v>Entrada</v>
      </c>
      <c r="E338" t="str">
        <f>IF(C338="","",VLOOKUP(C338,Categorias!$A$2:$C$54,3,FALSE))</f>
        <v>Receita Bruta</v>
      </c>
      <c r="F338" s="37">
        <v>113.67</v>
      </c>
      <c r="G338" t="s">
        <v>152</v>
      </c>
      <c r="H338" s="3">
        <f t="shared" si="8"/>
        <v>46174</v>
      </c>
    </row>
    <row r="339" spans="1:8" x14ac:dyDescent="0.3">
      <c r="A339" t="s">
        <v>161</v>
      </c>
      <c r="B339" t="s">
        <v>305</v>
      </c>
      <c r="C339" t="s">
        <v>3</v>
      </c>
      <c r="D339" t="str">
        <f>IF(C339="","",VLOOKUP(C339,Categorias!$A$2:$C$54,2,FALSE))</f>
        <v>Entrada</v>
      </c>
      <c r="E339" t="str">
        <f>IF(C339="","",VLOOKUP(C339,Categorias!$A$2:$C$54,3,FALSE))</f>
        <v>Receita Bruta</v>
      </c>
      <c r="F339" s="37">
        <v>9.82</v>
      </c>
      <c r="G339" t="s">
        <v>152</v>
      </c>
      <c r="H339" s="3">
        <f t="shared" si="8"/>
        <v>46174</v>
      </c>
    </row>
    <row r="340" spans="1:8" x14ac:dyDescent="0.3">
      <c r="A340" t="s">
        <v>161</v>
      </c>
      <c r="B340" t="s">
        <v>180</v>
      </c>
      <c r="C340" t="s">
        <v>22</v>
      </c>
      <c r="D340" t="str">
        <f>IF(C340="","",VLOOKUP(C340,Categorias!$A$2:$C$54,2,FALSE))</f>
        <v>Saída</v>
      </c>
      <c r="E340" t="str">
        <f>IF(C340="","",VLOOKUP(C340,Categorias!$A$2:$C$54,3,FALSE))</f>
        <v>Despesas Financeiras</v>
      </c>
      <c r="F340" s="37">
        <v>-0.1</v>
      </c>
      <c r="G340" t="s">
        <v>153</v>
      </c>
      <c r="H340" s="3">
        <f t="shared" si="8"/>
        <v>46174</v>
      </c>
    </row>
    <row r="341" spans="1:8" x14ac:dyDescent="0.3">
      <c r="A341" t="s">
        <v>161</v>
      </c>
      <c r="B341" t="s">
        <v>214</v>
      </c>
      <c r="C341" t="s">
        <v>3</v>
      </c>
      <c r="D341" t="str">
        <f>IF(C341="","",VLOOKUP(C341,Categorias!$A$2:$C$54,2,FALSE))</f>
        <v>Entrada</v>
      </c>
      <c r="E341" t="str">
        <f>IF(C341="","",VLOOKUP(C341,Categorias!$A$2:$C$54,3,FALSE))</f>
        <v>Receita Bruta</v>
      </c>
      <c r="F341" s="37">
        <v>21.56</v>
      </c>
      <c r="G341" t="s">
        <v>153</v>
      </c>
      <c r="H341" s="3">
        <f t="shared" si="8"/>
        <v>46174</v>
      </c>
    </row>
    <row r="342" spans="1:8" x14ac:dyDescent="0.3">
      <c r="A342" t="s">
        <v>161</v>
      </c>
      <c r="B342" t="s">
        <v>180</v>
      </c>
      <c r="C342" t="s">
        <v>22</v>
      </c>
      <c r="D342" t="str">
        <f>IF(C342="","",VLOOKUP(C342,Categorias!$A$2:$C$54,2,FALSE))</f>
        <v>Saída</v>
      </c>
      <c r="E342" t="str">
        <f>IF(C342="","",VLOOKUP(C342,Categorias!$A$2:$C$54,3,FALSE))</f>
        <v>Despesas Financeiras</v>
      </c>
      <c r="F342" s="37">
        <v>-0.12</v>
      </c>
      <c r="G342" t="s">
        <v>153</v>
      </c>
      <c r="H342" s="3">
        <f t="shared" si="8"/>
        <v>46174</v>
      </c>
    </row>
    <row r="343" spans="1:8" x14ac:dyDescent="0.3">
      <c r="A343" t="s">
        <v>161</v>
      </c>
      <c r="B343" t="s">
        <v>306</v>
      </c>
      <c r="C343" t="s">
        <v>3</v>
      </c>
      <c r="D343" t="str">
        <f>IF(C343="","",VLOOKUP(C343,Categorias!$A$2:$C$54,2,FALSE))</f>
        <v>Entrada</v>
      </c>
      <c r="E343" t="str">
        <f>IF(C343="","",VLOOKUP(C343,Categorias!$A$2:$C$54,3,FALSE))</f>
        <v>Receita Bruta</v>
      </c>
      <c r="F343" s="37">
        <v>24.88</v>
      </c>
      <c r="G343" t="s">
        <v>153</v>
      </c>
      <c r="H343" s="3">
        <f t="shared" si="8"/>
        <v>46174</v>
      </c>
    </row>
    <row r="344" spans="1:8" x14ac:dyDescent="0.3">
      <c r="A344" t="s">
        <v>161</v>
      </c>
      <c r="B344" t="s">
        <v>180</v>
      </c>
      <c r="C344" t="s">
        <v>22</v>
      </c>
      <c r="D344" t="str">
        <f>IF(C344="","",VLOOKUP(C344,Categorias!$A$2:$C$54,2,FALSE))</f>
        <v>Saída</v>
      </c>
      <c r="E344" t="str">
        <f>IF(C344="","",VLOOKUP(C344,Categorias!$A$2:$C$54,3,FALSE))</f>
        <v>Despesas Financeiras</v>
      </c>
      <c r="F344" s="37">
        <v>-0.01</v>
      </c>
      <c r="G344" t="s">
        <v>153</v>
      </c>
      <c r="H344" s="3">
        <f t="shared" si="8"/>
        <v>46174</v>
      </c>
    </row>
    <row r="345" spans="1:8" x14ac:dyDescent="0.3">
      <c r="A345" t="s">
        <v>161</v>
      </c>
      <c r="B345" t="s">
        <v>307</v>
      </c>
      <c r="C345" t="s">
        <v>3</v>
      </c>
      <c r="D345" t="str">
        <f>IF(C345="","",VLOOKUP(C345,Categorias!$A$2:$C$54,2,FALSE))</f>
        <v>Entrada</v>
      </c>
      <c r="E345" t="str">
        <f>IF(C345="","",VLOOKUP(C345,Categorias!$A$2:$C$54,3,FALSE))</f>
        <v>Receita Bruta</v>
      </c>
      <c r="F345" s="37">
        <v>2.99</v>
      </c>
      <c r="G345" t="s">
        <v>153</v>
      </c>
      <c r="H345" s="3">
        <f t="shared" si="8"/>
        <v>46174</v>
      </c>
    </row>
    <row r="346" spans="1:8" x14ac:dyDescent="0.3">
      <c r="A346" t="s">
        <v>161</v>
      </c>
      <c r="B346" t="s">
        <v>180</v>
      </c>
      <c r="C346" t="s">
        <v>22</v>
      </c>
      <c r="D346" t="str">
        <f>IF(C346="","",VLOOKUP(C346,Categorias!$A$2:$C$54,2,FALSE))</f>
        <v>Saída</v>
      </c>
      <c r="E346" t="str">
        <f>IF(C346="","",VLOOKUP(C346,Categorias!$A$2:$C$54,3,FALSE))</f>
        <v>Despesas Financeiras</v>
      </c>
      <c r="F346" s="37">
        <v>-0.08</v>
      </c>
      <c r="G346" t="s">
        <v>153</v>
      </c>
      <c r="H346" s="3">
        <f t="shared" si="8"/>
        <v>46174</v>
      </c>
    </row>
    <row r="347" spans="1:8" x14ac:dyDescent="0.3">
      <c r="A347" t="s">
        <v>161</v>
      </c>
      <c r="B347" t="s">
        <v>214</v>
      </c>
      <c r="C347" t="s">
        <v>3</v>
      </c>
      <c r="D347" t="str">
        <f>IF(C347="","",VLOOKUP(C347,Categorias!$A$2:$C$54,2,FALSE))</f>
        <v>Entrada</v>
      </c>
      <c r="E347" t="str">
        <f>IF(C347="","",VLOOKUP(C347,Categorias!$A$2:$C$54,3,FALSE))</f>
        <v>Receita Bruta</v>
      </c>
      <c r="F347" s="37">
        <v>16.170000000000002</v>
      </c>
      <c r="G347" t="s">
        <v>153</v>
      </c>
      <c r="H347" s="3">
        <f t="shared" si="8"/>
        <v>46174</v>
      </c>
    </row>
    <row r="348" spans="1:8" x14ac:dyDescent="0.3">
      <c r="A348" t="s">
        <v>161</v>
      </c>
      <c r="B348" t="s">
        <v>180</v>
      </c>
      <c r="C348" t="s">
        <v>22</v>
      </c>
      <c r="D348" t="str">
        <f>IF(C348="","",VLOOKUP(C348,Categorias!$A$2:$C$54,2,FALSE))</f>
        <v>Saída</v>
      </c>
      <c r="E348" t="str">
        <f>IF(C348="","",VLOOKUP(C348,Categorias!$A$2:$C$54,3,FALSE))</f>
        <v>Despesas Financeiras</v>
      </c>
      <c r="F348" s="37">
        <v>-0.1</v>
      </c>
      <c r="G348" t="s">
        <v>153</v>
      </c>
      <c r="H348" s="3">
        <f t="shared" si="8"/>
        <v>46174</v>
      </c>
    </row>
    <row r="349" spans="1:8" x14ac:dyDescent="0.3">
      <c r="A349" t="s">
        <v>161</v>
      </c>
      <c r="B349" t="s">
        <v>214</v>
      </c>
      <c r="C349" t="s">
        <v>3</v>
      </c>
      <c r="D349" t="str">
        <f>IF(C349="","",VLOOKUP(C349,Categorias!$A$2:$C$54,2,FALSE))</f>
        <v>Entrada</v>
      </c>
      <c r="E349" t="str">
        <f>IF(C349="","",VLOOKUP(C349,Categorias!$A$2:$C$54,3,FALSE))</f>
        <v>Receita Bruta</v>
      </c>
      <c r="F349" s="37">
        <v>21.56</v>
      </c>
      <c r="G349" t="s">
        <v>153</v>
      </c>
      <c r="H349" s="3">
        <f t="shared" si="8"/>
        <v>46174</v>
      </c>
    </row>
    <row r="350" spans="1:8" x14ac:dyDescent="0.3">
      <c r="F350" s="37"/>
    </row>
    <row r="351" spans="1:8" x14ac:dyDescent="0.3">
      <c r="F351" s="37"/>
    </row>
    <row r="352" spans="1:8" x14ac:dyDescent="0.3">
      <c r="F352" s="37"/>
    </row>
    <row r="353" spans="6:6" x14ac:dyDescent="0.3">
      <c r="F353" s="37"/>
    </row>
    <row r="354" spans="6:6" x14ac:dyDescent="0.3">
      <c r="F354" s="37"/>
    </row>
    <row r="355" spans="6:6" x14ac:dyDescent="0.3">
      <c r="F355" s="37"/>
    </row>
    <row r="356" spans="6:6" x14ac:dyDescent="0.3">
      <c r="F356" s="37"/>
    </row>
    <row r="357" spans="6:6" x14ac:dyDescent="0.3">
      <c r="F357" s="37"/>
    </row>
    <row r="358" spans="6:6" x14ac:dyDescent="0.3">
      <c r="F358" s="37"/>
    </row>
    <row r="359" spans="6:6" x14ac:dyDescent="0.3">
      <c r="F359" s="37"/>
    </row>
    <row r="360" spans="6:6" x14ac:dyDescent="0.3">
      <c r="F360" s="37"/>
    </row>
    <row r="361" spans="6:6" x14ac:dyDescent="0.3">
      <c r="F361" s="37"/>
    </row>
    <row r="362" spans="6:6" x14ac:dyDescent="0.3">
      <c r="F362" s="37"/>
    </row>
    <row r="363" spans="6:6" x14ac:dyDescent="0.3">
      <c r="F363" s="37"/>
    </row>
    <row r="364" spans="6:6" x14ac:dyDescent="0.3">
      <c r="F364" s="37"/>
    </row>
    <row r="365" spans="6:6" x14ac:dyDescent="0.3">
      <c r="F365" s="37"/>
    </row>
    <row r="366" spans="6:6" x14ac:dyDescent="0.3">
      <c r="F366" s="37"/>
    </row>
    <row r="367" spans="6:6" x14ac:dyDescent="0.3">
      <c r="F367" s="37"/>
    </row>
    <row r="368" spans="6:6" x14ac:dyDescent="0.3">
      <c r="F368" s="37"/>
    </row>
    <row r="369" spans="6:6" x14ac:dyDescent="0.3">
      <c r="F369" s="37"/>
    </row>
    <row r="370" spans="6:6" x14ac:dyDescent="0.3">
      <c r="F370" s="37"/>
    </row>
    <row r="371" spans="6:6" x14ac:dyDescent="0.3">
      <c r="F371" s="37"/>
    </row>
    <row r="372" spans="6:6" x14ac:dyDescent="0.3">
      <c r="F372" s="37"/>
    </row>
    <row r="373" spans="6:6" x14ac:dyDescent="0.3">
      <c r="F373" s="37"/>
    </row>
    <row r="374" spans="6:6" x14ac:dyDescent="0.3">
      <c r="F374" s="37"/>
    </row>
    <row r="375" spans="6:6" x14ac:dyDescent="0.3">
      <c r="F375" s="37"/>
    </row>
    <row r="376" spans="6:6" x14ac:dyDescent="0.3">
      <c r="F376" s="37"/>
    </row>
    <row r="377" spans="6:6" x14ac:dyDescent="0.3">
      <c r="F377" s="37"/>
    </row>
    <row r="378" spans="6:6" x14ac:dyDescent="0.3">
      <c r="F378" s="37"/>
    </row>
    <row r="379" spans="6:6" x14ac:dyDescent="0.3">
      <c r="F379" s="37"/>
    </row>
    <row r="380" spans="6:6" x14ac:dyDescent="0.3">
      <c r="F380" s="37"/>
    </row>
    <row r="381" spans="6:6" x14ac:dyDescent="0.3">
      <c r="F381" s="37"/>
    </row>
    <row r="382" spans="6:6" x14ac:dyDescent="0.3">
      <c r="F382" s="37"/>
    </row>
    <row r="383" spans="6:6" x14ac:dyDescent="0.3">
      <c r="F383" s="37"/>
    </row>
    <row r="384" spans="6:6" x14ac:dyDescent="0.3">
      <c r="F384" s="37"/>
    </row>
    <row r="385" spans="6:6" x14ac:dyDescent="0.3">
      <c r="F385" s="37"/>
    </row>
    <row r="386" spans="6:6" x14ac:dyDescent="0.3">
      <c r="F386" s="37"/>
    </row>
    <row r="387" spans="6:6" x14ac:dyDescent="0.3">
      <c r="F387" s="37"/>
    </row>
    <row r="388" spans="6:6" x14ac:dyDescent="0.3">
      <c r="F388" s="37"/>
    </row>
    <row r="389" spans="6:6" x14ac:dyDescent="0.3">
      <c r="F389" s="37"/>
    </row>
    <row r="390" spans="6:6" x14ac:dyDescent="0.3">
      <c r="F390" s="37"/>
    </row>
    <row r="391" spans="6:6" x14ac:dyDescent="0.3">
      <c r="F391" s="37"/>
    </row>
    <row r="392" spans="6:6" x14ac:dyDescent="0.3">
      <c r="F392" s="37"/>
    </row>
    <row r="393" spans="6:6" x14ac:dyDescent="0.3">
      <c r="F393" s="37"/>
    </row>
    <row r="394" spans="6:6" x14ac:dyDescent="0.3">
      <c r="F394" s="37"/>
    </row>
    <row r="395" spans="6:6" x14ac:dyDescent="0.3">
      <c r="F395" s="37"/>
    </row>
    <row r="396" spans="6:6" x14ac:dyDescent="0.3">
      <c r="F396" s="37"/>
    </row>
    <row r="397" spans="6:6" x14ac:dyDescent="0.3">
      <c r="F397" s="37"/>
    </row>
    <row r="398" spans="6:6" x14ac:dyDescent="0.3">
      <c r="F398" s="37"/>
    </row>
    <row r="399" spans="6:6" x14ac:dyDescent="0.3">
      <c r="F399" s="37"/>
    </row>
    <row r="400" spans="6:6" x14ac:dyDescent="0.3">
      <c r="F400" s="37"/>
    </row>
    <row r="401" spans="6:6" x14ac:dyDescent="0.3">
      <c r="F401" s="37"/>
    </row>
    <row r="402" spans="6:6" x14ac:dyDescent="0.3">
      <c r="F402" s="37"/>
    </row>
    <row r="403" spans="6:6" x14ac:dyDescent="0.3">
      <c r="F403" s="37"/>
    </row>
    <row r="404" spans="6:6" x14ac:dyDescent="0.3">
      <c r="F404" s="37"/>
    </row>
    <row r="405" spans="6:6" x14ac:dyDescent="0.3">
      <c r="F405" s="37"/>
    </row>
    <row r="406" spans="6:6" x14ac:dyDescent="0.3">
      <c r="F406" s="37"/>
    </row>
    <row r="407" spans="6:6" x14ac:dyDescent="0.3">
      <c r="F407" s="37"/>
    </row>
    <row r="408" spans="6:6" x14ac:dyDescent="0.3">
      <c r="F408" s="37"/>
    </row>
    <row r="409" spans="6:6" x14ac:dyDescent="0.3">
      <c r="F409" s="37"/>
    </row>
    <row r="410" spans="6:6" x14ac:dyDescent="0.3">
      <c r="F410" s="37"/>
    </row>
    <row r="411" spans="6:6" x14ac:dyDescent="0.3">
      <c r="F411" s="37"/>
    </row>
    <row r="412" spans="6:6" x14ac:dyDescent="0.3">
      <c r="F412" s="37"/>
    </row>
    <row r="413" spans="6:6" x14ac:dyDescent="0.3">
      <c r="F413" s="37"/>
    </row>
    <row r="414" spans="6:6" x14ac:dyDescent="0.3">
      <c r="F414" s="37"/>
    </row>
    <row r="415" spans="6:6" x14ac:dyDescent="0.3">
      <c r="F415" s="37"/>
    </row>
    <row r="416" spans="6:6" x14ac:dyDescent="0.3">
      <c r="F416" s="37"/>
    </row>
    <row r="417" spans="6:6" x14ac:dyDescent="0.3">
      <c r="F417" s="37"/>
    </row>
    <row r="418" spans="6:6" x14ac:dyDescent="0.3">
      <c r="F418" s="37"/>
    </row>
    <row r="419" spans="6:6" x14ac:dyDescent="0.3">
      <c r="F419" s="37"/>
    </row>
    <row r="420" spans="6:6" x14ac:dyDescent="0.3">
      <c r="F420" s="37"/>
    </row>
    <row r="421" spans="6:6" x14ac:dyDescent="0.3">
      <c r="F421" s="37"/>
    </row>
    <row r="422" spans="6:6" x14ac:dyDescent="0.3">
      <c r="F422" s="37"/>
    </row>
    <row r="423" spans="6:6" x14ac:dyDescent="0.3">
      <c r="F423" s="37"/>
    </row>
    <row r="424" spans="6:6" x14ac:dyDescent="0.3">
      <c r="F424" s="37"/>
    </row>
    <row r="425" spans="6:6" x14ac:dyDescent="0.3">
      <c r="F425" s="37"/>
    </row>
    <row r="426" spans="6:6" x14ac:dyDescent="0.3">
      <c r="F426" s="37"/>
    </row>
    <row r="427" spans="6:6" x14ac:dyDescent="0.3">
      <c r="F427" s="37"/>
    </row>
    <row r="428" spans="6:6" x14ac:dyDescent="0.3">
      <c r="F428" s="37"/>
    </row>
    <row r="429" spans="6:6" x14ac:dyDescent="0.3">
      <c r="F429" s="37"/>
    </row>
    <row r="430" spans="6:6" x14ac:dyDescent="0.3">
      <c r="F430" s="37"/>
    </row>
    <row r="431" spans="6:6" x14ac:dyDescent="0.3">
      <c r="F431" s="37"/>
    </row>
    <row r="432" spans="6:6" x14ac:dyDescent="0.3">
      <c r="F432" s="37"/>
    </row>
    <row r="433" spans="6:6" x14ac:dyDescent="0.3">
      <c r="F433" s="37"/>
    </row>
    <row r="434" spans="6:6" x14ac:dyDescent="0.3">
      <c r="F434" s="37"/>
    </row>
    <row r="435" spans="6:6" x14ac:dyDescent="0.3">
      <c r="F435" s="37"/>
    </row>
    <row r="436" spans="6:6" x14ac:dyDescent="0.3">
      <c r="F436" s="37"/>
    </row>
    <row r="437" spans="6:6" x14ac:dyDescent="0.3">
      <c r="F437" s="37"/>
    </row>
    <row r="438" spans="6:6" x14ac:dyDescent="0.3">
      <c r="F438" s="37"/>
    </row>
    <row r="439" spans="6:6" x14ac:dyDescent="0.3">
      <c r="F439" s="37"/>
    </row>
    <row r="440" spans="6:6" x14ac:dyDescent="0.3">
      <c r="F440" s="37"/>
    </row>
    <row r="441" spans="6:6" x14ac:dyDescent="0.3">
      <c r="F441" s="37"/>
    </row>
    <row r="442" spans="6:6" x14ac:dyDescent="0.3">
      <c r="F442" s="37"/>
    </row>
    <row r="443" spans="6:6" x14ac:dyDescent="0.3">
      <c r="F443" s="37"/>
    </row>
    <row r="444" spans="6:6" x14ac:dyDescent="0.3">
      <c r="F444" s="37"/>
    </row>
    <row r="445" spans="6:6" x14ac:dyDescent="0.3">
      <c r="F445" s="37"/>
    </row>
    <row r="446" spans="6:6" x14ac:dyDescent="0.3">
      <c r="F446" s="37"/>
    </row>
    <row r="447" spans="6:6" x14ac:dyDescent="0.3">
      <c r="F447" s="37"/>
    </row>
    <row r="448" spans="6:6" x14ac:dyDescent="0.3">
      <c r="F448" s="37"/>
    </row>
    <row r="449" spans="6:6" x14ac:dyDescent="0.3">
      <c r="F449" s="37"/>
    </row>
    <row r="450" spans="6:6" x14ac:dyDescent="0.3">
      <c r="F450" s="37"/>
    </row>
    <row r="451" spans="6:6" x14ac:dyDescent="0.3">
      <c r="F451" s="37"/>
    </row>
    <row r="452" spans="6:6" x14ac:dyDescent="0.3">
      <c r="F452" s="37"/>
    </row>
    <row r="453" spans="6:6" x14ac:dyDescent="0.3">
      <c r="F453" s="37"/>
    </row>
    <row r="454" spans="6:6" x14ac:dyDescent="0.3">
      <c r="F454" s="37"/>
    </row>
    <row r="455" spans="6:6" x14ac:dyDescent="0.3">
      <c r="F455" s="37"/>
    </row>
    <row r="456" spans="6:6" x14ac:dyDescent="0.3">
      <c r="F456" s="37"/>
    </row>
    <row r="457" spans="6:6" x14ac:dyDescent="0.3">
      <c r="F457" s="37"/>
    </row>
    <row r="458" spans="6:6" x14ac:dyDescent="0.3">
      <c r="F458" s="37"/>
    </row>
    <row r="459" spans="6:6" x14ac:dyDescent="0.3">
      <c r="F459" s="37"/>
    </row>
    <row r="460" spans="6:6" x14ac:dyDescent="0.3">
      <c r="F460" s="37"/>
    </row>
    <row r="461" spans="6:6" x14ac:dyDescent="0.3">
      <c r="F461" s="37"/>
    </row>
    <row r="462" spans="6:6" x14ac:dyDescent="0.3">
      <c r="F462" s="37"/>
    </row>
    <row r="463" spans="6:6" x14ac:dyDescent="0.3">
      <c r="F463" s="37"/>
    </row>
    <row r="464" spans="6:6" x14ac:dyDescent="0.3">
      <c r="F464" s="37"/>
    </row>
    <row r="465" spans="6:6" x14ac:dyDescent="0.3">
      <c r="F465" s="37"/>
    </row>
    <row r="466" spans="6:6" x14ac:dyDescent="0.3">
      <c r="F466" s="37"/>
    </row>
    <row r="467" spans="6:6" x14ac:dyDescent="0.3">
      <c r="F467" s="37"/>
    </row>
    <row r="468" spans="6:6" x14ac:dyDescent="0.3">
      <c r="F468" s="37"/>
    </row>
    <row r="469" spans="6:6" x14ac:dyDescent="0.3">
      <c r="F469" s="37"/>
    </row>
    <row r="470" spans="6:6" x14ac:dyDescent="0.3">
      <c r="F470" s="37"/>
    </row>
    <row r="471" spans="6:6" x14ac:dyDescent="0.3">
      <c r="F471" s="37"/>
    </row>
    <row r="472" spans="6:6" x14ac:dyDescent="0.3">
      <c r="F472" s="37"/>
    </row>
    <row r="473" spans="6:6" x14ac:dyDescent="0.3">
      <c r="F473" s="37"/>
    </row>
    <row r="474" spans="6:6" x14ac:dyDescent="0.3">
      <c r="F474" s="37"/>
    </row>
    <row r="475" spans="6:6" x14ac:dyDescent="0.3">
      <c r="F475" s="37"/>
    </row>
    <row r="476" spans="6:6" x14ac:dyDescent="0.3">
      <c r="F476" s="37"/>
    </row>
    <row r="477" spans="6:6" x14ac:dyDescent="0.3">
      <c r="F477" s="37"/>
    </row>
    <row r="478" spans="6:6" x14ac:dyDescent="0.3">
      <c r="F478" s="37"/>
    </row>
    <row r="479" spans="6:6" x14ac:dyDescent="0.3">
      <c r="F479" s="37"/>
    </row>
    <row r="480" spans="6:6" x14ac:dyDescent="0.3">
      <c r="F480" s="37"/>
    </row>
    <row r="481" spans="6:6" x14ac:dyDescent="0.3">
      <c r="F481" s="37"/>
    </row>
    <row r="482" spans="6:6" x14ac:dyDescent="0.3">
      <c r="F482" s="37"/>
    </row>
    <row r="483" spans="6:6" x14ac:dyDescent="0.3">
      <c r="F483" s="37"/>
    </row>
    <row r="484" spans="6:6" x14ac:dyDescent="0.3">
      <c r="F484" s="37"/>
    </row>
    <row r="485" spans="6:6" x14ac:dyDescent="0.3">
      <c r="F485" s="37"/>
    </row>
    <row r="486" spans="6:6" x14ac:dyDescent="0.3">
      <c r="F486" s="37"/>
    </row>
    <row r="487" spans="6:6" x14ac:dyDescent="0.3">
      <c r="F487" s="37"/>
    </row>
    <row r="488" spans="6:6" x14ac:dyDescent="0.3">
      <c r="F488" s="37"/>
    </row>
    <row r="489" spans="6:6" x14ac:dyDescent="0.3">
      <c r="F489" s="37"/>
    </row>
    <row r="490" spans="6:6" x14ac:dyDescent="0.3">
      <c r="F490" s="37"/>
    </row>
    <row r="491" spans="6:6" x14ac:dyDescent="0.3">
      <c r="F491" s="37"/>
    </row>
    <row r="492" spans="6:6" x14ac:dyDescent="0.3">
      <c r="F492" s="37"/>
    </row>
    <row r="493" spans="6:6" x14ac:dyDescent="0.3">
      <c r="F493" s="37"/>
    </row>
    <row r="494" spans="6:6" x14ac:dyDescent="0.3">
      <c r="F494" s="37"/>
    </row>
    <row r="495" spans="6:6" x14ac:dyDescent="0.3">
      <c r="F495" s="37"/>
    </row>
    <row r="496" spans="6:6" x14ac:dyDescent="0.3">
      <c r="F496" s="37"/>
    </row>
    <row r="497" spans="6:6" x14ac:dyDescent="0.3">
      <c r="F497" s="37"/>
    </row>
    <row r="498" spans="6:6" x14ac:dyDescent="0.3">
      <c r="F498" s="37"/>
    </row>
    <row r="499" spans="6:6" x14ac:dyDescent="0.3">
      <c r="F499" s="37"/>
    </row>
    <row r="500" spans="6:6" x14ac:dyDescent="0.3">
      <c r="F500" s="37"/>
    </row>
    <row r="501" spans="6:6" x14ac:dyDescent="0.3">
      <c r="F501" s="37"/>
    </row>
    <row r="502" spans="6:6" x14ac:dyDescent="0.3">
      <c r="F502" s="37"/>
    </row>
    <row r="503" spans="6:6" x14ac:dyDescent="0.3">
      <c r="F503" s="37"/>
    </row>
    <row r="504" spans="6:6" x14ac:dyDescent="0.3">
      <c r="F504" s="37"/>
    </row>
    <row r="505" spans="6:6" x14ac:dyDescent="0.3">
      <c r="F505" s="37"/>
    </row>
    <row r="506" spans="6:6" x14ac:dyDescent="0.3">
      <c r="F506" s="37"/>
    </row>
    <row r="507" spans="6:6" x14ac:dyDescent="0.3">
      <c r="F507" s="37"/>
    </row>
    <row r="508" spans="6:6" x14ac:dyDescent="0.3">
      <c r="F508" s="37"/>
    </row>
    <row r="509" spans="6:6" x14ac:dyDescent="0.3">
      <c r="F509" s="37"/>
    </row>
    <row r="510" spans="6:6" x14ac:dyDescent="0.3">
      <c r="F510" s="37"/>
    </row>
    <row r="511" spans="6:6" x14ac:dyDescent="0.3">
      <c r="F511" s="37"/>
    </row>
    <row r="512" spans="6:6" x14ac:dyDescent="0.3">
      <c r="F512" s="37"/>
    </row>
    <row r="513" spans="6:6" x14ac:dyDescent="0.3">
      <c r="F513" s="37"/>
    </row>
    <row r="514" spans="6:6" x14ac:dyDescent="0.3">
      <c r="F514" s="37"/>
    </row>
    <row r="515" spans="6:6" x14ac:dyDescent="0.3">
      <c r="F515" s="37"/>
    </row>
    <row r="516" spans="6:6" x14ac:dyDescent="0.3">
      <c r="F516" s="37"/>
    </row>
    <row r="517" spans="6:6" x14ac:dyDescent="0.3">
      <c r="F517" s="37"/>
    </row>
    <row r="518" spans="6:6" x14ac:dyDescent="0.3">
      <c r="F518" s="37"/>
    </row>
    <row r="519" spans="6:6" x14ac:dyDescent="0.3">
      <c r="F519" s="37"/>
    </row>
    <row r="520" spans="6:6" x14ac:dyDescent="0.3">
      <c r="F520" s="37"/>
    </row>
    <row r="521" spans="6:6" x14ac:dyDescent="0.3">
      <c r="F521" s="37"/>
    </row>
    <row r="522" spans="6:6" x14ac:dyDescent="0.3">
      <c r="F522" s="37"/>
    </row>
    <row r="523" spans="6:6" x14ac:dyDescent="0.3">
      <c r="F523" s="37"/>
    </row>
    <row r="524" spans="6:6" x14ac:dyDescent="0.3">
      <c r="F524" s="37"/>
    </row>
    <row r="525" spans="6:6" x14ac:dyDescent="0.3">
      <c r="F525" s="37"/>
    </row>
    <row r="526" spans="6:6" x14ac:dyDescent="0.3">
      <c r="F526" s="37"/>
    </row>
    <row r="527" spans="6:6" x14ac:dyDescent="0.3">
      <c r="F527" s="37"/>
    </row>
    <row r="528" spans="6:6" x14ac:dyDescent="0.3">
      <c r="F528" s="37"/>
    </row>
    <row r="529" spans="6:6" x14ac:dyDescent="0.3">
      <c r="F529" s="37"/>
    </row>
    <row r="530" spans="6:6" x14ac:dyDescent="0.3">
      <c r="F530" s="37"/>
    </row>
    <row r="531" spans="6:6" x14ac:dyDescent="0.3">
      <c r="F531" s="37"/>
    </row>
    <row r="532" spans="6:6" x14ac:dyDescent="0.3">
      <c r="F532" s="37"/>
    </row>
    <row r="533" spans="6:6" x14ac:dyDescent="0.3">
      <c r="F533" s="37"/>
    </row>
    <row r="534" spans="6:6" x14ac:dyDescent="0.3">
      <c r="F534" s="37"/>
    </row>
    <row r="535" spans="6:6" x14ac:dyDescent="0.3">
      <c r="F535" s="37"/>
    </row>
    <row r="536" spans="6:6" x14ac:dyDescent="0.3">
      <c r="F536" s="37"/>
    </row>
    <row r="537" spans="6:6" x14ac:dyDescent="0.3">
      <c r="F537" s="37"/>
    </row>
    <row r="538" spans="6:6" x14ac:dyDescent="0.3">
      <c r="F538" s="37"/>
    </row>
    <row r="539" spans="6:6" x14ac:dyDescent="0.3">
      <c r="F539" s="37"/>
    </row>
    <row r="540" spans="6:6" x14ac:dyDescent="0.3">
      <c r="F540" s="37"/>
    </row>
    <row r="541" spans="6:6" x14ac:dyDescent="0.3">
      <c r="F541" s="37"/>
    </row>
    <row r="542" spans="6:6" x14ac:dyDescent="0.3">
      <c r="F542" s="37"/>
    </row>
    <row r="543" spans="6:6" x14ac:dyDescent="0.3">
      <c r="F543" s="37"/>
    </row>
    <row r="544" spans="6:6" x14ac:dyDescent="0.3">
      <c r="F544" s="37"/>
    </row>
    <row r="545" spans="6:6" x14ac:dyDescent="0.3">
      <c r="F545" s="37"/>
    </row>
    <row r="546" spans="6:6" x14ac:dyDescent="0.3">
      <c r="F546" s="37"/>
    </row>
    <row r="547" spans="6:6" x14ac:dyDescent="0.3">
      <c r="F547" s="37"/>
    </row>
    <row r="548" spans="6:6" x14ac:dyDescent="0.3">
      <c r="F548" s="37"/>
    </row>
    <row r="549" spans="6:6" x14ac:dyDescent="0.3">
      <c r="F549" s="37"/>
    </row>
    <row r="550" spans="6:6" x14ac:dyDescent="0.3">
      <c r="F550" s="37"/>
    </row>
    <row r="551" spans="6:6" x14ac:dyDescent="0.3">
      <c r="F551" s="37"/>
    </row>
    <row r="552" spans="6:6" x14ac:dyDescent="0.3">
      <c r="F552" s="37"/>
    </row>
    <row r="553" spans="6:6" x14ac:dyDescent="0.3">
      <c r="F553" s="37"/>
    </row>
    <row r="554" spans="6:6" x14ac:dyDescent="0.3">
      <c r="F554" s="37"/>
    </row>
    <row r="555" spans="6:6" x14ac:dyDescent="0.3">
      <c r="F555" s="37"/>
    </row>
    <row r="556" spans="6:6" x14ac:dyDescent="0.3">
      <c r="F556" s="37"/>
    </row>
    <row r="557" spans="6:6" x14ac:dyDescent="0.3">
      <c r="F557" s="37"/>
    </row>
    <row r="558" spans="6:6" x14ac:dyDescent="0.3">
      <c r="F558" s="37"/>
    </row>
    <row r="559" spans="6:6" x14ac:dyDescent="0.3">
      <c r="F559" s="37"/>
    </row>
    <row r="560" spans="6:6" x14ac:dyDescent="0.3">
      <c r="F560" s="37"/>
    </row>
    <row r="561" spans="6:6" x14ac:dyDescent="0.3">
      <c r="F561" s="37"/>
    </row>
    <row r="562" spans="6:6" x14ac:dyDescent="0.3">
      <c r="F562" s="37"/>
    </row>
    <row r="563" spans="6:6" x14ac:dyDescent="0.3">
      <c r="F563" s="37"/>
    </row>
    <row r="564" spans="6:6" x14ac:dyDescent="0.3">
      <c r="F564" s="37"/>
    </row>
    <row r="565" spans="6:6" x14ac:dyDescent="0.3">
      <c r="F565" s="37"/>
    </row>
    <row r="566" spans="6:6" x14ac:dyDescent="0.3">
      <c r="F566" s="37"/>
    </row>
    <row r="567" spans="6:6" x14ac:dyDescent="0.3">
      <c r="F567" s="37"/>
    </row>
    <row r="568" spans="6:6" x14ac:dyDescent="0.3">
      <c r="F568" s="37"/>
    </row>
    <row r="569" spans="6:6" x14ac:dyDescent="0.3">
      <c r="F569" s="37"/>
    </row>
    <row r="570" spans="6:6" x14ac:dyDescent="0.3">
      <c r="F570" s="37"/>
    </row>
    <row r="571" spans="6:6" x14ac:dyDescent="0.3">
      <c r="F571" s="37"/>
    </row>
    <row r="572" spans="6:6" x14ac:dyDescent="0.3">
      <c r="F572" s="37"/>
    </row>
    <row r="573" spans="6:6" x14ac:dyDescent="0.3">
      <c r="F573" s="37"/>
    </row>
    <row r="574" spans="6:6" x14ac:dyDescent="0.3">
      <c r="F574" s="37"/>
    </row>
    <row r="575" spans="6:6" x14ac:dyDescent="0.3">
      <c r="F575" s="37"/>
    </row>
    <row r="576" spans="6:6" x14ac:dyDescent="0.3">
      <c r="F576" s="37"/>
    </row>
    <row r="577" spans="6:6" x14ac:dyDescent="0.3">
      <c r="F577" s="37"/>
    </row>
    <row r="578" spans="6:6" x14ac:dyDescent="0.3">
      <c r="F578" s="37"/>
    </row>
    <row r="579" spans="6:6" x14ac:dyDescent="0.3">
      <c r="F579" s="37"/>
    </row>
    <row r="580" spans="6:6" x14ac:dyDescent="0.3">
      <c r="F580" s="37"/>
    </row>
    <row r="581" spans="6:6" x14ac:dyDescent="0.3">
      <c r="F581" s="37"/>
    </row>
    <row r="582" spans="6:6" x14ac:dyDescent="0.3">
      <c r="F582" s="37"/>
    </row>
    <row r="583" spans="6:6" x14ac:dyDescent="0.3">
      <c r="F583" s="37"/>
    </row>
    <row r="584" spans="6:6" x14ac:dyDescent="0.3">
      <c r="F584" s="37"/>
    </row>
    <row r="585" spans="6:6" x14ac:dyDescent="0.3">
      <c r="F585" s="37"/>
    </row>
    <row r="586" spans="6:6" x14ac:dyDescent="0.3">
      <c r="F586" s="37"/>
    </row>
    <row r="587" spans="6:6" x14ac:dyDescent="0.3">
      <c r="F587" s="37"/>
    </row>
    <row r="588" spans="6:6" x14ac:dyDescent="0.3">
      <c r="F588" s="37"/>
    </row>
    <row r="589" spans="6:6" x14ac:dyDescent="0.3">
      <c r="F589" s="37"/>
    </row>
    <row r="590" spans="6:6" x14ac:dyDescent="0.3">
      <c r="F590" s="37"/>
    </row>
    <row r="591" spans="6:6" x14ac:dyDescent="0.3">
      <c r="F591" s="37"/>
    </row>
    <row r="592" spans="6:6" x14ac:dyDescent="0.3">
      <c r="F592" s="37"/>
    </row>
    <row r="593" spans="6:6" x14ac:dyDescent="0.3">
      <c r="F593" s="37"/>
    </row>
    <row r="594" spans="6:6" x14ac:dyDescent="0.3">
      <c r="F594" s="37"/>
    </row>
    <row r="595" spans="6:6" x14ac:dyDescent="0.3">
      <c r="F595" s="37"/>
    </row>
    <row r="596" spans="6:6" x14ac:dyDescent="0.3">
      <c r="F596" s="37"/>
    </row>
    <row r="597" spans="6:6" x14ac:dyDescent="0.3">
      <c r="F597" s="37"/>
    </row>
    <row r="598" spans="6:6" x14ac:dyDescent="0.3">
      <c r="F598" s="37"/>
    </row>
    <row r="599" spans="6:6" x14ac:dyDescent="0.3">
      <c r="F599" s="37"/>
    </row>
    <row r="600" spans="6:6" x14ac:dyDescent="0.3">
      <c r="F600" s="37"/>
    </row>
    <row r="601" spans="6:6" x14ac:dyDescent="0.3">
      <c r="F601" s="37"/>
    </row>
    <row r="602" spans="6:6" x14ac:dyDescent="0.3">
      <c r="F602" s="37"/>
    </row>
    <row r="603" spans="6:6" x14ac:dyDescent="0.3">
      <c r="F603" s="37"/>
    </row>
    <row r="604" spans="6:6" x14ac:dyDescent="0.3">
      <c r="F604" s="37"/>
    </row>
    <row r="605" spans="6:6" x14ac:dyDescent="0.3">
      <c r="F605" s="37"/>
    </row>
    <row r="606" spans="6:6" x14ac:dyDescent="0.3">
      <c r="F606" s="37"/>
    </row>
    <row r="607" spans="6:6" x14ac:dyDescent="0.3">
      <c r="F607" s="37"/>
    </row>
    <row r="608" spans="6:6" x14ac:dyDescent="0.3">
      <c r="F608" s="37"/>
    </row>
    <row r="609" spans="6:6" x14ac:dyDescent="0.3">
      <c r="F609" s="37"/>
    </row>
    <row r="610" spans="6:6" x14ac:dyDescent="0.3">
      <c r="F610" s="37"/>
    </row>
    <row r="611" spans="6:6" x14ac:dyDescent="0.3">
      <c r="F611" s="37"/>
    </row>
    <row r="612" spans="6:6" x14ac:dyDescent="0.3">
      <c r="F612" s="37"/>
    </row>
    <row r="613" spans="6:6" x14ac:dyDescent="0.3">
      <c r="F613" s="37"/>
    </row>
    <row r="614" spans="6:6" x14ac:dyDescent="0.3">
      <c r="F614" s="37"/>
    </row>
    <row r="615" spans="6:6" x14ac:dyDescent="0.3">
      <c r="F615" s="37"/>
    </row>
    <row r="616" spans="6:6" x14ac:dyDescent="0.3">
      <c r="F616" s="37"/>
    </row>
    <row r="617" spans="6:6" x14ac:dyDescent="0.3">
      <c r="F617" s="37"/>
    </row>
    <row r="618" spans="6:6" x14ac:dyDescent="0.3">
      <c r="F618" s="37"/>
    </row>
    <row r="619" spans="6:6" x14ac:dyDescent="0.3">
      <c r="F619" s="37"/>
    </row>
    <row r="620" spans="6:6" x14ac:dyDescent="0.3">
      <c r="F620" s="37"/>
    </row>
    <row r="621" spans="6:6" x14ac:dyDescent="0.3">
      <c r="F621" s="37"/>
    </row>
    <row r="622" spans="6:6" x14ac:dyDescent="0.3">
      <c r="F622" s="37"/>
    </row>
    <row r="623" spans="6:6" x14ac:dyDescent="0.3">
      <c r="F623" s="37"/>
    </row>
    <row r="624" spans="6:6" x14ac:dyDescent="0.3">
      <c r="F624" s="37"/>
    </row>
    <row r="625" spans="6:6" x14ac:dyDescent="0.3">
      <c r="F625" s="37"/>
    </row>
    <row r="626" spans="6:6" x14ac:dyDescent="0.3">
      <c r="F626" s="37"/>
    </row>
    <row r="627" spans="6:6" x14ac:dyDescent="0.3">
      <c r="F627" s="37"/>
    </row>
    <row r="628" spans="6:6" x14ac:dyDescent="0.3">
      <c r="F628" s="37"/>
    </row>
    <row r="629" spans="6:6" x14ac:dyDescent="0.3">
      <c r="F629" s="37"/>
    </row>
    <row r="630" spans="6:6" x14ac:dyDescent="0.3">
      <c r="F630" s="37"/>
    </row>
    <row r="631" spans="6:6" x14ac:dyDescent="0.3">
      <c r="F631" s="37"/>
    </row>
    <row r="632" spans="6:6" x14ac:dyDescent="0.3">
      <c r="F632" s="37"/>
    </row>
    <row r="633" spans="6:6" x14ac:dyDescent="0.3">
      <c r="F633" s="37"/>
    </row>
    <row r="634" spans="6:6" x14ac:dyDescent="0.3">
      <c r="F634" s="37"/>
    </row>
    <row r="635" spans="6:6" x14ac:dyDescent="0.3">
      <c r="F635" s="37"/>
    </row>
    <row r="636" spans="6:6" x14ac:dyDescent="0.3">
      <c r="F636" s="37"/>
    </row>
    <row r="637" spans="6:6" x14ac:dyDescent="0.3">
      <c r="F637" s="37"/>
    </row>
    <row r="638" spans="6:6" x14ac:dyDescent="0.3">
      <c r="F638" s="37"/>
    </row>
    <row r="639" spans="6:6" x14ac:dyDescent="0.3">
      <c r="F639" s="37"/>
    </row>
    <row r="640" spans="6:6" x14ac:dyDescent="0.3">
      <c r="F640" s="37"/>
    </row>
    <row r="641" spans="6:6" x14ac:dyDescent="0.3">
      <c r="F641" s="37"/>
    </row>
    <row r="642" spans="6:6" x14ac:dyDescent="0.3">
      <c r="F642" s="37"/>
    </row>
    <row r="643" spans="6:6" x14ac:dyDescent="0.3">
      <c r="F643" s="37"/>
    </row>
    <row r="644" spans="6:6" x14ac:dyDescent="0.3">
      <c r="F644" s="37"/>
    </row>
    <row r="645" spans="6:6" x14ac:dyDescent="0.3">
      <c r="F645" s="37"/>
    </row>
    <row r="646" spans="6:6" x14ac:dyDescent="0.3">
      <c r="F646" s="37"/>
    </row>
    <row r="647" spans="6:6" x14ac:dyDescent="0.3">
      <c r="F647" s="37"/>
    </row>
    <row r="648" spans="6:6" x14ac:dyDescent="0.3">
      <c r="F648" s="37"/>
    </row>
    <row r="649" spans="6:6" x14ac:dyDescent="0.3">
      <c r="F649" s="37"/>
    </row>
    <row r="650" spans="6:6" x14ac:dyDescent="0.3">
      <c r="F650" s="37"/>
    </row>
    <row r="651" spans="6:6" x14ac:dyDescent="0.3">
      <c r="F651" s="37"/>
    </row>
    <row r="652" spans="6:6" x14ac:dyDescent="0.3">
      <c r="F652" s="37"/>
    </row>
    <row r="653" spans="6:6" x14ac:dyDescent="0.3">
      <c r="F653" s="37"/>
    </row>
    <row r="654" spans="6:6" x14ac:dyDescent="0.3">
      <c r="F654" s="37"/>
    </row>
    <row r="655" spans="6:6" x14ac:dyDescent="0.3">
      <c r="F655" s="37"/>
    </row>
    <row r="656" spans="6:6" x14ac:dyDescent="0.3">
      <c r="F656" s="37"/>
    </row>
    <row r="657" spans="6:6" x14ac:dyDescent="0.3">
      <c r="F657" s="37"/>
    </row>
    <row r="658" spans="6:6" x14ac:dyDescent="0.3">
      <c r="F658" s="37"/>
    </row>
    <row r="659" spans="6:6" x14ac:dyDescent="0.3">
      <c r="F659" s="37"/>
    </row>
    <row r="660" spans="6:6" x14ac:dyDescent="0.3">
      <c r="F660" s="37"/>
    </row>
    <row r="661" spans="6:6" x14ac:dyDescent="0.3">
      <c r="F661" s="37"/>
    </row>
    <row r="662" spans="6:6" x14ac:dyDescent="0.3">
      <c r="F662" s="37"/>
    </row>
    <row r="663" spans="6:6" x14ac:dyDescent="0.3">
      <c r="F663" s="37"/>
    </row>
    <row r="664" spans="6:6" x14ac:dyDescent="0.3">
      <c r="F664" s="37"/>
    </row>
    <row r="665" spans="6:6" x14ac:dyDescent="0.3">
      <c r="F665" s="37"/>
    </row>
    <row r="666" spans="6:6" x14ac:dyDescent="0.3">
      <c r="F666" s="37"/>
    </row>
    <row r="667" spans="6:6" x14ac:dyDescent="0.3">
      <c r="F667" s="37"/>
    </row>
    <row r="668" spans="6:6" x14ac:dyDescent="0.3">
      <c r="F668" s="37"/>
    </row>
    <row r="669" spans="6:6" x14ac:dyDescent="0.3">
      <c r="F669" s="37"/>
    </row>
    <row r="670" spans="6:6" x14ac:dyDescent="0.3">
      <c r="F670" s="37"/>
    </row>
    <row r="671" spans="6:6" x14ac:dyDescent="0.3">
      <c r="F671" s="37"/>
    </row>
    <row r="672" spans="6:6" x14ac:dyDescent="0.3">
      <c r="F672" s="37"/>
    </row>
    <row r="673" spans="6:6" x14ac:dyDescent="0.3">
      <c r="F673" s="37"/>
    </row>
    <row r="674" spans="6:6" x14ac:dyDescent="0.3">
      <c r="F674" s="37"/>
    </row>
    <row r="675" spans="6:6" x14ac:dyDescent="0.3">
      <c r="F675" s="37"/>
    </row>
    <row r="676" spans="6:6" x14ac:dyDescent="0.3">
      <c r="F676" s="37"/>
    </row>
    <row r="677" spans="6:6" x14ac:dyDescent="0.3">
      <c r="F677" s="37"/>
    </row>
    <row r="678" spans="6:6" x14ac:dyDescent="0.3">
      <c r="F678" s="37"/>
    </row>
    <row r="679" spans="6:6" x14ac:dyDescent="0.3">
      <c r="F679" s="37"/>
    </row>
    <row r="680" spans="6:6" x14ac:dyDescent="0.3">
      <c r="F680" s="37"/>
    </row>
    <row r="681" spans="6:6" x14ac:dyDescent="0.3">
      <c r="F681" s="37"/>
    </row>
    <row r="682" spans="6:6" x14ac:dyDescent="0.3">
      <c r="F682" s="37"/>
    </row>
    <row r="683" spans="6:6" x14ac:dyDescent="0.3">
      <c r="F683" s="37"/>
    </row>
    <row r="684" spans="6:6" x14ac:dyDescent="0.3">
      <c r="F684" s="37"/>
    </row>
    <row r="685" spans="6:6" x14ac:dyDescent="0.3">
      <c r="F685" s="37"/>
    </row>
    <row r="686" spans="6:6" x14ac:dyDescent="0.3">
      <c r="F686" s="37"/>
    </row>
    <row r="687" spans="6:6" x14ac:dyDescent="0.3">
      <c r="F687" s="37"/>
    </row>
    <row r="688" spans="6:6" x14ac:dyDescent="0.3">
      <c r="F688" s="37"/>
    </row>
    <row r="689" spans="6:6" x14ac:dyDescent="0.3">
      <c r="F689" s="37"/>
    </row>
    <row r="690" spans="6:6" x14ac:dyDescent="0.3">
      <c r="F690" s="37"/>
    </row>
    <row r="691" spans="6:6" x14ac:dyDescent="0.3">
      <c r="F691" s="37"/>
    </row>
    <row r="692" spans="6:6" x14ac:dyDescent="0.3">
      <c r="F692" s="37"/>
    </row>
    <row r="693" spans="6:6" x14ac:dyDescent="0.3">
      <c r="F693" s="37"/>
    </row>
    <row r="694" spans="6:6" x14ac:dyDescent="0.3">
      <c r="F694" s="37"/>
    </row>
    <row r="695" spans="6:6" x14ac:dyDescent="0.3">
      <c r="F695" s="37"/>
    </row>
    <row r="696" spans="6:6" x14ac:dyDescent="0.3">
      <c r="F696" s="37"/>
    </row>
    <row r="697" spans="6:6" x14ac:dyDescent="0.3">
      <c r="F697" s="37"/>
    </row>
    <row r="698" spans="6:6" x14ac:dyDescent="0.3">
      <c r="F698" s="37"/>
    </row>
    <row r="699" spans="6:6" x14ac:dyDescent="0.3">
      <c r="F699" s="37"/>
    </row>
    <row r="700" spans="6:6" x14ac:dyDescent="0.3">
      <c r="F700" s="37"/>
    </row>
    <row r="701" spans="6:6" x14ac:dyDescent="0.3">
      <c r="F701" s="37"/>
    </row>
    <row r="702" spans="6:6" x14ac:dyDescent="0.3">
      <c r="F702" s="37"/>
    </row>
    <row r="703" spans="6:6" x14ac:dyDescent="0.3">
      <c r="F703" s="37"/>
    </row>
    <row r="704" spans="6:6" x14ac:dyDescent="0.3">
      <c r="F704" s="37"/>
    </row>
    <row r="705" spans="6:6" x14ac:dyDescent="0.3">
      <c r="F705" s="37"/>
    </row>
    <row r="706" spans="6:6" x14ac:dyDescent="0.3">
      <c r="F706" s="37"/>
    </row>
    <row r="707" spans="6:6" x14ac:dyDescent="0.3">
      <c r="F707" s="37"/>
    </row>
    <row r="708" spans="6:6" x14ac:dyDescent="0.3">
      <c r="F708" s="37"/>
    </row>
    <row r="709" spans="6:6" x14ac:dyDescent="0.3">
      <c r="F709" s="37"/>
    </row>
    <row r="710" spans="6:6" x14ac:dyDescent="0.3">
      <c r="F710" s="37"/>
    </row>
    <row r="711" spans="6:6" x14ac:dyDescent="0.3">
      <c r="F711" s="37"/>
    </row>
    <row r="712" spans="6:6" x14ac:dyDescent="0.3">
      <c r="F712" s="37"/>
    </row>
    <row r="713" spans="6:6" x14ac:dyDescent="0.3">
      <c r="F713" s="37"/>
    </row>
    <row r="714" spans="6:6" x14ac:dyDescent="0.3">
      <c r="F714" s="37"/>
    </row>
    <row r="715" spans="6:6" x14ac:dyDescent="0.3">
      <c r="F715" s="37"/>
    </row>
    <row r="716" spans="6:6" x14ac:dyDescent="0.3">
      <c r="F716" s="37"/>
    </row>
    <row r="717" spans="6:6" x14ac:dyDescent="0.3">
      <c r="F717" s="37"/>
    </row>
    <row r="718" spans="6:6" x14ac:dyDescent="0.3">
      <c r="F718" s="37"/>
    </row>
    <row r="719" spans="6:6" x14ac:dyDescent="0.3">
      <c r="F719" s="37"/>
    </row>
    <row r="720" spans="6:6" x14ac:dyDescent="0.3">
      <c r="F720" s="37"/>
    </row>
    <row r="721" spans="6:6" x14ac:dyDescent="0.3">
      <c r="F721" s="37"/>
    </row>
    <row r="722" spans="6:6" x14ac:dyDescent="0.3">
      <c r="F722" s="37"/>
    </row>
    <row r="723" spans="6:6" x14ac:dyDescent="0.3">
      <c r="F723" s="37"/>
    </row>
    <row r="724" spans="6:6" x14ac:dyDescent="0.3">
      <c r="F724" s="37"/>
    </row>
    <row r="725" spans="6:6" x14ac:dyDescent="0.3">
      <c r="F725" s="37"/>
    </row>
    <row r="726" spans="6:6" x14ac:dyDescent="0.3">
      <c r="F726" s="37"/>
    </row>
    <row r="727" spans="6:6" x14ac:dyDescent="0.3">
      <c r="F727" s="37"/>
    </row>
    <row r="728" spans="6:6" x14ac:dyDescent="0.3">
      <c r="F728" s="37"/>
    </row>
    <row r="729" spans="6:6" x14ac:dyDescent="0.3">
      <c r="F729" s="37"/>
    </row>
    <row r="730" spans="6:6" x14ac:dyDescent="0.3">
      <c r="F730" s="37"/>
    </row>
    <row r="731" spans="6:6" x14ac:dyDescent="0.3">
      <c r="F731" s="37"/>
    </row>
    <row r="732" spans="6:6" x14ac:dyDescent="0.3">
      <c r="F732" s="37"/>
    </row>
    <row r="733" spans="6:6" x14ac:dyDescent="0.3">
      <c r="F733" s="37"/>
    </row>
    <row r="734" spans="6:6" x14ac:dyDescent="0.3">
      <c r="F734" s="37"/>
    </row>
    <row r="735" spans="6:6" x14ac:dyDescent="0.3">
      <c r="F735" s="37"/>
    </row>
    <row r="736" spans="6:6" x14ac:dyDescent="0.3">
      <c r="F736" s="37"/>
    </row>
    <row r="737" spans="6:6" x14ac:dyDescent="0.3">
      <c r="F737" s="37"/>
    </row>
    <row r="738" spans="6:6" x14ac:dyDescent="0.3">
      <c r="F738" s="37"/>
    </row>
    <row r="739" spans="6:6" x14ac:dyDescent="0.3">
      <c r="F739" s="37"/>
    </row>
    <row r="740" spans="6:6" x14ac:dyDescent="0.3">
      <c r="F740" s="37"/>
    </row>
    <row r="741" spans="6:6" x14ac:dyDescent="0.3">
      <c r="F741" s="37"/>
    </row>
    <row r="742" spans="6:6" x14ac:dyDescent="0.3">
      <c r="F742" s="37"/>
    </row>
    <row r="743" spans="6:6" x14ac:dyDescent="0.3">
      <c r="F743" s="37"/>
    </row>
    <row r="744" spans="6:6" x14ac:dyDescent="0.3">
      <c r="F744" s="37"/>
    </row>
    <row r="745" spans="6:6" x14ac:dyDescent="0.3">
      <c r="F745" s="37"/>
    </row>
    <row r="746" spans="6:6" x14ac:dyDescent="0.3">
      <c r="F746" s="37"/>
    </row>
    <row r="747" spans="6:6" x14ac:dyDescent="0.3">
      <c r="F747" s="37"/>
    </row>
    <row r="748" spans="6:6" x14ac:dyDescent="0.3">
      <c r="F748" s="37"/>
    </row>
    <row r="749" spans="6:6" x14ac:dyDescent="0.3">
      <c r="F749" s="37"/>
    </row>
    <row r="750" spans="6:6" x14ac:dyDescent="0.3">
      <c r="F750" s="37"/>
    </row>
    <row r="751" spans="6:6" x14ac:dyDescent="0.3">
      <c r="F751" s="37"/>
    </row>
    <row r="752" spans="6:6" x14ac:dyDescent="0.3">
      <c r="F752" s="37"/>
    </row>
    <row r="753" spans="6:6" x14ac:dyDescent="0.3">
      <c r="F753" s="37"/>
    </row>
    <row r="754" spans="6:6" x14ac:dyDescent="0.3">
      <c r="F754" s="37"/>
    </row>
    <row r="755" spans="6:6" x14ac:dyDescent="0.3">
      <c r="F755" s="37"/>
    </row>
    <row r="756" spans="6:6" x14ac:dyDescent="0.3">
      <c r="F756" s="37"/>
    </row>
    <row r="757" spans="6:6" x14ac:dyDescent="0.3">
      <c r="F757" s="37"/>
    </row>
    <row r="758" spans="6:6" x14ac:dyDescent="0.3">
      <c r="F758" s="37"/>
    </row>
    <row r="759" spans="6:6" x14ac:dyDescent="0.3">
      <c r="F759" s="37"/>
    </row>
    <row r="760" spans="6:6" x14ac:dyDescent="0.3">
      <c r="F760" s="37"/>
    </row>
    <row r="761" spans="6:6" x14ac:dyDescent="0.3">
      <c r="F761" s="37"/>
    </row>
    <row r="762" spans="6:6" x14ac:dyDescent="0.3">
      <c r="F762" s="37"/>
    </row>
    <row r="763" spans="6:6" x14ac:dyDescent="0.3">
      <c r="F763" s="37"/>
    </row>
    <row r="764" spans="6:6" x14ac:dyDescent="0.3">
      <c r="F764" s="37"/>
    </row>
    <row r="765" spans="6:6" x14ac:dyDescent="0.3">
      <c r="F765" s="37"/>
    </row>
    <row r="766" spans="6:6" x14ac:dyDescent="0.3">
      <c r="F766" s="37"/>
    </row>
    <row r="767" spans="6:6" x14ac:dyDescent="0.3">
      <c r="F767" s="37"/>
    </row>
    <row r="768" spans="6:6" x14ac:dyDescent="0.3">
      <c r="F768" s="37"/>
    </row>
    <row r="769" spans="6:6" x14ac:dyDescent="0.3">
      <c r="F769" s="37"/>
    </row>
    <row r="770" spans="6:6" x14ac:dyDescent="0.3">
      <c r="F770" s="37"/>
    </row>
    <row r="771" spans="6:6" x14ac:dyDescent="0.3">
      <c r="F771" s="37"/>
    </row>
    <row r="772" spans="6:6" x14ac:dyDescent="0.3">
      <c r="F772" s="37"/>
    </row>
    <row r="773" spans="6:6" x14ac:dyDescent="0.3">
      <c r="F773" s="37"/>
    </row>
    <row r="774" spans="6:6" x14ac:dyDescent="0.3">
      <c r="F774" s="37"/>
    </row>
    <row r="775" spans="6:6" x14ac:dyDescent="0.3">
      <c r="F775" s="37"/>
    </row>
    <row r="776" spans="6:6" x14ac:dyDescent="0.3">
      <c r="F776" s="37"/>
    </row>
    <row r="777" spans="6:6" x14ac:dyDescent="0.3">
      <c r="F777" s="37"/>
    </row>
    <row r="778" spans="6:6" x14ac:dyDescent="0.3">
      <c r="F778" s="37"/>
    </row>
    <row r="779" spans="6:6" x14ac:dyDescent="0.3">
      <c r="F779" s="37"/>
    </row>
    <row r="780" spans="6:6" x14ac:dyDescent="0.3">
      <c r="F780" s="37"/>
    </row>
    <row r="781" spans="6:6" x14ac:dyDescent="0.3">
      <c r="F781" s="37"/>
    </row>
    <row r="782" spans="6:6" x14ac:dyDescent="0.3">
      <c r="F782" s="37"/>
    </row>
    <row r="783" spans="6:6" x14ac:dyDescent="0.3">
      <c r="F783" s="37"/>
    </row>
    <row r="784" spans="6:6" x14ac:dyDescent="0.3">
      <c r="F784" s="37"/>
    </row>
    <row r="785" spans="6:6" x14ac:dyDescent="0.3">
      <c r="F785" s="37"/>
    </row>
    <row r="786" spans="6:6" x14ac:dyDescent="0.3">
      <c r="F786" s="37"/>
    </row>
    <row r="787" spans="6:6" x14ac:dyDescent="0.3">
      <c r="F787" s="37"/>
    </row>
    <row r="788" spans="6:6" x14ac:dyDescent="0.3">
      <c r="F788" s="37"/>
    </row>
    <row r="789" spans="6:6" x14ac:dyDescent="0.3">
      <c r="F789" s="37"/>
    </row>
    <row r="790" spans="6:6" x14ac:dyDescent="0.3">
      <c r="F790" s="37"/>
    </row>
    <row r="791" spans="6:6" x14ac:dyDescent="0.3">
      <c r="F791" s="37"/>
    </row>
    <row r="792" spans="6:6" x14ac:dyDescent="0.3">
      <c r="F792" s="37"/>
    </row>
    <row r="793" spans="6:6" x14ac:dyDescent="0.3">
      <c r="F793" s="37"/>
    </row>
    <row r="794" spans="6:6" x14ac:dyDescent="0.3">
      <c r="F794" s="37"/>
    </row>
    <row r="795" spans="6:6" x14ac:dyDescent="0.3">
      <c r="F795" s="37"/>
    </row>
    <row r="796" spans="6:6" x14ac:dyDescent="0.3">
      <c r="F796" s="37"/>
    </row>
    <row r="797" spans="6:6" x14ac:dyDescent="0.3">
      <c r="F797" s="37"/>
    </row>
    <row r="798" spans="6:6" x14ac:dyDescent="0.3">
      <c r="F798" s="37"/>
    </row>
    <row r="799" spans="6:6" x14ac:dyDescent="0.3">
      <c r="F799" s="37"/>
    </row>
    <row r="800" spans="6:6" x14ac:dyDescent="0.3">
      <c r="F800" s="37"/>
    </row>
    <row r="801" spans="6:6" x14ac:dyDescent="0.3">
      <c r="F801" s="37"/>
    </row>
    <row r="802" spans="6:6" x14ac:dyDescent="0.3">
      <c r="F802" s="37"/>
    </row>
    <row r="803" spans="6:6" x14ac:dyDescent="0.3">
      <c r="F803" s="37"/>
    </row>
    <row r="804" spans="6:6" x14ac:dyDescent="0.3">
      <c r="F804" s="37"/>
    </row>
    <row r="805" spans="6:6" x14ac:dyDescent="0.3">
      <c r="F805" s="37"/>
    </row>
    <row r="806" spans="6:6" x14ac:dyDescent="0.3">
      <c r="F806" s="37"/>
    </row>
    <row r="807" spans="6:6" x14ac:dyDescent="0.3">
      <c r="F807" s="37"/>
    </row>
    <row r="808" spans="6:6" x14ac:dyDescent="0.3">
      <c r="F808" s="37"/>
    </row>
    <row r="809" spans="6:6" x14ac:dyDescent="0.3">
      <c r="F809" s="37"/>
    </row>
    <row r="810" spans="6:6" x14ac:dyDescent="0.3">
      <c r="F810" s="37"/>
    </row>
    <row r="811" spans="6:6" x14ac:dyDescent="0.3">
      <c r="F811" s="37"/>
    </row>
    <row r="812" spans="6:6" x14ac:dyDescent="0.3">
      <c r="F812" s="37"/>
    </row>
    <row r="813" spans="6:6" x14ac:dyDescent="0.3">
      <c r="F813" s="37"/>
    </row>
    <row r="814" spans="6:6" x14ac:dyDescent="0.3">
      <c r="F814" s="37"/>
    </row>
    <row r="815" spans="6:6" x14ac:dyDescent="0.3">
      <c r="F815" s="37"/>
    </row>
    <row r="816" spans="6:6" x14ac:dyDescent="0.3">
      <c r="F816" s="37"/>
    </row>
    <row r="817" spans="6:6" x14ac:dyDescent="0.3">
      <c r="F817" s="37"/>
    </row>
    <row r="818" spans="6:6" x14ac:dyDescent="0.3">
      <c r="F818" s="37"/>
    </row>
    <row r="819" spans="6:6" x14ac:dyDescent="0.3">
      <c r="F819" s="37"/>
    </row>
    <row r="820" spans="6:6" x14ac:dyDescent="0.3">
      <c r="F820" s="37"/>
    </row>
    <row r="821" spans="6:6" x14ac:dyDescent="0.3">
      <c r="F821" s="37"/>
    </row>
    <row r="822" spans="6:6" x14ac:dyDescent="0.3">
      <c r="F822" s="37"/>
    </row>
    <row r="823" spans="6:6" x14ac:dyDescent="0.3">
      <c r="F823" s="37"/>
    </row>
    <row r="824" spans="6:6" x14ac:dyDescent="0.3">
      <c r="F824" s="37"/>
    </row>
    <row r="825" spans="6:6" x14ac:dyDescent="0.3">
      <c r="F825" s="37"/>
    </row>
    <row r="826" spans="6:6" x14ac:dyDescent="0.3">
      <c r="F826" s="37"/>
    </row>
    <row r="827" spans="6:6" x14ac:dyDescent="0.3">
      <c r="F827" s="37"/>
    </row>
    <row r="828" spans="6:6" x14ac:dyDescent="0.3">
      <c r="F828" s="37"/>
    </row>
    <row r="829" spans="6:6" x14ac:dyDescent="0.3">
      <c r="F829" s="37"/>
    </row>
    <row r="830" spans="6:6" x14ac:dyDescent="0.3">
      <c r="F830" s="37"/>
    </row>
    <row r="831" spans="6:6" x14ac:dyDescent="0.3">
      <c r="F831" s="37"/>
    </row>
    <row r="832" spans="6:6" x14ac:dyDescent="0.3">
      <c r="F832" s="37"/>
    </row>
    <row r="833" spans="6:6" x14ac:dyDescent="0.3">
      <c r="F833" s="37"/>
    </row>
    <row r="834" spans="6:6" x14ac:dyDescent="0.3">
      <c r="F834" s="37"/>
    </row>
    <row r="835" spans="6:6" x14ac:dyDescent="0.3">
      <c r="F835" s="37"/>
    </row>
    <row r="836" spans="6:6" x14ac:dyDescent="0.3">
      <c r="F836" s="37"/>
    </row>
    <row r="837" spans="6:6" x14ac:dyDescent="0.3">
      <c r="F837" s="37"/>
    </row>
    <row r="838" spans="6:6" x14ac:dyDescent="0.3">
      <c r="F838" s="37"/>
    </row>
    <row r="839" spans="6:6" x14ac:dyDescent="0.3">
      <c r="F839" s="37"/>
    </row>
    <row r="840" spans="6:6" x14ac:dyDescent="0.3">
      <c r="F840" s="37"/>
    </row>
    <row r="841" spans="6:6" x14ac:dyDescent="0.3">
      <c r="F841" s="37"/>
    </row>
    <row r="842" spans="6:6" x14ac:dyDescent="0.3">
      <c r="F842" s="37"/>
    </row>
    <row r="843" spans="6:6" x14ac:dyDescent="0.3">
      <c r="F843" s="37"/>
    </row>
    <row r="844" spans="6:6" x14ac:dyDescent="0.3">
      <c r="F844" s="37"/>
    </row>
    <row r="845" spans="6:6" x14ac:dyDescent="0.3">
      <c r="F845" s="37"/>
    </row>
    <row r="846" spans="6:6" x14ac:dyDescent="0.3">
      <c r="F846" s="37"/>
    </row>
    <row r="847" spans="6:6" x14ac:dyDescent="0.3">
      <c r="F847" s="37"/>
    </row>
    <row r="848" spans="6:6" x14ac:dyDescent="0.3">
      <c r="F848" s="37"/>
    </row>
    <row r="849" spans="6:6" x14ac:dyDescent="0.3">
      <c r="F849" s="37"/>
    </row>
    <row r="850" spans="6:6" x14ac:dyDescent="0.3">
      <c r="F850" s="37"/>
    </row>
    <row r="851" spans="6:6" x14ac:dyDescent="0.3">
      <c r="F851" s="37"/>
    </row>
    <row r="852" spans="6:6" x14ac:dyDescent="0.3">
      <c r="F852" s="37"/>
    </row>
    <row r="853" spans="6:6" x14ac:dyDescent="0.3">
      <c r="F853" s="37"/>
    </row>
    <row r="854" spans="6:6" x14ac:dyDescent="0.3">
      <c r="F854" s="37"/>
    </row>
    <row r="855" spans="6:6" x14ac:dyDescent="0.3">
      <c r="F855" s="37"/>
    </row>
    <row r="856" spans="6:6" x14ac:dyDescent="0.3">
      <c r="F856" s="37"/>
    </row>
    <row r="857" spans="6:6" x14ac:dyDescent="0.3">
      <c r="F857" s="37"/>
    </row>
    <row r="858" spans="6:6" x14ac:dyDescent="0.3">
      <c r="F858" s="37"/>
    </row>
    <row r="859" spans="6:6" x14ac:dyDescent="0.3">
      <c r="F859" s="37"/>
    </row>
    <row r="860" spans="6:6" x14ac:dyDescent="0.3">
      <c r="F860" s="37"/>
    </row>
    <row r="861" spans="6:6" x14ac:dyDescent="0.3">
      <c r="F861" s="37"/>
    </row>
    <row r="862" spans="6:6" x14ac:dyDescent="0.3">
      <c r="F862" s="37"/>
    </row>
    <row r="863" spans="6:6" x14ac:dyDescent="0.3">
      <c r="F863" s="37"/>
    </row>
    <row r="864" spans="6:6" x14ac:dyDescent="0.3">
      <c r="F864" s="37"/>
    </row>
    <row r="865" spans="6:6" x14ac:dyDescent="0.3">
      <c r="F865" s="37"/>
    </row>
    <row r="866" spans="6:6" x14ac:dyDescent="0.3">
      <c r="F866" s="37"/>
    </row>
    <row r="867" spans="6:6" x14ac:dyDescent="0.3">
      <c r="F867" s="37"/>
    </row>
    <row r="868" spans="6:6" x14ac:dyDescent="0.3">
      <c r="F868" s="37"/>
    </row>
    <row r="869" spans="6:6" x14ac:dyDescent="0.3">
      <c r="F869" s="37"/>
    </row>
    <row r="870" spans="6:6" x14ac:dyDescent="0.3">
      <c r="F870" s="37"/>
    </row>
    <row r="871" spans="6:6" x14ac:dyDescent="0.3">
      <c r="F871" s="37"/>
    </row>
    <row r="872" spans="6:6" x14ac:dyDescent="0.3">
      <c r="F872" s="37"/>
    </row>
    <row r="873" spans="6:6" x14ac:dyDescent="0.3">
      <c r="F873" s="37"/>
    </row>
    <row r="874" spans="6:6" x14ac:dyDescent="0.3">
      <c r="F874" s="37"/>
    </row>
    <row r="875" spans="6:6" x14ac:dyDescent="0.3">
      <c r="F875" s="37"/>
    </row>
    <row r="876" spans="6:6" x14ac:dyDescent="0.3">
      <c r="F876" s="37"/>
    </row>
    <row r="877" spans="6:6" x14ac:dyDescent="0.3">
      <c r="F877" s="37"/>
    </row>
    <row r="878" spans="6:6" x14ac:dyDescent="0.3">
      <c r="F878" s="37"/>
    </row>
    <row r="879" spans="6:6" x14ac:dyDescent="0.3">
      <c r="F879" s="37"/>
    </row>
    <row r="880" spans="6:6" x14ac:dyDescent="0.3">
      <c r="F880" s="37"/>
    </row>
    <row r="881" spans="6:6" x14ac:dyDescent="0.3">
      <c r="F881" s="37"/>
    </row>
    <row r="882" spans="6:6" x14ac:dyDescent="0.3">
      <c r="F882" s="37"/>
    </row>
    <row r="883" spans="6:6" x14ac:dyDescent="0.3">
      <c r="F883" s="37"/>
    </row>
    <row r="884" spans="6:6" x14ac:dyDescent="0.3">
      <c r="F884" s="37"/>
    </row>
    <row r="885" spans="6:6" x14ac:dyDescent="0.3">
      <c r="F885" s="37"/>
    </row>
    <row r="886" spans="6:6" x14ac:dyDescent="0.3">
      <c r="F886" s="37"/>
    </row>
    <row r="887" spans="6:6" x14ac:dyDescent="0.3">
      <c r="F887" s="37"/>
    </row>
    <row r="888" spans="6:6" x14ac:dyDescent="0.3">
      <c r="F888" s="37"/>
    </row>
    <row r="889" spans="6:6" x14ac:dyDescent="0.3">
      <c r="F889" s="37"/>
    </row>
    <row r="890" spans="6:6" x14ac:dyDescent="0.3">
      <c r="F890" s="37"/>
    </row>
    <row r="891" spans="6:6" x14ac:dyDescent="0.3">
      <c r="F891" s="37"/>
    </row>
    <row r="892" spans="6:6" x14ac:dyDescent="0.3">
      <c r="F892" s="37"/>
    </row>
    <row r="893" spans="6:6" x14ac:dyDescent="0.3">
      <c r="F893" s="37"/>
    </row>
    <row r="894" spans="6:6" x14ac:dyDescent="0.3">
      <c r="F894" s="37"/>
    </row>
    <row r="895" spans="6:6" x14ac:dyDescent="0.3">
      <c r="F895" s="37"/>
    </row>
    <row r="896" spans="6:6" x14ac:dyDescent="0.3">
      <c r="F896" s="37"/>
    </row>
    <row r="897" spans="6:6" x14ac:dyDescent="0.3">
      <c r="F897" s="37"/>
    </row>
    <row r="898" spans="6:6" x14ac:dyDescent="0.3">
      <c r="F898" s="37"/>
    </row>
    <row r="899" spans="6:6" x14ac:dyDescent="0.3">
      <c r="F899" s="37"/>
    </row>
    <row r="900" spans="6:6" x14ac:dyDescent="0.3">
      <c r="F900" s="37"/>
    </row>
    <row r="901" spans="6:6" x14ac:dyDescent="0.3">
      <c r="F901" s="37"/>
    </row>
    <row r="902" spans="6:6" x14ac:dyDescent="0.3">
      <c r="F902" s="37"/>
    </row>
    <row r="903" spans="6:6" x14ac:dyDescent="0.3">
      <c r="F903" s="37"/>
    </row>
    <row r="904" spans="6:6" x14ac:dyDescent="0.3">
      <c r="F904" s="37"/>
    </row>
    <row r="905" spans="6:6" x14ac:dyDescent="0.3">
      <c r="F905" s="37"/>
    </row>
    <row r="906" spans="6:6" x14ac:dyDescent="0.3">
      <c r="F906" s="37"/>
    </row>
    <row r="907" spans="6:6" x14ac:dyDescent="0.3">
      <c r="F907" s="37"/>
    </row>
    <row r="908" spans="6:6" x14ac:dyDescent="0.3">
      <c r="F908" s="37"/>
    </row>
    <row r="909" spans="6:6" x14ac:dyDescent="0.3">
      <c r="F909" s="37"/>
    </row>
    <row r="910" spans="6:6" x14ac:dyDescent="0.3">
      <c r="F910" s="37"/>
    </row>
    <row r="911" spans="6:6" x14ac:dyDescent="0.3">
      <c r="F911" s="37"/>
    </row>
    <row r="912" spans="6:6" x14ac:dyDescent="0.3">
      <c r="F912" s="37"/>
    </row>
    <row r="913" spans="6:6" x14ac:dyDescent="0.3">
      <c r="F913" s="37"/>
    </row>
    <row r="914" spans="6:6" x14ac:dyDescent="0.3">
      <c r="F914" s="37"/>
    </row>
    <row r="915" spans="6:6" x14ac:dyDescent="0.3">
      <c r="F915" s="37"/>
    </row>
    <row r="916" spans="6:6" x14ac:dyDescent="0.3">
      <c r="F916" s="37"/>
    </row>
    <row r="917" spans="6:6" x14ac:dyDescent="0.3">
      <c r="F917" s="37"/>
    </row>
    <row r="918" spans="6:6" x14ac:dyDescent="0.3">
      <c r="F918" s="37"/>
    </row>
    <row r="919" spans="6:6" x14ac:dyDescent="0.3">
      <c r="F919" s="37"/>
    </row>
    <row r="920" spans="6:6" x14ac:dyDescent="0.3">
      <c r="F920" s="37"/>
    </row>
    <row r="921" spans="6:6" x14ac:dyDescent="0.3">
      <c r="F921" s="37"/>
    </row>
    <row r="922" spans="6:6" x14ac:dyDescent="0.3">
      <c r="F922" s="37"/>
    </row>
    <row r="923" spans="6:6" x14ac:dyDescent="0.3">
      <c r="F923" s="37"/>
    </row>
    <row r="924" spans="6:6" x14ac:dyDescent="0.3">
      <c r="F924" s="37"/>
    </row>
    <row r="925" spans="6:6" x14ac:dyDescent="0.3">
      <c r="F925" s="37"/>
    </row>
    <row r="926" spans="6:6" x14ac:dyDescent="0.3">
      <c r="F926" s="37"/>
    </row>
    <row r="927" spans="6:6" x14ac:dyDescent="0.3">
      <c r="F927" s="37"/>
    </row>
    <row r="928" spans="6:6" x14ac:dyDescent="0.3">
      <c r="F928" s="37"/>
    </row>
    <row r="929" spans="6:6" x14ac:dyDescent="0.3">
      <c r="F929" s="37"/>
    </row>
    <row r="930" spans="6:6" x14ac:dyDescent="0.3">
      <c r="F930" s="37"/>
    </row>
    <row r="931" spans="6:6" x14ac:dyDescent="0.3">
      <c r="F931" s="37"/>
    </row>
    <row r="932" spans="6:6" x14ac:dyDescent="0.3">
      <c r="F932" s="37"/>
    </row>
    <row r="933" spans="6:6" x14ac:dyDescent="0.3">
      <c r="F933" s="37"/>
    </row>
    <row r="934" spans="6:6" x14ac:dyDescent="0.3">
      <c r="F934" s="37"/>
    </row>
    <row r="935" spans="6:6" x14ac:dyDescent="0.3">
      <c r="F935" s="37"/>
    </row>
    <row r="936" spans="6:6" x14ac:dyDescent="0.3">
      <c r="F936" s="37"/>
    </row>
    <row r="937" spans="6:6" x14ac:dyDescent="0.3">
      <c r="F937" s="37"/>
    </row>
    <row r="938" spans="6:6" x14ac:dyDescent="0.3">
      <c r="F938" s="37"/>
    </row>
    <row r="939" spans="6:6" x14ac:dyDescent="0.3">
      <c r="F939" s="37"/>
    </row>
    <row r="940" spans="6:6" x14ac:dyDescent="0.3">
      <c r="F940" s="37"/>
    </row>
    <row r="941" spans="6:6" x14ac:dyDescent="0.3">
      <c r="F941" s="37"/>
    </row>
    <row r="942" spans="6:6" x14ac:dyDescent="0.3">
      <c r="F942" s="37"/>
    </row>
    <row r="943" spans="6:6" x14ac:dyDescent="0.3">
      <c r="F943" s="37"/>
    </row>
    <row r="944" spans="6:6" x14ac:dyDescent="0.3">
      <c r="F944" s="37"/>
    </row>
    <row r="945" spans="6:6" x14ac:dyDescent="0.3">
      <c r="F945" s="37"/>
    </row>
    <row r="946" spans="6:6" x14ac:dyDescent="0.3">
      <c r="F946" s="37"/>
    </row>
    <row r="947" spans="6:6" x14ac:dyDescent="0.3">
      <c r="F947" s="37"/>
    </row>
    <row r="948" spans="6:6" x14ac:dyDescent="0.3">
      <c r="F948" s="37"/>
    </row>
    <row r="949" spans="6:6" x14ac:dyDescent="0.3">
      <c r="F949" s="37"/>
    </row>
    <row r="950" spans="6:6" x14ac:dyDescent="0.3">
      <c r="F950" s="37"/>
    </row>
    <row r="951" spans="6:6" x14ac:dyDescent="0.3">
      <c r="F951" s="37"/>
    </row>
    <row r="952" spans="6:6" x14ac:dyDescent="0.3">
      <c r="F952" s="37"/>
    </row>
    <row r="953" spans="6:6" x14ac:dyDescent="0.3">
      <c r="F953" s="37"/>
    </row>
    <row r="954" spans="6:6" x14ac:dyDescent="0.3">
      <c r="F954" s="37"/>
    </row>
    <row r="955" spans="6:6" x14ac:dyDescent="0.3">
      <c r="F955" s="37"/>
    </row>
    <row r="956" spans="6:6" x14ac:dyDescent="0.3">
      <c r="F956" s="37"/>
    </row>
    <row r="957" spans="6:6" x14ac:dyDescent="0.3">
      <c r="F957" s="37"/>
    </row>
    <row r="958" spans="6:6" x14ac:dyDescent="0.3">
      <c r="F958" s="37"/>
    </row>
    <row r="959" spans="6:6" x14ac:dyDescent="0.3">
      <c r="F959" s="37"/>
    </row>
    <row r="960" spans="6:6" x14ac:dyDescent="0.3">
      <c r="F960" s="37"/>
    </row>
    <row r="961" spans="6:6" x14ac:dyDescent="0.3">
      <c r="F961" s="37"/>
    </row>
    <row r="962" spans="6:6" x14ac:dyDescent="0.3">
      <c r="F962" s="37"/>
    </row>
    <row r="963" spans="6:6" x14ac:dyDescent="0.3">
      <c r="F963" s="37"/>
    </row>
    <row r="964" spans="6:6" x14ac:dyDescent="0.3">
      <c r="F964" s="37"/>
    </row>
    <row r="965" spans="6:6" x14ac:dyDescent="0.3">
      <c r="F965" s="37"/>
    </row>
    <row r="966" spans="6:6" x14ac:dyDescent="0.3">
      <c r="F966" s="37"/>
    </row>
    <row r="967" spans="6:6" x14ac:dyDescent="0.3">
      <c r="F967" s="37"/>
    </row>
    <row r="968" spans="6:6" x14ac:dyDescent="0.3">
      <c r="F968" s="37"/>
    </row>
    <row r="969" spans="6:6" x14ac:dyDescent="0.3">
      <c r="F969" s="37"/>
    </row>
    <row r="970" spans="6:6" x14ac:dyDescent="0.3">
      <c r="F970" s="37"/>
    </row>
    <row r="971" spans="6:6" x14ac:dyDescent="0.3">
      <c r="F971" s="37"/>
    </row>
    <row r="972" spans="6:6" x14ac:dyDescent="0.3">
      <c r="F972" s="37"/>
    </row>
    <row r="973" spans="6:6" x14ac:dyDescent="0.3">
      <c r="F973" s="37"/>
    </row>
    <row r="974" spans="6:6" x14ac:dyDescent="0.3">
      <c r="F974" s="37"/>
    </row>
    <row r="975" spans="6:6" x14ac:dyDescent="0.3">
      <c r="F975" s="37"/>
    </row>
    <row r="976" spans="6:6" x14ac:dyDescent="0.3">
      <c r="F976" s="37"/>
    </row>
    <row r="977" spans="6:6" x14ac:dyDescent="0.3">
      <c r="F977" s="37"/>
    </row>
    <row r="978" spans="6:6" x14ac:dyDescent="0.3">
      <c r="F978" s="37"/>
    </row>
    <row r="979" spans="6:6" x14ac:dyDescent="0.3">
      <c r="F979" s="37"/>
    </row>
    <row r="980" spans="6:6" x14ac:dyDescent="0.3">
      <c r="F980" s="37"/>
    </row>
    <row r="981" spans="6:6" x14ac:dyDescent="0.3">
      <c r="F981" s="37"/>
    </row>
    <row r="982" spans="6:6" x14ac:dyDescent="0.3">
      <c r="F982" s="37"/>
    </row>
    <row r="983" spans="6:6" x14ac:dyDescent="0.3">
      <c r="F983" s="37"/>
    </row>
    <row r="984" spans="6:6" x14ac:dyDescent="0.3">
      <c r="F984" s="37"/>
    </row>
    <row r="985" spans="6:6" x14ac:dyDescent="0.3">
      <c r="F985" s="37"/>
    </row>
    <row r="986" spans="6:6" x14ac:dyDescent="0.3">
      <c r="F986" s="37"/>
    </row>
    <row r="987" spans="6:6" x14ac:dyDescent="0.3">
      <c r="F987" s="37"/>
    </row>
    <row r="988" spans="6:6" x14ac:dyDescent="0.3">
      <c r="F988" s="37"/>
    </row>
    <row r="989" spans="6:6" x14ac:dyDescent="0.3">
      <c r="F989" s="37"/>
    </row>
    <row r="990" spans="6:6" x14ac:dyDescent="0.3">
      <c r="F990" s="37"/>
    </row>
    <row r="991" spans="6:6" x14ac:dyDescent="0.3">
      <c r="F991" s="37"/>
    </row>
    <row r="992" spans="6:6" x14ac:dyDescent="0.3">
      <c r="F992" s="37"/>
    </row>
    <row r="993" spans="6:6" x14ac:dyDescent="0.3">
      <c r="F993" s="37"/>
    </row>
    <row r="994" spans="6:6" x14ac:dyDescent="0.3">
      <c r="F994" s="37"/>
    </row>
    <row r="995" spans="6:6" x14ac:dyDescent="0.3">
      <c r="F995" s="37"/>
    </row>
    <row r="996" spans="6:6" x14ac:dyDescent="0.3">
      <c r="F996" s="37"/>
    </row>
    <row r="997" spans="6:6" x14ac:dyDescent="0.3">
      <c r="F997" s="37"/>
    </row>
    <row r="998" spans="6:6" x14ac:dyDescent="0.3">
      <c r="F998" s="37"/>
    </row>
    <row r="999" spans="6:6" x14ac:dyDescent="0.3">
      <c r="F999" s="37"/>
    </row>
    <row r="1000" spans="6:6" x14ac:dyDescent="0.3">
      <c r="F1000" s="37"/>
    </row>
    <row r="1001" spans="6:6" x14ac:dyDescent="0.3">
      <c r="F1001" s="37"/>
    </row>
    <row r="1002" spans="6:6" x14ac:dyDescent="0.3">
      <c r="F1002" s="37"/>
    </row>
    <row r="1003" spans="6:6" x14ac:dyDescent="0.3">
      <c r="F1003" s="37"/>
    </row>
    <row r="1004" spans="6:6" x14ac:dyDescent="0.3">
      <c r="F1004" s="37"/>
    </row>
    <row r="1005" spans="6:6" x14ac:dyDescent="0.3">
      <c r="F1005" s="37"/>
    </row>
    <row r="1006" spans="6:6" x14ac:dyDescent="0.3">
      <c r="F1006" s="37"/>
    </row>
    <row r="1007" spans="6:6" x14ac:dyDescent="0.3">
      <c r="F1007" s="37"/>
    </row>
    <row r="1008" spans="6:6" x14ac:dyDescent="0.3">
      <c r="F1008" s="37"/>
    </row>
    <row r="1009" spans="6:6" x14ac:dyDescent="0.3">
      <c r="F1009" s="37"/>
    </row>
    <row r="1010" spans="6:6" x14ac:dyDescent="0.3">
      <c r="F1010" s="37"/>
    </row>
    <row r="1011" spans="6:6" x14ac:dyDescent="0.3">
      <c r="F1011" s="37"/>
    </row>
    <row r="1012" spans="6:6" x14ac:dyDescent="0.3">
      <c r="F1012" s="37"/>
    </row>
    <row r="1013" spans="6:6" x14ac:dyDescent="0.3">
      <c r="F1013" s="37"/>
    </row>
    <row r="1014" spans="6:6" x14ac:dyDescent="0.3">
      <c r="F1014" s="37"/>
    </row>
    <row r="1015" spans="6:6" x14ac:dyDescent="0.3">
      <c r="F1015" s="37"/>
    </row>
    <row r="1016" spans="6:6" x14ac:dyDescent="0.3">
      <c r="F1016" s="37"/>
    </row>
    <row r="1017" spans="6:6" x14ac:dyDescent="0.3">
      <c r="F1017" s="37"/>
    </row>
    <row r="1018" spans="6:6" x14ac:dyDescent="0.3">
      <c r="F1018" s="37"/>
    </row>
    <row r="1019" spans="6:6" x14ac:dyDescent="0.3">
      <c r="F1019" s="37"/>
    </row>
    <row r="1020" spans="6:6" x14ac:dyDescent="0.3">
      <c r="F1020" s="37"/>
    </row>
    <row r="1021" spans="6:6" x14ac:dyDescent="0.3">
      <c r="F1021" s="37"/>
    </row>
    <row r="1022" spans="6:6" x14ac:dyDescent="0.3">
      <c r="F1022" s="37"/>
    </row>
    <row r="1023" spans="6:6" x14ac:dyDescent="0.3">
      <c r="F1023" s="37"/>
    </row>
    <row r="1024" spans="6:6" x14ac:dyDescent="0.3">
      <c r="F1024" s="37"/>
    </row>
    <row r="1025" spans="6:6" x14ac:dyDescent="0.3">
      <c r="F1025" s="37"/>
    </row>
    <row r="1026" spans="6:6" x14ac:dyDescent="0.3">
      <c r="F1026" s="37"/>
    </row>
    <row r="1027" spans="6:6" x14ac:dyDescent="0.3">
      <c r="F1027" s="37"/>
    </row>
    <row r="1028" spans="6:6" x14ac:dyDescent="0.3">
      <c r="F1028" s="37"/>
    </row>
    <row r="1029" spans="6:6" x14ac:dyDescent="0.3">
      <c r="F1029" s="37"/>
    </row>
    <row r="1030" spans="6:6" x14ac:dyDescent="0.3">
      <c r="F1030" s="37"/>
    </row>
    <row r="1031" spans="6:6" x14ac:dyDescent="0.3">
      <c r="F1031" s="37"/>
    </row>
    <row r="1032" spans="6:6" x14ac:dyDescent="0.3">
      <c r="F1032" s="37"/>
    </row>
    <row r="1033" spans="6:6" x14ac:dyDescent="0.3">
      <c r="F1033" s="37"/>
    </row>
    <row r="1034" spans="6:6" x14ac:dyDescent="0.3">
      <c r="F1034" s="37"/>
    </row>
    <row r="1035" spans="6:6" x14ac:dyDescent="0.3">
      <c r="F1035" s="37"/>
    </row>
    <row r="1036" spans="6:6" x14ac:dyDescent="0.3">
      <c r="F1036" s="37"/>
    </row>
    <row r="1037" spans="6:6" x14ac:dyDescent="0.3">
      <c r="F1037" s="37"/>
    </row>
    <row r="1038" spans="6:6" x14ac:dyDescent="0.3">
      <c r="F1038" s="37"/>
    </row>
    <row r="1039" spans="6:6" x14ac:dyDescent="0.3">
      <c r="F1039" s="37"/>
    </row>
    <row r="1040" spans="6:6" x14ac:dyDescent="0.3">
      <c r="F1040" s="37"/>
    </row>
    <row r="1041" spans="6:6" x14ac:dyDescent="0.3">
      <c r="F1041" s="37"/>
    </row>
    <row r="1042" spans="6:6" x14ac:dyDescent="0.3">
      <c r="F1042" s="37"/>
    </row>
    <row r="1043" spans="6:6" x14ac:dyDescent="0.3">
      <c r="F1043" s="37"/>
    </row>
    <row r="1044" spans="6:6" x14ac:dyDescent="0.3">
      <c r="F1044" s="37"/>
    </row>
    <row r="1045" spans="6:6" x14ac:dyDescent="0.3">
      <c r="F1045" s="37"/>
    </row>
    <row r="1046" spans="6:6" x14ac:dyDescent="0.3">
      <c r="F1046" s="37"/>
    </row>
    <row r="1047" spans="6:6" x14ac:dyDescent="0.3">
      <c r="F1047" s="37"/>
    </row>
    <row r="1048" spans="6:6" x14ac:dyDescent="0.3">
      <c r="F1048" s="37"/>
    </row>
    <row r="1049" spans="6:6" x14ac:dyDescent="0.3">
      <c r="F1049" s="37"/>
    </row>
    <row r="1050" spans="6:6" x14ac:dyDescent="0.3">
      <c r="F1050" s="37"/>
    </row>
    <row r="1051" spans="6:6" x14ac:dyDescent="0.3">
      <c r="F1051" s="37"/>
    </row>
    <row r="1052" spans="6:6" x14ac:dyDescent="0.3">
      <c r="F1052" s="37"/>
    </row>
    <row r="1053" spans="6:6" x14ac:dyDescent="0.3">
      <c r="F1053" s="37"/>
    </row>
    <row r="1054" spans="6:6" x14ac:dyDescent="0.3">
      <c r="F1054" s="37"/>
    </row>
    <row r="1055" spans="6:6" x14ac:dyDescent="0.3">
      <c r="F1055" s="37"/>
    </row>
    <row r="1056" spans="6:6" x14ac:dyDescent="0.3">
      <c r="F1056" s="37"/>
    </row>
    <row r="1057" spans="6:6" x14ac:dyDescent="0.3">
      <c r="F1057" s="37"/>
    </row>
    <row r="1058" spans="6:6" x14ac:dyDescent="0.3">
      <c r="F1058" s="37"/>
    </row>
    <row r="1059" spans="6:6" x14ac:dyDescent="0.3">
      <c r="F1059" s="37"/>
    </row>
    <row r="1060" spans="6:6" x14ac:dyDescent="0.3">
      <c r="F1060" s="37"/>
    </row>
    <row r="1061" spans="6:6" x14ac:dyDescent="0.3">
      <c r="F1061" s="37"/>
    </row>
    <row r="1062" spans="6:6" x14ac:dyDescent="0.3">
      <c r="F1062" s="37"/>
    </row>
    <row r="1063" spans="6:6" x14ac:dyDescent="0.3">
      <c r="F1063" s="37"/>
    </row>
    <row r="1064" spans="6:6" x14ac:dyDescent="0.3">
      <c r="F1064" s="37"/>
    </row>
    <row r="1065" spans="6:6" x14ac:dyDescent="0.3">
      <c r="F1065" s="37"/>
    </row>
    <row r="1066" spans="6:6" x14ac:dyDescent="0.3">
      <c r="F1066" s="37"/>
    </row>
    <row r="1067" spans="6:6" x14ac:dyDescent="0.3">
      <c r="F1067" s="37"/>
    </row>
    <row r="1068" spans="6:6" x14ac:dyDescent="0.3">
      <c r="F1068" s="37"/>
    </row>
    <row r="1069" spans="6:6" x14ac:dyDescent="0.3">
      <c r="F1069" s="37"/>
    </row>
    <row r="1070" spans="6:6" x14ac:dyDescent="0.3">
      <c r="F1070" s="37"/>
    </row>
    <row r="1071" spans="6:6" x14ac:dyDescent="0.3">
      <c r="F1071" s="37"/>
    </row>
    <row r="1072" spans="6:6" x14ac:dyDescent="0.3">
      <c r="F1072" s="37"/>
    </row>
    <row r="1073" spans="6:6" x14ac:dyDescent="0.3">
      <c r="F1073" s="37"/>
    </row>
    <row r="1074" spans="6:6" x14ac:dyDescent="0.3">
      <c r="F1074" s="37"/>
    </row>
    <row r="1075" spans="6:6" x14ac:dyDescent="0.3">
      <c r="F1075" s="37"/>
    </row>
    <row r="1076" spans="6:6" x14ac:dyDescent="0.3">
      <c r="F1076" s="37"/>
    </row>
    <row r="1077" spans="6:6" x14ac:dyDescent="0.3">
      <c r="F1077" s="37"/>
    </row>
    <row r="1078" spans="6:6" x14ac:dyDescent="0.3">
      <c r="F1078" s="37"/>
    </row>
    <row r="1079" spans="6:6" x14ac:dyDescent="0.3">
      <c r="F1079" s="37"/>
    </row>
    <row r="1080" spans="6:6" x14ac:dyDescent="0.3">
      <c r="F1080" s="37"/>
    </row>
    <row r="1081" spans="6:6" x14ac:dyDescent="0.3">
      <c r="F1081" s="37"/>
    </row>
    <row r="1082" spans="6:6" x14ac:dyDescent="0.3">
      <c r="F1082" s="37"/>
    </row>
    <row r="1083" spans="6:6" x14ac:dyDescent="0.3">
      <c r="F1083" s="37"/>
    </row>
    <row r="1084" spans="6:6" x14ac:dyDescent="0.3">
      <c r="F1084" s="37"/>
    </row>
    <row r="1085" spans="6:6" x14ac:dyDescent="0.3">
      <c r="F1085" s="37"/>
    </row>
    <row r="1086" spans="6:6" x14ac:dyDescent="0.3">
      <c r="F1086" s="37"/>
    </row>
    <row r="1087" spans="6:6" x14ac:dyDescent="0.3">
      <c r="F1087" s="37"/>
    </row>
    <row r="1088" spans="6:6" x14ac:dyDescent="0.3">
      <c r="F1088" s="37"/>
    </row>
    <row r="1089" spans="6:6" x14ac:dyDescent="0.3">
      <c r="F1089" s="37"/>
    </row>
    <row r="1090" spans="6:6" x14ac:dyDescent="0.3">
      <c r="F1090" s="37"/>
    </row>
    <row r="1091" spans="6:6" x14ac:dyDescent="0.3">
      <c r="F1091" s="37"/>
    </row>
    <row r="1092" spans="6:6" x14ac:dyDescent="0.3">
      <c r="F1092" s="37"/>
    </row>
    <row r="1093" spans="6:6" x14ac:dyDescent="0.3">
      <c r="F1093" s="37"/>
    </row>
    <row r="1094" spans="6:6" x14ac:dyDescent="0.3">
      <c r="F1094" s="37"/>
    </row>
    <row r="1095" spans="6:6" x14ac:dyDescent="0.3">
      <c r="F1095" s="37"/>
    </row>
    <row r="1096" spans="6:6" x14ac:dyDescent="0.3">
      <c r="F1096" s="37"/>
    </row>
    <row r="1097" spans="6:6" x14ac:dyDescent="0.3">
      <c r="F1097" s="37"/>
    </row>
    <row r="1098" spans="6:6" x14ac:dyDescent="0.3">
      <c r="F1098" s="37"/>
    </row>
    <row r="1099" spans="6:6" x14ac:dyDescent="0.3">
      <c r="F1099" s="37"/>
    </row>
    <row r="1100" spans="6:6" x14ac:dyDescent="0.3">
      <c r="F1100" s="37"/>
    </row>
    <row r="1101" spans="6:6" x14ac:dyDescent="0.3">
      <c r="F1101" s="37"/>
    </row>
    <row r="1102" spans="6:6" x14ac:dyDescent="0.3">
      <c r="F1102" s="37"/>
    </row>
    <row r="1103" spans="6:6" x14ac:dyDescent="0.3">
      <c r="F1103" s="37"/>
    </row>
    <row r="1104" spans="6:6" x14ac:dyDescent="0.3">
      <c r="F1104" s="37"/>
    </row>
    <row r="1105" spans="6:6" x14ac:dyDescent="0.3">
      <c r="F1105" s="37"/>
    </row>
    <row r="1106" spans="6:6" x14ac:dyDescent="0.3">
      <c r="F1106" s="37"/>
    </row>
    <row r="1107" spans="6:6" x14ac:dyDescent="0.3">
      <c r="F1107" s="37"/>
    </row>
    <row r="1108" spans="6:6" x14ac:dyDescent="0.3">
      <c r="F1108" s="37"/>
    </row>
    <row r="1109" spans="6:6" x14ac:dyDescent="0.3">
      <c r="F1109" s="37"/>
    </row>
    <row r="1110" spans="6:6" x14ac:dyDescent="0.3">
      <c r="F1110" s="37"/>
    </row>
    <row r="1111" spans="6:6" x14ac:dyDescent="0.3">
      <c r="F1111" s="37"/>
    </row>
    <row r="1112" spans="6:6" x14ac:dyDescent="0.3">
      <c r="F1112" s="37"/>
    </row>
    <row r="1113" spans="6:6" x14ac:dyDescent="0.3">
      <c r="F1113" s="37"/>
    </row>
    <row r="1114" spans="6:6" x14ac:dyDescent="0.3">
      <c r="F1114" s="37"/>
    </row>
    <row r="1115" spans="6:6" x14ac:dyDescent="0.3">
      <c r="F1115" s="37"/>
    </row>
    <row r="1116" spans="6:6" x14ac:dyDescent="0.3">
      <c r="F1116" s="37"/>
    </row>
    <row r="1117" spans="6:6" x14ac:dyDescent="0.3">
      <c r="F1117" s="37"/>
    </row>
    <row r="1118" spans="6:6" x14ac:dyDescent="0.3">
      <c r="F1118" s="37"/>
    </row>
    <row r="1119" spans="6:6" x14ac:dyDescent="0.3">
      <c r="F1119" s="37"/>
    </row>
    <row r="1120" spans="6:6" x14ac:dyDescent="0.3">
      <c r="F1120" s="37"/>
    </row>
    <row r="1121" spans="6:6" x14ac:dyDescent="0.3">
      <c r="F1121" s="37"/>
    </row>
    <row r="1122" spans="6:6" x14ac:dyDescent="0.3">
      <c r="F1122" s="37"/>
    </row>
    <row r="1123" spans="6:6" x14ac:dyDescent="0.3">
      <c r="F1123" s="37"/>
    </row>
    <row r="1124" spans="6:6" x14ac:dyDescent="0.3">
      <c r="F1124" s="37"/>
    </row>
    <row r="1125" spans="6:6" x14ac:dyDescent="0.3">
      <c r="F1125" s="37"/>
    </row>
    <row r="1126" spans="6:6" x14ac:dyDescent="0.3">
      <c r="F1126" s="37"/>
    </row>
    <row r="1127" spans="6:6" x14ac:dyDescent="0.3">
      <c r="F1127" s="37"/>
    </row>
    <row r="1128" spans="6:6" x14ac:dyDescent="0.3">
      <c r="F1128" s="37"/>
    </row>
    <row r="1129" spans="6:6" x14ac:dyDescent="0.3">
      <c r="F1129" s="37"/>
    </row>
    <row r="1130" spans="6:6" x14ac:dyDescent="0.3">
      <c r="F1130" s="37"/>
    </row>
    <row r="1131" spans="6:6" x14ac:dyDescent="0.3">
      <c r="F1131" s="37"/>
    </row>
    <row r="1132" spans="6:6" x14ac:dyDescent="0.3">
      <c r="F1132" s="37"/>
    </row>
    <row r="1133" spans="6:6" x14ac:dyDescent="0.3">
      <c r="F1133" s="37"/>
    </row>
    <row r="1134" spans="6:6" x14ac:dyDescent="0.3">
      <c r="F1134" s="37"/>
    </row>
    <row r="1135" spans="6:6" x14ac:dyDescent="0.3">
      <c r="F1135" s="37"/>
    </row>
    <row r="1136" spans="6:6" x14ac:dyDescent="0.3">
      <c r="F1136" s="37"/>
    </row>
    <row r="1137" spans="6:6" x14ac:dyDescent="0.3">
      <c r="F1137" s="37"/>
    </row>
    <row r="1138" spans="6:6" x14ac:dyDescent="0.3">
      <c r="F1138" s="37"/>
    </row>
    <row r="1139" spans="6:6" x14ac:dyDescent="0.3">
      <c r="F1139" s="37"/>
    </row>
    <row r="1140" spans="6:6" x14ac:dyDescent="0.3">
      <c r="F1140" s="37"/>
    </row>
    <row r="1141" spans="6:6" x14ac:dyDescent="0.3">
      <c r="F1141" s="37"/>
    </row>
    <row r="1142" spans="6:6" x14ac:dyDescent="0.3">
      <c r="F1142" s="37"/>
    </row>
    <row r="1143" spans="6:6" x14ac:dyDescent="0.3">
      <c r="F1143" s="37"/>
    </row>
    <row r="1144" spans="6:6" x14ac:dyDescent="0.3">
      <c r="F1144" s="37"/>
    </row>
    <row r="1145" spans="6:6" x14ac:dyDescent="0.3">
      <c r="F1145" s="37"/>
    </row>
    <row r="1146" spans="6:6" x14ac:dyDescent="0.3">
      <c r="F1146" s="37"/>
    </row>
    <row r="1147" spans="6:6" x14ac:dyDescent="0.3">
      <c r="F1147" s="37"/>
    </row>
    <row r="1148" spans="6:6" x14ac:dyDescent="0.3">
      <c r="F1148" s="37"/>
    </row>
    <row r="1149" spans="6:6" x14ac:dyDescent="0.3">
      <c r="F1149" s="37"/>
    </row>
    <row r="1150" spans="6:6" x14ac:dyDescent="0.3">
      <c r="F1150" s="37"/>
    </row>
    <row r="1151" spans="6:6" x14ac:dyDescent="0.3">
      <c r="F1151" s="37"/>
    </row>
    <row r="1152" spans="6:6" x14ac:dyDescent="0.3">
      <c r="F1152" s="37"/>
    </row>
    <row r="1153" spans="6:6" x14ac:dyDescent="0.3">
      <c r="F1153" s="37"/>
    </row>
    <row r="1154" spans="6:6" x14ac:dyDescent="0.3">
      <c r="F1154" s="37"/>
    </row>
    <row r="1155" spans="6:6" x14ac:dyDescent="0.3">
      <c r="F1155" s="37"/>
    </row>
    <row r="1156" spans="6:6" x14ac:dyDescent="0.3">
      <c r="F1156" s="37"/>
    </row>
    <row r="1157" spans="6:6" x14ac:dyDescent="0.3">
      <c r="F1157" s="37"/>
    </row>
    <row r="1158" spans="6:6" x14ac:dyDescent="0.3">
      <c r="F1158" s="37"/>
    </row>
    <row r="1159" spans="6:6" x14ac:dyDescent="0.3">
      <c r="F1159" s="37"/>
    </row>
    <row r="1160" spans="6:6" x14ac:dyDescent="0.3">
      <c r="F1160" s="37"/>
    </row>
    <row r="1161" spans="6:6" x14ac:dyDescent="0.3">
      <c r="F1161" s="37"/>
    </row>
    <row r="1162" spans="6:6" x14ac:dyDescent="0.3">
      <c r="F1162" s="37"/>
    </row>
    <row r="1163" spans="6:6" x14ac:dyDescent="0.3">
      <c r="F1163" s="37"/>
    </row>
    <row r="1164" spans="6:6" x14ac:dyDescent="0.3">
      <c r="F1164" s="37"/>
    </row>
    <row r="1165" spans="6:6" x14ac:dyDescent="0.3">
      <c r="F1165" s="37"/>
    </row>
    <row r="1166" spans="6:6" x14ac:dyDescent="0.3">
      <c r="F1166" s="37"/>
    </row>
    <row r="1167" spans="6:6" x14ac:dyDescent="0.3">
      <c r="F1167" s="37"/>
    </row>
    <row r="1168" spans="6:6" x14ac:dyDescent="0.3">
      <c r="F1168" s="37"/>
    </row>
    <row r="1169" spans="6:6" x14ac:dyDescent="0.3">
      <c r="F1169" s="37"/>
    </row>
    <row r="1170" spans="6:6" x14ac:dyDescent="0.3">
      <c r="F1170" s="37"/>
    </row>
    <row r="1171" spans="6:6" x14ac:dyDescent="0.3">
      <c r="F1171" s="37"/>
    </row>
    <row r="1172" spans="6:6" x14ac:dyDescent="0.3">
      <c r="F1172" s="37"/>
    </row>
    <row r="1173" spans="6:6" x14ac:dyDescent="0.3">
      <c r="F1173" s="37"/>
    </row>
    <row r="1174" spans="6:6" x14ac:dyDescent="0.3">
      <c r="F1174" s="37"/>
    </row>
    <row r="1175" spans="6:6" x14ac:dyDescent="0.3">
      <c r="F1175" s="37"/>
    </row>
    <row r="1176" spans="6:6" x14ac:dyDescent="0.3">
      <c r="F1176" s="37"/>
    </row>
    <row r="1177" spans="6:6" x14ac:dyDescent="0.3">
      <c r="F1177" s="37"/>
    </row>
    <row r="1178" spans="6:6" x14ac:dyDescent="0.3">
      <c r="F1178" s="37"/>
    </row>
    <row r="1179" spans="6:6" x14ac:dyDescent="0.3">
      <c r="F1179" s="37"/>
    </row>
    <row r="1180" spans="6:6" x14ac:dyDescent="0.3">
      <c r="F1180" s="37"/>
    </row>
    <row r="1181" spans="6:6" x14ac:dyDescent="0.3">
      <c r="F1181" s="37"/>
    </row>
    <row r="1182" spans="6:6" x14ac:dyDescent="0.3">
      <c r="F1182" s="37"/>
    </row>
    <row r="1183" spans="6:6" x14ac:dyDescent="0.3">
      <c r="F1183" s="37"/>
    </row>
    <row r="1184" spans="6:6" x14ac:dyDescent="0.3">
      <c r="F1184" s="37"/>
    </row>
    <row r="1185" spans="6:6" x14ac:dyDescent="0.3">
      <c r="F1185" s="37"/>
    </row>
    <row r="1186" spans="6:6" x14ac:dyDescent="0.3">
      <c r="F1186" s="37"/>
    </row>
    <row r="1187" spans="6:6" x14ac:dyDescent="0.3">
      <c r="F1187" s="37"/>
    </row>
    <row r="1188" spans="6:6" x14ac:dyDescent="0.3">
      <c r="F1188" s="37"/>
    </row>
    <row r="1189" spans="6:6" x14ac:dyDescent="0.3">
      <c r="F1189" s="37"/>
    </row>
    <row r="1190" spans="6:6" x14ac:dyDescent="0.3">
      <c r="F1190" s="37"/>
    </row>
    <row r="1191" spans="6:6" x14ac:dyDescent="0.3">
      <c r="F1191" s="37"/>
    </row>
    <row r="1192" spans="6:6" x14ac:dyDescent="0.3">
      <c r="F1192" s="37"/>
    </row>
    <row r="1193" spans="6:6" x14ac:dyDescent="0.3">
      <c r="F1193" s="37"/>
    </row>
    <row r="1194" spans="6:6" x14ac:dyDescent="0.3">
      <c r="F1194" s="37"/>
    </row>
    <row r="1195" spans="6:6" x14ac:dyDescent="0.3">
      <c r="F1195" s="37"/>
    </row>
    <row r="1196" spans="6:6" x14ac:dyDescent="0.3">
      <c r="F1196" s="37"/>
    </row>
    <row r="1197" spans="6:6" x14ac:dyDescent="0.3">
      <c r="F1197" s="37"/>
    </row>
    <row r="1198" spans="6:6" x14ac:dyDescent="0.3">
      <c r="F1198" s="37"/>
    </row>
    <row r="1199" spans="6:6" x14ac:dyDescent="0.3">
      <c r="F1199" s="37"/>
    </row>
    <row r="1200" spans="6:6" x14ac:dyDescent="0.3">
      <c r="F1200" s="37"/>
    </row>
    <row r="1201" spans="6:6" x14ac:dyDescent="0.3">
      <c r="F1201" s="37"/>
    </row>
    <row r="1202" spans="6:6" x14ac:dyDescent="0.3">
      <c r="F1202" s="37"/>
    </row>
    <row r="1203" spans="6:6" x14ac:dyDescent="0.3">
      <c r="F1203" s="37"/>
    </row>
    <row r="1204" spans="6:6" x14ac:dyDescent="0.3">
      <c r="F1204" s="37"/>
    </row>
    <row r="1205" spans="6:6" x14ac:dyDescent="0.3">
      <c r="F1205" s="37"/>
    </row>
    <row r="1206" spans="6:6" x14ac:dyDescent="0.3">
      <c r="F1206" s="37"/>
    </row>
    <row r="1207" spans="6:6" x14ac:dyDescent="0.3">
      <c r="F1207" s="37"/>
    </row>
    <row r="1208" spans="6:6" x14ac:dyDescent="0.3">
      <c r="F1208" s="37"/>
    </row>
    <row r="1209" spans="6:6" x14ac:dyDescent="0.3">
      <c r="F1209" s="37"/>
    </row>
    <row r="1210" spans="6:6" x14ac:dyDescent="0.3">
      <c r="F1210" s="37"/>
    </row>
    <row r="1211" spans="6:6" x14ac:dyDescent="0.3">
      <c r="F1211" s="37"/>
    </row>
    <row r="1212" spans="6:6" x14ac:dyDescent="0.3">
      <c r="F1212" s="37"/>
    </row>
    <row r="1213" spans="6:6" x14ac:dyDescent="0.3">
      <c r="F1213" s="37"/>
    </row>
    <row r="1214" spans="6:6" x14ac:dyDescent="0.3">
      <c r="F1214" s="37"/>
    </row>
    <row r="1215" spans="6:6" x14ac:dyDescent="0.3">
      <c r="F1215" s="37"/>
    </row>
    <row r="1216" spans="6:6" x14ac:dyDescent="0.3">
      <c r="F1216" s="37"/>
    </row>
    <row r="1217" spans="6:6" x14ac:dyDescent="0.3">
      <c r="F1217" s="37"/>
    </row>
    <row r="1218" spans="6:6" x14ac:dyDescent="0.3">
      <c r="F1218" s="37"/>
    </row>
    <row r="1219" spans="6:6" x14ac:dyDescent="0.3">
      <c r="F1219" s="37"/>
    </row>
    <row r="1220" spans="6:6" x14ac:dyDescent="0.3">
      <c r="F1220" s="37"/>
    </row>
    <row r="1221" spans="6:6" x14ac:dyDescent="0.3">
      <c r="F1221" s="37"/>
    </row>
    <row r="1222" spans="6:6" x14ac:dyDescent="0.3">
      <c r="F1222" s="37"/>
    </row>
    <row r="1223" spans="6:6" x14ac:dyDescent="0.3">
      <c r="F1223" s="37"/>
    </row>
    <row r="1224" spans="6:6" x14ac:dyDescent="0.3">
      <c r="F1224" s="37"/>
    </row>
    <row r="1225" spans="6:6" x14ac:dyDescent="0.3">
      <c r="F1225" s="37"/>
    </row>
    <row r="1226" spans="6:6" x14ac:dyDescent="0.3">
      <c r="F1226" s="37"/>
    </row>
    <row r="1227" spans="6:6" x14ac:dyDescent="0.3">
      <c r="F1227" s="37"/>
    </row>
    <row r="1228" spans="6:6" x14ac:dyDescent="0.3">
      <c r="F1228" s="37"/>
    </row>
    <row r="1229" spans="6:6" x14ac:dyDescent="0.3">
      <c r="F1229" s="37"/>
    </row>
    <row r="1230" spans="6:6" x14ac:dyDescent="0.3">
      <c r="F1230" s="37"/>
    </row>
    <row r="1231" spans="6:6" x14ac:dyDescent="0.3">
      <c r="F1231" s="37"/>
    </row>
    <row r="1232" spans="6:6" x14ac:dyDescent="0.3">
      <c r="F1232" s="37"/>
    </row>
    <row r="1233" spans="6:6" x14ac:dyDescent="0.3">
      <c r="F1233" s="37"/>
    </row>
    <row r="1234" spans="6:6" x14ac:dyDescent="0.3">
      <c r="F1234" s="37"/>
    </row>
    <row r="1235" spans="6:6" x14ac:dyDescent="0.3">
      <c r="F1235" s="37"/>
    </row>
    <row r="1236" spans="6:6" x14ac:dyDescent="0.3">
      <c r="F1236" s="37"/>
    </row>
    <row r="1237" spans="6:6" x14ac:dyDescent="0.3">
      <c r="F1237" s="37"/>
    </row>
    <row r="1238" spans="6:6" x14ac:dyDescent="0.3">
      <c r="F1238" s="37"/>
    </row>
    <row r="1239" spans="6:6" x14ac:dyDescent="0.3">
      <c r="F1239" s="37"/>
    </row>
    <row r="1240" spans="6:6" x14ac:dyDescent="0.3">
      <c r="F1240" s="37"/>
    </row>
    <row r="1241" spans="6:6" x14ac:dyDescent="0.3">
      <c r="F1241" s="37"/>
    </row>
    <row r="1242" spans="6:6" x14ac:dyDescent="0.3">
      <c r="F1242" s="37"/>
    </row>
    <row r="1243" spans="6:6" x14ac:dyDescent="0.3">
      <c r="F1243" s="37"/>
    </row>
    <row r="1244" spans="6:6" x14ac:dyDescent="0.3">
      <c r="F1244" s="37"/>
    </row>
    <row r="1245" spans="6:6" x14ac:dyDescent="0.3">
      <c r="F1245" s="37"/>
    </row>
    <row r="1246" spans="6:6" x14ac:dyDescent="0.3">
      <c r="F1246" s="37"/>
    </row>
    <row r="1247" spans="6:6" x14ac:dyDescent="0.3">
      <c r="F1247" s="37"/>
    </row>
    <row r="1248" spans="6:6" x14ac:dyDescent="0.3">
      <c r="F1248" s="37"/>
    </row>
    <row r="1249" spans="6:6" x14ac:dyDescent="0.3">
      <c r="F1249" s="37"/>
    </row>
    <row r="1250" spans="6:6" x14ac:dyDescent="0.3">
      <c r="F1250" s="37"/>
    </row>
    <row r="1251" spans="6:6" x14ac:dyDescent="0.3">
      <c r="F1251" s="37"/>
    </row>
    <row r="1252" spans="6:6" x14ac:dyDescent="0.3">
      <c r="F1252" s="37"/>
    </row>
    <row r="1253" spans="6:6" x14ac:dyDescent="0.3">
      <c r="F1253" s="37"/>
    </row>
    <row r="1254" spans="6:6" x14ac:dyDescent="0.3">
      <c r="F1254" s="37"/>
    </row>
    <row r="1255" spans="6:6" x14ac:dyDescent="0.3">
      <c r="F1255" s="37"/>
    </row>
    <row r="1256" spans="6:6" x14ac:dyDescent="0.3">
      <c r="F1256" s="37"/>
    </row>
    <row r="1257" spans="6:6" x14ac:dyDescent="0.3">
      <c r="F1257" s="37"/>
    </row>
    <row r="1258" spans="6:6" x14ac:dyDescent="0.3">
      <c r="F1258" s="37"/>
    </row>
    <row r="1259" spans="6:6" x14ac:dyDescent="0.3">
      <c r="F1259" s="37"/>
    </row>
    <row r="1260" spans="6:6" x14ac:dyDescent="0.3">
      <c r="F1260" s="37"/>
    </row>
    <row r="1261" spans="6:6" x14ac:dyDescent="0.3">
      <c r="F1261" s="37"/>
    </row>
    <row r="1262" spans="6:6" x14ac:dyDescent="0.3">
      <c r="F1262" s="37"/>
    </row>
    <row r="1263" spans="6:6" x14ac:dyDescent="0.3">
      <c r="F1263" s="37"/>
    </row>
    <row r="1264" spans="6:6" x14ac:dyDescent="0.3">
      <c r="F1264" s="37"/>
    </row>
    <row r="1265" spans="6:6" x14ac:dyDescent="0.3">
      <c r="F1265" s="37"/>
    </row>
    <row r="1266" spans="6:6" x14ac:dyDescent="0.3">
      <c r="F1266" s="37"/>
    </row>
    <row r="1267" spans="6:6" x14ac:dyDescent="0.3">
      <c r="F1267" s="37"/>
    </row>
    <row r="1268" spans="6:6" x14ac:dyDescent="0.3">
      <c r="F1268" s="37"/>
    </row>
    <row r="1269" spans="6:6" x14ac:dyDescent="0.3">
      <c r="F1269" s="37"/>
    </row>
    <row r="1270" spans="6:6" x14ac:dyDescent="0.3">
      <c r="F1270" s="37"/>
    </row>
    <row r="1271" spans="6:6" x14ac:dyDescent="0.3">
      <c r="F1271" s="37"/>
    </row>
    <row r="1272" spans="6:6" x14ac:dyDescent="0.3">
      <c r="F1272" s="37"/>
    </row>
    <row r="1273" spans="6:6" x14ac:dyDescent="0.3">
      <c r="F1273" s="37"/>
    </row>
    <row r="1274" spans="6:6" x14ac:dyDescent="0.3">
      <c r="F1274" s="37"/>
    </row>
    <row r="1275" spans="6:6" x14ac:dyDescent="0.3">
      <c r="F1275" s="37"/>
    </row>
    <row r="1276" spans="6:6" x14ac:dyDescent="0.3">
      <c r="F1276" s="37"/>
    </row>
    <row r="1277" spans="6:6" x14ac:dyDescent="0.3">
      <c r="F1277" s="37"/>
    </row>
    <row r="1278" spans="6:6" x14ac:dyDescent="0.3">
      <c r="F1278" s="37"/>
    </row>
    <row r="1279" spans="6:6" x14ac:dyDescent="0.3">
      <c r="F1279" s="37"/>
    </row>
    <row r="1280" spans="6:6" x14ac:dyDescent="0.3">
      <c r="F1280" s="37"/>
    </row>
    <row r="1281" spans="6:6" x14ac:dyDescent="0.3">
      <c r="F1281" s="37"/>
    </row>
    <row r="1282" spans="6:6" x14ac:dyDescent="0.3">
      <c r="F1282" s="37"/>
    </row>
    <row r="1283" spans="6:6" x14ac:dyDescent="0.3">
      <c r="F1283" s="37"/>
    </row>
    <row r="1284" spans="6:6" x14ac:dyDescent="0.3">
      <c r="F1284" s="37"/>
    </row>
    <row r="1285" spans="6:6" x14ac:dyDescent="0.3">
      <c r="F1285" s="37"/>
    </row>
    <row r="1286" spans="6:6" x14ac:dyDescent="0.3">
      <c r="F1286" s="37"/>
    </row>
    <row r="1287" spans="6:6" x14ac:dyDescent="0.3">
      <c r="F1287" s="37"/>
    </row>
    <row r="1288" spans="6:6" x14ac:dyDescent="0.3">
      <c r="F1288" s="37"/>
    </row>
    <row r="1289" spans="6:6" x14ac:dyDescent="0.3">
      <c r="F1289" s="37"/>
    </row>
    <row r="1290" spans="6:6" x14ac:dyDescent="0.3">
      <c r="F1290" s="37"/>
    </row>
    <row r="1291" spans="6:6" x14ac:dyDescent="0.3">
      <c r="F1291" s="37"/>
    </row>
    <row r="1292" spans="6:6" x14ac:dyDescent="0.3">
      <c r="F1292" s="37"/>
    </row>
    <row r="1293" spans="6:6" x14ac:dyDescent="0.3">
      <c r="F1293" s="37"/>
    </row>
    <row r="1294" spans="6:6" x14ac:dyDescent="0.3">
      <c r="F1294" s="37"/>
    </row>
    <row r="1295" spans="6:6" x14ac:dyDescent="0.3">
      <c r="F1295" s="37"/>
    </row>
    <row r="1296" spans="6:6" x14ac:dyDescent="0.3">
      <c r="F1296" s="37"/>
    </row>
    <row r="1297" spans="6:6" x14ac:dyDescent="0.3">
      <c r="F1297" s="37"/>
    </row>
    <row r="1298" spans="6:6" x14ac:dyDescent="0.3">
      <c r="F1298" s="37"/>
    </row>
    <row r="1299" spans="6:6" x14ac:dyDescent="0.3">
      <c r="F1299" s="37"/>
    </row>
    <row r="1300" spans="6:6" x14ac:dyDescent="0.3">
      <c r="F1300" s="37"/>
    </row>
    <row r="1301" spans="6:6" x14ac:dyDescent="0.3">
      <c r="F1301" s="37"/>
    </row>
    <row r="1302" spans="6:6" x14ac:dyDescent="0.3">
      <c r="F1302" s="37"/>
    </row>
    <row r="1303" spans="6:6" x14ac:dyDescent="0.3">
      <c r="F1303" s="37"/>
    </row>
    <row r="1304" spans="6:6" x14ac:dyDescent="0.3">
      <c r="F1304" s="37"/>
    </row>
    <row r="1305" spans="6:6" x14ac:dyDescent="0.3">
      <c r="F1305" s="37"/>
    </row>
    <row r="1306" spans="6:6" x14ac:dyDescent="0.3">
      <c r="F1306" s="37"/>
    </row>
    <row r="1307" spans="6:6" x14ac:dyDescent="0.3">
      <c r="F1307" s="37"/>
    </row>
    <row r="1308" spans="6:6" x14ac:dyDescent="0.3">
      <c r="F1308" s="37"/>
    </row>
    <row r="1309" spans="6:6" x14ac:dyDescent="0.3">
      <c r="F1309" s="37"/>
    </row>
    <row r="1310" spans="6:6" x14ac:dyDescent="0.3">
      <c r="F1310" s="37"/>
    </row>
    <row r="1311" spans="6:6" x14ac:dyDescent="0.3">
      <c r="F1311" s="37"/>
    </row>
    <row r="1312" spans="6:6" x14ac:dyDescent="0.3">
      <c r="F1312" s="37"/>
    </row>
    <row r="1313" spans="6:6" x14ac:dyDescent="0.3">
      <c r="F1313" s="37"/>
    </row>
    <row r="1314" spans="6:6" x14ac:dyDescent="0.3">
      <c r="F1314" s="37"/>
    </row>
    <row r="1315" spans="6:6" x14ac:dyDescent="0.3">
      <c r="F1315" s="37"/>
    </row>
    <row r="1316" spans="6:6" x14ac:dyDescent="0.3">
      <c r="F1316" s="37"/>
    </row>
    <row r="1317" spans="6:6" x14ac:dyDescent="0.3">
      <c r="F1317" s="37"/>
    </row>
    <row r="1318" spans="6:6" x14ac:dyDescent="0.3">
      <c r="F1318" s="37"/>
    </row>
    <row r="1319" spans="6:6" x14ac:dyDescent="0.3">
      <c r="F1319" s="37"/>
    </row>
    <row r="1320" spans="6:6" x14ac:dyDescent="0.3">
      <c r="F1320" s="37"/>
    </row>
    <row r="1321" spans="6:6" x14ac:dyDescent="0.3">
      <c r="F1321" s="37"/>
    </row>
    <row r="1322" spans="6:6" x14ac:dyDescent="0.3">
      <c r="F1322" s="37"/>
    </row>
    <row r="1323" spans="6:6" x14ac:dyDescent="0.3">
      <c r="F1323" s="37"/>
    </row>
    <row r="1324" spans="6:6" x14ac:dyDescent="0.3">
      <c r="F1324" s="37"/>
    </row>
    <row r="1325" spans="6:6" x14ac:dyDescent="0.3">
      <c r="F1325" s="37"/>
    </row>
    <row r="1326" spans="6:6" x14ac:dyDescent="0.3">
      <c r="F1326" s="37"/>
    </row>
    <row r="1327" spans="6:6" x14ac:dyDescent="0.3">
      <c r="F1327" s="37"/>
    </row>
    <row r="1328" spans="6:6" x14ac:dyDescent="0.3">
      <c r="F1328" s="37"/>
    </row>
    <row r="1329" spans="6:6" x14ac:dyDescent="0.3">
      <c r="F1329" s="37"/>
    </row>
    <row r="1330" spans="6:6" x14ac:dyDescent="0.3">
      <c r="F1330" s="37"/>
    </row>
    <row r="1331" spans="6:6" x14ac:dyDescent="0.3">
      <c r="F1331" s="37"/>
    </row>
    <row r="1332" spans="6:6" x14ac:dyDescent="0.3">
      <c r="F1332" s="37"/>
    </row>
    <row r="1333" spans="6:6" x14ac:dyDescent="0.3">
      <c r="F1333" s="37"/>
    </row>
    <row r="1334" spans="6:6" x14ac:dyDescent="0.3">
      <c r="F1334" s="37"/>
    </row>
    <row r="1335" spans="6:6" x14ac:dyDescent="0.3">
      <c r="F1335" s="37"/>
    </row>
    <row r="1336" spans="6:6" x14ac:dyDescent="0.3">
      <c r="F1336" s="37"/>
    </row>
    <row r="1337" spans="6:6" x14ac:dyDescent="0.3">
      <c r="F1337" s="37"/>
    </row>
    <row r="1338" spans="6:6" x14ac:dyDescent="0.3">
      <c r="F1338" s="37"/>
    </row>
    <row r="1339" spans="6:6" x14ac:dyDescent="0.3">
      <c r="F1339" s="37"/>
    </row>
    <row r="1340" spans="6:6" x14ac:dyDescent="0.3">
      <c r="F1340" s="37"/>
    </row>
    <row r="1341" spans="6:6" x14ac:dyDescent="0.3">
      <c r="F1341" s="37"/>
    </row>
    <row r="1342" spans="6:6" x14ac:dyDescent="0.3">
      <c r="F1342" s="37"/>
    </row>
    <row r="1343" spans="6:6" x14ac:dyDescent="0.3">
      <c r="F1343" s="37"/>
    </row>
    <row r="1344" spans="6:6" x14ac:dyDescent="0.3">
      <c r="F1344" s="37"/>
    </row>
    <row r="1345" spans="6:6" x14ac:dyDescent="0.3">
      <c r="F1345" s="37"/>
    </row>
    <row r="1346" spans="6:6" x14ac:dyDescent="0.3">
      <c r="F1346" s="37"/>
    </row>
    <row r="1347" spans="6:6" x14ac:dyDescent="0.3">
      <c r="F1347" s="37"/>
    </row>
    <row r="1348" spans="6:6" x14ac:dyDescent="0.3">
      <c r="F1348" s="37"/>
    </row>
    <row r="1349" spans="6:6" x14ac:dyDescent="0.3">
      <c r="F1349" s="37"/>
    </row>
    <row r="1350" spans="6:6" x14ac:dyDescent="0.3">
      <c r="F1350" s="37"/>
    </row>
    <row r="1351" spans="6:6" x14ac:dyDescent="0.3">
      <c r="F1351" s="37"/>
    </row>
    <row r="1352" spans="6:6" x14ac:dyDescent="0.3">
      <c r="F1352" s="37"/>
    </row>
    <row r="1353" spans="6:6" x14ac:dyDescent="0.3">
      <c r="F1353" s="37"/>
    </row>
    <row r="1354" spans="6:6" x14ac:dyDescent="0.3">
      <c r="F1354" s="37"/>
    </row>
    <row r="1355" spans="6:6" x14ac:dyDescent="0.3">
      <c r="F1355" s="37"/>
    </row>
    <row r="1356" spans="6:6" x14ac:dyDescent="0.3">
      <c r="F1356" s="37"/>
    </row>
    <row r="1357" spans="6:6" x14ac:dyDescent="0.3">
      <c r="F1357" s="37"/>
    </row>
    <row r="1358" spans="6:6" x14ac:dyDescent="0.3">
      <c r="F1358" s="37"/>
    </row>
    <row r="1359" spans="6:6" x14ac:dyDescent="0.3">
      <c r="F1359" s="37"/>
    </row>
    <row r="1360" spans="6:6" x14ac:dyDescent="0.3">
      <c r="F1360" s="37"/>
    </row>
    <row r="1361" spans="6:6" x14ac:dyDescent="0.3">
      <c r="F1361" s="37"/>
    </row>
    <row r="1362" spans="6:6" x14ac:dyDescent="0.3">
      <c r="F1362" s="37"/>
    </row>
    <row r="1363" spans="6:6" x14ac:dyDescent="0.3">
      <c r="F1363" s="37"/>
    </row>
    <row r="1364" spans="6:6" x14ac:dyDescent="0.3">
      <c r="F1364" s="37"/>
    </row>
    <row r="1365" spans="6:6" x14ac:dyDescent="0.3">
      <c r="F1365" s="37"/>
    </row>
    <row r="1366" spans="6:6" x14ac:dyDescent="0.3">
      <c r="F1366" s="37"/>
    </row>
    <row r="1367" spans="6:6" x14ac:dyDescent="0.3">
      <c r="F1367" s="37"/>
    </row>
    <row r="1368" spans="6:6" x14ac:dyDescent="0.3">
      <c r="F1368" s="37"/>
    </row>
    <row r="1369" spans="6:6" x14ac:dyDescent="0.3">
      <c r="F1369" s="37"/>
    </row>
    <row r="1370" spans="6:6" x14ac:dyDescent="0.3">
      <c r="F1370" s="37"/>
    </row>
    <row r="1371" spans="6:6" x14ac:dyDescent="0.3">
      <c r="F1371" s="37"/>
    </row>
    <row r="1372" spans="6:6" x14ac:dyDescent="0.3">
      <c r="F1372" s="37"/>
    </row>
    <row r="1373" spans="6:6" x14ac:dyDescent="0.3">
      <c r="F1373" s="37"/>
    </row>
    <row r="1374" spans="6:6" x14ac:dyDescent="0.3">
      <c r="F1374" s="37"/>
    </row>
    <row r="1375" spans="6:6" x14ac:dyDescent="0.3">
      <c r="F1375" s="37"/>
    </row>
    <row r="1376" spans="6:6" x14ac:dyDescent="0.3">
      <c r="F1376" s="37"/>
    </row>
    <row r="1377" spans="6:6" x14ac:dyDescent="0.3">
      <c r="F1377" s="37"/>
    </row>
    <row r="1378" spans="6:6" x14ac:dyDescent="0.3">
      <c r="F1378" s="37"/>
    </row>
    <row r="1379" spans="6:6" x14ac:dyDescent="0.3">
      <c r="F1379" s="37"/>
    </row>
    <row r="1380" spans="6:6" x14ac:dyDescent="0.3">
      <c r="F1380" s="37"/>
    </row>
    <row r="1381" spans="6:6" x14ac:dyDescent="0.3">
      <c r="F1381" s="37"/>
    </row>
    <row r="1382" spans="6:6" x14ac:dyDescent="0.3">
      <c r="F1382" s="37"/>
    </row>
    <row r="1383" spans="6:6" x14ac:dyDescent="0.3">
      <c r="F1383" s="37"/>
    </row>
    <row r="1384" spans="6:6" x14ac:dyDescent="0.3">
      <c r="F1384" s="37"/>
    </row>
    <row r="1385" spans="6:6" x14ac:dyDescent="0.3">
      <c r="F1385" s="37"/>
    </row>
    <row r="1386" spans="6:6" x14ac:dyDescent="0.3">
      <c r="F1386" s="37"/>
    </row>
    <row r="1387" spans="6:6" x14ac:dyDescent="0.3">
      <c r="F1387" s="37"/>
    </row>
    <row r="1388" spans="6:6" x14ac:dyDescent="0.3">
      <c r="F1388" s="37"/>
    </row>
    <row r="1389" spans="6:6" x14ac:dyDescent="0.3">
      <c r="F1389" s="37"/>
    </row>
    <row r="1390" spans="6:6" x14ac:dyDescent="0.3">
      <c r="F1390" s="37"/>
    </row>
    <row r="1391" spans="6:6" x14ac:dyDescent="0.3">
      <c r="F1391" s="37"/>
    </row>
    <row r="1392" spans="6:6" x14ac:dyDescent="0.3">
      <c r="F1392" s="37"/>
    </row>
    <row r="1393" spans="6:6" x14ac:dyDescent="0.3">
      <c r="F1393" s="37"/>
    </row>
    <row r="1394" spans="6:6" x14ac:dyDescent="0.3">
      <c r="F1394" s="37"/>
    </row>
    <row r="1395" spans="6:6" x14ac:dyDescent="0.3">
      <c r="F1395" s="37"/>
    </row>
    <row r="1396" spans="6:6" x14ac:dyDescent="0.3">
      <c r="F1396" s="37"/>
    </row>
    <row r="1397" spans="6:6" x14ac:dyDescent="0.3">
      <c r="F1397" s="37"/>
    </row>
    <row r="1398" spans="6:6" x14ac:dyDescent="0.3">
      <c r="F1398" s="37"/>
    </row>
    <row r="1399" spans="6:6" x14ac:dyDescent="0.3">
      <c r="F1399" s="37"/>
    </row>
    <row r="1400" spans="6:6" x14ac:dyDescent="0.3">
      <c r="F1400" s="37"/>
    </row>
    <row r="1401" spans="6:6" x14ac:dyDescent="0.3">
      <c r="F1401" s="37"/>
    </row>
    <row r="1402" spans="6:6" x14ac:dyDescent="0.3">
      <c r="F1402" s="37"/>
    </row>
    <row r="1403" spans="6:6" x14ac:dyDescent="0.3">
      <c r="F1403" s="37"/>
    </row>
    <row r="1404" spans="6:6" x14ac:dyDescent="0.3">
      <c r="F1404" s="37"/>
    </row>
    <row r="1405" spans="6:6" x14ac:dyDescent="0.3">
      <c r="F1405" s="37"/>
    </row>
    <row r="1406" spans="6:6" x14ac:dyDescent="0.3">
      <c r="F1406" s="37"/>
    </row>
    <row r="1407" spans="6:6" x14ac:dyDescent="0.3">
      <c r="F1407" s="37"/>
    </row>
    <row r="1408" spans="6:6" x14ac:dyDescent="0.3">
      <c r="F1408" s="37"/>
    </row>
    <row r="1409" spans="6:6" x14ac:dyDescent="0.3">
      <c r="F1409" s="37"/>
    </row>
    <row r="1410" spans="6:6" x14ac:dyDescent="0.3">
      <c r="F1410" s="37"/>
    </row>
    <row r="1411" spans="6:6" x14ac:dyDescent="0.3">
      <c r="F1411" s="37"/>
    </row>
    <row r="1412" spans="6:6" x14ac:dyDescent="0.3">
      <c r="F1412" s="37"/>
    </row>
    <row r="1413" spans="6:6" x14ac:dyDescent="0.3">
      <c r="F1413" s="37"/>
    </row>
    <row r="1414" spans="6:6" x14ac:dyDescent="0.3">
      <c r="F1414" s="37"/>
    </row>
    <row r="1415" spans="6:6" x14ac:dyDescent="0.3">
      <c r="F1415" s="37"/>
    </row>
    <row r="1416" spans="6:6" x14ac:dyDescent="0.3">
      <c r="F1416" s="37"/>
    </row>
    <row r="1417" spans="6:6" x14ac:dyDescent="0.3">
      <c r="F1417" s="37"/>
    </row>
    <row r="1418" spans="6:6" x14ac:dyDescent="0.3">
      <c r="F1418" s="37"/>
    </row>
    <row r="1419" spans="6:6" x14ac:dyDescent="0.3">
      <c r="F1419" s="37"/>
    </row>
    <row r="1420" spans="6:6" x14ac:dyDescent="0.3">
      <c r="F1420" s="37"/>
    </row>
    <row r="1421" spans="6:6" x14ac:dyDescent="0.3">
      <c r="F1421" s="37"/>
    </row>
    <row r="1422" spans="6:6" x14ac:dyDescent="0.3">
      <c r="F1422" s="37"/>
    </row>
    <row r="1423" spans="6:6" x14ac:dyDescent="0.3">
      <c r="F1423" s="37"/>
    </row>
    <row r="1424" spans="6:6" x14ac:dyDescent="0.3">
      <c r="F1424" s="37"/>
    </row>
    <row r="1425" spans="6:6" x14ac:dyDescent="0.3">
      <c r="F1425" s="37"/>
    </row>
    <row r="1426" spans="6:6" x14ac:dyDescent="0.3">
      <c r="F1426" s="37"/>
    </row>
    <row r="1427" spans="6:6" x14ac:dyDescent="0.3">
      <c r="F1427" s="37"/>
    </row>
    <row r="1428" spans="6:6" x14ac:dyDescent="0.3">
      <c r="F1428" s="37"/>
    </row>
    <row r="1429" spans="6:6" x14ac:dyDescent="0.3">
      <c r="F1429" s="37"/>
    </row>
    <row r="1430" spans="6:6" x14ac:dyDescent="0.3">
      <c r="F1430" s="37"/>
    </row>
    <row r="1431" spans="6:6" x14ac:dyDescent="0.3">
      <c r="F1431" s="37"/>
    </row>
    <row r="1432" spans="6:6" x14ac:dyDescent="0.3">
      <c r="F1432" s="37"/>
    </row>
    <row r="1433" spans="6:6" x14ac:dyDescent="0.3">
      <c r="F1433" s="37"/>
    </row>
    <row r="1434" spans="6:6" x14ac:dyDescent="0.3">
      <c r="F1434" s="37"/>
    </row>
    <row r="1435" spans="6:6" x14ac:dyDescent="0.3">
      <c r="F1435" s="37"/>
    </row>
    <row r="1436" spans="6:6" x14ac:dyDescent="0.3">
      <c r="F1436" s="37"/>
    </row>
    <row r="1437" spans="6:6" x14ac:dyDescent="0.3">
      <c r="F1437" s="37"/>
    </row>
    <row r="1438" spans="6:6" x14ac:dyDescent="0.3">
      <c r="F1438" s="37"/>
    </row>
    <row r="1439" spans="6:6" x14ac:dyDescent="0.3">
      <c r="F1439" s="37"/>
    </row>
    <row r="1440" spans="6:6" x14ac:dyDescent="0.3">
      <c r="F1440" s="37"/>
    </row>
    <row r="1441" spans="6:6" x14ac:dyDescent="0.3">
      <c r="F1441" s="37"/>
    </row>
    <row r="1442" spans="6:6" x14ac:dyDescent="0.3">
      <c r="F1442" s="37"/>
    </row>
    <row r="1443" spans="6:6" x14ac:dyDescent="0.3">
      <c r="F1443" s="37"/>
    </row>
    <row r="1444" spans="6:6" x14ac:dyDescent="0.3">
      <c r="F1444" s="37"/>
    </row>
    <row r="1445" spans="6:6" x14ac:dyDescent="0.3">
      <c r="F1445" s="37"/>
    </row>
    <row r="1446" spans="6:6" x14ac:dyDescent="0.3">
      <c r="F1446" s="37"/>
    </row>
    <row r="1447" spans="6:6" x14ac:dyDescent="0.3">
      <c r="F1447" s="37"/>
    </row>
    <row r="1448" spans="6:6" x14ac:dyDescent="0.3">
      <c r="F1448" s="37"/>
    </row>
    <row r="1449" spans="6:6" x14ac:dyDescent="0.3">
      <c r="F1449" s="37"/>
    </row>
    <row r="1450" spans="6:6" x14ac:dyDescent="0.3">
      <c r="F1450" s="37"/>
    </row>
    <row r="1451" spans="6:6" x14ac:dyDescent="0.3">
      <c r="F1451" s="37"/>
    </row>
    <row r="1452" spans="6:6" x14ac:dyDescent="0.3">
      <c r="F1452" s="37"/>
    </row>
    <row r="1453" spans="6:6" x14ac:dyDescent="0.3">
      <c r="F1453" s="37"/>
    </row>
    <row r="1454" spans="6:6" x14ac:dyDescent="0.3">
      <c r="F1454" s="37"/>
    </row>
    <row r="1455" spans="6:6" x14ac:dyDescent="0.3">
      <c r="F1455" s="37"/>
    </row>
    <row r="1456" spans="6:6" x14ac:dyDescent="0.3">
      <c r="F1456" s="37"/>
    </row>
    <row r="1457" spans="6:6" x14ac:dyDescent="0.3">
      <c r="F1457" s="37"/>
    </row>
    <row r="1458" spans="6:6" x14ac:dyDescent="0.3">
      <c r="F1458" s="37"/>
    </row>
    <row r="1459" spans="6:6" x14ac:dyDescent="0.3">
      <c r="F1459" s="37"/>
    </row>
    <row r="1460" spans="6:6" x14ac:dyDescent="0.3">
      <c r="F1460" s="37"/>
    </row>
    <row r="1461" spans="6:6" x14ac:dyDescent="0.3">
      <c r="F1461" s="37"/>
    </row>
    <row r="1462" spans="6:6" x14ac:dyDescent="0.3">
      <c r="F1462" s="37"/>
    </row>
    <row r="1463" spans="6:6" x14ac:dyDescent="0.3">
      <c r="F1463" s="37"/>
    </row>
    <row r="1464" spans="6:6" x14ac:dyDescent="0.3">
      <c r="F1464" s="37"/>
    </row>
    <row r="1465" spans="6:6" x14ac:dyDescent="0.3">
      <c r="F1465" s="37"/>
    </row>
    <row r="1466" spans="6:6" x14ac:dyDescent="0.3">
      <c r="F1466" s="37"/>
    </row>
    <row r="1467" spans="6:6" x14ac:dyDescent="0.3">
      <c r="F1467" s="37"/>
    </row>
    <row r="1468" spans="6:6" x14ac:dyDescent="0.3">
      <c r="F1468" s="37"/>
    </row>
    <row r="1469" spans="6:6" x14ac:dyDescent="0.3">
      <c r="F1469" s="37"/>
    </row>
    <row r="1470" spans="6:6" x14ac:dyDescent="0.3">
      <c r="F1470" s="37"/>
    </row>
    <row r="1471" spans="6:6" x14ac:dyDescent="0.3">
      <c r="F1471" s="37"/>
    </row>
    <row r="1472" spans="6:6" x14ac:dyDescent="0.3">
      <c r="F1472" s="37"/>
    </row>
    <row r="1473" spans="6:6" x14ac:dyDescent="0.3">
      <c r="F1473" s="37"/>
    </row>
    <row r="1474" spans="6:6" x14ac:dyDescent="0.3">
      <c r="F1474" s="37"/>
    </row>
    <row r="1475" spans="6:6" x14ac:dyDescent="0.3">
      <c r="F1475" s="37"/>
    </row>
    <row r="1476" spans="6:6" x14ac:dyDescent="0.3">
      <c r="F1476" s="37"/>
    </row>
    <row r="1477" spans="6:6" x14ac:dyDescent="0.3">
      <c r="F1477" s="37"/>
    </row>
    <row r="1478" spans="6:6" x14ac:dyDescent="0.3">
      <c r="F1478" s="37"/>
    </row>
    <row r="1479" spans="6:6" x14ac:dyDescent="0.3">
      <c r="F1479" s="37"/>
    </row>
    <row r="1480" spans="6:6" x14ac:dyDescent="0.3">
      <c r="F1480" s="37"/>
    </row>
    <row r="1481" spans="6:6" x14ac:dyDescent="0.3">
      <c r="F1481" s="37"/>
    </row>
    <row r="1482" spans="6:6" x14ac:dyDescent="0.3">
      <c r="F1482" s="37"/>
    </row>
    <row r="1483" spans="6:6" x14ac:dyDescent="0.3">
      <c r="F1483" s="37"/>
    </row>
    <row r="1484" spans="6:6" x14ac:dyDescent="0.3">
      <c r="F1484" s="37"/>
    </row>
    <row r="1485" spans="6:6" x14ac:dyDescent="0.3">
      <c r="F1485" s="37"/>
    </row>
    <row r="1486" spans="6:6" x14ac:dyDescent="0.3">
      <c r="F1486" s="37"/>
    </row>
    <row r="1487" spans="6:6" x14ac:dyDescent="0.3">
      <c r="F1487" s="37"/>
    </row>
    <row r="1488" spans="6:6" x14ac:dyDescent="0.3">
      <c r="F1488" s="37"/>
    </row>
    <row r="1489" spans="6:6" x14ac:dyDescent="0.3">
      <c r="F1489" s="37"/>
    </row>
    <row r="1490" spans="6:6" x14ac:dyDescent="0.3">
      <c r="F1490" s="37"/>
    </row>
    <row r="1491" spans="6:6" x14ac:dyDescent="0.3">
      <c r="F1491" s="37"/>
    </row>
    <row r="1492" spans="6:6" x14ac:dyDescent="0.3">
      <c r="F1492" s="37"/>
    </row>
    <row r="1493" spans="6:6" x14ac:dyDescent="0.3">
      <c r="F1493" s="37"/>
    </row>
    <row r="1494" spans="6:6" x14ac:dyDescent="0.3">
      <c r="F1494" s="37"/>
    </row>
    <row r="1495" spans="6:6" x14ac:dyDescent="0.3">
      <c r="F1495" s="37"/>
    </row>
    <row r="1496" spans="6:6" x14ac:dyDescent="0.3">
      <c r="F1496" s="37"/>
    </row>
    <row r="1497" spans="6:6" x14ac:dyDescent="0.3">
      <c r="F1497" s="37"/>
    </row>
    <row r="1498" spans="6:6" x14ac:dyDescent="0.3">
      <c r="F1498" s="37"/>
    </row>
    <row r="1499" spans="6:6" x14ac:dyDescent="0.3">
      <c r="F1499" s="37"/>
    </row>
    <row r="1500" spans="6:6" x14ac:dyDescent="0.3">
      <c r="F1500" s="37"/>
    </row>
    <row r="1501" spans="6:6" x14ac:dyDescent="0.3">
      <c r="F1501" s="37"/>
    </row>
    <row r="1502" spans="6:6" x14ac:dyDescent="0.3">
      <c r="F1502" s="37"/>
    </row>
    <row r="1503" spans="6:6" x14ac:dyDescent="0.3">
      <c r="F1503" s="37"/>
    </row>
    <row r="1504" spans="6:6" x14ac:dyDescent="0.3">
      <c r="F1504" s="37"/>
    </row>
    <row r="1505" spans="6:6" x14ac:dyDescent="0.3">
      <c r="F1505" s="37"/>
    </row>
    <row r="1506" spans="6:6" x14ac:dyDescent="0.3">
      <c r="F1506" s="37"/>
    </row>
    <row r="1507" spans="6:6" x14ac:dyDescent="0.3">
      <c r="F1507" s="37"/>
    </row>
    <row r="1508" spans="6:6" x14ac:dyDescent="0.3">
      <c r="F1508" s="37"/>
    </row>
    <row r="1509" spans="6:6" x14ac:dyDescent="0.3">
      <c r="F1509" s="37"/>
    </row>
    <row r="1510" spans="6:6" x14ac:dyDescent="0.3">
      <c r="F1510" s="37"/>
    </row>
    <row r="1511" spans="6:6" x14ac:dyDescent="0.3">
      <c r="F1511" s="37"/>
    </row>
    <row r="1512" spans="6:6" x14ac:dyDescent="0.3">
      <c r="F1512" s="37"/>
    </row>
    <row r="1513" spans="6:6" x14ac:dyDescent="0.3">
      <c r="F1513" s="37"/>
    </row>
    <row r="1514" spans="6:6" x14ac:dyDescent="0.3">
      <c r="F1514" s="37"/>
    </row>
    <row r="1515" spans="6:6" x14ac:dyDescent="0.3">
      <c r="F1515" s="37"/>
    </row>
    <row r="1516" spans="6:6" x14ac:dyDescent="0.3">
      <c r="F1516" s="37"/>
    </row>
    <row r="1517" spans="6:6" x14ac:dyDescent="0.3">
      <c r="F1517" s="37"/>
    </row>
    <row r="1518" spans="6:6" x14ac:dyDescent="0.3">
      <c r="F1518" s="37"/>
    </row>
    <row r="1519" spans="6:6" x14ac:dyDescent="0.3">
      <c r="F1519" s="37"/>
    </row>
    <row r="1520" spans="6:6" x14ac:dyDescent="0.3">
      <c r="F1520" s="37"/>
    </row>
    <row r="1521" spans="6:6" x14ac:dyDescent="0.3">
      <c r="F1521" s="37"/>
    </row>
    <row r="1522" spans="6:6" x14ac:dyDescent="0.3">
      <c r="F1522" s="37"/>
    </row>
    <row r="1523" spans="6:6" x14ac:dyDescent="0.3">
      <c r="F1523" s="37"/>
    </row>
    <row r="1524" spans="6:6" x14ac:dyDescent="0.3">
      <c r="F1524" s="37"/>
    </row>
    <row r="1525" spans="6:6" x14ac:dyDescent="0.3">
      <c r="F1525" s="37"/>
    </row>
    <row r="1526" spans="6:6" x14ac:dyDescent="0.3">
      <c r="F1526" s="37"/>
    </row>
    <row r="1527" spans="6:6" x14ac:dyDescent="0.3">
      <c r="F1527" s="37"/>
    </row>
    <row r="1528" spans="6:6" x14ac:dyDescent="0.3">
      <c r="F1528" s="37"/>
    </row>
    <row r="1529" spans="6:6" x14ac:dyDescent="0.3">
      <c r="F1529" s="37"/>
    </row>
    <row r="1530" spans="6:6" x14ac:dyDescent="0.3">
      <c r="F1530" s="37"/>
    </row>
    <row r="1531" spans="6:6" x14ac:dyDescent="0.3">
      <c r="F1531" s="37"/>
    </row>
    <row r="1532" spans="6:6" x14ac:dyDescent="0.3">
      <c r="F1532" s="37"/>
    </row>
    <row r="1533" spans="6:6" x14ac:dyDescent="0.3">
      <c r="F1533" s="37"/>
    </row>
    <row r="1534" spans="6:6" x14ac:dyDescent="0.3">
      <c r="F1534" s="37"/>
    </row>
    <row r="1535" spans="6:6" x14ac:dyDescent="0.3">
      <c r="F1535" s="37"/>
    </row>
    <row r="1536" spans="6:6" x14ac:dyDescent="0.3">
      <c r="F1536" s="37"/>
    </row>
    <row r="1537" spans="6:6" x14ac:dyDescent="0.3">
      <c r="F1537" s="37"/>
    </row>
    <row r="1538" spans="6:6" x14ac:dyDescent="0.3">
      <c r="F1538" s="37"/>
    </row>
    <row r="1539" spans="6:6" x14ac:dyDescent="0.3">
      <c r="F1539" s="37"/>
    </row>
    <row r="1540" spans="6:6" x14ac:dyDescent="0.3">
      <c r="F1540" s="37"/>
    </row>
    <row r="1541" spans="6:6" x14ac:dyDescent="0.3">
      <c r="F1541" s="37"/>
    </row>
    <row r="1542" spans="6:6" x14ac:dyDescent="0.3">
      <c r="F1542" s="37"/>
    </row>
    <row r="1543" spans="6:6" x14ac:dyDescent="0.3">
      <c r="F1543" s="37"/>
    </row>
    <row r="1544" spans="6:6" x14ac:dyDescent="0.3">
      <c r="F1544" s="37"/>
    </row>
    <row r="1545" spans="6:6" x14ac:dyDescent="0.3">
      <c r="F1545" s="37"/>
    </row>
    <row r="1546" spans="6:6" x14ac:dyDescent="0.3">
      <c r="F1546" s="37"/>
    </row>
    <row r="1547" spans="6:6" x14ac:dyDescent="0.3">
      <c r="F1547" s="37"/>
    </row>
    <row r="1548" spans="6:6" x14ac:dyDescent="0.3">
      <c r="F1548" s="37"/>
    </row>
    <row r="1549" spans="6:6" x14ac:dyDescent="0.3">
      <c r="F1549" s="37"/>
    </row>
    <row r="1550" spans="6:6" x14ac:dyDescent="0.3">
      <c r="F1550" s="37"/>
    </row>
    <row r="1551" spans="6:6" x14ac:dyDescent="0.3">
      <c r="F1551" s="37"/>
    </row>
    <row r="1552" spans="6:6" x14ac:dyDescent="0.3">
      <c r="F1552" s="37"/>
    </row>
    <row r="1553" spans="6:6" x14ac:dyDescent="0.3">
      <c r="F1553" s="37"/>
    </row>
    <row r="1554" spans="6:6" x14ac:dyDescent="0.3">
      <c r="F1554" s="37"/>
    </row>
    <row r="1555" spans="6:6" x14ac:dyDescent="0.3">
      <c r="F1555" s="37"/>
    </row>
    <row r="1556" spans="6:6" x14ac:dyDescent="0.3">
      <c r="F1556" s="37"/>
    </row>
    <row r="1557" spans="6:6" x14ac:dyDescent="0.3">
      <c r="F1557" s="37"/>
    </row>
    <row r="1558" spans="6:6" x14ac:dyDescent="0.3">
      <c r="F1558" s="37"/>
    </row>
    <row r="1559" spans="6:6" x14ac:dyDescent="0.3">
      <c r="F1559" s="37"/>
    </row>
    <row r="1560" spans="6:6" x14ac:dyDescent="0.3">
      <c r="F1560" s="37"/>
    </row>
    <row r="1561" spans="6:6" x14ac:dyDescent="0.3">
      <c r="F1561" s="37"/>
    </row>
    <row r="1562" spans="6:6" x14ac:dyDescent="0.3">
      <c r="F1562" s="37"/>
    </row>
    <row r="1563" spans="6:6" x14ac:dyDescent="0.3">
      <c r="F1563" s="37"/>
    </row>
    <row r="1564" spans="6:6" x14ac:dyDescent="0.3">
      <c r="F1564" s="37"/>
    </row>
    <row r="1565" spans="6:6" x14ac:dyDescent="0.3">
      <c r="F1565" s="37"/>
    </row>
    <row r="1566" spans="6:6" x14ac:dyDescent="0.3">
      <c r="F1566" s="37"/>
    </row>
    <row r="1567" spans="6:6" x14ac:dyDescent="0.3">
      <c r="F1567" s="37"/>
    </row>
    <row r="1568" spans="6:6" x14ac:dyDescent="0.3">
      <c r="F1568" s="37"/>
    </row>
    <row r="1569" spans="6:6" x14ac:dyDescent="0.3">
      <c r="F1569" s="37"/>
    </row>
    <row r="1570" spans="6:6" x14ac:dyDescent="0.3">
      <c r="F1570" s="37"/>
    </row>
    <row r="1571" spans="6:6" x14ac:dyDescent="0.3">
      <c r="F1571" s="37"/>
    </row>
    <row r="1572" spans="6:6" x14ac:dyDescent="0.3">
      <c r="F1572" s="37"/>
    </row>
    <row r="1573" spans="6:6" x14ac:dyDescent="0.3">
      <c r="F1573" s="37"/>
    </row>
    <row r="1574" spans="6:6" x14ac:dyDescent="0.3">
      <c r="F1574" s="37"/>
    </row>
    <row r="1575" spans="6:6" x14ac:dyDescent="0.3">
      <c r="F1575" s="37"/>
    </row>
    <row r="1576" spans="6:6" x14ac:dyDescent="0.3">
      <c r="F1576" s="37"/>
    </row>
    <row r="1577" spans="6:6" x14ac:dyDescent="0.3">
      <c r="F1577" s="37"/>
    </row>
    <row r="1578" spans="6:6" x14ac:dyDescent="0.3">
      <c r="F1578" s="37"/>
    </row>
    <row r="1579" spans="6:6" x14ac:dyDescent="0.3">
      <c r="F1579" s="37"/>
    </row>
    <row r="1580" spans="6:6" x14ac:dyDescent="0.3">
      <c r="F1580" s="37"/>
    </row>
    <row r="1581" spans="6:6" x14ac:dyDescent="0.3">
      <c r="F1581" s="37"/>
    </row>
    <row r="1582" spans="6:6" x14ac:dyDescent="0.3">
      <c r="F1582" s="37"/>
    </row>
    <row r="1583" spans="6:6" x14ac:dyDescent="0.3">
      <c r="F1583" s="37"/>
    </row>
    <row r="1584" spans="6:6" x14ac:dyDescent="0.3">
      <c r="F1584" s="37"/>
    </row>
    <row r="1585" spans="6:6" x14ac:dyDescent="0.3">
      <c r="F1585" s="37"/>
    </row>
    <row r="1586" spans="6:6" x14ac:dyDescent="0.3">
      <c r="F1586" s="37"/>
    </row>
    <row r="1587" spans="6:6" x14ac:dyDescent="0.3">
      <c r="F1587" s="37"/>
    </row>
    <row r="1588" spans="6:6" x14ac:dyDescent="0.3">
      <c r="F1588" s="37"/>
    </row>
    <row r="1589" spans="6:6" x14ac:dyDescent="0.3">
      <c r="F1589" s="37"/>
    </row>
    <row r="1590" spans="6:6" x14ac:dyDescent="0.3">
      <c r="F1590" s="37"/>
    </row>
    <row r="1591" spans="6:6" x14ac:dyDescent="0.3">
      <c r="F1591" s="37"/>
    </row>
    <row r="1592" spans="6:6" x14ac:dyDescent="0.3">
      <c r="F1592" s="37"/>
    </row>
    <row r="1593" spans="6:6" x14ac:dyDescent="0.3">
      <c r="F1593" s="37"/>
    </row>
    <row r="1594" spans="6:6" x14ac:dyDescent="0.3">
      <c r="F1594" s="37"/>
    </row>
    <row r="1595" spans="6:6" x14ac:dyDescent="0.3">
      <c r="F1595" s="37"/>
    </row>
    <row r="1596" spans="6:6" x14ac:dyDescent="0.3">
      <c r="F1596" s="37"/>
    </row>
    <row r="1597" spans="6:6" x14ac:dyDescent="0.3">
      <c r="F1597" s="37"/>
    </row>
    <row r="1598" spans="6:6" x14ac:dyDescent="0.3">
      <c r="F1598" s="37"/>
    </row>
    <row r="1599" spans="6:6" x14ac:dyDescent="0.3">
      <c r="F1599" s="37"/>
    </row>
    <row r="1600" spans="6:6" x14ac:dyDescent="0.3">
      <c r="F1600" s="37"/>
    </row>
    <row r="1601" spans="6:6" x14ac:dyDescent="0.3">
      <c r="F1601" s="37"/>
    </row>
    <row r="1602" spans="6:6" x14ac:dyDescent="0.3">
      <c r="F1602" s="37"/>
    </row>
    <row r="1603" spans="6:6" x14ac:dyDescent="0.3">
      <c r="F1603" s="37"/>
    </row>
    <row r="1604" spans="6:6" x14ac:dyDescent="0.3">
      <c r="F1604" s="37"/>
    </row>
    <row r="1605" spans="6:6" x14ac:dyDescent="0.3">
      <c r="F1605" s="37"/>
    </row>
    <row r="1606" spans="6:6" x14ac:dyDescent="0.3">
      <c r="F1606" s="37"/>
    </row>
    <row r="1607" spans="6:6" x14ac:dyDescent="0.3">
      <c r="F1607" s="37"/>
    </row>
    <row r="1608" spans="6:6" x14ac:dyDescent="0.3">
      <c r="F1608" s="37"/>
    </row>
    <row r="1609" spans="6:6" x14ac:dyDescent="0.3">
      <c r="F1609" s="37"/>
    </row>
    <row r="1610" spans="6:6" x14ac:dyDescent="0.3">
      <c r="F1610" s="37"/>
    </row>
    <row r="1611" spans="6:6" x14ac:dyDescent="0.3">
      <c r="F1611" s="37"/>
    </row>
    <row r="1612" spans="6:6" x14ac:dyDescent="0.3">
      <c r="F1612" s="37"/>
    </row>
    <row r="1613" spans="6:6" x14ac:dyDescent="0.3">
      <c r="F1613" s="37"/>
    </row>
    <row r="1614" spans="6:6" x14ac:dyDescent="0.3">
      <c r="F1614" s="37"/>
    </row>
    <row r="1615" spans="6:6" x14ac:dyDescent="0.3">
      <c r="F1615" s="37"/>
    </row>
    <row r="1616" spans="6:6" x14ac:dyDescent="0.3">
      <c r="F1616" s="37"/>
    </row>
    <row r="1617" spans="6:6" x14ac:dyDescent="0.3">
      <c r="F1617" s="37"/>
    </row>
    <row r="1618" spans="6:6" x14ac:dyDescent="0.3">
      <c r="F1618" s="37"/>
    </row>
    <row r="1619" spans="6:6" x14ac:dyDescent="0.3">
      <c r="F1619" s="37"/>
    </row>
    <row r="1620" spans="6:6" x14ac:dyDescent="0.3">
      <c r="F1620" s="37"/>
    </row>
    <row r="1621" spans="6:6" x14ac:dyDescent="0.3">
      <c r="F1621" s="37"/>
    </row>
    <row r="1622" spans="6:6" x14ac:dyDescent="0.3">
      <c r="F1622" s="37"/>
    </row>
    <row r="1623" spans="6:6" x14ac:dyDescent="0.3">
      <c r="F1623" s="37"/>
    </row>
    <row r="1624" spans="6:6" x14ac:dyDescent="0.3">
      <c r="F1624" s="37"/>
    </row>
    <row r="1625" spans="6:6" x14ac:dyDescent="0.3">
      <c r="F1625" s="37"/>
    </row>
    <row r="1626" spans="6:6" x14ac:dyDescent="0.3">
      <c r="F1626" s="37"/>
    </row>
    <row r="1627" spans="6:6" x14ac:dyDescent="0.3">
      <c r="F1627" s="37"/>
    </row>
    <row r="1628" spans="6:6" x14ac:dyDescent="0.3">
      <c r="F1628" s="37"/>
    </row>
    <row r="1629" spans="6:6" x14ac:dyDescent="0.3">
      <c r="F1629" s="37"/>
    </row>
    <row r="1630" spans="6:6" x14ac:dyDescent="0.3">
      <c r="F1630" s="37"/>
    </row>
    <row r="1631" spans="6:6" x14ac:dyDescent="0.3">
      <c r="F1631" s="37"/>
    </row>
    <row r="1632" spans="6:6" x14ac:dyDescent="0.3">
      <c r="F1632" s="37"/>
    </row>
    <row r="1633" spans="6:6" x14ac:dyDescent="0.3">
      <c r="F1633" s="37"/>
    </row>
    <row r="1634" spans="6:6" x14ac:dyDescent="0.3">
      <c r="F1634" s="37"/>
    </row>
    <row r="1635" spans="6:6" x14ac:dyDescent="0.3">
      <c r="F1635" s="37"/>
    </row>
    <row r="1636" spans="6:6" x14ac:dyDescent="0.3">
      <c r="F1636" s="37"/>
    </row>
    <row r="1637" spans="6:6" x14ac:dyDescent="0.3">
      <c r="F1637" s="37"/>
    </row>
    <row r="1638" spans="6:6" x14ac:dyDescent="0.3">
      <c r="F1638" s="37"/>
    </row>
    <row r="1639" spans="6:6" x14ac:dyDescent="0.3">
      <c r="F1639" s="37"/>
    </row>
    <row r="1640" spans="6:6" x14ac:dyDescent="0.3">
      <c r="F1640" s="37"/>
    </row>
    <row r="1641" spans="6:6" x14ac:dyDescent="0.3">
      <c r="F1641" s="37"/>
    </row>
    <row r="1642" spans="6:6" x14ac:dyDescent="0.3">
      <c r="F1642" s="37"/>
    </row>
    <row r="1643" spans="6:6" x14ac:dyDescent="0.3">
      <c r="F1643" s="37"/>
    </row>
    <row r="1644" spans="6:6" x14ac:dyDescent="0.3">
      <c r="F1644" s="37"/>
    </row>
    <row r="1645" spans="6:6" x14ac:dyDescent="0.3">
      <c r="F1645" s="37"/>
    </row>
    <row r="1646" spans="6:6" x14ac:dyDescent="0.3">
      <c r="F1646" s="37"/>
    </row>
    <row r="1647" spans="6:6" x14ac:dyDescent="0.3">
      <c r="F1647" s="37"/>
    </row>
    <row r="1648" spans="6:6" x14ac:dyDescent="0.3">
      <c r="F1648" s="37"/>
    </row>
    <row r="1649" spans="6:6" x14ac:dyDescent="0.3">
      <c r="F1649" s="37"/>
    </row>
    <row r="1650" spans="6:6" x14ac:dyDescent="0.3">
      <c r="F1650" s="37"/>
    </row>
    <row r="1651" spans="6:6" x14ac:dyDescent="0.3">
      <c r="F1651" s="37"/>
    </row>
    <row r="1652" spans="6:6" x14ac:dyDescent="0.3">
      <c r="F1652" s="37"/>
    </row>
    <row r="1653" spans="6:6" x14ac:dyDescent="0.3">
      <c r="F1653" s="37"/>
    </row>
    <row r="1654" spans="6:6" x14ac:dyDescent="0.3">
      <c r="F1654" s="37"/>
    </row>
    <row r="1655" spans="6:6" x14ac:dyDescent="0.3">
      <c r="F1655" s="37"/>
    </row>
    <row r="1656" spans="6:6" x14ac:dyDescent="0.3">
      <c r="F1656" s="37"/>
    </row>
    <row r="1657" spans="6:6" x14ac:dyDescent="0.3">
      <c r="F1657" s="37"/>
    </row>
    <row r="1658" spans="6:6" x14ac:dyDescent="0.3">
      <c r="F1658" s="37"/>
    </row>
    <row r="1659" spans="6:6" x14ac:dyDescent="0.3">
      <c r="F1659" s="37"/>
    </row>
    <row r="1660" spans="6:6" x14ac:dyDescent="0.3">
      <c r="F1660" s="37"/>
    </row>
    <row r="1661" spans="6:6" x14ac:dyDescent="0.3">
      <c r="F1661" s="37"/>
    </row>
    <row r="1662" spans="6:6" x14ac:dyDescent="0.3">
      <c r="F1662" s="37"/>
    </row>
    <row r="1663" spans="6:6" x14ac:dyDescent="0.3">
      <c r="F1663" s="37"/>
    </row>
    <row r="1664" spans="6:6" x14ac:dyDescent="0.3">
      <c r="F1664" s="37"/>
    </row>
    <row r="1665" spans="6:6" x14ac:dyDescent="0.3">
      <c r="F1665" s="37"/>
    </row>
    <row r="1666" spans="6:6" x14ac:dyDescent="0.3">
      <c r="F1666" s="37"/>
    </row>
    <row r="1667" spans="6:6" x14ac:dyDescent="0.3">
      <c r="F1667" s="37"/>
    </row>
    <row r="1668" spans="6:6" x14ac:dyDescent="0.3">
      <c r="F1668" s="37"/>
    </row>
    <row r="1669" spans="6:6" x14ac:dyDescent="0.3">
      <c r="F1669" s="37"/>
    </row>
    <row r="1670" spans="6:6" x14ac:dyDescent="0.3">
      <c r="F1670" s="37"/>
    </row>
    <row r="1671" spans="6:6" x14ac:dyDescent="0.3">
      <c r="F1671" s="37"/>
    </row>
    <row r="1672" spans="6:6" x14ac:dyDescent="0.3">
      <c r="F1672" s="37"/>
    </row>
    <row r="1673" spans="6:6" x14ac:dyDescent="0.3">
      <c r="F1673" s="37"/>
    </row>
    <row r="1674" spans="6:6" x14ac:dyDescent="0.3">
      <c r="F1674" s="37"/>
    </row>
    <row r="1675" spans="6:6" x14ac:dyDescent="0.3">
      <c r="F1675" s="37"/>
    </row>
    <row r="1676" spans="6:6" x14ac:dyDescent="0.3">
      <c r="F1676" s="37"/>
    </row>
    <row r="1677" spans="6:6" x14ac:dyDescent="0.3">
      <c r="F1677" s="37"/>
    </row>
    <row r="1678" spans="6:6" x14ac:dyDescent="0.3">
      <c r="F1678" s="37"/>
    </row>
    <row r="1679" spans="6:6" x14ac:dyDescent="0.3">
      <c r="F1679" s="37"/>
    </row>
    <row r="1680" spans="6:6" x14ac:dyDescent="0.3">
      <c r="F1680" s="37"/>
    </row>
    <row r="1681" spans="6:6" x14ac:dyDescent="0.3">
      <c r="F1681" s="37"/>
    </row>
    <row r="1682" spans="6:6" x14ac:dyDescent="0.3">
      <c r="F1682" s="37"/>
    </row>
    <row r="1683" spans="6:6" x14ac:dyDescent="0.3">
      <c r="F1683" s="37"/>
    </row>
    <row r="1684" spans="6:6" x14ac:dyDescent="0.3">
      <c r="F1684" s="37"/>
    </row>
    <row r="1685" spans="6:6" x14ac:dyDescent="0.3">
      <c r="F1685" s="37"/>
    </row>
    <row r="1686" spans="6:6" x14ac:dyDescent="0.3">
      <c r="F1686" s="37"/>
    </row>
    <row r="1687" spans="6:6" x14ac:dyDescent="0.3">
      <c r="F1687" s="37"/>
    </row>
    <row r="1688" spans="6:6" x14ac:dyDescent="0.3">
      <c r="F1688" s="37"/>
    </row>
    <row r="1689" spans="6:6" x14ac:dyDescent="0.3">
      <c r="F1689" s="37"/>
    </row>
    <row r="1690" spans="6:6" x14ac:dyDescent="0.3">
      <c r="F1690" s="37"/>
    </row>
    <row r="1691" spans="6:6" x14ac:dyDescent="0.3">
      <c r="F1691" s="37"/>
    </row>
    <row r="1692" spans="6:6" x14ac:dyDescent="0.3">
      <c r="F1692" s="37"/>
    </row>
    <row r="1693" spans="6:6" x14ac:dyDescent="0.3">
      <c r="F1693" s="37"/>
    </row>
    <row r="1694" spans="6:6" x14ac:dyDescent="0.3">
      <c r="F1694" s="37"/>
    </row>
    <row r="1695" spans="6:6" x14ac:dyDescent="0.3">
      <c r="F1695" s="37"/>
    </row>
    <row r="1696" spans="6:6" x14ac:dyDescent="0.3">
      <c r="F1696" s="37"/>
    </row>
    <row r="1697" spans="6:6" x14ac:dyDescent="0.3">
      <c r="F1697" s="37"/>
    </row>
    <row r="1698" spans="6:6" x14ac:dyDescent="0.3">
      <c r="F1698" s="37"/>
    </row>
    <row r="1699" spans="6:6" x14ac:dyDescent="0.3">
      <c r="F1699" s="37"/>
    </row>
    <row r="1700" spans="6:6" x14ac:dyDescent="0.3">
      <c r="F1700" s="37"/>
    </row>
    <row r="1701" spans="6:6" x14ac:dyDescent="0.3">
      <c r="F1701" s="37"/>
    </row>
    <row r="1702" spans="6:6" x14ac:dyDescent="0.3">
      <c r="F1702" s="37"/>
    </row>
    <row r="1703" spans="6:6" x14ac:dyDescent="0.3">
      <c r="F1703" s="37"/>
    </row>
    <row r="1704" spans="6:6" x14ac:dyDescent="0.3">
      <c r="F1704" s="37"/>
    </row>
    <row r="1705" spans="6:6" x14ac:dyDescent="0.3">
      <c r="F1705" s="37"/>
    </row>
    <row r="1706" spans="6:6" x14ac:dyDescent="0.3">
      <c r="F1706" s="37"/>
    </row>
    <row r="1707" spans="6:6" x14ac:dyDescent="0.3">
      <c r="F1707" s="37"/>
    </row>
    <row r="1708" spans="6:6" x14ac:dyDescent="0.3">
      <c r="F1708" s="37"/>
    </row>
    <row r="1709" spans="6:6" x14ac:dyDescent="0.3">
      <c r="F1709" s="37"/>
    </row>
    <row r="1710" spans="6:6" x14ac:dyDescent="0.3">
      <c r="F1710" s="37"/>
    </row>
    <row r="1711" spans="6:6" x14ac:dyDescent="0.3">
      <c r="F1711" s="37"/>
    </row>
    <row r="1712" spans="6:6" x14ac:dyDescent="0.3">
      <c r="F1712" s="37"/>
    </row>
    <row r="1713" spans="6:6" x14ac:dyDescent="0.3">
      <c r="F1713" s="37"/>
    </row>
    <row r="1714" spans="6:6" x14ac:dyDescent="0.3">
      <c r="F1714" s="37"/>
    </row>
    <row r="1715" spans="6:6" x14ac:dyDescent="0.3">
      <c r="F1715" s="37"/>
    </row>
    <row r="1716" spans="6:6" x14ac:dyDescent="0.3">
      <c r="F1716" s="37"/>
    </row>
    <row r="1717" spans="6:6" x14ac:dyDescent="0.3">
      <c r="F1717" s="37"/>
    </row>
    <row r="1718" spans="6:6" x14ac:dyDescent="0.3">
      <c r="F1718" s="37"/>
    </row>
    <row r="1719" spans="6:6" x14ac:dyDescent="0.3">
      <c r="F1719" s="37"/>
    </row>
    <row r="1720" spans="6:6" x14ac:dyDescent="0.3">
      <c r="F1720" s="37"/>
    </row>
    <row r="1721" spans="6:6" x14ac:dyDescent="0.3">
      <c r="F1721" s="37"/>
    </row>
    <row r="1722" spans="6:6" x14ac:dyDescent="0.3">
      <c r="F1722" s="37"/>
    </row>
    <row r="1723" spans="6:6" x14ac:dyDescent="0.3">
      <c r="F1723" s="37"/>
    </row>
    <row r="1724" spans="6:6" x14ac:dyDescent="0.3">
      <c r="F1724" s="37"/>
    </row>
    <row r="1725" spans="6:6" x14ac:dyDescent="0.3">
      <c r="F1725" s="37"/>
    </row>
    <row r="1726" spans="6:6" x14ac:dyDescent="0.3">
      <c r="F1726" s="37"/>
    </row>
    <row r="1727" spans="6:6" x14ac:dyDescent="0.3">
      <c r="F1727" s="37"/>
    </row>
    <row r="1728" spans="6:6" x14ac:dyDescent="0.3">
      <c r="F1728" s="37"/>
    </row>
    <row r="1729" spans="6:6" x14ac:dyDescent="0.3">
      <c r="F1729" s="37"/>
    </row>
    <row r="1730" spans="6:6" x14ac:dyDescent="0.3">
      <c r="F1730" s="37"/>
    </row>
    <row r="1731" spans="6:6" x14ac:dyDescent="0.3">
      <c r="F1731" s="37"/>
    </row>
    <row r="1732" spans="6:6" x14ac:dyDescent="0.3">
      <c r="F1732" s="37"/>
    </row>
    <row r="1733" spans="6:6" x14ac:dyDescent="0.3">
      <c r="F1733" s="37"/>
    </row>
    <row r="1734" spans="6:6" x14ac:dyDescent="0.3">
      <c r="F1734" s="37"/>
    </row>
    <row r="1735" spans="6:6" x14ac:dyDescent="0.3">
      <c r="F1735" s="37"/>
    </row>
    <row r="1736" spans="6:6" x14ac:dyDescent="0.3">
      <c r="F1736" s="37"/>
    </row>
    <row r="1737" spans="6:6" x14ac:dyDescent="0.3">
      <c r="F1737" s="37"/>
    </row>
    <row r="1738" spans="6:6" x14ac:dyDescent="0.3">
      <c r="F1738" s="37"/>
    </row>
    <row r="1739" spans="6:6" x14ac:dyDescent="0.3">
      <c r="F1739" s="37"/>
    </row>
    <row r="1740" spans="6:6" x14ac:dyDescent="0.3">
      <c r="F1740" s="37"/>
    </row>
    <row r="1741" spans="6:6" x14ac:dyDescent="0.3">
      <c r="F1741" s="37"/>
    </row>
    <row r="1742" spans="6:6" x14ac:dyDescent="0.3">
      <c r="F1742" s="37"/>
    </row>
    <row r="1743" spans="6:6" x14ac:dyDescent="0.3">
      <c r="F1743" s="37"/>
    </row>
    <row r="1744" spans="6:6" x14ac:dyDescent="0.3">
      <c r="F1744" s="37"/>
    </row>
    <row r="1745" spans="6:6" x14ac:dyDescent="0.3">
      <c r="F1745" s="37"/>
    </row>
    <row r="1746" spans="6:6" x14ac:dyDescent="0.3">
      <c r="F1746" s="37"/>
    </row>
    <row r="1747" spans="6:6" x14ac:dyDescent="0.3">
      <c r="F1747" s="37"/>
    </row>
    <row r="1748" spans="6:6" x14ac:dyDescent="0.3">
      <c r="F1748" s="37"/>
    </row>
    <row r="1749" spans="6:6" x14ac:dyDescent="0.3">
      <c r="F1749" s="37"/>
    </row>
    <row r="1750" spans="6:6" x14ac:dyDescent="0.3">
      <c r="F1750" s="37"/>
    </row>
    <row r="1751" spans="6:6" x14ac:dyDescent="0.3">
      <c r="F1751" s="37"/>
    </row>
    <row r="1752" spans="6:6" x14ac:dyDescent="0.3">
      <c r="F1752" s="37"/>
    </row>
    <row r="1753" spans="6:6" x14ac:dyDescent="0.3">
      <c r="F1753" s="37"/>
    </row>
    <row r="1754" spans="6:6" x14ac:dyDescent="0.3">
      <c r="F1754" s="37"/>
    </row>
    <row r="1755" spans="6:6" x14ac:dyDescent="0.3">
      <c r="F1755" s="37"/>
    </row>
    <row r="1756" spans="6:6" x14ac:dyDescent="0.3">
      <c r="F1756" s="37"/>
    </row>
    <row r="1757" spans="6:6" x14ac:dyDescent="0.3">
      <c r="F1757" s="37"/>
    </row>
    <row r="1758" spans="6:6" x14ac:dyDescent="0.3">
      <c r="F1758" s="37"/>
    </row>
    <row r="1759" spans="6:6" x14ac:dyDescent="0.3">
      <c r="F1759" s="37"/>
    </row>
    <row r="1760" spans="6:6" x14ac:dyDescent="0.3">
      <c r="F1760" s="37"/>
    </row>
    <row r="1761" spans="6:6" x14ac:dyDescent="0.3">
      <c r="F1761" s="37"/>
    </row>
    <row r="1762" spans="6:6" x14ac:dyDescent="0.3">
      <c r="F1762" s="37"/>
    </row>
    <row r="1763" spans="6:6" x14ac:dyDescent="0.3">
      <c r="F1763" s="37"/>
    </row>
    <row r="1764" spans="6:6" x14ac:dyDescent="0.3">
      <c r="F1764" s="37"/>
    </row>
    <row r="1765" spans="6:6" x14ac:dyDescent="0.3">
      <c r="F1765" s="37"/>
    </row>
    <row r="1766" spans="6:6" x14ac:dyDescent="0.3">
      <c r="F1766" s="37"/>
    </row>
    <row r="1767" spans="6:6" x14ac:dyDescent="0.3">
      <c r="F1767" s="37"/>
    </row>
    <row r="1768" spans="6:6" x14ac:dyDescent="0.3">
      <c r="F1768" s="37"/>
    </row>
    <row r="1769" spans="6:6" x14ac:dyDescent="0.3">
      <c r="F1769" s="37"/>
    </row>
    <row r="1770" spans="6:6" x14ac:dyDescent="0.3">
      <c r="F1770" s="37"/>
    </row>
    <row r="1771" spans="6:6" x14ac:dyDescent="0.3">
      <c r="F1771" s="37"/>
    </row>
    <row r="1772" spans="6:6" x14ac:dyDescent="0.3">
      <c r="F1772" s="37"/>
    </row>
    <row r="1773" spans="6:6" x14ac:dyDescent="0.3">
      <c r="F1773" s="37"/>
    </row>
    <row r="1774" spans="6:6" x14ac:dyDescent="0.3">
      <c r="F1774" s="37"/>
    </row>
    <row r="1775" spans="6:6" x14ac:dyDescent="0.3">
      <c r="F1775" s="37"/>
    </row>
    <row r="1776" spans="6:6" x14ac:dyDescent="0.3">
      <c r="F1776" s="37"/>
    </row>
    <row r="1777" spans="6:6" x14ac:dyDescent="0.3">
      <c r="F1777" s="37"/>
    </row>
    <row r="1778" spans="6:6" x14ac:dyDescent="0.3">
      <c r="F1778" s="37"/>
    </row>
    <row r="1779" spans="6:6" x14ac:dyDescent="0.3">
      <c r="F1779" s="37"/>
    </row>
    <row r="1780" spans="6:6" x14ac:dyDescent="0.3">
      <c r="F1780" s="37"/>
    </row>
    <row r="1781" spans="6:6" x14ac:dyDescent="0.3">
      <c r="F1781" s="37"/>
    </row>
    <row r="1782" spans="6:6" x14ac:dyDescent="0.3">
      <c r="F1782" s="37"/>
    </row>
    <row r="1783" spans="6:6" x14ac:dyDescent="0.3">
      <c r="F1783" s="37"/>
    </row>
    <row r="1784" spans="6:6" x14ac:dyDescent="0.3">
      <c r="F1784" s="37"/>
    </row>
    <row r="1785" spans="6:6" x14ac:dyDescent="0.3">
      <c r="F1785" s="37"/>
    </row>
    <row r="1786" spans="6:6" x14ac:dyDescent="0.3">
      <c r="F1786" s="37"/>
    </row>
    <row r="1787" spans="6:6" x14ac:dyDescent="0.3">
      <c r="F1787" s="37"/>
    </row>
    <row r="1788" spans="6:6" x14ac:dyDescent="0.3">
      <c r="F1788" s="37"/>
    </row>
    <row r="1789" spans="6:6" x14ac:dyDescent="0.3">
      <c r="F1789" s="37"/>
    </row>
    <row r="1790" spans="6:6" x14ac:dyDescent="0.3">
      <c r="F1790" s="37"/>
    </row>
    <row r="1791" spans="6:6" x14ac:dyDescent="0.3">
      <c r="F1791" s="37"/>
    </row>
    <row r="1792" spans="6:6" x14ac:dyDescent="0.3">
      <c r="F1792" s="37"/>
    </row>
    <row r="1793" spans="6:6" x14ac:dyDescent="0.3">
      <c r="F1793" s="37"/>
    </row>
    <row r="1794" spans="6:6" x14ac:dyDescent="0.3">
      <c r="F1794" s="37"/>
    </row>
    <row r="1795" spans="6:6" x14ac:dyDescent="0.3">
      <c r="F1795" s="37"/>
    </row>
    <row r="1796" spans="6:6" x14ac:dyDescent="0.3">
      <c r="F1796" s="37"/>
    </row>
    <row r="1797" spans="6:6" x14ac:dyDescent="0.3">
      <c r="F1797" s="37"/>
    </row>
    <row r="1798" spans="6:6" x14ac:dyDescent="0.3">
      <c r="F1798" s="37"/>
    </row>
    <row r="1799" spans="6:6" x14ac:dyDescent="0.3">
      <c r="F1799" s="37"/>
    </row>
    <row r="1800" spans="6:6" x14ac:dyDescent="0.3">
      <c r="F1800" s="37"/>
    </row>
    <row r="1801" spans="6:6" x14ac:dyDescent="0.3">
      <c r="F1801" s="37"/>
    </row>
    <row r="1802" spans="6:6" x14ac:dyDescent="0.3">
      <c r="F1802" s="37"/>
    </row>
    <row r="1803" spans="6:6" x14ac:dyDescent="0.3">
      <c r="F1803" s="37"/>
    </row>
    <row r="1804" spans="6:6" x14ac:dyDescent="0.3">
      <c r="F1804" s="37"/>
    </row>
    <row r="1805" spans="6:6" x14ac:dyDescent="0.3">
      <c r="F1805" s="37"/>
    </row>
    <row r="1806" spans="6:6" x14ac:dyDescent="0.3">
      <c r="F1806" s="37"/>
    </row>
    <row r="1807" spans="6:6" x14ac:dyDescent="0.3">
      <c r="F1807" s="37"/>
    </row>
    <row r="1808" spans="6:6" x14ac:dyDescent="0.3">
      <c r="F1808" s="37"/>
    </row>
    <row r="1809" spans="6:6" x14ac:dyDescent="0.3">
      <c r="F1809" s="37"/>
    </row>
    <row r="1810" spans="6:6" x14ac:dyDescent="0.3">
      <c r="F1810" s="37"/>
    </row>
    <row r="1811" spans="6:6" x14ac:dyDescent="0.3">
      <c r="F1811" s="37"/>
    </row>
    <row r="1812" spans="6:6" x14ac:dyDescent="0.3">
      <c r="F1812" s="37"/>
    </row>
    <row r="1813" spans="6:6" x14ac:dyDescent="0.3">
      <c r="F1813" s="37"/>
    </row>
    <row r="1814" spans="6:6" x14ac:dyDescent="0.3">
      <c r="F1814" s="37"/>
    </row>
    <row r="1815" spans="6:6" x14ac:dyDescent="0.3">
      <c r="F1815" s="37"/>
    </row>
    <row r="1816" spans="6:6" x14ac:dyDescent="0.3">
      <c r="F1816" s="37"/>
    </row>
    <row r="1817" spans="6:6" x14ac:dyDescent="0.3">
      <c r="F1817" s="37"/>
    </row>
    <row r="1818" spans="6:6" x14ac:dyDescent="0.3">
      <c r="F1818" s="37"/>
    </row>
    <row r="1819" spans="6:6" x14ac:dyDescent="0.3">
      <c r="F1819" s="37"/>
    </row>
    <row r="1820" spans="6:6" x14ac:dyDescent="0.3">
      <c r="F1820" s="37"/>
    </row>
    <row r="1821" spans="6:6" x14ac:dyDescent="0.3">
      <c r="F1821" s="37"/>
    </row>
    <row r="1822" spans="6:6" x14ac:dyDescent="0.3">
      <c r="F1822" s="37"/>
    </row>
    <row r="1823" spans="6:6" x14ac:dyDescent="0.3">
      <c r="F1823" s="37"/>
    </row>
    <row r="1824" spans="6:6" x14ac:dyDescent="0.3">
      <c r="F1824" s="37"/>
    </row>
    <row r="1825" spans="6:6" x14ac:dyDescent="0.3">
      <c r="F1825" s="37"/>
    </row>
    <row r="1826" spans="6:6" x14ac:dyDescent="0.3">
      <c r="F1826" s="37"/>
    </row>
    <row r="1827" spans="6:6" x14ac:dyDescent="0.3">
      <c r="F1827" s="37"/>
    </row>
    <row r="1828" spans="6:6" x14ac:dyDescent="0.3">
      <c r="F1828" s="37"/>
    </row>
    <row r="1829" spans="6:6" x14ac:dyDescent="0.3">
      <c r="F1829" s="37"/>
    </row>
    <row r="1830" spans="6:6" x14ac:dyDescent="0.3">
      <c r="F1830" s="37"/>
    </row>
    <row r="1831" spans="6:6" x14ac:dyDescent="0.3">
      <c r="F1831" s="37"/>
    </row>
    <row r="1832" spans="6:6" x14ac:dyDescent="0.3">
      <c r="F1832" s="37"/>
    </row>
    <row r="1833" spans="6:6" x14ac:dyDescent="0.3">
      <c r="F1833" s="37"/>
    </row>
    <row r="1834" spans="6:6" x14ac:dyDescent="0.3">
      <c r="F1834" s="37"/>
    </row>
    <row r="1835" spans="6:6" x14ac:dyDescent="0.3">
      <c r="F1835" s="37"/>
    </row>
    <row r="1836" spans="6:6" x14ac:dyDescent="0.3">
      <c r="F1836" s="37"/>
    </row>
    <row r="1837" spans="6:6" x14ac:dyDescent="0.3">
      <c r="F1837" s="37"/>
    </row>
    <row r="1838" spans="6:6" x14ac:dyDescent="0.3">
      <c r="F1838" s="37"/>
    </row>
    <row r="1839" spans="6:6" x14ac:dyDescent="0.3">
      <c r="F1839" s="37"/>
    </row>
    <row r="1840" spans="6:6" x14ac:dyDescent="0.3">
      <c r="F1840" s="37"/>
    </row>
    <row r="1841" spans="6:6" x14ac:dyDescent="0.3">
      <c r="F1841" s="37"/>
    </row>
    <row r="1842" spans="6:6" x14ac:dyDescent="0.3">
      <c r="F1842" s="37"/>
    </row>
    <row r="1843" spans="6:6" x14ac:dyDescent="0.3">
      <c r="F1843" s="37"/>
    </row>
    <row r="1844" spans="6:6" x14ac:dyDescent="0.3">
      <c r="F1844" s="37"/>
    </row>
    <row r="1845" spans="6:6" x14ac:dyDescent="0.3">
      <c r="F1845" s="37"/>
    </row>
    <row r="1846" spans="6:6" x14ac:dyDescent="0.3">
      <c r="F1846" s="37"/>
    </row>
    <row r="1847" spans="6:6" x14ac:dyDescent="0.3">
      <c r="F1847" s="37"/>
    </row>
    <row r="1848" spans="6:6" x14ac:dyDescent="0.3">
      <c r="F1848" s="37"/>
    </row>
    <row r="1849" spans="6:6" x14ac:dyDescent="0.3">
      <c r="F1849" s="37"/>
    </row>
    <row r="1850" spans="6:6" x14ac:dyDescent="0.3">
      <c r="F1850" s="37"/>
    </row>
    <row r="1851" spans="6:6" x14ac:dyDescent="0.3">
      <c r="F1851" s="37"/>
    </row>
    <row r="1852" spans="6:6" x14ac:dyDescent="0.3">
      <c r="F1852" s="37"/>
    </row>
    <row r="1853" spans="6:6" x14ac:dyDescent="0.3">
      <c r="F1853" s="37"/>
    </row>
    <row r="1854" spans="6:6" x14ac:dyDescent="0.3">
      <c r="F1854" s="37"/>
    </row>
    <row r="1855" spans="6:6" x14ac:dyDescent="0.3">
      <c r="F1855" s="37"/>
    </row>
    <row r="1856" spans="6:6" x14ac:dyDescent="0.3">
      <c r="F1856" s="37"/>
    </row>
    <row r="1857" spans="6:6" x14ac:dyDescent="0.3">
      <c r="F1857" s="37"/>
    </row>
    <row r="1858" spans="6:6" x14ac:dyDescent="0.3">
      <c r="F1858" s="37"/>
    </row>
    <row r="1859" spans="6:6" x14ac:dyDescent="0.3">
      <c r="F1859" s="37"/>
    </row>
    <row r="1860" spans="6:6" x14ac:dyDescent="0.3">
      <c r="F1860" s="37"/>
    </row>
    <row r="1861" spans="6:6" x14ac:dyDescent="0.3">
      <c r="F1861" s="37"/>
    </row>
    <row r="1862" spans="6:6" x14ac:dyDescent="0.3">
      <c r="F1862" s="37"/>
    </row>
    <row r="1863" spans="6:6" x14ac:dyDescent="0.3">
      <c r="F1863" s="37"/>
    </row>
    <row r="1864" spans="6:6" x14ac:dyDescent="0.3">
      <c r="F1864" s="37"/>
    </row>
    <row r="1865" spans="6:6" x14ac:dyDescent="0.3">
      <c r="F1865" s="37"/>
    </row>
    <row r="1866" spans="6:6" x14ac:dyDescent="0.3">
      <c r="F1866" s="37"/>
    </row>
    <row r="1867" spans="6:6" x14ac:dyDescent="0.3">
      <c r="F1867" s="37"/>
    </row>
    <row r="1868" spans="6:6" x14ac:dyDescent="0.3">
      <c r="F1868" s="37"/>
    </row>
    <row r="1869" spans="6:6" x14ac:dyDescent="0.3">
      <c r="F1869" s="37"/>
    </row>
    <row r="1870" spans="6:6" x14ac:dyDescent="0.3">
      <c r="F1870" s="37"/>
    </row>
    <row r="1871" spans="6:6" x14ac:dyDescent="0.3">
      <c r="F1871" s="37"/>
    </row>
    <row r="1872" spans="6:6" x14ac:dyDescent="0.3">
      <c r="F1872" s="37"/>
    </row>
    <row r="1873" spans="6:6" x14ac:dyDescent="0.3">
      <c r="F1873" s="37"/>
    </row>
    <row r="1874" spans="6:6" x14ac:dyDescent="0.3">
      <c r="F1874" s="37"/>
    </row>
    <row r="1875" spans="6:6" x14ac:dyDescent="0.3">
      <c r="F1875" s="37"/>
    </row>
    <row r="1876" spans="6:6" x14ac:dyDescent="0.3">
      <c r="F1876" s="37"/>
    </row>
    <row r="1877" spans="6:6" x14ac:dyDescent="0.3">
      <c r="F1877" s="37"/>
    </row>
    <row r="1878" spans="6:6" x14ac:dyDescent="0.3">
      <c r="F1878" s="37"/>
    </row>
    <row r="1879" spans="6:6" x14ac:dyDescent="0.3">
      <c r="F1879" s="37"/>
    </row>
    <row r="1880" spans="6:6" x14ac:dyDescent="0.3">
      <c r="F1880" s="37"/>
    </row>
    <row r="1881" spans="6:6" x14ac:dyDescent="0.3">
      <c r="F1881" s="37"/>
    </row>
    <row r="1882" spans="6:6" x14ac:dyDescent="0.3">
      <c r="F1882" s="37"/>
    </row>
    <row r="1883" spans="6:6" x14ac:dyDescent="0.3">
      <c r="F1883" s="37"/>
    </row>
    <row r="1884" spans="6:6" x14ac:dyDescent="0.3">
      <c r="F1884" s="37"/>
    </row>
    <row r="1885" spans="6:6" x14ac:dyDescent="0.3">
      <c r="F1885" s="37"/>
    </row>
    <row r="1886" spans="6:6" x14ac:dyDescent="0.3">
      <c r="F1886" s="37"/>
    </row>
    <row r="1887" spans="6:6" x14ac:dyDescent="0.3">
      <c r="F1887" s="37"/>
    </row>
    <row r="1888" spans="6:6" x14ac:dyDescent="0.3">
      <c r="F1888" s="37"/>
    </row>
    <row r="1889" spans="6:6" x14ac:dyDescent="0.3">
      <c r="F1889" s="37"/>
    </row>
    <row r="1890" spans="6:6" x14ac:dyDescent="0.3">
      <c r="F1890" s="37"/>
    </row>
    <row r="1891" spans="6:6" x14ac:dyDescent="0.3">
      <c r="F1891" s="37"/>
    </row>
    <row r="1892" spans="6:6" x14ac:dyDescent="0.3">
      <c r="F1892" s="37"/>
    </row>
    <row r="1893" spans="6:6" x14ac:dyDescent="0.3">
      <c r="F1893" s="37"/>
    </row>
    <row r="1894" spans="6:6" x14ac:dyDescent="0.3">
      <c r="F1894" s="37"/>
    </row>
    <row r="1895" spans="6:6" x14ac:dyDescent="0.3">
      <c r="F1895" s="37"/>
    </row>
    <row r="1896" spans="6:6" x14ac:dyDescent="0.3">
      <c r="F1896" s="37"/>
    </row>
    <row r="1897" spans="6:6" x14ac:dyDescent="0.3">
      <c r="F1897" s="37"/>
    </row>
    <row r="1898" spans="6:6" x14ac:dyDescent="0.3">
      <c r="F1898" s="37"/>
    </row>
    <row r="1899" spans="6:6" x14ac:dyDescent="0.3">
      <c r="F1899" s="37"/>
    </row>
    <row r="1900" spans="6:6" x14ac:dyDescent="0.3">
      <c r="F1900" s="37"/>
    </row>
    <row r="1901" spans="6:6" x14ac:dyDescent="0.3">
      <c r="F1901" s="37"/>
    </row>
    <row r="1902" spans="6:6" x14ac:dyDescent="0.3">
      <c r="F1902" s="37"/>
    </row>
    <row r="1903" spans="6:6" x14ac:dyDescent="0.3">
      <c r="F1903" s="37"/>
    </row>
    <row r="1904" spans="6:6" x14ac:dyDescent="0.3">
      <c r="F1904" s="37"/>
    </row>
    <row r="1905" spans="6:6" x14ac:dyDescent="0.3">
      <c r="F1905" s="37"/>
    </row>
    <row r="1906" spans="6:6" x14ac:dyDescent="0.3">
      <c r="F1906" s="37"/>
    </row>
    <row r="1907" spans="6:6" x14ac:dyDescent="0.3">
      <c r="F1907" s="37"/>
    </row>
    <row r="1908" spans="6:6" x14ac:dyDescent="0.3">
      <c r="F1908" s="37"/>
    </row>
    <row r="1909" spans="6:6" x14ac:dyDescent="0.3">
      <c r="F1909" s="37"/>
    </row>
    <row r="1910" spans="6:6" x14ac:dyDescent="0.3">
      <c r="F1910" s="37"/>
    </row>
    <row r="1911" spans="6:6" x14ac:dyDescent="0.3">
      <c r="F1911" s="37"/>
    </row>
    <row r="1912" spans="6:6" x14ac:dyDescent="0.3">
      <c r="F1912" s="37"/>
    </row>
    <row r="1913" spans="6:6" x14ac:dyDescent="0.3">
      <c r="F1913" s="37"/>
    </row>
    <row r="1914" spans="6:6" x14ac:dyDescent="0.3">
      <c r="F1914" s="37"/>
    </row>
    <row r="1915" spans="6:6" x14ac:dyDescent="0.3">
      <c r="F1915" s="37"/>
    </row>
    <row r="1916" spans="6:6" x14ac:dyDescent="0.3">
      <c r="F1916" s="37"/>
    </row>
    <row r="1917" spans="6:6" x14ac:dyDescent="0.3">
      <c r="F1917" s="37"/>
    </row>
    <row r="1918" spans="6:6" x14ac:dyDescent="0.3">
      <c r="F1918" s="37"/>
    </row>
    <row r="1919" spans="6:6" x14ac:dyDescent="0.3">
      <c r="F1919" s="37"/>
    </row>
    <row r="1920" spans="6:6" x14ac:dyDescent="0.3">
      <c r="F1920" s="37"/>
    </row>
    <row r="1921" spans="6:6" x14ac:dyDescent="0.3">
      <c r="F1921" s="37"/>
    </row>
    <row r="1922" spans="6:6" x14ac:dyDescent="0.3">
      <c r="F1922" s="37"/>
    </row>
    <row r="1923" spans="6:6" x14ac:dyDescent="0.3">
      <c r="F1923" s="37"/>
    </row>
    <row r="1924" spans="6:6" x14ac:dyDescent="0.3">
      <c r="F1924" s="37"/>
    </row>
    <row r="1925" spans="6:6" x14ac:dyDescent="0.3">
      <c r="F1925" s="37"/>
    </row>
    <row r="1926" spans="6:6" x14ac:dyDescent="0.3">
      <c r="F1926" s="37"/>
    </row>
    <row r="1927" spans="6:6" x14ac:dyDescent="0.3">
      <c r="F1927" s="37"/>
    </row>
    <row r="1928" spans="6:6" x14ac:dyDescent="0.3">
      <c r="F1928" s="37"/>
    </row>
    <row r="1929" spans="6:6" x14ac:dyDescent="0.3">
      <c r="F1929" s="37"/>
    </row>
    <row r="1930" spans="6:6" x14ac:dyDescent="0.3">
      <c r="F1930" s="37"/>
    </row>
    <row r="1931" spans="6:6" x14ac:dyDescent="0.3">
      <c r="F1931" s="37"/>
    </row>
    <row r="1932" spans="6:6" x14ac:dyDescent="0.3">
      <c r="F1932" s="37"/>
    </row>
    <row r="1933" spans="6:6" x14ac:dyDescent="0.3">
      <c r="F1933" s="37"/>
    </row>
    <row r="1934" spans="6:6" x14ac:dyDescent="0.3">
      <c r="F1934" s="37"/>
    </row>
    <row r="1935" spans="6:6" x14ac:dyDescent="0.3">
      <c r="F1935" s="37"/>
    </row>
    <row r="1936" spans="6:6" x14ac:dyDescent="0.3">
      <c r="F1936" s="37"/>
    </row>
    <row r="1937" spans="6:6" x14ac:dyDescent="0.3">
      <c r="F1937" s="37"/>
    </row>
    <row r="1938" spans="6:6" x14ac:dyDescent="0.3">
      <c r="F1938" s="37"/>
    </row>
    <row r="1939" spans="6:6" x14ac:dyDescent="0.3">
      <c r="F1939" s="37"/>
    </row>
    <row r="1940" spans="6:6" x14ac:dyDescent="0.3">
      <c r="F1940" s="37"/>
    </row>
    <row r="1941" spans="6:6" x14ac:dyDescent="0.3">
      <c r="F1941" s="37"/>
    </row>
    <row r="1942" spans="6:6" x14ac:dyDescent="0.3">
      <c r="F1942" s="37"/>
    </row>
    <row r="1943" spans="6:6" x14ac:dyDescent="0.3">
      <c r="F1943" s="37"/>
    </row>
    <row r="1944" spans="6:6" x14ac:dyDescent="0.3">
      <c r="F1944" s="37"/>
    </row>
    <row r="1945" spans="6:6" x14ac:dyDescent="0.3">
      <c r="F1945" s="37"/>
    </row>
    <row r="1946" spans="6:6" x14ac:dyDescent="0.3">
      <c r="F1946" s="37"/>
    </row>
    <row r="1947" spans="6:6" x14ac:dyDescent="0.3">
      <c r="F1947" s="37"/>
    </row>
    <row r="1948" spans="6:6" x14ac:dyDescent="0.3">
      <c r="F1948" s="37"/>
    </row>
    <row r="1949" spans="6:6" x14ac:dyDescent="0.3">
      <c r="F1949" s="37"/>
    </row>
    <row r="1950" spans="6:6" x14ac:dyDescent="0.3">
      <c r="F1950" s="37"/>
    </row>
    <row r="1951" spans="6:6" x14ac:dyDescent="0.3">
      <c r="F1951" s="37"/>
    </row>
    <row r="1952" spans="6:6" x14ac:dyDescent="0.3">
      <c r="F1952" s="37"/>
    </row>
    <row r="1953" spans="6:6" x14ac:dyDescent="0.3">
      <c r="F1953" s="37"/>
    </row>
    <row r="1954" spans="6:6" x14ac:dyDescent="0.3">
      <c r="F1954" s="37"/>
    </row>
    <row r="1955" spans="6:6" x14ac:dyDescent="0.3">
      <c r="F1955" s="37"/>
    </row>
    <row r="1956" spans="6:6" x14ac:dyDescent="0.3">
      <c r="F1956" s="37"/>
    </row>
    <row r="1957" spans="6:6" x14ac:dyDescent="0.3">
      <c r="F1957" s="37"/>
    </row>
    <row r="1958" spans="6:6" x14ac:dyDescent="0.3">
      <c r="F1958" s="37"/>
    </row>
    <row r="1959" spans="6:6" x14ac:dyDescent="0.3">
      <c r="F1959" s="37"/>
    </row>
    <row r="1960" spans="6:6" x14ac:dyDescent="0.3">
      <c r="F1960" s="37"/>
    </row>
    <row r="1961" spans="6:6" x14ac:dyDescent="0.3">
      <c r="F1961" s="37"/>
    </row>
    <row r="1962" spans="6:6" x14ac:dyDescent="0.3">
      <c r="F1962" s="37"/>
    </row>
    <row r="1963" spans="6:6" x14ac:dyDescent="0.3">
      <c r="F1963" s="37"/>
    </row>
    <row r="1964" spans="6:6" x14ac:dyDescent="0.3">
      <c r="F1964" s="37"/>
    </row>
    <row r="1965" spans="6:6" x14ac:dyDescent="0.3">
      <c r="F1965" s="37"/>
    </row>
    <row r="1966" spans="6:6" x14ac:dyDescent="0.3">
      <c r="F1966" s="37"/>
    </row>
    <row r="1967" spans="6:6" x14ac:dyDescent="0.3">
      <c r="F1967" s="37"/>
    </row>
    <row r="1968" spans="6:6" x14ac:dyDescent="0.3">
      <c r="F1968" s="37"/>
    </row>
    <row r="1969" spans="6:6" x14ac:dyDescent="0.3">
      <c r="F1969" s="37"/>
    </row>
    <row r="1970" spans="6:6" x14ac:dyDescent="0.3">
      <c r="F1970" s="37"/>
    </row>
    <row r="1971" spans="6:6" x14ac:dyDescent="0.3">
      <c r="F1971" s="37"/>
    </row>
    <row r="1972" spans="6:6" x14ac:dyDescent="0.3">
      <c r="F1972" s="37"/>
    </row>
    <row r="1973" spans="6:6" x14ac:dyDescent="0.3">
      <c r="F1973" s="37"/>
    </row>
    <row r="1974" spans="6:6" x14ac:dyDescent="0.3">
      <c r="F1974" s="37"/>
    </row>
    <row r="1975" spans="6:6" x14ac:dyDescent="0.3">
      <c r="F1975" s="37"/>
    </row>
    <row r="1976" spans="6:6" x14ac:dyDescent="0.3">
      <c r="F1976" s="37"/>
    </row>
    <row r="1977" spans="6:6" x14ac:dyDescent="0.3">
      <c r="F1977" s="37"/>
    </row>
    <row r="1978" spans="6:6" x14ac:dyDescent="0.3">
      <c r="F1978" s="37"/>
    </row>
    <row r="1979" spans="6:6" x14ac:dyDescent="0.3">
      <c r="F1979" s="37"/>
    </row>
    <row r="1980" spans="6:6" x14ac:dyDescent="0.3">
      <c r="F1980" s="37"/>
    </row>
    <row r="1981" spans="6:6" x14ac:dyDescent="0.3">
      <c r="F1981" s="37"/>
    </row>
    <row r="1982" spans="6:6" x14ac:dyDescent="0.3">
      <c r="F1982" s="37"/>
    </row>
    <row r="1983" spans="6:6" x14ac:dyDescent="0.3">
      <c r="F1983" s="37"/>
    </row>
    <row r="1984" spans="6:6" x14ac:dyDescent="0.3">
      <c r="F1984" s="37"/>
    </row>
    <row r="1985" spans="6:6" x14ac:dyDescent="0.3">
      <c r="F1985" s="37"/>
    </row>
    <row r="1986" spans="6:6" x14ac:dyDescent="0.3">
      <c r="F1986" s="37"/>
    </row>
    <row r="1987" spans="6:6" x14ac:dyDescent="0.3">
      <c r="F1987" s="37"/>
    </row>
    <row r="1988" spans="6:6" x14ac:dyDescent="0.3">
      <c r="F1988" s="37"/>
    </row>
    <row r="1989" spans="6:6" x14ac:dyDescent="0.3">
      <c r="F1989" s="37"/>
    </row>
    <row r="1990" spans="6:6" x14ac:dyDescent="0.3">
      <c r="F1990" s="37"/>
    </row>
    <row r="1991" spans="6:6" x14ac:dyDescent="0.3">
      <c r="F1991" s="37"/>
    </row>
    <row r="1992" spans="6:6" x14ac:dyDescent="0.3">
      <c r="F1992" s="37"/>
    </row>
    <row r="1993" spans="6:6" x14ac:dyDescent="0.3">
      <c r="F1993" s="37"/>
    </row>
    <row r="1994" spans="6:6" x14ac:dyDescent="0.3">
      <c r="F1994" s="37"/>
    </row>
    <row r="1995" spans="6:6" x14ac:dyDescent="0.3">
      <c r="F1995" s="37"/>
    </row>
    <row r="1996" spans="6:6" x14ac:dyDescent="0.3">
      <c r="F1996" s="37"/>
    </row>
    <row r="1997" spans="6:6" x14ac:dyDescent="0.3">
      <c r="F1997" s="37"/>
    </row>
    <row r="1998" spans="6:6" x14ac:dyDescent="0.3">
      <c r="F1998" s="37"/>
    </row>
    <row r="1999" spans="6:6" x14ac:dyDescent="0.3">
      <c r="F1999" s="37"/>
    </row>
    <row r="2000" spans="6:6" x14ac:dyDescent="0.3">
      <c r="F2000" s="37"/>
    </row>
    <row r="2001" spans="6:6" x14ac:dyDescent="0.3">
      <c r="F2001" s="37"/>
    </row>
    <row r="2002" spans="6:6" x14ac:dyDescent="0.3">
      <c r="F2002" s="37"/>
    </row>
    <row r="2003" spans="6:6" x14ac:dyDescent="0.3">
      <c r="F2003" s="37"/>
    </row>
    <row r="2004" spans="6:6" x14ac:dyDescent="0.3">
      <c r="F2004" s="37"/>
    </row>
    <row r="2005" spans="6:6" x14ac:dyDescent="0.3">
      <c r="F2005" s="37"/>
    </row>
    <row r="2006" spans="6:6" x14ac:dyDescent="0.3">
      <c r="F2006" s="37"/>
    </row>
    <row r="2007" spans="6:6" x14ac:dyDescent="0.3">
      <c r="F2007" s="37"/>
    </row>
    <row r="2008" spans="6:6" x14ac:dyDescent="0.3">
      <c r="F2008" s="37"/>
    </row>
    <row r="2009" spans="6:6" x14ac:dyDescent="0.3">
      <c r="F2009" s="37"/>
    </row>
    <row r="2010" spans="6:6" x14ac:dyDescent="0.3">
      <c r="F2010" s="37"/>
    </row>
    <row r="2011" spans="6:6" x14ac:dyDescent="0.3">
      <c r="F2011" s="37"/>
    </row>
    <row r="2012" spans="6:6" x14ac:dyDescent="0.3">
      <c r="F2012" s="37"/>
    </row>
    <row r="2013" spans="6:6" x14ac:dyDescent="0.3">
      <c r="F2013" s="37"/>
    </row>
    <row r="2014" spans="6:6" x14ac:dyDescent="0.3">
      <c r="F2014" s="37"/>
    </row>
    <row r="2015" spans="6:6" x14ac:dyDescent="0.3">
      <c r="F2015" s="37"/>
    </row>
    <row r="2016" spans="6:6" x14ac:dyDescent="0.3">
      <c r="F2016" s="37"/>
    </row>
    <row r="2017" spans="6:6" x14ac:dyDescent="0.3">
      <c r="F2017" s="37"/>
    </row>
    <row r="2018" spans="6:6" x14ac:dyDescent="0.3">
      <c r="F2018" s="37"/>
    </row>
    <row r="2019" spans="6:6" x14ac:dyDescent="0.3">
      <c r="F2019" s="37"/>
    </row>
    <row r="2020" spans="6:6" x14ac:dyDescent="0.3">
      <c r="F2020" s="37"/>
    </row>
    <row r="2021" spans="6:6" x14ac:dyDescent="0.3">
      <c r="F2021" s="37"/>
    </row>
    <row r="2022" spans="6:6" x14ac:dyDescent="0.3">
      <c r="F2022" s="37"/>
    </row>
    <row r="2023" spans="6:6" x14ac:dyDescent="0.3">
      <c r="F2023" s="37"/>
    </row>
    <row r="2024" spans="6:6" x14ac:dyDescent="0.3">
      <c r="F2024" s="37"/>
    </row>
    <row r="2025" spans="6:6" x14ac:dyDescent="0.3">
      <c r="F2025" s="37"/>
    </row>
    <row r="2026" spans="6:6" x14ac:dyDescent="0.3">
      <c r="F2026" s="37"/>
    </row>
    <row r="2027" spans="6:6" x14ac:dyDescent="0.3">
      <c r="F2027" s="37"/>
    </row>
    <row r="2028" spans="6:6" x14ac:dyDescent="0.3">
      <c r="F2028" s="37"/>
    </row>
    <row r="2029" spans="6:6" x14ac:dyDescent="0.3">
      <c r="F2029" s="37"/>
    </row>
    <row r="2030" spans="6:6" x14ac:dyDescent="0.3">
      <c r="F2030" s="37"/>
    </row>
    <row r="2031" spans="6:6" x14ac:dyDescent="0.3">
      <c r="F2031" s="37"/>
    </row>
    <row r="2032" spans="6:6" x14ac:dyDescent="0.3">
      <c r="F2032" s="37"/>
    </row>
    <row r="2033" spans="6:6" x14ac:dyDescent="0.3">
      <c r="F2033" s="37"/>
    </row>
    <row r="2034" spans="6:6" x14ac:dyDescent="0.3">
      <c r="F2034" s="37"/>
    </row>
    <row r="2035" spans="6:6" x14ac:dyDescent="0.3">
      <c r="F2035" s="37"/>
    </row>
    <row r="2036" spans="6:6" x14ac:dyDescent="0.3">
      <c r="F2036" s="37"/>
    </row>
    <row r="2037" spans="6:6" x14ac:dyDescent="0.3">
      <c r="F2037" s="37"/>
    </row>
    <row r="2038" spans="6:6" x14ac:dyDescent="0.3">
      <c r="F2038" s="37"/>
    </row>
    <row r="2039" spans="6:6" x14ac:dyDescent="0.3">
      <c r="F2039" s="37"/>
    </row>
    <row r="2040" spans="6:6" x14ac:dyDescent="0.3">
      <c r="F2040" s="37"/>
    </row>
    <row r="2041" spans="6:6" x14ac:dyDescent="0.3">
      <c r="F2041" s="37"/>
    </row>
    <row r="2042" spans="6:6" x14ac:dyDescent="0.3">
      <c r="F2042" s="37"/>
    </row>
    <row r="2043" spans="6:6" x14ac:dyDescent="0.3">
      <c r="F2043" s="37"/>
    </row>
    <row r="2044" spans="6:6" x14ac:dyDescent="0.3">
      <c r="F2044" s="37"/>
    </row>
    <row r="2045" spans="6:6" x14ac:dyDescent="0.3">
      <c r="F2045" s="37"/>
    </row>
    <row r="2046" spans="6:6" x14ac:dyDescent="0.3">
      <c r="F2046" s="37"/>
    </row>
    <row r="2047" spans="6:6" x14ac:dyDescent="0.3">
      <c r="F2047" s="37"/>
    </row>
    <row r="2048" spans="6:6" x14ac:dyDescent="0.3">
      <c r="F2048" s="37"/>
    </row>
    <row r="2049" spans="6:6" x14ac:dyDescent="0.3">
      <c r="F2049" s="37"/>
    </row>
    <row r="2050" spans="6:6" x14ac:dyDescent="0.3">
      <c r="F2050" s="37"/>
    </row>
    <row r="2051" spans="6:6" x14ac:dyDescent="0.3">
      <c r="F2051" s="37"/>
    </row>
    <row r="2052" spans="6:6" x14ac:dyDescent="0.3">
      <c r="F2052" s="37"/>
    </row>
    <row r="2053" spans="6:6" x14ac:dyDescent="0.3">
      <c r="F2053" s="37"/>
    </row>
    <row r="2054" spans="6:6" x14ac:dyDescent="0.3">
      <c r="F2054" s="37"/>
    </row>
    <row r="2055" spans="6:6" x14ac:dyDescent="0.3">
      <c r="F2055" s="37"/>
    </row>
    <row r="2056" spans="6:6" x14ac:dyDescent="0.3">
      <c r="F2056" s="37"/>
    </row>
    <row r="2057" spans="6:6" x14ac:dyDescent="0.3">
      <c r="F2057" s="37"/>
    </row>
    <row r="2058" spans="6:6" x14ac:dyDescent="0.3">
      <c r="F2058" s="37"/>
    </row>
    <row r="2059" spans="6:6" x14ac:dyDescent="0.3">
      <c r="F2059" s="37"/>
    </row>
    <row r="2060" spans="6:6" x14ac:dyDescent="0.3">
      <c r="F2060" s="37"/>
    </row>
    <row r="2061" spans="6:6" x14ac:dyDescent="0.3">
      <c r="F2061" s="37"/>
    </row>
    <row r="2062" spans="6:6" x14ac:dyDescent="0.3">
      <c r="F2062" s="37"/>
    </row>
    <row r="2063" spans="6:6" x14ac:dyDescent="0.3">
      <c r="F2063" s="37"/>
    </row>
    <row r="2064" spans="6:6" x14ac:dyDescent="0.3">
      <c r="F2064" s="37"/>
    </row>
    <row r="2065" spans="6:6" x14ac:dyDescent="0.3">
      <c r="F2065" s="37"/>
    </row>
    <row r="2066" spans="6:6" x14ac:dyDescent="0.3">
      <c r="F2066" s="37"/>
    </row>
    <row r="2067" spans="6:6" x14ac:dyDescent="0.3">
      <c r="F2067" s="37"/>
    </row>
    <row r="2068" spans="6:6" x14ac:dyDescent="0.3">
      <c r="F2068" s="37"/>
    </row>
    <row r="2069" spans="6:6" x14ac:dyDescent="0.3">
      <c r="F2069" s="37"/>
    </row>
    <row r="2070" spans="6:6" x14ac:dyDescent="0.3">
      <c r="F2070" s="37"/>
    </row>
    <row r="2071" spans="6:6" x14ac:dyDescent="0.3">
      <c r="F2071" s="37"/>
    </row>
    <row r="2072" spans="6:6" x14ac:dyDescent="0.3">
      <c r="F2072" s="37"/>
    </row>
    <row r="2073" spans="6:6" x14ac:dyDescent="0.3">
      <c r="F2073" s="37"/>
    </row>
    <row r="2074" spans="6:6" x14ac:dyDescent="0.3">
      <c r="F2074" s="37"/>
    </row>
    <row r="2075" spans="6:6" x14ac:dyDescent="0.3">
      <c r="F2075" s="37"/>
    </row>
    <row r="2076" spans="6:6" x14ac:dyDescent="0.3">
      <c r="F2076" s="37"/>
    </row>
    <row r="2077" spans="6:6" x14ac:dyDescent="0.3">
      <c r="F2077" s="37"/>
    </row>
    <row r="2078" spans="6:6" x14ac:dyDescent="0.3">
      <c r="F2078" s="37"/>
    </row>
    <row r="2079" spans="6:6" x14ac:dyDescent="0.3">
      <c r="F2079" s="37"/>
    </row>
    <row r="2080" spans="6:6" x14ac:dyDescent="0.3">
      <c r="F2080" s="37"/>
    </row>
    <row r="2081" spans="6:6" x14ac:dyDescent="0.3">
      <c r="F2081" s="37"/>
    </row>
    <row r="2082" spans="6:6" x14ac:dyDescent="0.3">
      <c r="F2082" s="37"/>
    </row>
    <row r="2083" spans="6:6" x14ac:dyDescent="0.3">
      <c r="F2083" s="37"/>
    </row>
    <row r="2084" spans="6:6" x14ac:dyDescent="0.3">
      <c r="F2084" s="37"/>
    </row>
    <row r="2085" spans="6:6" x14ac:dyDescent="0.3">
      <c r="F2085" s="37"/>
    </row>
    <row r="2086" spans="6:6" x14ac:dyDescent="0.3">
      <c r="F2086" s="37"/>
    </row>
    <row r="2087" spans="6:6" x14ac:dyDescent="0.3">
      <c r="F2087" s="37"/>
    </row>
    <row r="2088" spans="6:6" x14ac:dyDescent="0.3">
      <c r="F2088" s="37"/>
    </row>
    <row r="2089" spans="6:6" x14ac:dyDescent="0.3">
      <c r="F2089" s="37"/>
    </row>
    <row r="2090" spans="6:6" x14ac:dyDescent="0.3">
      <c r="F2090" s="37"/>
    </row>
    <row r="2091" spans="6:6" x14ac:dyDescent="0.3">
      <c r="F2091" s="37"/>
    </row>
    <row r="2092" spans="6:6" x14ac:dyDescent="0.3">
      <c r="F2092" s="37"/>
    </row>
    <row r="2093" spans="6:6" x14ac:dyDescent="0.3">
      <c r="F2093" s="37"/>
    </row>
    <row r="2094" spans="6:6" x14ac:dyDescent="0.3">
      <c r="F2094" s="37"/>
    </row>
    <row r="2095" spans="6:6" x14ac:dyDescent="0.3">
      <c r="F2095" s="37"/>
    </row>
    <row r="2096" spans="6:6" x14ac:dyDescent="0.3">
      <c r="F2096" s="37"/>
    </row>
    <row r="2097" spans="6:6" x14ac:dyDescent="0.3">
      <c r="F2097" s="37"/>
    </row>
    <row r="2098" spans="6:6" x14ac:dyDescent="0.3">
      <c r="F2098" s="37"/>
    </row>
    <row r="2099" spans="6:6" x14ac:dyDescent="0.3">
      <c r="F2099" s="37"/>
    </row>
    <row r="2100" spans="6:6" x14ac:dyDescent="0.3">
      <c r="F2100" s="37"/>
    </row>
    <row r="2101" spans="6:6" x14ac:dyDescent="0.3">
      <c r="F2101" s="37"/>
    </row>
    <row r="2102" spans="6:6" x14ac:dyDescent="0.3">
      <c r="F2102" s="37"/>
    </row>
    <row r="2103" spans="6:6" x14ac:dyDescent="0.3">
      <c r="F2103" s="37"/>
    </row>
    <row r="2104" spans="6:6" x14ac:dyDescent="0.3">
      <c r="F2104" s="37"/>
    </row>
    <row r="2105" spans="6:6" x14ac:dyDescent="0.3">
      <c r="F2105" s="37"/>
    </row>
    <row r="2106" spans="6:6" x14ac:dyDescent="0.3">
      <c r="F2106" s="37"/>
    </row>
    <row r="2107" spans="6:6" x14ac:dyDescent="0.3">
      <c r="F2107" s="37"/>
    </row>
    <row r="2108" spans="6:6" x14ac:dyDescent="0.3">
      <c r="F2108" s="37"/>
    </row>
    <row r="2109" spans="6:6" x14ac:dyDescent="0.3">
      <c r="F2109" s="37"/>
    </row>
    <row r="2110" spans="6:6" x14ac:dyDescent="0.3">
      <c r="F2110" s="37"/>
    </row>
    <row r="2111" spans="6:6" x14ac:dyDescent="0.3">
      <c r="F2111" s="37"/>
    </row>
    <row r="2112" spans="6:6" x14ac:dyDescent="0.3">
      <c r="F2112" s="37"/>
    </row>
    <row r="2113" spans="6:6" x14ac:dyDescent="0.3">
      <c r="F2113" s="37"/>
    </row>
    <row r="2114" spans="6:6" x14ac:dyDescent="0.3">
      <c r="F2114" s="37"/>
    </row>
    <row r="2115" spans="6:6" x14ac:dyDescent="0.3">
      <c r="F2115" s="37"/>
    </row>
    <row r="2116" spans="6:6" x14ac:dyDescent="0.3">
      <c r="F2116" s="37"/>
    </row>
    <row r="2117" spans="6:6" x14ac:dyDescent="0.3">
      <c r="F2117" s="37"/>
    </row>
    <row r="2118" spans="6:6" x14ac:dyDescent="0.3">
      <c r="F2118" s="37"/>
    </row>
    <row r="2119" spans="6:6" x14ac:dyDescent="0.3">
      <c r="F2119" s="37"/>
    </row>
    <row r="2120" spans="6:6" x14ac:dyDescent="0.3">
      <c r="F2120" s="37"/>
    </row>
    <row r="2121" spans="6:6" x14ac:dyDescent="0.3">
      <c r="F2121" s="37"/>
    </row>
    <row r="2122" spans="6:6" x14ac:dyDescent="0.3">
      <c r="F2122" s="37"/>
    </row>
    <row r="2123" spans="6:6" x14ac:dyDescent="0.3">
      <c r="F2123" s="37"/>
    </row>
    <row r="2124" spans="6:6" x14ac:dyDescent="0.3">
      <c r="F2124" s="37"/>
    </row>
    <row r="2125" spans="6:6" x14ac:dyDescent="0.3">
      <c r="F2125" s="37"/>
    </row>
    <row r="2126" spans="6:6" x14ac:dyDescent="0.3">
      <c r="F2126" s="37"/>
    </row>
    <row r="2127" spans="6:6" x14ac:dyDescent="0.3">
      <c r="F2127" s="37"/>
    </row>
    <row r="2128" spans="6:6" x14ac:dyDescent="0.3">
      <c r="F2128" s="37"/>
    </row>
    <row r="2129" spans="6:6" x14ac:dyDescent="0.3">
      <c r="F2129" s="37"/>
    </row>
    <row r="2130" spans="6:6" x14ac:dyDescent="0.3">
      <c r="F2130" s="37"/>
    </row>
    <row r="2131" spans="6:6" x14ac:dyDescent="0.3">
      <c r="F2131" s="37"/>
    </row>
    <row r="2132" spans="6:6" x14ac:dyDescent="0.3">
      <c r="F2132" s="37"/>
    </row>
    <row r="2133" spans="6:6" x14ac:dyDescent="0.3">
      <c r="F2133" s="37"/>
    </row>
    <row r="2134" spans="6:6" x14ac:dyDescent="0.3">
      <c r="F2134" s="37"/>
    </row>
    <row r="2135" spans="6:6" x14ac:dyDescent="0.3">
      <c r="F2135" s="37"/>
    </row>
    <row r="2136" spans="6:6" x14ac:dyDescent="0.3">
      <c r="F2136" s="37"/>
    </row>
    <row r="2137" spans="6:6" x14ac:dyDescent="0.3">
      <c r="F2137" s="37"/>
    </row>
    <row r="2138" spans="6:6" x14ac:dyDescent="0.3">
      <c r="F2138" s="37"/>
    </row>
    <row r="2139" spans="6:6" x14ac:dyDescent="0.3">
      <c r="F2139" s="37"/>
    </row>
    <row r="2140" spans="6:6" x14ac:dyDescent="0.3">
      <c r="F2140" s="37"/>
    </row>
    <row r="2141" spans="6:6" x14ac:dyDescent="0.3">
      <c r="F2141" s="37"/>
    </row>
    <row r="2142" spans="6:6" x14ac:dyDescent="0.3">
      <c r="F2142" s="37"/>
    </row>
    <row r="2143" spans="6:6" x14ac:dyDescent="0.3">
      <c r="F2143" s="37"/>
    </row>
    <row r="2144" spans="6:6" x14ac:dyDescent="0.3">
      <c r="F2144" s="37"/>
    </row>
    <row r="2145" spans="6:6" x14ac:dyDescent="0.3">
      <c r="F2145" s="37"/>
    </row>
    <row r="2146" spans="6:6" x14ac:dyDescent="0.3">
      <c r="F2146" s="37"/>
    </row>
    <row r="2147" spans="6:6" x14ac:dyDescent="0.3">
      <c r="F2147" s="37"/>
    </row>
    <row r="2148" spans="6:6" x14ac:dyDescent="0.3">
      <c r="F2148" s="37"/>
    </row>
    <row r="2149" spans="6:6" x14ac:dyDescent="0.3">
      <c r="F2149" s="37"/>
    </row>
    <row r="2150" spans="6:6" x14ac:dyDescent="0.3">
      <c r="F2150" s="37"/>
    </row>
    <row r="2151" spans="6:6" x14ac:dyDescent="0.3">
      <c r="F2151" s="37"/>
    </row>
    <row r="2152" spans="6:6" x14ac:dyDescent="0.3">
      <c r="F2152" s="37"/>
    </row>
    <row r="2153" spans="6:6" x14ac:dyDescent="0.3">
      <c r="F2153" s="37"/>
    </row>
    <row r="2154" spans="6:6" x14ac:dyDescent="0.3">
      <c r="F2154" s="37"/>
    </row>
    <row r="2155" spans="6:6" x14ac:dyDescent="0.3">
      <c r="F2155" s="37"/>
    </row>
    <row r="2156" spans="6:6" x14ac:dyDescent="0.3">
      <c r="F2156" s="37"/>
    </row>
    <row r="2157" spans="6:6" x14ac:dyDescent="0.3">
      <c r="F2157" s="37"/>
    </row>
    <row r="2158" spans="6:6" x14ac:dyDescent="0.3">
      <c r="F2158" s="37"/>
    </row>
    <row r="2159" spans="6:6" x14ac:dyDescent="0.3">
      <c r="F2159" s="37"/>
    </row>
    <row r="2160" spans="6:6" x14ac:dyDescent="0.3">
      <c r="F2160" s="37"/>
    </row>
    <row r="2161" spans="6:6" x14ac:dyDescent="0.3">
      <c r="F2161" s="37"/>
    </row>
    <row r="2162" spans="6:6" x14ac:dyDescent="0.3">
      <c r="F2162" s="37"/>
    </row>
    <row r="2163" spans="6:6" x14ac:dyDescent="0.3">
      <c r="F2163" s="37"/>
    </row>
    <row r="2164" spans="6:6" x14ac:dyDescent="0.3">
      <c r="F2164" s="37"/>
    </row>
    <row r="2165" spans="6:6" x14ac:dyDescent="0.3">
      <c r="F2165" s="37"/>
    </row>
    <row r="2166" spans="6:6" x14ac:dyDescent="0.3">
      <c r="F2166" s="37"/>
    </row>
    <row r="2167" spans="6:6" x14ac:dyDescent="0.3">
      <c r="F2167" s="37"/>
    </row>
    <row r="2168" spans="6:6" x14ac:dyDescent="0.3">
      <c r="F2168" s="37"/>
    </row>
    <row r="2169" spans="6:6" x14ac:dyDescent="0.3">
      <c r="F2169" s="37"/>
    </row>
    <row r="2170" spans="6:6" x14ac:dyDescent="0.3">
      <c r="F2170" s="37"/>
    </row>
    <row r="2171" spans="6:6" x14ac:dyDescent="0.3">
      <c r="F2171" s="37"/>
    </row>
    <row r="2172" spans="6:6" x14ac:dyDescent="0.3">
      <c r="F2172" s="37"/>
    </row>
    <row r="2173" spans="6:6" x14ac:dyDescent="0.3">
      <c r="F2173" s="37"/>
    </row>
    <row r="2174" spans="6:6" x14ac:dyDescent="0.3">
      <c r="F2174" s="37"/>
    </row>
    <row r="2175" spans="6:6" x14ac:dyDescent="0.3">
      <c r="F2175" s="37"/>
    </row>
    <row r="2176" spans="6:6" x14ac:dyDescent="0.3">
      <c r="F2176" s="37"/>
    </row>
    <row r="2177" spans="6:6" x14ac:dyDescent="0.3">
      <c r="F2177" s="37"/>
    </row>
    <row r="2178" spans="6:6" x14ac:dyDescent="0.3">
      <c r="F2178" s="37"/>
    </row>
    <row r="2179" spans="6:6" x14ac:dyDescent="0.3">
      <c r="F2179" s="37"/>
    </row>
    <row r="2180" spans="6:6" x14ac:dyDescent="0.3">
      <c r="F2180" s="37"/>
    </row>
    <row r="2181" spans="6:6" x14ac:dyDescent="0.3">
      <c r="F2181" s="37"/>
    </row>
    <row r="2182" spans="6:6" x14ac:dyDescent="0.3">
      <c r="F2182" s="37"/>
    </row>
    <row r="2183" spans="6:6" x14ac:dyDescent="0.3">
      <c r="F2183" s="37"/>
    </row>
    <row r="2184" spans="6:6" x14ac:dyDescent="0.3">
      <c r="F2184" s="37"/>
    </row>
    <row r="2185" spans="6:6" x14ac:dyDescent="0.3">
      <c r="F2185" s="37"/>
    </row>
    <row r="2186" spans="6:6" x14ac:dyDescent="0.3">
      <c r="F2186" s="37"/>
    </row>
    <row r="2187" spans="6:6" x14ac:dyDescent="0.3">
      <c r="F2187" s="37"/>
    </row>
    <row r="2188" spans="6:6" x14ac:dyDescent="0.3">
      <c r="F2188" s="37"/>
    </row>
    <row r="2189" spans="6:6" x14ac:dyDescent="0.3">
      <c r="F2189" s="37"/>
    </row>
    <row r="2190" spans="6:6" x14ac:dyDescent="0.3">
      <c r="F2190" s="37"/>
    </row>
    <row r="2191" spans="6:6" x14ac:dyDescent="0.3">
      <c r="F2191" s="37"/>
    </row>
    <row r="2192" spans="6:6" x14ac:dyDescent="0.3">
      <c r="F2192" s="37"/>
    </row>
    <row r="2193" spans="6:6" x14ac:dyDescent="0.3">
      <c r="F2193" s="37"/>
    </row>
    <row r="2194" spans="6:6" x14ac:dyDescent="0.3">
      <c r="F2194" s="37"/>
    </row>
    <row r="2195" spans="6:6" x14ac:dyDescent="0.3">
      <c r="F2195" s="37"/>
    </row>
    <row r="2196" spans="6:6" x14ac:dyDescent="0.3">
      <c r="F2196" s="37"/>
    </row>
    <row r="2197" spans="6:6" x14ac:dyDescent="0.3">
      <c r="F2197" s="37"/>
    </row>
    <row r="2198" spans="6:6" x14ac:dyDescent="0.3">
      <c r="F2198" s="37"/>
    </row>
    <row r="2199" spans="6:6" x14ac:dyDescent="0.3">
      <c r="F2199" s="37"/>
    </row>
    <row r="2200" spans="6:6" x14ac:dyDescent="0.3">
      <c r="F2200" s="37"/>
    </row>
    <row r="2201" spans="6:6" x14ac:dyDescent="0.3">
      <c r="F2201" s="37"/>
    </row>
    <row r="2202" spans="6:6" x14ac:dyDescent="0.3">
      <c r="F2202" s="37"/>
    </row>
    <row r="2203" spans="6:6" x14ac:dyDescent="0.3">
      <c r="F2203" s="37"/>
    </row>
    <row r="2204" spans="6:6" x14ac:dyDescent="0.3">
      <c r="F2204" s="37"/>
    </row>
    <row r="2205" spans="6:6" x14ac:dyDescent="0.3">
      <c r="F2205" s="37"/>
    </row>
    <row r="2206" spans="6:6" x14ac:dyDescent="0.3">
      <c r="F2206" s="37"/>
    </row>
    <row r="2207" spans="6:6" x14ac:dyDescent="0.3">
      <c r="F2207" s="37"/>
    </row>
    <row r="2208" spans="6:6" x14ac:dyDescent="0.3">
      <c r="F2208" s="37"/>
    </row>
    <row r="2209" spans="6:6" x14ac:dyDescent="0.3">
      <c r="F2209" s="37"/>
    </row>
    <row r="2210" spans="6:6" x14ac:dyDescent="0.3">
      <c r="F2210" s="37"/>
    </row>
    <row r="2211" spans="6:6" x14ac:dyDescent="0.3">
      <c r="F2211" s="37"/>
    </row>
    <row r="2212" spans="6:6" x14ac:dyDescent="0.3">
      <c r="F2212" s="37"/>
    </row>
    <row r="2213" spans="6:6" x14ac:dyDescent="0.3">
      <c r="F2213" s="37"/>
    </row>
    <row r="2214" spans="6:6" x14ac:dyDescent="0.3">
      <c r="F2214" s="37"/>
    </row>
    <row r="2215" spans="6:6" x14ac:dyDescent="0.3">
      <c r="F2215" s="37"/>
    </row>
    <row r="2216" spans="6:6" x14ac:dyDescent="0.3">
      <c r="F2216" s="37"/>
    </row>
    <row r="2217" spans="6:6" x14ac:dyDescent="0.3">
      <c r="F2217" s="37"/>
    </row>
    <row r="2218" spans="6:6" x14ac:dyDescent="0.3">
      <c r="F2218" s="37"/>
    </row>
    <row r="2219" spans="6:6" x14ac:dyDescent="0.3">
      <c r="F2219" s="37"/>
    </row>
    <row r="2220" spans="6:6" x14ac:dyDescent="0.3">
      <c r="F2220" s="37"/>
    </row>
    <row r="2221" spans="6:6" x14ac:dyDescent="0.3">
      <c r="F2221" s="37"/>
    </row>
    <row r="2222" spans="6:6" x14ac:dyDescent="0.3">
      <c r="F2222" s="37"/>
    </row>
    <row r="2223" spans="6:6" x14ac:dyDescent="0.3">
      <c r="F2223" s="37"/>
    </row>
    <row r="2224" spans="6:6" x14ac:dyDescent="0.3">
      <c r="F2224" s="37"/>
    </row>
    <row r="2225" spans="6:6" x14ac:dyDescent="0.3">
      <c r="F2225" s="37"/>
    </row>
    <row r="2226" spans="6:6" x14ac:dyDescent="0.3">
      <c r="F2226" s="37"/>
    </row>
    <row r="2227" spans="6:6" x14ac:dyDescent="0.3">
      <c r="F2227" s="37"/>
    </row>
    <row r="2228" spans="6:6" x14ac:dyDescent="0.3">
      <c r="F2228" s="37"/>
    </row>
    <row r="2229" spans="6:6" x14ac:dyDescent="0.3">
      <c r="F2229" s="37"/>
    </row>
    <row r="2230" spans="6:6" x14ac:dyDescent="0.3">
      <c r="F2230" s="37"/>
    </row>
    <row r="2231" spans="6:6" x14ac:dyDescent="0.3">
      <c r="F2231" s="37"/>
    </row>
    <row r="2232" spans="6:6" x14ac:dyDescent="0.3">
      <c r="F2232" s="37"/>
    </row>
    <row r="2233" spans="6:6" x14ac:dyDescent="0.3">
      <c r="F2233" s="37"/>
    </row>
    <row r="2234" spans="6:6" x14ac:dyDescent="0.3">
      <c r="F2234" s="37"/>
    </row>
    <row r="2235" spans="6:6" x14ac:dyDescent="0.3">
      <c r="F2235" s="37"/>
    </row>
    <row r="2236" spans="6:6" x14ac:dyDescent="0.3">
      <c r="F2236" s="37"/>
    </row>
    <row r="2237" spans="6:6" x14ac:dyDescent="0.3">
      <c r="F2237" s="37"/>
    </row>
    <row r="2238" spans="6:6" x14ac:dyDescent="0.3">
      <c r="F2238" s="37"/>
    </row>
    <row r="2239" spans="6:6" x14ac:dyDescent="0.3">
      <c r="F2239" s="37"/>
    </row>
    <row r="2240" spans="6:6" x14ac:dyDescent="0.3">
      <c r="F2240" s="37"/>
    </row>
    <row r="2241" spans="6:6" x14ac:dyDescent="0.3">
      <c r="F2241" s="37"/>
    </row>
    <row r="2242" spans="6:6" x14ac:dyDescent="0.3">
      <c r="F2242" s="37"/>
    </row>
    <row r="2243" spans="6:6" x14ac:dyDescent="0.3">
      <c r="F2243" s="37"/>
    </row>
    <row r="2244" spans="6:6" x14ac:dyDescent="0.3">
      <c r="F2244" s="37"/>
    </row>
    <row r="2245" spans="6:6" x14ac:dyDescent="0.3">
      <c r="F2245" s="37"/>
    </row>
    <row r="2246" spans="6:6" x14ac:dyDescent="0.3">
      <c r="F2246" s="37"/>
    </row>
    <row r="2247" spans="6:6" x14ac:dyDescent="0.3">
      <c r="F2247" s="37"/>
    </row>
    <row r="2248" spans="6:6" x14ac:dyDescent="0.3">
      <c r="F2248" s="37"/>
    </row>
    <row r="2249" spans="6:6" x14ac:dyDescent="0.3">
      <c r="F2249" s="37"/>
    </row>
    <row r="2250" spans="6:6" x14ac:dyDescent="0.3">
      <c r="F2250" s="37"/>
    </row>
    <row r="2251" spans="6:6" x14ac:dyDescent="0.3">
      <c r="F2251" s="37"/>
    </row>
    <row r="2252" spans="6:6" x14ac:dyDescent="0.3">
      <c r="F2252" s="37"/>
    </row>
    <row r="2253" spans="6:6" x14ac:dyDescent="0.3">
      <c r="F2253" s="37"/>
    </row>
    <row r="2254" spans="6:6" x14ac:dyDescent="0.3">
      <c r="F2254" s="37"/>
    </row>
    <row r="2255" spans="6:6" x14ac:dyDescent="0.3">
      <c r="F2255" s="37"/>
    </row>
    <row r="2256" spans="6:6" x14ac:dyDescent="0.3">
      <c r="F2256" s="37"/>
    </row>
    <row r="2257" spans="6:6" x14ac:dyDescent="0.3">
      <c r="F2257" s="37"/>
    </row>
    <row r="2258" spans="6:6" x14ac:dyDescent="0.3">
      <c r="F2258" s="37"/>
    </row>
    <row r="2259" spans="6:6" x14ac:dyDescent="0.3">
      <c r="F2259" s="37"/>
    </row>
    <row r="2260" spans="6:6" x14ac:dyDescent="0.3">
      <c r="F2260" s="37"/>
    </row>
    <row r="2261" spans="6:6" x14ac:dyDescent="0.3">
      <c r="F2261" s="37"/>
    </row>
    <row r="2262" spans="6:6" x14ac:dyDescent="0.3">
      <c r="F2262" s="37"/>
    </row>
    <row r="2263" spans="6:6" x14ac:dyDescent="0.3">
      <c r="F2263" s="37"/>
    </row>
    <row r="2264" spans="6:6" x14ac:dyDescent="0.3">
      <c r="F2264" s="37"/>
    </row>
    <row r="2265" spans="6:6" x14ac:dyDescent="0.3">
      <c r="F2265" s="37"/>
    </row>
    <row r="2266" spans="6:6" x14ac:dyDescent="0.3">
      <c r="F2266" s="37"/>
    </row>
    <row r="2267" spans="6:6" x14ac:dyDescent="0.3">
      <c r="F2267" s="37"/>
    </row>
    <row r="2268" spans="6:6" x14ac:dyDescent="0.3">
      <c r="F2268" s="37"/>
    </row>
    <row r="2269" spans="6:6" x14ac:dyDescent="0.3">
      <c r="F2269" s="37"/>
    </row>
    <row r="2270" spans="6:6" x14ac:dyDescent="0.3">
      <c r="F2270" s="37"/>
    </row>
    <row r="2271" spans="6:6" x14ac:dyDescent="0.3">
      <c r="F2271" s="37"/>
    </row>
    <row r="2272" spans="6:6" x14ac:dyDescent="0.3">
      <c r="F2272" s="37"/>
    </row>
    <row r="2273" spans="6:6" x14ac:dyDescent="0.3">
      <c r="F2273" s="37"/>
    </row>
    <row r="2274" spans="6:6" x14ac:dyDescent="0.3">
      <c r="F2274" s="37"/>
    </row>
    <row r="2275" spans="6:6" x14ac:dyDescent="0.3">
      <c r="F2275" s="37"/>
    </row>
    <row r="2276" spans="6:6" x14ac:dyDescent="0.3">
      <c r="F2276" s="37"/>
    </row>
    <row r="2277" spans="6:6" x14ac:dyDescent="0.3">
      <c r="F2277" s="37"/>
    </row>
    <row r="2278" spans="6:6" x14ac:dyDescent="0.3">
      <c r="F2278" s="37"/>
    </row>
    <row r="2279" spans="6:6" x14ac:dyDescent="0.3">
      <c r="F2279" s="37"/>
    </row>
    <row r="2280" spans="6:6" x14ac:dyDescent="0.3">
      <c r="F2280" s="37"/>
    </row>
    <row r="2281" spans="6:6" x14ac:dyDescent="0.3">
      <c r="F2281" s="37"/>
    </row>
    <row r="2282" spans="6:6" x14ac:dyDescent="0.3">
      <c r="F2282" s="37"/>
    </row>
    <row r="2283" spans="6:6" x14ac:dyDescent="0.3">
      <c r="F2283" s="37"/>
    </row>
    <row r="2284" spans="6:6" x14ac:dyDescent="0.3">
      <c r="F2284" s="37"/>
    </row>
    <row r="2285" spans="6:6" x14ac:dyDescent="0.3">
      <c r="F2285" s="37"/>
    </row>
    <row r="2286" spans="6:6" x14ac:dyDescent="0.3">
      <c r="F2286" s="37"/>
    </row>
    <row r="2287" spans="6:6" x14ac:dyDescent="0.3">
      <c r="F2287" s="37"/>
    </row>
    <row r="2288" spans="6:6" x14ac:dyDescent="0.3">
      <c r="F2288" s="37"/>
    </row>
    <row r="2289" spans="6:6" x14ac:dyDescent="0.3">
      <c r="F2289" s="37"/>
    </row>
    <row r="2290" spans="6:6" x14ac:dyDescent="0.3">
      <c r="F2290" s="37"/>
    </row>
    <row r="2291" spans="6:6" x14ac:dyDescent="0.3">
      <c r="F2291" s="37"/>
    </row>
    <row r="2292" spans="6:6" x14ac:dyDescent="0.3">
      <c r="F2292" s="37"/>
    </row>
    <row r="2293" spans="6:6" x14ac:dyDescent="0.3">
      <c r="F2293" s="37"/>
    </row>
    <row r="2294" spans="6:6" x14ac:dyDescent="0.3">
      <c r="F2294" s="37"/>
    </row>
    <row r="2295" spans="6:6" x14ac:dyDescent="0.3">
      <c r="F2295" s="37"/>
    </row>
    <row r="2296" spans="6:6" x14ac:dyDescent="0.3">
      <c r="F2296" s="37"/>
    </row>
    <row r="2297" spans="6:6" x14ac:dyDescent="0.3">
      <c r="F2297" s="37"/>
    </row>
    <row r="2298" spans="6:6" x14ac:dyDescent="0.3">
      <c r="F2298" s="37"/>
    </row>
    <row r="2299" spans="6:6" x14ac:dyDescent="0.3">
      <c r="F2299" s="37"/>
    </row>
    <row r="2300" spans="6:6" x14ac:dyDescent="0.3">
      <c r="F2300" s="37"/>
    </row>
    <row r="2301" spans="6:6" x14ac:dyDescent="0.3">
      <c r="F2301" s="37"/>
    </row>
    <row r="2302" spans="6:6" x14ac:dyDescent="0.3">
      <c r="F2302" s="37"/>
    </row>
    <row r="2303" spans="6:6" x14ac:dyDescent="0.3">
      <c r="F2303" s="37"/>
    </row>
    <row r="2304" spans="6:6" x14ac:dyDescent="0.3">
      <c r="F2304" s="37"/>
    </row>
    <row r="2305" spans="6:6" x14ac:dyDescent="0.3">
      <c r="F2305" s="37"/>
    </row>
    <row r="2306" spans="6:6" x14ac:dyDescent="0.3">
      <c r="F2306" s="37"/>
    </row>
    <row r="2307" spans="6:6" x14ac:dyDescent="0.3">
      <c r="F2307" s="37"/>
    </row>
    <row r="2308" spans="6:6" x14ac:dyDescent="0.3">
      <c r="F2308" s="37"/>
    </row>
    <row r="2309" spans="6:6" x14ac:dyDescent="0.3">
      <c r="F2309" s="37"/>
    </row>
    <row r="2310" spans="6:6" x14ac:dyDescent="0.3">
      <c r="F2310" s="37"/>
    </row>
    <row r="2311" spans="6:6" x14ac:dyDescent="0.3">
      <c r="F2311" s="37"/>
    </row>
    <row r="2312" spans="6:6" x14ac:dyDescent="0.3">
      <c r="F2312" s="37"/>
    </row>
    <row r="2313" spans="6:6" x14ac:dyDescent="0.3">
      <c r="F2313" s="37"/>
    </row>
    <row r="2314" spans="6:6" x14ac:dyDescent="0.3">
      <c r="F2314" s="37"/>
    </row>
    <row r="2315" spans="6:6" x14ac:dyDescent="0.3">
      <c r="F2315" s="37"/>
    </row>
    <row r="2316" spans="6:6" x14ac:dyDescent="0.3">
      <c r="F2316" s="37"/>
    </row>
    <row r="2317" spans="6:6" x14ac:dyDescent="0.3">
      <c r="F2317" s="37"/>
    </row>
    <row r="2318" spans="6:6" x14ac:dyDescent="0.3">
      <c r="F2318" s="37"/>
    </row>
    <row r="2319" spans="6:6" x14ac:dyDescent="0.3">
      <c r="F2319" s="37"/>
    </row>
    <row r="2320" spans="6:6" x14ac:dyDescent="0.3">
      <c r="F2320" s="37"/>
    </row>
    <row r="2321" spans="6:6" x14ac:dyDescent="0.3">
      <c r="F2321" s="37"/>
    </row>
    <row r="2322" spans="6:6" x14ac:dyDescent="0.3">
      <c r="F2322" s="37"/>
    </row>
    <row r="2323" spans="6:6" x14ac:dyDescent="0.3">
      <c r="F2323" s="37"/>
    </row>
    <row r="2324" spans="6:6" x14ac:dyDescent="0.3">
      <c r="F2324" s="37"/>
    </row>
    <row r="2325" spans="6:6" x14ac:dyDescent="0.3">
      <c r="F2325" s="37"/>
    </row>
    <row r="2326" spans="6:6" x14ac:dyDescent="0.3">
      <c r="F2326" s="37"/>
    </row>
    <row r="2327" spans="6:6" x14ac:dyDescent="0.3">
      <c r="F2327" s="37"/>
    </row>
    <row r="2328" spans="6:6" x14ac:dyDescent="0.3">
      <c r="F2328" s="37"/>
    </row>
    <row r="2329" spans="6:6" x14ac:dyDescent="0.3">
      <c r="F2329" s="37"/>
    </row>
    <row r="2330" spans="6:6" x14ac:dyDescent="0.3">
      <c r="F2330" s="37"/>
    </row>
    <row r="2331" spans="6:6" x14ac:dyDescent="0.3">
      <c r="F2331" s="37"/>
    </row>
    <row r="2332" spans="6:6" x14ac:dyDescent="0.3">
      <c r="F2332" s="37"/>
    </row>
    <row r="2333" spans="6:6" x14ac:dyDescent="0.3">
      <c r="F2333" s="37"/>
    </row>
    <row r="2334" spans="6:6" x14ac:dyDescent="0.3">
      <c r="F2334" s="37"/>
    </row>
    <row r="2335" spans="6:6" x14ac:dyDescent="0.3">
      <c r="F2335" s="37"/>
    </row>
    <row r="2336" spans="6:6" x14ac:dyDescent="0.3">
      <c r="F2336" s="37"/>
    </row>
    <row r="2337" spans="6:6" x14ac:dyDescent="0.3">
      <c r="F2337" s="37"/>
    </row>
    <row r="2338" spans="6:6" x14ac:dyDescent="0.3">
      <c r="F2338" s="37"/>
    </row>
    <row r="2339" spans="6:6" x14ac:dyDescent="0.3">
      <c r="F2339" s="37"/>
    </row>
    <row r="2340" spans="6:6" x14ac:dyDescent="0.3">
      <c r="F2340" s="37"/>
    </row>
    <row r="2341" spans="6:6" x14ac:dyDescent="0.3">
      <c r="F2341" s="37"/>
    </row>
    <row r="2342" spans="6:6" x14ac:dyDescent="0.3">
      <c r="F2342" s="37"/>
    </row>
    <row r="2343" spans="6:6" x14ac:dyDescent="0.3">
      <c r="F2343" s="37"/>
    </row>
    <row r="2344" spans="6:6" x14ac:dyDescent="0.3">
      <c r="F2344" s="37"/>
    </row>
    <row r="2345" spans="6:6" x14ac:dyDescent="0.3">
      <c r="F2345" s="37"/>
    </row>
    <row r="2346" spans="6:6" x14ac:dyDescent="0.3">
      <c r="F2346" s="37"/>
    </row>
    <row r="2347" spans="6:6" x14ac:dyDescent="0.3">
      <c r="F2347" s="37"/>
    </row>
    <row r="2348" spans="6:6" x14ac:dyDescent="0.3">
      <c r="F2348" s="37"/>
    </row>
    <row r="2349" spans="6:6" x14ac:dyDescent="0.3">
      <c r="F2349" s="37"/>
    </row>
    <row r="2350" spans="6:6" x14ac:dyDescent="0.3">
      <c r="F2350" s="37"/>
    </row>
    <row r="2351" spans="6:6" x14ac:dyDescent="0.3">
      <c r="F2351" s="37"/>
    </row>
    <row r="2352" spans="6:6" x14ac:dyDescent="0.3">
      <c r="F2352" s="37"/>
    </row>
    <row r="2353" spans="6:6" x14ac:dyDescent="0.3">
      <c r="F2353" s="37"/>
    </row>
    <row r="2354" spans="6:6" x14ac:dyDescent="0.3">
      <c r="F2354" s="37"/>
    </row>
    <row r="2355" spans="6:6" x14ac:dyDescent="0.3">
      <c r="F2355" s="37"/>
    </row>
    <row r="2356" spans="6:6" x14ac:dyDescent="0.3">
      <c r="F2356" s="37"/>
    </row>
    <row r="2357" spans="6:6" x14ac:dyDescent="0.3">
      <c r="F2357" s="37"/>
    </row>
    <row r="2358" spans="6:6" x14ac:dyDescent="0.3">
      <c r="F2358" s="37"/>
    </row>
    <row r="2359" spans="6:6" x14ac:dyDescent="0.3">
      <c r="F2359" s="37"/>
    </row>
    <row r="2360" spans="6:6" x14ac:dyDescent="0.3">
      <c r="F2360" s="37"/>
    </row>
    <row r="2361" spans="6:6" x14ac:dyDescent="0.3">
      <c r="F2361" s="37"/>
    </row>
    <row r="2362" spans="6:6" x14ac:dyDescent="0.3">
      <c r="F2362" s="37"/>
    </row>
    <row r="2363" spans="6:6" x14ac:dyDescent="0.3">
      <c r="F2363" s="37"/>
    </row>
    <row r="2364" spans="6:6" x14ac:dyDescent="0.3">
      <c r="F2364" s="37"/>
    </row>
    <row r="2365" spans="6:6" x14ac:dyDescent="0.3">
      <c r="F2365" s="37"/>
    </row>
    <row r="2366" spans="6:6" x14ac:dyDescent="0.3">
      <c r="F2366" s="37"/>
    </row>
    <row r="2367" spans="6:6" x14ac:dyDescent="0.3">
      <c r="F2367" s="37"/>
    </row>
    <row r="2368" spans="6:6" x14ac:dyDescent="0.3">
      <c r="F2368" s="37"/>
    </row>
    <row r="2369" spans="6:6" x14ac:dyDescent="0.3">
      <c r="F2369" s="37"/>
    </row>
    <row r="2370" spans="6:6" x14ac:dyDescent="0.3">
      <c r="F2370" s="37"/>
    </row>
    <row r="2371" spans="6:6" x14ac:dyDescent="0.3">
      <c r="F2371" s="37"/>
    </row>
    <row r="2372" spans="6:6" x14ac:dyDescent="0.3">
      <c r="F2372" s="37"/>
    </row>
    <row r="2373" spans="6:6" x14ac:dyDescent="0.3">
      <c r="F2373" s="37"/>
    </row>
    <row r="2374" spans="6:6" x14ac:dyDescent="0.3">
      <c r="F2374" s="37"/>
    </row>
    <row r="2375" spans="6:6" x14ac:dyDescent="0.3">
      <c r="F2375" s="37"/>
    </row>
    <row r="2376" spans="6:6" x14ac:dyDescent="0.3">
      <c r="F2376" s="37"/>
    </row>
    <row r="2377" spans="6:6" x14ac:dyDescent="0.3">
      <c r="F2377" s="37"/>
    </row>
    <row r="2378" spans="6:6" x14ac:dyDescent="0.3">
      <c r="F2378" s="37"/>
    </row>
    <row r="2379" spans="6:6" x14ac:dyDescent="0.3">
      <c r="F2379" s="37"/>
    </row>
    <row r="2380" spans="6:6" x14ac:dyDescent="0.3">
      <c r="F2380" s="37"/>
    </row>
    <row r="2381" spans="6:6" x14ac:dyDescent="0.3">
      <c r="F2381" s="37"/>
    </row>
    <row r="2382" spans="6:6" x14ac:dyDescent="0.3">
      <c r="F2382" s="37"/>
    </row>
    <row r="2383" spans="6:6" x14ac:dyDescent="0.3">
      <c r="F2383" s="37"/>
    </row>
    <row r="2384" spans="6:6" x14ac:dyDescent="0.3">
      <c r="F2384" s="37"/>
    </row>
    <row r="2385" spans="6:6" x14ac:dyDescent="0.3">
      <c r="F2385" s="37"/>
    </row>
    <row r="2386" spans="6:6" x14ac:dyDescent="0.3">
      <c r="F2386" s="37"/>
    </row>
    <row r="2387" spans="6:6" x14ac:dyDescent="0.3">
      <c r="F2387" s="37"/>
    </row>
    <row r="2388" spans="6:6" x14ac:dyDescent="0.3">
      <c r="F2388" s="37"/>
    </row>
    <row r="2389" spans="6:6" x14ac:dyDescent="0.3">
      <c r="F2389" s="37"/>
    </row>
    <row r="2390" spans="6:6" x14ac:dyDescent="0.3">
      <c r="F2390" s="37"/>
    </row>
    <row r="2391" spans="6:6" x14ac:dyDescent="0.3">
      <c r="F2391" s="37"/>
    </row>
    <row r="2392" spans="6:6" x14ac:dyDescent="0.3">
      <c r="F2392" s="37"/>
    </row>
    <row r="2393" spans="6:6" x14ac:dyDescent="0.3">
      <c r="F2393" s="37"/>
    </row>
    <row r="2394" spans="6:6" x14ac:dyDescent="0.3">
      <c r="F2394" s="37"/>
    </row>
    <row r="2395" spans="6:6" x14ac:dyDescent="0.3">
      <c r="F2395" s="37"/>
    </row>
    <row r="2396" spans="6:6" x14ac:dyDescent="0.3">
      <c r="F2396" s="37"/>
    </row>
    <row r="2397" spans="6:6" x14ac:dyDescent="0.3">
      <c r="F2397" s="37"/>
    </row>
    <row r="2398" spans="6:6" x14ac:dyDescent="0.3">
      <c r="F2398" s="37"/>
    </row>
    <row r="2399" spans="6:6" x14ac:dyDescent="0.3">
      <c r="F2399" s="37"/>
    </row>
    <row r="2400" spans="6:6" x14ac:dyDescent="0.3">
      <c r="F2400" s="37"/>
    </row>
    <row r="2401" spans="6:6" x14ac:dyDescent="0.3">
      <c r="F2401" s="37"/>
    </row>
    <row r="2402" spans="6:6" x14ac:dyDescent="0.3">
      <c r="F2402" s="37"/>
    </row>
    <row r="2403" spans="6:6" x14ac:dyDescent="0.3">
      <c r="F2403" s="37"/>
    </row>
    <row r="2404" spans="6:6" x14ac:dyDescent="0.3">
      <c r="F2404" s="37"/>
    </row>
    <row r="2405" spans="6:6" x14ac:dyDescent="0.3">
      <c r="F2405" s="37"/>
    </row>
    <row r="2406" spans="6:6" x14ac:dyDescent="0.3">
      <c r="F2406" s="37"/>
    </row>
    <row r="2407" spans="6:6" x14ac:dyDescent="0.3">
      <c r="F2407" s="37"/>
    </row>
    <row r="2408" spans="6:6" x14ac:dyDescent="0.3">
      <c r="F2408" s="37"/>
    </row>
    <row r="2409" spans="6:6" x14ac:dyDescent="0.3">
      <c r="F2409" s="37"/>
    </row>
    <row r="2410" spans="6:6" x14ac:dyDescent="0.3">
      <c r="F2410" s="37"/>
    </row>
    <row r="2411" spans="6:6" x14ac:dyDescent="0.3">
      <c r="F2411" s="37"/>
    </row>
    <row r="2412" spans="6:6" x14ac:dyDescent="0.3">
      <c r="F2412" s="37"/>
    </row>
    <row r="2413" spans="6:6" x14ac:dyDescent="0.3">
      <c r="F2413" s="37"/>
    </row>
  </sheetData>
  <autoFilter ref="A1:H349" xr:uid="{88461494-6EAF-479D-944C-7F3E9EABC04D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A232A7-A06C-4D2B-AD98-3B8734688396}">
          <x14:formula1>
            <xm:f>Categorias!$A$2:$A$54</xm:f>
          </x14:formula1>
          <xm:sqref>C2:C199</xm:sqref>
        </x14:dataValidation>
        <x14:dataValidation type="list" allowBlank="1" showInputMessage="1" showErrorMessage="1" xr:uid="{C982D68A-81DD-4C5E-B078-E5C1545BCB73}">
          <x14:formula1>
            <xm:f>Categorias!$E$2:$E$6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D656-3DC7-48B3-9176-291F0988EE86}">
  <dimension ref="A1:F54"/>
  <sheetViews>
    <sheetView topLeftCell="A22" workbookViewId="0">
      <selection activeCell="B58" sqref="B58"/>
    </sheetView>
  </sheetViews>
  <sheetFormatPr defaultRowHeight="14.4" x14ac:dyDescent="0.3"/>
  <cols>
    <col min="1" max="6" width="2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1" t="s">
        <v>28</v>
      </c>
      <c r="F1" s="1" t="s">
        <v>29</v>
      </c>
    </row>
    <row r="2" spans="1:6" x14ac:dyDescent="0.3">
      <c r="A2" t="s">
        <v>3</v>
      </c>
      <c r="B2" t="s">
        <v>34</v>
      </c>
      <c r="C2" t="s">
        <v>4</v>
      </c>
      <c r="E2" t="s">
        <v>30</v>
      </c>
      <c r="F2" s="37">
        <v>0</v>
      </c>
    </row>
    <row r="3" spans="1:6" x14ac:dyDescent="0.3">
      <c r="A3" t="s">
        <v>5</v>
      </c>
      <c r="B3" t="s">
        <v>34</v>
      </c>
      <c r="C3" t="s">
        <v>4</v>
      </c>
      <c r="E3" t="s">
        <v>31</v>
      </c>
      <c r="F3" s="37">
        <v>0</v>
      </c>
    </row>
    <row r="4" spans="1:6" x14ac:dyDescent="0.3">
      <c r="A4" t="s">
        <v>6</v>
      </c>
      <c r="B4" t="s">
        <v>34</v>
      </c>
      <c r="C4" t="s">
        <v>6</v>
      </c>
      <c r="E4" t="s">
        <v>32</v>
      </c>
      <c r="F4" s="37">
        <v>0</v>
      </c>
    </row>
    <row r="5" spans="1:6" x14ac:dyDescent="0.3">
      <c r="A5" t="s">
        <v>7</v>
      </c>
      <c r="B5" t="s">
        <v>35</v>
      </c>
      <c r="C5" t="s">
        <v>8</v>
      </c>
      <c r="E5" t="s">
        <v>152</v>
      </c>
    </row>
    <row r="6" spans="1:6" x14ac:dyDescent="0.3">
      <c r="A6" t="s">
        <v>9</v>
      </c>
      <c r="B6" t="s">
        <v>35</v>
      </c>
      <c r="C6" t="s">
        <v>8</v>
      </c>
      <c r="E6" t="s">
        <v>153</v>
      </c>
    </row>
    <row r="7" spans="1:6" x14ac:dyDescent="0.3">
      <c r="A7" t="s">
        <v>10</v>
      </c>
      <c r="B7" t="s">
        <v>35</v>
      </c>
      <c r="C7" t="s">
        <v>11</v>
      </c>
    </row>
    <row r="8" spans="1:6" x14ac:dyDescent="0.3">
      <c r="A8" t="s">
        <v>12</v>
      </c>
      <c r="B8" t="s">
        <v>35</v>
      </c>
      <c r="C8" t="s">
        <v>11</v>
      </c>
    </row>
    <row r="9" spans="1:6" x14ac:dyDescent="0.3">
      <c r="A9" t="s">
        <v>13</v>
      </c>
      <c r="B9" t="s">
        <v>35</v>
      </c>
      <c r="C9" t="s">
        <v>14</v>
      </c>
    </row>
    <row r="10" spans="1:6" x14ac:dyDescent="0.3">
      <c r="A10" t="s">
        <v>15</v>
      </c>
      <c r="B10" t="s">
        <v>35</v>
      </c>
      <c r="C10" t="s">
        <v>14</v>
      </c>
    </row>
    <row r="11" spans="1:6" x14ac:dyDescent="0.3">
      <c r="A11" t="s">
        <v>16</v>
      </c>
      <c r="B11" t="s">
        <v>35</v>
      </c>
      <c r="C11" t="s">
        <v>14</v>
      </c>
    </row>
    <row r="12" spans="1:6" x14ac:dyDescent="0.3">
      <c r="A12" t="s">
        <v>17</v>
      </c>
      <c r="B12" t="s">
        <v>35</v>
      </c>
      <c r="C12" t="s">
        <v>14</v>
      </c>
    </row>
    <row r="13" spans="1:6" x14ac:dyDescent="0.3">
      <c r="A13" t="s">
        <v>18</v>
      </c>
      <c r="B13" t="s">
        <v>35</v>
      </c>
      <c r="C13" t="s">
        <v>14</v>
      </c>
    </row>
    <row r="14" spans="1:6" x14ac:dyDescent="0.3">
      <c r="A14" t="s">
        <v>19</v>
      </c>
      <c r="B14" t="s">
        <v>35</v>
      </c>
      <c r="C14" t="s">
        <v>14</v>
      </c>
    </row>
    <row r="15" spans="1:6" x14ac:dyDescent="0.3">
      <c r="A15" t="s">
        <v>20</v>
      </c>
      <c r="B15" t="s">
        <v>35</v>
      </c>
      <c r="C15" t="s">
        <v>14</v>
      </c>
    </row>
    <row r="16" spans="1:6" x14ac:dyDescent="0.3">
      <c r="A16" t="s">
        <v>21</v>
      </c>
      <c r="B16" t="s">
        <v>35</v>
      </c>
      <c r="C16" t="s">
        <v>14</v>
      </c>
    </row>
    <row r="17" spans="1:3" x14ac:dyDescent="0.3">
      <c r="A17" t="s">
        <v>22</v>
      </c>
      <c r="B17" t="s">
        <v>35</v>
      </c>
      <c r="C17" t="s">
        <v>23</v>
      </c>
    </row>
    <row r="18" spans="1:3" x14ac:dyDescent="0.3">
      <c r="A18" t="s">
        <v>24</v>
      </c>
      <c r="B18" t="s">
        <v>35</v>
      </c>
      <c r="C18" t="s">
        <v>23</v>
      </c>
    </row>
    <row r="19" spans="1:3" x14ac:dyDescent="0.3">
      <c r="A19" t="s">
        <v>25</v>
      </c>
      <c r="B19" t="s">
        <v>34</v>
      </c>
      <c r="C19" t="s">
        <v>25</v>
      </c>
    </row>
    <row r="20" spans="1:3" x14ac:dyDescent="0.3">
      <c r="A20" t="s">
        <v>26</v>
      </c>
      <c r="B20" t="s">
        <v>35</v>
      </c>
      <c r="C20" t="s">
        <v>27</v>
      </c>
    </row>
    <row r="21" spans="1:3" x14ac:dyDescent="0.3">
      <c r="A21" t="s">
        <v>81</v>
      </c>
      <c r="B21" t="s">
        <v>34</v>
      </c>
      <c r="C21" t="s">
        <v>4</v>
      </c>
    </row>
    <row r="22" spans="1:3" x14ac:dyDescent="0.3">
      <c r="A22" t="s">
        <v>82</v>
      </c>
      <c r="B22" t="s">
        <v>34</v>
      </c>
      <c r="C22" t="s">
        <v>4</v>
      </c>
    </row>
    <row r="23" spans="1:3" x14ac:dyDescent="0.3">
      <c r="A23" t="s">
        <v>83</v>
      </c>
      <c r="B23" t="s">
        <v>34</v>
      </c>
      <c r="C23" t="s">
        <v>6</v>
      </c>
    </row>
    <row r="24" spans="1:3" x14ac:dyDescent="0.3">
      <c r="A24" t="s">
        <v>84</v>
      </c>
      <c r="B24" t="s">
        <v>34</v>
      </c>
      <c r="C24" t="s">
        <v>6</v>
      </c>
    </row>
    <row r="25" spans="1:3" x14ac:dyDescent="0.3">
      <c r="A25" t="s">
        <v>85</v>
      </c>
      <c r="B25" t="s">
        <v>34</v>
      </c>
      <c r="C25" t="s">
        <v>6</v>
      </c>
    </row>
    <row r="26" spans="1:3" x14ac:dyDescent="0.3">
      <c r="A26" t="s">
        <v>86</v>
      </c>
      <c r="B26" t="s">
        <v>34</v>
      </c>
      <c r="C26" t="s">
        <v>6</v>
      </c>
    </row>
    <row r="27" spans="1:3" x14ac:dyDescent="0.3">
      <c r="A27" t="s">
        <v>87</v>
      </c>
      <c r="B27" t="s">
        <v>34</v>
      </c>
      <c r="C27" t="s">
        <v>6</v>
      </c>
    </row>
    <row r="28" spans="1:3" x14ac:dyDescent="0.3">
      <c r="A28" t="s">
        <v>88</v>
      </c>
      <c r="B28" t="s">
        <v>35</v>
      </c>
      <c r="C28" t="s">
        <v>14</v>
      </c>
    </row>
    <row r="29" spans="1:3" x14ac:dyDescent="0.3">
      <c r="A29" t="s">
        <v>89</v>
      </c>
      <c r="B29" t="s">
        <v>35</v>
      </c>
      <c r="C29" t="s">
        <v>11</v>
      </c>
    </row>
    <row r="30" spans="1:3" x14ac:dyDescent="0.3">
      <c r="A30" t="s">
        <v>90</v>
      </c>
      <c r="B30" t="s">
        <v>35</v>
      </c>
      <c r="C30" t="s">
        <v>14</v>
      </c>
    </row>
    <row r="31" spans="1:3" x14ac:dyDescent="0.3">
      <c r="A31" t="s">
        <v>91</v>
      </c>
      <c r="B31" t="s">
        <v>35</v>
      </c>
      <c r="C31" t="s">
        <v>14</v>
      </c>
    </row>
    <row r="32" spans="1:3" x14ac:dyDescent="0.3">
      <c r="A32" t="s">
        <v>92</v>
      </c>
      <c r="B32" t="s">
        <v>35</v>
      </c>
      <c r="C32" t="s">
        <v>14</v>
      </c>
    </row>
    <row r="33" spans="1:3" x14ac:dyDescent="0.3">
      <c r="A33" t="s">
        <v>93</v>
      </c>
      <c r="B33" t="s">
        <v>35</v>
      </c>
      <c r="C33" t="s">
        <v>14</v>
      </c>
    </row>
    <row r="34" spans="1:3" x14ac:dyDescent="0.3">
      <c r="A34" t="s">
        <v>94</v>
      </c>
      <c r="B34" t="s">
        <v>35</v>
      </c>
      <c r="C34" t="s">
        <v>14</v>
      </c>
    </row>
    <row r="35" spans="1:3" x14ac:dyDescent="0.3">
      <c r="A35" t="s">
        <v>95</v>
      </c>
      <c r="B35" t="s">
        <v>35</v>
      </c>
      <c r="C35" t="s">
        <v>14</v>
      </c>
    </row>
    <row r="36" spans="1:3" x14ac:dyDescent="0.3">
      <c r="A36" t="s">
        <v>96</v>
      </c>
      <c r="B36" t="s">
        <v>35</v>
      </c>
      <c r="C36" t="s">
        <v>14</v>
      </c>
    </row>
    <row r="37" spans="1:3" x14ac:dyDescent="0.3">
      <c r="A37" t="s">
        <v>97</v>
      </c>
      <c r="B37" t="s">
        <v>35</v>
      </c>
      <c r="C37" t="s">
        <v>14</v>
      </c>
    </row>
    <row r="38" spans="1:3" x14ac:dyDescent="0.3">
      <c r="A38" t="s">
        <v>98</v>
      </c>
      <c r="B38" t="s">
        <v>35</v>
      </c>
      <c r="C38" t="s">
        <v>14</v>
      </c>
    </row>
    <row r="39" spans="1:3" x14ac:dyDescent="0.3">
      <c r="A39" t="s">
        <v>99</v>
      </c>
      <c r="B39" t="s">
        <v>35</v>
      </c>
      <c r="C39" t="s">
        <v>14</v>
      </c>
    </row>
    <row r="40" spans="1:3" x14ac:dyDescent="0.3">
      <c r="A40" t="s">
        <v>100</v>
      </c>
      <c r="B40" t="s">
        <v>35</v>
      </c>
      <c r="C40" t="s">
        <v>14</v>
      </c>
    </row>
    <row r="41" spans="1:3" x14ac:dyDescent="0.3">
      <c r="A41" t="s">
        <v>101</v>
      </c>
      <c r="B41" t="s">
        <v>35</v>
      </c>
      <c r="C41" t="s">
        <v>14</v>
      </c>
    </row>
    <row r="42" spans="1:3" x14ac:dyDescent="0.3">
      <c r="A42" t="s">
        <v>102</v>
      </c>
      <c r="B42" t="s">
        <v>35</v>
      </c>
      <c r="C42" t="s">
        <v>14</v>
      </c>
    </row>
    <row r="43" spans="1:3" x14ac:dyDescent="0.3">
      <c r="A43" t="s">
        <v>103</v>
      </c>
      <c r="B43" t="s">
        <v>35</v>
      </c>
      <c r="C43" t="s">
        <v>14</v>
      </c>
    </row>
    <row r="44" spans="1:3" x14ac:dyDescent="0.3">
      <c r="A44" t="s">
        <v>104</v>
      </c>
      <c r="B44" t="s">
        <v>35</v>
      </c>
      <c r="C44" t="s">
        <v>14</v>
      </c>
    </row>
    <row r="45" spans="1:3" x14ac:dyDescent="0.3">
      <c r="A45" t="s">
        <v>105</v>
      </c>
      <c r="B45" t="s">
        <v>35</v>
      </c>
      <c r="C45" t="s">
        <v>23</v>
      </c>
    </row>
    <row r="46" spans="1:3" x14ac:dyDescent="0.3">
      <c r="A46" t="s">
        <v>106</v>
      </c>
      <c r="B46" t="s">
        <v>35</v>
      </c>
      <c r="C46" t="s">
        <v>23</v>
      </c>
    </row>
    <row r="47" spans="1:3" x14ac:dyDescent="0.3">
      <c r="A47" t="s">
        <v>107</v>
      </c>
      <c r="B47" t="s">
        <v>35</v>
      </c>
      <c r="C47" t="s">
        <v>23</v>
      </c>
    </row>
    <row r="48" spans="1:3" x14ac:dyDescent="0.3">
      <c r="A48" t="s">
        <v>108</v>
      </c>
      <c r="B48" t="s">
        <v>35</v>
      </c>
      <c r="C48" t="s">
        <v>11</v>
      </c>
    </row>
    <row r="49" spans="1:3" x14ac:dyDescent="0.3">
      <c r="A49" t="s">
        <v>109</v>
      </c>
      <c r="B49" t="s">
        <v>35</v>
      </c>
      <c r="C49" t="s">
        <v>14</v>
      </c>
    </row>
    <row r="50" spans="1:3" x14ac:dyDescent="0.3">
      <c r="A50" t="s">
        <v>110</v>
      </c>
      <c r="B50" t="s">
        <v>35</v>
      </c>
      <c r="C50" t="s">
        <v>14</v>
      </c>
    </row>
    <row r="51" spans="1:3" x14ac:dyDescent="0.3">
      <c r="A51" t="s">
        <v>111</v>
      </c>
      <c r="B51" t="s">
        <v>35</v>
      </c>
      <c r="C51" t="s">
        <v>27</v>
      </c>
    </row>
    <row r="52" spans="1:3" x14ac:dyDescent="0.3">
      <c r="A52" t="s">
        <v>112</v>
      </c>
      <c r="B52" t="s">
        <v>35</v>
      </c>
      <c r="C52" t="s">
        <v>8</v>
      </c>
    </row>
    <row r="53" spans="1:3" x14ac:dyDescent="0.3">
      <c r="A53" t="s">
        <v>113</v>
      </c>
      <c r="B53" t="s">
        <v>35</v>
      </c>
      <c r="C53" t="s">
        <v>8</v>
      </c>
    </row>
    <row r="54" spans="1:3" x14ac:dyDescent="0.3">
      <c r="A54" t="s">
        <v>114</v>
      </c>
      <c r="B54" t="s">
        <v>35</v>
      </c>
      <c r="C54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901C-D006-4302-8878-4A61F37CC4A1}">
  <dimension ref="A1:N18"/>
  <sheetViews>
    <sheetView workbookViewId="0">
      <selection activeCell="K24" sqref="K24"/>
    </sheetView>
  </sheetViews>
  <sheetFormatPr defaultRowHeight="14.4" x14ac:dyDescent="0.3"/>
  <cols>
    <col min="1" max="1" width="40.77734375" customWidth="1"/>
    <col min="2" max="2" width="13" bestFit="1" customWidth="1"/>
    <col min="3" max="3" width="14" bestFit="1" customWidth="1"/>
    <col min="7" max="7" width="12.88671875" bestFit="1" customWidth="1"/>
    <col min="14" max="14" width="14.33203125" bestFit="1" customWidth="1"/>
  </cols>
  <sheetData>
    <row r="1" spans="1:14" ht="18" x14ac:dyDescent="0.35">
      <c r="A1" s="70" t="s">
        <v>38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3" spans="1:14" x14ac:dyDescent="0.3">
      <c r="A3" s="4" t="s">
        <v>39</v>
      </c>
      <c r="B3" s="5">
        <f ca="1">YEAR(TODAY())</f>
        <v>2026</v>
      </c>
    </row>
    <row r="5" spans="1:14" x14ac:dyDescent="0.3">
      <c r="A5" s="1" t="s">
        <v>40</v>
      </c>
      <c r="B5" s="7">
        <f ca="1">DATE($B$3,1,1)</f>
        <v>46023</v>
      </c>
      <c r="C5" s="7">
        <f ca="1">EDATE(B5,1)</f>
        <v>46054</v>
      </c>
      <c r="D5" s="7">
        <f ca="1">EDATE(B5,2)</f>
        <v>46082</v>
      </c>
      <c r="E5" s="7">
        <f ca="1">EDATE(B5,3)</f>
        <v>46113</v>
      </c>
      <c r="F5" s="7">
        <f ca="1">EDATE(B5,4)</f>
        <v>46143</v>
      </c>
      <c r="G5" s="7">
        <f ca="1">EDATE(B5,5)</f>
        <v>46174</v>
      </c>
      <c r="H5" s="7">
        <f ca="1">EDATE(B5,6)</f>
        <v>46204</v>
      </c>
      <c r="I5" s="7">
        <f ca="1">EDATE(B5,7)</f>
        <v>46235</v>
      </c>
      <c r="J5" s="7">
        <f ca="1">EDATE(B5,8)</f>
        <v>46266</v>
      </c>
      <c r="K5" s="7">
        <f ca="1">EDATE(B5,9)</f>
        <v>46296</v>
      </c>
      <c r="L5" s="7">
        <f ca="1">EDATE(B5,10)</f>
        <v>46327</v>
      </c>
      <c r="M5" s="7">
        <f ca="1">EDATE(B5,11)</f>
        <v>46357</v>
      </c>
      <c r="N5" s="6" t="s">
        <v>41</v>
      </c>
    </row>
    <row r="6" spans="1:14" x14ac:dyDescent="0.3">
      <c r="A6" s="4" t="s">
        <v>42</v>
      </c>
      <c r="B6" s="37">
        <f ca="1">SUMIFS(Lançamentos!$F:$F,Lançamentos!$E:$E,"Receita Bruta",Lançamentos!$H:$H,B$5)</f>
        <v>0</v>
      </c>
      <c r="C6" s="37">
        <f ca="1">SUMIFS(Lançamentos!$F:$F,Lançamentos!$E:$E,"Receita Bruta",Lançamentos!$H:$H,C$5)</f>
        <v>0</v>
      </c>
      <c r="D6" s="37">
        <f ca="1">SUMIFS(Lançamentos!$F:$F,Lançamentos!$E:$E,"Receita Bruta",Lançamentos!$H:$H,D$5)</f>
        <v>0</v>
      </c>
      <c r="E6" s="37">
        <f ca="1">SUMIFS(Lançamentos!$F:$F,Lançamentos!$E:$E,"Receita Bruta",Lançamentos!$H:$H,E$5)</f>
        <v>0</v>
      </c>
      <c r="F6" s="37">
        <f ca="1">SUMIFS(Lançamentos!$F:$F,Lançamentos!$E:$E,"Receita Bruta",Lançamentos!$H:$H,F$5)</f>
        <v>0</v>
      </c>
      <c r="G6" s="37">
        <f ca="1">SUMIFS(Lançamentos!$F:$F,Lançamentos!$E:$E,"Receita Bruta",Lançamentos!$H:$H,G$5)</f>
        <v>20878.129999999965</v>
      </c>
      <c r="H6" s="37">
        <f ca="1">SUMIFS(Lançamentos!$F:$F,Lançamentos!$E:$E,"Receita Bruta",Lançamentos!$H:$H,H$5)</f>
        <v>0</v>
      </c>
      <c r="I6" s="37">
        <f ca="1">SUMIFS(Lançamentos!$F:$F,Lançamentos!$E:$E,"Receita Bruta",Lançamentos!$H:$H,I$5)</f>
        <v>0</v>
      </c>
      <c r="J6" s="37">
        <f ca="1">SUMIFS(Lançamentos!$F:$F,Lançamentos!$E:$E,"Receita Bruta",Lançamentos!$H:$H,J$5)</f>
        <v>0</v>
      </c>
      <c r="K6" s="37">
        <f ca="1">SUMIFS(Lançamentos!$F:$F,Lançamentos!$E:$E,"Receita Bruta",Lançamentos!$H:$H,K$5)</f>
        <v>0</v>
      </c>
      <c r="L6" s="37">
        <f ca="1">SUMIFS(Lançamentos!$F:$F,Lançamentos!$E:$E,"Receita Bruta",Lançamentos!$H:$H,L$5)</f>
        <v>0</v>
      </c>
      <c r="M6" s="37">
        <f ca="1">SUMIFS(Lançamentos!$F:$F,Lançamentos!$E:$E,"Receita Bruta",Lançamentos!$H:$H,M$5)</f>
        <v>0</v>
      </c>
      <c r="N6" s="39">
        <f t="shared" ref="N6:N18" ca="1" si="0">SUM(B6:M6)</f>
        <v>20878.129999999965</v>
      </c>
    </row>
    <row r="7" spans="1:14" x14ac:dyDescent="0.3">
      <c r="A7" s="9" t="s">
        <v>43</v>
      </c>
      <c r="B7" s="37">
        <f ca="1">SUMIFS(Lançamentos!$F:$F,Lançamentos!$E:$E,"Deduções",Lançamentos!$H:$H,B$5)</f>
        <v>0</v>
      </c>
      <c r="C7" s="37">
        <f ca="1">SUMIFS(Lançamentos!$F:$F,Lançamentos!$E:$E,"Deduções",Lançamentos!$H:$H,C$5)</f>
        <v>0</v>
      </c>
      <c r="D7" s="37">
        <f ca="1">SUMIFS(Lançamentos!$F:$F,Lançamentos!$E:$E,"Deduções",Lançamentos!$H:$H,D$5)</f>
        <v>0</v>
      </c>
      <c r="E7" s="37">
        <f ca="1">SUMIFS(Lançamentos!$F:$F,Lançamentos!$E:$E,"Deduções",Lançamentos!$H:$H,E$5)</f>
        <v>0</v>
      </c>
      <c r="F7" s="37">
        <f ca="1">SUMIFS(Lançamentos!$F:$F,Lançamentos!$E:$E,"Deduções",Lançamentos!$H:$H,F$5)</f>
        <v>0</v>
      </c>
      <c r="G7" s="37">
        <f ca="1">SUMIFS(Lançamentos!$F:$F,Lançamentos!$E:$E,"Deduções",Lançamentos!$H:$H,G$5)</f>
        <v>0</v>
      </c>
      <c r="H7" s="37">
        <f ca="1">SUMIFS(Lançamentos!$F:$F,Lançamentos!$E:$E,"Deduções",Lançamentos!$H:$H,H$5)</f>
        <v>0</v>
      </c>
      <c r="I7" s="37">
        <f ca="1">SUMIFS(Lançamentos!$F:$F,Lançamentos!$E:$E,"Deduções",Lançamentos!$H:$H,I$5)</f>
        <v>0</v>
      </c>
      <c r="J7" s="37">
        <f ca="1">SUMIFS(Lançamentos!$F:$F,Lançamentos!$E:$E,"Deduções",Lançamentos!$H:$H,J$5)</f>
        <v>0</v>
      </c>
      <c r="K7" s="37">
        <f ca="1">SUMIFS(Lançamentos!$F:$F,Lançamentos!$E:$E,"Deduções",Lançamentos!$H:$H,K$5)</f>
        <v>0</v>
      </c>
      <c r="L7" s="37">
        <f ca="1">SUMIFS(Lançamentos!$F:$F,Lançamentos!$E:$E,"Deduções",Lançamentos!$H:$H,L$5)</f>
        <v>0</v>
      </c>
      <c r="M7" s="37">
        <f ca="1">SUMIFS(Lançamentos!$F:$F,Lançamentos!$E:$E,"Deduções",Lançamentos!$H:$H,M$5)</f>
        <v>0</v>
      </c>
      <c r="N7" s="39">
        <f t="shared" ca="1" si="0"/>
        <v>0</v>
      </c>
    </row>
    <row r="8" spans="1:14" x14ac:dyDescent="0.3">
      <c r="A8" s="10" t="s">
        <v>44</v>
      </c>
      <c r="B8" s="40">
        <f t="shared" ref="B8:M8" ca="1" si="1">B6+B7</f>
        <v>0</v>
      </c>
      <c r="C8" s="40">
        <f t="shared" ca="1" si="1"/>
        <v>0</v>
      </c>
      <c r="D8" s="40">
        <f t="shared" ca="1" si="1"/>
        <v>0</v>
      </c>
      <c r="E8" s="40">
        <f t="shared" ca="1" si="1"/>
        <v>0</v>
      </c>
      <c r="F8" s="40">
        <f t="shared" ca="1" si="1"/>
        <v>0</v>
      </c>
      <c r="G8" s="40">
        <f t="shared" ca="1" si="1"/>
        <v>20878.129999999965</v>
      </c>
      <c r="H8" s="40">
        <f t="shared" ca="1" si="1"/>
        <v>0</v>
      </c>
      <c r="I8" s="40">
        <f t="shared" ca="1" si="1"/>
        <v>0</v>
      </c>
      <c r="J8" s="40">
        <f t="shared" ca="1" si="1"/>
        <v>0</v>
      </c>
      <c r="K8" s="40">
        <f t="shared" ca="1" si="1"/>
        <v>0</v>
      </c>
      <c r="L8" s="40">
        <f t="shared" ca="1" si="1"/>
        <v>0</v>
      </c>
      <c r="M8" s="40">
        <f t="shared" ca="1" si="1"/>
        <v>0</v>
      </c>
      <c r="N8" s="39">
        <f t="shared" ca="1" si="0"/>
        <v>20878.129999999965</v>
      </c>
    </row>
    <row r="9" spans="1:14" x14ac:dyDescent="0.3">
      <c r="A9" s="9" t="s">
        <v>45</v>
      </c>
      <c r="B9" s="37">
        <f ca="1">SUMIFS(Lançamentos!$F:$F,Lançamentos!$E:$E,"CMV",Lançamentos!$H:$H,B$5)</f>
        <v>0</v>
      </c>
      <c r="C9" s="37">
        <f ca="1">SUMIFS(Lançamentos!$F:$F,Lançamentos!$E:$E,"CMV",Lançamentos!$H:$H,C$5)</f>
        <v>0</v>
      </c>
      <c r="D9" s="37">
        <f ca="1">SUMIFS(Lançamentos!$F:$F,Lançamentos!$E:$E,"CMV",Lançamentos!$H:$H,D$5)</f>
        <v>0</v>
      </c>
      <c r="E9" s="37">
        <f ca="1">SUMIFS(Lançamentos!$F:$F,Lançamentos!$E:$E,"CMV",Lançamentos!$H:$H,E$5)</f>
        <v>0</v>
      </c>
      <c r="F9" s="37">
        <f ca="1">SUMIFS(Lançamentos!$F:$F,Lançamentos!$E:$E,"CMV",Lançamentos!$H:$H,F$5)</f>
        <v>0</v>
      </c>
      <c r="G9" s="37">
        <f ca="1">SUMIFS(Lançamentos!$F:$F,Lançamentos!$E:$E,"CMV",Lançamentos!$H:$H,G$5)</f>
        <v>-14865.69</v>
      </c>
      <c r="H9" s="37">
        <f ca="1">SUMIFS(Lançamentos!$F:$F,Lançamentos!$E:$E,"CMV",Lançamentos!$H:$H,H$5)</f>
        <v>0</v>
      </c>
      <c r="I9" s="37">
        <f ca="1">SUMIFS(Lançamentos!$F:$F,Lançamentos!$E:$E,"CMV",Lançamentos!$H:$H,I$5)</f>
        <v>0</v>
      </c>
      <c r="J9" s="37">
        <f ca="1">SUMIFS(Lançamentos!$F:$F,Lançamentos!$E:$E,"CMV",Lançamentos!$H:$H,J$5)</f>
        <v>0</v>
      </c>
      <c r="K9" s="37">
        <f ca="1">SUMIFS(Lançamentos!$F:$F,Lançamentos!$E:$E,"CMV",Lançamentos!$H:$H,K$5)</f>
        <v>0</v>
      </c>
      <c r="L9" s="37">
        <f ca="1">SUMIFS(Lançamentos!$F:$F,Lançamentos!$E:$E,"CMV",Lançamentos!$H:$H,L$5)</f>
        <v>0</v>
      </c>
      <c r="M9" s="37">
        <f ca="1">SUMIFS(Lançamentos!$F:$F,Lançamentos!$E:$E,"CMV",Lançamentos!$H:$H,M$5)</f>
        <v>0</v>
      </c>
      <c r="N9" s="39">
        <f t="shared" ca="1" si="0"/>
        <v>-14865.69</v>
      </c>
    </row>
    <row r="10" spans="1:14" x14ac:dyDescent="0.3">
      <c r="A10" s="10" t="s">
        <v>46</v>
      </c>
      <c r="B10" s="40">
        <f t="shared" ref="B10:M10" ca="1" si="2">B8+B9</f>
        <v>0</v>
      </c>
      <c r="C10" s="40">
        <f t="shared" ca="1" si="2"/>
        <v>0</v>
      </c>
      <c r="D10" s="40">
        <f t="shared" ca="1" si="2"/>
        <v>0</v>
      </c>
      <c r="E10" s="40">
        <f t="shared" ca="1" si="2"/>
        <v>0</v>
      </c>
      <c r="F10" s="40">
        <f t="shared" ca="1" si="2"/>
        <v>0</v>
      </c>
      <c r="G10" s="40">
        <f t="shared" ca="1" si="2"/>
        <v>6012.4399999999641</v>
      </c>
      <c r="H10" s="40">
        <f t="shared" ca="1" si="2"/>
        <v>0</v>
      </c>
      <c r="I10" s="40">
        <f t="shared" ca="1" si="2"/>
        <v>0</v>
      </c>
      <c r="J10" s="40">
        <f t="shared" ca="1" si="2"/>
        <v>0</v>
      </c>
      <c r="K10" s="40">
        <f t="shared" ca="1" si="2"/>
        <v>0</v>
      </c>
      <c r="L10" s="40">
        <f t="shared" ca="1" si="2"/>
        <v>0</v>
      </c>
      <c r="M10" s="40">
        <f t="shared" ca="1" si="2"/>
        <v>0</v>
      </c>
      <c r="N10" s="39">
        <f t="shared" ca="1" si="0"/>
        <v>6012.4399999999641</v>
      </c>
    </row>
    <row r="11" spans="1:14" x14ac:dyDescent="0.3">
      <c r="A11" s="9" t="s">
        <v>47</v>
      </c>
      <c r="B11" s="37">
        <f ca="1">SUMIFS(Lançamentos!$F:$F,Lançamentos!$E:$E,"Despesas Operacionais",Lançamentos!$H:$H,B$5)</f>
        <v>0</v>
      </c>
      <c r="C11" s="37">
        <f ca="1">SUMIFS(Lançamentos!$F:$F,Lançamentos!$E:$E,"Despesas Operacionais",Lançamentos!$H:$H,C$5)</f>
        <v>0</v>
      </c>
      <c r="D11" s="37">
        <f ca="1">SUMIFS(Lançamentos!$F:$F,Lançamentos!$E:$E,"Despesas Operacionais",Lançamentos!$H:$H,D$5)</f>
        <v>0</v>
      </c>
      <c r="E11" s="37">
        <f ca="1">SUMIFS(Lançamentos!$F:$F,Lançamentos!$E:$E,"Despesas Operacionais",Lançamentos!$H:$H,E$5)</f>
        <v>0</v>
      </c>
      <c r="F11" s="37">
        <f ca="1">SUMIFS(Lançamentos!$F:$F,Lançamentos!$E:$E,"Despesas Operacionais",Lançamentos!$H:$H,F$5)</f>
        <v>0</v>
      </c>
      <c r="G11" s="37">
        <f ca="1">SUMIFS(Lançamentos!$F:$F,Lançamentos!$E:$E,"Despesas Operacionais",Lançamentos!$H:$H,G$5)</f>
        <v>-2831.08</v>
      </c>
      <c r="H11" s="37">
        <f ca="1">SUMIFS(Lançamentos!$F:$F,Lançamentos!$E:$E,"Despesas Operacionais",Lançamentos!$H:$H,H$5)</f>
        <v>0</v>
      </c>
      <c r="I11" s="37">
        <f ca="1">SUMIFS(Lançamentos!$F:$F,Lançamentos!$E:$E,"Despesas Operacionais",Lançamentos!$H:$H,I$5)</f>
        <v>0</v>
      </c>
      <c r="J11" s="37">
        <f ca="1">SUMIFS(Lançamentos!$F:$F,Lançamentos!$E:$E,"Despesas Operacionais",Lançamentos!$H:$H,J$5)</f>
        <v>0</v>
      </c>
      <c r="K11" s="37">
        <f ca="1">SUMIFS(Lançamentos!$F:$F,Lançamentos!$E:$E,"Despesas Operacionais",Lançamentos!$H:$H,K$5)</f>
        <v>0</v>
      </c>
      <c r="L11" s="37">
        <f ca="1">SUMIFS(Lançamentos!$F:$F,Lançamentos!$E:$E,"Despesas Operacionais",Lançamentos!$H:$H,L$5)</f>
        <v>0</v>
      </c>
      <c r="M11" s="37">
        <f ca="1">SUMIFS(Lançamentos!$F:$F,Lançamentos!$E:$E,"Despesas Operacionais",Lançamentos!$H:$H,M$5)</f>
        <v>0</v>
      </c>
      <c r="N11" s="39">
        <f t="shared" ca="1" si="0"/>
        <v>-2831.08</v>
      </c>
    </row>
    <row r="12" spans="1:14" x14ac:dyDescent="0.3">
      <c r="A12" s="10" t="s">
        <v>48</v>
      </c>
      <c r="B12" s="40">
        <f t="shared" ref="B12:M12" ca="1" si="3">B10+B11</f>
        <v>0</v>
      </c>
      <c r="C12" s="40">
        <f t="shared" ca="1" si="3"/>
        <v>0</v>
      </c>
      <c r="D12" s="40">
        <f t="shared" ca="1" si="3"/>
        <v>0</v>
      </c>
      <c r="E12" s="40">
        <f t="shared" ca="1" si="3"/>
        <v>0</v>
      </c>
      <c r="F12" s="40">
        <f t="shared" ca="1" si="3"/>
        <v>0</v>
      </c>
      <c r="G12" s="40">
        <f t="shared" ca="1" si="3"/>
        <v>3181.3599999999642</v>
      </c>
      <c r="H12" s="40">
        <f t="shared" ca="1" si="3"/>
        <v>0</v>
      </c>
      <c r="I12" s="40">
        <f t="shared" ca="1" si="3"/>
        <v>0</v>
      </c>
      <c r="J12" s="40">
        <f t="shared" ca="1" si="3"/>
        <v>0</v>
      </c>
      <c r="K12" s="40">
        <f t="shared" ca="1" si="3"/>
        <v>0</v>
      </c>
      <c r="L12" s="40">
        <f t="shared" ca="1" si="3"/>
        <v>0</v>
      </c>
      <c r="M12" s="40">
        <f t="shared" ca="1" si="3"/>
        <v>0</v>
      </c>
      <c r="N12" s="39">
        <f t="shared" ca="1" si="0"/>
        <v>3181.3599999999642</v>
      </c>
    </row>
    <row r="13" spans="1:14" x14ac:dyDescent="0.3">
      <c r="A13" s="9" t="s">
        <v>49</v>
      </c>
      <c r="B13" s="37">
        <f ca="1">SUMIFS(Lançamentos!$F:$F,Lançamentos!$E:$E,"Receitas Financeiras",Lançamentos!$H:$H,B$5)</f>
        <v>0</v>
      </c>
      <c r="C13" s="37">
        <f ca="1">SUMIFS(Lançamentos!$F:$F,Lançamentos!$E:$E,"Receitas Financeiras",Lançamentos!$H:$H,C$5)</f>
        <v>0</v>
      </c>
      <c r="D13" s="37">
        <f ca="1">SUMIFS(Lançamentos!$F:$F,Lançamentos!$E:$E,"Receitas Financeiras",Lançamentos!$H:$H,D$5)</f>
        <v>0</v>
      </c>
      <c r="E13" s="37">
        <f ca="1">SUMIFS(Lançamentos!$F:$F,Lançamentos!$E:$E,"Receitas Financeiras",Lançamentos!$H:$H,E$5)</f>
        <v>0</v>
      </c>
      <c r="F13" s="37">
        <f ca="1">SUMIFS(Lançamentos!$F:$F,Lançamentos!$E:$E,"Receitas Financeiras",Lançamentos!$H:$H,F$5)</f>
        <v>0</v>
      </c>
      <c r="G13" s="37">
        <f ca="1">SUMIFS(Lançamentos!$F:$F,Lançamentos!$E:$E,"Receitas Financeiras",Lançamentos!$H:$H,G$5)</f>
        <v>0</v>
      </c>
      <c r="H13" s="37">
        <f ca="1">SUMIFS(Lançamentos!$F:$F,Lançamentos!$E:$E,"Receitas Financeiras",Lançamentos!$H:$H,H$5)</f>
        <v>0</v>
      </c>
      <c r="I13" s="37">
        <f ca="1">SUMIFS(Lançamentos!$F:$F,Lançamentos!$E:$E,"Receitas Financeiras",Lançamentos!$H:$H,I$5)</f>
        <v>0</v>
      </c>
      <c r="J13" s="37">
        <f ca="1">SUMIFS(Lançamentos!$F:$F,Lançamentos!$E:$E,"Receitas Financeiras",Lançamentos!$H:$H,J$5)</f>
        <v>0</v>
      </c>
      <c r="K13" s="37">
        <f ca="1">SUMIFS(Lançamentos!$F:$F,Lançamentos!$E:$E,"Receitas Financeiras",Lançamentos!$H:$H,K$5)</f>
        <v>0</v>
      </c>
      <c r="L13" s="37">
        <f ca="1">SUMIFS(Lançamentos!$F:$F,Lançamentos!$E:$E,"Receitas Financeiras",Lançamentos!$H:$H,L$5)</f>
        <v>0</v>
      </c>
      <c r="M13" s="37">
        <f ca="1">SUMIFS(Lançamentos!$F:$F,Lançamentos!$E:$E,"Receitas Financeiras",Lançamentos!$H:$H,M$5)</f>
        <v>0</v>
      </c>
      <c r="N13" s="39">
        <f t="shared" ca="1" si="0"/>
        <v>0</v>
      </c>
    </row>
    <row r="14" spans="1:14" x14ac:dyDescent="0.3">
      <c r="A14" s="11" t="s">
        <v>50</v>
      </c>
      <c r="B14" s="37">
        <f ca="1">SUMIFS(Lançamentos!$F:$F,Lançamentos!$E:$E,"Despesas Financeiras",Lançamentos!$H:$H,B$5)</f>
        <v>0</v>
      </c>
      <c r="C14" s="37">
        <f ca="1">SUMIFS(Lançamentos!$F:$F,Lançamentos!$E:$E,"Despesas Financeiras",Lançamentos!$H:$H,C$5)</f>
        <v>0</v>
      </c>
      <c r="D14" s="37">
        <f ca="1">SUMIFS(Lançamentos!$F:$F,Lançamentos!$E:$E,"Despesas Financeiras",Lançamentos!$H:$H,D$5)</f>
        <v>0</v>
      </c>
      <c r="E14" s="37">
        <f ca="1">SUMIFS(Lançamentos!$F:$F,Lançamentos!$E:$E,"Despesas Financeiras",Lançamentos!$H:$H,E$5)</f>
        <v>0</v>
      </c>
      <c r="F14" s="37">
        <f ca="1">SUMIFS(Lançamentos!$F:$F,Lançamentos!$E:$E,"Despesas Financeiras",Lançamentos!$H:$H,F$5)</f>
        <v>0</v>
      </c>
      <c r="G14" s="37">
        <f ca="1">SUMIFS(Lançamentos!$F:$F,Lançamentos!$E:$E,"Despesas Financeiras",Lançamentos!$H:$H,G$5)</f>
        <v>-14.569999999999997</v>
      </c>
      <c r="H14" s="37">
        <f ca="1">SUMIFS(Lançamentos!$F:$F,Lançamentos!$E:$E,"Despesas Financeiras",Lançamentos!$H:$H,H$5)</f>
        <v>0</v>
      </c>
      <c r="I14" s="37">
        <f ca="1">SUMIFS(Lançamentos!$F:$F,Lançamentos!$E:$E,"Despesas Financeiras",Lançamentos!$H:$H,I$5)</f>
        <v>0</v>
      </c>
      <c r="J14" s="37">
        <f ca="1">SUMIFS(Lançamentos!$F:$F,Lançamentos!$E:$E,"Despesas Financeiras",Lançamentos!$H:$H,J$5)</f>
        <v>0</v>
      </c>
      <c r="K14" s="37">
        <f ca="1">SUMIFS(Lançamentos!$F:$F,Lançamentos!$E:$E,"Despesas Financeiras",Lançamentos!$H:$H,K$5)</f>
        <v>0</v>
      </c>
      <c r="L14" s="37">
        <f ca="1">SUMIFS(Lançamentos!$F:$F,Lançamentos!$E:$E,"Despesas Financeiras",Lançamentos!$H:$H,L$5)</f>
        <v>0</v>
      </c>
      <c r="M14" s="37">
        <f ca="1">SUMIFS(Lançamentos!$F:$F,Lançamentos!$E:$E,"Despesas Financeiras",Lançamentos!$H:$H,M$5)</f>
        <v>0</v>
      </c>
      <c r="N14" s="39">
        <f t="shared" ca="1" si="0"/>
        <v>-14.569999999999997</v>
      </c>
    </row>
    <row r="15" spans="1:14" x14ac:dyDescent="0.3">
      <c r="A15" t="s">
        <v>51</v>
      </c>
      <c r="B15" s="37">
        <f ca="1">SUMIFS(Lançamentos!$F:$F,Lançamentos!$E:$E,"Outras Receitas",Lançamentos!$H:$H,B$5)</f>
        <v>0</v>
      </c>
      <c r="C15" s="37">
        <f ca="1">SUMIFS(Lançamentos!$F:$F,Lançamentos!$E:$E,"Outras Receitas",Lançamentos!$H:$H,C$5)</f>
        <v>0</v>
      </c>
      <c r="D15" s="37">
        <f ca="1">SUMIFS(Lançamentos!$F:$F,Lançamentos!$E:$E,"Outras Receitas",Lançamentos!$H:$H,D$5)</f>
        <v>0</v>
      </c>
      <c r="E15" s="37">
        <f ca="1">SUMIFS(Lançamentos!$F:$F,Lançamentos!$E:$E,"Outras Receitas",Lançamentos!$H:$H,E$5)</f>
        <v>0</v>
      </c>
      <c r="F15" s="37">
        <f ca="1">SUMIFS(Lançamentos!$F:$F,Lançamentos!$E:$E,"Outras Receitas",Lançamentos!$H:$H,F$5)</f>
        <v>0</v>
      </c>
      <c r="G15" s="37">
        <f ca="1">SUMIFS(Lançamentos!$F:$F,Lançamentos!$E:$E,"Outras Receitas",Lançamentos!$H:$H,G$5)</f>
        <v>0</v>
      </c>
      <c r="H15" s="37">
        <f ca="1">SUMIFS(Lançamentos!$F:$F,Lançamentos!$E:$E,"Outras Receitas",Lançamentos!$H:$H,H$5)</f>
        <v>0</v>
      </c>
      <c r="I15" s="37">
        <f ca="1">SUMIFS(Lançamentos!$F:$F,Lançamentos!$E:$E,"Outras Receitas",Lançamentos!$H:$H,I$5)</f>
        <v>0</v>
      </c>
      <c r="J15" s="37">
        <f ca="1">SUMIFS(Lançamentos!$F:$F,Lançamentos!$E:$E,"Outras Receitas",Lançamentos!$H:$H,J$5)</f>
        <v>0</v>
      </c>
      <c r="K15" s="37">
        <f ca="1">SUMIFS(Lançamentos!$F:$F,Lançamentos!$E:$E,"Outras Receitas",Lançamentos!$H:$H,K$5)</f>
        <v>0</v>
      </c>
      <c r="L15" s="37">
        <f ca="1">SUMIFS(Lançamentos!$F:$F,Lançamentos!$E:$E,"Outras Receitas",Lançamentos!$H:$H,L$5)</f>
        <v>0</v>
      </c>
      <c r="M15" s="37">
        <f ca="1">SUMIFS(Lançamentos!$F:$F,Lançamentos!$E:$E,"Outras Receitas",Lançamentos!$H:$H,M$5)</f>
        <v>0</v>
      </c>
      <c r="N15" s="39">
        <f t="shared" ca="1" si="0"/>
        <v>0</v>
      </c>
    </row>
    <row r="16" spans="1:14" x14ac:dyDescent="0.3">
      <c r="A16" s="10" t="s">
        <v>52</v>
      </c>
      <c r="B16" s="40">
        <f t="shared" ref="B16:M16" ca="1" si="4">B12+B13+B14+B15</f>
        <v>0</v>
      </c>
      <c r="C16" s="40">
        <f t="shared" ca="1" si="4"/>
        <v>0</v>
      </c>
      <c r="D16" s="40">
        <f t="shared" ca="1" si="4"/>
        <v>0</v>
      </c>
      <c r="E16" s="40">
        <f t="shared" ca="1" si="4"/>
        <v>0</v>
      </c>
      <c r="F16" s="40">
        <f t="shared" ca="1" si="4"/>
        <v>0</v>
      </c>
      <c r="G16" s="40">
        <f t="shared" ca="1" si="4"/>
        <v>3166.789999999964</v>
      </c>
      <c r="H16" s="40">
        <f t="shared" ca="1" si="4"/>
        <v>0</v>
      </c>
      <c r="I16" s="40">
        <f t="shared" ca="1" si="4"/>
        <v>0</v>
      </c>
      <c r="J16" s="40">
        <f t="shared" ca="1" si="4"/>
        <v>0</v>
      </c>
      <c r="K16" s="40">
        <f t="shared" ca="1" si="4"/>
        <v>0</v>
      </c>
      <c r="L16" s="40">
        <f t="shared" ca="1" si="4"/>
        <v>0</v>
      </c>
      <c r="M16" s="40">
        <f t="shared" ca="1" si="4"/>
        <v>0</v>
      </c>
      <c r="N16" s="39">
        <f t="shared" ca="1" si="0"/>
        <v>3166.789999999964</v>
      </c>
    </row>
    <row r="17" spans="1:14" x14ac:dyDescent="0.3">
      <c r="A17" s="8" t="s">
        <v>53</v>
      </c>
      <c r="B17" s="37">
        <f ca="1">SUMIFS(Lançamentos!$F:$F,Lançamentos!$E:$E,"Impostos",Lançamentos!$H:$H,B$5)</f>
        <v>0</v>
      </c>
      <c r="C17" s="37">
        <f ca="1">SUMIFS(Lançamentos!$F:$F,Lançamentos!$E:$E,"Impostos",Lançamentos!$H:$H,C$5)</f>
        <v>0</v>
      </c>
      <c r="D17" s="37">
        <f ca="1">SUMIFS(Lançamentos!$F:$F,Lançamentos!$E:$E,"Impostos",Lançamentos!$H:$H,D$5)</f>
        <v>0</v>
      </c>
      <c r="E17" s="37">
        <f ca="1">SUMIFS(Lançamentos!$F:$F,Lançamentos!$E:$E,"Impostos",Lançamentos!$H:$H,E$5)</f>
        <v>0</v>
      </c>
      <c r="F17" s="37">
        <f ca="1">SUMIFS(Lançamentos!$F:$F,Lançamentos!$E:$E,"Impostos",Lançamentos!$H:$H,F$5)</f>
        <v>0</v>
      </c>
      <c r="G17" s="37">
        <f ca="1">SUMIFS(Lançamentos!$F:$F,Lançamentos!$E:$E,"Impostos",Lançamentos!$H:$H,G$5)</f>
        <v>0</v>
      </c>
      <c r="H17" s="37">
        <f ca="1">SUMIFS(Lançamentos!$F:$F,Lançamentos!$E:$E,"Impostos",Lançamentos!$H:$H,H$5)</f>
        <v>0</v>
      </c>
      <c r="I17" s="37">
        <f ca="1">SUMIFS(Lançamentos!$F:$F,Lançamentos!$E:$E,"Impostos",Lançamentos!$H:$H,I$5)</f>
        <v>0</v>
      </c>
      <c r="J17" s="37">
        <f ca="1">SUMIFS(Lançamentos!$F:$F,Lançamentos!$E:$E,"Impostos",Lançamentos!$H:$H,J$5)</f>
        <v>0</v>
      </c>
      <c r="K17" s="37">
        <f ca="1">SUMIFS(Lançamentos!$F:$F,Lançamentos!$E:$E,"Impostos",Lançamentos!$H:$H,K$5)</f>
        <v>0</v>
      </c>
      <c r="L17" s="37">
        <f ca="1">SUMIFS(Lançamentos!$F:$F,Lançamentos!$E:$E,"Impostos",Lançamentos!$H:$H,L$5)</f>
        <v>0</v>
      </c>
      <c r="M17" s="37">
        <f ca="1">SUMIFS(Lançamentos!$F:$F,Lançamentos!$E:$E,"Impostos",Lançamentos!$H:$H,M$5)</f>
        <v>0</v>
      </c>
      <c r="N17" s="39">
        <f t="shared" ca="1" si="0"/>
        <v>0</v>
      </c>
    </row>
    <row r="18" spans="1:14" x14ac:dyDescent="0.3">
      <c r="A18" s="1" t="s">
        <v>54</v>
      </c>
      <c r="B18" s="38">
        <f t="shared" ref="B18:M18" ca="1" si="5">B16+B17</f>
        <v>0</v>
      </c>
      <c r="C18" s="38">
        <f t="shared" ca="1" si="5"/>
        <v>0</v>
      </c>
      <c r="D18" s="38">
        <f t="shared" ca="1" si="5"/>
        <v>0</v>
      </c>
      <c r="E18" s="38">
        <f t="shared" ca="1" si="5"/>
        <v>0</v>
      </c>
      <c r="F18" s="38">
        <f t="shared" ca="1" si="5"/>
        <v>0</v>
      </c>
      <c r="G18" s="38">
        <f t="shared" ca="1" si="5"/>
        <v>3166.789999999964</v>
      </c>
      <c r="H18" s="38">
        <f t="shared" ca="1" si="5"/>
        <v>0</v>
      </c>
      <c r="I18" s="38">
        <f t="shared" ca="1" si="5"/>
        <v>0</v>
      </c>
      <c r="J18" s="38">
        <f t="shared" ca="1" si="5"/>
        <v>0</v>
      </c>
      <c r="K18" s="38">
        <f t="shared" ca="1" si="5"/>
        <v>0</v>
      </c>
      <c r="L18" s="38">
        <f t="shared" ca="1" si="5"/>
        <v>0</v>
      </c>
      <c r="M18" s="38">
        <f t="shared" ca="1" si="5"/>
        <v>0</v>
      </c>
      <c r="N18" s="39">
        <f t="shared" ca="1" si="0"/>
        <v>3166.789999999964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926-CFB3-4E19-86CF-367E812BDFC4}">
  <dimension ref="A1:IL142"/>
  <sheetViews>
    <sheetView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Q19" sqref="AQ19"/>
    </sheetView>
  </sheetViews>
  <sheetFormatPr defaultRowHeight="14.4" x14ac:dyDescent="0.3"/>
  <cols>
    <col min="1" max="1" width="40.77734375" customWidth="1"/>
    <col min="2" max="5" width="11.109375" customWidth="1"/>
    <col min="6" max="6" width="11.5546875" bestFit="1" customWidth="1"/>
    <col min="7" max="7" width="12.88671875" bestFit="1" customWidth="1"/>
    <col min="8" max="32" width="11.109375" customWidth="1"/>
    <col min="33" max="33" width="11.88671875" bestFit="1" customWidth="1"/>
    <col min="34" max="36" width="11.109375" customWidth="1"/>
    <col min="37" max="37" width="11.88671875" bestFit="1" customWidth="1"/>
    <col min="38" max="39" width="11.5546875" bestFit="1" customWidth="1"/>
    <col min="40" max="40" width="11.88671875" bestFit="1" customWidth="1"/>
    <col min="41" max="246" width="11.109375" customWidth="1"/>
  </cols>
  <sheetData>
    <row r="1" spans="1:14" ht="18" x14ac:dyDescent="0.35">
      <c r="A1" s="70" t="s">
        <v>55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3" spans="1:14" x14ac:dyDescent="0.3">
      <c r="A3" s="4" t="s">
        <v>39</v>
      </c>
      <c r="B3" s="5">
        <f ca="1">DRE!B3</f>
        <v>2026</v>
      </c>
    </row>
    <row r="5" spans="1:14" x14ac:dyDescent="0.3">
      <c r="A5" s="1" t="s">
        <v>56</v>
      </c>
      <c r="B5" s="7">
        <f ca="1">DATE($B$3,1,1)</f>
        <v>46023</v>
      </c>
      <c r="C5" s="7">
        <f ca="1">EDATE(B5,1)</f>
        <v>46054</v>
      </c>
      <c r="D5" s="7">
        <f ca="1">EDATE(B5,2)</f>
        <v>46082</v>
      </c>
      <c r="E5" s="7">
        <f ca="1">EDATE(B5,3)</f>
        <v>46113</v>
      </c>
      <c r="F5" s="7">
        <f ca="1">EDATE(B5,4)</f>
        <v>46143</v>
      </c>
      <c r="G5" s="7">
        <f ca="1">EDATE(B5,5)</f>
        <v>46174</v>
      </c>
      <c r="H5" s="7">
        <f ca="1">EDATE(B5,6)</f>
        <v>46204</v>
      </c>
      <c r="I5" s="7">
        <f ca="1">EDATE(B5,7)</f>
        <v>46235</v>
      </c>
      <c r="J5" s="7">
        <f ca="1">EDATE(B5,8)</f>
        <v>46266</v>
      </c>
      <c r="K5" s="7">
        <f ca="1">EDATE(B5,9)</f>
        <v>46296</v>
      </c>
      <c r="L5" s="7">
        <f ca="1">EDATE(B5,10)</f>
        <v>46327</v>
      </c>
      <c r="M5" s="7">
        <f ca="1">EDATE(B5,11)</f>
        <v>46357</v>
      </c>
      <c r="N5" s="6" t="s">
        <v>57</v>
      </c>
    </row>
    <row r="6" spans="1:14" x14ac:dyDescent="0.3">
      <c r="A6" s="10" t="s">
        <v>29</v>
      </c>
      <c r="B6" s="40">
        <f>SUM(Categorias!F2:F4)</f>
        <v>0</v>
      </c>
      <c r="C6" s="40">
        <f t="shared" ref="C6:M6" ca="1" si="0">B10</f>
        <v>0</v>
      </c>
      <c r="D6" s="40">
        <f t="shared" ca="1" si="0"/>
        <v>0</v>
      </c>
      <c r="E6" s="40">
        <f t="shared" ca="1" si="0"/>
        <v>0</v>
      </c>
      <c r="F6" s="40">
        <f t="shared" ca="1" si="0"/>
        <v>0</v>
      </c>
      <c r="G6" s="40">
        <f t="shared" ca="1" si="0"/>
        <v>0</v>
      </c>
      <c r="H6" s="40">
        <f t="shared" ca="1" si="0"/>
        <v>3166.7899999999609</v>
      </c>
      <c r="I6" s="40">
        <f t="shared" ca="1" si="0"/>
        <v>3166.7899999999609</v>
      </c>
      <c r="J6" s="40">
        <f t="shared" ca="1" si="0"/>
        <v>3166.7899999999609</v>
      </c>
      <c r="K6" s="40">
        <f t="shared" ca="1" si="0"/>
        <v>3166.7899999999609</v>
      </c>
      <c r="L6" s="40">
        <f t="shared" ca="1" si="0"/>
        <v>3166.7899999999609</v>
      </c>
      <c r="M6" s="40">
        <f t="shared" ca="1" si="0"/>
        <v>3166.7899999999609</v>
      </c>
      <c r="N6" s="37"/>
    </row>
    <row r="7" spans="1:14" x14ac:dyDescent="0.3">
      <c r="A7" s="12" t="s">
        <v>58</v>
      </c>
      <c r="B7" s="37">
        <f ca="1">SUMIFS(Lançamentos!$F:$F,Lançamentos!$H:$H,B$5,Lançamentos!$D:$D,"Entrada")</f>
        <v>0</v>
      </c>
      <c r="C7" s="37">
        <f ca="1">SUMIFS(Lançamentos!$F:$F,Lançamentos!$H:$H,C$5,Lançamentos!$D:$D,"Entrada")</f>
        <v>0</v>
      </c>
      <c r="D7" s="37">
        <f ca="1">SUMIFS(Lançamentos!$F:$F,Lançamentos!$H:$H,D$5,Lançamentos!$D:$D,"Entrada")</f>
        <v>0</v>
      </c>
      <c r="E7" s="37">
        <f ca="1">SUMIFS(Lançamentos!$F:$F,Lançamentos!$H:$H,E$5,Lançamentos!$D:$D,"Entrada")</f>
        <v>0</v>
      </c>
      <c r="F7" s="37">
        <f ca="1">SUMIFS(Lançamentos!$F:$F,Lançamentos!$H:$H,F$5,Lançamentos!$D:$D,"Entrada")</f>
        <v>0</v>
      </c>
      <c r="G7" s="37">
        <f ca="1">SUMIFS(Lançamentos!$F:$F,Lançamentos!$H:$H,G$5,Lançamentos!$D:$D,"Entrada")</f>
        <v>20878.129999999965</v>
      </c>
      <c r="H7" s="37">
        <f ca="1">SUMIFS(Lançamentos!$F:$F,Lançamentos!$H:$H,H$5,Lançamentos!$D:$D,"Entrada")</f>
        <v>0</v>
      </c>
      <c r="I7" s="37">
        <f ca="1">SUMIFS(Lançamentos!$F:$F,Lançamentos!$H:$H,I$5,Lançamentos!$D:$D,"Entrada")</f>
        <v>0</v>
      </c>
      <c r="J7" s="37">
        <f ca="1">SUMIFS(Lançamentos!$F:$F,Lançamentos!$H:$H,J$5,Lançamentos!$D:$D,"Entrada")</f>
        <v>0</v>
      </c>
      <c r="K7" s="37">
        <f ca="1">SUMIFS(Lançamentos!$F:$F,Lançamentos!$H:$H,K$5,Lançamentos!$D:$D,"Entrada")</f>
        <v>0</v>
      </c>
      <c r="L7" s="37">
        <f ca="1">SUMIFS(Lançamentos!$F:$F,Lançamentos!$H:$H,L$5,Lançamentos!$D:$D,"Entrada")</f>
        <v>0</v>
      </c>
      <c r="M7" s="37">
        <f ca="1">SUMIFS(Lançamentos!$F:$F,Lançamentos!$H:$H,M$5,Lançamentos!$D:$D,"Entrada")</f>
        <v>0</v>
      </c>
      <c r="N7" s="39">
        <f ca="1">SUM(B7:M7)</f>
        <v>20878.129999999965</v>
      </c>
    </row>
    <row r="8" spans="1:14" x14ac:dyDescent="0.3">
      <c r="A8" s="13" t="s">
        <v>59</v>
      </c>
      <c r="B8" s="37">
        <f ca="1">SUMIFS(Lançamentos!$F:$F,Lançamentos!$H:$H,B$5,Lançamentos!$D:$D,"Saída")</f>
        <v>0</v>
      </c>
      <c r="C8" s="37">
        <f ca="1">SUMIFS(Lançamentos!$F:$F,Lançamentos!$H:$H,C$5,Lançamentos!$D:$D,"Saída")</f>
        <v>0</v>
      </c>
      <c r="D8" s="37">
        <f ca="1">SUMIFS(Lançamentos!$F:$F,Lançamentos!$H:$H,D$5,Lançamentos!$D:$D,"Saída")</f>
        <v>0</v>
      </c>
      <c r="E8" s="37">
        <f ca="1">SUMIFS(Lançamentos!$F:$F,Lançamentos!$H:$H,E$5,Lançamentos!$D:$D,"Saída")</f>
        <v>0</v>
      </c>
      <c r="F8" s="37">
        <f ca="1">SUMIFS(Lançamentos!$F:$F,Lançamentos!$H:$H,F$5,Lançamentos!$D:$D,"Saída")</f>
        <v>0</v>
      </c>
      <c r="G8" s="37">
        <f ca="1">SUMIFS(Lançamentos!$F:$F,Lançamentos!$H:$H,G$5,Lançamentos!$D:$D,"Saída")</f>
        <v>-17711.340000000004</v>
      </c>
      <c r="H8" s="37">
        <f ca="1">SUMIFS(Lançamentos!$F:$F,Lançamentos!$H:$H,H$5,Lançamentos!$D:$D,"Saída")</f>
        <v>0</v>
      </c>
      <c r="I8" s="37">
        <f ca="1">SUMIFS(Lançamentos!$F:$F,Lançamentos!$H:$H,I$5,Lançamentos!$D:$D,"Saída")</f>
        <v>0</v>
      </c>
      <c r="J8" s="37">
        <f ca="1">SUMIFS(Lançamentos!$F:$F,Lançamentos!$H:$H,J$5,Lançamentos!$D:$D,"Saída")</f>
        <v>0</v>
      </c>
      <c r="K8" s="37">
        <f ca="1">SUMIFS(Lançamentos!$F:$F,Lançamentos!$H:$H,K$5,Lançamentos!$D:$D,"Saída")</f>
        <v>0</v>
      </c>
      <c r="L8" s="37">
        <f ca="1">SUMIFS(Lançamentos!$F:$F,Lançamentos!$H:$H,L$5,Lançamentos!$D:$D,"Saída")</f>
        <v>0</v>
      </c>
      <c r="M8" s="37">
        <f ca="1">SUMIFS(Lançamentos!$F:$F,Lançamentos!$H:$H,M$5,Lançamentos!$D:$D,"Saída")</f>
        <v>0</v>
      </c>
      <c r="N8" s="39">
        <f ca="1">SUM(B8:M8)</f>
        <v>-17711.340000000004</v>
      </c>
    </row>
    <row r="9" spans="1:14" x14ac:dyDescent="0.3">
      <c r="A9" s="10" t="s">
        <v>60</v>
      </c>
      <c r="B9" s="40">
        <f t="shared" ref="B9:M9" ca="1" si="1">B7+B8</f>
        <v>0</v>
      </c>
      <c r="C9" s="40">
        <f t="shared" ca="1" si="1"/>
        <v>0</v>
      </c>
      <c r="D9" s="40">
        <f t="shared" ca="1" si="1"/>
        <v>0</v>
      </c>
      <c r="E9" s="40">
        <f t="shared" ca="1" si="1"/>
        <v>0</v>
      </c>
      <c r="F9" s="40">
        <f t="shared" ca="1" si="1"/>
        <v>0</v>
      </c>
      <c r="G9" s="40">
        <f t="shared" ca="1" si="1"/>
        <v>3166.7899999999609</v>
      </c>
      <c r="H9" s="40">
        <f t="shared" ca="1" si="1"/>
        <v>0</v>
      </c>
      <c r="I9" s="40">
        <f t="shared" ca="1" si="1"/>
        <v>0</v>
      </c>
      <c r="J9" s="40">
        <f t="shared" ca="1" si="1"/>
        <v>0</v>
      </c>
      <c r="K9" s="40">
        <f t="shared" ca="1" si="1"/>
        <v>0</v>
      </c>
      <c r="L9" s="40">
        <f t="shared" ca="1" si="1"/>
        <v>0</v>
      </c>
      <c r="M9" s="40">
        <f t="shared" ca="1" si="1"/>
        <v>0</v>
      </c>
      <c r="N9" s="39">
        <f ca="1">SUM(B9:M9)</f>
        <v>3166.7899999999609</v>
      </c>
    </row>
    <row r="10" spans="1:14" x14ac:dyDescent="0.3">
      <c r="A10" s="1" t="s">
        <v>61</v>
      </c>
      <c r="B10" s="38">
        <f t="shared" ref="B10:M10" ca="1" si="2">B6+B9</f>
        <v>0</v>
      </c>
      <c r="C10" s="38">
        <f t="shared" ca="1" si="2"/>
        <v>0</v>
      </c>
      <c r="D10" s="38">
        <f t="shared" ca="1" si="2"/>
        <v>0</v>
      </c>
      <c r="E10" s="38">
        <f t="shared" ca="1" si="2"/>
        <v>0</v>
      </c>
      <c r="F10" s="38">
        <f t="shared" ca="1" si="2"/>
        <v>0</v>
      </c>
      <c r="G10" s="38">
        <f t="shared" ca="1" si="2"/>
        <v>3166.7899999999609</v>
      </c>
      <c r="H10" s="38">
        <f t="shared" ca="1" si="2"/>
        <v>3166.7899999999609</v>
      </c>
      <c r="I10" s="38">
        <f t="shared" ca="1" si="2"/>
        <v>3166.7899999999609</v>
      </c>
      <c r="J10" s="38">
        <f t="shared" ca="1" si="2"/>
        <v>3166.7899999999609</v>
      </c>
      <c r="K10" s="38">
        <f t="shared" ca="1" si="2"/>
        <v>3166.7899999999609</v>
      </c>
      <c r="L10" s="38">
        <f t="shared" ca="1" si="2"/>
        <v>3166.7899999999609</v>
      </c>
      <c r="M10" s="38">
        <f t="shared" ca="1" si="2"/>
        <v>3166.7899999999609</v>
      </c>
      <c r="N10" s="41">
        <f ca="1">M10</f>
        <v>3166.7899999999609</v>
      </c>
    </row>
    <row r="12" spans="1:14" ht="15.6" x14ac:dyDescent="0.3">
      <c r="A12" s="71" t="s">
        <v>62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x14ac:dyDescent="0.3">
      <c r="A13" s="4" t="str">
        <f>Categorias!E2</f>
        <v>Banco do Brasil</v>
      </c>
      <c r="B13" s="37">
        <f ca="1">Categorias!F2+SUMIFS(Lançamentos!$F:$F,Lançamentos!$G:$G,$A13,Lançamentos!$H:$H,B$5)</f>
        <v>0</v>
      </c>
      <c r="C13" s="37">
        <f ca="1">Categorias!G2+SUMIFS(Lançamentos!$F:$F,Lançamentos!$G:$G,$A13,Lançamentos!$H:$H,C$5)</f>
        <v>0</v>
      </c>
      <c r="D13" s="37">
        <f ca="1">Categorias!H2+SUMIFS(Lançamentos!$F:$F,Lançamentos!$G:$G,$A13,Lançamentos!$H:$H,D$5)</f>
        <v>0</v>
      </c>
      <c r="E13" s="37">
        <f ca="1">Categorias!I2+SUMIFS(Lançamentos!$F:$F,Lançamentos!$G:$G,$A13,Lançamentos!$H:$H,E$5)</f>
        <v>0</v>
      </c>
      <c r="F13" s="37">
        <f ca="1">Categorias!J2+SUMIFS(Lançamentos!$F:$F,Lançamentos!$G:$G,$A13,Lançamentos!$H:$H,F$5)</f>
        <v>0</v>
      </c>
      <c r="G13" s="37">
        <f ca="1">Categorias!K2+SUMIFS(Lançamentos!$F:$F,Lançamentos!$G:$G,$A13,Lançamentos!$H:$H,G$5)</f>
        <v>0</v>
      </c>
      <c r="H13" s="37">
        <f ca="1">Categorias!L2+SUMIFS(Lançamentos!$F:$F,Lançamentos!$G:$G,$A13,Lançamentos!$H:$H,H$5)</f>
        <v>0</v>
      </c>
      <c r="I13" s="37">
        <f ca="1">Categorias!M2+SUMIFS(Lançamentos!$F:$F,Lançamentos!$G:$G,$A13,Lançamentos!$H:$H,I$5)</f>
        <v>0</v>
      </c>
      <c r="J13" s="37">
        <f ca="1">Categorias!N2+SUMIFS(Lançamentos!$F:$F,Lançamentos!$G:$G,$A13,Lançamentos!$H:$H,J$5)</f>
        <v>0</v>
      </c>
      <c r="K13" s="37">
        <f ca="1">Categorias!O2+SUMIFS(Lançamentos!$F:$F,Lançamentos!$G:$G,$A13,Lançamentos!$H:$H,K$5)</f>
        <v>0</v>
      </c>
      <c r="L13" s="37">
        <f ca="1">Categorias!P2+SUMIFS(Lançamentos!$F:$F,Lançamentos!$G:$G,$A13,Lançamentos!$H:$H,L$5)</f>
        <v>0</v>
      </c>
      <c r="M13" s="37">
        <f ca="1">Categorias!Q2+SUMIFS(Lançamentos!$F:$F,Lançamentos!$G:$G,$A13,Lançamentos!$H:$H,M$5)</f>
        <v>0</v>
      </c>
      <c r="N13" s="37">
        <f ca="1">M13</f>
        <v>0</v>
      </c>
    </row>
    <row r="14" spans="1:14" x14ac:dyDescent="0.3">
      <c r="A14" s="4" t="str">
        <f>Categorias!E3</f>
        <v>Itaú</v>
      </c>
      <c r="B14" s="37">
        <f ca="1">Categorias!F3+SUMIFS(Lançamentos!$F:$F,Lançamentos!$G:$G,$A14,Lançamentos!$H:$H,B$5)</f>
        <v>0</v>
      </c>
      <c r="C14" s="37">
        <f ca="1">Categorias!G3+SUMIFS(Lançamentos!$F:$F,Lançamentos!$G:$G,$A14,Lançamentos!$H:$H,C$5)</f>
        <v>0</v>
      </c>
      <c r="D14" s="37">
        <f ca="1">Categorias!H3+SUMIFS(Lançamentos!$F:$F,Lançamentos!$G:$G,$A14,Lançamentos!$H:$H,D$5)</f>
        <v>0</v>
      </c>
      <c r="E14" s="37">
        <f ca="1">Categorias!I3+SUMIFS(Lançamentos!$F:$F,Lançamentos!$G:$G,$A14,Lançamentos!$H:$H,E$5)</f>
        <v>0</v>
      </c>
      <c r="F14" s="37">
        <f ca="1">Categorias!J3+SUMIFS(Lançamentos!$F:$F,Lançamentos!$G:$G,$A14,Lançamentos!$H:$H,F$5)</f>
        <v>0</v>
      </c>
      <c r="G14" s="37">
        <f ca="1">Categorias!K3+SUMIFS(Lançamentos!$F:$F,Lançamentos!$G:$G,$A14,Lançamentos!$H:$H,G$5)</f>
        <v>0</v>
      </c>
      <c r="H14" s="37">
        <f ca="1">Categorias!L3+SUMIFS(Lançamentos!$F:$F,Lançamentos!$G:$G,$A14,Lançamentos!$H:$H,H$5)</f>
        <v>0</v>
      </c>
      <c r="I14" s="37">
        <f ca="1">Categorias!M3+SUMIFS(Lançamentos!$F:$F,Lançamentos!$G:$G,$A14,Lançamentos!$H:$H,I$5)</f>
        <v>0</v>
      </c>
      <c r="J14" s="37">
        <f ca="1">Categorias!N3+SUMIFS(Lançamentos!$F:$F,Lançamentos!$G:$G,$A14,Lançamentos!$H:$H,J$5)</f>
        <v>0</v>
      </c>
      <c r="K14" s="37">
        <f ca="1">Categorias!O3+SUMIFS(Lançamentos!$F:$F,Lançamentos!$G:$G,$A14,Lançamentos!$H:$H,K$5)</f>
        <v>0</v>
      </c>
      <c r="L14" s="37">
        <f ca="1">Categorias!P3+SUMIFS(Lançamentos!$F:$F,Lançamentos!$G:$G,$A14,Lançamentos!$H:$H,L$5)</f>
        <v>0</v>
      </c>
      <c r="M14" s="37">
        <f ca="1">Categorias!Q3+SUMIFS(Lançamentos!$F:$F,Lançamentos!$G:$G,$A14,Lançamentos!$H:$H,M$5)</f>
        <v>0</v>
      </c>
      <c r="N14" s="37">
        <f ca="1">M14</f>
        <v>0</v>
      </c>
    </row>
    <row r="15" spans="1:14" x14ac:dyDescent="0.3">
      <c r="A15" s="4" t="str">
        <f>Categorias!E4</f>
        <v>Caixa</v>
      </c>
      <c r="B15" s="37">
        <f ca="1">Categorias!F4+SUMIFS(Lançamentos!$F:$F,Lançamentos!$G:$G,$A15,Lançamentos!$H:$H,B$5)</f>
        <v>0</v>
      </c>
      <c r="C15" s="37">
        <f ca="1">Categorias!G4+SUMIFS(Lançamentos!$F:$F,Lançamentos!$G:$G,$A15,Lançamentos!$H:$H,C$5)</f>
        <v>0</v>
      </c>
      <c r="D15" s="37">
        <f ca="1">Categorias!H4+SUMIFS(Lançamentos!$F:$F,Lançamentos!$G:$G,$A15,Lançamentos!$H:$H,D$5)</f>
        <v>0</v>
      </c>
      <c r="E15" s="37">
        <f ca="1">Categorias!I4+SUMIFS(Lançamentos!$F:$F,Lançamentos!$G:$G,$A15,Lançamentos!$H:$H,E$5)</f>
        <v>0</v>
      </c>
      <c r="F15" s="37">
        <f ca="1">Categorias!J4+SUMIFS(Lançamentos!$F:$F,Lançamentos!$G:$G,$A15,Lançamentos!$H:$H,F$5)</f>
        <v>0</v>
      </c>
      <c r="G15" s="37">
        <f ca="1">Categorias!K4+SUMIFS(Lançamentos!$F:$F,Lançamentos!$G:$G,$A15,Lançamentos!$H:$H,G$5)</f>
        <v>0</v>
      </c>
      <c r="H15" s="37">
        <f ca="1">Categorias!L4+SUMIFS(Lançamentos!$F:$F,Lançamentos!$G:$G,$A15,Lançamentos!$H:$H,H$5)</f>
        <v>0</v>
      </c>
      <c r="I15" s="37">
        <f ca="1">Categorias!M4+SUMIFS(Lançamentos!$F:$F,Lançamentos!$G:$G,$A15,Lançamentos!$H:$H,I$5)</f>
        <v>0</v>
      </c>
      <c r="J15" s="37">
        <f ca="1">Categorias!N4+SUMIFS(Lançamentos!$F:$F,Lançamentos!$G:$G,$A15,Lançamentos!$H:$H,J$5)</f>
        <v>0</v>
      </c>
      <c r="K15" s="37">
        <f ca="1">Categorias!O4+SUMIFS(Lançamentos!$F:$F,Lançamentos!$G:$G,$A15,Lançamentos!$H:$H,K$5)</f>
        <v>0</v>
      </c>
      <c r="L15" s="37">
        <f ca="1">Categorias!P4+SUMIFS(Lançamentos!$F:$F,Lançamentos!$G:$G,$A15,Lançamentos!$H:$H,L$5)</f>
        <v>0</v>
      </c>
      <c r="M15" s="37">
        <f ca="1">Categorias!Q4+SUMIFS(Lançamentos!$F:$F,Lançamentos!$G:$G,$A15,Lançamentos!$H:$H,M$5)</f>
        <v>0</v>
      </c>
      <c r="N15" s="37">
        <f ca="1">M15</f>
        <v>0</v>
      </c>
    </row>
    <row r="18" spans="1:246" ht="17.399999999999999" x14ac:dyDescent="0.35">
      <c r="A18" s="72" t="s">
        <v>115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46" x14ac:dyDescent="0.3">
      <c r="A19" s="1" t="s">
        <v>116</v>
      </c>
      <c r="B19" s="42">
        <f>DATE(2026,5,1)</f>
        <v>46143</v>
      </c>
      <c r="C19" s="42">
        <f>DATE(2026,5,2)</f>
        <v>46144</v>
      </c>
      <c r="D19" s="42">
        <f>DATE(2026,5,3)</f>
        <v>46145</v>
      </c>
      <c r="E19" s="42">
        <f>DATE(2026,5,4)</f>
        <v>46146</v>
      </c>
      <c r="F19" s="42">
        <f>DATE(2026,5,5)</f>
        <v>46147</v>
      </c>
      <c r="G19" s="42">
        <f>DATE(2026,5,6)</f>
        <v>46148</v>
      </c>
      <c r="H19" s="42">
        <f>DATE(2026,5,7)</f>
        <v>46149</v>
      </c>
      <c r="I19" s="42">
        <f>DATE(2026,5,8)</f>
        <v>46150</v>
      </c>
      <c r="J19" s="42">
        <f>DATE(2026,5,9)</f>
        <v>46151</v>
      </c>
      <c r="K19" s="42">
        <f>DATE(2026,5,10)</f>
        <v>46152</v>
      </c>
      <c r="L19" s="42">
        <f>DATE(2026,5,11)</f>
        <v>46153</v>
      </c>
      <c r="M19" s="42">
        <f>DATE(2026,5,12)</f>
        <v>46154</v>
      </c>
      <c r="N19" s="42">
        <f>DATE(2026,5,13)</f>
        <v>46155</v>
      </c>
      <c r="O19" s="42">
        <f>DATE(2026,5,14)</f>
        <v>46156</v>
      </c>
      <c r="P19" s="42">
        <f>DATE(2026,5,15)</f>
        <v>46157</v>
      </c>
      <c r="Q19" s="42">
        <f>DATE(2026,5,16)</f>
        <v>46158</v>
      </c>
      <c r="R19" s="42">
        <f>DATE(2026,5,17)</f>
        <v>46159</v>
      </c>
      <c r="S19" s="42">
        <f>DATE(2026,5,18)</f>
        <v>46160</v>
      </c>
      <c r="T19" s="42">
        <f>DATE(2026,5,19)</f>
        <v>46161</v>
      </c>
      <c r="U19" s="42">
        <f>DATE(2026,5,20)</f>
        <v>46162</v>
      </c>
      <c r="V19" s="42">
        <f>DATE(2026,5,21)</f>
        <v>46163</v>
      </c>
      <c r="W19" s="42">
        <f>DATE(2026,5,22)</f>
        <v>46164</v>
      </c>
      <c r="X19" s="42">
        <f>DATE(2026,5,23)</f>
        <v>46165</v>
      </c>
      <c r="Y19" s="42">
        <f>DATE(2026,5,24)</f>
        <v>46166</v>
      </c>
      <c r="Z19" s="42">
        <f>DATE(2026,5,25)</f>
        <v>46167</v>
      </c>
      <c r="AA19" s="42">
        <f>DATE(2026,5,26)</f>
        <v>46168</v>
      </c>
      <c r="AB19" s="42">
        <f>DATE(2026,5,27)</f>
        <v>46169</v>
      </c>
      <c r="AC19" s="42">
        <f>DATE(2026,5,28)</f>
        <v>46170</v>
      </c>
      <c r="AD19" s="42">
        <f>DATE(2026,5,29)</f>
        <v>46171</v>
      </c>
      <c r="AE19" s="42">
        <f>DATE(2026,5,30)</f>
        <v>46172</v>
      </c>
      <c r="AF19" s="42">
        <f>DATE(2026,5,31)</f>
        <v>46173</v>
      </c>
      <c r="AG19" s="42">
        <f>DATE(2026,6,1)</f>
        <v>46174</v>
      </c>
      <c r="AH19" s="42">
        <f>DATE(2026,6,2)</f>
        <v>46175</v>
      </c>
      <c r="AI19" s="42">
        <f>DATE(2026,6,3)</f>
        <v>46176</v>
      </c>
      <c r="AJ19" s="42">
        <f>DATE(2026,6,4)</f>
        <v>46177</v>
      </c>
      <c r="AK19" s="42">
        <f>DATE(2026,6,5)</f>
        <v>46178</v>
      </c>
      <c r="AL19" s="42">
        <f>DATE(2026,6,6)</f>
        <v>46179</v>
      </c>
      <c r="AM19" s="42">
        <f>DATE(2026,6,7)</f>
        <v>46180</v>
      </c>
      <c r="AN19" s="42">
        <f>DATE(2026,6,8)</f>
        <v>46181</v>
      </c>
      <c r="AO19" s="42">
        <f>DATE(2026,6,9)</f>
        <v>46182</v>
      </c>
      <c r="AP19" s="42">
        <f>DATE(2026,6,10)</f>
        <v>46183</v>
      </c>
      <c r="AQ19" s="42">
        <f>DATE(2026,6,11)</f>
        <v>46184</v>
      </c>
      <c r="AR19" s="42">
        <f>DATE(2026,6,12)</f>
        <v>46185</v>
      </c>
      <c r="AS19" s="42">
        <f>DATE(2026,6,13)</f>
        <v>46186</v>
      </c>
      <c r="AT19" s="42">
        <f>DATE(2026,6,14)</f>
        <v>46187</v>
      </c>
      <c r="AU19" s="42">
        <f>DATE(2026,6,15)</f>
        <v>46188</v>
      </c>
      <c r="AV19" s="42">
        <f>DATE(2026,6,16)</f>
        <v>46189</v>
      </c>
      <c r="AW19" s="42">
        <f>DATE(2026,6,17)</f>
        <v>46190</v>
      </c>
      <c r="AX19" s="42">
        <f>DATE(2026,6,18)</f>
        <v>46191</v>
      </c>
      <c r="AY19" s="42">
        <f>DATE(2026,6,19)</f>
        <v>46192</v>
      </c>
      <c r="AZ19" s="42">
        <f>DATE(2026,6,20)</f>
        <v>46193</v>
      </c>
      <c r="BA19" s="42">
        <f>DATE(2026,6,21)</f>
        <v>46194</v>
      </c>
      <c r="BB19" s="42">
        <f>DATE(2026,6,22)</f>
        <v>46195</v>
      </c>
      <c r="BC19" s="42">
        <f>DATE(2026,6,23)</f>
        <v>46196</v>
      </c>
      <c r="BD19" s="42">
        <f>DATE(2026,6,24)</f>
        <v>46197</v>
      </c>
      <c r="BE19" s="42">
        <f>DATE(2026,6,25)</f>
        <v>46198</v>
      </c>
      <c r="BF19" s="42">
        <f>DATE(2026,6,26)</f>
        <v>46199</v>
      </c>
      <c r="BG19" s="42">
        <f>DATE(2026,6,27)</f>
        <v>46200</v>
      </c>
      <c r="BH19" s="42">
        <f>DATE(2026,6,28)</f>
        <v>46201</v>
      </c>
      <c r="BI19" s="42">
        <f>DATE(2026,6,29)</f>
        <v>46202</v>
      </c>
      <c r="BJ19" s="42">
        <f>DATE(2026,6,30)</f>
        <v>46203</v>
      </c>
      <c r="BK19" s="42">
        <f>DATE(2026,7,1)</f>
        <v>46204</v>
      </c>
      <c r="BL19" s="42">
        <f>DATE(2026,7,2)</f>
        <v>46205</v>
      </c>
      <c r="BM19" s="42">
        <f>DATE(2026,7,3)</f>
        <v>46206</v>
      </c>
      <c r="BN19" s="42">
        <f>DATE(2026,7,4)</f>
        <v>46207</v>
      </c>
      <c r="BO19" s="42">
        <f>DATE(2026,7,5)</f>
        <v>46208</v>
      </c>
      <c r="BP19" s="42">
        <f>DATE(2026,7,6)</f>
        <v>46209</v>
      </c>
      <c r="BQ19" s="42">
        <f>DATE(2026,7,7)</f>
        <v>46210</v>
      </c>
      <c r="BR19" s="42">
        <f>DATE(2026,7,8)</f>
        <v>46211</v>
      </c>
      <c r="BS19" s="42">
        <f>DATE(2026,7,9)</f>
        <v>46212</v>
      </c>
      <c r="BT19" s="42">
        <f>DATE(2026,7,10)</f>
        <v>46213</v>
      </c>
      <c r="BU19" s="42">
        <f>DATE(2026,7,11)</f>
        <v>46214</v>
      </c>
      <c r="BV19" s="42">
        <f>DATE(2026,7,12)</f>
        <v>46215</v>
      </c>
      <c r="BW19" s="42">
        <f>DATE(2026,7,13)</f>
        <v>46216</v>
      </c>
      <c r="BX19" s="42">
        <f>DATE(2026,7,14)</f>
        <v>46217</v>
      </c>
      <c r="BY19" s="42">
        <f>DATE(2026,7,15)</f>
        <v>46218</v>
      </c>
      <c r="BZ19" s="42">
        <f>DATE(2026,7,16)</f>
        <v>46219</v>
      </c>
      <c r="CA19" s="42">
        <f>DATE(2026,7,17)</f>
        <v>46220</v>
      </c>
      <c r="CB19" s="42">
        <f>DATE(2026,7,18)</f>
        <v>46221</v>
      </c>
      <c r="CC19" s="42">
        <f>DATE(2026,7,19)</f>
        <v>46222</v>
      </c>
      <c r="CD19" s="42">
        <f>DATE(2026,7,20)</f>
        <v>46223</v>
      </c>
      <c r="CE19" s="42">
        <f>DATE(2026,7,21)</f>
        <v>46224</v>
      </c>
      <c r="CF19" s="42">
        <f>DATE(2026,7,22)</f>
        <v>46225</v>
      </c>
      <c r="CG19" s="42">
        <f>DATE(2026,7,23)</f>
        <v>46226</v>
      </c>
      <c r="CH19" s="42">
        <f>DATE(2026,7,24)</f>
        <v>46227</v>
      </c>
      <c r="CI19" s="42">
        <f>DATE(2026,7,25)</f>
        <v>46228</v>
      </c>
      <c r="CJ19" s="42">
        <f>DATE(2026,7,26)</f>
        <v>46229</v>
      </c>
      <c r="CK19" s="42">
        <f>DATE(2026,7,27)</f>
        <v>46230</v>
      </c>
      <c r="CL19" s="42">
        <f>DATE(2026,7,28)</f>
        <v>46231</v>
      </c>
      <c r="CM19" s="42">
        <f>DATE(2026,7,29)</f>
        <v>46232</v>
      </c>
      <c r="CN19" s="42">
        <f>DATE(2026,7,30)</f>
        <v>46233</v>
      </c>
      <c r="CO19" s="42">
        <f>DATE(2026,7,31)</f>
        <v>46234</v>
      </c>
      <c r="CP19" s="42">
        <f>DATE(2026,8,1)</f>
        <v>46235</v>
      </c>
      <c r="CQ19" s="42">
        <f>DATE(2026,8,2)</f>
        <v>46236</v>
      </c>
      <c r="CR19" s="42">
        <f>DATE(2026,8,3)</f>
        <v>46237</v>
      </c>
      <c r="CS19" s="42">
        <f>DATE(2026,8,4)</f>
        <v>46238</v>
      </c>
      <c r="CT19" s="42">
        <f>DATE(2026,8,5)</f>
        <v>46239</v>
      </c>
      <c r="CU19" s="42">
        <f>DATE(2026,8,6)</f>
        <v>46240</v>
      </c>
      <c r="CV19" s="42">
        <f>DATE(2026,8,7)</f>
        <v>46241</v>
      </c>
      <c r="CW19" s="42">
        <f>DATE(2026,8,8)</f>
        <v>46242</v>
      </c>
      <c r="CX19" s="42">
        <f>DATE(2026,8,9)</f>
        <v>46243</v>
      </c>
      <c r="CY19" s="42">
        <f>DATE(2026,8,10)</f>
        <v>46244</v>
      </c>
      <c r="CZ19" s="42">
        <f>DATE(2026,8,11)</f>
        <v>46245</v>
      </c>
      <c r="DA19" s="42">
        <f>DATE(2026,8,12)</f>
        <v>46246</v>
      </c>
      <c r="DB19" s="42">
        <f>DATE(2026,8,13)</f>
        <v>46247</v>
      </c>
      <c r="DC19" s="42">
        <f>DATE(2026,8,14)</f>
        <v>46248</v>
      </c>
      <c r="DD19" s="42">
        <f>DATE(2026,8,15)</f>
        <v>46249</v>
      </c>
      <c r="DE19" s="42">
        <f>DATE(2026,8,16)</f>
        <v>46250</v>
      </c>
      <c r="DF19" s="42">
        <f>DATE(2026,8,17)</f>
        <v>46251</v>
      </c>
      <c r="DG19" s="42">
        <f>DATE(2026,8,18)</f>
        <v>46252</v>
      </c>
      <c r="DH19" s="42">
        <f>DATE(2026,8,19)</f>
        <v>46253</v>
      </c>
      <c r="DI19" s="42">
        <f>DATE(2026,8,20)</f>
        <v>46254</v>
      </c>
      <c r="DJ19" s="42">
        <f>DATE(2026,8,21)</f>
        <v>46255</v>
      </c>
      <c r="DK19" s="42">
        <f>DATE(2026,8,22)</f>
        <v>46256</v>
      </c>
      <c r="DL19" s="42">
        <f>DATE(2026,8,23)</f>
        <v>46257</v>
      </c>
      <c r="DM19" s="42">
        <f>DATE(2026,8,24)</f>
        <v>46258</v>
      </c>
      <c r="DN19" s="42">
        <f>DATE(2026,8,25)</f>
        <v>46259</v>
      </c>
      <c r="DO19" s="42">
        <f>DATE(2026,8,26)</f>
        <v>46260</v>
      </c>
      <c r="DP19" s="42">
        <f>DATE(2026,8,27)</f>
        <v>46261</v>
      </c>
      <c r="DQ19" s="42">
        <f>DATE(2026,8,28)</f>
        <v>46262</v>
      </c>
      <c r="DR19" s="42">
        <f>DATE(2026,8,29)</f>
        <v>46263</v>
      </c>
      <c r="DS19" s="42">
        <f>DATE(2026,8,30)</f>
        <v>46264</v>
      </c>
      <c r="DT19" s="42">
        <f>DATE(2026,8,31)</f>
        <v>46265</v>
      </c>
      <c r="DU19" s="42">
        <f>DATE(2026,9,1)</f>
        <v>46266</v>
      </c>
      <c r="DV19" s="42">
        <f>DATE(2026,9,2)</f>
        <v>46267</v>
      </c>
      <c r="DW19" s="42">
        <f>DATE(2026,9,3)</f>
        <v>46268</v>
      </c>
      <c r="DX19" s="42">
        <f>DATE(2026,9,4)</f>
        <v>46269</v>
      </c>
      <c r="DY19" s="42">
        <f>DATE(2026,9,5)</f>
        <v>46270</v>
      </c>
      <c r="DZ19" s="42">
        <f>DATE(2026,9,6)</f>
        <v>46271</v>
      </c>
      <c r="EA19" s="42">
        <f>DATE(2026,9,7)</f>
        <v>46272</v>
      </c>
      <c r="EB19" s="42">
        <f>DATE(2026,9,8)</f>
        <v>46273</v>
      </c>
      <c r="EC19" s="42">
        <f>DATE(2026,9,9)</f>
        <v>46274</v>
      </c>
      <c r="ED19" s="42">
        <f>DATE(2026,9,10)</f>
        <v>46275</v>
      </c>
      <c r="EE19" s="42">
        <f>DATE(2026,9,11)</f>
        <v>46276</v>
      </c>
      <c r="EF19" s="42">
        <f>DATE(2026,9,12)</f>
        <v>46277</v>
      </c>
      <c r="EG19" s="42">
        <f>DATE(2026,9,13)</f>
        <v>46278</v>
      </c>
      <c r="EH19" s="42">
        <f>DATE(2026,9,14)</f>
        <v>46279</v>
      </c>
      <c r="EI19" s="42">
        <f>DATE(2026,9,15)</f>
        <v>46280</v>
      </c>
      <c r="EJ19" s="42">
        <f>DATE(2026,9,16)</f>
        <v>46281</v>
      </c>
      <c r="EK19" s="42">
        <f>DATE(2026,9,17)</f>
        <v>46282</v>
      </c>
      <c r="EL19" s="42">
        <f>DATE(2026,9,18)</f>
        <v>46283</v>
      </c>
      <c r="EM19" s="42">
        <f>DATE(2026,9,19)</f>
        <v>46284</v>
      </c>
      <c r="EN19" s="42">
        <f>DATE(2026,9,20)</f>
        <v>46285</v>
      </c>
      <c r="EO19" s="42">
        <f>DATE(2026,9,21)</f>
        <v>46286</v>
      </c>
      <c r="EP19" s="42">
        <f>DATE(2026,9,22)</f>
        <v>46287</v>
      </c>
      <c r="EQ19" s="42">
        <f>DATE(2026,9,23)</f>
        <v>46288</v>
      </c>
      <c r="ER19" s="42">
        <f>DATE(2026,9,24)</f>
        <v>46289</v>
      </c>
      <c r="ES19" s="42">
        <f>DATE(2026,9,25)</f>
        <v>46290</v>
      </c>
      <c r="ET19" s="42">
        <f>DATE(2026,9,26)</f>
        <v>46291</v>
      </c>
      <c r="EU19" s="42">
        <f>DATE(2026,9,27)</f>
        <v>46292</v>
      </c>
      <c r="EV19" s="42">
        <f>DATE(2026,9,28)</f>
        <v>46293</v>
      </c>
      <c r="EW19" s="42">
        <f>DATE(2026,9,29)</f>
        <v>46294</v>
      </c>
      <c r="EX19" s="42">
        <f>DATE(2026,9,30)</f>
        <v>46295</v>
      </c>
      <c r="EY19" s="42">
        <f>DATE(2026,10,1)</f>
        <v>46296</v>
      </c>
      <c r="EZ19" s="42">
        <f>DATE(2026,10,2)</f>
        <v>46297</v>
      </c>
      <c r="FA19" s="42">
        <f>DATE(2026,10,3)</f>
        <v>46298</v>
      </c>
      <c r="FB19" s="42">
        <f>DATE(2026,10,4)</f>
        <v>46299</v>
      </c>
      <c r="FC19" s="42">
        <f>DATE(2026,10,5)</f>
        <v>46300</v>
      </c>
      <c r="FD19" s="42">
        <f>DATE(2026,10,6)</f>
        <v>46301</v>
      </c>
      <c r="FE19" s="42">
        <f>DATE(2026,10,7)</f>
        <v>46302</v>
      </c>
      <c r="FF19" s="42">
        <f>DATE(2026,10,8)</f>
        <v>46303</v>
      </c>
      <c r="FG19" s="42">
        <f>DATE(2026,10,9)</f>
        <v>46304</v>
      </c>
      <c r="FH19" s="42">
        <f>DATE(2026,10,10)</f>
        <v>46305</v>
      </c>
      <c r="FI19" s="42">
        <f>DATE(2026,10,11)</f>
        <v>46306</v>
      </c>
      <c r="FJ19" s="42">
        <f>DATE(2026,10,12)</f>
        <v>46307</v>
      </c>
      <c r="FK19" s="42">
        <f>DATE(2026,10,13)</f>
        <v>46308</v>
      </c>
      <c r="FL19" s="42">
        <f>DATE(2026,10,14)</f>
        <v>46309</v>
      </c>
      <c r="FM19" s="42">
        <f>DATE(2026,10,15)</f>
        <v>46310</v>
      </c>
      <c r="FN19" s="42">
        <f>DATE(2026,10,16)</f>
        <v>46311</v>
      </c>
      <c r="FO19" s="42">
        <f>DATE(2026,10,17)</f>
        <v>46312</v>
      </c>
      <c r="FP19" s="42">
        <f>DATE(2026,10,18)</f>
        <v>46313</v>
      </c>
      <c r="FQ19" s="42">
        <f>DATE(2026,10,19)</f>
        <v>46314</v>
      </c>
      <c r="FR19" s="42">
        <f>DATE(2026,10,20)</f>
        <v>46315</v>
      </c>
      <c r="FS19" s="42">
        <f>DATE(2026,10,21)</f>
        <v>46316</v>
      </c>
      <c r="FT19" s="42">
        <f>DATE(2026,10,22)</f>
        <v>46317</v>
      </c>
      <c r="FU19" s="42">
        <f>DATE(2026,10,23)</f>
        <v>46318</v>
      </c>
      <c r="FV19" s="42">
        <f>DATE(2026,10,24)</f>
        <v>46319</v>
      </c>
      <c r="FW19" s="42">
        <f>DATE(2026,10,25)</f>
        <v>46320</v>
      </c>
      <c r="FX19" s="42">
        <f>DATE(2026,10,26)</f>
        <v>46321</v>
      </c>
      <c r="FY19" s="42">
        <f>DATE(2026,10,27)</f>
        <v>46322</v>
      </c>
      <c r="FZ19" s="42">
        <f>DATE(2026,10,28)</f>
        <v>46323</v>
      </c>
      <c r="GA19" s="42">
        <f>DATE(2026,10,29)</f>
        <v>46324</v>
      </c>
      <c r="GB19" s="42">
        <f>DATE(2026,10,30)</f>
        <v>46325</v>
      </c>
      <c r="GC19" s="42">
        <f>DATE(2026,10,31)</f>
        <v>46326</v>
      </c>
      <c r="GD19" s="42">
        <f>DATE(2026,11,1)</f>
        <v>46327</v>
      </c>
      <c r="GE19" s="42">
        <f>DATE(2026,11,2)</f>
        <v>46328</v>
      </c>
      <c r="GF19" s="42">
        <f>DATE(2026,11,3)</f>
        <v>46329</v>
      </c>
      <c r="GG19" s="42">
        <f>DATE(2026,11,4)</f>
        <v>46330</v>
      </c>
      <c r="GH19" s="42">
        <f>DATE(2026,11,5)</f>
        <v>46331</v>
      </c>
      <c r="GI19" s="42">
        <f>DATE(2026,11,6)</f>
        <v>46332</v>
      </c>
      <c r="GJ19" s="42">
        <f>DATE(2026,11,7)</f>
        <v>46333</v>
      </c>
      <c r="GK19" s="42">
        <f>DATE(2026,11,8)</f>
        <v>46334</v>
      </c>
      <c r="GL19" s="42">
        <f>DATE(2026,11,9)</f>
        <v>46335</v>
      </c>
      <c r="GM19" s="42">
        <f>DATE(2026,11,10)</f>
        <v>46336</v>
      </c>
      <c r="GN19" s="42">
        <f>DATE(2026,11,11)</f>
        <v>46337</v>
      </c>
      <c r="GO19" s="42">
        <f>DATE(2026,11,12)</f>
        <v>46338</v>
      </c>
      <c r="GP19" s="42">
        <f>DATE(2026,11,13)</f>
        <v>46339</v>
      </c>
      <c r="GQ19" s="42">
        <f>DATE(2026,11,14)</f>
        <v>46340</v>
      </c>
      <c r="GR19" s="42">
        <f>DATE(2026,11,15)</f>
        <v>46341</v>
      </c>
      <c r="GS19" s="42">
        <f>DATE(2026,11,16)</f>
        <v>46342</v>
      </c>
      <c r="GT19" s="42">
        <f>DATE(2026,11,17)</f>
        <v>46343</v>
      </c>
      <c r="GU19" s="42">
        <f>DATE(2026,11,18)</f>
        <v>46344</v>
      </c>
      <c r="GV19" s="42">
        <f>DATE(2026,11,19)</f>
        <v>46345</v>
      </c>
      <c r="GW19" s="42">
        <f>DATE(2026,11,20)</f>
        <v>46346</v>
      </c>
      <c r="GX19" s="42">
        <f>DATE(2026,11,21)</f>
        <v>46347</v>
      </c>
      <c r="GY19" s="42">
        <f>DATE(2026,11,22)</f>
        <v>46348</v>
      </c>
      <c r="GZ19" s="42">
        <f>DATE(2026,11,23)</f>
        <v>46349</v>
      </c>
      <c r="HA19" s="42">
        <f>DATE(2026,11,24)</f>
        <v>46350</v>
      </c>
      <c r="HB19" s="42">
        <f>DATE(2026,11,25)</f>
        <v>46351</v>
      </c>
      <c r="HC19" s="42">
        <f>DATE(2026,11,26)</f>
        <v>46352</v>
      </c>
      <c r="HD19" s="42">
        <f>DATE(2026,11,27)</f>
        <v>46353</v>
      </c>
      <c r="HE19" s="42">
        <f>DATE(2026,11,28)</f>
        <v>46354</v>
      </c>
      <c r="HF19" s="42">
        <f>DATE(2026,11,29)</f>
        <v>46355</v>
      </c>
      <c r="HG19" s="42">
        <f>DATE(2026,11,30)</f>
        <v>46356</v>
      </c>
      <c r="HH19" s="42">
        <f>DATE(2026,12,1)</f>
        <v>46357</v>
      </c>
      <c r="HI19" s="42">
        <f>DATE(2026,12,2)</f>
        <v>46358</v>
      </c>
      <c r="HJ19" s="42">
        <f>DATE(2026,12,3)</f>
        <v>46359</v>
      </c>
      <c r="HK19" s="42">
        <f>DATE(2026,12,4)</f>
        <v>46360</v>
      </c>
      <c r="HL19" s="42">
        <f>DATE(2026,12,5)</f>
        <v>46361</v>
      </c>
      <c r="HM19" s="42">
        <f>DATE(2026,12,6)</f>
        <v>46362</v>
      </c>
      <c r="HN19" s="42">
        <f>DATE(2026,12,7)</f>
        <v>46363</v>
      </c>
      <c r="HO19" s="42">
        <f>DATE(2026,12,8)</f>
        <v>46364</v>
      </c>
      <c r="HP19" s="42">
        <f>DATE(2026,12,9)</f>
        <v>46365</v>
      </c>
      <c r="HQ19" s="42">
        <f>DATE(2026,12,10)</f>
        <v>46366</v>
      </c>
      <c r="HR19" s="42">
        <f>DATE(2026,12,11)</f>
        <v>46367</v>
      </c>
      <c r="HS19" s="42">
        <f>DATE(2026,12,12)</f>
        <v>46368</v>
      </c>
      <c r="HT19" s="42">
        <f>DATE(2026,12,13)</f>
        <v>46369</v>
      </c>
      <c r="HU19" s="42">
        <f>DATE(2026,12,14)</f>
        <v>46370</v>
      </c>
      <c r="HV19" s="42">
        <f>DATE(2026,12,15)</f>
        <v>46371</v>
      </c>
      <c r="HW19" s="42">
        <f>DATE(2026,12,16)</f>
        <v>46372</v>
      </c>
      <c r="HX19" s="42">
        <f>DATE(2026,12,17)</f>
        <v>46373</v>
      </c>
      <c r="HY19" s="42">
        <f>DATE(2026,12,18)</f>
        <v>46374</v>
      </c>
      <c r="HZ19" s="42">
        <f>DATE(2026,12,19)</f>
        <v>46375</v>
      </c>
      <c r="IA19" s="42">
        <f>DATE(2026,12,20)</f>
        <v>46376</v>
      </c>
      <c r="IB19" s="42">
        <f>DATE(2026,12,21)</f>
        <v>46377</v>
      </c>
      <c r="IC19" s="42">
        <f>DATE(2026,12,22)</f>
        <v>46378</v>
      </c>
      <c r="ID19" s="42">
        <f>DATE(2026,12,23)</f>
        <v>46379</v>
      </c>
      <c r="IE19" s="42">
        <f>DATE(2026,12,24)</f>
        <v>46380</v>
      </c>
      <c r="IF19" s="42">
        <f>DATE(2026,12,25)</f>
        <v>46381</v>
      </c>
      <c r="IG19" s="42">
        <f>DATE(2026,12,26)</f>
        <v>46382</v>
      </c>
      <c r="IH19" s="42">
        <f>DATE(2026,12,27)</f>
        <v>46383</v>
      </c>
      <c r="II19" s="42">
        <f>DATE(2026,12,28)</f>
        <v>46384</v>
      </c>
      <c r="IJ19" s="42">
        <f>DATE(2026,12,29)</f>
        <v>46385</v>
      </c>
      <c r="IK19" s="42">
        <f>DATE(2026,12,30)</f>
        <v>46386</v>
      </c>
      <c r="IL19" s="42">
        <f>DATE(2026,12,31)</f>
        <v>46387</v>
      </c>
    </row>
    <row r="20" spans="1:246" x14ac:dyDescent="0.3">
      <c r="A20" s="16" t="s">
        <v>117</v>
      </c>
      <c r="B20" s="43">
        <f>SUM(Categorias!$F$2:$F$4)+SUMIFS(Lançamentos!$F:$F,Lançamentos!$A:$A,"&lt;"&amp;B$19)</f>
        <v>0</v>
      </c>
      <c r="C20" s="43">
        <f t="shared" ref="C20:BN20" si="3">B79</f>
        <v>0</v>
      </c>
      <c r="D20" s="43">
        <f t="shared" si="3"/>
        <v>0</v>
      </c>
      <c r="E20" s="43">
        <f t="shared" si="3"/>
        <v>0</v>
      </c>
      <c r="F20" s="43">
        <f t="shared" si="3"/>
        <v>0</v>
      </c>
      <c r="G20" s="43">
        <f t="shared" si="3"/>
        <v>0</v>
      </c>
      <c r="H20" s="43">
        <f t="shared" si="3"/>
        <v>0</v>
      </c>
      <c r="I20" s="43">
        <f t="shared" si="3"/>
        <v>0</v>
      </c>
      <c r="J20" s="43">
        <f t="shared" si="3"/>
        <v>0</v>
      </c>
      <c r="K20" s="43">
        <f t="shared" si="3"/>
        <v>0</v>
      </c>
      <c r="L20" s="43">
        <f t="shared" si="3"/>
        <v>0</v>
      </c>
      <c r="M20" s="43">
        <f t="shared" si="3"/>
        <v>0</v>
      </c>
      <c r="N20" s="43">
        <f t="shared" si="3"/>
        <v>0</v>
      </c>
      <c r="O20" s="43">
        <f t="shared" si="3"/>
        <v>0</v>
      </c>
      <c r="P20" s="43">
        <f t="shared" si="3"/>
        <v>0</v>
      </c>
      <c r="Q20" s="43">
        <f t="shared" si="3"/>
        <v>0</v>
      </c>
      <c r="R20" s="43">
        <f t="shared" si="3"/>
        <v>0</v>
      </c>
      <c r="S20" s="43">
        <f t="shared" si="3"/>
        <v>0</v>
      </c>
      <c r="T20" s="43">
        <f t="shared" si="3"/>
        <v>0</v>
      </c>
      <c r="U20" s="43">
        <f t="shared" si="3"/>
        <v>0</v>
      </c>
      <c r="V20" s="43">
        <f t="shared" si="3"/>
        <v>0</v>
      </c>
      <c r="W20" s="43">
        <f t="shared" si="3"/>
        <v>0</v>
      </c>
      <c r="X20" s="43">
        <f t="shared" si="3"/>
        <v>0</v>
      </c>
      <c r="Y20" s="43">
        <f t="shared" si="3"/>
        <v>0</v>
      </c>
      <c r="Z20" s="43">
        <f t="shared" si="3"/>
        <v>0</v>
      </c>
      <c r="AA20" s="43">
        <f t="shared" si="3"/>
        <v>0</v>
      </c>
      <c r="AB20" s="43">
        <f t="shared" si="3"/>
        <v>0</v>
      </c>
      <c r="AC20" s="43">
        <f t="shared" si="3"/>
        <v>0</v>
      </c>
      <c r="AD20" s="43">
        <f t="shared" si="3"/>
        <v>0</v>
      </c>
      <c r="AE20" s="43">
        <f t="shared" si="3"/>
        <v>0</v>
      </c>
      <c r="AF20" s="43">
        <f t="shared" si="3"/>
        <v>0</v>
      </c>
      <c r="AG20" s="43">
        <f t="shared" si="3"/>
        <v>0</v>
      </c>
      <c r="AH20" s="43">
        <f t="shared" si="3"/>
        <v>747.16999999999916</v>
      </c>
      <c r="AI20" s="43">
        <f t="shared" si="3"/>
        <v>1196.2499999999968</v>
      </c>
      <c r="AJ20" s="43">
        <f t="shared" si="3"/>
        <v>1897.2399999999971</v>
      </c>
      <c r="AK20" s="43">
        <f t="shared" si="3"/>
        <v>2502.2199999999971</v>
      </c>
      <c r="AL20" s="43">
        <f t="shared" si="3"/>
        <v>2271.749999999995</v>
      </c>
      <c r="AM20" s="43">
        <f t="shared" si="3"/>
        <v>2789.0999999999949</v>
      </c>
      <c r="AN20" s="43">
        <f t="shared" si="3"/>
        <v>3086.1299999999951</v>
      </c>
      <c r="AO20" s="43">
        <f t="shared" si="3"/>
        <v>3166.7899999999959</v>
      </c>
      <c r="AP20" s="43">
        <f t="shared" si="3"/>
        <v>3166.7899999999959</v>
      </c>
      <c r="AQ20" s="43">
        <f t="shared" si="3"/>
        <v>3166.7899999999959</v>
      </c>
      <c r="AR20" s="43">
        <f t="shared" si="3"/>
        <v>3166.7899999999959</v>
      </c>
      <c r="AS20" s="43">
        <f t="shared" si="3"/>
        <v>3166.7899999999959</v>
      </c>
      <c r="AT20" s="43">
        <f t="shared" si="3"/>
        <v>3166.7899999999959</v>
      </c>
      <c r="AU20" s="43">
        <f t="shared" si="3"/>
        <v>3166.7899999999959</v>
      </c>
      <c r="AV20" s="43">
        <f t="shared" si="3"/>
        <v>3166.7899999999959</v>
      </c>
      <c r="AW20" s="43">
        <f t="shared" si="3"/>
        <v>3166.7899999999959</v>
      </c>
      <c r="AX20" s="43">
        <f t="shared" si="3"/>
        <v>3166.7899999999959</v>
      </c>
      <c r="AY20" s="43">
        <f t="shared" si="3"/>
        <v>3166.7899999999959</v>
      </c>
      <c r="AZ20" s="43">
        <f t="shared" si="3"/>
        <v>3166.7899999999959</v>
      </c>
      <c r="BA20" s="43">
        <f t="shared" si="3"/>
        <v>3166.7899999999959</v>
      </c>
      <c r="BB20" s="43">
        <f t="shared" si="3"/>
        <v>3166.7899999999959</v>
      </c>
      <c r="BC20" s="43">
        <f t="shared" si="3"/>
        <v>3166.7899999999959</v>
      </c>
      <c r="BD20" s="43">
        <f t="shared" si="3"/>
        <v>3166.7899999999959</v>
      </c>
      <c r="BE20" s="43">
        <f t="shared" si="3"/>
        <v>3166.7899999999959</v>
      </c>
      <c r="BF20" s="43">
        <f t="shared" si="3"/>
        <v>3166.7899999999959</v>
      </c>
      <c r="BG20" s="43">
        <f t="shared" si="3"/>
        <v>3166.7899999999959</v>
      </c>
      <c r="BH20" s="43">
        <f t="shared" si="3"/>
        <v>3166.7899999999959</v>
      </c>
      <c r="BI20" s="43">
        <f t="shared" si="3"/>
        <v>3166.7899999999959</v>
      </c>
      <c r="BJ20" s="43">
        <f t="shared" si="3"/>
        <v>3166.7899999999959</v>
      </c>
      <c r="BK20" s="43">
        <f t="shared" si="3"/>
        <v>3166.7899999999959</v>
      </c>
      <c r="BL20" s="43">
        <f t="shared" si="3"/>
        <v>3166.7899999999959</v>
      </c>
      <c r="BM20" s="43">
        <f t="shared" si="3"/>
        <v>3166.7899999999959</v>
      </c>
      <c r="BN20" s="43">
        <f t="shared" si="3"/>
        <v>3166.7899999999959</v>
      </c>
      <c r="BO20" s="43">
        <f t="shared" ref="BO20:DZ20" si="4">BN79</f>
        <v>3166.7899999999959</v>
      </c>
      <c r="BP20" s="43">
        <f t="shared" si="4"/>
        <v>3166.7899999999959</v>
      </c>
      <c r="BQ20" s="43">
        <f t="shared" si="4"/>
        <v>3166.7899999999959</v>
      </c>
      <c r="BR20" s="43">
        <f t="shared" si="4"/>
        <v>3166.7899999999959</v>
      </c>
      <c r="BS20" s="43">
        <f t="shared" si="4"/>
        <v>3166.7899999999959</v>
      </c>
      <c r="BT20" s="43">
        <f t="shared" si="4"/>
        <v>3166.7899999999959</v>
      </c>
      <c r="BU20" s="43">
        <f t="shared" si="4"/>
        <v>3166.7899999999959</v>
      </c>
      <c r="BV20" s="43">
        <f t="shared" si="4"/>
        <v>3166.7899999999959</v>
      </c>
      <c r="BW20" s="43">
        <f t="shared" si="4"/>
        <v>3166.7899999999959</v>
      </c>
      <c r="BX20" s="43">
        <f t="shared" si="4"/>
        <v>3166.7899999999959</v>
      </c>
      <c r="BY20" s="43">
        <f t="shared" si="4"/>
        <v>3166.7899999999959</v>
      </c>
      <c r="BZ20" s="43">
        <f t="shared" si="4"/>
        <v>3166.7899999999959</v>
      </c>
      <c r="CA20" s="43">
        <f t="shared" si="4"/>
        <v>3166.7899999999959</v>
      </c>
      <c r="CB20" s="43">
        <f t="shared" si="4"/>
        <v>3166.7899999999959</v>
      </c>
      <c r="CC20" s="43">
        <f t="shared" si="4"/>
        <v>3166.7899999999959</v>
      </c>
      <c r="CD20" s="43">
        <f t="shared" si="4"/>
        <v>3166.7899999999959</v>
      </c>
      <c r="CE20" s="43">
        <f t="shared" si="4"/>
        <v>3166.7899999999959</v>
      </c>
      <c r="CF20" s="43">
        <f t="shared" si="4"/>
        <v>3166.7899999999959</v>
      </c>
      <c r="CG20" s="43">
        <f t="shared" si="4"/>
        <v>3166.7899999999959</v>
      </c>
      <c r="CH20" s="43">
        <f t="shared" si="4"/>
        <v>3166.7899999999959</v>
      </c>
      <c r="CI20" s="43">
        <f t="shared" si="4"/>
        <v>3166.7899999999959</v>
      </c>
      <c r="CJ20" s="43">
        <f t="shared" si="4"/>
        <v>3166.7899999999959</v>
      </c>
      <c r="CK20" s="43">
        <f t="shared" si="4"/>
        <v>3166.7899999999959</v>
      </c>
      <c r="CL20" s="43">
        <f t="shared" si="4"/>
        <v>3166.7899999999959</v>
      </c>
      <c r="CM20" s="43">
        <f t="shared" si="4"/>
        <v>3166.7899999999959</v>
      </c>
      <c r="CN20" s="43">
        <f t="shared" si="4"/>
        <v>3166.7899999999959</v>
      </c>
      <c r="CO20" s="43">
        <f t="shared" si="4"/>
        <v>3166.7899999999959</v>
      </c>
      <c r="CP20" s="43">
        <f t="shared" si="4"/>
        <v>3166.7899999999959</v>
      </c>
      <c r="CQ20" s="43">
        <f t="shared" si="4"/>
        <v>3166.7899999999959</v>
      </c>
      <c r="CR20" s="43">
        <f t="shared" si="4"/>
        <v>3166.7899999999959</v>
      </c>
      <c r="CS20" s="43">
        <f t="shared" si="4"/>
        <v>3166.7899999999959</v>
      </c>
      <c r="CT20" s="43">
        <f t="shared" si="4"/>
        <v>3166.7899999999959</v>
      </c>
      <c r="CU20" s="43">
        <f t="shared" si="4"/>
        <v>3166.7899999999959</v>
      </c>
      <c r="CV20" s="43">
        <f t="shared" si="4"/>
        <v>3166.7899999999959</v>
      </c>
      <c r="CW20" s="43">
        <f t="shared" si="4"/>
        <v>3166.7899999999959</v>
      </c>
      <c r="CX20" s="43">
        <f t="shared" si="4"/>
        <v>3166.7899999999959</v>
      </c>
      <c r="CY20" s="43">
        <f t="shared" si="4"/>
        <v>3166.7899999999959</v>
      </c>
      <c r="CZ20" s="43">
        <f t="shared" si="4"/>
        <v>3166.7899999999959</v>
      </c>
      <c r="DA20" s="43">
        <f t="shared" si="4"/>
        <v>3166.7899999999959</v>
      </c>
      <c r="DB20" s="43">
        <f t="shared" si="4"/>
        <v>3166.7899999999959</v>
      </c>
      <c r="DC20" s="43">
        <f t="shared" si="4"/>
        <v>3166.7899999999959</v>
      </c>
      <c r="DD20" s="43">
        <f t="shared" si="4"/>
        <v>3166.7899999999959</v>
      </c>
      <c r="DE20" s="43">
        <f t="shared" si="4"/>
        <v>3166.7899999999959</v>
      </c>
      <c r="DF20" s="43">
        <f t="shared" si="4"/>
        <v>3166.7899999999959</v>
      </c>
      <c r="DG20" s="43">
        <f t="shared" si="4"/>
        <v>3166.7899999999959</v>
      </c>
      <c r="DH20" s="43">
        <f t="shared" si="4"/>
        <v>3166.7899999999959</v>
      </c>
      <c r="DI20" s="43">
        <f t="shared" si="4"/>
        <v>3166.7899999999959</v>
      </c>
      <c r="DJ20" s="43">
        <f t="shared" si="4"/>
        <v>3166.7899999999959</v>
      </c>
      <c r="DK20" s="43">
        <f t="shared" si="4"/>
        <v>3166.7899999999959</v>
      </c>
      <c r="DL20" s="43">
        <f t="shared" si="4"/>
        <v>3166.7899999999959</v>
      </c>
      <c r="DM20" s="43">
        <f t="shared" si="4"/>
        <v>3166.7899999999959</v>
      </c>
      <c r="DN20" s="43">
        <f t="shared" si="4"/>
        <v>3166.7899999999959</v>
      </c>
      <c r="DO20" s="43">
        <f t="shared" si="4"/>
        <v>3166.7899999999959</v>
      </c>
      <c r="DP20" s="43">
        <f t="shared" si="4"/>
        <v>3166.7899999999959</v>
      </c>
      <c r="DQ20" s="43">
        <f t="shared" si="4"/>
        <v>3166.7899999999959</v>
      </c>
      <c r="DR20" s="43">
        <f t="shared" si="4"/>
        <v>3166.7899999999959</v>
      </c>
      <c r="DS20" s="43">
        <f t="shared" si="4"/>
        <v>3166.7899999999959</v>
      </c>
      <c r="DT20" s="43">
        <f t="shared" si="4"/>
        <v>3166.7899999999959</v>
      </c>
      <c r="DU20" s="43">
        <f t="shared" si="4"/>
        <v>3166.7899999999959</v>
      </c>
      <c r="DV20" s="43">
        <f t="shared" si="4"/>
        <v>3166.7899999999959</v>
      </c>
      <c r="DW20" s="43">
        <f t="shared" si="4"/>
        <v>3166.7899999999959</v>
      </c>
      <c r="DX20" s="43">
        <f t="shared" si="4"/>
        <v>3166.7899999999959</v>
      </c>
      <c r="DY20" s="43">
        <f t="shared" si="4"/>
        <v>3166.7899999999959</v>
      </c>
      <c r="DZ20" s="43">
        <f t="shared" si="4"/>
        <v>3166.7899999999959</v>
      </c>
      <c r="EA20" s="43">
        <f t="shared" ref="EA20:GL20" si="5">DZ79</f>
        <v>3166.7899999999959</v>
      </c>
      <c r="EB20" s="43">
        <f t="shared" si="5"/>
        <v>3166.7899999999959</v>
      </c>
      <c r="EC20" s="43">
        <f t="shared" si="5"/>
        <v>3166.7899999999959</v>
      </c>
      <c r="ED20" s="43">
        <f t="shared" si="5"/>
        <v>3166.7899999999959</v>
      </c>
      <c r="EE20" s="43">
        <f t="shared" si="5"/>
        <v>3166.7899999999959</v>
      </c>
      <c r="EF20" s="43">
        <f t="shared" si="5"/>
        <v>3166.7899999999959</v>
      </c>
      <c r="EG20" s="43">
        <f t="shared" si="5"/>
        <v>3166.7899999999959</v>
      </c>
      <c r="EH20" s="43">
        <f t="shared" si="5"/>
        <v>3166.7899999999959</v>
      </c>
      <c r="EI20" s="43">
        <f t="shared" si="5"/>
        <v>3166.7899999999959</v>
      </c>
      <c r="EJ20" s="43">
        <f t="shared" si="5"/>
        <v>3166.7899999999959</v>
      </c>
      <c r="EK20" s="43">
        <f t="shared" si="5"/>
        <v>3166.7899999999959</v>
      </c>
      <c r="EL20" s="43">
        <f t="shared" si="5"/>
        <v>3166.7899999999959</v>
      </c>
      <c r="EM20" s="43">
        <f t="shared" si="5"/>
        <v>3166.7899999999959</v>
      </c>
      <c r="EN20" s="43">
        <f t="shared" si="5"/>
        <v>3166.7899999999959</v>
      </c>
      <c r="EO20" s="43">
        <f t="shared" si="5"/>
        <v>3166.7899999999959</v>
      </c>
      <c r="EP20" s="43">
        <f t="shared" si="5"/>
        <v>3166.7899999999959</v>
      </c>
      <c r="EQ20" s="43">
        <f t="shared" si="5"/>
        <v>3166.7899999999959</v>
      </c>
      <c r="ER20" s="43">
        <f t="shared" si="5"/>
        <v>3166.7899999999959</v>
      </c>
      <c r="ES20" s="43">
        <f t="shared" si="5"/>
        <v>3166.7899999999959</v>
      </c>
      <c r="ET20" s="43">
        <f t="shared" si="5"/>
        <v>3166.7899999999959</v>
      </c>
      <c r="EU20" s="43">
        <f t="shared" si="5"/>
        <v>3166.7899999999959</v>
      </c>
      <c r="EV20" s="43">
        <f t="shared" si="5"/>
        <v>3166.7899999999959</v>
      </c>
      <c r="EW20" s="43">
        <f t="shared" si="5"/>
        <v>3166.7899999999959</v>
      </c>
      <c r="EX20" s="43">
        <f t="shared" si="5"/>
        <v>3166.7899999999959</v>
      </c>
      <c r="EY20" s="43">
        <f t="shared" si="5"/>
        <v>3166.7899999999959</v>
      </c>
      <c r="EZ20" s="43">
        <f t="shared" si="5"/>
        <v>3166.7899999999959</v>
      </c>
      <c r="FA20" s="43">
        <f t="shared" si="5"/>
        <v>3166.7899999999959</v>
      </c>
      <c r="FB20" s="43">
        <f t="shared" si="5"/>
        <v>3166.7899999999959</v>
      </c>
      <c r="FC20" s="43">
        <f t="shared" si="5"/>
        <v>3166.7899999999959</v>
      </c>
      <c r="FD20" s="43">
        <f t="shared" si="5"/>
        <v>3166.7899999999959</v>
      </c>
      <c r="FE20" s="43">
        <f t="shared" si="5"/>
        <v>3166.7899999999959</v>
      </c>
      <c r="FF20" s="43">
        <f t="shared" si="5"/>
        <v>3166.7899999999959</v>
      </c>
      <c r="FG20" s="43">
        <f t="shared" si="5"/>
        <v>3166.7899999999959</v>
      </c>
      <c r="FH20" s="43">
        <f t="shared" si="5"/>
        <v>3166.7899999999959</v>
      </c>
      <c r="FI20" s="43">
        <f t="shared" si="5"/>
        <v>3166.7899999999959</v>
      </c>
      <c r="FJ20" s="43">
        <f t="shared" si="5"/>
        <v>3166.7899999999959</v>
      </c>
      <c r="FK20" s="43">
        <f t="shared" si="5"/>
        <v>3166.7899999999959</v>
      </c>
      <c r="FL20" s="43">
        <f t="shared" si="5"/>
        <v>3166.7899999999959</v>
      </c>
      <c r="FM20" s="43">
        <f t="shared" si="5"/>
        <v>3166.7899999999959</v>
      </c>
      <c r="FN20" s="43">
        <f t="shared" si="5"/>
        <v>3166.7899999999959</v>
      </c>
      <c r="FO20" s="43">
        <f t="shared" si="5"/>
        <v>3166.7899999999959</v>
      </c>
      <c r="FP20" s="43">
        <f t="shared" si="5"/>
        <v>3166.7899999999959</v>
      </c>
      <c r="FQ20" s="43">
        <f t="shared" si="5"/>
        <v>3166.7899999999959</v>
      </c>
      <c r="FR20" s="43">
        <f t="shared" si="5"/>
        <v>3166.7899999999959</v>
      </c>
      <c r="FS20" s="43">
        <f t="shared" si="5"/>
        <v>3166.7899999999959</v>
      </c>
      <c r="FT20" s="43">
        <f t="shared" si="5"/>
        <v>3166.7899999999959</v>
      </c>
      <c r="FU20" s="43">
        <f t="shared" si="5"/>
        <v>3166.7899999999959</v>
      </c>
      <c r="FV20" s="43">
        <f t="shared" si="5"/>
        <v>3166.7899999999959</v>
      </c>
      <c r="FW20" s="43">
        <f t="shared" si="5"/>
        <v>3166.7899999999959</v>
      </c>
      <c r="FX20" s="43">
        <f t="shared" si="5"/>
        <v>3166.7899999999959</v>
      </c>
      <c r="FY20" s="43">
        <f t="shared" si="5"/>
        <v>3166.7899999999959</v>
      </c>
      <c r="FZ20" s="43">
        <f t="shared" si="5"/>
        <v>3166.7899999999959</v>
      </c>
      <c r="GA20" s="43">
        <f t="shared" si="5"/>
        <v>3166.7899999999959</v>
      </c>
      <c r="GB20" s="43">
        <f t="shared" si="5"/>
        <v>3166.7899999999959</v>
      </c>
      <c r="GC20" s="43">
        <f t="shared" si="5"/>
        <v>3166.7899999999959</v>
      </c>
      <c r="GD20" s="43">
        <f t="shared" si="5"/>
        <v>3166.7899999999959</v>
      </c>
      <c r="GE20" s="43">
        <f t="shared" si="5"/>
        <v>3166.7899999999959</v>
      </c>
      <c r="GF20" s="43">
        <f t="shared" si="5"/>
        <v>3166.7899999999959</v>
      </c>
      <c r="GG20" s="43">
        <f t="shared" si="5"/>
        <v>3166.7899999999959</v>
      </c>
      <c r="GH20" s="43">
        <f t="shared" si="5"/>
        <v>3166.7899999999959</v>
      </c>
      <c r="GI20" s="43">
        <f t="shared" si="5"/>
        <v>3166.7899999999959</v>
      </c>
      <c r="GJ20" s="43">
        <f t="shared" si="5"/>
        <v>3166.7899999999959</v>
      </c>
      <c r="GK20" s="43">
        <f t="shared" si="5"/>
        <v>3166.7899999999959</v>
      </c>
      <c r="GL20" s="43">
        <f t="shared" si="5"/>
        <v>3166.7899999999959</v>
      </c>
      <c r="GM20" s="43">
        <f t="shared" ref="GM20:IL20" si="6">GL79</f>
        <v>3166.7899999999959</v>
      </c>
      <c r="GN20" s="43">
        <f t="shared" si="6"/>
        <v>3166.7899999999959</v>
      </c>
      <c r="GO20" s="43">
        <f t="shared" si="6"/>
        <v>3166.7899999999959</v>
      </c>
      <c r="GP20" s="43">
        <f t="shared" si="6"/>
        <v>3166.7899999999959</v>
      </c>
      <c r="GQ20" s="43">
        <f t="shared" si="6"/>
        <v>3166.7899999999959</v>
      </c>
      <c r="GR20" s="43">
        <f t="shared" si="6"/>
        <v>3166.7899999999959</v>
      </c>
      <c r="GS20" s="43">
        <f t="shared" si="6"/>
        <v>3166.7899999999959</v>
      </c>
      <c r="GT20" s="43">
        <f t="shared" si="6"/>
        <v>3166.7899999999959</v>
      </c>
      <c r="GU20" s="43">
        <f t="shared" si="6"/>
        <v>3166.7899999999959</v>
      </c>
      <c r="GV20" s="43">
        <f t="shared" si="6"/>
        <v>3166.7899999999959</v>
      </c>
      <c r="GW20" s="43">
        <f t="shared" si="6"/>
        <v>3166.7899999999959</v>
      </c>
      <c r="GX20" s="43">
        <f t="shared" si="6"/>
        <v>3166.7899999999959</v>
      </c>
      <c r="GY20" s="43">
        <f t="shared" si="6"/>
        <v>3166.7899999999959</v>
      </c>
      <c r="GZ20" s="43">
        <f t="shared" si="6"/>
        <v>3166.7899999999959</v>
      </c>
      <c r="HA20" s="43">
        <f t="shared" si="6"/>
        <v>3166.7899999999959</v>
      </c>
      <c r="HB20" s="43">
        <f t="shared" si="6"/>
        <v>3166.7899999999959</v>
      </c>
      <c r="HC20" s="43">
        <f t="shared" si="6"/>
        <v>3166.7899999999959</v>
      </c>
      <c r="HD20" s="43">
        <f t="shared" si="6"/>
        <v>3166.7899999999959</v>
      </c>
      <c r="HE20" s="43">
        <f t="shared" si="6"/>
        <v>3166.7899999999959</v>
      </c>
      <c r="HF20" s="43">
        <f t="shared" si="6"/>
        <v>3166.7899999999959</v>
      </c>
      <c r="HG20" s="43">
        <f t="shared" si="6"/>
        <v>3166.7899999999959</v>
      </c>
      <c r="HH20" s="43">
        <f t="shared" si="6"/>
        <v>3166.7899999999959</v>
      </c>
      <c r="HI20" s="43">
        <f t="shared" si="6"/>
        <v>3166.7899999999959</v>
      </c>
      <c r="HJ20" s="43">
        <f t="shared" si="6"/>
        <v>3166.7899999999959</v>
      </c>
      <c r="HK20" s="43">
        <f t="shared" si="6"/>
        <v>3166.7899999999959</v>
      </c>
      <c r="HL20" s="43">
        <f t="shared" si="6"/>
        <v>3166.7899999999959</v>
      </c>
      <c r="HM20" s="43">
        <f t="shared" si="6"/>
        <v>3166.7899999999959</v>
      </c>
      <c r="HN20" s="43">
        <f t="shared" si="6"/>
        <v>3166.7899999999959</v>
      </c>
      <c r="HO20" s="43">
        <f t="shared" si="6"/>
        <v>3166.7899999999959</v>
      </c>
      <c r="HP20" s="43">
        <f t="shared" si="6"/>
        <v>3166.7899999999959</v>
      </c>
      <c r="HQ20" s="43">
        <f t="shared" si="6"/>
        <v>3166.7899999999959</v>
      </c>
      <c r="HR20" s="43">
        <f t="shared" si="6"/>
        <v>3166.7899999999959</v>
      </c>
      <c r="HS20" s="43">
        <f t="shared" si="6"/>
        <v>3166.7899999999959</v>
      </c>
      <c r="HT20" s="43">
        <f t="shared" si="6"/>
        <v>3166.7899999999959</v>
      </c>
      <c r="HU20" s="43">
        <f t="shared" si="6"/>
        <v>3166.7899999999959</v>
      </c>
      <c r="HV20" s="43">
        <f t="shared" si="6"/>
        <v>3166.7899999999959</v>
      </c>
      <c r="HW20" s="43">
        <f t="shared" si="6"/>
        <v>3166.7899999999959</v>
      </c>
      <c r="HX20" s="43">
        <f t="shared" si="6"/>
        <v>3166.7899999999959</v>
      </c>
      <c r="HY20" s="43">
        <f t="shared" si="6"/>
        <v>3166.7899999999959</v>
      </c>
      <c r="HZ20" s="43">
        <f t="shared" si="6"/>
        <v>3166.7899999999959</v>
      </c>
      <c r="IA20" s="43">
        <f t="shared" si="6"/>
        <v>3166.7899999999959</v>
      </c>
      <c r="IB20" s="43">
        <f t="shared" si="6"/>
        <v>3166.7899999999959</v>
      </c>
      <c r="IC20" s="43">
        <f t="shared" si="6"/>
        <v>3166.7899999999959</v>
      </c>
      <c r="ID20" s="43">
        <f t="shared" si="6"/>
        <v>3166.7899999999959</v>
      </c>
      <c r="IE20" s="43">
        <f t="shared" si="6"/>
        <v>3166.7899999999959</v>
      </c>
      <c r="IF20" s="43">
        <f t="shared" si="6"/>
        <v>3166.7899999999959</v>
      </c>
      <c r="IG20" s="43">
        <f t="shared" si="6"/>
        <v>3166.7899999999959</v>
      </c>
      <c r="IH20" s="43">
        <f t="shared" si="6"/>
        <v>3166.7899999999959</v>
      </c>
      <c r="II20" s="43">
        <f t="shared" si="6"/>
        <v>3166.7899999999959</v>
      </c>
      <c r="IJ20" s="43">
        <f t="shared" si="6"/>
        <v>3166.7899999999959</v>
      </c>
      <c r="IK20" s="43">
        <f t="shared" si="6"/>
        <v>3166.7899999999959</v>
      </c>
      <c r="IL20" s="43">
        <f t="shared" si="6"/>
        <v>3166.7899999999959</v>
      </c>
    </row>
    <row r="21" spans="1:246" x14ac:dyDescent="0.3">
      <c r="A21" s="28" t="s">
        <v>118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</row>
    <row r="22" spans="1:246" x14ac:dyDescent="0.3">
      <c r="A22" t="s">
        <v>3</v>
      </c>
      <c r="B22" s="37">
        <f>SUMIFS(Lançamentos!$F:$F,Lançamentos!$A:$A,B$19,Lançamentos!$C:$C,"Vendas de Produtos")</f>
        <v>0</v>
      </c>
      <c r="C22" s="37">
        <f>SUMIFS(Lançamentos!$F:$F,Lançamentos!$A:$A,C$19,Lançamentos!$C:$C,"Vendas de Produtos")</f>
        <v>0</v>
      </c>
      <c r="D22" s="37">
        <f>SUMIFS(Lançamentos!$F:$F,Lançamentos!$A:$A,D$19,Lançamentos!$C:$C,"Vendas de Produtos")</f>
        <v>0</v>
      </c>
      <c r="E22" s="37">
        <f>SUMIFS(Lançamentos!$F:$F,Lançamentos!$A:$A,E$19,Lançamentos!$C:$C,"Vendas de Produtos")</f>
        <v>0</v>
      </c>
      <c r="F22" s="37">
        <f>SUMIFS(Lançamentos!$F:$F,Lançamentos!$A:$A,F$19,Lançamentos!$C:$C,"Vendas de Produtos")</f>
        <v>0</v>
      </c>
      <c r="G22" s="37">
        <f>SUMIFS(Lançamentos!$F:$F,Lançamentos!$A:$A,G$19,Lançamentos!$C:$C,"Vendas de Produtos")</f>
        <v>0</v>
      </c>
      <c r="H22" s="37">
        <f>SUMIFS(Lançamentos!$F:$F,Lançamentos!$A:$A,H$19,Lançamentos!$C:$C,"Vendas de Produtos")</f>
        <v>0</v>
      </c>
      <c r="I22" s="37">
        <f>SUMIFS(Lançamentos!$F:$F,Lançamentos!$A:$A,I$19,Lançamentos!$C:$C,"Vendas de Produtos")</f>
        <v>0</v>
      </c>
      <c r="J22" s="37">
        <f>SUMIFS(Lançamentos!$F:$F,Lançamentos!$A:$A,J$19,Lançamentos!$C:$C,"Vendas de Produtos")</f>
        <v>0</v>
      </c>
      <c r="K22" s="37">
        <f>SUMIFS(Lançamentos!$F:$F,Lançamentos!$A:$A,K$19,Lançamentos!$C:$C,"Vendas de Produtos")</f>
        <v>0</v>
      </c>
      <c r="L22" s="37">
        <f>SUMIFS(Lançamentos!$F:$F,Lançamentos!$A:$A,L$19,Lançamentos!$C:$C,"Vendas de Produtos")</f>
        <v>0</v>
      </c>
      <c r="M22" s="37">
        <f>SUMIFS(Lançamentos!$F:$F,Lançamentos!$A:$A,M$19,Lançamentos!$C:$C,"Vendas de Produtos")</f>
        <v>0</v>
      </c>
      <c r="N22" s="37">
        <f>SUMIFS(Lançamentos!$F:$F,Lançamentos!$A:$A,N$19,Lançamentos!$C:$C,"Vendas de Produtos")</f>
        <v>0</v>
      </c>
      <c r="O22" s="37">
        <f>SUMIFS(Lançamentos!$F:$F,Lançamentos!$A:$A,O$19,Lançamentos!$C:$C,"Vendas de Produtos")</f>
        <v>0</v>
      </c>
      <c r="P22" s="37">
        <f>SUMIFS(Lançamentos!$F:$F,Lançamentos!$A:$A,P$19,Lançamentos!$C:$C,"Vendas de Produtos")</f>
        <v>0</v>
      </c>
      <c r="Q22" s="37">
        <f>SUMIFS(Lançamentos!$F:$F,Lançamentos!$A:$A,Q$19,Lançamentos!$C:$C,"Vendas de Produtos")</f>
        <v>0</v>
      </c>
      <c r="R22" s="37">
        <f>SUMIFS(Lançamentos!$F:$F,Lançamentos!$A:$A,R$19,Lançamentos!$C:$C,"Vendas de Produtos")</f>
        <v>0</v>
      </c>
      <c r="S22" s="37">
        <f>SUMIFS(Lançamentos!$F:$F,Lançamentos!$A:$A,S$19,Lançamentos!$C:$C,"Vendas de Produtos")</f>
        <v>0</v>
      </c>
      <c r="T22" s="37">
        <f>SUMIFS(Lançamentos!$F:$F,Lançamentos!$A:$A,T$19,Lançamentos!$C:$C,"Vendas de Produtos")</f>
        <v>0</v>
      </c>
      <c r="U22" s="37">
        <f>SUMIFS(Lançamentos!$F:$F,Lançamentos!$A:$A,U$19,Lançamentos!$C:$C,"Vendas de Produtos")</f>
        <v>0</v>
      </c>
      <c r="V22" s="37">
        <f>SUMIFS(Lançamentos!$F:$F,Lançamentos!$A:$A,V$19,Lançamentos!$C:$C,"Vendas de Produtos")</f>
        <v>0</v>
      </c>
      <c r="W22" s="37">
        <f>SUMIFS(Lançamentos!$F:$F,Lançamentos!$A:$A,W$19,Lançamentos!$C:$C,"Vendas de Produtos")</f>
        <v>0</v>
      </c>
      <c r="X22" s="37">
        <f>SUMIFS(Lançamentos!$F:$F,Lançamentos!$A:$A,X$19,Lançamentos!$C:$C,"Vendas de Produtos")</f>
        <v>0</v>
      </c>
      <c r="Y22" s="37">
        <f>SUMIFS(Lançamentos!$F:$F,Lançamentos!$A:$A,Y$19,Lançamentos!$C:$C,"Vendas de Produtos")</f>
        <v>0</v>
      </c>
      <c r="Z22" s="37">
        <f>SUMIFS(Lançamentos!$F:$F,Lançamentos!$A:$A,Z$19,Lançamentos!$C:$C,"Vendas de Produtos")</f>
        <v>0</v>
      </c>
      <c r="AA22" s="37">
        <f>SUMIFS(Lançamentos!$F:$F,Lançamentos!$A:$A,AA$19,Lançamentos!$C:$C,"Vendas de Produtos")</f>
        <v>0</v>
      </c>
      <c r="AB22" s="37">
        <f>SUMIFS(Lançamentos!$F:$F,Lançamentos!$A:$A,AB$19,Lançamentos!$C:$C,"Vendas de Produtos")</f>
        <v>0</v>
      </c>
      <c r="AC22" s="37">
        <f>SUMIFS(Lançamentos!$F:$F,Lançamentos!$A:$A,AC$19,Lançamentos!$C:$C,"Vendas de Produtos")</f>
        <v>0</v>
      </c>
      <c r="AD22" s="37">
        <f>SUMIFS(Lançamentos!$F:$F,Lançamentos!$A:$A,AD$19,Lançamentos!$C:$C,"Vendas de Produtos")</f>
        <v>0</v>
      </c>
      <c r="AE22" s="37">
        <f>SUMIFS(Lançamentos!$F:$F,Lançamentos!$A:$A,AE$19,Lançamentos!$C:$C,"Vendas de Produtos")</f>
        <v>0</v>
      </c>
      <c r="AF22" s="37">
        <f>SUMIFS(Lançamentos!$F:$F,Lançamentos!$A:$A,AF$19,Lançamentos!$C:$C,"Vendas de Produtos")</f>
        <v>0</v>
      </c>
      <c r="AG22" s="37">
        <f>SUMIFS(Lançamentos!$F:$F,Lançamentos!$A:$A,AG$19,Lançamentos!$C:$C,"Vendas de Produtos")</f>
        <v>4895.9899999999989</v>
      </c>
      <c r="AH22" s="37">
        <f>SUMIFS(Lançamentos!$F:$F,Lançamentos!$A:$A,AH$19,Lançamentos!$C:$C,"Vendas de Produtos")</f>
        <v>2529.3399999999974</v>
      </c>
      <c r="AI22" s="37">
        <f>SUMIFS(Lançamentos!$F:$F,Lançamentos!$A:$A,AI$19,Lançamentos!$C:$C,"Vendas de Produtos")</f>
        <v>1749.3500000000004</v>
      </c>
      <c r="AJ22" s="37">
        <f>SUMIFS(Lançamentos!$F:$F,Lançamentos!$A:$A,AJ$19,Lançamentos!$C:$C,"Vendas de Produtos")</f>
        <v>607.83000000000004</v>
      </c>
      <c r="AK22" s="37">
        <f>SUMIFS(Lançamentos!$F:$F,Lançamentos!$A:$A,AK$19,Lançamentos!$C:$C,"Vendas de Produtos")</f>
        <v>4559.3799999999983</v>
      </c>
      <c r="AL22" s="37">
        <f>SUMIFS(Lançamentos!$F:$F,Lançamentos!$A:$A,AL$19,Lançamentos!$C:$C,"Vendas de Produtos")</f>
        <v>519.84</v>
      </c>
      <c r="AM22" s="37">
        <f>SUMIFS(Lançamentos!$F:$F,Lançamentos!$A:$A,AM$19,Lançamentos!$C:$C,"Vendas de Produtos")</f>
        <v>298.41000000000003</v>
      </c>
      <c r="AN22" s="37">
        <f>SUMIFS(Lançamentos!$F:$F,Lançamentos!$A:$A,AN$19,Lançamentos!$C:$C,"Vendas de Produtos")</f>
        <v>5717.9900000000007</v>
      </c>
      <c r="AO22" s="37">
        <f>SUMIFS(Lançamentos!$F:$F,Lançamentos!$A:$A,AO$19,Lançamentos!$C:$C,"Vendas de Produtos")</f>
        <v>0</v>
      </c>
      <c r="AP22" s="37">
        <f>SUMIFS(Lançamentos!$F:$F,Lançamentos!$A:$A,AP$19,Lançamentos!$C:$C,"Vendas de Produtos")</f>
        <v>0</v>
      </c>
      <c r="AQ22" s="37">
        <f>SUMIFS(Lançamentos!$F:$F,Lançamentos!$A:$A,AQ$19,Lançamentos!$C:$C,"Vendas de Produtos")</f>
        <v>0</v>
      </c>
      <c r="AR22" s="37">
        <f>SUMIFS(Lançamentos!$F:$F,Lançamentos!$A:$A,AR$19,Lançamentos!$C:$C,"Vendas de Produtos")</f>
        <v>0</v>
      </c>
      <c r="AS22" s="37">
        <f>SUMIFS(Lançamentos!$F:$F,Lançamentos!$A:$A,AS$19,Lançamentos!$C:$C,"Vendas de Produtos")</f>
        <v>0</v>
      </c>
      <c r="AT22" s="37">
        <f>SUMIFS(Lançamentos!$F:$F,Lançamentos!$A:$A,AT$19,Lançamentos!$C:$C,"Vendas de Produtos")</f>
        <v>0</v>
      </c>
      <c r="AU22" s="37">
        <f>SUMIFS(Lançamentos!$F:$F,Lançamentos!$A:$A,AU$19,Lançamentos!$C:$C,"Vendas de Produtos")</f>
        <v>0</v>
      </c>
      <c r="AV22" s="37">
        <f>SUMIFS(Lançamentos!$F:$F,Lançamentos!$A:$A,AV$19,Lançamentos!$C:$C,"Vendas de Produtos")</f>
        <v>0</v>
      </c>
      <c r="AW22" s="37">
        <f>SUMIFS(Lançamentos!$F:$F,Lançamentos!$A:$A,AW$19,Lançamentos!$C:$C,"Vendas de Produtos")</f>
        <v>0</v>
      </c>
      <c r="AX22" s="37">
        <f>SUMIFS(Lançamentos!$F:$F,Lançamentos!$A:$A,AX$19,Lançamentos!$C:$C,"Vendas de Produtos")</f>
        <v>0</v>
      </c>
      <c r="AY22" s="37">
        <f>SUMIFS(Lançamentos!$F:$F,Lançamentos!$A:$A,AY$19,Lançamentos!$C:$C,"Vendas de Produtos")</f>
        <v>0</v>
      </c>
      <c r="AZ22" s="37">
        <f>SUMIFS(Lançamentos!$F:$F,Lançamentos!$A:$A,AZ$19,Lançamentos!$C:$C,"Vendas de Produtos")</f>
        <v>0</v>
      </c>
      <c r="BA22" s="37">
        <f>SUMIFS(Lançamentos!$F:$F,Lançamentos!$A:$A,BA$19,Lançamentos!$C:$C,"Vendas de Produtos")</f>
        <v>0</v>
      </c>
      <c r="BB22" s="37">
        <f>SUMIFS(Lançamentos!$F:$F,Lançamentos!$A:$A,BB$19,Lançamentos!$C:$C,"Vendas de Produtos")</f>
        <v>0</v>
      </c>
      <c r="BC22" s="37">
        <f>SUMIFS(Lançamentos!$F:$F,Lançamentos!$A:$A,BC$19,Lançamentos!$C:$C,"Vendas de Produtos")</f>
        <v>0</v>
      </c>
      <c r="BD22" s="37">
        <f>SUMIFS(Lançamentos!$F:$F,Lançamentos!$A:$A,BD$19,Lançamentos!$C:$C,"Vendas de Produtos")</f>
        <v>0</v>
      </c>
      <c r="BE22" s="37">
        <f>SUMIFS(Lançamentos!$F:$F,Lançamentos!$A:$A,BE$19,Lançamentos!$C:$C,"Vendas de Produtos")</f>
        <v>0</v>
      </c>
      <c r="BF22" s="37">
        <f>SUMIFS(Lançamentos!$F:$F,Lançamentos!$A:$A,BF$19,Lançamentos!$C:$C,"Vendas de Produtos")</f>
        <v>0</v>
      </c>
      <c r="BG22" s="37">
        <f>SUMIFS(Lançamentos!$F:$F,Lançamentos!$A:$A,BG$19,Lançamentos!$C:$C,"Vendas de Produtos")</f>
        <v>0</v>
      </c>
      <c r="BH22" s="37">
        <f>SUMIFS(Lançamentos!$F:$F,Lançamentos!$A:$A,BH$19,Lançamentos!$C:$C,"Vendas de Produtos")</f>
        <v>0</v>
      </c>
      <c r="BI22" s="37">
        <f>SUMIFS(Lançamentos!$F:$F,Lançamentos!$A:$A,BI$19,Lançamentos!$C:$C,"Vendas de Produtos")</f>
        <v>0</v>
      </c>
      <c r="BJ22" s="37">
        <f>SUMIFS(Lançamentos!$F:$F,Lançamentos!$A:$A,BJ$19,Lançamentos!$C:$C,"Vendas de Produtos")</f>
        <v>0</v>
      </c>
      <c r="BK22" s="37">
        <f>SUMIFS(Lançamentos!$F:$F,Lançamentos!$A:$A,BK$19,Lançamentos!$C:$C,"Vendas de Produtos")</f>
        <v>0</v>
      </c>
      <c r="BL22" s="37">
        <f>SUMIFS(Lançamentos!$F:$F,Lançamentos!$A:$A,BL$19,Lançamentos!$C:$C,"Vendas de Produtos")</f>
        <v>0</v>
      </c>
      <c r="BM22" s="37">
        <f>SUMIFS(Lançamentos!$F:$F,Lançamentos!$A:$A,BM$19,Lançamentos!$C:$C,"Vendas de Produtos")</f>
        <v>0</v>
      </c>
      <c r="BN22" s="37">
        <f>SUMIFS(Lançamentos!$F:$F,Lançamentos!$A:$A,BN$19,Lançamentos!$C:$C,"Vendas de Produtos")</f>
        <v>0</v>
      </c>
      <c r="BO22" s="37">
        <f>SUMIFS(Lançamentos!$F:$F,Lançamentos!$A:$A,BO$19,Lançamentos!$C:$C,"Vendas de Produtos")</f>
        <v>0</v>
      </c>
      <c r="BP22" s="37">
        <f>SUMIFS(Lançamentos!$F:$F,Lançamentos!$A:$A,BP$19,Lançamentos!$C:$C,"Vendas de Produtos")</f>
        <v>0</v>
      </c>
      <c r="BQ22" s="37">
        <f>SUMIFS(Lançamentos!$F:$F,Lançamentos!$A:$A,BQ$19,Lançamentos!$C:$C,"Vendas de Produtos")</f>
        <v>0</v>
      </c>
      <c r="BR22" s="37">
        <f>SUMIFS(Lançamentos!$F:$F,Lançamentos!$A:$A,BR$19,Lançamentos!$C:$C,"Vendas de Produtos")</f>
        <v>0</v>
      </c>
      <c r="BS22" s="37">
        <f>SUMIFS(Lançamentos!$F:$F,Lançamentos!$A:$A,BS$19,Lançamentos!$C:$C,"Vendas de Produtos")</f>
        <v>0</v>
      </c>
      <c r="BT22" s="37">
        <f>SUMIFS(Lançamentos!$F:$F,Lançamentos!$A:$A,BT$19,Lançamentos!$C:$C,"Vendas de Produtos")</f>
        <v>0</v>
      </c>
      <c r="BU22" s="37">
        <f>SUMIFS(Lançamentos!$F:$F,Lançamentos!$A:$A,BU$19,Lançamentos!$C:$C,"Vendas de Produtos")</f>
        <v>0</v>
      </c>
      <c r="BV22" s="37">
        <f>SUMIFS(Lançamentos!$F:$F,Lançamentos!$A:$A,BV$19,Lançamentos!$C:$C,"Vendas de Produtos")</f>
        <v>0</v>
      </c>
      <c r="BW22" s="37">
        <f>SUMIFS(Lançamentos!$F:$F,Lançamentos!$A:$A,BW$19,Lançamentos!$C:$C,"Vendas de Produtos")</f>
        <v>0</v>
      </c>
      <c r="BX22" s="37">
        <f>SUMIFS(Lançamentos!$F:$F,Lançamentos!$A:$A,BX$19,Lançamentos!$C:$C,"Vendas de Produtos")</f>
        <v>0</v>
      </c>
      <c r="BY22" s="37">
        <f>SUMIFS(Lançamentos!$F:$F,Lançamentos!$A:$A,BY$19,Lançamentos!$C:$C,"Vendas de Produtos")</f>
        <v>0</v>
      </c>
      <c r="BZ22" s="37">
        <f>SUMIFS(Lançamentos!$F:$F,Lançamentos!$A:$A,BZ$19,Lançamentos!$C:$C,"Vendas de Produtos")</f>
        <v>0</v>
      </c>
      <c r="CA22" s="37">
        <f>SUMIFS(Lançamentos!$F:$F,Lançamentos!$A:$A,CA$19,Lançamentos!$C:$C,"Vendas de Produtos")</f>
        <v>0</v>
      </c>
      <c r="CB22" s="37">
        <f>SUMIFS(Lançamentos!$F:$F,Lançamentos!$A:$A,CB$19,Lançamentos!$C:$C,"Vendas de Produtos")</f>
        <v>0</v>
      </c>
      <c r="CC22" s="37">
        <f>SUMIFS(Lançamentos!$F:$F,Lançamentos!$A:$A,CC$19,Lançamentos!$C:$C,"Vendas de Produtos")</f>
        <v>0</v>
      </c>
      <c r="CD22" s="37">
        <f>SUMIFS(Lançamentos!$F:$F,Lançamentos!$A:$A,CD$19,Lançamentos!$C:$C,"Vendas de Produtos")</f>
        <v>0</v>
      </c>
      <c r="CE22" s="37">
        <f>SUMIFS(Lançamentos!$F:$F,Lançamentos!$A:$A,CE$19,Lançamentos!$C:$C,"Vendas de Produtos")</f>
        <v>0</v>
      </c>
      <c r="CF22" s="37">
        <f>SUMIFS(Lançamentos!$F:$F,Lançamentos!$A:$A,CF$19,Lançamentos!$C:$C,"Vendas de Produtos")</f>
        <v>0</v>
      </c>
      <c r="CG22" s="37">
        <f>SUMIFS(Lançamentos!$F:$F,Lançamentos!$A:$A,CG$19,Lançamentos!$C:$C,"Vendas de Produtos")</f>
        <v>0</v>
      </c>
      <c r="CH22" s="37">
        <f>SUMIFS(Lançamentos!$F:$F,Lançamentos!$A:$A,CH$19,Lançamentos!$C:$C,"Vendas de Produtos")</f>
        <v>0</v>
      </c>
      <c r="CI22" s="37">
        <f>SUMIFS(Lançamentos!$F:$F,Lançamentos!$A:$A,CI$19,Lançamentos!$C:$C,"Vendas de Produtos")</f>
        <v>0</v>
      </c>
      <c r="CJ22" s="37">
        <f>SUMIFS(Lançamentos!$F:$F,Lançamentos!$A:$A,CJ$19,Lançamentos!$C:$C,"Vendas de Produtos")</f>
        <v>0</v>
      </c>
      <c r="CK22" s="37">
        <f>SUMIFS(Lançamentos!$F:$F,Lançamentos!$A:$A,CK$19,Lançamentos!$C:$C,"Vendas de Produtos")</f>
        <v>0</v>
      </c>
      <c r="CL22" s="37">
        <f>SUMIFS(Lançamentos!$F:$F,Lançamentos!$A:$A,CL$19,Lançamentos!$C:$C,"Vendas de Produtos")</f>
        <v>0</v>
      </c>
      <c r="CM22" s="37">
        <f>SUMIFS(Lançamentos!$F:$F,Lançamentos!$A:$A,CM$19,Lançamentos!$C:$C,"Vendas de Produtos")</f>
        <v>0</v>
      </c>
      <c r="CN22" s="37">
        <f>SUMIFS(Lançamentos!$F:$F,Lançamentos!$A:$A,CN$19,Lançamentos!$C:$C,"Vendas de Produtos")</f>
        <v>0</v>
      </c>
      <c r="CO22" s="37">
        <f>SUMIFS(Lançamentos!$F:$F,Lançamentos!$A:$A,CO$19,Lançamentos!$C:$C,"Vendas de Produtos")</f>
        <v>0</v>
      </c>
      <c r="CP22" s="37">
        <f>SUMIFS(Lançamentos!$F:$F,Lançamentos!$A:$A,CP$19,Lançamentos!$C:$C,"Vendas de Produtos")</f>
        <v>0</v>
      </c>
      <c r="CQ22" s="37">
        <f>SUMIFS(Lançamentos!$F:$F,Lançamentos!$A:$A,CQ$19,Lançamentos!$C:$C,"Vendas de Produtos")</f>
        <v>0</v>
      </c>
      <c r="CR22" s="37">
        <f>SUMIFS(Lançamentos!$F:$F,Lançamentos!$A:$A,CR$19,Lançamentos!$C:$C,"Vendas de Produtos")</f>
        <v>0</v>
      </c>
      <c r="CS22" s="37">
        <f>SUMIFS(Lançamentos!$F:$F,Lançamentos!$A:$A,CS$19,Lançamentos!$C:$C,"Vendas de Produtos")</f>
        <v>0</v>
      </c>
      <c r="CT22" s="37">
        <f>SUMIFS(Lançamentos!$F:$F,Lançamentos!$A:$A,CT$19,Lançamentos!$C:$C,"Vendas de Produtos")</f>
        <v>0</v>
      </c>
      <c r="CU22" s="37">
        <f>SUMIFS(Lançamentos!$F:$F,Lançamentos!$A:$A,CU$19,Lançamentos!$C:$C,"Vendas de Produtos")</f>
        <v>0</v>
      </c>
      <c r="CV22" s="37">
        <f>SUMIFS(Lançamentos!$F:$F,Lançamentos!$A:$A,CV$19,Lançamentos!$C:$C,"Vendas de Produtos")</f>
        <v>0</v>
      </c>
      <c r="CW22" s="37">
        <f>SUMIFS(Lançamentos!$F:$F,Lançamentos!$A:$A,CW$19,Lançamentos!$C:$C,"Vendas de Produtos")</f>
        <v>0</v>
      </c>
      <c r="CX22" s="37">
        <f>SUMIFS(Lançamentos!$F:$F,Lançamentos!$A:$A,CX$19,Lançamentos!$C:$C,"Vendas de Produtos")</f>
        <v>0</v>
      </c>
      <c r="CY22" s="37">
        <f>SUMIFS(Lançamentos!$F:$F,Lançamentos!$A:$A,CY$19,Lançamentos!$C:$C,"Vendas de Produtos")</f>
        <v>0</v>
      </c>
      <c r="CZ22" s="37">
        <f>SUMIFS(Lançamentos!$F:$F,Lançamentos!$A:$A,CZ$19,Lançamentos!$C:$C,"Vendas de Produtos")</f>
        <v>0</v>
      </c>
      <c r="DA22" s="37">
        <f>SUMIFS(Lançamentos!$F:$F,Lançamentos!$A:$A,DA$19,Lançamentos!$C:$C,"Vendas de Produtos")</f>
        <v>0</v>
      </c>
      <c r="DB22" s="37">
        <f>SUMIFS(Lançamentos!$F:$F,Lançamentos!$A:$A,DB$19,Lançamentos!$C:$C,"Vendas de Produtos")</f>
        <v>0</v>
      </c>
      <c r="DC22" s="37">
        <f>SUMIFS(Lançamentos!$F:$F,Lançamentos!$A:$A,DC$19,Lançamentos!$C:$C,"Vendas de Produtos")</f>
        <v>0</v>
      </c>
      <c r="DD22" s="37">
        <f>SUMIFS(Lançamentos!$F:$F,Lançamentos!$A:$A,DD$19,Lançamentos!$C:$C,"Vendas de Produtos")</f>
        <v>0</v>
      </c>
      <c r="DE22" s="37">
        <f>SUMIFS(Lançamentos!$F:$F,Lançamentos!$A:$A,DE$19,Lançamentos!$C:$C,"Vendas de Produtos")</f>
        <v>0</v>
      </c>
      <c r="DF22" s="37">
        <f>SUMIFS(Lançamentos!$F:$F,Lançamentos!$A:$A,DF$19,Lançamentos!$C:$C,"Vendas de Produtos")</f>
        <v>0</v>
      </c>
      <c r="DG22" s="37">
        <f>SUMIFS(Lançamentos!$F:$F,Lançamentos!$A:$A,DG$19,Lançamentos!$C:$C,"Vendas de Produtos")</f>
        <v>0</v>
      </c>
      <c r="DH22" s="37">
        <f>SUMIFS(Lançamentos!$F:$F,Lançamentos!$A:$A,DH$19,Lançamentos!$C:$C,"Vendas de Produtos")</f>
        <v>0</v>
      </c>
      <c r="DI22" s="37">
        <f>SUMIFS(Lançamentos!$F:$F,Lançamentos!$A:$A,DI$19,Lançamentos!$C:$C,"Vendas de Produtos")</f>
        <v>0</v>
      </c>
      <c r="DJ22" s="37">
        <f>SUMIFS(Lançamentos!$F:$F,Lançamentos!$A:$A,DJ$19,Lançamentos!$C:$C,"Vendas de Produtos")</f>
        <v>0</v>
      </c>
      <c r="DK22" s="37">
        <f>SUMIFS(Lançamentos!$F:$F,Lançamentos!$A:$A,DK$19,Lançamentos!$C:$C,"Vendas de Produtos")</f>
        <v>0</v>
      </c>
      <c r="DL22" s="37">
        <f>SUMIFS(Lançamentos!$F:$F,Lançamentos!$A:$A,DL$19,Lançamentos!$C:$C,"Vendas de Produtos")</f>
        <v>0</v>
      </c>
      <c r="DM22" s="37">
        <f>SUMIFS(Lançamentos!$F:$F,Lançamentos!$A:$A,DM$19,Lançamentos!$C:$C,"Vendas de Produtos")</f>
        <v>0</v>
      </c>
      <c r="DN22" s="37">
        <f>SUMIFS(Lançamentos!$F:$F,Lançamentos!$A:$A,DN$19,Lançamentos!$C:$C,"Vendas de Produtos")</f>
        <v>0</v>
      </c>
      <c r="DO22" s="37">
        <f>SUMIFS(Lançamentos!$F:$F,Lançamentos!$A:$A,DO$19,Lançamentos!$C:$C,"Vendas de Produtos")</f>
        <v>0</v>
      </c>
      <c r="DP22" s="37">
        <f>SUMIFS(Lançamentos!$F:$F,Lançamentos!$A:$A,DP$19,Lançamentos!$C:$C,"Vendas de Produtos")</f>
        <v>0</v>
      </c>
      <c r="DQ22" s="37">
        <f>SUMIFS(Lançamentos!$F:$F,Lançamentos!$A:$A,DQ$19,Lançamentos!$C:$C,"Vendas de Produtos")</f>
        <v>0</v>
      </c>
      <c r="DR22" s="37">
        <f>SUMIFS(Lançamentos!$F:$F,Lançamentos!$A:$A,DR$19,Lançamentos!$C:$C,"Vendas de Produtos")</f>
        <v>0</v>
      </c>
      <c r="DS22" s="37">
        <f>SUMIFS(Lançamentos!$F:$F,Lançamentos!$A:$A,DS$19,Lançamentos!$C:$C,"Vendas de Produtos")</f>
        <v>0</v>
      </c>
      <c r="DT22" s="37">
        <f>SUMIFS(Lançamentos!$F:$F,Lançamentos!$A:$A,DT$19,Lançamentos!$C:$C,"Vendas de Produtos")</f>
        <v>0</v>
      </c>
      <c r="DU22" s="37">
        <f>SUMIFS(Lançamentos!$F:$F,Lançamentos!$A:$A,DU$19,Lançamentos!$C:$C,"Vendas de Produtos")</f>
        <v>0</v>
      </c>
      <c r="DV22" s="37">
        <f>SUMIFS(Lançamentos!$F:$F,Lançamentos!$A:$A,DV$19,Lançamentos!$C:$C,"Vendas de Produtos")</f>
        <v>0</v>
      </c>
      <c r="DW22" s="37">
        <f>SUMIFS(Lançamentos!$F:$F,Lançamentos!$A:$A,DW$19,Lançamentos!$C:$C,"Vendas de Produtos")</f>
        <v>0</v>
      </c>
      <c r="DX22" s="37">
        <f>SUMIFS(Lançamentos!$F:$F,Lançamentos!$A:$A,DX$19,Lançamentos!$C:$C,"Vendas de Produtos")</f>
        <v>0</v>
      </c>
      <c r="DY22" s="37">
        <f>SUMIFS(Lançamentos!$F:$F,Lançamentos!$A:$A,DY$19,Lançamentos!$C:$C,"Vendas de Produtos")</f>
        <v>0</v>
      </c>
      <c r="DZ22" s="37">
        <f>SUMIFS(Lançamentos!$F:$F,Lançamentos!$A:$A,DZ$19,Lançamentos!$C:$C,"Vendas de Produtos")</f>
        <v>0</v>
      </c>
      <c r="EA22" s="37">
        <f>SUMIFS(Lançamentos!$F:$F,Lançamentos!$A:$A,EA$19,Lançamentos!$C:$C,"Vendas de Produtos")</f>
        <v>0</v>
      </c>
      <c r="EB22" s="37">
        <f>SUMIFS(Lançamentos!$F:$F,Lançamentos!$A:$A,EB$19,Lançamentos!$C:$C,"Vendas de Produtos")</f>
        <v>0</v>
      </c>
      <c r="EC22" s="37">
        <f>SUMIFS(Lançamentos!$F:$F,Lançamentos!$A:$A,EC$19,Lançamentos!$C:$C,"Vendas de Produtos")</f>
        <v>0</v>
      </c>
      <c r="ED22" s="37">
        <f>SUMIFS(Lançamentos!$F:$F,Lançamentos!$A:$A,ED$19,Lançamentos!$C:$C,"Vendas de Produtos")</f>
        <v>0</v>
      </c>
      <c r="EE22" s="37">
        <f>SUMIFS(Lançamentos!$F:$F,Lançamentos!$A:$A,EE$19,Lançamentos!$C:$C,"Vendas de Produtos")</f>
        <v>0</v>
      </c>
      <c r="EF22" s="37">
        <f>SUMIFS(Lançamentos!$F:$F,Lançamentos!$A:$A,EF$19,Lançamentos!$C:$C,"Vendas de Produtos")</f>
        <v>0</v>
      </c>
      <c r="EG22" s="37">
        <f>SUMIFS(Lançamentos!$F:$F,Lançamentos!$A:$A,EG$19,Lançamentos!$C:$C,"Vendas de Produtos")</f>
        <v>0</v>
      </c>
      <c r="EH22" s="37">
        <f>SUMIFS(Lançamentos!$F:$F,Lançamentos!$A:$A,EH$19,Lançamentos!$C:$C,"Vendas de Produtos")</f>
        <v>0</v>
      </c>
      <c r="EI22" s="37">
        <f>SUMIFS(Lançamentos!$F:$F,Lançamentos!$A:$A,EI$19,Lançamentos!$C:$C,"Vendas de Produtos")</f>
        <v>0</v>
      </c>
      <c r="EJ22" s="37">
        <f>SUMIFS(Lançamentos!$F:$F,Lançamentos!$A:$A,EJ$19,Lançamentos!$C:$C,"Vendas de Produtos")</f>
        <v>0</v>
      </c>
      <c r="EK22" s="37">
        <f>SUMIFS(Lançamentos!$F:$F,Lançamentos!$A:$A,EK$19,Lançamentos!$C:$C,"Vendas de Produtos")</f>
        <v>0</v>
      </c>
      <c r="EL22" s="37">
        <f>SUMIFS(Lançamentos!$F:$F,Lançamentos!$A:$A,EL$19,Lançamentos!$C:$C,"Vendas de Produtos")</f>
        <v>0</v>
      </c>
      <c r="EM22" s="37">
        <f>SUMIFS(Lançamentos!$F:$F,Lançamentos!$A:$A,EM$19,Lançamentos!$C:$C,"Vendas de Produtos")</f>
        <v>0</v>
      </c>
      <c r="EN22" s="37">
        <f>SUMIFS(Lançamentos!$F:$F,Lançamentos!$A:$A,EN$19,Lançamentos!$C:$C,"Vendas de Produtos")</f>
        <v>0</v>
      </c>
      <c r="EO22" s="37">
        <f>SUMIFS(Lançamentos!$F:$F,Lançamentos!$A:$A,EO$19,Lançamentos!$C:$C,"Vendas de Produtos")</f>
        <v>0</v>
      </c>
      <c r="EP22" s="37">
        <f>SUMIFS(Lançamentos!$F:$F,Lançamentos!$A:$A,EP$19,Lançamentos!$C:$C,"Vendas de Produtos")</f>
        <v>0</v>
      </c>
      <c r="EQ22" s="37">
        <f>SUMIFS(Lançamentos!$F:$F,Lançamentos!$A:$A,EQ$19,Lançamentos!$C:$C,"Vendas de Produtos")</f>
        <v>0</v>
      </c>
      <c r="ER22" s="37">
        <f>SUMIFS(Lançamentos!$F:$F,Lançamentos!$A:$A,ER$19,Lançamentos!$C:$C,"Vendas de Produtos")</f>
        <v>0</v>
      </c>
      <c r="ES22" s="37">
        <f>SUMIFS(Lançamentos!$F:$F,Lançamentos!$A:$A,ES$19,Lançamentos!$C:$C,"Vendas de Produtos")</f>
        <v>0</v>
      </c>
      <c r="ET22" s="37">
        <f>SUMIFS(Lançamentos!$F:$F,Lançamentos!$A:$A,ET$19,Lançamentos!$C:$C,"Vendas de Produtos")</f>
        <v>0</v>
      </c>
      <c r="EU22" s="37">
        <f>SUMIFS(Lançamentos!$F:$F,Lançamentos!$A:$A,EU$19,Lançamentos!$C:$C,"Vendas de Produtos")</f>
        <v>0</v>
      </c>
      <c r="EV22" s="37">
        <f>SUMIFS(Lançamentos!$F:$F,Lançamentos!$A:$A,EV$19,Lançamentos!$C:$C,"Vendas de Produtos")</f>
        <v>0</v>
      </c>
      <c r="EW22" s="37">
        <f>SUMIFS(Lançamentos!$F:$F,Lançamentos!$A:$A,EW$19,Lançamentos!$C:$C,"Vendas de Produtos")</f>
        <v>0</v>
      </c>
      <c r="EX22" s="37">
        <f>SUMIFS(Lançamentos!$F:$F,Lançamentos!$A:$A,EX$19,Lançamentos!$C:$C,"Vendas de Produtos")</f>
        <v>0</v>
      </c>
      <c r="EY22" s="37">
        <f>SUMIFS(Lançamentos!$F:$F,Lançamentos!$A:$A,EY$19,Lançamentos!$C:$C,"Vendas de Produtos")</f>
        <v>0</v>
      </c>
      <c r="EZ22" s="37">
        <f>SUMIFS(Lançamentos!$F:$F,Lançamentos!$A:$A,EZ$19,Lançamentos!$C:$C,"Vendas de Produtos")</f>
        <v>0</v>
      </c>
      <c r="FA22" s="37">
        <f>SUMIFS(Lançamentos!$F:$F,Lançamentos!$A:$A,FA$19,Lançamentos!$C:$C,"Vendas de Produtos")</f>
        <v>0</v>
      </c>
      <c r="FB22" s="37">
        <f>SUMIFS(Lançamentos!$F:$F,Lançamentos!$A:$A,FB$19,Lançamentos!$C:$C,"Vendas de Produtos")</f>
        <v>0</v>
      </c>
      <c r="FC22" s="37">
        <f>SUMIFS(Lançamentos!$F:$F,Lançamentos!$A:$A,FC$19,Lançamentos!$C:$C,"Vendas de Produtos")</f>
        <v>0</v>
      </c>
      <c r="FD22" s="37">
        <f>SUMIFS(Lançamentos!$F:$F,Lançamentos!$A:$A,FD$19,Lançamentos!$C:$C,"Vendas de Produtos")</f>
        <v>0</v>
      </c>
      <c r="FE22" s="37">
        <f>SUMIFS(Lançamentos!$F:$F,Lançamentos!$A:$A,FE$19,Lançamentos!$C:$C,"Vendas de Produtos")</f>
        <v>0</v>
      </c>
      <c r="FF22" s="37">
        <f>SUMIFS(Lançamentos!$F:$F,Lançamentos!$A:$A,FF$19,Lançamentos!$C:$C,"Vendas de Produtos")</f>
        <v>0</v>
      </c>
      <c r="FG22" s="37">
        <f>SUMIFS(Lançamentos!$F:$F,Lançamentos!$A:$A,FG$19,Lançamentos!$C:$C,"Vendas de Produtos")</f>
        <v>0</v>
      </c>
      <c r="FH22" s="37">
        <f>SUMIFS(Lançamentos!$F:$F,Lançamentos!$A:$A,FH$19,Lançamentos!$C:$C,"Vendas de Produtos")</f>
        <v>0</v>
      </c>
      <c r="FI22" s="37">
        <f>SUMIFS(Lançamentos!$F:$F,Lançamentos!$A:$A,FI$19,Lançamentos!$C:$C,"Vendas de Produtos")</f>
        <v>0</v>
      </c>
      <c r="FJ22" s="37">
        <f>SUMIFS(Lançamentos!$F:$F,Lançamentos!$A:$A,FJ$19,Lançamentos!$C:$C,"Vendas de Produtos")</f>
        <v>0</v>
      </c>
      <c r="FK22" s="37">
        <f>SUMIFS(Lançamentos!$F:$F,Lançamentos!$A:$A,FK$19,Lançamentos!$C:$C,"Vendas de Produtos")</f>
        <v>0</v>
      </c>
      <c r="FL22" s="37">
        <f>SUMIFS(Lançamentos!$F:$F,Lançamentos!$A:$A,FL$19,Lançamentos!$C:$C,"Vendas de Produtos")</f>
        <v>0</v>
      </c>
      <c r="FM22" s="37">
        <f>SUMIFS(Lançamentos!$F:$F,Lançamentos!$A:$A,FM$19,Lançamentos!$C:$C,"Vendas de Produtos")</f>
        <v>0</v>
      </c>
      <c r="FN22" s="37">
        <f>SUMIFS(Lançamentos!$F:$F,Lançamentos!$A:$A,FN$19,Lançamentos!$C:$C,"Vendas de Produtos")</f>
        <v>0</v>
      </c>
      <c r="FO22" s="37">
        <f>SUMIFS(Lançamentos!$F:$F,Lançamentos!$A:$A,FO$19,Lançamentos!$C:$C,"Vendas de Produtos")</f>
        <v>0</v>
      </c>
      <c r="FP22" s="37">
        <f>SUMIFS(Lançamentos!$F:$F,Lançamentos!$A:$A,FP$19,Lançamentos!$C:$C,"Vendas de Produtos")</f>
        <v>0</v>
      </c>
      <c r="FQ22" s="37">
        <f>SUMIFS(Lançamentos!$F:$F,Lançamentos!$A:$A,FQ$19,Lançamentos!$C:$C,"Vendas de Produtos")</f>
        <v>0</v>
      </c>
      <c r="FR22" s="37">
        <f>SUMIFS(Lançamentos!$F:$F,Lançamentos!$A:$A,FR$19,Lançamentos!$C:$C,"Vendas de Produtos")</f>
        <v>0</v>
      </c>
      <c r="FS22" s="37">
        <f>SUMIFS(Lançamentos!$F:$F,Lançamentos!$A:$A,FS$19,Lançamentos!$C:$C,"Vendas de Produtos")</f>
        <v>0</v>
      </c>
      <c r="FT22" s="37">
        <f>SUMIFS(Lançamentos!$F:$F,Lançamentos!$A:$A,FT$19,Lançamentos!$C:$C,"Vendas de Produtos")</f>
        <v>0</v>
      </c>
      <c r="FU22" s="37">
        <f>SUMIFS(Lançamentos!$F:$F,Lançamentos!$A:$A,FU$19,Lançamentos!$C:$C,"Vendas de Produtos")</f>
        <v>0</v>
      </c>
      <c r="FV22" s="37">
        <f>SUMIFS(Lançamentos!$F:$F,Lançamentos!$A:$A,FV$19,Lançamentos!$C:$C,"Vendas de Produtos")</f>
        <v>0</v>
      </c>
      <c r="FW22" s="37">
        <f>SUMIFS(Lançamentos!$F:$F,Lançamentos!$A:$A,FW$19,Lançamentos!$C:$C,"Vendas de Produtos")</f>
        <v>0</v>
      </c>
      <c r="FX22" s="37">
        <f>SUMIFS(Lançamentos!$F:$F,Lançamentos!$A:$A,FX$19,Lançamentos!$C:$C,"Vendas de Produtos")</f>
        <v>0</v>
      </c>
      <c r="FY22" s="37">
        <f>SUMIFS(Lançamentos!$F:$F,Lançamentos!$A:$A,FY$19,Lançamentos!$C:$C,"Vendas de Produtos")</f>
        <v>0</v>
      </c>
      <c r="FZ22" s="37">
        <f>SUMIFS(Lançamentos!$F:$F,Lançamentos!$A:$A,FZ$19,Lançamentos!$C:$C,"Vendas de Produtos")</f>
        <v>0</v>
      </c>
      <c r="GA22" s="37">
        <f>SUMIFS(Lançamentos!$F:$F,Lançamentos!$A:$A,GA$19,Lançamentos!$C:$C,"Vendas de Produtos")</f>
        <v>0</v>
      </c>
      <c r="GB22" s="37">
        <f>SUMIFS(Lançamentos!$F:$F,Lançamentos!$A:$A,GB$19,Lançamentos!$C:$C,"Vendas de Produtos")</f>
        <v>0</v>
      </c>
      <c r="GC22" s="37">
        <f>SUMIFS(Lançamentos!$F:$F,Lançamentos!$A:$A,GC$19,Lançamentos!$C:$C,"Vendas de Produtos")</f>
        <v>0</v>
      </c>
      <c r="GD22" s="37">
        <f>SUMIFS(Lançamentos!$F:$F,Lançamentos!$A:$A,GD$19,Lançamentos!$C:$C,"Vendas de Produtos")</f>
        <v>0</v>
      </c>
      <c r="GE22" s="37">
        <f>SUMIFS(Lançamentos!$F:$F,Lançamentos!$A:$A,GE$19,Lançamentos!$C:$C,"Vendas de Produtos")</f>
        <v>0</v>
      </c>
      <c r="GF22" s="37">
        <f>SUMIFS(Lançamentos!$F:$F,Lançamentos!$A:$A,GF$19,Lançamentos!$C:$C,"Vendas de Produtos")</f>
        <v>0</v>
      </c>
      <c r="GG22" s="37">
        <f>SUMIFS(Lançamentos!$F:$F,Lançamentos!$A:$A,GG$19,Lançamentos!$C:$C,"Vendas de Produtos")</f>
        <v>0</v>
      </c>
      <c r="GH22" s="37">
        <f>SUMIFS(Lançamentos!$F:$F,Lançamentos!$A:$A,GH$19,Lançamentos!$C:$C,"Vendas de Produtos")</f>
        <v>0</v>
      </c>
      <c r="GI22" s="37">
        <f>SUMIFS(Lançamentos!$F:$F,Lançamentos!$A:$A,GI$19,Lançamentos!$C:$C,"Vendas de Produtos")</f>
        <v>0</v>
      </c>
      <c r="GJ22" s="37">
        <f>SUMIFS(Lançamentos!$F:$F,Lançamentos!$A:$A,GJ$19,Lançamentos!$C:$C,"Vendas de Produtos")</f>
        <v>0</v>
      </c>
      <c r="GK22" s="37">
        <f>SUMIFS(Lançamentos!$F:$F,Lançamentos!$A:$A,GK$19,Lançamentos!$C:$C,"Vendas de Produtos")</f>
        <v>0</v>
      </c>
      <c r="GL22" s="37">
        <f>SUMIFS(Lançamentos!$F:$F,Lançamentos!$A:$A,GL$19,Lançamentos!$C:$C,"Vendas de Produtos")</f>
        <v>0</v>
      </c>
      <c r="GM22" s="37">
        <f>SUMIFS(Lançamentos!$F:$F,Lançamentos!$A:$A,GM$19,Lançamentos!$C:$C,"Vendas de Produtos")</f>
        <v>0</v>
      </c>
      <c r="GN22" s="37">
        <f>SUMIFS(Lançamentos!$F:$F,Lançamentos!$A:$A,GN$19,Lançamentos!$C:$C,"Vendas de Produtos")</f>
        <v>0</v>
      </c>
      <c r="GO22" s="37">
        <f>SUMIFS(Lançamentos!$F:$F,Lançamentos!$A:$A,GO$19,Lançamentos!$C:$C,"Vendas de Produtos")</f>
        <v>0</v>
      </c>
      <c r="GP22" s="37">
        <f>SUMIFS(Lançamentos!$F:$F,Lançamentos!$A:$A,GP$19,Lançamentos!$C:$C,"Vendas de Produtos")</f>
        <v>0</v>
      </c>
      <c r="GQ22" s="37">
        <f>SUMIFS(Lançamentos!$F:$F,Lançamentos!$A:$A,GQ$19,Lançamentos!$C:$C,"Vendas de Produtos")</f>
        <v>0</v>
      </c>
      <c r="GR22" s="37">
        <f>SUMIFS(Lançamentos!$F:$F,Lançamentos!$A:$A,GR$19,Lançamentos!$C:$C,"Vendas de Produtos")</f>
        <v>0</v>
      </c>
      <c r="GS22" s="37">
        <f>SUMIFS(Lançamentos!$F:$F,Lançamentos!$A:$A,GS$19,Lançamentos!$C:$C,"Vendas de Produtos")</f>
        <v>0</v>
      </c>
      <c r="GT22" s="37">
        <f>SUMIFS(Lançamentos!$F:$F,Lançamentos!$A:$A,GT$19,Lançamentos!$C:$C,"Vendas de Produtos")</f>
        <v>0</v>
      </c>
      <c r="GU22" s="37">
        <f>SUMIFS(Lançamentos!$F:$F,Lançamentos!$A:$A,GU$19,Lançamentos!$C:$C,"Vendas de Produtos")</f>
        <v>0</v>
      </c>
      <c r="GV22" s="37">
        <f>SUMIFS(Lançamentos!$F:$F,Lançamentos!$A:$A,GV$19,Lançamentos!$C:$C,"Vendas de Produtos")</f>
        <v>0</v>
      </c>
      <c r="GW22" s="37">
        <f>SUMIFS(Lançamentos!$F:$F,Lançamentos!$A:$A,GW$19,Lançamentos!$C:$C,"Vendas de Produtos")</f>
        <v>0</v>
      </c>
      <c r="GX22" s="37">
        <f>SUMIFS(Lançamentos!$F:$F,Lançamentos!$A:$A,GX$19,Lançamentos!$C:$C,"Vendas de Produtos")</f>
        <v>0</v>
      </c>
      <c r="GY22" s="37">
        <f>SUMIFS(Lançamentos!$F:$F,Lançamentos!$A:$A,GY$19,Lançamentos!$C:$C,"Vendas de Produtos")</f>
        <v>0</v>
      </c>
      <c r="GZ22" s="37">
        <f>SUMIFS(Lançamentos!$F:$F,Lançamentos!$A:$A,GZ$19,Lançamentos!$C:$C,"Vendas de Produtos")</f>
        <v>0</v>
      </c>
      <c r="HA22" s="37">
        <f>SUMIFS(Lançamentos!$F:$F,Lançamentos!$A:$A,HA$19,Lançamentos!$C:$C,"Vendas de Produtos")</f>
        <v>0</v>
      </c>
      <c r="HB22" s="37">
        <f>SUMIFS(Lançamentos!$F:$F,Lançamentos!$A:$A,HB$19,Lançamentos!$C:$C,"Vendas de Produtos")</f>
        <v>0</v>
      </c>
      <c r="HC22" s="37">
        <f>SUMIFS(Lançamentos!$F:$F,Lançamentos!$A:$A,HC$19,Lançamentos!$C:$C,"Vendas de Produtos")</f>
        <v>0</v>
      </c>
      <c r="HD22" s="37">
        <f>SUMIFS(Lançamentos!$F:$F,Lançamentos!$A:$A,HD$19,Lançamentos!$C:$C,"Vendas de Produtos")</f>
        <v>0</v>
      </c>
      <c r="HE22" s="37">
        <f>SUMIFS(Lançamentos!$F:$F,Lançamentos!$A:$A,HE$19,Lançamentos!$C:$C,"Vendas de Produtos")</f>
        <v>0</v>
      </c>
      <c r="HF22" s="37">
        <f>SUMIFS(Lançamentos!$F:$F,Lançamentos!$A:$A,HF$19,Lançamentos!$C:$C,"Vendas de Produtos")</f>
        <v>0</v>
      </c>
      <c r="HG22" s="37">
        <f>SUMIFS(Lançamentos!$F:$F,Lançamentos!$A:$A,HG$19,Lançamentos!$C:$C,"Vendas de Produtos")</f>
        <v>0</v>
      </c>
      <c r="HH22" s="37">
        <f>SUMIFS(Lançamentos!$F:$F,Lançamentos!$A:$A,HH$19,Lançamentos!$C:$C,"Vendas de Produtos")</f>
        <v>0</v>
      </c>
      <c r="HI22" s="37">
        <f>SUMIFS(Lançamentos!$F:$F,Lançamentos!$A:$A,HI$19,Lançamentos!$C:$C,"Vendas de Produtos")</f>
        <v>0</v>
      </c>
      <c r="HJ22" s="37">
        <f>SUMIFS(Lançamentos!$F:$F,Lançamentos!$A:$A,HJ$19,Lançamentos!$C:$C,"Vendas de Produtos")</f>
        <v>0</v>
      </c>
      <c r="HK22" s="37">
        <f>SUMIFS(Lançamentos!$F:$F,Lançamentos!$A:$A,HK$19,Lançamentos!$C:$C,"Vendas de Produtos")</f>
        <v>0</v>
      </c>
      <c r="HL22" s="37">
        <f>SUMIFS(Lançamentos!$F:$F,Lançamentos!$A:$A,HL$19,Lançamentos!$C:$C,"Vendas de Produtos")</f>
        <v>0</v>
      </c>
      <c r="HM22" s="37">
        <f>SUMIFS(Lançamentos!$F:$F,Lançamentos!$A:$A,HM$19,Lançamentos!$C:$C,"Vendas de Produtos")</f>
        <v>0</v>
      </c>
      <c r="HN22" s="37">
        <f>SUMIFS(Lançamentos!$F:$F,Lançamentos!$A:$A,HN$19,Lançamentos!$C:$C,"Vendas de Produtos")</f>
        <v>0</v>
      </c>
      <c r="HO22" s="37">
        <f>SUMIFS(Lançamentos!$F:$F,Lançamentos!$A:$A,HO$19,Lançamentos!$C:$C,"Vendas de Produtos")</f>
        <v>0</v>
      </c>
      <c r="HP22" s="37">
        <f>SUMIFS(Lançamentos!$F:$F,Lançamentos!$A:$A,HP$19,Lançamentos!$C:$C,"Vendas de Produtos")</f>
        <v>0</v>
      </c>
      <c r="HQ22" s="37">
        <f>SUMIFS(Lançamentos!$F:$F,Lançamentos!$A:$A,HQ$19,Lançamentos!$C:$C,"Vendas de Produtos")</f>
        <v>0</v>
      </c>
      <c r="HR22" s="37">
        <f>SUMIFS(Lançamentos!$F:$F,Lançamentos!$A:$A,HR$19,Lançamentos!$C:$C,"Vendas de Produtos")</f>
        <v>0</v>
      </c>
      <c r="HS22" s="37">
        <f>SUMIFS(Lançamentos!$F:$F,Lançamentos!$A:$A,HS$19,Lançamentos!$C:$C,"Vendas de Produtos")</f>
        <v>0</v>
      </c>
      <c r="HT22" s="37">
        <f>SUMIFS(Lançamentos!$F:$F,Lançamentos!$A:$A,HT$19,Lançamentos!$C:$C,"Vendas de Produtos")</f>
        <v>0</v>
      </c>
      <c r="HU22" s="37">
        <f>SUMIFS(Lançamentos!$F:$F,Lançamentos!$A:$A,HU$19,Lançamentos!$C:$C,"Vendas de Produtos")</f>
        <v>0</v>
      </c>
      <c r="HV22" s="37">
        <f>SUMIFS(Lançamentos!$F:$F,Lançamentos!$A:$A,HV$19,Lançamentos!$C:$C,"Vendas de Produtos")</f>
        <v>0</v>
      </c>
      <c r="HW22" s="37">
        <f>SUMIFS(Lançamentos!$F:$F,Lançamentos!$A:$A,HW$19,Lançamentos!$C:$C,"Vendas de Produtos")</f>
        <v>0</v>
      </c>
      <c r="HX22" s="37">
        <f>SUMIFS(Lançamentos!$F:$F,Lançamentos!$A:$A,HX$19,Lançamentos!$C:$C,"Vendas de Produtos")</f>
        <v>0</v>
      </c>
      <c r="HY22" s="37">
        <f>SUMIFS(Lançamentos!$F:$F,Lançamentos!$A:$A,HY$19,Lançamentos!$C:$C,"Vendas de Produtos")</f>
        <v>0</v>
      </c>
      <c r="HZ22" s="37">
        <f>SUMIFS(Lançamentos!$F:$F,Lançamentos!$A:$A,HZ$19,Lançamentos!$C:$C,"Vendas de Produtos")</f>
        <v>0</v>
      </c>
      <c r="IA22" s="37">
        <f>SUMIFS(Lançamentos!$F:$F,Lançamentos!$A:$A,IA$19,Lançamentos!$C:$C,"Vendas de Produtos")</f>
        <v>0</v>
      </c>
      <c r="IB22" s="37">
        <f>SUMIFS(Lançamentos!$F:$F,Lançamentos!$A:$A,IB$19,Lançamentos!$C:$C,"Vendas de Produtos")</f>
        <v>0</v>
      </c>
      <c r="IC22" s="37">
        <f>SUMIFS(Lançamentos!$F:$F,Lançamentos!$A:$A,IC$19,Lançamentos!$C:$C,"Vendas de Produtos")</f>
        <v>0</v>
      </c>
      <c r="ID22" s="37">
        <f>SUMIFS(Lançamentos!$F:$F,Lançamentos!$A:$A,ID$19,Lançamentos!$C:$C,"Vendas de Produtos")</f>
        <v>0</v>
      </c>
      <c r="IE22" s="37">
        <f>SUMIFS(Lançamentos!$F:$F,Lançamentos!$A:$A,IE$19,Lançamentos!$C:$C,"Vendas de Produtos")</f>
        <v>0</v>
      </c>
      <c r="IF22" s="37">
        <f>SUMIFS(Lançamentos!$F:$F,Lançamentos!$A:$A,IF$19,Lançamentos!$C:$C,"Vendas de Produtos")</f>
        <v>0</v>
      </c>
      <c r="IG22" s="37">
        <f>SUMIFS(Lançamentos!$F:$F,Lançamentos!$A:$A,IG$19,Lançamentos!$C:$C,"Vendas de Produtos")</f>
        <v>0</v>
      </c>
      <c r="IH22" s="37">
        <f>SUMIFS(Lançamentos!$F:$F,Lançamentos!$A:$A,IH$19,Lançamentos!$C:$C,"Vendas de Produtos")</f>
        <v>0</v>
      </c>
      <c r="II22" s="37">
        <f>SUMIFS(Lançamentos!$F:$F,Lançamentos!$A:$A,II$19,Lançamentos!$C:$C,"Vendas de Produtos")</f>
        <v>0</v>
      </c>
      <c r="IJ22" s="37">
        <f>SUMIFS(Lançamentos!$F:$F,Lançamentos!$A:$A,IJ$19,Lançamentos!$C:$C,"Vendas de Produtos")</f>
        <v>0</v>
      </c>
      <c r="IK22" s="37">
        <f>SUMIFS(Lançamentos!$F:$F,Lançamentos!$A:$A,IK$19,Lançamentos!$C:$C,"Vendas de Produtos")</f>
        <v>0</v>
      </c>
      <c r="IL22" s="37">
        <f>SUMIFS(Lançamentos!$F:$F,Lançamentos!$A:$A,IL$19,Lançamentos!$C:$C,"Vendas de Produtos")</f>
        <v>0</v>
      </c>
    </row>
    <row r="23" spans="1:246" x14ac:dyDescent="0.3">
      <c r="A23" t="s">
        <v>5</v>
      </c>
      <c r="B23" s="37">
        <f>SUMIFS(Lançamentos!$F:$F,Lançamentos!$A:$A,B$19,Lançamentos!$C:$C,"Vendas de Serviços")</f>
        <v>0</v>
      </c>
      <c r="C23" s="37">
        <f>SUMIFS(Lançamentos!$F:$F,Lançamentos!$A:$A,C$19,Lançamentos!$C:$C,"Vendas de Serviços")</f>
        <v>0</v>
      </c>
      <c r="D23" s="37">
        <f>SUMIFS(Lançamentos!$F:$F,Lançamentos!$A:$A,D$19,Lançamentos!$C:$C,"Vendas de Serviços")</f>
        <v>0</v>
      </c>
      <c r="E23" s="37">
        <f>SUMIFS(Lançamentos!$F:$F,Lançamentos!$A:$A,E$19,Lançamentos!$C:$C,"Vendas de Serviços")</f>
        <v>0</v>
      </c>
      <c r="F23" s="37">
        <f>SUMIFS(Lançamentos!$F:$F,Lançamentos!$A:$A,F$19,Lançamentos!$C:$C,"Vendas de Serviços")</f>
        <v>0</v>
      </c>
      <c r="G23" s="37">
        <f>SUMIFS(Lançamentos!$F:$F,Lançamentos!$A:$A,G$19,Lançamentos!$C:$C,"Vendas de Serviços")</f>
        <v>0</v>
      </c>
      <c r="H23" s="37">
        <f>SUMIFS(Lançamentos!$F:$F,Lançamentos!$A:$A,H$19,Lançamentos!$C:$C,"Vendas de Serviços")</f>
        <v>0</v>
      </c>
      <c r="I23" s="37">
        <f>SUMIFS(Lançamentos!$F:$F,Lançamentos!$A:$A,I$19,Lançamentos!$C:$C,"Vendas de Serviços")</f>
        <v>0</v>
      </c>
      <c r="J23" s="37">
        <f>SUMIFS(Lançamentos!$F:$F,Lançamentos!$A:$A,J$19,Lançamentos!$C:$C,"Vendas de Serviços")</f>
        <v>0</v>
      </c>
      <c r="K23" s="37">
        <f>SUMIFS(Lançamentos!$F:$F,Lançamentos!$A:$A,K$19,Lançamentos!$C:$C,"Vendas de Serviços")</f>
        <v>0</v>
      </c>
      <c r="L23" s="37">
        <f>SUMIFS(Lançamentos!$F:$F,Lançamentos!$A:$A,L$19,Lançamentos!$C:$C,"Vendas de Serviços")</f>
        <v>0</v>
      </c>
      <c r="M23" s="37">
        <f>SUMIFS(Lançamentos!$F:$F,Lançamentos!$A:$A,M$19,Lançamentos!$C:$C,"Vendas de Serviços")</f>
        <v>0</v>
      </c>
      <c r="N23" s="37">
        <f>SUMIFS(Lançamentos!$F:$F,Lançamentos!$A:$A,N$19,Lançamentos!$C:$C,"Vendas de Serviços")</f>
        <v>0</v>
      </c>
      <c r="O23" s="37">
        <f>SUMIFS(Lançamentos!$F:$F,Lançamentos!$A:$A,O$19,Lançamentos!$C:$C,"Vendas de Serviços")</f>
        <v>0</v>
      </c>
      <c r="P23" s="37">
        <f>SUMIFS(Lançamentos!$F:$F,Lançamentos!$A:$A,P$19,Lançamentos!$C:$C,"Vendas de Serviços")</f>
        <v>0</v>
      </c>
      <c r="Q23" s="37">
        <f>SUMIFS(Lançamentos!$F:$F,Lançamentos!$A:$A,Q$19,Lançamentos!$C:$C,"Vendas de Serviços")</f>
        <v>0</v>
      </c>
      <c r="R23" s="37">
        <f>SUMIFS(Lançamentos!$F:$F,Lançamentos!$A:$A,R$19,Lançamentos!$C:$C,"Vendas de Serviços")</f>
        <v>0</v>
      </c>
      <c r="S23" s="37">
        <f>SUMIFS(Lançamentos!$F:$F,Lançamentos!$A:$A,S$19,Lançamentos!$C:$C,"Vendas de Serviços")</f>
        <v>0</v>
      </c>
      <c r="T23" s="37">
        <f>SUMIFS(Lançamentos!$F:$F,Lançamentos!$A:$A,T$19,Lançamentos!$C:$C,"Vendas de Serviços")</f>
        <v>0</v>
      </c>
      <c r="U23" s="37">
        <f>SUMIFS(Lançamentos!$F:$F,Lançamentos!$A:$A,U$19,Lançamentos!$C:$C,"Vendas de Serviços")</f>
        <v>0</v>
      </c>
      <c r="V23" s="37">
        <f>SUMIFS(Lançamentos!$F:$F,Lançamentos!$A:$A,V$19,Lançamentos!$C:$C,"Vendas de Serviços")</f>
        <v>0</v>
      </c>
      <c r="W23" s="37">
        <f>SUMIFS(Lançamentos!$F:$F,Lançamentos!$A:$A,W$19,Lançamentos!$C:$C,"Vendas de Serviços")</f>
        <v>0</v>
      </c>
      <c r="X23" s="37">
        <f>SUMIFS(Lançamentos!$F:$F,Lançamentos!$A:$A,X$19,Lançamentos!$C:$C,"Vendas de Serviços")</f>
        <v>0</v>
      </c>
      <c r="Y23" s="37">
        <f>SUMIFS(Lançamentos!$F:$F,Lançamentos!$A:$A,Y$19,Lançamentos!$C:$C,"Vendas de Serviços")</f>
        <v>0</v>
      </c>
      <c r="Z23" s="37">
        <f>SUMIFS(Lançamentos!$F:$F,Lançamentos!$A:$A,Z$19,Lançamentos!$C:$C,"Vendas de Serviços")</f>
        <v>0</v>
      </c>
      <c r="AA23" s="37">
        <f>SUMIFS(Lançamentos!$F:$F,Lançamentos!$A:$A,AA$19,Lançamentos!$C:$C,"Vendas de Serviços")</f>
        <v>0</v>
      </c>
      <c r="AB23" s="37">
        <f>SUMIFS(Lançamentos!$F:$F,Lançamentos!$A:$A,AB$19,Lançamentos!$C:$C,"Vendas de Serviços")</f>
        <v>0</v>
      </c>
      <c r="AC23" s="37">
        <f>SUMIFS(Lançamentos!$F:$F,Lançamentos!$A:$A,AC$19,Lançamentos!$C:$C,"Vendas de Serviços")</f>
        <v>0</v>
      </c>
      <c r="AD23" s="37">
        <f>SUMIFS(Lançamentos!$F:$F,Lançamentos!$A:$A,AD$19,Lançamentos!$C:$C,"Vendas de Serviços")</f>
        <v>0</v>
      </c>
      <c r="AE23" s="37">
        <f>SUMIFS(Lançamentos!$F:$F,Lançamentos!$A:$A,AE$19,Lançamentos!$C:$C,"Vendas de Serviços")</f>
        <v>0</v>
      </c>
      <c r="AF23" s="37">
        <f>SUMIFS(Lançamentos!$F:$F,Lançamentos!$A:$A,AF$19,Lançamentos!$C:$C,"Vendas de Serviços")</f>
        <v>0</v>
      </c>
      <c r="AG23" s="37">
        <f>SUMIFS(Lançamentos!$F:$F,Lançamentos!$A:$A,AG$19,Lançamentos!$C:$C,"Vendas de Serviços")</f>
        <v>0</v>
      </c>
      <c r="AH23" s="37">
        <f>SUMIFS(Lançamentos!$F:$F,Lançamentos!$A:$A,AH$19,Lançamentos!$C:$C,"Vendas de Serviços")</f>
        <v>0</v>
      </c>
      <c r="AI23" s="37">
        <f>SUMIFS(Lançamentos!$F:$F,Lançamentos!$A:$A,AI$19,Lançamentos!$C:$C,"Vendas de Serviços")</f>
        <v>0</v>
      </c>
      <c r="AJ23" s="37">
        <f>SUMIFS(Lançamentos!$F:$F,Lançamentos!$A:$A,AJ$19,Lançamentos!$C:$C,"Vendas de Serviços")</f>
        <v>0</v>
      </c>
      <c r="AK23" s="37">
        <f>SUMIFS(Lançamentos!$F:$F,Lançamentos!$A:$A,AK$19,Lançamentos!$C:$C,"Vendas de Serviços")</f>
        <v>0</v>
      </c>
      <c r="AL23" s="37">
        <f>SUMIFS(Lançamentos!$F:$F,Lançamentos!$A:$A,AL$19,Lançamentos!$C:$C,"Vendas de Serviços")</f>
        <v>0</v>
      </c>
      <c r="AM23" s="37">
        <f>SUMIFS(Lançamentos!$F:$F,Lançamentos!$A:$A,AM$19,Lançamentos!$C:$C,"Vendas de Serviços")</f>
        <v>0</v>
      </c>
      <c r="AN23" s="37">
        <f>SUMIFS(Lançamentos!$F:$F,Lançamentos!$A:$A,AN$19,Lançamentos!$C:$C,"Vendas de Serviços")</f>
        <v>0</v>
      </c>
      <c r="AO23" s="37">
        <f>SUMIFS(Lançamentos!$F:$F,Lançamentos!$A:$A,AO$19,Lançamentos!$C:$C,"Vendas de Serviços")</f>
        <v>0</v>
      </c>
      <c r="AP23" s="37">
        <f>SUMIFS(Lançamentos!$F:$F,Lançamentos!$A:$A,AP$19,Lançamentos!$C:$C,"Vendas de Serviços")</f>
        <v>0</v>
      </c>
      <c r="AQ23" s="37">
        <f>SUMIFS(Lançamentos!$F:$F,Lançamentos!$A:$A,AQ$19,Lançamentos!$C:$C,"Vendas de Serviços")</f>
        <v>0</v>
      </c>
      <c r="AR23" s="37">
        <f>SUMIFS(Lançamentos!$F:$F,Lançamentos!$A:$A,AR$19,Lançamentos!$C:$C,"Vendas de Serviços")</f>
        <v>0</v>
      </c>
      <c r="AS23" s="37">
        <f>SUMIFS(Lançamentos!$F:$F,Lançamentos!$A:$A,AS$19,Lançamentos!$C:$C,"Vendas de Serviços")</f>
        <v>0</v>
      </c>
      <c r="AT23" s="37">
        <f>SUMIFS(Lançamentos!$F:$F,Lançamentos!$A:$A,AT$19,Lançamentos!$C:$C,"Vendas de Serviços")</f>
        <v>0</v>
      </c>
      <c r="AU23" s="37">
        <f>SUMIFS(Lançamentos!$F:$F,Lançamentos!$A:$A,AU$19,Lançamentos!$C:$C,"Vendas de Serviços")</f>
        <v>0</v>
      </c>
      <c r="AV23" s="37">
        <f>SUMIFS(Lançamentos!$F:$F,Lançamentos!$A:$A,AV$19,Lançamentos!$C:$C,"Vendas de Serviços")</f>
        <v>0</v>
      </c>
      <c r="AW23" s="37">
        <f>SUMIFS(Lançamentos!$F:$F,Lançamentos!$A:$A,AW$19,Lançamentos!$C:$C,"Vendas de Serviços")</f>
        <v>0</v>
      </c>
      <c r="AX23" s="37">
        <f>SUMIFS(Lançamentos!$F:$F,Lançamentos!$A:$A,AX$19,Lançamentos!$C:$C,"Vendas de Serviços")</f>
        <v>0</v>
      </c>
      <c r="AY23" s="37">
        <f>SUMIFS(Lançamentos!$F:$F,Lançamentos!$A:$A,AY$19,Lançamentos!$C:$C,"Vendas de Serviços")</f>
        <v>0</v>
      </c>
      <c r="AZ23" s="37">
        <f>SUMIFS(Lançamentos!$F:$F,Lançamentos!$A:$A,AZ$19,Lançamentos!$C:$C,"Vendas de Serviços")</f>
        <v>0</v>
      </c>
      <c r="BA23" s="37">
        <f>SUMIFS(Lançamentos!$F:$F,Lançamentos!$A:$A,BA$19,Lançamentos!$C:$C,"Vendas de Serviços")</f>
        <v>0</v>
      </c>
      <c r="BB23" s="37">
        <f>SUMIFS(Lançamentos!$F:$F,Lançamentos!$A:$A,BB$19,Lançamentos!$C:$C,"Vendas de Serviços")</f>
        <v>0</v>
      </c>
      <c r="BC23" s="37">
        <f>SUMIFS(Lançamentos!$F:$F,Lançamentos!$A:$A,BC$19,Lançamentos!$C:$C,"Vendas de Serviços")</f>
        <v>0</v>
      </c>
      <c r="BD23" s="37">
        <f>SUMIFS(Lançamentos!$F:$F,Lançamentos!$A:$A,BD$19,Lançamentos!$C:$C,"Vendas de Serviços")</f>
        <v>0</v>
      </c>
      <c r="BE23" s="37">
        <f>SUMIFS(Lançamentos!$F:$F,Lançamentos!$A:$A,BE$19,Lançamentos!$C:$C,"Vendas de Serviços")</f>
        <v>0</v>
      </c>
      <c r="BF23" s="37">
        <f>SUMIFS(Lançamentos!$F:$F,Lançamentos!$A:$A,BF$19,Lançamentos!$C:$C,"Vendas de Serviços")</f>
        <v>0</v>
      </c>
      <c r="BG23" s="37">
        <f>SUMIFS(Lançamentos!$F:$F,Lançamentos!$A:$A,BG$19,Lançamentos!$C:$C,"Vendas de Serviços")</f>
        <v>0</v>
      </c>
      <c r="BH23" s="37">
        <f>SUMIFS(Lançamentos!$F:$F,Lançamentos!$A:$A,BH$19,Lançamentos!$C:$C,"Vendas de Serviços")</f>
        <v>0</v>
      </c>
      <c r="BI23" s="37">
        <f>SUMIFS(Lançamentos!$F:$F,Lançamentos!$A:$A,BI$19,Lançamentos!$C:$C,"Vendas de Serviços")</f>
        <v>0</v>
      </c>
      <c r="BJ23" s="37">
        <f>SUMIFS(Lançamentos!$F:$F,Lançamentos!$A:$A,BJ$19,Lançamentos!$C:$C,"Vendas de Serviços")</f>
        <v>0</v>
      </c>
      <c r="BK23" s="37">
        <f>SUMIFS(Lançamentos!$F:$F,Lançamentos!$A:$A,BK$19,Lançamentos!$C:$C,"Vendas de Serviços")</f>
        <v>0</v>
      </c>
      <c r="BL23" s="37">
        <f>SUMIFS(Lançamentos!$F:$F,Lançamentos!$A:$A,BL$19,Lançamentos!$C:$C,"Vendas de Serviços")</f>
        <v>0</v>
      </c>
      <c r="BM23" s="37">
        <f>SUMIFS(Lançamentos!$F:$F,Lançamentos!$A:$A,BM$19,Lançamentos!$C:$C,"Vendas de Serviços")</f>
        <v>0</v>
      </c>
      <c r="BN23" s="37">
        <f>SUMIFS(Lançamentos!$F:$F,Lançamentos!$A:$A,BN$19,Lançamentos!$C:$C,"Vendas de Serviços")</f>
        <v>0</v>
      </c>
      <c r="BO23" s="37">
        <f>SUMIFS(Lançamentos!$F:$F,Lançamentos!$A:$A,BO$19,Lançamentos!$C:$C,"Vendas de Serviços")</f>
        <v>0</v>
      </c>
      <c r="BP23" s="37">
        <f>SUMIFS(Lançamentos!$F:$F,Lançamentos!$A:$A,BP$19,Lançamentos!$C:$C,"Vendas de Serviços")</f>
        <v>0</v>
      </c>
      <c r="BQ23" s="37">
        <f>SUMIFS(Lançamentos!$F:$F,Lançamentos!$A:$A,BQ$19,Lançamentos!$C:$C,"Vendas de Serviços")</f>
        <v>0</v>
      </c>
      <c r="BR23" s="37">
        <f>SUMIFS(Lançamentos!$F:$F,Lançamentos!$A:$A,BR$19,Lançamentos!$C:$C,"Vendas de Serviços")</f>
        <v>0</v>
      </c>
      <c r="BS23" s="37">
        <f>SUMIFS(Lançamentos!$F:$F,Lançamentos!$A:$A,BS$19,Lançamentos!$C:$C,"Vendas de Serviços")</f>
        <v>0</v>
      </c>
      <c r="BT23" s="37">
        <f>SUMIFS(Lançamentos!$F:$F,Lançamentos!$A:$A,BT$19,Lançamentos!$C:$C,"Vendas de Serviços")</f>
        <v>0</v>
      </c>
      <c r="BU23" s="37">
        <f>SUMIFS(Lançamentos!$F:$F,Lançamentos!$A:$A,BU$19,Lançamentos!$C:$C,"Vendas de Serviços")</f>
        <v>0</v>
      </c>
      <c r="BV23" s="37">
        <f>SUMIFS(Lançamentos!$F:$F,Lançamentos!$A:$A,BV$19,Lançamentos!$C:$C,"Vendas de Serviços")</f>
        <v>0</v>
      </c>
      <c r="BW23" s="37">
        <f>SUMIFS(Lançamentos!$F:$F,Lançamentos!$A:$A,BW$19,Lançamentos!$C:$C,"Vendas de Serviços")</f>
        <v>0</v>
      </c>
      <c r="BX23" s="37">
        <f>SUMIFS(Lançamentos!$F:$F,Lançamentos!$A:$A,BX$19,Lançamentos!$C:$C,"Vendas de Serviços")</f>
        <v>0</v>
      </c>
      <c r="BY23" s="37">
        <f>SUMIFS(Lançamentos!$F:$F,Lançamentos!$A:$A,BY$19,Lançamentos!$C:$C,"Vendas de Serviços")</f>
        <v>0</v>
      </c>
      <c r="BZ23" s="37">
        <f>SUMIFS(Lançamentos!$F:$F,Lançamentos!$A:$A,BZ$19,Lançamentos!$C:$C,"Vendas de Serviços")</f>
        <v>0</v>
      </c>
      <c r="CA23" s="37">
        <f>SUMIFS(Lançamentos!$F:$F,Lançamentos!$A:$A,CA$19,Lançamentos!$C:$C,"Vendas de Serviços")</f>
        <v>0</v>
      </c>
      <c r="CB23" s="37">
        <f>SUMIFS(Lançamentos!$F:$F,Lançamentos!$A:$A,CB$19,Lançamentos!$C:$C,"Vendas de Serviços")</f>
        <v>0</v>
      </c>
      <c r="CC23" s="37">
        <f>SUMIFS(Lançamentos!$F:$F,Lançamentos!$A:$A,CC$19,Lançamentos!$C:$C,"Vendas de Serviços")</f>
        <v>0</v>
      </c>
      <c r="CD23" s="37">
        <f>SUMIFS(Lançamentos!$F:$F,Lançamentos!$A:$A,CD$19,Lançamentos!$C:$C,"Vendas de Serviços")</f>
        <v>0</v>
      </c>
      <c r="CE23" s="37">
        <f>SUMIFS(Lançamentos!$F:$F,Lançamentos!$A:$A,CE$19,Lançamentos!$C:$C,"Vendas de Serviços")</f>
        <v>0</v>
      </c>
      <c r="CF23" s="37">
        <f>SUMIFS(Lançamentos!$F:$F,Lançamentos!$A:$A,CF$19,Lançamentos!$C:$C,"Vendas de Serviços")</f>
        <v>0</v>
      </c>
      <c r="CG23" s="37">
        <f>SUMIFS(Lançamentos!$F:$F,Lançamentos!$A:$A,CG$19,Lançamentos!$C:$C,"Vendas de Serviços")</f>
        <v>0</v>
      </c>
      <c r="CH23" s="37">
        <f>SUMIFS(Lançamentos!$F:$F,Lançamentos!$A:$A,CH$19,Lançamentos!$C:$C,"Vendas de Serviços")</f>
        <v>0</v>
      </c>
      <c r="CI23" s="37">
        <f>SUMIFS(Lançamentos!$F:$F,Lançamentos!$A:$A,CI$19,Lançamentos!$C:$C,"Vendas de Serviços")</f>
        <v>0</v>
      </c>
      <c r="CJ23" s="37">
        <f>SUMIFS(Lançamentos!$F:$F,Lançamentos!$A:$A,CJ$19,Lançamentos!$C:$C,"Vendas de Serviços")</f>
        <v>0</v>
      </c>
      <c r="CK23" s="37">
        <f>SUMIFS(Lançamentos!$F:$F,Lançamentos!$A:$A,CK$19,Lançamentos!$C:$C,"Vendas de Serviços")</f>
        <v>0</v>
      </c>
      <c r="CL23" s="37">
        <f>SUMIFS(Lançamentos!$F:$F,Lançamentos!$A:$A,CL$19,Lançamentos!$C:$C,"Vendas de Serviços")</f>
        <v>0</v>
      </c>
      <c r="CM23" s="37">
        <f>SUMIFS(Lançamentos!$F:$F,Lançamentos!$A:$A,CM$19,Lançamentos!$C:$C,"Vendas de Serviços")</f>
        <v>0</v>
      </c>
      <c r="CN23" s="37">
        <f>SUMIFS(Lançamentos!$F:$F,Lançamentos!$A:$A,CN$19,Lançamentos!$C:$C,"Vendas de Serviços")</f>
        <v>0</v>
      </c>
      <c r="CO23" s="37">
        <f>SUMIFS(Lançamentos!$F:$F,Lançamentos!$A:$A,CO$19,Lançamentos!$C:$C,"Vendas de Serviços")</f>
        <v>0</v>
      </c>
      <c r="CP23" s="37">
        <f>SUMIFS(Lançamentos!$F:$F,Lançamentos!$A:$A,CP$19,Lançamentos!$C:$C,"Vendas de Serviços")</f>
        <v>0</v>
      </c>
      <c r="CQ23" s="37">
        <f>SUMIFS(Lançamentos!$F:$F,Lançamentos!$A:$A,CQ$19,Lançamentos!$C:$C,"Vendas de Serviços")</f>
        <v>0</v>
      </c>
      <c r="CR23" s="37">
        <f>SUMIFS(Lançamentos!$F:$F,Lançamentos!$A:$A,CR$19,Lançamentos!$C:$C,"Vendas de Serviços")</f>
        <v>0</v>
      </c>
      <c r="CS23" s="37">
        <f>SUMIFS(Lançamentos!$F:$F,Lançamentos!$A:$A,CS$19,Lançamentos!$C:$C,"Vendas de Serviços")</f>
        <v>0</v>
      </c>
      <c r="CT23" s="37">
        <f>SUMIFS(Lançamentos!$F:$F,Lançamentos!$A:$A,CT$19,Lançamentos!$C:$C,"Vendas de Serviços")</f>
        <v>0</v>
      </c>
      <c r="CU23" s="37">
        <f>SUMIFS(Lançamentos!$F:$F,Lançamentos!$A:$A,CU$19,Lançamentos!$C:$C,"Vendas de Serviços")</f>
        <v>0</v>
      </c>
      <c r="CV23" s="37">
        <f>SUMIFS(Lançamentos!$F:$F,Lançamentos!$A:$A,CV$19,Lançamentos!$C:$C,"Vendas de Serviços")</f>
        <v>0</v>
      </c>
      <c r="CW23" s="37">
        <f>SUMIFS(Lançamentos!$F:$F,Lançamentos!$A:$A,CW$19,Lançamentos!$C:$C,"Vendas de Serviços")</f>
        <v>0</v>
      </c>
      <c r="CX23" s="37">
        <f>SUMIFS(Lançamentos!$F:$F,Lançamentos!$A:$A,CX$19,Lançamentos!$C:$C,"Vendas de Serviços")</f>
        <v>0</v>
      </c>
      <c r="CY23" s="37">
        <f>SUMIFS(Lançamentos!$F:$F,Lançamentos!$A:$A,CY$19,Lançamentos!$C:$C,"Vendas de Serviços")</f>
        <v>0</v>
      </c>
      <c r="CZ23" s="37">
        <f>SUMIFS(Lançamentos!$F:$F,Lançamentos!$A:$A,CZ$19,Lançamentos!$C:$C,"Vendas de Serviços")</f>
        <v>0</v>
      </c>
      <c r="DA23" s="37">
        <f>SUMIFS(Lançamentos!$F:$F,Lançamentos!$A:$A,DA$19,Lançamentos!$C:$C,"Vendas de Serviços")</f>
        <v>0</v>
      </c>
      <c r="DB23" s="37">
        <f>SUMIFS(Lançamentos!$F:$F,Lançamentos!$A:$A,DB$19,Lançamentos!$C:$C,"Vendas de Serviços")</f>
        <v>0</v>
      </c>
      <c r="DC23" s="37">
        <f>SUMIFS(Lançamentos!$F:$F,Lançamentos!$A:$A,DC$19,Lançamentos!$C:$C,"Vendas de Serviços")</f>
        <v>0</v>
      </c>
      <c r="DD23" s="37">
        <f>SUMIFS(Lançamentos!$F:$F,Lançamentos!$A:$A,DD$19,Lançamentos!$C:$C,"Vendas de Serviços")</f>
        <v>0</v>
      </c>
      <c r="DE23" s="37">
        <f>SUMIFS(Lançamentos!$F:$F,Lançamentos!$A:$A,DE$19,Lançamentos!$C:$C,"Vendas de Serviços")</f>
        <v>0</v>
      </c>
      <c r="DF23" s="37">
        <f>SUMIFS(Lançamentos!$F:$F,Lançamentos!$A:$A,DF$19,Lançamentos!$C:$C,"Vendas de Serviços")</f>
        <v>0</v>
      </c>
      <c r="DG23" s="37">
        <f>SUMIFS(Lançamentos!$F:$F,Lançamentos!$A:$A,DG$19,Lançamentos!$C:$C,"Vendas de Serviços")</f>
        <v>0</v>
      </c>
      <c r="DH23" s="37">
        <f>SUMIFS(Lançamentos!$F:$F,Lançamentos!$A:$A,DH$19,Lançamentos!$C:$C,"Vendas de Serviços")</f>
        <v>0</v>
      </c>
      <c r="DI23" s="37">
        <f>SUMIFS(Lançamentos!$F:$F,Lançamentos!$A:$A,DI$19,Lançamentos!$C:$C,"Vendas de Serviços")</f>
        <v>0</v>
      </c>
      <c r="DJ23" s="37">
        <f>SUMIFS(Lançamentos!$F:$F,Lançamentos!$A:$A,DJ$19,Lançamentos!$C:$C,"Vendas de Serviços")</f>
        <v>0</v>
      </c>
      <c r="DK23" s="37">
        <f>SUMIFS(Lançamentos!$F:$F,Lançamentos!$A:$A,DK$19,Lançamentos!$C:$C,"Vendas de Serviços")</f>
        <v>0</v>
      </c>
      <c r="DL23" s="37">
        <f>SUMIFS(Lançamentos!$F:$F,Lançamentos!$A:$A,DL$19,Lançamentos!$C:$C,"Vendas de Serviços")</f>
        <v>0</v>
      </c>
      <c r="DM23" s="37">
        <f>SUMIFS(Lançamentos!$F:$F,Lançamentos!$A:$A,DM$19,Lançamentos!$C:$C,"Vendas de Serviços")</f>
        <v>0</v>
      </c>
      <c r="DN23" s="37">
        <f>SUMIFS(Lançamentos!$F:$F,Lançamentos!$A:$A,DN$19,Lançamentos!$C:$C,"Vendas de Serviços")</f>
        <v>0</v>
      </c>
      <c r="DO23" s="37">
        <f>SUMIFS(Lançamentos!$F:$F,Lançamentos!$A:$A,DO$19,Lançamentos!$C:$C,"Vendas de Serviços")</f>
        <v>0</v>
      </c>
      <c r="DP23" s="37">
        <f>SUMIFS(Lançamentos!$F:$F,Lançamentos!$A:$A,DP$19,Lançamentos!$C:$C,"Vendas de Serviços")</f>
        <v>0</v>
      </c>
      <c r="DQ23" s="37">
        <f>SUMIFS(Lançamentos!$F:$F,Lançamentos!$A:$A,DQ$19,Lançamentos!$C:$C,"Vendas de Serviços")</f>
        <v>0</v>
      </c>
      <c r="DR23" s="37">
        <f>SUMIFS(Lançamentos!$F:$F,Lançamentos!$A:$A,DR$19,Lançamentos!$C:$C,"Vendas de Serviços")</f>
        <v>0</v>
      </c>
      <c r="DS23" s="37">
        <f>SUMIFS(Lançamentos!$F:$F,Lançamentos!$A:$A,DS$19,Lançamentos!$C:$C,"Vendas de Serviços")</f>
        <v>0</v>
      </c>
      <c r="DT23" s="37">
        <f>SUMIFS(Lançamentos!$F:$F,Lançamentos!$A:$A,DT$19,Lançamentos!$C:$C,"Vendas de Serviços")</f>
        <v>0</v>
      </c>
      <c r="DU23" s="37">
        <f>SUMIFS(Lançamentos!$F:$F,Lançamentos!$A:$A,DU$19,Lançamentos!$C:$C,"Vendas de Serviços")</f>
        <v>0</v>
      </c>
      <c r="DV23" s="37">
        <f>SUMIFS(Lançamentos!$F:$F,Lançamentos!$A:$A,DV$19,Lançamentos!$C:$C,"Vendas de Serviços")</f>
        <v>0</v>
      </c>
      <c r="DW23" s="37">
        <f>SUMIFS(Lançamentos!$F:$F,Lançamentos!$A:$A,DW$19,Lançamentos!$C:$C,"Vendas de Serviços")</f>
        <v>0</v>
      </c>
      <c r="DX23" s="37">
        <f>SUMIFS(Lançamentos!$F:$F,Lançamentos!$A:$A,DX$19,Lançamentos!$C:$C,"Vendas de Serviços")</f>
        <v>0</v>
      </c>
      <c r="DY23" s="37">
        <f>SUMIFS(Lançamentos!$F:$F,Lançamentos!$A:$A,DY$19,Lançamentos!$C:$C,"Vendas de Serviços")</f>
        <v>0</v>
      </c>
      <c r="DZ23" s="37">
        <f>SUMIFS(Lançamentos!$F:$F,Lançamentos!$A:$A,DZ$19,Lançamentos!$C:$C,"Vendas de Serviços")</f>
        <v>0</v>
      </c>
      <c r="EA23" s="37">
        <f>SUMIFS(Lançamentos!$F:$F,Lançamentos!$A:$A,EA$19,Lançamentos!$C:$C,"Vendas de Serviços")</f>
        <v>0</v>
      </c>
      <c r="EB23" s="37">
        <f>SUMIFS(Lançamentos!$F:$F,Lançamentos!$A:$A,EB$19,Lançamentos!$C:$C,"Vendas de Serviços")</f>
        <v>0</v>
      </c>
      <c r="EC23" s="37">
        <f>SUMIFS(Lançamentos!$F:$F,Lançamentos!$A:$A,EC$19,Lançamentos!$C:$C,"Vendas de Serviços")</f>
        <v>0</v>
      </c>
      <c r="ED23" s="37">
        <f>SUMIFS(Lançamentos!$F:$F,Lançamentos!$A:$A,ED$19,Lançamentos!$C:$C,"Vendas de Serviços")</f>
        <v>0</v>
      </c>
      <c r="EE23" s="37">
        <f>SUMIFS(Lançamentos!$F:$F,Lançamentos!$A:$A,EE$19,Lançamentos!$C:$C,"Vendas de Serviços")</f>
        <v>0</v>
      </c>
      <c r="EF23" s="37">
        <f>SUMIFS(Lançamentos!$F:$F,Lançamentos!$A:$A,EF$19,Lançamentos!$C:$C,"Vendas de Serviços")</f>
        <v>0</v>
      </c>
      <c r="EG23" s="37">
        <f>SUMIFS(Lançamentos!$F:$F,Lançamentos!$A:$A,EG$19,Lançamentos!$C:$C,"Vendas de Serviços")</f>
        <v>0</v>
      </c>
      <c r="EH23" s="37">
        <f>SUMIFS(Lançamentos!$F:$F,Lançamentos!$A:$A,EH$19,Lançamentos!$C:$C,"Vendas de Serviços")</f>
        <v>0</v>
      </c>
      <c r="EI23" s="37">
        <f>SUMIFS(Lançamentos!$F:$F,Lançamentos!$A:$A,EI$19,Lançamentos!$C:$C,"Vendas de Serviços")</f>
        <v>0</v>
      </c>
      <c r="EJ23" s="37">
        <f>SUMIFS(Lançamentos!$F:$F,Lançamentos!$A:$A,EJ$19,Lançamentos!$C:$C,"Vendas de Serviços")</f>
        <v>0</v>
      </c>
      <c r="EK23" s="37">
        <f>SUMIFS(Lançamentos!$F:$F,Lançamentos!$A:$A,EK$19,Lançamentos!$C:$C,"Vendas de Serviços")</f>
        <v>0</v>
      </c>
      <c r="EL23" s="37">
        <f>SUMIFS(Lançamentos!$F:$F,Lançamentos!$A:$A,EL$19,Lançamentos!$C:$C,"Vendas de Serviços")</f>
        <v>0</v>
      </c>
      <c r="EM23" s="37">
        <f>SUMIFS(Lançamentos!$F:$F,Lançamentos!$A:$A,EM$19,Lançamentos!$C:$C,"Vendas de Serviços")</f>
        <v>0</v>
      </c>
      <c r="EN23" s="37">
        <f>SUMIFS(Lançamentos!$F:$F,Lançamentos!$A:$A,EN$19,Lançamentos!$C:$C,"Vendas de Serviços")</f>
        <v>0</v>
      </c>
      <c r="EO23" s="37">
        <f>SUMIFS(Lançamentos!$F:$F,Lançamentos!$A:$A,EO$19,Lançamentos!$C:$C,"Vendas de Serviços")</f>
        <v>0</v>
      </c>
      <c r="EP23" s="37">
        <f>SUMIFS(Lançamentos!$F:$F,Lançamentos!$A:$A,EP$19,Lançamentos!$C:$C,"Vendas de Serviços")</f>
        <v>0</v>
      </c>
      <c r="EQ23" s="37">
        <f>SUMIFS(Lançamentos!$F:$F,Lançamentos!$A:$A,EQ$19,Lançamentos!$C:$C,"Vendas de Serviços")</f>
        <v>0</v>
      </c>
      <c r="ER23" s="37">
        <f>SUMIFS(Lançamentos!$F:$F,Lançamentos!$A:$A,ER$19,Lançamentos!$C:$C,"Vendas de Serviços")</f>
        <v>0</v>
      </c>
      <c r="ES23" s="37">
        <f>SUMIFS(Lançamentos!$F:$F,Lançamentos!$A:$A,ES$19,Lançamentos!$C:$C,"Vendas de Serviços")</f>
        <v>0</v>
      </c>
      <c r="ET23" s="37">
        <f>SUMIFS(Lançamentos!$F:$F,Lançamentos!$A:$A,ET$19,Lançamentos!$C:$C,"Vendas de Serviços")</f>
        <v>0</v>
      </c>
      <c r="EU23" s="37">
        <f>SUMIFS(Lançamentos!$F:$F,Lançamentos!$A:$A,EU$19,Lançamentos!$C:$C,"Vendas de Serviços")</f>
        <v>0</v>
      </c>
      <c r="EV23" s="37">
        <f>SUMIFS(Lançamentos!$F:$F,Lançamentos!$A:$A,EV$19,Lançamentos!$C:$C,"Vendas de Serviços")</f>
        <v>0</v>
      </c>
      <c r="EW23" s="37">
        <f>SUMIFS(Lançamentos!$F:$F,Lançamentos!$A:$A,EW$19,Lançamentos!$C:$C,"Vendas de Serviços")</f>
        <v>0</v>
      </c>
      <c r="EX23" s="37">
        <f>SUMIFS(Lançamentos!$F:$F,Lançamentos!$A:$A,EX$19,Lançamentos!$C:$C,"Vendas de Serviços")</f>
        <v>0</v>
      </c>
      <c r="EY23" s="37">
        <f>SUMIFS(Lançamentos!$F:$F,Lançamentos!$A:$A,EY$19,Lançamentos!$C:$C,"Vendas de Serviços")</f>
        <v>0</v>
      </c>
      <c r="EZ23" s="37">
        <f>SUMIFS(Lançamentos!$F:$F,Lançamentos!$A:$A,EZ$19,Lançamentos!$C:$C,"Vendas de Serviços")</f>
        <v>0</v>
      </c>
      <c r="FA23" s="37">
        <f>SUMIFS(Lançamentos!$F:$F,Lançamentos!$A:$A,FA$19,Lançamentos!$C:$C,"Vendas de Serviços")</f>
        <v>0</v>
      </c>
      <c r="FB23" s="37">
        <f>SUMIFS(Lançamentos!$F:$F,Lançamentos!$A:$A,FB$19,Lançamentos!$C:$C,"Vendas de Serviços")</f>
        <v>0</v>
      </c>
      <c r="FC23" s="37">
        <f>SUMIFS(Lançamentos!$F:$F,Lançamentos!$A:$A,FC$19,Lançamentos!$C:$C,"Vendas de Serviços")</f>
        <v>0</v>
      </c>
      <c r="FD23" s="37">
        <f>SUMIFS(Lançamentos!$F:$F,Lançamentos!$A:$A,FD$19,Lançamentos!$C:$C,"Vendas de Serviços")</f>
        <v>0</v>
      </c>
      <c r="FE23" s="37">
        <f>SUMIFS(Lançamentos!$F:$F,Lançamentos!$A:$A,FE$19,Lançamentos!$C:$C,"Vendas de Serviços")</f>
        <v>0</v>
      </c>
      <c r="FF23" s="37">
        <f>SUMIFS(Lançamentos!$F:$F,Lançamentos!$A:$A,FF$19,Lançamentos!$C:$C,"Vendas de Serviços")</f>
        <v>0</v>
      </c>
      <c r="FG23" s="37">
        <f>SUMIFS(Lançamentos!$F:$F,Lançamentos!$A:$A,FG$19,Lançamentos!$C:$C,"Vendas de Serviços")</f>
        <v>0</v>
      </c>
      <c r="FH23" s="37">
        <f>SUMIFS(Lançamentos!$F:$F,Lançamentos!$A:$A,FH$19,Lançamentos!$C:$C,"Vendas de Serviços")</f>
        <v>0</v>
      </c>
      <c r="FI23" s="37">
        <f>SUMIFS(Lançamentos!$F:$F,Lançamentos!$A:$A,FI$19,Lançamentos!$C:$C,"Vendas de Serviços")</f>
        <v>0</v>
      </c>
      <c r="FJ23" s="37">
        <f>SUMIFS(Lançamentos!$F:$F,Lançamentos!$A:$A,FJ$19,Lançamentos!$C:$C,"Vendas de Serviços")</f>
        <v>0</v>
      </c>
      <c r="FK23" s="37">
        <f>SUMIFS(Lançamentos!$F:$F,Lançamentos!$A:$A,FK$19,Lançamentos!$C:$C,"Vendas de Serviços")</f>
        <v>0</v>
      </c>
      <c r="FL23" s="37">
        <f>SUMIFS(Lançamentos!$F:$F,Lançamentos!$A:$A,FL$19,Lançamentos!$C:$C,"Vendas de Serviços")</f>
        <v>0</v>
      </c>
      <c r="FM23" s="37">
        <f>SUMIFS(Lançamentos!$F:$F,Lançamentos!$A:$A,FM$19,Lançamentos!$C:$C,"Vendas de Serviços")</f>
        <v>0</v>
      </c>
      <c r="FN23" s="37">
        <f>SUMIFS(Lançamentos!$F:$F,Lançamentos!$A:$A,FN$19,Lançamentos!$C:$C,"Vendas de Serviços")</f>
        <v>0</v>
      </c>
      <c r="FO23" s="37">
        <f>SUMIFS(Lançamentos!$F:$F,Lançamentos!$A:$A,FO$19,Lançamentos!$C:$C,"Vendas de Serviços")</f>
        <v>0</v>
      </c>
      <c r="FP23" s="37">
        <f>SUMIFS(Lançamentos!$F:$F,Lançamentos!$A:$A,FP$19,Lançamentos!$C:$C,"Vendas de Serviços")</f>
        <v>0</v>
      </c>
      <c r="FQ23" s="37">
        <f>SUMIFS(Lançamentos!$F:$F,Lançamentos!$A:$A,FQ$19,Lançamentos!$C:$C,"Vendas de Serviços")</f>
        <v>0</v>
      </c>
      <c r="FR23" s="37">
        <f>SUMIFS(Lançamentos!$F:$F,Lançamentos!$A:$A,FR$19,Lançamentos!$C:$C,"Vendas de Serviços")</f>
        <v>0</v>
      </c>
      <c r="FS23" s="37">
        <f>SUMIFS(Lançamentos!$F:$F,Lançamentos!$A:$A,FS$19,Lançamentos!$C:$C,"Vendas de Serviços")</f>
        <v>0</v>
      </c>
      <c r="FT23" s="37">
        <f>SUMIFS(Lançamentos!$F:$F,Lançamentos!$A:$A,FT$19,Lançamentos!$C:$C,"Vendas de Serviços")</f>
        <v>0</v>
      </c>
      <c r="FU23" s="37">
        <f>SUMIFS(Lançamentos!$F:$F,Lançamentos!$A:$A,FU$19,Lançamentos!$C:$C,"Vendas de Serviços")</f>
        <v>0</v>
      </c>
      <c r="FV23" s="37">
        <f>SUMIFS(Lançamentos!$F:$F,Lançamentos!$A:$A,FV$19,Lançamentos!$C:$C,"Vendas de Serviços")</f>
        <v>0</v>
      </c>
      <c r="FW23" s="37">
        <f>SUMIFS(Lançamentos!$F:$F,Lançamentos!$A:$A,FW$19,Lançamentos!$C:$C,"Vendas de Serviços")</f>
        <v>0</v>
      </c>
      <c r="FX23" s="37">
        <f>SUMIFS(Lançamentos!$F:$F,Lançamentos!$A:$A,FX$19,Lançamentos!$C:$C,"Vendas de Serviços")</f>
        <v>0</v>
      </c>
      <c r="FY23" s="37">
        <f>SUMIFS(Lançamentos!$F:$F,Lançamentos!$A:$A,FY$19,Lançamentos!$C:$C,"Vendas de Serviços")</f>
        <v>0</v>
      </c>
      <c r="FZ23" s="37">
        <f>SUMIFS(Lançamentos!$F:$F,Lançamentos!$A:$A,FZ$19,Lançamentos!$C:$C,"Vendas de Serviços")</f>
        <v>0</v>
      </c>
      <c r="GA23" s="37">
        <f>SUMIFS(Lançamentos!$F:$F,Lançamentos!$A:$A,GA$19,Lançamentos!$C:$C,"Vendas de Serviços")</f>
        <v>0</v>
      </c>
      <c r="GB23" s="37">
        <f>SUMIFS(Lançamentos!$F:$F,Lançamentos!$A:$A,GB$19,Lançamentos!$C:$C,"Vendas de Serviços")</f>
        <v>0</v>
      </c>
      <c r="GC23" s="37">
        <f>SUMIFS(Lançamentos!$F:$F,Lançamentos!$A:$A,GC$19,Lançamentos!$C:$C,"Vendas de Serviços")</f>
        <v>0</v>
      </c>
      <c r="GD23" s="37">
        <f>SUMIFS(Lançamentos!$F:$F,Lançamentos!$A:$A,GD$19,Lançamentos!$C:$C,"Vendas de Serviços")</f>
        <v>0</v>
      </c>
      <c r="GE23" s="37">
        <f>SUMIFS(Lançamentos!$F:$F,Lançamentos!$A:$A,GE$19,Lançamentos!$C:$C,"Vendas de Serviços")</f>
        <v>0</v>
      </c>
      <c r="GF23" s="37">
        <f>SUMIFS(Lançamentos!$F:$F,Lançamentos!$A:$A,GF$19,Lançamentos!$C:$C,"Vendas de Serviços")</f>
        <v>0</v>
      </c>
      <c r="GG23" s="37">
        <f>SUMIFS(Lançamentos!$F:$F,Lançamentos!$A:$A,GG$19,Lançamentos!$C:$C,"Vendas de Serviços")</f>
        <v>0</v>
      </c>
      <c r="GH23" s="37">
        <f>SUMIFS(Lançamentos!$F:$F,Lançamentos!$A:$A,GH$19,Lançamentos!$C:$C,"Vendas de Serviços")</f>
        <v>0</v>
      </c>
      <c r="GI23" s="37">
        <f>SUMIFS(Lançamentos!$F:$F,Lançamentos!$A:$A,GI$19,Lançamentos!$C:$C,"Vendas de Serviços")</f>
        <v>0</v>
      </c>
      <c r="GJ23" s="37">
        <f>SUMIFS(Lançamentos!$F:$F,Lançamentos!$A:$A,GJ$19,Lançamentos!$C:$C,"Vendas de Serviços")</f>
        <v>0</v>
      </c>
      <c r="GK23" s="37">
        <f>SUMIFS(Lançamentos!$F:$F,Lançamentos!$A:$A,GK$19,Lançamentos!$C:$C,"Vendas de Serviços")</f>
        <v>0</v>
      </c>
      <c r="GL23" s="37">
        <f>SUMIFS(Lançamentos!$F:$F,Lançamentos!$A:$A,GL$19,Lançamentos!$C:$C,"Vendas de Serviços")</f>
        <v>0</v>
      </c>
      <c r="GM23" s="37">
        <f>SUMIFS(Lançamentos!$F:$F,Lançamentos!$A:$A,GM$19,Lançamentos!$C:$C,"Vendas de Serviços")</f>
        <v>0</v>
      </c>
      <c r="GN23" s="37">
        <f>SUMIFS(Lançamentos!$F:$F,Lançamentos!$A:$A,GN$19,Lançamentos!$C:$C,"Vendas de Serviços")</f>
        <v>0</v>
      </c>
      <c r="GO23" s="37">
        <f>SUMIFS(Lançamentos!$F:$F,Lançamentos!$A:$A,GO$19,Lançamentos!$C:$C,"Vendas de Serviços")</f>
        <v>0</v>
      </c>
      <c r="GP23" s="37">
        <f>SUMIFS(Lançamentos!$F:$F,Lançamentos!$A:$A,GP$19,Lançamentos!$C:$C,"Vendas de Serviços")</f>
        <v>0</v>
      </c>
      <c r="GQ23" s="37">
        <f>SUMIFS(Lançamentos!$F:$F,Lançamentos!$A:$A,GQ$19,Lançamentos!$C:$C,"Vendas de Serviços")</f>
        <v>0</v>
      </c>
      <c r="GR23" s="37">
        <f>SUMIFS(Lançamentos!$F:$F,Lançamentos!$A:$A,GR$19,Lançamentos!$C:$C,"Vendas de Serviços")</f>
        <v>0</v>
      </c>
      <c r="GS23" s="37">
        <f>SUMIFS(Lançamentos!$F:$F,Lançamentos!$A:$A,GS$19,Lançamentos!$C:$C,"Vendas de Serviços")</f>
        <v>0</v>
      </c>
      <c r="GT23" s="37">
        <f>SUMIFS(Lançamentos!$F:$F,Lançamentos!$A:$A,GT$19,Lançamentos!$C:$C,"Vendas de Serviços")</f>
        <v>0</v>
      </c>
      <c r="GU23" s="37">
        <f>SUMIFS(Lançamentos!$F:$F,Lançamentos!$A:$A,GU$19,Lançamentos!$C:$C,"Vendas de Serviços")</f>
        <v>0</v>
      </c>
      <c r="GV23" s="37">
        <f>SUMIFS(Lançamentos!$F:$F,Lançamentos!$A:$A,GV$19,Lançamentos!$C:$C,"Vendas de Serviços")</f>
        <v>0</v>
      </c>
      <c r="GW23" s="37">
        <f>SUMIFS(Lançamentos!$F:$F,Lançamentos!$A:$A,GW$19,Lançamentos!$C:$C,"Vendas de Serviços")</f>
        <v>0</v>
      </c>
      <c r="GX23" s="37">
        <f>SUMIFS(Lançamentos!$F:$F,Lançamentos!$A:$A,GX$19,Lançamentos!$C:$C,"Vendas de Serviços")</f>
        <v>0</v>
      </c>
      <c r="GY23" s="37">
        <f>SUMIFS(Lançamentos!$F:$F,Lançamentos!$A:$A,GY$19,Lançamentos!$C:$C,"Vendas de Serviços")</f>
        <v>0</v>
      </c>
      <c r="GZ23" s="37">
        <f>SUMIFS(Lançamentos!$F:$F,Lançamentos!$A:$A,GZ$19,Lançamentos!$C:$C,"Vendas de Serviços")</f>
        <v>0</v>
      </c>
      <c r="HA23" s="37">
        <f>SUMIFS(Lançamentos!$F:$F,Lançamentos!$A:$A,HA$19,Lançamentos!$C:$C,"Vendas de Serviços")</f>
        <v>0</v>
      </c>
      <c r="HB23" s="37">
        <f>SUMIFS(Lançamentos!$F:$F,Lançamentos!$A:$A,HB$19,Lançamentos!$C:$C,"Vendas de Serviços")</f>
        <v>0</v>
      </c>
      <c r="HC23" s="37">
        <f>SUMIFS(Lançamentos!$F:$F,Lançamentos!$A:$A,HC$19,Lançamentos!$C:$C,"Vendas de Serviços")</f>
        <v>0</v>
      </c>
      <c r="HD23" s="37">
        <f>SUMIFS(Lançamentos!$F:$F,Lançamentos!$A:$A,HD$19,Lançamentos!$C:$C,"Vendas de Serviços")</f>
        <v>0</v>
      </c>
      <c r="HE23" s="37">
        <f>SUMIFS(Lançamentos!$F:$F,Lançamentos!$A:$A,HE$19,Lançamentos!$C:$C,"Vendas de Serviços")</f>
        <v>0</v>
      </c>
      <c r="HF23" s="37">
        <f>SUMIFS(Lançamentos!$F:$F,Lançamentos!$A:$A,HF$19,Lançamentos!$C:$C,"Vendas de Serviços")</f>
        <v>0</v>
      </c>
      <c r="HG23" s="37">
        <f>SUMIFS(Lançamentos!$F:$F,Lançamentos!$A:$A,HG$19,Lançamentos!$C:$C,"Vendas de Serviços")</f>
        <v>0</v>
      </c>
      <c r="HH23" s="37">
        <f>SUMIFS(Lançamentos!$F:$F,Lançamentos!$A:$A,HH$19,Lançamentos!$C:$C,"Vendas de Serviços")</f>
        <v>0</v>
      </c>
      <c r="HI23" s="37">
        <f>SUMIFS(Lançamentos!$F:$F,Lançamentos!$A:$A,HI$19,Lançamentos!$C:$C,"Vendas de Serviços")</f>
        <v>0</v>
      </c>
      <c r="HJ23" s="37">
        <f>SUMIFS(Lançamentos!$F:$F,Lançamentos!$A:$A,HJ$19,Lançamentos!$C:$C,"Vendas de Serviços")</f>
        <v>0</v>
      </c>
      <c r="HK23" s="37">
        <f>SUMIFS(Lançamentos!$F:$F,Lançamentos!$A:$A,HK$19,Lançamentos!$C:$C,"Vendas de Serviços")</f>
        <v>0</v>
      </c>
      <c r="HL23" s="37">
        <f>SUMIFS(Lançamentos!$F:$F,Lançamentos!$A:$A,HL$19,Lançamentos!$C:$C,"Vendas de Serviços")</f>
        <v>0</v>
      </c>
      <c r="HM23" s="37">
        <f>SUMIFS(Lançamentos!$F:$F,Lançamentos!$A:$A,HM$19,Lançamentos!$C:$C,"Vendas de Serviços")</f>
        <v>0</v>
      </c>
      <c r="HN23" s="37">
        <f>SUMIFS(Lançamentos!$F:$F,Lançamentos!$A:$A,HN$19,Lançamentos!$C:$C,"Vendas de Serviços")</f>
        <v>0</v>
      </c>
      <c r="HO23" s="37">
        <f>SUMIFS(Lançamentos!$F:$F,Lançamentos!$A:$A,HO$19,Lançamentos!$C:$C,"Vendas de Serviços")</f>
        <v>0</v>
      </c>
      <c r="HP23" s="37">
        <f>SUMIFS(Lançamentos!$F:$F,Lançamentos!$A:$A,HP$19,Lançamentos!$C:$C,"Vendas de Serviços")</f>
        <v>0</v>
      </c>
      <c r="HQ23" s="37">
        <f>SUMIFS(Lançamentos!$F:$F,Lançamentos!$A:$A,HQ$19,Lançamentos!$C:$C,"Vendas de Serviços")</f>
        <v>0</v>
      </c>
      <c r="HR23" s="37">
        <f>SUMIFS(Lançamentos!$F:$F,Lançamentos!$A:$A,HR$19,Lançamentos!$C:$C,"Vendas de Serviços")</f>
        <v>0</v>
      </c>
      <c r="HS23" s="37">
        <f>SUMIFS(Lançamentos!$F:$F,Lançamentos!$A:$A,HS$19,Lançamentos!$C:$C,"Vendas de Serviços")</f>
        <v>0</v>
      </c>
      <c r="HT23" s="37">
        <f>SUMIFS(Lançamentos!$F:$F,Lançamentos!$A:$A,HT$19,Lançamentos!$C:$C,"Vendas de Serviços")</f>
        <v>0</v>
      </c>
      <c r="HU23" s="37">
        <f>SUMIFS(Lançamentos!$F:$F,Lançamentos!$A:$A,HU$19,Lançamentos!$C:$C,"Vendas de Serviços")</f>
        <v>0</v>
      </c>
      <c r="HV23" s="37">
        <f>SUMIFS(Lançamentos!$F:$F,Lançamentos!$A:$A,HV$19,Lançamentos!$C:$C,"Vendas de Serviços")</f>
        <v>0</v>
      </c>
      <c r="HW23" s="37">
        <f>SUMIFS(Lançamentos!$F:$F,Lançamentos!$A:$A,HW$19,Lançamentos!$C:$C,"Vendas de Serviços")</f>
        <v>0</v>
      </c>
      <c r="HX23" s="37">
        <f>SUMIFS(Lançamentos!$F:$F,Lançamentos!$A:$A,HX$19,Lançamentos!$C:$C,"Vendas de Serviços")</f>
        <v>0</v>
      </c>
      <c r="HY23" s="37">
        <f>SUMIFS(Lançamentos!$F:$F,Lançamentos!$A:$A,HY$19,Lançamentos!$C:$C,"Vendas de Serviços")</f>
        <v>0</v>
      </c>
      <c r="HZ23" s="37">
        <f>SUMIFS(Lançamentos!$F:$F,Lançamentos!$A:$A,HZ$19,Lançamentos!$C:$C,"Vendas de Serviços")</f>
        <v>0</v>
      </c>
      <c r="IA23" s="37">
        <f>SUMIFS(Lançamentos!$F:$F,Lançamentos!$A:$A,IA$19,Lançamentos!$C:$C,"Vendas de Serviços")</f>
        <v>0</v>
      </c>
      <c r="IB23" s="37">
        <f>SUMIFS(Lançamentos!$F:$F,Lançamentos!$A:$A,IB$19,Lançamentos!$C:$C,"Vendas de Serviços")</f>
        <v>0</v>
      </c>
      <c r="IC23" s="37">
        <f>SUMIFS(Lançamentos!$F:$F,Lançamentos!$A:$A,IC$19,Lançamentos!$C:$C,"Vendas de Serviços")</f>
        <v>0</v>
      </c>
      <c r="ID23" s="37">
        <f>SUMIFS(Lançamentos!$F:$F,Lançamentos!$A:$A,ID$19,Lançamentos!$C:$C,"Vendas de Serviços")</f>
        <v>0</v>
      </c>
      <c r="IE23" s="37">
        <f>SUMIFS(Lançamentos!$F:$F,Lançamentos!$A:$A,IE$19,Lançamentos!$C:$C,"Vendas de Serviços")</f>
        <v>0</v>
      </c>
      <c r="IF23" s="37">
        <f>SUMIFS(Lançamentos!$F:$F,Lançamentos!$A:$A,IF$19,Lançamentos!$C:$C,"Vendas de Serviços")</f>
        <v>0</v>
      </c>
      <c r="IG23" s="37">
        <f>SUMIFS(Lançamentos!$F:$F,Lançamentos!$A:$A,IG$19,Lançamentos!$C:$C,"Vendas de Serviços")</f>
        <v>0</v>
      </c>
      <c r="IH23" s="37">
        <f>SUMIFS(Lançamentos!$F:$F,Lançamentos!$A:$A,IH$19,Lançamentos!$C:$C,"Vendas de Serviços")</f>
        <v>0</v>
      </c>
      <c r="II23" s="37">
        <f>SUMIFS(Lançamentos!$F:$F,Lançamentos!$A:$A,II$19,Lançamentos!$C:$C,"Vendas de Serviços")</f>
        <v>0</v>
      </c>
      <c r="IJ23" s="37">
        <f>SUMIFS(Lançamentos!$F:$F,Lançamentos!$A:$A,IJ$19,Lançamentos!$C:$C,"Vendas de Serviços")</f>
        <v>0</v>
      </c>
      <c r="IK23" s="37">
        <f>SUMIFS(Lançamentos!$F:$F,Lançamentos!$A:$A,IK$19,Lançamentos!$C:$C,"Vendas de Serviços")</f>
        <v>0</v>
      </c>
      <c r="IL23" s="37">
        <f>SUMIFS(Lançamentos!$F:$F,Lançamentos!$A:$A,IL$19,Lançamentos!$C:$C,"Vendas de Serviços")</f>
        <v>0</v>
      </c>
    </row>
    <row r="24" spans="1:246" x14ac:dyDescent="0.3">
      <c r="A24" t="s">
        <v>6</v>
      </c>
      <c r="B24" s="37">
        <f>SUMIFS(Lançamentos!$F:$F,Lançamentos!$A:$A,B$19,Lançamentos!$C:$C,"Outras Receitas")</f>
        <v>0</v>
      </c>
      <c r="C24" s="37">
        <f>SUMIFS(Lançamentos!$F:$F,Lançamentos!$A:$A,C$19,Lançamentos!$C:$C,"Outras Receitas")</f>
        <v>0</v>
      </c>
      <c r="D24" s="37">
        <f>SUMIFS(Lançamentos!$F:$F,Lançamentos!$A:$A,D$19,Lançamentos!$C:$C,"Outras Receitas")</f>
        <v>0</v>
      </c>
      <c r="E24" s="37">
        <f>SUMIFS(Lançamentos!$F:$F,Lançamentos!$A:$A,E$19,Lançamentos!$C:$C,"Outras Receitas")</f>
        <v>0</v>
      </c>
      <c r="F24" s="37">
        <f>SUMIFS(Lançamentos!$F:$F,Lançamentos!$A:$A,F$19,Lançamentos!$C:$C,"Outras Receitas")</f>
        <v>0</v>
      </c>
      <c r="G24" s="37">
        <f>SUMIFS(Lançamentos!$F:$F,Lançamentos!$A:$A,G$19,Lançamentos!$C:$C,"Outras Receitas")</f>
        <v>0</v>
      </c>
      <c r="H24" s="37">
        <f>SUMIFS(Lançamentos!$F:$F,Lançamentos!$A:$A,H$19,Lançamentos!$C:$C,"Outras Receitas")</f>
        <v>0</v>
      </c>
      <c r="I24" s="37">
        <f>SUMIFS(Lançamentos!$F:$F,Lançamentos!$A:$A,I$19,Lançamentos!$C:$C,"Outras Receitas")</f>
        <v>0</v>
      </c>
      <c r="J24" s="37">
        <f>SUMIFS(Lançamentos!$F:$F,Lançamentos!$A:$A,J$19,Lançamentos!$C:$C,"Outras Receitas")</f>
        <v>0</v>
      </c>
      <c r="K24" s="37">
        <f>SUMIFS(Lançamentos!$F:$F,Lançamentos!$A:$A,K$19,Lançamentos!$C:$C,"Outras Receitas")</f>
        <v>0</v>
      </c>
      <c r="L24" s="37">
        <f>SUMIFS(Lançamentos!$F:$F,Lançamentos!$A:$A,L$19,Lançamentos!$C:$C,"Outras Receitas")</f>
        <v>0</v>
      </c>
      <c r="M24" s="37">
        <f>SUMIFS(Lançamentos!$F:$F,Lançamentos!$A:$A,M$19,Lançamentos!$C:$C,"Outras Receitas")</f>
        <v>0</v>
      </c>
      <c r="N24" s="37">
        <f>SUMIFS(Lançamentos!$F:$F,Lançamentos!$A:$A,N$19,Lançamentos!$C:$C,"Outras Receitas")</f>
        <v>0</v>
      </c>
      <c r="O24" s="37">
        <f>SUMIFS(Lançamentos!$F:$F,Lançamentos!$A:$A,O$19,Lançamentos!$C:$C,"Outras Receitas")</f>
        <v>0</v>
      </c>
      <c r="P24" s="37">
        <f>SUMIFS(Lançamentos!$F:$F,Lançamentos!$A:$A,P$19,Lançamentos!$C:$C,"Outras Receitas")</f>
        <v>0</v>
      </c>
      <c r="Q24" s="37">
        <f>SUMIFS(Lançamentos!$F:$F,Lançamentos!$A:$A,Q$19,Lançamentos!$C:$C,"Outras Receitas")</f>
        <v>0</v>
      </c>
      <c r="R24" s="37">
        <f>SUMIFS(Lançamentos!$F:$F,Lançamentos!$A:$A,R$19,Lançamentos!$C:$C,"Outras Receitas")</f>
        <v>0</v>
      </c>
      <c r="S24" s="37">
        <f>SUMIFS(Lançamentos!$F:$F,Lançamentos!$A:$A,S$19,Lançamentos!$C:$C,"Outras Receitas")</f>
        <v>0</v>
      </c>
      <c r="T24" s="37">
        <f>SUMIFS(Lançamentos!$F:$F,Lançamentos!$A:$A,T$19,Lançamentos!$C:$C,"Outras Receitas")</f>
        <v>0</v>
      </c>
      <c r="U24" s="37">
        <f>SUMIFS(Lançamentos!$F:$F,Lançamentos!$A:$A,U$19,Lançamentos!$C:$C,"Outras Receitas")</f>
        <v>0</v>
      </c>
      <c r="V24" s="37">
        <f>SUMIFS(Lançamentos!$F:$F,Lançamentos!$A:$A,V$19,Lançamentos!$C:$C,"Outras Receitas")</f>
        <v>0</v>
      </c>
      <c r="W24" s="37">
        <f>SUMIFS(Lançamentos!$F:$F,Lançamentos!$A:$A,W$19,Lançamentos!$C:$C,"Outras Receitas")</f>
        <v>0</v>
      </c>
      <c r="X24" s="37">
        <f>SUMIFS(Lançamentos!$F:$F,Lançamentos!$A:$A,X$19,Lançamentos!$C:$C,"Outras Receitas")</f>
        <v>0</v>
      </c>
      <c r="Y24" s="37">
        <f>SUMIFS(Lançamentos!$F:$F,Lançamentos!$A:$A,Y$19,Lançamentos!$C:$C,"Outras Receitas")</f>
        <v>0</v>
      </c>
      <c r="Z24" s="37">
        <f>SUMIFS(Lançamentos!$F:$F,Lançamentos!$A:$A,Z$19,Lançamentos!$C:$C,"Outras Receitas")</f>
        <v>0</v>
      </c>
      <c r="AA24" s="37">
        <f>SUMIFS(Lançamentos!$F:$F,Lançamentos!$A:$A,AA$19,Lançamentos!$C:$C,"Outras Receitas")</f>
        <v>0</v>
      </c>
      <c r="AB24" s="37">
        <f>SUMIFS(Lançamentos!$F:$F,Lançamentos!$A:$A,AB$19,Lançamentos!$C:$C,"Outras Receitas")</f>
        <v>0</v>
      </c>
      <c r="AC24" s="37">
        <f>SUMIFS(Lançamentos!$F:$F,Lançamentos!$A:$A,AC$19,Lançamentos!$C:$C,"Outras Receitas")</f>
        <v>0</v>
      </c>
      <c r="AD24" s="37">
        <f>SUMIFS(Lançamentos!$F:$F,Lançamentos!$A:$A,AD$19,Lançamentos!$C:$C,"Outras Receitas")</f>
        <v>0</v>
      </c>
      <c r="AE24" s="37">
        <f>SUMIFS(Lançamentos!$F:$F,Lançamentos!$A:$A,AE$19,Lançamentos!$C:$C,"Outras Receitas")</f>
        <v>0</v>
      </c>
      <c r="AF24" s="37">
        <f>SUMIFS(Lançamentos!$F:$F,Lançamentos!$A:$A,AF$19,Lançamentos!$C:$C,"Outras Receitas")</f>
        <v>0</v>
      </c>
      <c r="AG24" s="37">
        <f>SUMIFS(Lançamentos!$F:$F,Lançamentos!$A:$A,AG$19,Lançamentos!$C:$C,"Outras Receitas")</f>
        <v>0</v>
      </c>
      <c r="AH24" s="37">
        <f>SUMIFS(Lançamentos!$F:$F,Lançamentos!$A:$A,AH$19,Lançamentos!$C:$C,"Outras Receitas")</f>
        <v>0</v>
      </c>
      <c r="AI24" s="37">
        <f>SUMIFS(Lançamentos!$F:$F,Lançamentos!$A:$A,AI$19,Lançamentos!$C:$C,"Outras Receitas")</f>
        <v>0</v>
      </c>
      <c r="AJ24" s="37">
        <f>SUMIFS(Lançamentos!$F:$F,Lançamentos!$A:$A,AJ$19,Lançamentos!$C:$C,"Outras Receitas")</f>
        <v>0</v>
      </c>
      <c r="AK24" s="37">
        <f>SUMIFS(Lançamentos!$F:$F,Lançamentos!$A:$A,AK$19,Lançamentos!$C:$C,"Outras Receitas")</f>
        <v>0</v>
      </c>
      <c r="AL24" s="37">
        <f>SUMIFS(Lançamentos!$F:$F,Lançamentos!$A:$A,AL$19,Lançamentos!$C:$C,"Outras Receitas")</f>
        <v>0</v>
      </c>
      <c r="AM24" s="37">
        <f>SUMIFS(Lançamentos!$F:$F,Lançamentos!$A:$A,AM$19,Lançamentos!$C:$C,"Outras Receitas")</f>
        <v>0</v>
      </c>
      <c r="AN24" s="37">
        <f>SUMIFS(Lançamentos!$F:$F,Lançamentos!$A:$A,AN$19,Lançamentos!$C:$C,"Outras Receitas")</f>
        <v>0</v>
      </c>
      <c r="AO24" s="37">
        <f>SUMIFS(Lançamentos!$F:$F,Lançamentos!$A:$A,AO$19,Lançamentos!$C:$C,"Outras Receitas")</f>
        <v>0</v>
      </c>
      <c r="AP24" s="37">
        <f>SUMIFS(Lançamentos!$F:$F,Lançamentos!$A:$A,AP$19,Lançamentos!$C:$C,"Outras Receitas")</f>
        <v>0</v>
      </c>
      <c r="AQ24" s="37">
        <f>SUMIFS(Lançamentos!$F:$F,Lançamentos!$A:$A,AQ$19,Lançamentos!$C:$C,"Outras Receitas")</f>
        <v>0</v>
      </c>
      <c r="AR24" s="37">
        <f>SUMIFS(Lançamentos!$F:$F,Lançamentos!$A:$A,AR$19,Lançamentos!$C:$C,"Outras Receitas")</f>
        <v>0</v>
      </c>
      <c r="AS24" s="37">
        <f>SUMIFS(Lançamentos!$F:$F,Lançamentos!$A:$A,AS$19,Lançamentos!$C:$C,"Outras Receitas")</f>
        <v>0</v>
      </c>
      <c r="AT24" s="37">
        <f>SUMIFS(Lançamentos!$F:$F,Lançamentos!$A:$A,AT$19,Lançamentos!$C:$C,"Outras Receitas")</f>
        <v>0</v>
      </c>
      <c r="AU24" s="37">
        <f>SUMIFS(Lançamentos!$F:$F,Lançamentos!$A:$A,AU$19,Lançamentos!$C:$C,"Outras Receitas")</f>
        <v>0</v>
      </c>
      <c r="AV24" s="37">
        <f>SUMIFS(Lançamentos!$F:$F,Lançamentos!$A:$A,AV$19,Lançamentos!$C:$C,"Outras Receitas")</f>
        <v>0</v>
      </c>
      <c r="AW24" s="37">
        <f>SUMIFS(Lançamentos!$F:$F,Lançamentos!$A:$A,AW$19,Lançamentos!$C:$C,"Outras Receitas")</f>
        <v>0</v>
      </c>
      <c r="AX24" s="37">
        <f>SUMIFS(Lançamentos!$F:$F,Lançamentos!$A:$A,AX$19,Lançamentos!$C:$C,"Outras Receitas")</f>
        <v>0</v>
      </c>
      <c r="AY24" s="37">
        <f>SUMIFS(Lançamentos!$F:$F,Lançamentos!$A:$A,AY$19,Lançamentos!$C:$C,"Outras Receitas")</f>
        <v>0</v>
      </c>
      <c r="AZ24" s="37">
        <f>SUMIFS(Lançamentos!$F:$F,Lançamentos!$A:$A,AZ$19,Lançamentos!$C:$C,"Outras Receitas")</f>
        <v>0</v>
      </c>
      <c r="BA24" s="37">
        <f>SUMIFS(Lançamentos!$F:$F,Lançamentos!$A:$A,BA$19,Lançamentos!$C:$C,"Outras Receitas")</f>
        <v>0</v>
      </c>
      <c r="BB24" s="37">
        <f>SUMIFS(Lançamentos!$F:$F,Lançamentos!$A:$A,BB$19,Lançamentos!$C:$C,"Outras Receitas")</f>
        <v>0</v>
      </c>
      <c r="BC24" s="37">
        <f>SUMIFS(Lançamentos!$F:$F,Lançamentos!$A:$A,BC$19,Lançamentos!$C:$C,"Outras Receitas")</f>
        <v>0</v>
      </c>
      <c r="BD24" s="37">
        <f>SUMIFS(Lançamentos!$F:$F,Lançamentos!$A:$A,BD$19,Lançamentos!$C:$C,"Outras Receitas")</f>
        <v>0</v>
      </c>
      <c r="BE24" s="37">
        <f>SUMIFS(Lançamentos!$F:$F,Lançamentos!$A:$A,BE$19,Lançamentos!$C:$C,"Outras Receitas")</f>
        <v>0</v>
      </c>
      <c r="BF24" s="37">
        <f>SUMIFS(Lançamentos!$F:$F,Lançamentos!$A:$A,BF$19,Lançamentos!$C:$C,"Outras Receitas")</f>
        <v>0</v>
      </c>
      <c r="BG24" s="37">
        <f>SUMIFS(Lançamentos!$F:$F,Lançamentos!$A:$A,BG$19,Lançamentos!$C:$C,"Outras Receitas")</f>
        <v>0</v>
      </c>
      <c r="BH24" s="37">
        <f>SUMIFS(Lançamentos!$F:$F,Lançamentos!$A:$A,BH$19,Lançamentos!$C:$C,"Outras Receitas")</f>
        <v>0</v>
      </c>
      <c r="BI24" s="37">
        <f>SUMIFS(Lançamentos!$F:$F,Lançamentos!$A:$A,BI$19,Lançamentos!$C:$C,"Outras Receitas")</f>
        <v>0</v>
      </c>
      <c r="BJ24" s="37">
        <f>SUMIFS(Lançamentos!$F:$F,Lançamentos!$A:$A,BJ$19,Lançamentos!$C:$C,"Outras Receitas")</f>
        <v>0</v>
      </c>
      <c r="BK24" s="37">
        <f>SUMIFS(Lançamentos!$F:$F,Lançamentos!$A:$A,BK$19,Lançamentos!$C:$C,"Outras Receitas")</f>
        <v>0</v>
      </c>
      <c r="BL24" s="37">
        <f>SUMIFS(Lançamentos!$F:$F,Lançamentos!$A:$A,BL$19,Lançamentos!$C:$C,"Outras Receitas")</f>
        <v>0</v>
      </c>
      <c r="BM24" s="37">
        <f>SUMIFS(Lançamentos!$F:$F,Lançamentos!$A:$A,BM$19,Lançamentos!$C:$C,"Outras Receitas")</f>
        <v>0</v>
      </c>
      <c r="BN24" s="37">
        <f>SUMIFS(Lançamentos!$F:$F,Lançamentos!$A:$A,BN$19,Lançamentos!$C:$C,"Outras Receitas")</f>
        <v>0</v>
      </c>
      <c r="BO24" s="37">
        <f>SUMIFS(Lançamentos!$F:$F,Lançamentos!$A:$A,BO$19,Lançamentos!$C:$C,"Outras Receitas")</f>
        <v>0</v>
      </c>
      <c r="BP24" s="37">
        <f>SUMIFS(Lançamentos!$F:$F,Lançamentos!$A:$A,BP$19,Lançamentos!$C:$C,"Outras Receitas")</f>
        <v>0</v>
      </c>
      <c r="BQ24" s="37">
        <f>SUMIFS(Lançamentos!$F:$F,Lançamentos!$A:$A,BQ$19,Lançamentos!$C:$C,"Outras Receitas")</f>
        <v>0</v>
      </c>
      <c r="BR24" s="37">
        <f>SUMIFS(Lançamentos!$F:$F,Lançamentos!$A:$A,BR$19,Lançamentos!$C:$C,"Outras Receitas")</f>
        <v>0</v>
      </c>
      <c r="BS24" s="37">
        <f>SUMIFS(Lançamentos!$F:$F,Lançamentos!$A:$A,BS$19,Lançamentos!$C:$C,"Outras Receitas")</f>
        <v>0</v>
      </c>
      <c r="BT24" s="37">
        <f>SUMIFS(Lançamentos!$F:$F,Lançamentos!$A:$A,BT$19,Lançamentos!$C:$C,"Outras Receitas")</f>
        <v>0</v>
      </c>
      <c r="BU24" s="37">
        <f>SUMIFS(Lançamentos!$F:$F,Lançamentos!$A:$A,BU$19,Lançamentos!$C:$C,"Outras Receitas")</f>
        <v>0</v>
      </c>
      <c r="BV24" s="37">
        <f>SUMIFS(Lançamentos!$F:$F,Lançamentos!$A:$A,BV$19,Lançamentos!$C:$C,"Outras Receitas")</f>
        <v>0</v>
      </c>
      <c r="BW24" s="37">
        <f>SUMIFS(Lançamentos!$F:$F,Lançamentos!$A:$A,BW$19,Lançamentos!$C:$C,"Outras Receitas")</f>
        <v>0</v>
      </c>
      <c r="BX24" s="37">
        <f>SUMIFS(Lançamentos!$F:$F,Lançamentos!$A:$A,BX$19,Lançamentos!$C:$C,"Outras Receitas")</f>
        <v>0</v>
      </c>
      <c r="BY24" s="37">
        <f>SUMIFS(Lançamentos!$F:$F,Lançamentos!$A:$A,BY$19,Lançamentos!$C:$C,"Outras Receitas")</f>
        <v>0</v>
      </c>
      <c r="BZ24" s="37">
        <f>SUMIFS(Lançamentos!$F:$F,Lançamentos!$A:$A,BZ$19,Lançamentos!$C:$C,"Outras Receitas")</f>
        <v>0</v>
      </c>
      <c r="CA24" s="37">
        <f>SUMIFS(Lançamentos!$F:$F,Lançamentos!$A:$A,CA$19,Lançamentos!$C:$C,"Outras Receitas")</f>
        <v>0</v>
      </c>
      <c r="CB24" s="37">
        <f>SUMIFS(Lançamentos!$F:$F,Lançamentos!$A:$A,CB$19,Lançamentos!$C:$C,"Outras Receitas")</f>
        <v>0</v>
      </c>
      <c r="CC24" s="37">
        <f>SUMIFS(Lançamentos!$F:$F,Lançamentos!$A:$A,CC$19,Lançamentos!$C:$C,"Outras Receitas")</f>
        <v>0</v>
      </c>
      <c r="CD24" s="37">
        <f>SUMIFS(Lançamentos!$F:$F,Lançamentos!$A:$A,CD$19,Lançamentos!$C:$C,"Outras Receitas")</f>
        <v>0</v>
      </c>
      <c r="CE24" s="37">
        <f>SUMIFS(Lançamentos!$F:$F,Lançamentos!$A:$A,CE$19,Lançamentos!$C:$C,"Outras Receitas")</f>
        <v>0</v>
      </c>
      <c r="CF24" s="37">
        <f>SUMIFS(Lançamentos!$F:$F,Lançamentos!$A:$A,CF$19,Lançamentos!$C:$C,"Outras Receitas")</f>
        <v>0</v>
      </c>
      <c r="CG24" s="37">
        <f>SUMIFS(Lançamentos!$F:$F,Lançamentos!$A:$A,CG$19,Lançamentos!$C:$C,"Outras Receitas")</f>
        <v>0</v>
      </c>
      <c r="CH24" s="37">
        <f>SUMIFS(Lançamentos!$F:$F,Lançamentos!$A:$A,CH$19,Lançamentos!$C:$C,"Outras Receitas")</f>
        <v>0</v>
      </c>
      <c r="CI24" s="37">
        <f>SUMIFS(Lançamentos!$F:$F,Lançamentos!$A:$A,CI$19,Lançamentos!$C:$C,"Outras Receitas")</f>
        <v>0</v>
      </c>
      <c r="CJ24" s="37">
        <f>SUMIFS(Lançamentos!$F:$F,Lançamentos!$A:$A,CJ$19,Lançamentos!$C:$C,"Outras Receitas")</f>
        <v>0</v>
      </c>
      <c r="CK24" s="37">
        <f>SUMIFS(Lançamentos!$F:$F,Lançamentos!$A:$A,CK$19,Lançamentos!$C:$C,"Outras Receitas")</f>
        <v>0</v>
      </c>
      <c r="CL24" s="37">
        <f>SUMIFS(Lançamentos!$F:$F,Lançamentos!$A:$A,CL$19,Lançamentos!$C:$C,"Outras Receitas")</f>
        <v>0</v>
      </c>
      <c r="CM24" s="37">
        <f>SUMIFS(Lançamentos!$F:$F,Lançamentos!$A:$A,CM$19,Lançamentos!$C:$C,"Outras Receitas")</f>
        <v>0</v>
      </c>
      <c r="CN24" s="37">
        <f>SUMIFS(Lançamentos!$F:$F,Lançamentos!$A:$A,CN$19,Lançamentos!$C:$C,"Outras Receitas")</f>
        <v>0</v>
      </c>
      <c r="CO24" s="37">
        <f>SUMIFS(Lançamentos!$F:$F,Lançamentos!$A:$A,CO$19,Lançamentos!$C:$C,"Outras Receitas")</f>
        <v>0</v>
      </c>
      <c r="CP24" s="37">
        <f>SUMIFS(Lançamentos!$F:$F,Lançamentos!$A:$A,CP$19,Lançamentos!$C:$C,"Outras Receitas")</f>
        <v>0</v>
      </c>
      <c r="CQ24" s="37">
        <f>SUMIFS(Lançamentos!$F:$F,Lançamentos!$A:$A,CQ$19,Lançamentos!$C:$C,"Outras Receitas")</f>
        <v>0</v>
      </c>
      <c r="CR24" s="37">
        <f>SUMIFS(Lançamentos!$F:$F,Lançamentos!$A:$A,CR$19,Lançamentos!$C:$C,"Outras Receitas")</f>
        <v>0</v>
      </c>
      <c r="CS24" s="37">
        <f>SUMIFS(Lançamentos!$F:$F,Lançamentos!$A:$A,CS$19,Lançamentos!$C:$C,"Outras Receitas")</f>
        <v>0</v>
      </c>
      <c r="CT24" s="37">
        <f>SUMIFS(Lançamentos!$F:$F,Lançamentos!$A:$A,CT$19,Lançamentos!$C:$C,"Outras Receitas")</f>
        <v>0</v>
      </c>
      <c r="CU24" s="37">
        <f>SUMIFS(Lançamentos!$F:$F,Lançamentos!$A:$A,CU$19,Lançamentos!$C:$C,"Outras Receitas")</f>
        <v>0</v>
      </c>
      <c r="CV24" s="37">
        <f>SUMIFS(Lançamentos!$F:$F,Lançamentos!$A:$A,CV$19,Lançamentos!$C:$C,"Outras Receitas")</f>
        <v>0</v>
      </c>
      <c r="CW24" s="37">
        <f>SUMIFS(Lançamentos!$F:$F,Lançamentos!$A:$A,CW$19,Lançamentos!$C:$C,"Outras Receitas")</f>
        <v>0</v>
      </c>
      <c r="CX24" s="37">
        <f>SUMIFS(Lançamentos!$F:$F,Lançamentos!$A:$A,CX$19,Lançamentos!$C:$C,"Outras Receitas")</f>
        <v>0</v>
      </c>
      <c r="CY24" s="37">
        <f>SUMIFS(Lançamentos!$F:$F,Lançamentos!$A:$A,CY$19,Lançamentos!$C:$C,"Outras Receitas")</f>
        <v>0</v>
      </c>
      <c r="CZ24" s="37">
        <f>SUMIFS(Lançamentos!$F:$F,Lançamentos!$A:$A,CZ$19,Lançamentos!$C:$C,"Outras Receitas")</f>
        <v>0</v>
      </c>
      <c r="DA24" s="37">
        <f>SUMIFS(Lançamentos!$F:$F,Lançamentos!$A:$A,DA$19,Lançamentos!$C:$C,"Outras Receitas")</f>
        <v>0</v>
      </c>
      <c r="DB24" s="37">
        <f>SUMIFS(Lançamentos!$F:$F,Lançamentos!$A:$A,DB$19,Lançamentos!$C:$C,"Outras Receitas")</f>
        <v>0</v>
      </c>
      <c r="DC24" s="37">
        <f>SUMIFS(Lançamentos!$F:$F,Lançamentos!$A:$A,DC$19,Lançamentos!$C:$C,"Outras Receitas")</f>
        <v>0</v>
      </c>
      <c r="DD24" s="37">
        <f>SUMIFS(Lançamentos!$F:$F,Lançamentos!$A:$A,DD$19,Lançamentos!$C:$C,"Outras Receitas")</f>
        <v>0</v>
      </c>
      <c r="DE24" s="37">
        <f>SUMIFS(Lançamentos!$F:$F,Lançamentos!$A:$A,DE$19,Lançamentos!$C:$C,"Outras Receitas")</f>
        <v>0</v>
      </c>
      <c r="DF24" s="37">
        <f>SUMIFS(Lançamentos!$F:$F,Lançamentos!$A:$A,DF$19,Lançamentos!$C:$C,"Outras Receitas")</f>
        <v>0</v>
      </c>
      <c r="DG24" s="37">
        <f>SUMIFS(Lançamentos!$F:$F,Lançamentos!$A:$A,DG$19,Lançamentos!$C:$C,"Outras Receitas")</f>
        <v>0</v>
      </c>
      <c r="DH24" s="37">
        <f>SUMIFS(Lançamentos!$F:$F,Lançamentos!$A:$A,DH$19,Lançamentos!$C:$C,"Outras Receitas")</f>
        <v>0</v>
      </c>
      <c r="DI24" s="37">
        <f>SUMIFS(Lançamentos!$F:$F,Lançamentos!$A:$A,DI$19,Lançamentos!$C:$C,"Outras Receitas")</f>
        <v>0</v>
      </c>
      <c r="DJ24" s="37">
        <f>SUMIFS(Lançamentos!$F:$F,Lançamentos!$A:$A,DJ$19,Lançamentos!$C:$C,"Outras Receitas")</f>
        <v>0</v>
      </c>
      <c r="DK24" s="37">
        <f>SUMIFS(Lançamentos!$F:$F,Lançamentos!$A:$A,DK$19,Lançamentos!$C:$C,"Outras Receitas")</f>
        <v>0</v>
      </c>
      <c r="DL24" s="37">
        <f>SUMIFS(Lançamentos!$F:$F,Lançamentos!$A:$A,DL$19,Lançamentos!$C:$C,"Outras Receitas")</f>
        <v>0</v>
      </c>
      <c r="DM24" s="37">
        <f>SUMIFS(Lançamentos!$F:$F,Lançamentos!$A:$A,DM$19,Lançamentos!$C:$C,"Outras Receitas")</f>
        <v>0</v>
      </c>
      <c r="DN24" s="37">
        <f>SUMIFS(Lançamentos!$F:$F,Lançamentos!$A:$A,DN$19,Lançamentos!$C:$C,"Outras Receitas")</f>
        <v>0</v>
      </c>
      <c r="DO24" s="37">
        <f>SUMIFS(Lançamentos!$F:$F,Lançamentos!$A:$A,DO$19,Lançamentos!$C:$C,"Outras Receitas")</f>
        <v>0</v>
      </c>
      <c r="DP24" s="37">
        <f>SUMIFS(Lançamentos!$F:$F,Lançamentos!$A:$A,DP$19,Lançamentos!$C:$C,"Outras Receitas")</f>
        <v>0</v>
      </c>
      <c r="DQ24" s="37">
        <f>SUMIFS(Lançamentos!$F:$F,Lançamentos!$A:$A,DQ$19,Lançamentos!$C:$C,"Outras Receitas")</f>
        <v>0</v>
      </c>
      <c r="DR24" s="37">
        <f>SUMIFS(Lançamentos!$F:$F,Lançamentos!$A:$A,DR$19,Lançamentos!$C:$C,"Outras Receitas")</f>
        <v>0</v>
      </c>
      <c r="DS24" s="37">
        <f>SUMIFS(Lançamentos!$F:$F,Lançamentos!$A:$A,DS$19,Lançamentos!$C:$C,"Outras Receitas")</f>
        <v>0</v>
      </c>
      <c r="DT24" s="37">
        <f>SUMIFS(Lançamentos!$F:$F,Lançamentos!$A:$A,DT$19,Lançamentos!$C:$C,"Outras Receitas")</f>
        <v>0</v>
      </c>
      <c r="DU24" s="37">
        <f>SUMIFS(Lançamentos!$F:$F,Lançamentos!$A:$A,DU$19,Lançamentos!$C:$C,"Outras Receitas")</f>
        <v>0</v>
      </c>
      <c r="DV24" s="37">
        <f>SUMIFS(Lançamentos!$F:$F,Lançamentos!$A:$A,DV$19,Lançamentos!$C:$C,"Outras Receitas")</f>
        <v>0</v>
      </c>
      <c r="DW24" s="37">
        <f>SUMIFS(Lançamentos!$F:$F,Lançamentos!$A:$A,DW$19,Lançamentos!$C:$C,"Outras Receitas")</f>
        <v>0</v>
      </c>
      <c r="DX24" s="37">
        <f>SUMIFS(Lançamentos!$F:$F,Lançamentos!$A:$A,DX$19,Lançamentos!$C:$C,"Outras Receitas")</f>
        <v>0</v>
      </c>
      <c r="DY24" s="37">
        <f>SUMIFS(Lançamentos!$F:$F,Lançamentos!$A:$A,DY$19,Lançamentos!$C:$C,"Outras Receitas")</f>
        <v>0</v>
      </c>
      <c r="DZ24" s="37">
        <f>SUMIFS(Lançamentos!$F:$F,Lançamentos!$A:$A,DZ$19,Lançamentos!$C:$C,"Outras Receitas")</f>
        <v>0</v>
      </c>
      <c r="EA24" s="37">
        <f>SUMIFS(Lançamentos!$F:$F,Lançamentos!$A:$A,EA$19,Lançamentos!$C:$C,"Outras Receitas")</f>
        <v>0</v>
      </c>
      <c r="EB24" s="37">
        <f>SUMIFS(Lançamentos!$F:$F,Lançamentos!$A:$A,EB$19,Lançamentos!$C:$C,"Outras Receitas")</f>
        <v>0</v>
      </c>
      <c r="EC24" s="37">
        <f>SUMIFS(Lançamentos!$F:$F,Lançamentos!$A:$A,EC$19,Lançamentos!$C:$C,"Outras Receitas")</f>
        <v>0</v>
      </c>
      <c r="ED24" s="37">
        <f>SUMIFS(Lançamentos!$F:$F,Lançamentos!$A:$A,ED$19,Lançamentos!$C:$C,"Outras Receitas")</f>
        <v>0</v>
      </c>
      <c r="EE24" s="37">
        <f>SUMIFS(Lançamentos!$F:$F,Lançamentos!$A:$A,EE$19,Lançamentos!$C:$C,"Outras Receitas")</f>
        <v>0</v>
      </c>
      <c r="EF24" s="37">
        <f>SUMIFS(Lançamentos!$F:$F,Lançamentos!$A:$A,EF$19,Lançamentos!$C:$C,"Outras Receitas")</f>
        <v>0</v>
      </c>
      <c r="EG24" s="37">
        <f>SUMIFS(Lançamentos!$F:$F,Lançamentos!$A:$A,EG$19,Lançamentos!$C:$C,"Outras Receitas")</f>
        <v>0</v>
      </c>
      <c r="EH24" s="37">
        <f>SUMIFS(Lançamentos!$F:$F,Lançamentos!$A:$A,EH$19,Lançamentos!$C:$C,"Outras Receitas")</f>
        <v>0</v>
      </c>
      <c r="EI24" s="37">
        <f>SUMIFS(Lançamentos!$F:$F,Lançamentos!$A:$A,EI$19,Lançamentos!$C:$C,"Outras Receitas")</f>
        <v>0</v>
      </c>
      <c r="EJ24" s="37">
        <f>SUMIFS(Lançamentos!$F:$F,Lançamentos!$A:$A,EJ$19,Lançamentos!$C:$C,"Outras Receitas")</f>
        <v>0</v>
      </c>
      <c r="EK24" s="37">
        <f>SUMIFS(Lançamentos!$F:$F,Lançamentos!$A:$A,EK$19,Lançamentos!$C:$C,"Outras Receitas")</f>
        <v>0</v>
      </c>
      <c r="EL24" s="37">
        <f>SUMIFS(Lançamentos!$F:$F,Lançamentos!$A:$A,EL$19,Lançamentos!$C:$C,"Outras Receitas")</f>
        <v>0</v>
      </c>
      <c r="EM24" s="37">
        <f>SUMIFS(Lançamentos!$F:$F,Lançamentos!$A:$A,EM$19,Lançamentos!$C:$C,"Outras Receitas")</f>
        <v>0</v>
      </c>
      <c r="EN24" s="37">
        <f>SUMIFS(Lançamentos!$F:$F,Lançamentos!$A:$A,EN$19,Lançamentos!$C:$C,"Outras Receitas")</f>
        <v>0</v>
      </c>
      <c r="EO24" s="37">
        <f>SUMIFS(Lançamentos!$F:$F,Lançamentos!$A:$A,EO$19,Lançamentos!$C:$C,"Outras Receitas")</f>
        <v>0</v>
      </c>
      <c r="EP24" s="37">
        <f>SUMIFS(Lançamentos!$F:$F,Lançamentos!$A:$A,EP$19,Lançamentos!$C:$C,"Outras Receitas")</f>
        <v>0</v>
      </c>
      <c r="EQ24" s="37">
        <f>SUMIFS(Lançamentos!$F:$F,Lançamentos!$A:$A,EQ$19,Lançamentos!$C:$C,"Outras Receitas")</f>
        <v>0</v>
      </c>
      <c r="ER24" s="37">
        <f>SUMIFS(Lançamentos!$F:$F,Lançamentos!$A:$A,ER$19,Lançamentos!$C:$C,"Outras Receitas")</f>
        <v>0</v>
      </c>
      <c r="ES24" s="37">
        <f>SUMIFS(Lançamentos!$F:$F,Lançamentos!$A:$A,ES$19,Lançamentos!$C:$C,"Outras Receitas")</f>
        <v>0</v>
      </c>
      <c r="ET24" s="37">
        <f>SUMIFS(Lançamentos!$F:$F,Lançamentos!$A:$A,ET$19,Lançamentos!$C:$C,"Outras Receitas")</f>
        <v>0</v>
      </c>
      <c r="EU24" s="37">
        <f>SUMIFS(Lançamentos!$F:$F,Lançamentos!$A:$A,EU$19,Lançamentos!$C:$C,"Outras Receitas")</f>
        <v>0</v>
      </c>
      <c r="EV24" s="37">
        <f>SUMIFS(Lançamentos!$F:$F,Lançamentos!$A:$A,EV$19,Lançamentos!$C:$C,"Outras Receitas")</f>
        <v>0</v>
      </c>
      <c r="EW24" s="37">
        <f>SUMIFS(Lançamentos!$F:$F,Lançamentos!$A:$A,EW$19,Lançamentos!$C:$C,"Outras Receitas")</f>
        <v>0</v>
      </c>
      <c r="EX24" s="37">
        <f>SUMIFS(Lançamentos!$F:$F,Lançamentos!$A:$A,EX$19,Lançamentos!$C:$C,"Outras Receitas")</f>
        <v>0</v>
      </c>
      <c r="EY24" s="37">
        <f>SUMIFS(Lançamentos!$F:$F,Lançamentos!$A:$A,EY$19,Lançamentos!$C:$C,"Outras Receitas")</f>
        <v>0</v>
      </c>
      <c r="EZ24" s="37">
        <f>SUMIFS(Lançamentos!$F:$F,Lançamentos!$A:$A,EZ$19,Lançamentos!$C:$C,"Outras Receitas")</f>
        <v>0</v>
      </c>
      <c r="FA24" s="37">
        <f>SUMIFS(Lançamentos!$F:$F,Lançamentos!$A:$A,FA$19,Lançamentos!$C:$C,"Outras Receitas")</f>
        <v>0</v>
      </c>
      <c r="FB24" s="37">
        <f>SUMIFS(Lançamentos!$F:$F,Lançamentos!$A:$A,FB$19,Lançamentos!$C:$C,"Outras Receitas")</f>
        <v>0</v>
      </c>
      <c r="FC24" s="37">
        <f>SUMIFS(Lançamentos!$F:$F,Lançamentos!$A:$A,FC$19,Lançamentos!$C:$C,"Outras Receitas")</f>
        <v>0</v>
      </c>
      <c r="FD24" s="37">
        <f>SUMIFS(Lançamentos!$F:$F,Lançamentos!$A:$A,FD$19,Lançamentos!$C:$C,"Outras Receitas")</f>
        <v>0</v>
      </c>
      <c r="FE24" s="37">
        <f>SUMIFS(Lançamentos!$F:$F,Lançamentos!$A:$A,FE$19,Lançamentos!$C:$C,"Outras Receitas")</f>
        <v>0</v>
      </c>
      <c r="FF24" s="37">
        <f>SUMIFS(Lançamentos!$F:$F,Lançamentos!$A:$A,FF$19,Lançamentos!$C:$C,"Outras Receitas")</f>
        <v>0</v>
      </c>
      <c r="FG24" s="37">
        <f>SUMIFS(Lançamentos!$F:$F,Lançamentos!$A:$A,FG$19,Lançamentos!$C:$C,"Outras Receitas")</f>
        <v>0</v>
      </c>
      <c r="FH24" s="37">
        <f>SUMIFS(Lançamentos!$F:$F,Lançamentos!$A:$A,FH$19,Lançamentos!$C:$C,"Outras Receitas")</f>
        <v>0</v>
      </c>
      <c r="FI24" s="37">
        <f>SUMIFS(Lançamentos!$F:$F,Lançamentos!$A:$A,FI$19,Lançamentos!$C:$C,"Outras Receitas")</f>
        <v>0</v>
      </c>
      <c r="FJ24" s="37">
        <f>SUMIFS(Lançamentos!$F:$F,Lançamentos!$A:$A,FJ$19,Lançamentos!$C:$C,"Outras Receitas")</f>
        <v>0</v>
      </c>
      <c r="FK24" s="37">
        <f>SUMIFS(Lançamentos!$F:$F,Lançamentos!$A:$A,FK$19,Lançamentos!$C:$C,"Outras Receitas")</f>
        <v>0</v>
      </c>
      <c r="FL24" s="37">
        <f>SUMIFS(Lançamentos!$F:$F,Lançamentos!$A:$A,FL$19,Lançamentos!$C:$C,"Outras Receitas")</f>
        <v>0</v>
      </c>
      <c r="FM24" s="37">
        <f>SUMIFS(Lançamentos!$F:$F,Lançamentos!$A:$A,FM$19,Lançamentos!$C:$C,"Outras Receitas")</f>
        <v>0</v>
      </c>
      <c r="FN24" s="37">
        <f>SUMIFS(Lançamentos!$F:$F,Lançamentos!$A:$A,FN$19,Lançamentos!$C:$C,"Outras Receitas")</f>
        <v>0</v>
      </c>
      <c r="FO24" s="37">
        <f>SUMIFS(Lançamentos!$F:$F,Lançamentos!$A:$A,FO$19,Lançamentos!$C:$C,"Outras Receitas")</f>
        <v>0</v>
      </c>
      <c r="FP24" s="37">
        <f>SUMIFS(Lançamentos!$F:$F,Lançamentos!$A:$A,FP$19,Lançamentos!$C:$C,"Outras Receitas")</f>
        <v>0</v>
      </c>
      <c r="FQ24" s="37">
        <f>SUMIFS(Lançamentos!$F:$F,Lançamentos!$A:$A,FQ$19,Lançamentos!$C:$C,"Outras Receitas")</f>
        <v>0</v>
      </c>
      <c r="FR24" s="37">
        <f>SUMIFS(Lançamentos!$F:$F,Lançamentos!$A:$A,FR$19,Lançamentos!$C:$C,"Outras Receitas")</f>
        <v>0</v>
      </c>
      <c r="FS24" s="37">
        <f>SUMIFS(Lançamentos!$F:$F,Lançamentos!$A:$A,FS$19,Lançamentos!$C:$C,"Outras Receitas")</f>
        <v>0</v>
      </c>
      <c r="FT24" s="37">
        <f>SUMIFS(Lançamentos!$F:$F,Lançamentos!$A:$A,FT$19,Lançamentos!$C:$C,"Outras Receitas")</f>
        <v>0</v>
      </c>
      <c r="FU24" s="37">
        <f>SUMIFS(Lançamentos!$F:$F,Lançamentos!$A:$A,FU$19,Lançamentos!$C:$C,"Outras Receitas")</f>
        <v>0</v>
      </c>
      <c r="FV24" s="37">
        <f>SUMIFS(Lançamentos!$F:$F,Lançamentos!$A:$A,FV$19,Lançamentos!$C:$C,"Outras Receitas")</f>
        <v>0</v>
      </c>
      <c r="FW24" s="37">
        <f>SUMIFS(Lançamentos!$F:$F,Lançamentos!$A:$A,FW$19,Lançamentos!$C:$C,"Outras Receitas")</f>
        <v>0</v>
      </c>
      <c r="FX24" s="37">
        <f>SUMIFS(Lançamentos!$F:$F,Lançamentos!$A:$A,FX$19,Lançamentos!$C:$C,"Outras Receitas")</f>
        <v>0</v>
      </c>
      <c r="FY24" s="37">
        <f>SUMIFS(Lançamentos!$F:$F,Lançamentos!$A:$A,FY$19,Lançamentos!$C:$C,"Outras Receitas")</f>
        <v>0</v>
      </c>
      <c r="FZ24" s="37">
        <f>SUMIFS(Lançamentos!$F:$F,Lançamentos!$A:$A,FZ$19,Lançamentos!$C:$C,"Outras Receitas")</f>
        <v>0</v>
      </c>
      <c r="GA24" s="37">
        <f>SUMIFS(Lançamentos!$F:$F,Lançamentos!$A:$A,GA$19,Lançamentos!$C:$C,"Outras Receitas")</f>
        <v>0</v>
      </c>
      <c r="GB24" s="37">
        <f>SUMIFS(Lançamentos!$F:$F,Lançamentos!$A:$A,GB$19,Lançamentos!$C:$C,"Outras Receitas")</f>
        <v>0</v>
      </c>
      <c r="GC24" s="37">
        <f>SUMIFS(Lançamentos!$F:$F,Lançamentos!$A:$A,GC$19,Lançamentos!$C:$C,"Outras Receitas")</f>
        <v>0</v>
      </c>
      <c r="GD24" s="37">
        <f>SUMIFS(Lançamentos!$F:$F,Lançamentos!$A:$A,GD$19,Lançamentos!$C:$C,"Outras Receitas")</f>
        <v>0</v>
      </c>
      <c r="GE24" s="37">
        <f>SUMIFS(Lançamentos!$F:$F,Lançamentos!$A:$A,GE$19,Lançamentos!$C:$C,"Outras Receitas")</f>
        <v>0</v>
      </c>
      <c r="GF24" s="37">
        <f>SUMIFS(Lançamentos!$F:$F,Lançamentos!$A:$A,GF$19,Lançamentos!$C:$C,"Outras Receitas")</f>
        <v>0</v>
      </c>
      <c r="GG24" s="37">
        <f>SUMIFS(Lançamentos!$F:$F,Lançamentos!$A:$A,GG$19,Lançamentos!$C:$C,"Outras Receitas")</f>
        <v>0</v>
      </c>
      <c r="GH24" s="37">
        <f>SUMIFS(Lançamentos!$F:$F,Lançamentos!$A:$A,GH$19,Lançamentos!$C:$C,"Outras Receitas")</f>
        <v>0</v>
      </c>
      <c r="GI24" s="37">
        <f>SUMIFS(Lançamentos!$F:$F,Lançamentos!$A:$A,GI$19,Lançamentos!$C:$C,"Outras Receitas")</f>
        <v>0</v>
      </c>
      <c r="GJ24" s="37">
        <f>SUMIFS(Lançamentos!$F:$F,Lançamentos!$A:$A,GJ$19,Lançamentos!$C:$C,"Outras Receitas")</f>
        <v>0</v>
      </c>
      <c r="GK24" s="37">
        <f>SUMIFS(Lançamentos!$F:$F,Lançamentos!$A:$A,GK$19,Lançamentos!$C:$C,"Outras Receitas")</f>
        <v>0</v>
      </c>
      <c r="GL24" s="37">
        <f>SUMIFS(Lançamentos!$F:$F,Lançamentos!$A:$A,GL$19,Lançamentos!$C:$C,"Outras Receitas")</f>
        <v>0</v>
      </c>
      <c r="GM24" s="37">
        <f>SUMIFS(Lançamentos!$F:$F,Lançamentos!$A:$A,GM$19,Lançamentos!$C:$C,"Outras Receitas")</f>
        <v>0</v>
      </c>
      <c r="GN24" s="37">
        <f>SUMIFS(Lançamentos!$F:$F,Lançamentos!$A:$A,GN$19,Lançamentos!$C:$C,"Outras Receitas")</f>
        <v>0</v>
      </c>
      <c r="GO24" s="37">
        <f>SUMIFS(Lançamentos!$F:$F,Lançamentos!$A:$A,GO$19,Lançamentos!$C:$C,"Outras Receitas")</f>
        <v>0</v>
      </c>
      <c r="GP24" s="37">
        <f>SUMIFS(Lançamentos!$F:$F,Lançamentos!$A:$A,GP$19,Lançamentos!$C:$C,"Outras Receitas")</f>
        <v>0</v>
      </c>
      <c r="GQ24" s="37">
        <f>SUMIFS(Lançamentos!$F:$F,Lançamentos!$A:$A,GQ$19,Lançamentos!$C:$C,"Outras Receitas")</f>
        <v>0</v>
      </c>
      <c r="GR24" s="37">
        <f>SUMIFS(Lançamentos!$F:$F,Lançamentos!$A:$A,GR$19,Lançamentos!$C:$C,"Outras Receitas")</f>
        <v>0</v>
      </c>
      <c r="GS24" s="37">
        <f>SUMIFS(Lançamentos!$F:$F,Lançamentos!$A:$A,GS$19,Lançamentos!$C:$C,"Outras Receitas")</f>
        <v>0</v>
      </c>
      <c r="GT24" s="37">
        <f>SUMIFS(Lançamentos!$F:$F,Lançamentos!$A:$A,GT$19,Lançamentos!$C:$C,"Outras Receitas")</f>
        <v>0</v>
      </c>
      <c r="GU24" s="37">
        <f>SUMIFS(Lançamentos!$F:$F,Lançamentos!$A:$A,GU$19,Lançamentos!$C:$C,"Outras Receitas")</f>
        <v>0</v>
      </c>
      <c r="GV24" s="37">
        <f>SUMIFS(Lançamentos!$F:$F,Lançamentos!$A:$A,GV$19,Lançamentos!$C:$C,"Outras Receitas")</f>
        <v>0</v>
      </c>
      <c r="GW24" s="37">
        <f>SUMIFS(Lançamentos!$F:$F,Lançamentos!$A:$A,GW$19,Lançamentos!$C:$C,"Outras Receitas")</f>
        <v>0</v>
      </c>
      <c r="GX24" s="37">
        <f>SUMIFS(Lançamentos!$F:$F,Lançamentos!$A:$A,GX$19,Lançamentos!$C:$C,"Outras Receitas")</f>
        <v>0</v>
      </c>
      <c r="GY24" s="37">
        <f>SUMIFS(Lançamentos!$F:$F,Lançamentos!$A:$A,GY$19,Lançamentos!$C:$C,"Outras Receitas")</f>
        <v>0</v>
      </c>
      <c r="GZ24" s="37">
        <f>SUMIFS(Lançamentos!$F:$F,Lançamentos!$A:$A,GZ$19,Lançamentos!$C:$C,"Outras Receitas")</f>
        <v>0</v>
      </c>
      <c r="HA24" s="37">
        <f>SUMIFS(Lançamentos!$F:$F,Lançamentos!$A:$A,HA$19,Lançamentos!$C:$C,"Outras Receitas")</f>
        <v>0</v>
      </c>
      <c r="HB24" s="37">
        <f>SUMIFS(Lançamentos!$F:$F,Lançamentos!$A:$A,HB$19,Lançamentos!$C:$C,"Outras Receitas")</f>
        <v>0</v>
      </c>
      <c r="HC24" s="37">
        <f>SUMIFS(Lançamentos!$F:$F,Lançamentos!$A:$A,HC$19,Lançamentos!$C:$C,"Outras Receitas")</f>
        <v>0</v>
      </c>
      <c r="HD24" s="37">
        <f>SUMIFS(Lançamentos!$F:$F,Lançamentos!$A:$A,HD$19,Lançamentos!$C:$C,"Outras Receitas")</f>
        <v>0</v>
      </c>
      <c r="HE24" s="37">
        <f>SUMIFS(Lançamentos!$F:$F,Lançamentos!$A:$A,HE$19,Lançamentos!$C:$C,"Outras Receitas")</f>
        <v>0</v>
      </c>
      <c r="HF24" s="37">
        <f>SUMIFS(Lançamentos!$F:$F,Lançamentos!$A:$A,HF$19,Lançamentos!$C:$C,"Outras Receitas")</f>
        <v>0</v>
      </c>
      <c r="HG24" s="37">
        <f>SUMIFS(Lançamentos!$F:$F,Lançamentos!$A:$A,HG$19,Lançamentos!$C:$C,"Outras Receitas")</f>
        <v>0</v>
      </c>
      <c r="HH24" s="37">
        <f>SUMIFS(Lançamentos!$F:$F,Lançamentos!$A:$A,HH$19,Lançamentos!$C:$C,"Outras Receitas")</f>
        <v>0</v>
      </c>
      <c r="HI24" s="37">
        <f>SUMIFS(Lançamentos!$F:$F,Lançamentos!$A:$A,HI$19,Lançamentos!$C:$C,"Outras Receitas")</f>
        <v>0</v>
      </c>
      <c r="HJ24" s="37">
        <f>SUMIFS(Lançamentos!$F:$F,Lançamentos!$A:$A,HJ$19,Lançamentos!$C:$C,"Outras Receitas")</f>
        <v>0</v>
      </c>
      <c r="HK24" s="37">
        <f>SUMIFS(Lançamentos!$F:$F,Lançamentos!$A:$A,HK$19,Lançamentos!$C:$C,"Outras Receitas")</f>
        <v>0</v>
      </c>
      <c r="HL24" s="37">
        <f>SUMIFS(Lançamentos!$F:$F,Lançamentos!$A:$A,HL$19,Lançamentos!$C:$C,"Outras Receitas")</f>
        <v>0</v>
      </c>
      <c r="HM24" s="37">
        <f>SUMIFS(Lançamentos!$F:$F,Lançamentos!$A:$A,HM$19,Lançamentos!$C:$C,"Outras Receitas")</f>
        <v>0</v>
      </c>
      <c r="HN24" s="37">
        <f>SUMIFS(Lançamentos!$F:$F,Lançamentos!$A:$A,HN$19,Lançamentos!$C:$C,"Outras Receitas")</f>
        <v>0</v>
      </c>
      <c r="HO24" s="37">
        <f>SUMIFS(Lançamentos!$F:$F,Lançamentos!$A:$A,HO$19,Lançamentos!$C:$C,"Outras Receitas")</f>
        <v>0</v>
      </c>
      <c r="HP24" s="37">
        <f>SUMIFS(Lançamentos!$F:$F,Lançamentos!$A:$A,HP$19,Lançamentos!$C:$C,"Outras Receitas")</f>
        <v>0</v>
      </c>
      <c r="HQ24" s="37">
        <f>SUMIFS(Lançamentos!$F:$F,Lançamentos!$A:$A,HQ$19,Lançamentos!$C:$C,"Outras Receitas")</f>
        <v>0</v>
      </c>
      <c r="HR24" s="37">
        <f>SUMIFS(Lançamentos!$F:$F,Lançamentos!$A:$A,HR$19,Lançamentos!$C:$C,"Outras Receitas")</f>
        <v>0</v>
      </c>
      <c r="HS24" s="37">
        <f>SUMIFS(Lançamentos!$F:$F,Lançamentos!$A:$A,HS$19,Lançamentos!$C:$C,"Outras Receitas")</f>
        <v>0</v>
      </c>
      <c r="HT24" s="37">
        <f>SUMIFS(Lançamentos!$F:$F,Lançamentos!$A:$A,HT$19,Lançamentos!$C:$C,"Outras Receitas")</f>
        <v>0</v>
      </c>
      <c r="HU24" s="37">
        <f>SUMIFS(Lançamentos!$F:$F,Lançamentos!$A:$A,HU$19,Lançamentos!$C:$C,"Outras Receitas")</f>
        <v>0</v>
      </c>
      <c r="HV24" s="37">
        <f>SUMIFS(Lançamentos!$F:$F,Lançamentos!$A:$A,HV$19,Lançamentos!$C:$C,"Outras Receitas")</f>
        <v>0</v>
      </c>
      <c r="HW24" s="37">
        <f>SUMIFS(Lançamentos!$F:$F,Lançamentos!$A:$A,HW$19,Lançamentos!$C:$C,"Outras Receitas")</f>
        <v>0</v>
      </c>
      <c r="HX24" s="37">
        <f>SUMIFS(Lançamentos!$F:$F,Lançamentos!$A:$A,HX$19,Lançamentos!$C:$C,"Outras Receitas")</f>
        <v>0</v>
      </c>
      <c r="HY24" s="37">
        <f>SUMIFS(Lançamentos!$F:$F,Lançamentos!$A:$A,HY$19,Lançamentos!$C:$C,"Outras Receitas")</f>
        <v>0</v>
      </c>
      <c r="HZ24" s="37">
        <f>SUMIFS(Lançamentos!$F:$F,Lançamentos!$A:$A,HZ$19,Lançamentos!$C:$C,"Outras Receitas")</f>
        <v>0</v>
      </c>
      <c r="IA24" s="37">
        <f>SUMIFS(Lançamentos!$F:$F,Lançamentos!$A:$A,IA$19,Lançamentos!$C:$C,"Outras Receitas")</f>
        <v>0</v>
      </c>
      <c r="IB24" s="37">
        <f>SUMIFS(Lançamentos!$F:$F,Lançamentos!$A:$A,IB$19,Lançamentos!$C:$C,"Outras Receitas")</f>
        <v>0</v>
      </c>
      <c r="IC24" s="37">
        <f>SUMIFS(Lançamentos!$F:$F,Lançamentos!$A:$A,IC$19,Lançamentos!$C:$C,"Outras Receitas")</f>
        <v>0</v>
      </c>
      <c r="ID24" s="37">
        <f>SUMIFS(Lançamentos!$F:$F,Lançamentos!$A:$A,ID$19,Lançamentos!$C:$C,"Outras Receitas")</f>
        <v>0</v>
      </c>
      <c r="IE24" s="37">
        <f>SUMIFS(Lançamentos!$F:$F,Lançamentos!$A:$A,IE$19,Lançamentos!$C:$C,"Outras Receitas")</f>
        <v>0</v>
      </c>
      <c r="IF24" s="37">
        <f>SUMIFS(Lançamentos!$F:$F,Lançamentos!$A:$A,IF$19,Lançamentos!$C:$C,"Outras Receitas")</f>
        <v>0</v>
      </c>
      <c r="IG24" s="37">
        <f>SUMIFS(Lançamentos!$F:$F,Lançamentos!$A:$A,IG$19,Lançamentos!$C:$C,"Outras Receitas")</f>
        <v>0</v>
      </c>
      <c r="IH24" s="37">
        <f>SUMIFS(Lançamentos!$F:$F,Lançamentos!$A:$A,IH$19,Lançamentos!$C:$C,"Outras Receitas")</f>
        <v>0</v>
      </c>
      <c r="II24" s="37">
        <f>SUMIFS(Lançamentos!$F:$F,Lançamentos!$A:$A,II$19,Lançamentos!$C:$C,"Outras Receitas")</f>
        <v>0</v>
      </c>
      <c r="IJ24" s="37">
        <f>SUMIFS(Lançamentos!$F:$F,Lançamentos!$A:$A,IJ$19,Lançamentos!$C:$C,"Outras Receitas")</f>
        <v>0</v>
      </c>
      <c r="IK24" s="37">
        <f>SUMIFS(Lançamentos!$F:$F,Lançamentos!$A:$A,IK$19,Lançamentos!$C:$C,"Outras Receitas")</f>
        <v>0</v>
      </c>
      <c r="IL24" s="37">
        <f>SUMIFS(Lançamentos!$F:$F,Lançamentos!$A:$A,IL$19,Lançamentos!$C:$C,"Outras Receitas")</f>
        <v>0</v>
      </c>
    </row>
    <row r="25" spans="1:246" x14ac:dyDescent="0.3">
      <c r="A25" t="s">
        <v>25</v>
      </c>
      <c r="B25" s="37">
        <f>SUMIFS(Lançamentos!$F:$F,Lançamentos!$A:$A,B$19,Lançamentos!$C:$C,"Receitas Financeiras")</f>
        <v>0</v>
      </c>
      <c r="C25" s="37">
        <f>SUMIFS(Lançamentos!$F:$F,Lançamentos!$A:$A,C$19,Lançamentos!$C:$C,"Receitas Financeiras")</f>
        <v>0</v>
      </c>
      <c r="D25" s="37">
        <f>SUMIFS(Lançamentos!$F:$F,Lançamentos!$A:$A,D$19,Lançamentos!$C:$C,"Receitas Financeiras")</f>
        <v>0</v>
      </c>
      <c r="E25" s="37">
        <f>SUMIFS(Lançamentos!$F:$F,Lançamentos!$A:$A,E$19,Lançamentos!$C:$C,"Receitas Financeiras")</f>
        <v>0</v>
      </c>
      <c r="F25" s="37">
        <f>SUMIFS(Lançamentos!$F:$F,Lançamentos!$A:$A,F$19,Lançamentos!$C:$C,"Receitas Financeiras")</f>
        <v>0</v>
      </c>
      <c r="G25" s="37">
        <f>SUMIFS(Lançamentos!$F:$F,Lançamentos!$A:$A,G$19,Lançamentos!$C:$C,"Receitas Financeiras")</f>
        <v>0</v>
      </c>
      <c r="H25" s="37">
        <f>SUMIFS(Lançamentos!$F:$F,Lançamentos!$A:$A,H$19,Lançamentos!$C:$C,"Receitas Financeiras")</f>
        <v>0</v>
      </c>
      <c r="I25" s="37">
        <f>SUMIFS(Lançamentos!$F:$F,Lançamentos!$A:$A,I$19,Lançamentos!$C:$C,"Receitas Financeiras")</f>
        <v>0</v>
      </c>
      <c r="J25" s="37">
        <f>SUMIFS(Lançamentos!$F:$F,Lançamentos!$A:$A,J$19,Lançamentos!$C:$C,"Receitas Financeiras")</f>
        <v>0</v>
      </c>
      <c r="K25" s="37">
        <f>SUMIFS(Lançamentos!$F:$F,Lançamentos!$A:$A,K$19,Lançamentos!$C:$C,"Receitas Financeiras")</f>
        <v>0</v>
      </c>
      <c r="L25" s="37">
        <f>SUMIFS(Lançamentos!$F:$F,Lançamentos!$A:$A,L$19,Lançamentos!$C:$C,"Receitas Financeiras")</f>
        <v>0</v>
      </c>
      <c r="M25" s="37">
        <f>SUMIFS(Lançamentos!$F:$F,Lançamentos!$A:$A,M$19,Lançamentos!$C:$C,"Receitas Financeiras")</f>
        <v>0</v>
      </c>
      <c r="N25" s="37">
        <f>SUMIFS(Lançamentos!$F:$F,Lançamentos!$A:$A,N$19,Lançamentos!$C:$C,"Receitas Financeiras")</f>
        <v>0</v>
      </c>
      <c r="O25" s="37">
        <f>SUMIFS(Lançamentos!$F:$F,Lançamentos!$A:$A,O$19,Lançamentos!$C:$C,"Receitas Financeiras")</f>
        <v>0</v>
      </c>
      <c r="P25" s="37">
        <f>SUMIFS(Lançamentos!$F:$F,Lançamentos!$A:$A,P$19,Lançamentos!$C:$C,"Receitas Financeiras")</f>
        <v>0</v>
      </c>
      <c r="Q25" s="37">
        <f>SUMIFS(Lançamentos!$F:$F,Lançamentos!$A:$A,Q$19,Lançamentos!$C:$C,"Receitas Financeiras")</f>
        <v>0</v>
      </c>
      <c r="R25" s="37">
        <f>SUMIFS(Lançamentos!$F:$F,Lançamentos!$A:$A,R$19,Lançamentos!$C:$C,"Receitas Financeiras")</f>
        <v>0</v>
      </c>
      <c r="S25" s="37">
        <f>SUMIFS(Lançamentos!$F:$F,Lançamentos!$A:$A,S$19,Lançamentos!$C:$C,"Receitas Financeiras")</f>
        <v>0</v>
      </c>
      <c r="T25" s="37">
        <f>SUMIFS(Lançamentos!$F:$F,Lançamentos!$A:$A,T$19,Lançamentos!$C:$C,"Receitas Financeiras")</f>
        <v>0</v>
      </c>
      <c r="U25" s="37">
        <f>SUMIFS(Lançamentos!$F:$F,Lançamentos!$A:$A,U$19,Lançamentos!$C:$C,"Receitas Financeiras")</f>
        <v>0</v>
      </c>
      <c r="V25" s="37">
        <f>SUMIFS(Lançamentos!$F:$F,Lançamentos!$A:$A,V$19,Lançamentos!$C:$C,"Receitas Financeiras")</f>
        <v>0</v>
      </c>
      <c r="W25" s="37">
        <f>SUMIFS(Lançamentos!$F:$F,Lançamentos!$A:$A,W$19,Lançamentos!$C:$C,"Receitas Financeiras")</f>
        <v>0</v>
      </c>
      <c r="X25" s="37">
        <f>SUMIFS(Lançamentos!$F:$F,Lançamentos!$A:$A,X$19,Lançamentos!$C:$C,"Receitas Financeiras")</f>
        <v>0</v>
      </c>
      <c r="Y25" s="37">
        <f>SUMIFS(Lançamentos!$F:$F,Lançamentos!$A:$A,Y$19,Lançamentos!$C:$C,"Receitas Financeiras")</f>
        <v>0</v>
      </c>
      <c r="Z25" s="37">
        <f>SUMIFS(Lançamentos!$F:$F,Lançamentos!$A:$A,Z$19,Lançamentos!$C:$C,"Receitas Financeiras")</f>
        <v>0</v>
      </c>
      <c r="AA25" s="37">
        <f>SUMIFS(Lançamentos!$F:$F,Lançamentos!$A:$A,AA$19,Lançamentos!$C:$C,"Receitas Financeiras")</f>
        <v>0</v>
      </c>
      <c r="AB25" s="37">
        <f>SUMIFS(Lançamentos!$F:$F,Lançamentos!$A:$A,AB$19,Lançamentos!$C:$C,"Receitas Financeiras")</f>
        <v>0</v>
      </c>
      <c r="AC25" s="37">
        <f>SUMIFS(Lançamentos!$F:$F,Lançamentos!$A:$A,AC$19,Lançamentos!$C:$C,"Receitas Financeiras")</f>
        <v>0</v>
      </c>
      <c r="AD25" s="37">
        <f>SUMIFS(Lançamentos!$F:$F,Lançamentos!$A:$A,AD$19,Lançamentos!$C:$C,"Receitas Financeiras")</f>
        <v>0</v>
      </c>
      <c r="AE25" s="37">
        <f>SUMIFS(Lançamentos!$F:$F,Lançamentos!$A:$A,AE$19,Lançamentos!$C:$C,"Receitas Financeiras")</f>
        <v>0</v>
      </c>
      <c r="AF25" s="37">
        <f>SUMIFS(Lançamentos!$F:$F,Lançamentos!$A:$A,AF$19,Lançamentos!$C:$C,"Receitas Financeiras")</f>
        <v>0</v>
      </c>
      <c r="AG25" s="37">
        <f>SUMIFS(Lançamentos!$F:$F,Lançamentos!$A:$A,AG$19,Lançamentos!$C:$C,"Receitas Financeiras")</f>
        <v>0</v>
      </c>
      <c r="AH25" s="37">
        <f>SUMIFS(Lançamentos!$F:$F,Lançamentos!$A:$A,AH$19,Lançamentos!$C:$C,"Receitas Financeiras")</f>
        <v>0</v>
      </c>
      <c r="AI25" s="37">
        <f>SUMIFS(Lançamentos!$F:$F,Lançamentos!$A:$A,AI$19,Lançamentos!$C:$C,"Receitas Financeiras")</f>
        <v>0</v>
      </c>
      <c r="AJ25" s="37">
        <f>SUMIFS(Lançamentos!$F:$F,Lançamentos!$A:$A,AJ$19,Lançamentos!$C:$C,"Receitas Financeiras")</f>
        <v>0</v>
      </c>
      <c r="AK25" s="37">
        <f>SUMIFS(Lançamentos!$F:$F,Lançamentos!$A:$A,AK$19,Lançamentos!$C:$C,"Receitas Financeiras")</f>
        <v>0</v>
      </c>
      <c r="AL25" s="37">
        <f>SUMIFS(Lançamentos!$F:$F,Lançamentos!$A:$A,AL$19,Lançamentos!$C:$C,"Receitas Financeiras")</f>
        <v>0</v>
      </c>
      <c r="AM25" s="37">
        <f>SUMIFS(Lançamentos!$F:$F,Lançamentos!$A:$A,AM$19,Lançamentos!$C:$C,"Receitas Financeiras")</f>
        <v>0</v>
      </c>
      <c r="AN25" s="37">
        <f>SUMIFS(Lançamentos!$F:$F,Lançamentos!$A:$A,AN$19,Lançamentos!$C:$C,"Receitas Financeiras")</f>
        <v>0</v>
      </c>
      <c r="AO25" s="37">
        <f>SUMIFS(Lançamentos!$F:$F,Lançamentos!$A:$A,AO$19,Lançamentos!$C:$C,"Receitas Financeiras")</f>
        <v>0</v>
      </c>
      <c r="AP25" s="37">
        <f>SUMIFS(Lançamentos!$F:$F,Lançamentos!$A:$A,AP$19,Lançamentos!$C:$C,"Receitas Financeiras")</f>
        <v>0</v>
      </c>
      <c r="AQ25" s="37">
        <f>SUMIFS(Lançamentos!$F:$F,Lançamentos!$A:$A,AQ$19,Lançamentos!$C:$C,"Receitas Financeiras")</f>
        <v>0</v>
      </c>
      <c r="AR25" s="37">
        <f>SUMIFS(Lançamentos!$F:$F,Lançamentos!$A:$A,AR$19,Lançamentos!$C:$C,"Receitas Financeiras")</f>
        <v>0</v>
      </c>
      <c r="AS25" s="37">
        <f>SUMIFS(Lançamentos!$F:$F,Lançamentos!$A:$A,AS$19,Lançamentos!$C:$C,"Receitas Financeiras")</f>
        <v>0</v>
      </c>
      <c r="AT25" s="37">
        <f>SUMIFS(Lançamentos!$F:$F,Lançamentos!$A:$A,AT$19,Lançamentos!$C:$C,"Receitas Financeiras")</f>
        <v>0</v>
      </c>
      <c r="AU25" s="37">
        <f>SUMIFS(Lançamentos!$F:$F,Lançamentos!$A:$A,AU$19,Lançamentos!$C:$C,"Receitas Financeiras")</f>
        <v>0</v>
      </c>
      <c r="AV25" s="37">
        <f>SUMIFS(Lançamentos!$F:$F,Lançamentos!$A:$A,AV$19,Lançamentos!$C:$C,"Receitas Financeiras")</f>
        <v>0</v>
      </c>
      <c r="AW25" s="37">
        <f>SUMIFS(Lançamentos!$F:$F,Lançamentos!$A:$A,AW$19,Lançamentos!$C:$C,"Receitas Financeiras")</f>
        <v>0</v>
      </c>
      <c r="AX25" s="37">
        <f>SUMIFS(Lançamentos!$F:$F,Lançamentos!$A:$A,AX$19,Lançamentos!$C:$C,"Receitas Financeiras")</f>
        <v>0</v>
      </c>
      <c r="AY25" s="37">
        <f>SUMIFS(Lançamentos!$F:$F,Lançamentos!$A:$A,AY$19,Lançamentos!$C:$C,"Receitas Financeiras")</f>
        <v>0</v>
      </c>
      <c r="AZ25" s="37">
        <f>SUMIFS(Lançamentos!$F:$F,Lançamentos!$A:$A,AZ$19,Lançamentos!$C:$C,"Receitas Financeiras")</f>
        <v>0</v>
      </c>
      <c r="BA25" s="37">
        <f>SUMIFS(Lançamentos!$F:$F,Lançamentos!$A:$A,BA$19,Lançamentos!$C:$C,"Receitas Financeiras")</f>
        <v>0</v>
      </c>
      <c r="BB25" s="37">
        <f>SUMIFS(Lançamentos!$F:$F,Lançamentos!$A:$A,BB$19,Lançamentos!$C:$C,"Receitas Financeiras")</f>
        <v>0</v>
      </c>
      <c r="BC25" s="37">
        <f>SUMIFS(Lançamentos!$F:$F,Lançamentos!$A:$A,BC$19,Lançamentos!$C:$C,"Receitas Financeiras")</f>
        <v>0</v>
      </c>
      <c r="BD25" s="37">
        <f>SUMIFS(Lançamentos!$F:$F,Lançamentos!$A:$A,BD$19,Lançamentos!$C:$C,"Receitas Financeiras")</f>
        <v>0</v>
      </c>
      <c r="BE25" s="37">
        <f>SUMIFS(Lançamentos!$F:$F,Lançamentos!$A:$A,BE$19,Lançamentos!$C:$C,"Receitas Financeiras")</f>
        <v>0</v>
      </c>
      <c r="BF25" s="37">
        <f>SUMIFS(Lançamentos!$F:$F,Lançamentos!$A:$A,BF$19,Lançamentos!$C:$C,"Receitas Financeiras")</f>
        <v>0</v>
      </c>
      <c r="BG25" s="37">
        <f>SUMIFS(Lançamentos!$F:$F,Lançamentos!$A:$A,BG$19,Lançamentos!$C:$C,"Receitas Financeiras")</f>
        <v>0</v>
      </c>
      <c r="BH25" s="37">
        <f>SUMIFS(Lançamentos!$F:$F,Lançamentos!$A:$A,BH$19,Lançamentos!$C:$C,"Receitas Financeiras")</f>
        <v>0</v>
      </c>
      <c r="BI25" s="37">
        <f>SUMIFS(Lançamentos!$F:$F,Lançamentos!$A:$A,BI$19,Lançamentos!$C:$C,"Receitas Financeiras")</f>
        <v>0</v>
      </c>
      <c r="BJ25" s="37">
        <f>SUMIFS(Lançamentos!$F:$F,Lançamentos!$A:$A,BJ$19,Lançamentos!$C:$C,"Receitas Financeiras")</f>
        <v>0</v>
      </c>
      <c r="BK25" s="37">
        <f>SUMIFS(Lançamentos!$F:$F,Lançamentos!$A:$A,BK$19,Lançamentos!$C:$C,"Receitas Financeiras")</f>
        <v>0</v>
      </c>
      <c r="BL25" s="37">
        <f>SUMIFS(Lançamentos!$F:$F,Lançamentos!$A:$A,BL$19,Lançamentos!$C:$C,"Receitas Financeiras")</f>
        <v>0</v>
      </c>
      <c r="BM25" s="37">
        <f>SUMIFS(Lançamentos!$F:$F,Lançamentos!$A:$A,BM$19,Lançamentos!$C:$C,"Receitas Financeiras")</f>
        <v>0</v>
      </c>
      <c r="BN25" s="37">
        <f>SUMIFS(Lançamentos!$F:$F,Lançamentos!$A:$A,BN$19,Lançamentos!$C:$C,"Receitas Financeiras")</f>
        <v>0</v>
      </c>
      <c r="BO25" s="37">
        <f>SUMIFS(Lançamentos!$F:$F,Lançamentos!$A:$A,BO$19,Lançamentos!$C:$C,"Receitas Financeiras")</f>
        <v>0</v>
      </c>
      <c r="BP25" s="37">
        <f>SUMIFS(Lançamentos!$F:$F,Lançamentos!$A:$A,BP$19,Lançamentos!$C:$C,"Receitas Financeiras")</f>
        <v>0</v>
      </c>
      <c r="BQ25" s="37">
        <f>SUMIFS(Lançamentos!$F:$F,Lançamentos!$A:$A,BQ$19,Lançamentos!$C:$C,"Receitas Financeiras")</f>
        <v>0</v>
      </c>
      <c r="BR25" s="37">
        <f>SUMIFS(Lançamentos!$F:$F,Lançamentos!$A:$A,BR$19,Lançamentos!$C:$C,"Receitas Financeiras")</f>
        <v>0</v>
      </c>
      <c r="BS25" s="37">
        <f>SUMIFS(Lançamentos!$F:$F,Lançamentos!$A:$A,BS$19,Lançamentos!$C:$C,"Receitas Financeiras")</f>
        <v>0</v>
      </c>
      <c r="BT25" s="37">
        <f>SUMIFS(Lançamentos!$F:$F,Lançamentos!$A:$A,BT$19,Lançamentos!$C:$C,"Receitas Financeiras")</f>
        <v>0</v>
      </c>
      <c r="BU25" s="37">
        <f>SUMIFS(Lançamentos!$F:$F,Lançamentos!$A:$A,BU$19,Lançamentos!$C:$C,"Receitas Financeiras")</f>
        <v>0</v>
      </c>
      <c r="BV25" s="37">
        <f>SUMIFS(Lançamentos!$F:$F,Lançamentos!$A:$A,BV$19,Lançamentos!$C:$C,"Receitas Financeiras")</f>
        <v>0</v>
      </c>
      <c r="BW25" s="37">
        <f>SUMIFS(Lançamentos!$F:$F,Lançamentos!$A:$A,BW$19,Lançamentos!$C:$C,"Receitas Financeiras")</f>
        <v>0</v>
      </c>
      <c r="BX25" s="37">
        <f>SUMIFS(Lançamentos!$F:$F,Lançamentos!$A:$A,BX$19,Lançamentos!$C:$C,"Receitas Financeiras")</f>
        <v>0</v>
      </c>
      <c r="BY25" s="37">
        <f>SUMIFS(Lançamentos!$F:$F,Lançamentos!$A:$A,BY$19,Lançamentos!$C:$C,"Receitas Financeiras")</f>
        <v>0</v>
      </c>
      <c r="BZ25" s="37">
        <f>SUMIFS(Lançamentos!$F:$F,Lançamentos!$A:$A,BZ$19,Lançamentos!$C:$C,"Receitas Financeiras")</f>
        <v>0</v>
      </c>
      <c r="CA25" s="37">
        <f>SUMIFS(Lançamentos!$F:$F,Lançamentos!$A:$A,CA$19,Lançamentos!$C:$C,"Receitas Financeiras")</f>
        <v>0</v>
      </c>
      <c r="CB25" s="37">
        <f>SUMIFS(Lançamentos!$F:$F,Lançamentos!$A:$A,CB$19,Lançamentos!$C:$C,"Receitas Financeiras")</f>
        <v>0</v>
      </c>
      <c r="CC25" s="37">
        <f>SUMIFS(Lançamentos!$F:$F,Lançamentos!$A:$A,CC$19,Lançamentos!$C:$C,"Receitas Financeiras")</f>
        <v>0</v>
      </c>
      <c r="CD25" s="37">
        <f>SUMIFS(Lançamentos!$F:$F,Lançamentos!$A:$A,CD$19,Lançamentos!$C:$C,"Receitas Financeiras")</f>
        <v>0</v>
      </c>
      <c r="CE25" s="37">
        <f>SUMIFS(Lançamentos!$F:$F,Lançamentos!$A:$A,CE$19,Lançamentos!$C:$C,"Receitas Financeiras")</f>
        <v>0</v>
      </c>
      <c r="CF25" s="37">
        <f>SUMIFS(Lançamentos!$F:$F,Lançamentos!$A:$A,CF$19,Lançamentos!$C:$C,"Receitas Financeiras")</f>
        <v>0</v>
      </c>
      <c r="CG25" s="37">
        <f>SUMIFS(Lançamentos!$F:$F,Lançamentos!$A:$A,CG$19,Lançamentos!$C:$C,"Receitas Financeiras")</f>
        <v>0</v>
      </c>
      <c r="CH25" s="37">
        <f>SUMIFS(Lançamentos!$F:$F,Lançamentos!$A:$A,CH$19,Lançamentos!$C:$C,"Receitas Financeiras")</f>
        <v>0</v>
      </c>
      <c r="CI25" s="37">
        <f>SUMIFS(Lançamentos!$F:$F,Lançamentos!$A:$A,CI$19,Lançamentos!$C:$C,"Receitas Financeiras")</f>
        <v>0</v>
      </c>
      <c r="CJ25" s="37">
        <f>SUMIFS(Lançamentos!$F:$F,Lançamentos!$A:$A,CJ$19,Lançamentos!$C:$C,"Receitas Financeiras")</f>
        <v>0</v>
      </c>
      <c r="CK25" s="37">
        <f>SUMIFS(Lançamentos!$F:$F,Lançamentos!$A:$A,CK$19,Lançamentos!$C:$C,"Receitas Financeiras")</f>
        <v>0</v>
      </c>
      <c r="CL25" s="37">
        <f>SUMIFS(Lançamentos!$F:$F,Lançamentos!$A:$A,CL$19,Lançamentos!$C:$C,"Receitas Financeiras")</f>
        <v>0</v>
      </c>
      <c r="CM25" s="37">
        <f>SUMIFS(Lançamentos!$F:$F,Lançamentos!$A:$A,CM$19,Lançamentos!$C:$C,"Receitas Financeiras")</f>
        <v>0</v>
      </c>
      <c r="CN25" s="37">
        <f>SUMIFS(Lançamentos!$F:$F,Lançamentos!$A:$A,CN$19,Lançamentos!$C:$C,"Receitas Financeiras")</f>
        <v>0</v>
      </c>
      <c r="CO25" s="37">
        <f>SUMIFS(Lançamentos!$F:$F,Lançamentos!$A:$A,CO$19,Lançamentos!$C:$C,"Receitas Financeiras")</f>
        <v>0</v>
      </c>
      <c r="CP25" s="37">
        <f>SUMIFS(Lançamentos!$F:$F,Lançamentos!$A:$A,CP$19,Lançamentos!$C:$C,"Receitas Financeiras")</f>
        <v>0</v>
      </c>
      <c r="CQ25" s="37">
        <f>SUMIFS(Lançamentos!$F:$F,Lançamentos!$A:$A,CQ$19,Lançamentos!$C:$C,"Receitas Financeiras")</f>
        <v>0</v>
      </c>
      <c r="CR25" s="37">
        <f>SUMIFS(Lançamentos!$F:$F,Lançamentos!$A:$A,CR$19,Lançamentos!$C:$C,"Receitas Financeiras")</f>
        <v>0</v>
      </c>
      <c r="CS25" s="37">
        <f>SUMIFS(Lançamentos!$F:$F,Lançamentos!$A:$A,CS$19,Lançamentos!$C:$C,"Receitas Financeiras")</f>
        <v>0</v>
      </c>
      <c r="CT25" s="37">
        <f>SUMIFS(Lançamentos!$F:$F,Lançamentos!$A:$A,CT$19,Lançamentos!$C:$C,"Receitas Financeiras")</f>
        <v>0</v>
      </c>
      <c r="CU25" s="37">
        <f>SUMIFS(Lançamentos!$F:$F,Lançamentos!$A:$A,CU$19,Lançamentos!$C:$C,"Receitas Financeiras")</f>
        <v>0</v>
      </c>
      <c r="CV25" s="37">
        <f>SUMIFS(Lançamentos!$F:$F,Lançamentos!$A:$A,CV$19,Lançamentos!$C:$C,"Receitas Financeiras")</f>
        <v>0</v>
      </c>
      <c r="CW25" s="37">
        <f>SUMIFS(Lançamentos!$F:$F,Lançamentos!$A:$A,CW$19,Lançamentos!$C:$C,"Receitas Financeiras")</f>
        <v>0</v>
      </c>
      <c r="CX25" s="37">
        <f>SUMIFS(Lançamentos!$F:$F,Lançamentos!$A:$A,CX$19,Lançamentos!$C:$C,"Receitas Financeiras")</f>
        <v>0</v>
      </c>
      <c r="CY25" s="37">
        <f>SUMIFS(Lançamentos!$F:$F,Lançamentos!$A:$A,CY$19,Lançamentos!$C:$C,"Receitas Financeiras")</f>
        <v>0</v>
      </c>
      <c r="CZ25" s="37">
        <f>SUMIFS(Lançamentos!$F:$F,Lançamentos!$A:$A,CZ$19,Lançamentos!$C:$C,"Receitas Financeiras")</f>
        <v>0</v>
      </c>
      <c r="DA25" s="37">
        <f>SUMIFS(Lançamentos!$F:$F,Lançamentos!$A:$A,DA$19,Lançamentos!$C:$C,"Receitas Financeiras")</f>
        <v>0</v>
      </c>
      <c r="DB25" s="37">
        <f>SUMIFS(Lançamentos!$F:$F,Lançamentos!$A:$A,DB$19,Lançamentos!$C:$C,"Receitas Financeiras")</f>
        <v>0</v>
      </c>
      <c r="DC25" s="37">
        <f>SUMIFS(Lançamentos!$F:$F,Lançamentos!$A:$A,DC$19,Lançamentos!$C:$C,"Receitas Financeiras")</f>
        <v>0</v>
      </c>
      <c r="DD25" s="37">
        <f>SUMIFS(Lançamentos!$F:$F,Lançamentos!$A:$A,DD$19,Lançamentos!$C:$C,"Receitas Financeiras")</f>
        <v>0</v>
      </c>
      <c r="DE25" s="37">
        <f>SUMIFS(Lançamentos!$F:$F,Lançamentos!$A:$A,DE$19,Lançamentos!$C:$C,"Receitas Financeiras")</f>
        <v>0</v>
      </c>
      <c r="DF25" s="37">
        <f>SUMIFS(Lançamentos!$F:$F,Lançamentos!$A:$A,DF$19,Lançamentos!$C:$C,"Receitas Financeiras")</f>
        <v>0</v>
      </c>
      <c r="DG25" s="37">
        <f>SUMIFS(Lançamentos!$F:$F,Lançamentos!$A:$A,DG$19,Lançamentos!$C:$C,"Receitas Financeiras")</f>
        <v>0</v>
      </c>
      <c r="DH25" s="37">
        <f>SUMIFS(Lançamentos!$F:$F,Lançamentos!$A:$A,DH$19,Lançamentos!$C:$C,"Receitas Financeiras")</f>
        <v>0</v>
      </c>
      <c r="DI25" s="37">
        <f>SUMIFS(Lançamentos!$F:$F,Lançamentos!$A:$A,DI$19,Lançamentos!$C:$C,"Receitas Financeiras")</f>
        <v>0</v>
      </c>
      <c r="DJ25" s="37">
        <f>SUMIFS(Lançamentos!$F:$F,Lançamentos!$A:$A,DJ$19,Lançamentos!$C:$C,"Receitas Financeiras")</f>
        <v>0</v>
      </c>
      <c r="DK25" s="37">
        <f>SUMIFS(Lançamentos!$F:$F,Lançamentos!$A:$A,DK$19,Lançamentos!$C:$C,"Receitas Financeiras")</f>
        <v>0</v>
      </c>
      <c r="DL25" s="37">
        <f>SUMIFS(Lançamentos!$F:$F,Lançamentos!$A:$A,DL$19,Lançamentos!$C:$C,"Receitas Financeiras")</f>
        <v>0</v>
      </c>
      <c r="DM25" s="37">
        <f>SUMIFS(Lançamentos!$F:$F,Lançamentos!$A:$A,DM$19,Lançamentos!$C:$C,"Receitas Financeiras")</f>
        <v>0</v>
      </c>
      <c r="DN25" s="37">
        <f>SUMIFS(Lançamentos!$F:$F,Lançamentos!$A:$A,DN$19,Lançamentos!$C:$C,"Receitas Financeiras")</f>
        <v>0</v>
      </c>
      <c r="DO25" s="37">
        <f>SUMIFS(Lançamentos!$F:$F,Lançamentos!$A:$A,DO$19,Lançamentos!$C:$C,"Receitas Financeiras")</f>
        <v>0</v>
      </c>
      <c r="DP25" s="37">
        <f>SUMIFS(Lançamentos!$F:$F,Lançamentos!$A:$A,DP$19,Lançamentos!$C:$C,"Receitas Financeiras")</f>
        <v>0</v>
      </c>
      <c r="DQ25" s="37">
        <f>SUMIFS(Lançamentos!$F:$F,Lançamentos!$A:$A,DQ$19,Lançamentos!$C:$C,"Receitas Financeiras")</f>
        <v>0</v>
      </c>
      <c r="DR25" s="37">
        <f>SUMIFS(Lançamentos!$F:$F,Lançamentos!$A:$A,DR$19,Lançamentos!$C:$C,"Receitas Financeiras")</f>
        <v>0</v>
      </c>
      <c r="DS25" s="37">
        <f>SUMIFS(Lançamentos!$F:$F,Lançamentos!$A:$A,DS$19,Lançamentos!$C:$C,"Receitas Financeiras")</f>
        <v>0</v>
      </c>
      <c r="DT25" s="37">
        <f>SUMIFS(Lançamentos!$F:$F,Lançamentos!$A:$A,DT$19,Lançamentos!$C:$C,"Receitas Financeiras")</f>
        <v>0</v>
      </c>
      <c r="DU25" s="37">
        <f>SUMIFS(Lançamentos!$F:$F,Lançamentos!$A:$A,DU$19,Lançamentos!$C:$C,"Receitas Financeiras")</f>
        <v>0</v>
      </c>
      <c r="DV25" s="37">
        <f>SUMIFS(Lançamentos!$F:$F,Lançamentos!$A:$A,DV$19,Lançamentos!$C:$C,"Receitas Financeiras")</f>
        <v>0</v>
      </c>
      <c r="DW25" s="37">
        <f>SUMIFS(Lançamentos!$F:$F,Lançamentos!$A:$A,DW$19,Lançamentos!$C:$C,"Receitas Financeiras")</f>
        <v>0</v>
      </c>
      <c r="DX25" s="37">
        <f>SUMIFS(Lançamentos!$F:$F,Lançamentos!$A:$A,DX$19,Lançamentos!$C:$C,"Receitas Financeiras")</f>
        <v>0</v>
      </c>
      <c r="DY25" s="37">
        <f>SUMIFS(Lançamentos!$F:$F,Lançamentos!$A:$A,DY$19,Lançamentos!$C:$C,"Receitas Financeiras")</f>
        <v>0</v>
      </c>
      <c r="DZ25" s="37">
        <f>SUMIFS(Lançamentos!$F:$F,Lançamentos!$A:$A,DZ$19,Lançamentos!$C:$C,"Receitas Financeiras")</f>
        <v>0</v>
      </c>
      <c r="EA25" s="37">
        <f>SUMIFS(Lançamentos!$F:$F,Lançamentos!$A:$A,EA$19,Lançamentos!$C:$C,"Receitas Financeiras")</f>
        <v>0</v>
      </c>
      <c r="EB25" s="37">
        <f>SUMIFS(Lançamentos!$F:$F,Lançamentos!$A:$A,EB$19,Lançamentos!$C:$C,"Receitas Financeiras")</f>
        <v>0</v>
      </c>
      <c r="EC25" s="37">
        <f>SUMIFS(Lançamentos!$F:$F,Lançamentos!$A:$A,EC$19,Lançamentos!$C:$C,"Receitas Financeiras")</f>
        <v>0</v>
      </c>
      <c r="ED25" s="37">
        <f>SUMIFS(Lançamentos!$F:$F,Lançamentos!$A:$A,ED$19,Lançamentos!$C:$C,"Receitas Financeiras")</f>
        <v>0</v>
      </c>
      <c r="EE25" s="37">
        <f>SUMIFS(Lançamentos!$F:$F,Lançamentos!$A:$A,EE$19,Lançamentos!$C:$C,"Receitas Financeiras")</f>
        <v>0</v>
      </c>
      <c r="EF25" s="37">
        <f>SUMIFS(Lançamentos!$F:$F,Lançamentos!$A:$A,EF$19,Lançamentos!$C:$C,"Receitas Financeiras")</f>
        <v>0</v>
      </c>
      <c r="EG25" s="37">
        <f>SUMIFS(Lançamentos!$F:$F,Lançamentos!$A:$A,EG$19,Lançamentos!$C:$C,"Receitas Financeiras")</f>
        <v>0</v>
      </c>
      <c r="EH25" s="37">
        <f>SUMIFS(Lançamentos!$F:$F,Lançamentos!$A:$A,EH$19,Lançamentos!$C:$C,"Receitas Financeiras")</f>
        <v>0</v>
      </c>
      <c r="EI25" s="37">
        <f>SUMIFS(Lançamentos!$F:$F,Lançamentos!$A:$A,EI$19,Lançamentos!$C:$C,"Receitas Financeiras")</f>
        <v>0</v>
      </c>
      <c r="EJ25" s="37">
        <f>SUMIFS(Lançamentos!$F:$F,Lançamentos!$A:$A,EJ$19,Lançamentos!$C:$C,"Receitas Financeiras")</f>
        <v>0</v>
      </c>
      <c r="EK25" s="37">
        <f>SUMIFS(Lançamentos!$F:$F,Lançamentos!$A:$A,EK$19,Lançamentos!$C:$C,"Receitas Financeiras")</f>
        <v>0</v>
      </c>
      <c r="EL25" s="37">
        <f>SUMIFS(Lançamentos!$F:$F,Lançamentos!$A:$A,EL$19,Lançamentos!$C:$C,"Receitas Financeiras")</f>
        <v>0</v>
      </c>
      <c r="EM25" s="37">
        <f>SUMIFS(Lançamentos!$F:$F,Lançamentos!$A:$A,EM$19,Lançamentos!$C:$C,"Receitas Financeiras")</f>
        <v>0</v>
      </c>
      <c r="EN25" s="37">
        <f>SUMIFS(Lançamentos!$F:$F,Lançamentos!$A:$A,EN$19,Lançamentos!$C:$C,"Receitas Financeiras")</f>
        <v>0</v>
      </c>
      <c r="EO25" s="37">
        <f>SUMIFS(Lançamentos!$F:$F,Lançamentos!$A:$A,EO$19,Lançamentos!$C:$C,"Receitas Financeiras")</f>
        <v>0</v>
      </c>
      <c r="EP25" s="37">
        <f>SUMIFS(Lançamentos!$F:$F,Lançamentos!$A:$A,EP$19,Lançamentos!$C:$C,"Receitas Financeiras")</f>
        <v>0</v>
      </c>
      <c r="EQ25" s="37">
        <f>SUMIFS(Lançamentos!$F:$F,Lançamentos!$A:$A,EQ$19,Lançamentos!$C:$C,"Receitas Financeiras")</f>
        <v>0</v>
      </c>
      <c r="ER25" s="37">
        <f>SUMIFS(Lançamentos!$F:$F,Lançamentos!$A:$A,ER$19,Lançamentos!$C:$C,"Receitas Financeiras")</f>
        <v>0</v>
      </c>
      <c r="ES25" s="37">
        <f>SUMIFS(Lançamentos!$F:$F,Lançamentos!$A:$A,ES$19,Lançamentos!$C:$C,"Receitas Financeiras")</f>
        <v>0</v>
      </c>
      <c r="ET25" s="37">
        <f>SUMIFS(Lançamentos!$F:$F,Lançamentos!$A:$A,ET$19,Lançamentos!$C:$C,"Receitas Financeiras")</f>
        <v>0</v>
      </c>
      <c r="EU25" s="37">
        <f>SUMIFS(Lançamentos!$F:$F,Lançamentos!$A:$A,EU$19,Lançamentos!$C:$C,"Receitas Financeiras")</f>
        <v>0</v>
      </c>
      <c r="EV25" s="37">
        <f>SUMIFS(Lançamentos!$F:$F,Lançamentos!$A:$A,EV$19,Lançamentos!$C:$C,"Receitas Financeiras")</f>
        <v>0</v>
      </c>
      <c r="EW25" s="37">
        <f>SUMIFS(Lançamentos!$F:$F,Lançamentos!$A:$A,EW$19,Lançamentos!$C:$C,"Receitas Financeiras")</f>
        <v>0</v>
      </c>
      <c r="EX25" s="37">
        <f>SUMIFS(Lançamentos!$F:$F,Lançamentos!$A:$A,EX$19,Lançamentos!$C:$C,"Receitas Financeiras")</f>
        <v>0</v>
      </c>
      <c r="EY25" s="37">
        <f>SUMIFS(Lançamentos!$F:$F,Lançamentos!$A:$A,EY$19,Lançamentos!$C:$C,"Receitas Financeiras")</f>
        <v>0</v>
      </c>
      <c r="EZ25" s="37">
        <f>SUMIFS(Lançamentos!$F:$F,Lançamentos!$A:$A,EZ$19,Lançamentos!$C:$C,"Receitas Financeiras")</f>
        <v>0</v>
      </c>
      <c r="FA25" s="37">
        <f>SUMIFS(Lançamentos!$F:$F,Lançamentos!$A:$A,FA$19,Lançamentos!$C:$C,"Receitas Financeiras")</f>
        <v>0</v>
      </c>
      <c r="FB25" s="37">
        <f>SUMIFS(Lançamentos!$F:$F,Lançamentos!$A:$A,FB$19,Lançamentos!$C:$C,"Receitas Financeiras")</f>
        <v>0</v>
      </c>
      <c r="FC25" s="37">
        <f>SUMIFS(Lançamentos!$F:$F,Lançamentos!$A:$A,FC$19,Lançamentos!$C:$C,"Receitas Financeiras")</f>
        <v>0</v>
      </c>
      <c r="FD25" s="37">
        <f>SUMIFS(Lançamentos!$F:$F,Lançamentos!$A:$A,FD$19,Lançamentos!$C:$C,"Receitas Financeiras")</f>
        <v>0</v>
      </c>
      <c r="FE25" s="37">
        <f>SUMIFS(Lançamentos!$F:$F,Lançamentos!$A:$A,FE$19,Lançamentos!$C:$C,"Receitas Financeiras")</f>
        <v>0</v>
      </c>
      <c r="FF25" s="37">
        <f>SUMIFS(Lançamentos!$F:$F,Lançamentos!$A:$A,FF$19,Lançamentos!$C:$C,"Receitas Financeiras")</f>
        <v>0</v>
      </c>
      <c r="FG25" s="37">
        <f>SUMIFS(Lançamentos!$F:$F,Lançamentos!$A:$A,FG$19,Lançamentos!$C:$C,"Receitas Financeiras")</f>
        <v>0</v>
      </c>
      <c r="FH25" s="37">
        <f>SUMIFS(Lançamentos!$F:$F,Lançamentos!$A:$A,FH$19,Lançamentos!$C:$C,"Receitas Financeiras")</f>
        <v>0</v>
      </c>
      <c r="FI25" s="37">
        <f>SUMIFS(Lançamentos!$F:$F,Lançamentos!$A:$A,FI$19,Lançamentos!$C:$C,"Receitas Financeiras")</f>
        <v>0</v>
      </c>
      <c r="FJ25" s="37">
        <f>SUMIFS(Lançamentos!$F:$F,Lançamentos!$A:$A,FJ$19,Lançamentos!$C:$C,"Receitas Financeiras")</f>
        <v>0</v>
      </c>
      <c r="FK25" s="37">
        <f>SUMIFS(Lançamentos!$F:$F,Lançamentos!$A:$A,FK$19,Lançamentos!$C:$C,"Receitas Financeiras")</f>
        <v>0</v>
      </c>
      <c r="FL25" s="37">
        <f>SUMIFS(Lançamentos!$F:$F,Lançamentos!$A:$A,FL$19,Lançamentos!$C:$C,"Receitas Financeiras")</f>
        <v>0</v>
      </c>
      <c r="FM25" s="37">
        <f>SUMIFS(Lançamentos!$F:$F,Lançamentos!$A:$A,FM$19,Lançamentos!$C:$C,"Receitas Financeiras")</f>
        <v>0</v>
      </c>
      <c r="FN25" s="37">
        <f>SUMIFS(Lançamentos!$F:$F,Lançamentos!$A:$A,FN$19,Lançamentos!$C:$C,"Receitas Financeiras")</f>
        <v>0</v>
      </c>
      <c r="FO25" s="37">
        <f>SUMIFS(Lançamentos!$F:$F,Lançamentos!$A:$A,FO$19,Lançamentos!$C:$C,"Receitas Financeiras")</f>
        <v>0</v>
      </c>
      <c r="FP25" s="37">
        <f>SUMIFS(Lançamentos!$F:$F,Lançamentos!$A:$A,FP$19,Lançamentos!$C:$C,"Receitas Financeiras")</f>
        <v>0</v>
      </c>
      <c r="FQ25" s="37">
        <f>SUMIFS(Lançamentos!$F:$F,Lançamentos!$A:$A,FQ$19,Lançamentos!$C:$C,"Receitas Financeiras")</f>
        <v>0</v>
      </c>
      <c r="FR25" s="37">
        <f>SUMIFS(Lançamentos!$F:$F,Lançamentos!$A:$A,FR$19,Lançamentos!$C:$C,"Receitas Financeiras")</f>
        <v>0</v>
      </c>
      <c r="FS25" s="37">
        <f>SUMIFS(Lançamentos!$F:$F,Lançamentos!$A:$A,FS$19,Lançamentos!$C:$C,"Receitas Financeiras")</f>
        <v>0</v>
      </c>
      <c r="FT25" s="37">
        <f>SUMIFS(Lançamentos!$F:$F,Lançamentos!$A:$A,FT$19,Lançamentos!$C:$C,"Receitas Financeiras")</f>
        <v>0</v>
      </c>
      <c r="FU25" s="37">
        <f>SUMIFS(Lançamentos!$F:$F,Lançamentos!$A:$A,FU$19,Lançamentos!$C:$C,"Receitas Financeiras")</f>
        <v>0</v>
      </c>
      <c r="FV25" s="37">
        <f>SUMIFS(Lançamentos!$F:$F,Lançamentos!$A:$A,FV$19,Lançamentos!$C:$C,"Receitas Financeiras")</f>
        <v>0</v>
      </c>
      <c r="FW25" s="37">
        <f>SUMIFS(Lançamentos!$F:$F,Lançamentos!$A:$A,FW$19,Lançamentos!$C:$C,"Receitas Financeiras")</f>
        <v>0</v>
      </c>
      <c r="FX25" s="37">
        <f>SUMIFS(Lançamentos!$F:$F,Lançamentos!$A:$A,FX$19,Lançamentos!$C:$C,"Receitas Financeiras")</f>
        <v>0</v>
      </c>
      <c r="FY25" s="37">
        <f>SUMIFS(Lançamentos!$F:$F,Lançamentos!$A:$A,FY$19,Lançamentos!$C:$C,"Receitas Financeiras")</f>
        <v>0</v>
      </c>
      <c r="FZ25" s="37">
        <f>SUMIFS(Lançamentos!$F:$F,Lançamentos!$A:$A,FZ$19,Lançamentos!$C:$C,"Receitas Financeiras")</f>
        <v>0</v>
      </c>
      <c r="GA25" s="37">
        <f>SUMIFS(Lançamentos!$F:$F,Lançamentos!$A:$A,GA$19,Lançamentos!$C:$C,"Receitas Financeiras")</f>
        <v>0</v>
      </c>
      <c r="GB25" s="37">
        <f>SUMIFS(Lançamentos!$F:$F,Lançamentos!$A:$A,GB$19,Lançamentos!$C:$C,"Receitas Financeiras")</f>
        <v>0</v>
      </c>
      <c r="GC25" s="37">
        <f>SUMIFS(Lançamentos!$F:$F,Lançamentos!$A:$A,GC$19,Lançamentos!$C:$C,"Receitas Financeiras")</f>
        <v>0</v>
      </c>
      <c r="GD25" s="37">
        <f>SUMIFS(Lançamentos!$F:$F,Lançamentos!$A:$A,GD$19,Lançamentos!$C:$C,"Receitas Financeiras")</f>
        <v>0</v>
      </c>
      <c r="GE25" s="37">
        <f>SUMIFS(Lançamentos!$F:$F,Lançamentos!$A:$A,GE$19,Lançamentos!$C:$C,"Receitas Financeiras")</f>
        <v>0</v>
      </c>
      <c r="GF25" s="37">
        <f>SUMIFS(Lançamentos!$F:$F,Lançamentos!$A:$A,GF$19,Lançamentos!$C:$C,"Receitas Financeiras")</f>
        <v>0</v>
      </c>
      <c r="GG25" s="37">
        <f>SUMIFS(Lançamentos!$F:$F,Lançamentos!$A:$A,GG$19,Lançamentos!$C:$C,"Receitas Financeiras")</f>
        <v>0</v>
      </c>
      <c r="GH25" s="37">
        <f>SUMIFS(Lançamentos!$F:$F,Lançamentos!$A:$A,GH$19,Lançamentos!$C:$C,"Receitas Financeiras")</f>
        <v>0</v>
      </c>
      <c r="GI25" s="37">
        <f>SUMIFS(Lançamentos!$F:$F,Lançamentos!$A:$A,GI$19,Lançamentos!$C:$C,"Receitas Financeiras")</f>
        <v>0</v>
      </c>
      <c r="GJ25" s="37">
        <f>SUMIFS(Lançamentos!$F:$F,Lançamentos!$A:$A,GJ$19,Lançamentos!$C:$C,"Receitas Financeiras")</f>
        <v>0</v>
      </c>
      <c r="GK25" s="37">
        <f>SUMIFS(Lançamentos!$F:$F,Lançamentos!$A:$A,GK$19,Lançamentos!$C:$C,"Receitas Financeiras")</f>
        <v>0</v>
      </c>
      <c r="GL25" s="37">
        <f>SUMIFS(Lançamentos!$F:$F,Lançamentos!$A:$A,GL$19,Lançamentos!$C:$C,"Receitas Financeiras")</f>
        <v>0</v>
      </c>
      <c r="GM25" s="37">
        <f>SUMIFS(Lançamentos!$F:$F,Lançamentos!$A:$A,GM$19,Lançamentos!$C:$C,"Receitas Financeiras")</f>
        <v>0</v>
      </c>
      <c r="GN25" s="37">
        <f>SUMIFS(Lançamentos!$F:$F,Lançamentos!$A:$A,GN$19,Lançamentos!$C:$C,"Receitas Financeiras")</f>
        <v>0</v>
      </c>
      <c r="GO25" s="37">
        <f>SUMIFS(Lançamentos!$F:$F,Lançamentos!$A:$A,GO$19,Lançamentos!$C:$C,"Receitas Financeiras")</f>
        <v>0</v>
      </c>
      <c r="GP25" s="37">
        <f>SUMIFS(Lançamentos!$F:$F,Lançamentos!$A:$A,GP$19,Lançamentos!$C:$C,"Receitas Financeiras")</f>
        <v>0</v>
      </c>
      <c r="GQ25" s="37">
        <f>SUMIFS(Lançamentos!$F:$F,Lançamentos!$A:$A,GQ$19,Lançamentos!$C:$C,"Receitas Financeiras")</f>
        <v>0</v>
      </c>
      <c r="GR25" s="37">
        <f>SUMIFS(Lançamentos!$F:$F,Lançamentos!$A:$A,GR$19,Lançamentos!$C:$C,"Receitas Financeiras")</f>
        <v>0</v>
      </c>
      <c r="GS25" s="37">
        <f>SUMIFS(Lançamentos!$F:$F,Lançamentos!$A:$A,GS$19,Lançamentos!$C:$C,"Receitas Financeiras")</f>
        <v>0</v>
      </c>
      <c r="GT25" s="37">
        <f>SUMIFS(Lançamentos!$F:$F,Lançamentos!$A:$A,GT$19,Lançamentos!$C:$C,"Receitas Financeiras")</f>
        <v>0</v>
      </c>
      <c r="GU25" s="37">
        <f>SUMIFS(Lançamentos!$F:$F,Lançamentos!$A:$A,GU$19,Lançamentos!$C:$C,"Receitas Financeiras")</f>
        <v>0</v>
      </c>
      <c r="GV25" s="37">
        <f>SUMIFS(Lançamentos!$F:$F,Lançamentos!$A:$A,GV$19,Lançamentos!$C:$C,"Receitas Financeiras")</f>
        <v>0</v>
      </c>
      <c r="GW25" s="37">
        <f>SUMIFS(Lançamentos!$F:$F,Lançamentos!$A:$A,GW$19,Lançamentos!$C:$C,"Receitas Financeiras")</f>
        <v>0</v>
      </c>
      <c r="GX25" s="37">
        <f>SUMIFS(Lançamentos!$F:$F,Lançamentos!$A:$A,GX$19,Lançamentos!$C:$C,"Receitas Financeiras")</f>
        <v>0</v>
      </c>
      <c r="GY25" s="37">
        <f>SUMIFS(Lançamentos!$F:$F,Lançamentos!$A:$A,GY$19,Lançamentos!$C:$C,"Receitas Financeiras")</f>
        <v>0</v>
      </c>
      <c r="GZ25" s="37">
        <f>SUMIFS(Lançamentos!$F:$F,Lançamentos!$A:$A,GZ$19,Lançamentos!$C:$C,"Receitas Financeiras")</f>
        <v>0</v>
      </c>
      <c r="HA25" s="37">
        <f>SUMIFS(Lançamentos!$F:$F,Lançamentos!$A:$A,HA$19,Lançamentos!$C:$C,"Receitas Financeiras")</f>
        <v>0</v>
      </c>
      <c r="HB25" s="37">
        <f>SUMIFS(Lançamentos!$F:$F,Lançamentos!$A:$A,HB$19,Lançamentos!$C:$C,"Receitas Financeiras")</f>
        <v>0</v>
      </c>
      <c r="HC25" s="37">
        <f>SUMIFS(Lançamentos!$F:$F,Lançamentos!$A:$A,HC$19,Lançamentos!$C:$C,"Receitas Financeiras")</f>
        <v>0</v>
      </c>
      <c r="HD25" s="37">
        <f>SUMIFS(Lançamentos!$F:$F,Lançamentos!$A:$A,HD$19,Lançamentos!$C:$C,"Receitas Financeiras")</f>
        <v>0</v>
      </c>
      <c r="HE25" s="37">
        <f>SUMIFS(Lançamentos!$F:$F,Lançamentos!$A:$A,HE$19,Lançamentos!$C:$C,"Receitas Financeiras")</f>
        <v>0</v>
      </c>
      <c r="HF25" s="37">
        <f>SUMIFS(Lançamentos!$F:$F,Lançamentos!$A:$A,HF$19,Lançamentos!$C:$C,"Receitas Financeiras")</f>
        <v>0</v>
      </c>
      <c r="HG25" s="37">
        <f>SUMIFS(Lançamentos!$F:$F,Lançamentos!$A:$A,HG$19,Lançamentos!$C:$C,"Receitas Financeiras")</f>
        <v>0</v>
      </c>
      <c r="HH25" s="37">
        <f>SUMIFS(Lançamentos!$F:$F,Lançamentos!$A:$A,HH$19,Lançamentos!$C:$C,"Receitas Financeiras")</f>
        <v>0</v>
      </c>
      <c r="HI25" s="37">
        <f>SUMIFS(Lançamentos!$F:$F,Lançamentos!$A:$A,HI$19,Lançamentos!$C:$C,"Receitas Financeiras")</f>
        <v>0</v>
      </c>
      <c r="HJ25" s="37">
        <f>SUMIFS(Lançamentos!$F:$F,Lançamentos!$A:$A,HJ$19,Lançamentos!$C:$C,"Receitas Financeiras")</f>
        <v>0</v>
      </c>
      <c r="HK25" s="37">
        <f>SUMIFS(Lançamentos!$F:$F,Lançamentos!$A:$A,HK$19,Lançamentos!$C:$C,"Receitas Financeiras")</f>
        <v>0</v>
      </c>
      <c r="HL25" s="37">
        <f>SUMIFS(Lançamentos!$F:$F,Lançamentos!$A:$A,HL$19,Lançamentos!$C:$C,"Receitas Financeiras")</f>
        <v>0</v>
      </c>
      <c r="HM25" s="37">
        <f>SUMIFS(Lançamentos!$F:$F,Lançamentos!$A:$A,HM$19,Lançamentos!$C:$C,"Receitas Financeiras")</f>
        <v>0</v>
      </c>
      <c r="HN25" s="37">
        <f>SUMIFS(Lançamentos!$F:$F,Lançamentos!$A:$A,HN$19,Lançamentos!$C:$C,"Receitas Financeiras")</f>
        <v>0</v>
      </c>
      <c r="HO25" s="37">
        <f>SUMIFS(Lançamentos!$F:$F,Lançamentos!$A:$A,HO$19,Lançamentos!$C:$C,"Receitas Financeiras")</f>
        <v>0</v>
      </c>
      <c r="HP25" s="37">
        <f>SUMIFS(Lançamentos!$F:$F,Lançamentos!$A:$A,HP$19,Lançamentos!$C:$C,"Receitas Financeiras")</f>
        <v>0</v>
      </c>
      <c r="HQ25" s="37">
        <f>SUMIFS(Lançamentos!$F:$F,Lançamentos!$A:$A,HQ$19,Lançamentos!$C:$C,"Receitas Financeiras")</f>
        <v>0</v>
      </c>
      <c r="HR25" s="37">
        <f>SUMIFS(Lançamentos!$F:$F,Lançamentos!$A:$A,HR$19,Lançamentos!$C:$C,"Receitas Financeiras")</f>
        <v>0</v>
      </c>
      <c r="HS25" s="37">
        <f>SUMIFS(Lançamentos!$F:$F,Lançamentos!$A:$A,HS$19,Lançamentos!$C:$C,"Receitas Financeiras")</f>
        <v>0</v>
      </c>
      <c r="HT25" s="37">
        <f>SUMIFS(Lançamentos!$F:$F,Lançamentos!$A:$A,HT$19,Lançamentos!$C:$C,"Receitas Financeiras")</f>
        <v>0</v>
      </c>
      <c r="HU25" s="37">
        <f>SUMIFS(Lançamentos!$F:$F,Lançamentos!$A:$A,HU$19,Lançamentos!$C:$C,"Receitas Financeiras")</f>
        <v>0</v>
      </c>
      <c r="HV25" s="37">
        <f>SUMIFS(Lançamentos!$F:$F,Lançamentos!$A:$A,HV$19,Lançamentos!$C:$C,"Receitas Financeiras")</f>
        <v>0</v>
      </c>
      <c r="HW25" s="37">
        <f>SUMIFS(Lançamentos!$F:$F,Lançamentos!$A:$A,HW$19,Lançamentos!$C:$C,"Receitas Financeiras")</f>
        <v>0</v>
      </c>
      <c r="HX25" s="37">
        <f>SUMIFS(Lançamentos!$F:$F,Lançamentos!$A:$A,HX$19,Lançamentos!$C:$C,"Receitas Financeiras")</f>
        <v>0</v>
      </c>
      <c r="HY25" s="37">
        <f>SUMIFS(Lançamentos!$F:$F,Lançamentos!$A:$A,HY$19,Lançamentos!$C:$C,"Receitas Financeiras")</f>
        <v>0</v>
      </c>
      <c r="HZ25" s="37">
        <f>SUMIFS(Lançamentos!$F:$F,Lançamentos!$A:$A,HZ$19,Lançamentos!$C:$C,"Receitas Financeiras")</f>
        <v>0</v>
      </c>
      <c r="IA25" s="37">
        <f>SUMIFS(Lançamentos!$F:$F,Lançamentos!$A:$A,IA$19,Lançamentos!$C:$C,"Receitas Financeiras")</f>
        <v>0</v>
      </c>
      <c r="IB25" s="37">
        <f>SUMIFS(Lançamentos!$F:$F,Lançamentos!$A:$A,IB$19,Lançamentos!$C:$C,"Receitas Financeiras")</f>
        <v>0</v>
      </c>
      <c r="IC25" s="37">
        <f>SUMIFS(Lançamentos!$F:$F,Lançamentos!$A:$A,IC$19,Lançamentos!$C:$C,"Receitas Financeiras")</f>
        <v>0</v>
      </c>
      <c r="ID25" s="37">
        <f>SUMIFS(Lançamentos!$F:$F,Lançamentos!$A:$A,ID$19,Lançamentos!$C:$C,"Receitas Financeiras")</f>
        <v>0</v>
      </c>
      <c r="IE25" s="37">
        <f>SUMIFS(Lançamentos!$F:$F,Lançamentos!$A:$A,IE$19,Lançamentos!$C:$C,"Receitas Financeiras")</f>
        <v>0</v>
      </c>
      <c r="IF25" s="37">
        <f>SUMIFS(Lançamentos!$F:$F,Lançamentos!$A:$A,IF$19,Lançamentos!$C:$C,"Receitas Financeiras")</f>
        <v>0</v>
      </c>
      <c r="IG25" s="37">
        <f>SUMIFS(Lançamentos!$F:$F,Lançamentos!$A:$A,IG$19,Lançamentos!$C:$C,"Receitas Financeiras")</f>
        <v>0</v>
      </c>
      <c r="IH25" s="37">
        <f>SUMIFS(Lançamentos!$F:$F,Lançamentos!$A:$A,IH$19,Lançamentos!$C:$C,"Receitas Financeiras")</f>
        <v>0</v>
      </c>
      <c r="II25" s="37">
        <f>SUMIFS(Lançamentos!$F:$F,Lançamentos!$A:$A,II$19,Lançamentos!$C:$C,"Receitas Financeiras")</f>
        <v>0</v>
      </c>
      <c r="IJ25" s="37">
        <f>SUMIFS(Lançamentos!$F:$F,Lançamentos!$A:$A,IJ$19,Lançamentos!$C:$C,"Receitas Financeiras")</f>
        <v>0</v>
      </c>
      <c r="IK25" s="37">
        <f>SUMIFS(Lançamentos!$F:$F,Lançamentos!$A:$A,IK$19,Lançamentos!$C:$C,"Receitas Financeiras")</f>
        <v>0</v>
      </c>
      <c r="IL25" s="37">
        <f>SUMIFS(Lançamentos!$F:$F,Lançamentos!$A:$A,IL$19,Lançamentos!$C:$C,"Receitas Financeiras")</f>
        <v>0</v>
      </c>
    </row>
    <row r="26" spans="1:246" x14ac:dyDescent="0.3">
      <c r="A26" t="s">
        <v>81</v>
      </c>
      <c r="B26" s="37">
        <f>SUMIFS(Lançamentos!$F:$F,Lançamentos!$A:$A,B$19,Lançamentos!$C:$C,"Recebimento de Clientes")</f>
        <v>0</v>
      </c>
      <c r="C26" s="37">
        <f>SUMIFS(Lançamentos!$F:$F,Lançamentos!$A:$A,C$19,Lançamentos!$C:$C,"Recebimento de Clientes")</f>
        <v>0</v>
      </c>
      <c r="D26" s="37">
        <f>SUMIFS(Lançamentos!$F:$F,Lançamentos!$A:$A,D$19,Lançamentos!$C:$C,"Recebimento de Clientes")</f>
        <v>0</v>
      </c>
      <c r="E26" s="37">
        <f>SUMIFS(Lançamentos!$F:$F,Lançamentos!$A:$A,E$19,Lançamentos!$C:$C,"Recebimento de Clientes")</f>
        <v>0</v>
      </c>
      <c r="F26" s="37">
        <f>SUMIFS(Lançamentos!$F:$F,Lançamentos!$A:$A,F$19,Lançamentos!$C:$C,"Recebimento de Clientes")</f>
        <v>0</v>
      </c>
      <c r="G26" s="37">
        <f>SUMIFS(Lançamentos!$F:$F,Lançamentos!$A:$A,G$19,Lançamentos!$C:$C,"Recebimento de Clientes")</f>
        <v>0</v>
      </c>
      <c r="H26" s="37">
        <f>SUMIFS(Lançamentos!$F:$F,Lançamentos!$A:$A,H$19,Lançamentos!$C:$C,"Recebimento de Clientes")</f>
        <v>0</v>
      </c>
      <c r="I26" s="37">
        <f>SUMIFS(Lançamentos!$F:$F,Lançamentos!$A:$A,I$19,Lançamentos!$C:$C,"Recebimento de Clientes")</f>
        <v>0</v>
      </c>
      <c r="J26" s="37">
        <f>SUMIFS(Lançamentos!$F:$F,Lançamentos!$A:$A,J$19,Lançamentos!$C:$C,"Recebimento de Clientes")</f>
        <v>0</v>
      </c>
      <c r="K26" s="37">
        <f>SUMIFS(Lançamentos!$F:$F,Lançamentos!$A:$A,K$19,Lançamentos!$C:$C,"Recebimento de Clientes")</f>
        <v>0</v>
      </c>
      <c r="L26" s="37">
        <f>SUMIFS(Lançamentos!$F:$F,Lançamentos!$A:$A,L$19,Lançamentos!$C:$C,"Recebimento de Clientes")</f>
        <v>0</v>
      </c>
      <c r="M26" s="37">
        <f>SUMIFS(Lançamentos!$F:$F,Lançamentos!$A:$A,M$19,Lançamentos!$C:$C,"Recebimento de Clientes")</f>
        <v>0</v>
      </c>
      <c r="N26" s="37">
        <f>SUMIFS(Lançamentos!$F:$F,Lançamentos!$A:$A,N$19,Lançamentos!$C:$C,"Recebimento de Clientes")</f>
        <v>0</v>
      </c>
      <c r="O26" s="37">
        <f>SUMIFS(Lançamentos!$F:$F,Lançamentos!$A:$A,O$19,Lançamentos!$C:$C,"Recebimento de Clientes")</f>
        <v>0</v>
      </c>
      <c r="P26" s="37">
        <f>SUMIFS(Lançamentos!$F:$F,Lançamentos!$A:$A,P$19,Lançamentos!$C:$C,"Recebimento de Clientes")</f>
        <v>0</v>
      </c>
      <c r="Q26" s="37">
        <f>SUMIFS(Lançamentos!$F:$F,Lançamentos!$A:$A,Q$19,Lançamentos!$C:$C,"Recebimento de Clientes")</f>
        <v>0</v>
      </c>
      <c r="R26" s="37">
        <f>SUMIFS(Lançamentos!$F:$F,Lançamentos!$A:$A,R$19,Lançamentos!$C:$C,"Recebimento de Clientes")</f>
        <v>0</v>
      </c>
      <c r="S26" s="37">
        <f>SUMIFS(Lançamentos!$F:$F,Lançamentos!$A:$A,S$19,Lançamentos!$C:$C,"Recebimento de Clientes")</f>
        <v>0</v>
      </c>
      <c r="T26" s="37">
        <f>SUMIFS(Lançamentos!$F:$F,Lançamentos!$A:$A,T$19,Lançamentos!$C:$C,"Recebimento de Clientes")</f>
        <v>0</v>
      </c>
      <c r="U26" s="37">
        <f>SUMIFS(Lançamentos!$F:$F,Lançamentos!$A:$A,U$19,Lançamentos!$C:$C,"Recebimento de Clientes")</f>
        <v>0</v>
      </c>
      <c r="V26" s="37">
        <f>SUMIFS(Lançamentos!$F:$F,Lançamentos!$A:$A,V$19,Lançamentos!$C:$C,"Recebimento de Clientes")</f>
        <v>0</v>
      </c>
      <c r="W26" s="37">
        <f>SUMIFS(Lançamentos!$F:$F,Lançamentos!$A:$A,W$19,Lançamentos!$C:$C,"Recebimento de Clientes")</f>
        <v>0</v>
      </c>
      <c r="X26" s="37">
        <f>SUMIFS(Lançamentos!$F:$F,Lançamentos!$A:$A,X$19,Lançamentos!$C:$C,"Recebimento de Clientes")</f>
        <v>0</v>
      </c>
      <c r="Y26" s="37">
        <f>SUMIFS(Lançamentos!$F:$F,Lançamentos!$A:$A,Y$19,Lançamentos!$C:$C,"Recebimento de Clientes")</f>
        <v>0</v>
      </c>
      <c r="Z26" s="37">
        <f>SUMIFS(Lançamentos!$F:$F,Lançamentos!$A:$A,Z$19,Lançamentos!$C:$C,"Recebimento de Clientes")</f>
        <v>0</v>
      </c>
      <c r="AA26" s="37">
        <f>SUMIFS(Lançamentos!$F:$F,Lançamentos!$A:$A,AA$19,Lançamentos!$C:$C,"Recebimento de Clientes")</f>
        <v>0</v>
      </c>
      <c r="AB26" s="37">
        <f>SUMIFS(Lançamentos!$F:$F,Lançamentos!$A:$A,AB$19,Lançamentos!$C:$C,"Recebimento de Clientes")</f>
        <v>0</v>
      </c>
      <c r="AC26" s="37">
        <f>SUMIFS(Lançamentos!$F:$F,Lançamentos!$A:$A,AC$19,Lançamentos!$C:$C,"Recebimento de Clientes")</f>
        <v>0</v>
      </c>
      <c r="AD26" s="37">
        <f>SUMIFS(Lançamentos!$F:$F,Lançamentos!$A:$A,AD$19,Lançamentos!$C:$C,"Recebimento de Clientes")</f>
        <v>0</v>
      </c>
      <c r="AE26" s="37">
        <f>SUMIFS(Lançamentos!$F:$F,Lançamentos!$A:$A,AE$19,Lançamentos!$C:$C,"Recebimento de Clientes")</f>
        <v>0</v>
      </c>
      <c r="AF26" s="37">
        <f>SUMIFS(Lançamentos!$F:$F,Lançamentos!$A:$A,AF$19,Lançamentos!$C:$C,"Recebimento de Clientes")</f>
        <v>0</v>
      </c>
      <c r="AG26" s="37">
        <f>SUMIFS(Lançamentos!$F:$F,Lançamentos!$A:$A,AG$19,Lançamentos!$C:$C,"Recebimento de Clientes")</f>
        <v>0</v>
      </c>
      <c r="AH26" s="37">
        <f>SUMIFS(Lançamentos!$F:$F,Lançamentos!$A:$A,AH$19,Lançamentos!$C:$C,"Recebimento de Clientes")</f>
        <v>0</v>
      </c>
      <c r="AI26" s="37">
        <f>SUMIFS(Lançamentos!$F:$F,Lançamentos!$A:$A,AI$19,Lançamentos!$C:$C,"Recebimento de Clientes")</f>
        <v>0</v>
      </c>
      <c r="AJ26" s="37">
        <f>SUMIFS(Lançamentos!$F:$F,Lançamentos!$A:$A,AJ$19,Lançamentos!$C:$C,"Recebimento de Clientes")</f>
        <v>0</v>
      </c>
      <c r="AK26" s="37">
        <f>SUMIFS(Lançamentos!$F:$F,Lançamentos!$A:$A,AK$19,Lançamentos!$C:$C,"Recebimento de Clientes")</f>
        <v>0</v>
      </c>
      <c r="AL26" s="37">
        <f>SUMIFS(Lançamentos!$F:$F,Lançamentos!$A:$A,AL$19,Lançamentos!$C:$C,"Recebimento de Clientes")</f>
        <v>0</v>
      </c>
      <c r="AM26" s="37">
        <f>SUMIFS(Lançamentos!$F:$F,Lançamentos!$A:$A,AM$19,Lançamentos!$C:$C,"Recebimento de Clientes")</f>
        <v>0</v>
      </c>
      <c r="AN26" s="37">
        <f>SUMIFS(Lançamentos!$F:$F,Lançamentos!$A:$A,AN$19,Lançamentos!$C:$C,"Recebimento de Clientes")</f>
        <v>0</v>
      </c>
      <c r="AO26" s="37">
        <f>SUMIFS(Lançamentos!$F:$F,Lançamentos!$A:$A,AO$19,Lançamentos!$C:$C,"Recebimento de Clientes")</f>
        <v>0</v>
      </c>
      <c r="AP26" s="37">
        <f>SUMIFS(Lançamentos!$F:$F,Lançamentos!$A:$A,AP$19,Lançamentos!$C:$C,"Recebimento de Clientes")</f>
        <v>0</v>
      </c>
      <c r="AQ26" s="37">
        <f>SUMIFS(Lançamentos!$F:$F,Lançamentos!$A:$A,AQ$19,Lançamentos!$C:$C,"Recebimento de Clientes")</f>
        <v>0</v>
      </c>
      <c r="AR26" s="37">
        <f>SUMIFS(Lançamentos!$F:$F,Lançamentos!$A:$A,AR$19,Lançamentos!$C:$C,"Recebimento de Clientes")</f>
        <v>0</v>
      </c>
      <c r="AS26" s="37">
        <f>SUMIFS(Lançamentos!$F:$F,Lançamentos!$A:$A,AS$19,Lançamentos!$C:$C,"Recebimento de Clientes")</f>
        <v>0</v>
      </c>
      <c r="AT26" s="37">
        <f>SUMIFS(Lançamentos!$F:$F,Lançamentos!$A:$A,AT$19,Lançamentos!$C:$C,"Recebimento de Clientes")</f>
        <v>0</v>
      </c>
      <c r="AU26" s="37">
        <f>SUMIFS(Lançamentos!$F:$F,Lançamentos!$A:$A,AU$19,Lançamentos!$C:$C,"Recebimento de Clientes")</f>
        <v>0</v>
      </c>
      <c r="AV26" s="37">
        <f>SUMIFS(Lançamentos!$F:$F,Lançamentos!$A:$A,AV$19,Lançamentos!$C:$C,"Recebimento de Clientes")</f>
        <v>0</v>
      </c>
      <c r="AW26" s="37">
        <f>SUMIFS(Lançamentos!$F:$F,Lançamentos!$A:$A,AW$19,Lançamentos!$C:$C,"Recebimento de Clientes")</f>
        <v>0</v>
      </c>
      <c r="AX26" s="37">
        <f>SUMIFS(Lançamentos!$F:$F,Lançamentos!$A:$A,AX$19,Lançamentos!$C:$C,"Recebimento de Clientes")</f>
        <v>0</v>
      </c>
      <c r="AY26" s="37">
        <f>SUMIFS(Lançamentos!$F:$F,Lançamentos!$A:$A,AY$19,Lançamentos!$C:$C,"Recebimento de Clientes")</f>
        <v>0</v>
      </c>
      <c r="AZ26" s="37">
        <f>SUMIFS(Lançamentos!$F:$F,Lançamentos!$A:$A,AZ$19,Lançamentos!$C:$C,"Recebimento de Clientes")</f>
        <v>0</v>
      </c>
      <c r="BA26" s="37">
        <f>SUMIFS(Lançamentos!$F:$F,Lançamentos!$A:$A,BA$19,Lançamentos!$C:$C,"Recebimento de Clientes")</f>
        <v>0</v>
      </c>
      <c r="BB26" s="37">
        <f>SUMIFS(Lançamentos!$F:$F,Lançamentos!$A:$A,BB$19,Lançamentos!$C:$C,"Recebimento de Clientes")</f>
        <v>0</v>
      </c>
      <c r="BC26" s="37">
        <f>SUMIFS(Lançamentos!$F:$F,Lançamentos!$A:$A,BC$19,Lançamentos!$C:$C,"Recebimento de Clientes")</f>
        <v>0</v>
      </c>
      <c r="BD26" s="37">
        <f>SUMIFS(Lançamentos!$F:$F,Lançamentos!$A:$A,BD$19,Lançamentos!$C:$C,"Recebimento de Clientes")</f>
        <v>0</v>
      </c>
      <c r="BE26" s="37">
        <f>SUMIFS(Lançamentos!$F:$F,Lançamentos!$A:$A,BE$19,Lançamentos!$C:$C,"Recebimento de Clientes")</f>
        <v>0</v>
      </c>
      <c r="BF26" s="37">
        <f>SUMIFS(Lançamentos!$F:$F,Lançamentos!$A:$A,BF$19,Lançamentos!$C:$C,"Recebimento de Clientes")</f>
        <v>0</v>
      </c>
      <c r="BG26" s="37">
        <f>SUMIFS(Lançamentos!$F:$F,Lançamentos!$A:$A,BG$19,Lançamentos!$C:$C,"Recebimento de Clientes")</f>
        <v>0</v>
      </c>
      <c r="BH26" s="37">
        <f>SUMIFS(Lançamentos!$F:$F,Lançamentos!$A:$A,BH$19,Lançamentos!$C:$C,"Recebimento de Clientes")</f>
        <v>0</v>
      </c>
      <c r="BI26" s="37">
        <f>SUMIFS(Lançamentos!$F:$F,Lançamentos!$A:$A,BI$19,Lançamentos!$C:$C,"Recebimento de Clientes")</f>
        <v>0</v>
      </c>
      <c r="BJ26" s="37">
        <f>SUMIFS(Lançamentos!$F:$F,Lançamentos!$A:$A,BJ$19,Lançamentos!$C:$C,"Recebimento de Clientes")</f>
        <v>0</v>
      </c>
      <c r="BK26" s="37">
        <f>SUMIFS(Lançamentos!$F:$F,Lançamentos!$A:$A,BK$19,Lançamentos!$C:$C,"Recebimento de Clientes")</f>
        <v>0</v>
      </c>
      <c r="BL26" s="37">
        <f>SUMIFS(Lançamentos!$F:$F,Lançamentos!$A:$A,BL$19,Lançamentos!$C:$C,"Recebimento de Clientes")</f>
        <v>0</v>
      </c>
      <c r="BM26" s="37">
        <f>SUMIFS(Lançamentos!$F:$F,Lançamentos!$A:$A,BM$19,Lançamentos!$C:$C,"Recebimento de Clientes")</f>
        <v>0</v>
      </c>
      <c r="BN26" s="37">
        <f>SUMIFS(Lançamentos!$F:$F,Lançamentos!$A:$A,BN$19,Lançamentos!$C:$C,"Recebimento de Clientes")</f>
        <v>0</v>
      </c>
      <c r="BO26" s="37">
        <f>SUMIFS(Lançamentos!$F:$F,Lançamentos!$A:$A,BO$19,Lançamentos!$C:$C,"Recebimento de Clientes")</f>
        <v>0</v>
      </c>
      <c r="BP26" s="37">
        <f>SUMIFS(Lançamentos!$F:$F,Lançamentos!$A:$A,BP$19,Lançamentos!$C:$C,"Recebimento de Clientes")</f>
        <v>0</v>
      </c>
      <c r="BQ26" s="37">
        <f>SUMIFS(Lançamentos!$F:$F,Lançamentos!$A:$A,BQ$19,Lançamentos!$C:$C,"Recebimento de Clientes")</f>
        <v>0</v>
      </c>
      <c r="BR26" s="37">
        <f>SUMIFS(Lançamentos!$F:$F,Lançamentos!$A:$A,BR$19,Lançamentos!$C:$C,"Recebimento de Clientes")</f>
        <v>0</v>
      </c>
      <c r="BS26" s="37">
        <f>SUMIFS(Lançamentos!$F:$F,Lançamentos!$A:$A,BS$19,Lançamentos!$C:$C,"Recebimento de Clientes")</f>
        <v>0</v>
      </c>
      <c r="BT26" s="37">
        <f>SUMIFS(Lançamentos!$F:$F,Lançamentos!$A:$A,BT$19,Lançamentos!$C:$C,"Recebimento de Clientes")</f>
        <v>0</v>
      </c>
      <c r="BU26" s="37">
        <f>SUMIFS(Lançamentos!$F:$F,Lançamentos!$A:$A,BU$19,Lançamentos!$C:$C,"Recebimento de Clientes")</f>
        <v>0</v>
      </c>
      <c r="BV26" s="37">
        <f>SUMIFS(Lançamentos!$F:$F,Lançamentos!$A:$A,BV$19,Lançamentos!$C:$C,"Recebimento de Clientes")</f>
        <v>0</v>
      </c>
      <c r="BW26" s="37">
        <f>SUMIFS(Lançamentos!$F:$F,Lançamentos!$A:$A,BW$19,Lançamentos!$C:$C,"Recebimento de Clientes")</f>
        <v>0</v>
      </c>
      <c r="BX26" s="37">
        <f>SUMIFS(Lançamentos!$F:$F,Lançamentos!$A:$A,BX$19,Lançamentos!$C:$C,"Recebimento de Clientes")</f>
        <v>0</v>
      </c>
      <c r="BY26" s="37">
        <f>SUMIFS(Lançamentos!$F:$F,Lançamentos!$A:$A,BY$19,Lançamentos!$C:$C,"Recebimento de Clientes")</f>
        <v>0</v>
      </c>
      <c r="BZ26" s="37">
        <f>SUMIFS(Lançamentos!$F:$F,Lançamentos!$A:$A,BZ$19,Lançamentos!$C:$C,"Recebimento de Clientes")</f>
        <v>0</v>
      </c>
      <c r="CA26" s="37">
        <f>SUMIFS(Lançamentos!$F:$F,Lançamentos!$A:$A,CA$19,Lançamentos!$C:$C,"Recebimento de Clientes")</f>
        <v>0</v>
      </c>
      <c r="CB26" s="37">
        <f>SUMIFS(Lançamentos!$F:$F,Lançamentos!$A:$A,CB$19,Lançamentos!$C:$C,"Recebimento de Clientes")</f>
        <v>0</v>
      </c>
      <c r="CC26" s="37">
        <f>SUMIFS(Lançamentos!$F:$F,Lançamentos!$A:$A,CC$19,Lançamentos!$C:$C,"Recebimento de Clientes")</f>
        <v>0</v>
      </c>
      <c r="CD26" s="37">
        <f>SUMIFS(Lançamentos!$F:$F,Lançamentos!$A:$A,CD$19,Lançamentos!$C:$C,"Recebimento de Clientes")</f>
        <v>0</v>
      </c>
      <c r="CE26" s="37">
        <f>SUMIFS(Lançamentos!$F:$F,Lançamentos!$A:$A,CE$19,Lançamentos!$C:$C,"Recebimento de Clientes")</f>
        <v>0</v>
      </c>
      <c r="CF26" s="37">
        <f>SUMIFS(Lançamentos!$F:$F,Lançamentos!$A:$A,CF$19,Lançamentos!$C:$C,"Recebimento de Clientes")</f>
        <v>0</v>
      </c>
      <c r="CG26" s="37">
        <f>SUMIFS(Lançamentos!$F:$F,Lançamentos!$A:$A,CG$19,Lançamentos!$C:$C,"Recebimento de Clientes")</f>
        <v>0</v>
      </c>
      <c r="CH26" s="37">
        <f>SUMIFS(Lançamentos!$F:$F,Lançamentos!$A:$A,CH$19,Lançamentos!$C:$C,"Recebimento de Clientes")</f>
        <v>0</v>
      </c>
      <c r="CI26" s="37">
        <f>SUMIFS(Lançamentos!$F:$F,Lançamentos!$A:$A,CI$19,Lançamentos!$C:$C,"Recebimento de Clientes")</f>
        <v>0</v>
      </c>
      <c r="CJ26" s="37">
        <f>SUMIFS(Lançamentos!$F:$F,Lançamentos!$A:$A,CJ$19,Lançamentos!$C:$C,"Recebimento de Clientes")</f>
        <v>0</v>
      </c>
      <c r="CK26" s="37">
        <f>SUMIFS(Lançamentos!$F:$F,Lançamentos!$A:$A,CK$19,Lançamentos!$C:$C,"Recebimento de Clientes")</f>
        <v>0</v>
      </c>
      <c r="CL26" s="37">
        <f>SUMIFS(Lançamentos!$F:$F,Lançamentos!$A:$A,CL$19,Lançamentos!$C:$C,"Recebimento de Clientes")</f>
        <v>0</v>
      </c>
      <c r="CM26" s="37">
        <f>SUMIFS(Lançamentos!$F:$F,Lançamentos!$A:$A,CM$19,Lançamentos!$C:$C,"Recebimento de Clientes")</f>
        <v>0</v>
      </c>
      <c r="CN26" s="37">
        <f>SUMIFS(Lançamentos!$F:$F,Lançamentos!$A:$A,CN$19,Lançamentos!$C:$C,"Recebimento de Clientes")</f>
        <v>0</v>
      </c>
      <c r="CO26" s="37">
        <f>SUMIFS(Lançamentos!$F:$F,Lançamentos!$A:$A,CO$19,Lançamentos!$C:$C,"Recebimento de Clientes")</f>
        <v>0</v>
      </c>
      <c r="CP26" s="37">
        <f>SUMIFS(Lançamentos!$F:$F,Lançamentos!$A:$A,CP$19,Lançamentos!$C:$C,"Recebimento de Clientes")</f>
        <v>0</v>
      </c>
      <c r="CQ26" s="37">
        <f>SUMIFS(Lançamentos!$F:$F,Lançamentos!$A:$A,CQ$19,Lançamentos!$C:$C,"Recebimento de Clientes")</f>
        <v>0</v>
      </c>
      <c r="CR26" s="37">
        <f>SUMIFS(Lançamentos!$F:$F,Lançamentos!$A:$A,CR$19,Lançamentos!$C:$C,"Recebimento de Clientes")</f>
        <v>0</v>
      </c>
      <c r="CS26" s="37">
        <f>SUMIFS(Lançamentos!$F:$F,Lançamentos!$A:$A,CS$19,Lançamentos!$C:$C,"Recebimento de Clientes")</f>
        <v>0</v>
      </c>
      <c r="CT26" s="37">
        <f>SUMIFS(Lançamentos!$F:$F,Lançamentos!$A:$A,CT$19,Lançamentos!$C:$C,"Recebimento de Clientes")</f>
        <v>0</v>
      </c>
      <c r="CU26" s="37">
        <f>SUMIFS(Lançamentos!$F:$F,Lançamentos!$A:$A,CU$19,Lançamentos!$C:$C,"Recebimento de Clientes")</f>
        <v>0</v>
      </c>
      <c r="CV26" s="37">
        <f>SUMIFS(Lançamentos!$F:$F,Lançamentos!$A:$A,CV$19,Lançamentos!$C:$C,"Recebimento de Clientes")</f>
        <v>0</v>
      </c>
      <c r="CW26" s="37">
        <f>SUMIFS(Lançamentos!$F:$F,Lançamentos!$A:$A,CW$19,Lançamentos!$C:$C,"Recebimento de Clientes")</f>
        <v>0</v>
      </c>
      <c r="CX26" s="37">
        <f>SUMIFS(Lançamentos!$F:$F,Lançamentos!$A:$A,CX$19,Lançamentos!$C:$C,"Recebimento de Clientes")</f>
        <v>0</v>
      </c>
      <c r="CY26" s="37">
        <f>SUMIFS(Lançamentos!$F:$F,Lançamentos!$A:$A,CY$19,Lançamentos!$C:$C,"Recebimento de Clientes")</f>
        <v>0</v>
      </c>
      <c r="CZ26" s="37">
        <f>SUMIFS(Lançamentos!$F:$F,Lançamentos!$A:$A,CZ$19,Lançamentos!$C:$C,"Recebimento de Clientes")</f>
        <v>0</v>
      </c>
      <c r="DA26" s="37">
        <f>SUMIFS(Lançamentos!$F:$F,Lançamentos!$A:$A,DA$19,Lançamentos!$C:$C,"Recebimento de Clientes")</f>
        <v>0</v>
      </c>
      <c r="DB26" s="37">
        <f>SUMIFS(Lançamentos!$F:$F,Lançamentos!$A:$A,DB$19,Lançamentos!$C:$C,"Recebimento de Clientes")</f>
        <v>0</v>
      </c>
      <c r="DC26" s="37">
        <f>SUMIFS(Lançamentos!$F:$F,Lançamentos!$A:$A,DC$19,Lançamentos!$C:$C,"Recebimento de Clientes")</f>
        <v>0</v>
      </c>
      <c r="DD26" s="37">
        <f>SUMIFS(Lançamentos!$F:$F,Lançamentos!$A:$A,DD$19,Lançamentos!$C:$C,"Recebimento de Clientes")</f>
        <v>0</v>
      </c>
      <c r="DE26" s="37">
        <f>SUMIFS(Lançamentos!$F:$F,Lançamentos!$A:$A,DE$19,Lançamentos!$C:$C,"Recebimento de Clientes")</f>
        <v>0</v>
      </c>
      <c r="DF26" s="37">
        <f>SUMIFS(Lançamentos!$F:$F,Lançamentos!$A:$A,DF$19,Lançamentos!$C:$C,"Recebimento de Clientes")</f>
        <v>0</v>
      </c>
      <c r="DG26" s="37">
        <f>SUMIFS(Lançamentos!$F:$F,Lançamentos!$A:$A,DG$19,Lançamentos!$C:$C,"Recebimento de Clientes")</f>
        <v>0</v>
      </c>
      <c r="DH26" s="37">
        <f>SUMIFS(Lançamentos!$F:$F,Lançamentos!$A:$A,DH$19,Lançamentos!$C:$C,"Recebimento de Clientes")</f>
        <v>0</v>
      </c>
      <c r="DI26" s="37">
        <f>SUMIFS(Lançamentos!$F:$F,Lançamentos!$A:$A,DI$19,Lançamentos!$C:$C,"Recebimento de Clientes")</f>
        <v>0</v>
      </c>
      <c r="DJ26" s="37">
        <f>SUMIFS(Lançamentos!$F:$F,Lançamentos!$A:$A,DJ$19,Lançamentos!$C:$C,"Recebimento de Clientes")</f>
        <v>0</v>
      </c>
      <c r="DK26" s="37">
        <f>SUMIFS(Lançamentos!$F:$F,Lançamentos!$A:$A,DK$19,Lançamentos!$C:$C,"Recebimento de Clientes")</f>
        <v>0</v>
      </c>
      <c r="DL26" s="37">
        <f>SUMIFS(Lançamentos!$F:$F,Lançamentos!$A:$A,DL$19,Lançamentos!$C:$C,"Recebimento de Clientes")</f>
        <v>0</v>
      </c>
      <c r="DM26" s="37">
        <f>SUMIFS(Lançamentos!$F:$F,Lançamentos!$A:$A,DM$19,Lançamentos!$C:$C,"Recebimento de Clientes")</f>
        <v>0</v>
      </c>
      <c r="DN26" s="37">
        <f>SUMIFS(Lançamentos!$F:$F,Lançamentos!$A:$A,DN$19,Lançamentos!$C:$C,"Recebimento de Clientes")</f>
        <v>0</v>
      </c>
      <c r="DO26" s="37">
        <f>SUMIFS(Lançamentos!$F:$F,Lançamentos!$A:$A,DO$19,Lançamentos!$C:$C,"Recebimento de Clientes")</f>
        <v>0</v>
      </c>
      <c r="DP26" s="37">
        <f>SUMIFS(Lançamentos!$F:$F,Lançamentos!$A:$A,DP$19,Lançamentos!$C:$C,"Recebimento de Clientes")</f>
        <v>0</v>
      </c>
      <c r="DQ26" s="37">
        <f>SUMIFS(Lançamentos!$F:$F,Lançamentos!$A:$A,DQ$19,Lançamentos!$C:$C,"Recebimento de Clientes")</f>
        <v>0</v>
      </c>
      <c r="DR26" s="37">
        <f>SUMIFS(Lançamentos!$F:$F,Lançamentos!$A:$A,DR$19,Lançamentos!$C:$C,"Recebimento de Clientes")</f>
        <v>0</v>
      </c>
      <c r="DS26" s="37">
        <f>SUMIFS(Lançamentos!$F:$F,Lançamentos!$A:$A,DS$19,Lançamentos!$C:$C,"Recebimento de Clientes")</f>
        <v>0</v>
      </c>
      <c r="DT26" s="37">
        <f>SUMIFS(Lançamentos!$F:$F,Lançamentos!$A:$A,DT$19,Lançamentos!$C:$C,"Recebimento de Clientes")</f>
        <v>0</v>
      </c>
      <c r="DU26" s="37">
        <f>SUMIFS(Lançamentos!$F:$F,Lançamentos!$A:$A,DU$19,Lançamentos!$C:$C,"Recebimento de Clientes")</f>
        <v>0</v>
      </c>
      <c r="DV26" s="37">
        <f>SUMIFS(Lançamentos!$F:$F,Lançamentos!$A:$A,DV$19,Lançamentos!$C:$C,"Recebimento de Clientes")</f>
        <v>0</v>
      </c>
      <c r="DW26" s="37">
        <f>SUMIFS(Lançamentos!$F:$F,Lançamentos!$A:$A,DW$19,Lançamentos!$C:$C,"Recebimento de Clientes")</f>
        <v>0</v>
      </c>
      <c r="DX26" s="37">
        <f>SUMIFS(Lançamentos!$F:$F,Lançamentos!$A:$A,DX$19,Lançamentos!$C:$C,"Recebimento de Clientes")</f>
        <v>0</v>
      </c>
      <c r="DY26" s="37">
        <f>SUMIFS(Lançamentos!$F:$F,Lançamentos!$A:$A,DY$19,Lançamentos!$C:$C,"Recebimento de Clientes")</f>
        <v>0</v>
      </c>
      <c r="DZ26" s="37">
        <f>SUMIFS(Lançamentos!$F:$F,Lançamentos!$A:$A,DZ$19,Lançamentos!$C:$C,"Recebimento de Clientes")</f>
        <v>0</v>
      </c>
      <c r="EA26" s="37">
        <f>SUMIFS(Lançamentos!$F:$F,Lançamentos!$A:$A,EA$19,Lançamentos!$C:$C,"Recebimento de Clientes")</f>
        <v>0</v>
      </c>
      <c r="EB26" s="37">
        <f>SUMIFS(Lançamentos!$F:$F,Lançamentos!$A:$A,EB$19,Lançamentos!$C:$C,"Recebimento de Clientes")</f>
        <v>0</v>
      </c>
      <c r="EC26" s="37">
        <f>SUMIFS(Lançamentos!$F:$F,Lançamentos!$A:$A,EC$19,Lançamentos!$C:$C,"Recebimento de Clientes")</f>
        <v>0</v>
      </c>
      <c r="ED26" s="37">
        <f>SUMIFS(Lançamentos!$F:$F,Lançamentos!$A:$A,ED$19,Lançamentos!$C:$C,"Recebimento de Clientes")</f>
        <v>0</v>
      </c>
      <c r="EE26" s="37">
        <f>SUMIFS(Lançamentos!$F:$F,Lançamentos!$A:$A,EE$19,Lançamentos!$C:$C,"Recebimento de Clientes")</f>
        <v>0</v>
      </c>
      <c r="EF26" s="37">
        <f>SUMIFS(Lançamentos!$F:$F,Lançamentos!$A:$A,EF$19,Lançamentos!$C:$C,"Recebimento de Clientes")</f>
        <v>0</v>
      </c>
      <c r="EG26" s="37">
        <f>SUMIFS(Lançamentos!$F:$F,Lançamentos!$A:$A,EG$19,Lançamentos!$C:$C,"Recebimento de Clientes")</f>
        <v>0</v>
      </c>
      <c r="EH26" s="37">
        <f>SUMIFS(Lançamentos!$F:$F,Lançamentos!$A:$A,EH$19,Lançamentos!$C:$C,"Recebimento de Clientes")</f>
        <v>0</v>
      </c>
      <c r="EI26" s="37">
        <f>SUMIFS(Lançamentos!$F:$F,Lançamentos!$A:$A,EI$19,Lançamentos!$C:$C,"Recebimento de Clientes")</f>
        <v>0</v>
      </c>
      <c r="EJ26" s="37">
        <f>SUMIFS(Lançamentos!$F:$F,Lançamentos!$A:$A,EJ$19,Lançamentos!$C:$C,"Recebimento de Clientes")</f>
        <v>0</v>
      </c>
      <c r="EK26" s="37">
        <f>SUMIFS(Lançamentos!$F:$F,Lançamentos!$A:$A,EK$19,Lançamentos!$C:$C,"Recebimento de Clientes")</f>
        <v>0</v>
      </c>
      <c r="EL26" s="37">
        <f>SUMIFS(Lançamentos!$F:$F,Lançamentos!$A:$A,EL$19,Lançamentos!$C:$C,"Recebimento de Clientes")</f>
        <v>0</v>
      </c>
      <c r="EM26" s="37">
        <f>SUMIFS(Lançamentos!$F:$F,Lançamentos!$A:$A,EM$19,Lançamentos!$C:$C,"Recebimento de Clientes")</f>
        <v>0</v>
      </c>
      <c r="EN26" s="37">
        <f>SUMIFS(Lançamentos!$F:$F,Lançamentos!$A:$A,EN$19,Lançamentos!$C:$C,"Recebimento de Clientes")</f>
        <v>0</v>
      </c>
      <c r="EO26" s="37">
        <f>SUMIFS(Lançamentos!$F:$F,Lançamentos!$A:$A,EO$19,Lançamentos!$C:$C,"Recebimento de Clientes")</f>
        <v>0</v>
      </c>
      <c r="EP26" s="37">
        <f>SUMIFS(Lançamentos!$F:$F,Lançamentos!$A:$A,EP$19,Lançamentos!$C:$C,"Recebimento de Clientes")</f>
        <v>0</v>
      </c>
      <c r="EQ26" s="37">
        <f>SUMIFS(Lançamentos!$F:$F,Lançamentos!$A:$A,EQ$19,Lançamentos!$C:$C,"Recebimento de Clientes")</f>
        <v>0</v>
      </c>
      <c r="ER26" s="37">
        <f>SUMIFS(Lançamentos!$F:$F,Lançamentos!$A:$A,ER$19,Lançamentos!$C:$C,"Recebimento de Clientes")</f>
        <v>0</v>
      </c>
      <c r="ES26" s="37">
        <f>SUMIFS(Lançamentos!$F:$F,Lançamentos!$A:$A,ES$19,Lançamentos!$C:$C,"Recebimento de Clientes")</f>
        <v>0</v>
      </c>
      <c r="ET26" s="37">
        <f>SUMIFS(Lançamentos!$F:$F,Lançamentos!$A:$A,ET$19,Lançamentos!$C:$C,"Recebimento de Clientes")</f>
        <v>0</v>
      </c>
      <c r="EU26" s="37">
        <f>SUMIFS(Lançamentos!$F:$F,Lançamentos!$A:$A,EU$19,Lançamentos!$C:$C,"Recebimento de Clientes")</f>
        <v>0</v>
      </c>
      <c r="EV26" s="37">
        <f>SUMIFS(Lançamentos!$F:$F,Lançamentos!$A:$A,EV$19,Lançamentos!$C:$C,"Recebimento de Clientes")</f>
        <v>0</v>
      </c>
      <c r="EW26" s="37">
        <f>SUMIFS(Lançamentos!$F:$F,Lançamentos!$A:$A,EW$19,Lançamentos!$C:$C,"Recebimento de Clientes")</f>
        <v>0</v>
      </c>
      <c r="EX26" s="37">
        <f>SUMIFS(Lançamentos!$F:$F,Lançamentos!$A:$A,EX$19,Lançamentos!$C:$C,"Recebimento de Clientes")</f>
        <v>0</v>
      </c>
      <c r="EY26" s="37">
        <f>SUMIFS(Lançamentos!$F:$F,Lançamentos!$A:$A,EY$19,Lançamentos!$C:$C,"Recebimento de Clientes")</f>
        <v>0</v>
      </c>
      <c r="EZ26" s="37">
        <f>SUMIFS(Lançamentos!$F:$F,Lançamentos!$A:$A,EZ$19,Lançamentos!$C:$C,"Recebimento de Clientes")</f>
        <v>0</v>
      </c>
      <c r="FA26" s="37">
        <f>SUMIFS(Lançamentos!$F:$F,Lançamentos!$A:$A,FA$19,Lançamentos!$C:$C,"Recebimento de Clientes")</f>
        <v>0</v>
      </c>
      <c r="FB26" s="37">
        <f>SUMIFS(Lançamentos!$F:$F,Lançamentos!$A:$A,FB$19,Lançamentos!$C:$C,"Recebimento de Clientes")</f>
        <v>0</v>
      </c>
      <c r="FC26" s="37">
        <f>SUMIFS(Lançamentos!$F:$F,Lançamentos!$A:$A,FC$19,Lançamentos!$C:$C,"Recebimento de Clientes")</f>
        <v>0</v>
      </c>
      <c r="FD26" s="37">
        <f>SUMIFS(Lançamentos!$F:$F,Lançamentos!$A:$A,FD$19,Lançamentos!$C:$C,"Recebimento de Clientes")</f>
        <v>0</v>
      </c>
      <c r="FE26" s="37">
        <f>SUMIFS(Lançamentos!$F:$F,Lançamentos!$A:$A,FE$19,Lançamentos!$C:$C,"Recebimento de Clientes")</f>
        <v>0</v>
      </c>
      <c r="FF26" s="37">
        <f>SUMIFS(Lançamentos!$F:$F,Lançamentos!$A:$A,FF$19,Lançamentos!$C:$C,"Recebimento de Clientes")</f>
        <v>0</v>
      </c>
      <c r="FG26" s="37">
        <f>SUMIFS(Lançamentos!$F:$F,Lançamentos!$A:$A,FG$19,Lançamentos!$C:$C,"Recebimento de Clientes")</f>
        <v>0</v>
      </c>
      <c r="FH26" s="37">
        <f>SUMIFS(Lançamentos!$F:$F,Lançamentos!$A:$A,FH$19,Lançamentos!$C:$C,"Recebimento de Clientes")</f>
        <v>0</v>
      </c>
      <c r="FI26" s="37">
        <f>SUMIFS(Lançamentos!$F:$F,Lançamentos!$A:$A,FI$19,Lançamentos!$C:$C,"Recebimento de Clientes")</f>
        <v>0</v>
      </c>
      <c r="FJ26" s="37">
        <f>SUMIFS(Lançamentos!$F:$F,Lançamentos!$A:$A,FJ$19,Lançamentos!$C:$C,"Recebimento de Clientes")</f>
        <v>0</v>
      </c>
      <c r="FK26" s="37">
        <f>SUMIFS(Lançamentos!$F:$F,Lançamentos!$A:$A,FK$19,Lançamentos!$C:$C,"Recebimento de Clientes")</f>
        <v>0</v>
      </c>
      <c r="FL26" s="37">
        <f>SUMIFS(Lançamentos!$F:$F,Lançamentos!$A:$A,FL$19,Lançamentos!$C:$C,"Recebimento de Clientes")</f>
        <v>0</v>
      </c>
      <c r="FM26" s="37">
        <f>SUMIFS(Lançamentos!$F:$F,Lançamentos!$A:$A,FM$19,Lançamentos!$C:$C,"Recebimento de Clientes")</f>
        <v>0</v>
      </c>
      <c r="FN26" s="37">
        <f>SUMIFS(Lançamentos!$F:$F,Lançamentos!$A:$A,FN$19,Lançamentos!$C:$C,"Recebimento de Clientes")</f>
        <v>0</v>
      </c>
      <c r="FO26" s="37">
        <f>SUMIFS(Lançamentos!$F:$F,Lançamentos!$A:$A,FO$19,Lançamentos!$C:$C,"Recebimento de Clientes")</f>
        <v>0</v>
      </c>
      <c r="FP26" s="37">
        <f>SUMIFS(Lançamentos!$F:$F,Lançamentos!$A:$A,FP$19,Lançamentos!$C:$C,"Recebimento de Clientes")</f>
        <v>0</v>
      </c>
      <c r="FQ26" s="37">
        <f>SUMIFS(Lançamentos!$F:$F,Lançamentos!$A:$A,FQ$19,Lançamentos!$C:$C,"Recebimento de Clientes")</f>
        <v>0</v>
      </c>
      <c r="FR26" s="37">
        <f>SUMIFS(Lançamentos!$F:$F,Lançamentos!$A:$A,FR$19,Lançamentos!$C:$C,"Recebimento de Clientes")</f>
        <v>0</v>
      </c>
      <c r="FS26" s="37">
        <f>SUMIFS(Lançamentos!$F:$F,Lançamentos!$A:$A,FS$19,Lançamentos!$C:$C,"Recebimento de Clientes")</f>
        <v>0</v>
      </c>
      <c r="FT26" s="37">
        <f>SUMIFS(Lançamentos!$F:$F,Lançamentos!$A:$A,FT$19,Lançamentos!$C:$C,"Recebimento de Clientes")</f>
        <v>0</v>
      </c>
      <c r="FU26" s="37">
        <f>SUMIFS(Lançamentos!$F:$F,Lançamentos!$A:$A,FU$19,Lançamentos!$C:$C,"Recebimento de Clientes")</f>
        <v>0</v>
      </c>
      <c r="FV26" s="37">
        <f>SUMIFS(Lançamentos!$F:$F,Lançamentos!$A:$A,FV$19,Lançamentos!$C:$C,"Recebimento de Clientes")</f>
        <v>0</v>
      </c>
      <c r="FW26" s="37">
        <f>SUMIFS(Lançamentos!$F:$F,Lançamentos!$A:$A,FW$19,Lançamentos!$C:$C,"Recebimento de Clientes")</f>
        <v>0</v>
      </c>
      <c r="FX26" s="37">
        <f>SUMIFS(Lançamentos!$F:$F,Lançamentos!$A:$A,FX$19,Lançamentos!$C:$C,"Recebimento de Clientes")</f>
        <v>0</v>
      </c>
      <c r="FY26" s="37">
        <f>SUMIFS(Lançamentos!$F:$F,Lançamentos!$A:$A,FY$19,Lançamentos!$C:$C,"Recebimento de Clientes")</f>
        <v>0</v>
      </c>
      <c r="FZ26" s="37">
        <f>SUMIFS(Lançamentos!$F:$F,Lançamentos!$A:$A,FZ$19,Lançamentos!$C:$C,"Recebimento de Clientes")</f>
        <v>0</v>
      </c>
      <c r="GA26" s="37">
        <f>SUMIFS(Lançamentos!$F:$F,Lançamentos!$A:$A,GA$19,Lançamentos!$C:$C,"Recebimento de Clientes")</f>
        <v>0</v>
      </c>
      <c r="GB26" s="37">
        <f>SUMIFS(Lançamentos!$F:$F,Lançamentos!$A:$A,GB$19,Lançamentos!$C:$C,"Recebimento de Clientes")</f>
        <v>0</v>
      </c>
      <c r="GC26" s="37">
        <f>SUMIFS(Lançamentos!$F:$F,Lançamentos!$A:$A,GC$19,Lançamentos!$C:$C,"Recebimento de Clientes")</f>
        <v>0</v>
      </c>
      <c r="GD26" s="37">
        <f>SUMIFS(Lançamentos!$F:$F,Lançamentos!$A:$A,GD$19,Lançamentos!$C:$C,"Recebimento de Clientes")</f>
        <v>0</v>
      </c>
      <c r="GE26" s="37">
        <f>SUMIFS(Lançamentos!$F:$F,Lançamentos!$A:$A,GE$19,Lançamentos!$C:$C,"Recebimento de Clientes")</f>
        <v>0</v>
      </c>
      <c r="GF26" s="37">
        <f>SUMIFS(Lançamentos!$F:$F,Lançamentos!$A:$A,GF$19,Lançamentos!$C:$C,"Recebimento de Clientes")</f>
        <v>0</v>
      </c>
      <c r="GG26" s="37">
        <f>SUMIFS(Lançamentos!$F:$F,Lançamentos!$A:$A,GG$19,Lançamentos!$C:$C,"Recebimento de Clientes")</f>
        <v>0</v>
      </c>
      <c r="GH26" s="37">
        <f>SUMIFS(Lançamentos!$F:$F,Lançamentos!$A:$A,GH$19,Lançamentos!$C:$C,"Recebimento de Clientes")</f>
        <v>0</v>
      </c>
      <c r="GI26" s="37">
        <f>SUMIFS(Lançamentos!$F:$F,Lançamentos!$A:$A,GI$19,Lançamentos!$C:$C,"Recebimento de Clientes")</f>
        <v>0</v>
      </c>
      <c r="GJ26" s="37">
        <f>SUMIFS(Lançamentos!$F:$F,Lançamentos!$A:$A,GJ$19,Lançamentos!$C:$C,"Recebimento de Clientes")</f>
        <v>0</v>
      </c>
      <c r="GK26" s="37">
        <f>SUMIFS(Lançamentos!$F:$F,Lançamentos!$A:$A,GK$19,Lançamentos!$C:$C,"Recebimento de Clientes")</f>
        <v>0</v>
      </c>
      <c r="GL26" s="37">
        <f>SUMIFS(Lançamentos!$F:$F,Lançamentos!$A:$A,GL$19,Lançamentos!$C:$C,"Recebimento de Clientes")</f>
        <v>0</v>
      </c>
      <c r="GM26" s="37">
        <f>SUMIFS(Lançamentos!$F:$F,Lançamentos!$A:$A,GM$19,Lançamentos!$C:$C,"Recebimento de Clientes")</f>
        <v>0</v>
      </c>
      <c r="GN26" s="37">
        <f>SUMIFS(Lançamentos!$F:$F,Lançamentos!$A:$A,GN$19,Lançamentos!$C:$C,"Recebimento de Clientes")</f>
        <v>0</v>
      </c>
      <c r="GO26" s="37">
        <f>SUMIFS(Lançamentos!$F:$F,Lançamentos!$A:$A,GO$19,Lançamentos!$C:$C,"Recebimento de Clientes")</f>
        <v>0</v>
      </c>
      <c r="GP26" s="37">
        <f>SUMIFS(Lançamentos!$F:$F,Lançamentos!$A:$A,GP$19,Lançamentos!$C:$C,"Recebimento de Clientes")</f>
        <v>0</v>
      </c>
      <c r="GQ26" s="37">
        <f>SUMIFS(Lançamentos!$F:$F,Lançamentos!$A:$A,GQ$19,Lançamentos!$C:$C,"Recebimento de Clientes")</f>
        <v>0</v>
      </c>
      <c r="GR26" s="37">
        <f>SUMIFS(Lançamentos!$F:$F,Lançamentos!$A:$A,GR$19,Lançamentos!$C:$C,"Recebimento de Clientes")</f>
        <v>0</v>
      </c>
      <c r="GS26" s="37">
        <f>SUMIFS(Lançamentos!$F:$F,Lançamentos!$A:$A,GS$19,Lançamentos!$C:$C,"Recebimento de Clientes")</f>
        <v>0</v>
      </c>
      <c r="GT26" s="37">
        <f>SUMIFS(Lançamentos!$F:$F,Lançamentos!$A:$A,GT$19,Lançamentos!$C:$C,"Recebimento de Clientes")</f>
        <v>0</v>
      </c>
      <c r="GU26" s="37">
        <f>SUMIFS(Lançamentos!$F:$F,Lançamentos!$A:$A,GU$19,Lançamentos!$C:$C,"Recebimento de Clientes")</f>
        <v>0</v>
      </c>
      <c r="GV26" s="37">
        <f>SUMIFS(Lançamentos!$F:$F,Lançamentos!$A:$A,GV$19,Lançamentos!$C:$C,"Recebimento de Clientes")</f>
        <v>0</v>
      </c>
      <c r="GW26" s="37">
        <f>SUMIFS(Lançamentos!$F:$F,Lançamentos!$A:$A,GW$19,Lançamentos!$C:$C,"Recebimento de Clientes")</f>
        <v>0</v>
      </c>
      <c r="GX26" s="37">
        <f>SUMIFS(Lançamentos!$F:$F,Lançamentos!$A:$A,GX$19,Lançamentos!$C:$C,"Recebimento de Clientes")</f>
        <v>0</v>
      </c>
      <c r="GY26" s="37">
        <f>SUMIFS(Lançamentos!$F:$F,Lançamentos!$A:$A,GY$19,Lançamentos!$C:$C,"Recebimento de Clientes")</f>
        <v>0</v>
      </c>
      <c r="GZ26" s="37">
        <f>SUMIFS(Lançamentos!$F:$F,Lançamentos!$A:$A,GZ$19,Lançamentos!$C:$C,"Recebimento de Clientes")</f>
        <v>0</v>
      </c>
      <c r="HA26" s="37">
        <f>SUMIFS(Lançamentos!$F:$F,Lançamentos!$A:$A,HA$19,Lançamentos!$C:$C,"Recebimento de Clientes")</f>
        <v>0</v>
      </c>
      <c r="HB26" s="37">
        <f>SUMIFS(Lançamentos!$F:$F,Lançamentos!$A:$A,HB$19,Lançamentos!$C:$C,"Recebimento de Clientes")</f>
        <v>0</v>
      </c>
      <c r="HC26" s="37">
        <f>SUMIFS(Lançamentos!$F:$F,Lançamentos!$A:$A,HC$19,Lançamentos!$C:$C,"Recebimento de Clientes")</f>
        <v>0</v>
      </c>
      <c r="HD26" s="37">
        <f>SUMIFS(Lançamentos!$F:$F,Lançamentos!$A:$A,HD$19,Lançamentos!$C:$C,"Recebimento de Clientes")</f>
        <v>0</v>
      </c>
      <c r="HE26" s="37">
        <f>SUMIFS(Lançamentos!$F:$F,Lançamentos!$A:$A,HE$19,Lançamentos!$C:$C,"Recebimento de Clientes")</f>
        <v>0</v>
      </c>
      <c r="HF26" s="37">
        <f>SUMIFS(Lançamentos!$F:$F,Lançamentos!$A:$A,HF$19,Lançamentos!$C:$C,"Recebimento de Clientes")</f>
        <v>0</v>
      </c>
      <c r="HG26" s="37">
        <f>SUMIFS(Lançamentos!$F:$F,Lançamentos!$A:$A,HG$19,Lançamentos!$C:$C,"Recebimento de Clientes")</f>
        <v>0</v>
      </c>
      <c r="HH26" s="37">
        <f>SUMIFS(Lançamentos!$F:$F,Lançamentos!$A:$A,HH$19,Lançamentos!$C:$C,"Recebimento de Clientes")</f>
        <v>0</v>
      </c>
      <c r="HI26" s="37">
        <f>SUMIFS(Lançamentos!$F:$F,Lançamentos!$A:$A,HI$19,Lançamentos!$C:$C,"Recebimento de Clientes")</f>
        <v>0</v>
      </c>
      <c r="HJ26" s="37">
        <f>SUMIFS(Lançamentos!$F:$F,Lançamentos!$A:$A,HJ$19,Lançamentos!$C:$C,"Recebimento de Clientes")</f>
        <v>0</v>
      </c>
      <c r="HK26" s="37">
        <f>SUMIFS(Lançamentos!$F:$F,Lançamentos!$A:$A,HK$19,Lançamentos!$C:$C,"Recebimento de Clientes")</f>
        <v>0</v>
      </c>
      <c r="HL26" s="37">
        <f>SUMIFS(Lançamentos!$F:$F,Lançamentos!$A:$A,HL$19,Lançamentos!$C:$C,"Recebimento de Clientes")</f>
        <v>0</v>
      </c>
      <c r="HM26" s="37">
        <f>SUMIFS(Lançamentos!$F:$F,Lançamentos!$A:$A,HM$19,Lançamentos!$C:$C,"Recebimento de Clientes")</f>
        <v>0</v>
      </c>
      <c r="HN26" s="37">
        <f>SUMIFS(Lançamentos!$F:$F,Lançamentos!$A:$A,HN$19,Lançamentos!$C:$C,"Recebimento de Clientes")</f>
        <v>0</v>
      </c>
      <c r="HO26" s="37">
        <f>SUMIFS(Lançamentos!$F:$F,Lançamentos!$A:$A,HO$19,Lançamentos!$C:$C,"Recebimento de Clientes")</f>
        <v>0</v>
      </c>
      <c r="HP26" s="37">
        <f>SUMIFS(Lançamentos!$F:$F,Lançamentos!$A:$A,HP$19,Lançamentos!$C:$C,"Recebimento de Clientes")</f>
        <v>0</v>
      </c>
      <c r="HQ26" s="37">
        <f>SUMIFS(Lançamentos!$F:$F,Lançamentos!$A:$A,HQ$19,Lançamentos!$C:$C,"Recebimento de Clientes")</f>
        <v>0</v>
      </c>
      <c r="HR26" s="37">
        <f>SUMIFS(Lançamentos!$F:$F,Lançamentos!$A:$A,HR$19,Lançamentos!$C:$C,"Recebimento de Clientes")</f>
        <v>0</v>
      </c>
      <c r="HS26" s="37">
        <f>SUMIFS(Lançamentos!$F:$F,Lançamentos!$A:$A,HS$19,Lançamentos!$C:$C,"Recebimento de Clientes")</f>
        <v>0</v>
      </c>
      <c r="HT26" s="37">
        <f>SUMIFS(Lançamentos!$F:$F,Lançamentos!$A:$A,HT$19,Lançamentos!$C:$C,"Recebimento de Clientes")</f>
        <v>0</v>
      </c>
      <c r="HU26" s="37">
        <f>SUMIFS(Lançamentos!$F:$F,Lançamentos!$A:$A,HU$19,Lançamentos!$C:$C,"Recebimento de Clientes")</f>
        <v>0</v>
      </c>
      <c r="HV26" s="37">
        <f>SUMIFS(Lançamentos!$F:$F,Lançamentos!$A:$A,HV$19,Lançamentos!$C:$C,"Recebimento de Clientes")</f>
        <v>0</v>
      </c>
      <c r="HW26" s="37">
        <f>SUMIFS(Lançamentos!$F:$F,Lançamentos!$A:$A,HW$19,Lançamentos!$C:$C,"Recebimento de Clientes")</f>
        <v>0</v>
      </c>
      <c r="HX26" s="37">
        <f>SUMIFS(Lançamentos!$F:$F,Lançamentos!$A:$A,HX$19,Lançamentos!$C:$C,"Recebimento de Clientes")</f>
        <v>0</v>
      </c>
      <c r="HY26" s="37">
        <f>SUMIFS(Lançamentos!$F:$F,Lançamentos!$A:$A,HY$19,Lançamentos!$C:$C,"Recebimento de Clientes")</f>
        <v>0</v>
      </c>
      <c r="HZ26" s="37">
        <f>SUMIFS(Lançamentos!$F:$F,Lançamentos!$A:$A,HZ$19,Lançamentos!$C:$C,"Recebimento de Clientes")</f>
        <v>0</v>
      </c>
      <c r="IA26" s="37">
        <f>SUMIFS(Lançamentos!$F:$F,Lançamentos!$A:$A,IA$19,Lançamentos!$C:$C,"Recebimento de Clientes")</f>
        <v>0</v>
      </c>
      <c r="IB26" s="37">
        <f>SUMIFS(Lançamentos!$F:$F,Lançamentos!$A:$A,IB$19,Lançamentos!$C:$C,"Recebimento de Clientes")</f>
        <v>0</v>
      </c>
      <c r="IC26" s="37">
        <f>SUMIFS(Lançamentos!$F:$F,Lançamentos!$A:$A,IC$19,Lançamentos!$C:$C,"Recebimento de Clientes")</f>
        <v>0</v>
      </c>
      <c r="ID26" s="37">
        <f>SUMIFS(Lançamentos!$F:$F,Lançamentos!$A:$A,ID$19,Lançamentos!$C:$C,"Recebimento de Clientes")</f>
        <v>0</v>
      </c>
      <c r="IE26" s="37">
        <f>SUMIFS(Lançamentos!$F:$F,Lançamentos!$A:$A,IE$19,Lançamentos!$C:$C,"Recebimento de Clientes")</f>
        <v>0</v>
      </c>
      <c r="IF26" s="37">
        <f>SUMIFS(Lançamentos!$F:$F,Lançamentos!$A:$A,IF$19,Lançamentos!$C:$C,"Recebimento de Clientes")</f>
        <v>0</v>
      </c>
      <c r="IG26" s="37">
        <f>SUMIFS(Lançamentos!$F:$F,Lançamentos!$A:$A,IG$19,Lançamentos!$C:$C,"Recebimento de Clientes")</f>
        <v>0</v>
      </c>
      <c r="IH26" s="37">
        <f>SUMIFS(Lançamentos!$F:$F,Lançamentos!$A:$A,IH$19,Lançamentos!$C:$C,"Recebimento de Clientes")</f>
        <v>0</v>
      </c>
      <c r="II26" s="37">
        <f>SUMIFS(Lançamentos!$F:$F,Lançamentos!$A:$A,II$19,Lançamentos!$C:$C,"Recebimento de Clientes")</f>
        <v>0</v>
      </c>
      <c r="IJ26" s="37">
        <f>SUMIFS(Lançamentos!$F:$F,Lançamentos!$A:$A,IJ$19,Lançamentos!$C:$C,"Recebimento de Clientes")</f>
        <v>0</v>
      </c>
      <c r="IK26" s="37">
        <f>SUMIFS(Lançamentos!$F:$F,Lançamentos!$A:$A,IK$19,Lançamentos!$C:$C,"Recebimento de Clientes")</f>
        <v>0</v>
      </c>
      <c r="IL26" s="37">
        <f>SUMIFS(Lançamentos!$F:$F,Lançamentos!$A:$A,IL$19,Lançamentos!$C:$C,"Recebimento de Clientes")</f>
        <v>0</v>
      </c>
    </row>
    <row r="27" spans="1:246" x14ac:dyDescent="0.3">
      <c r="A27" t="s">
        <v>82</v>
      </c>
      <c r="B27" s="37">
        <f>SUMIFS(Lançamentos!$F:$F,Lançamentos!$A:$A,B$19,Lançamentos!$C:$C,"Vendas Online")</f>
        <v>0</v>
      </c>
      <c r="C27" s="37">
        <f>SUMIFS(Lançamentos!$F:$F,Lançamentos!$A:$A,C$19,Lançamentos!$C:$C,"Vendas Online")</f>
        <v>0</v>
      </c>
      <c r="D27" s="37">
        <f>SUMIFS(Lançamentos!$F:$F,Lançamentos!$A:$A,D$19,Lançamentos!$C:$C,"Vendas Online")</f>
        <v>0</v>
      </c>
      <c r="E27" s="37">
        <f>SUMIFS(Lançamentos!$F:$F,Lançamentos!$A:$A,E$19,Lançamentos!$C:$C,"Vendas Online")</f>
        <v>0</v>
      </c>
      <c r="F27" s="37">
        <f>SUMIFS(Lançamentos!$F:$F,Lançamentos!$A:$A,F$19,Lançamentos!$C:$C,"Vendas Online")</f>
        <v>0</v>
      </c>
      <c r="G27" s="37">
        <f>SUMIFS(Lançamentos!$F:$F,Lançamentos!$A:$A,G$19,Lançamentos!$C:$C,"Vendas Online")</f>
        <v>0</v>
      </c>
      <c r="H27" s="37">
        <f>SUMIFS(Lançamentos!$F:$F,Lançamentos!$A:$A,H$19,Lançamentos!$C:$C,"Vendas Online")</f>
        <v>0</v>
      </c>
      <c r="I27" s="37">
        <f>SUMIFS(Lançamentos!$F:$F,Lançamentos!$A:$A,I$19,Lançamentos!$C:$C,"Vendas Online")</f>
        <v>0</v>
      </c>
      <c r="J27" s="37">
        <f>SUMIFS(Lançamentos!$F:$F,Lançamentos!$A:$A,J$19,Lançamentos!$C:$C,"Vendas Online")</f>
        <v>0</v>
      </c>
      <c r="K27" s="37">
        <f>SUMIFS(Lançamentos!$F:$F,Lançamentos!$A:$A,K$19,Lançamentos!$C:$C,"Vendas Online")</f>
        <v>0</v>
      </c>
      <c r="L27" s="37">
        <f>SUMIFS(Lançamentos!$F:$F,Lançamentos!$A:$A,L$19,Lançamentos!$C:$C,"Vendas Online")</f>
        <v>0</v>
      </c>
      <c r="M27" s="37">
        <f>SUMIFS(Lançamentos!$F:$F,Lançamentos!$A:$A,M$19,Lançamentos!$C:$C,"Vendas Online")</f>
        <v>0</v>
      </c>
      <c r="N27" s="37">
        <f>SUMIFS(Lançamentos!$F:$F,Lançamentos!$A:$A,N$19,Lançamentos!$C:$C,"Vendas Online")</f>
        <v>0</v>
      </c>
      <c r="O27" s="37">
        <f>SUMIFS(Lançamentos!$F:$F,Lançamentos!$A:$A,O$19,Lançamentos!$C:$C,"Vendas Online")</f>
        <v>0</v>
      </c>
      <c r="P27" s="37">
        <f>SUMIFS(Lançamentos!$F:$F,Lançamentos!$A:$A,P$19,Lançamentos!$C:$C,"Vendas Online")</f>
        <v>0</v>
      </c>
      <c r="Q27" s="37">
        <f>SUMIFS(Lançamentos!$F:$F,Lançamentos!$A:$A,Q$19,Lançamentos!$C:$C,"Vendas Online")</f>
        <v>0</v>
      </c>
      <c r="R27" s="37">
        <f>SUMIFS(Lançamentos!$F:$F,Lançamentos!$A:$A,R$19,Lançamentos!$C:$C,"Vendas Online")</f>
        <v>0</v>
      </c>
      <c r="S27" s="37">
        <f>SUMIFS(Lançamentos!$F:$F,Lançamentos!$A:$A,S$19,Lançamentos!$C:$C,"Vendas Online")</f>
        <v>0</v>
      </c>
      <c r="T27" s="37">
        <f>SUMIFS(Lançamentos!$F:$F,Lançamentos!$A:$A,T$19,Lançamentos!$C:$C,"Vendas Online")</f>
        <v>0</v>
      </c>
      <c r="U27" s="37">
        <f>SUMIFS(Lançamentos!$F:$F,Lançamentos!$A:$A,U$19,Lançamentos!$C:$C,"Vendas Online")</f>
        <v>0</v>
      </c>
      <c r="V27" s="37">
        <f>SUMIFS(Lançamentos!$F:$F,Lançamentos!$A:$A,V$19,Lançamentos!$C:$C,"Vendas Online")</f>
        <v>0</v>
      </c>
      <c r="W27" s="37">
        <f>SUMIFS(Lançamentos!$F:$F,Lançamentos!$A:$A,W$19,Lançamentos!$C:$C,"Vendas Online")</f>
        <v>0</v>
      </c>
      <c r="X27" s="37">
        <f>SUMIFS(Lançamentos!$F:$F,Lançamentos!$A:$A,X$19,Lançamentos!$C:$C,"Vendas Online")</f>
        <v>0</v>
      </c>
      <c r="Y27" s="37">
        <f>SUMIFS(Lançamentos!$F:$F,Lançamentos!$A:$A,Y$19,Lançamentos!$C:$C,"Vendas Online")</f>
        <v>0</v>
      </c>
      <c r="Z27" s="37">
        <f>SUMIFS(Lançamentos!$F:$F,Lançamentos!$A:$A,Z$19,Lançamentos!$C:$C,"Vendas Online")</f>
        <v>0</v>
      </c>
      <c r="AA27" s="37">
        <f>SUMIFS(Lançamentos!$F:$F,Lançamentos!$A:$A,AA$19,Lançamentos!$C:$C,"Vendas Online")</f>
        <v>0</v>
      </c>
      <c r="AB27" s="37">
        <f>SUMIFS(Lançamentos!$F:$F,Lançamentos!$A:$A,AB$19,Lançamentos!$C:$C,"Vendas Online")</f>
        <v>0</v>
      </c>
      <c r="AC27" s="37">
        <f>SUMIFS(Lançamentos!$F:$F,Lançamentos!$A:$A,AC$19,Lançamentos!$C:$C,"Vendas Online")</f>
        <v>0</v>
      </c>
      <c r="AD27" s="37">
        <f>SUMIFS(Lançamentos!$F:$F,Lançamentos!$A:$A,AD$19,Lançamentos!$C:$C,"Vendas Online")</f>
        <v>0</v>
      </c>
      <c r="AE27" s="37">
        <f>SUMIFS(Lançamentos!$F:$F,Lançamentos!$A:$A,AE$19,Lançamentos!$C:$C,"Vendas Online")</f>
        <v>0</v>
      </c>
      <c r="AF27" s="37">
        <f>SUMIFS(Lançamentos!$F:$F,Lançamentos!$A:$A,AF$19,Lançamentos!$C:$C,"Vendas Online")</f>
        <v>0</v>
      </c>
      <c r="AG27" s="37">
        <f>SUMIFS(Lançamentos!$F:$F,Lançamentos!$A:$A,AG$19,Lançamentos!$C:$C,"Vendas Online")</f>
        <v>0</v>
      </c>
      <c r="AH27" s="37">
        <f>SUMIFS(Lançamentos!$F:$F,Lançamentos!$A:$A,AH$19,Lançamentos!$C:$C,"Vendas Online")</f>
        <v>0</v>
      </c>
      <c r="AI27" s="37">
        <f>SUMIFS(Lançamentos!$F:$F,Lançamentos!$A:$A,AI$19,Lançamentos!$C:$C,"Vendas Online")</f>
        <v>0</v>
      </c>
      <c r="AJ27" s="37">
        <f>SUMIFS(Lançamentos!$F:$F,Lançamentos!$A:$A,AJ$19,Lançamentos!$C:$C,"Vendas Online")</f>
        <v>0</v>
      </c>
      <c r="AK27" s="37">
        <f>SUMIFS(Lançamentos!$F:$F,Lançamentos!$A:$A,AK$19,Lançamentos!$C:$C,"Vendas Online")</f>
        <v>0</v>
      </c>
      <c r="AL27" s="37">
        <f>SUMIFS(Lançamentos!$F:$F,Lançamentos!$A:$A,AL$19,Lançamentos!$C:$C,"Vendas Online")</f>
        <v>0</v>
      </c>
      <c r="AM27" s="37">
        <f>SUMIFS(Lançamentos!$F:$F,Lançamentos!$A:$A,AM$19,Lançamentos!$C:$C,"Vendas Online")</f>
        <v>0</v>
      </c>
      <c r="AN27" s="37">
        <f>SUMIFS(Lançamentos!$F:$F,Lançamentos!$A:$A,AN$19,Lançamentos!$C:$C,"Vendas Online")</f>
        <v>0</v>
      </c>
      <c r="AO27" s="37">
        <f>SUMIFS(Lançamentos!$F:$F,Lançamentos!$A:$A,AO$19,Lançamentos!$C:$C,"Vendas Online")</f>
        <v>0</v>
      </c>
      <c r="AP27" s="37">
        <f>SUMIFS(Lançamentos!$F:$F,Lançamentos!$A:$A,AP$19,Lançamentos!$C:$C,"Vendas Online")</f>
        <v>0</v>
      </c>
      <c r="AQ27" s="37">
        <f>SUMIFS(Lançamentos!$F:$F,Lançamentos!$A:$A,AQ$19,Lançamentos!$C:$C,"Vendas Online")</f>
        <v>0</v>
      </c>
      <c r="AR27" s="37">
        <f>SUMIFS(Lançamentos!$F:$F,Lançamentos!$A:$A,AR$19,Lançamentos!$C:$C,"Vendas Online")</f>
        <v>0</v>
      </c>
      <c r="AS27" s="37">
        <f>SUMIFS(Lançamentos!$F:$F,Lançamentos!$A:$A,AS$19,Lançamentos!$C:$C,"Vendas Online")</f>
        <v>0</v>
      </c>
      <c r="AT27" s="37">
        <f>SUMIFS(Lançamentos!$F:$F,Lançamentos!$A:$A,AT$19,Lançamentos!$C:$C,"Vendas Online")</f>
        <v>0</v>
      </c>
      <c r="AU27" s="37">
        <f>SUMIFS(Lançamentos!$F:$F,Lançamentos!$A:$A,AU$19,Lançamentos!$C:$C,"Vendas Online")</f>
        <v>0</v>
      </c>
      <c r="AV27" s="37">
        <f>SUMIFS(Lançamentos!$F:$F,Lançamentos!$A:$A,AV$19,Lançamentos!$C:$C,"Vendas Online")</f>
        <v>0</v>
      </c>
      <c r="AW27" s="37">
        <f>SUMIFS(Lançamentos!$F:$F,Lançamentos!$A:$A,AW$19,Lançamentos!$C:$C,"Vendas Online")</f>
        <v>0</v>
      </c>
      <c r="AX27" s="37">
        <f>SUMIFS(Lançamentos!$F:$F,Lançamentos!$A:$A,AX$19,Lançamentos!$C:$C,"Vendas Online")</f>
        <v>0</v>
      </c>
      <c r="AY27" s="37">
        <f>SUMIFS(Lançamentos!$F:$F,Lançamentos!$A:$A,AY$19,Lançamentos!$C:$C,"Vendas Online")</f>
        <v>0</v>
      </c>
      <c r="AZ27" s="37">
        <f>SUMIFS(Lançamentos!$F:$F,Lançamentos!$A:$A,AZ$19,Lançamentos!$C:$C,"Vendas Online")</f>
        <v>0</v>
      </c>
      <c r="BA27" s="37">
        <f>SUMIFS(Lançamentos!$F:$F,Lançamentos!$A:$A,BA$19,Lançamentos!$C:$C,"Vendas Online")</f>
        <v>0</v>
      </c>
      <c r="BB27" s="37">
        <f>SUMIFS(Lançamentos!$F:$F,Lançamentos!$A:$A,BB$19,Lançamentos!$C:$C,"Vendas Online")</f>
        <v>0</v>
      </c>
      <c r="BC27" s="37">
        <f>SUMIFS(Lançamentos!$F:$F,Lançamentos!$A:$A,BC$19,Lançamentos!$C:$C,"Vendas Online")</f>
        <v>0</v>
      </c>
      <c r="BD27" s="37">
        <f>SUMIFS(Lançamentos!$F:$F,Lançamentos!$A:$A,BD$19,Lançamentos!$C:$C,"Vendas Online")</f>
        <v>0</v>
      </c>
      <c r="BE27" s="37">
        <f>SUMIFS(Lançamentos!$F:$F,Lançamentos!$A:$A,BE$19,Lançamentos!$C:$C,"Vendas Online")</f>
        <v>0</v>
      </c>
      <c r="BF27" s="37">
        <f>SUMIFS(Lançamentos!$F:$F,Lançamentos!$A:$A,BF$19,Lançamentos!$C:$C,"Vendas Online")</f>
        <v>0</v>
      </c>
      <c r="BG27" s="37">
        <f>SUMIFS(Lançamentos!$F:$F,Lançamentos!$A:$A,BG$19,Lançamentos!$C:$C,"Vendas Online")</f>
        <v>0</v>
      </c>
      <c r="BH27" s="37">
        <f>SUMIFS(Lançamentos!$F:$F,Lançamentos!$A:$A,BH$19,Lançamentos!$C:$C,"Vendas Online")</f>
        <v>0</v>
      </c>
      <c r="BI27" s="37">
        <f>SUMIFS(Lançamentos!$F:$F,Lançamentos!$A:$A,BI$19,Lançamentos!$C:$C,"Vendas Online")</f>
        <v>0</v>
      </c>
      <c r="BJ27" s="37">
        <f>SUMIFS(Lançamentos!$F:$F,Lançamentos!$A:$A,BJ$19,Lançamentos!$C:$C,"Vendas Online")</f>
        <v>0</v>
      </c>
      <c r="BK27" s="37">
        <f>SUMIFS(Lançamentos!$F:$F,Lançamentos!$A:$A,BK$19,Lançamentos!$C:$C,"Vendas Online")</f>
        <v>0</v>
      </c>
      <c r="BL27" s="37">
        <f>SUMIFS(Lançamentos!$F:$F,Lançamentos!$A:$A,BL$19,Lançamentos!$C:$C,"Vendas Online")</f>
        <v>0</v>
      </c>
      <c r="BM27" s="37">
        <f>SUMIFS(Lançamentos!$F:$F,Lançamentos!$A:$A,BM$19,Lançamentos!$C:$C,"Vendas Online")</f>
        <v>0</v>
      </c>
      <c r="BN27" s="37">
        <f>SUMIFS(Lançamentos!$F:$F,Lançamentos!$A:$A,BN$19,Lançamentos!$C:$C,"Vendas Online")</f>
        <v>0</v>
      </c>
      <c r="BO27" s="37">
        <f>SUMIFS(Lançamentos!$F:$F,Lançamentos!$A:$A,BO$19,Lançamentos!$C:$C,"Vendas Online")</f>
        <v>0</v>
      </c>
      <c r="BP27" s="37">
        <f>SUMIFS(Lançamentos!$F:$F,Lançamentos!$A:$A,BP$19,Lançamentos!$C:$C,"Vendas Online")</f>
        <v>0</v>
      </c>
      <c r="BQ27" s="37">
        <f>SUMIFS(Lançamentos!$F:$F,Lançamentos!$A:$A,BQ$19,Lançamentos!$C:$C,"Vendas Online")</f>
        <v>0</v>
      </c>
      <c r="BR27" s="37">
        <f>SUMIFS(Lançamentos!$F:$F,Lançamentos!$A:$A,BR$19,Lançamentos!$C:$C,"Vendas Online")</f>
        <v>0</v>
      </c>
      <c r="BS27" s="37">
        <f>SUMIFS(Lançamentos!$F:$F,Lançamentos!$A:$A,BS$19,Lançamentos!$C:$C,"Vendas Online")</f>
        <v>0</v>
      </c>
      <c r="BT27" s="37">
        <f>SUMIFS(Lançamentos!$F:$F,Lançamentos!$A:$A,BT$19,Lançamentos!$C:$C,"Vendas Online")</f>
        <v>0</v>
      </c>
      <c r="BU27" s="37">
        <f>SUMIFS(Lançamentos!$F:$F,Lançamentos!$A:$A,BU$19,Lançamentos!$C:$C,"Vendas Online")</f>
        <v>0</v>
      </c>
      <c r="BV27" s="37">
        <f>SUMIFS(Lançamentos!$F:$F,Lançamentos!$A:$A,BV$19,Lançamentos!$C:$C,"Vendas Online")</f>
        <v>0</v>
      </c>
      <c r="BW27" s="37">
        <f>SUMIFS(Lançamentos!$F:$F,Lançamentos!$A:$A,BW$19,Lançamentos!$C:$C,"Vendas Online")</f>
        <v>0</v>
      </c>
      <c r="BX27" s="37">
        <f>SUMIFS(Lançamentos!$F:$F,Lançamentos!$A:$A,BX$19,Lançamentos!$C:$C,"Vendas Online")</f>
        <v>0</v>
      </c>
      <c r="BY27" s="37">
        <f>SUMIFS(Lançamentos!$F:$F,Lançamentos!$A:$A,BY$19,Lançamentos!$C:$C,"Vendas Online")</f>
        <v>0</v>
      </c>
      <c r="BZ27" s="37">
        <f>SUMIFS(Lançamentos!$F:$F,Lançamentos!$A:$A,BZ$19,Lançamentos!$C:$C,"Vendas Online")</f>
        <v>0</v>
      </c>
      <c r="CA27" s="37">
        <f>SUMIFS(Lançamentos!$F:$F,Lançamentos!$A:$A,CA$19,Lançamentos!$C:$C,"Vendas Online")</f>
        <v>0</v>
      </c>
      <c r="CB27" s="37">
        <f>SUMIFS(Lançamentos!$F:$F,Lançamentos!$A:$A,CB$19,Lançamentos!$C:$C,"Vendas Online")</f>
        <v>0</v>
      </c>
      <c r="CC27" s="37">
        <f>SUMIFS(Lançamentos!$F:$F,Lançamentos!$A:$A,CC$19,Lançamentos!$C:$C,"Vendas Online")</f>
        <v>0</v>
      </c>
      <c r="CD27" s="37">
        <f>SUMIFS(Lançamentos!$F:$F,Lançamentos!$A:$A,CD$19,Lançamentos!$C:$C,"Vendas Online")</f>
        <v>0</v>
      </c>
      <c r="CE27" s="37">
        <f>SUMIFS(Lançamentos!$F:$F,Lançamentos!$A:$A,CE$19,Lançamentos!$C:$C,"Vendas Online")</f>
        <v>0</v>
      </c>
      <c r="CF27" s="37">
        <f>SUMIFS(Lançamentos!$F:$F,Lançamentos!$A:$A,CF$19,Lançamentos!$C:$C,"Vendas Online")</f>
        <v>0</v>
      </c>
      <c r="CG27" s="37">
        <f>SUMIFS(Lançamentos!$F:$F,Lançamentos!$A:$A,CG$19,Lançamentos!$C:$C,"Vendas Online")</f>
        <v>0</v>
      </c>
      <c r="CH27" s="37">
        <f>SUMIFS(Lançamentos!$F:$F,Lançamentos!$A:$A,CH$19,Lançamentos!$C:$C,"Vendas Online")</f>
        <v>0</v>
      </c>
      <c r="CI27" s="37">
        <f>SUMIFS(Lançamentos!$F:$F,Lançamentos!$A:$A,CI$19,Lançamentos!$C:$C,"Vendas Online")</f>
        <v>0</v>
      </c>
      <c r="CJ27" s="37">
        <f>SUMIFS(Lançamentos!$F:$F,Lançamentos!$A:$A,CJ$19,Lançamentos!$C:$C,"Vendas Online")</f>
        <v>0</v>
      </c>
      <c r="CK27" s="37">
        <f>SUMIFS(Lançamentos!$F:$F,Lançamentos!$A:$A,CK$19,Lançamentos!$C:$C,"Vendas Online")</f>
        <v>0</v>
      </c>
      <c r="CL27" s="37">
        <f>SUMIFS(Lançamentos!$F:$F,Lançamentos!$A:$A,CL$19,Lançamentos!$C:$C,"Vendas Online")</f>
        <v>0</v>
      </c>
      <c r="CM27" s="37">
        <f>SUMIFS(Lançamentos!$F:$F,Lançamentos!$A:$A,CM$19,Lançamentos!$C:$C,"Vendas Online")</f>
        <v>0</v>
      </c>
      <c r="CN27" s="37">
        <f>SUMIFS(Lançamentos!$F:$F,Lançamentos!$A:$A,CN$19,Lançamentos!$C:$C,"Vendas Online")</f>
        <v>0</v>
      </c>
      <c r="CO27" s="37">
        <f>SUMIFS(Lançamentos!$F:$F,Lançamentos!$A:$A,CO$19,Lançamentos!$C:$C,"Vendas Online")</f>
        <v>0</v>
      </c>
      <c r="CP27" s="37">
        <f>SUMIFS(Lançamentos!$F:$F,Lançamentos!$A:$A,CP$19,Lançamentos!$C:$C,"Vendas Online")</f>
        <v>0</v>
      </c>
      <c r="CQ27" s="37">
        <f>SUMIFS(Lançamentos!$F:$F,Lançamentos!$A:$A,CQ$19,Lançamentos!$C:$C,"Vendas Online")</f>
        <v>0</v>
      </c>
      <c r="CR27" s="37">
        <f>SUMIFS(Lançamentos!$F:$F,Lançamentos!$A:$A,CR$19,Lançamentos!$C:$C,"Vendas Online")</f>
        <v>0</v>
      </c>
      <c r="CS27" s="37">
        <f>SUMIFS(Lançamentos!$F:$F,Lançamentos!$A:$A,CS$19,Lançamentos!$C:$C,"Vendas Online")</f>
        <v>0</v>
      </c>
      <c r="CT27" s="37">
        <f>SUMIFS(Lançamentos!$F:$F,Lançamentos!$A:$A,CT$19,Lançamentos!$C:$C,"Vendas Online")</f>
        <v>0</v>
      </c>
      <c r="CU27" s="37">
        <f>SUMIFS(Lançamentos!$F:$F,Lançamentos!$A:$A,CU$19,Lançamentos!$C:$C,"Vendas Online")</f>
        <v>0</v>
      </c>
      <c r="CV27" s="37">
        <f>SUMIFS(Lançamentos!$F:$F,Lançamentos!$A:$A,CV$19,Lançamentos!$C:$C,"Vendas Online")</f>
        <v>0</v>
      </c>
      <c r="CW27" s="37">
        <f>SUMIFS(Lançamentos!$F:$F,Lançamentos!$A:$A,CW$19,Lançamentos!$C:$C,"Vendas Online")</f>
        <v>0</v>
      </c>
      <c r="CX27" s="37">
        <f>SUMIFS(Lançamentos!$F:$F,Lançamentos!$A:$A,CX$19,Lançamentos!$C:$C,"Vendas Online")</f>
        <v>0</v>
      </c>
      <c r="CY27" s="37">
        <f>SUMIFS(Lançamentos!$F:$F,Lançamentos!$A:$A,CY$19,Lançamentos!$C:$C,"Vendas Online")</f>
        <v>0</v>
      </c>
      <c r="CZ27" s="37">
        <f>SUMIFS(Lançamentos!$F:$F,Lançamentos!$A:$A,CZ$19,Lançamentos!$C:$C,"Vendas Online")</f>
        <v>0</v>
      </c>
      <c r="DA27" s="37">
        <f>SUMIFS(Lançamentos!$F:$F,Lançamentos!$A:$A,DA$19,Lançamentos!$C:$C,"Vendas Online")</f>
        <v>0</v>
      </c>
      <c r="DB27" s="37">
        <f>SUMIFS(Lançamentos!$F:$F,Lançamentos!$A:$A,DB$19,Lançamentos!$C:$C,"Vendas Online")</f>
        <v>0</v>
      </c>
      <c r="DC27" s="37">
        <f>SUMIFS(Lançamentos!$F:$F,Lançamentos!$A:$A,DC$19,Lançamentos!$C:$C,"Vendas Online")</f>
        <v>0</v>
      </c>
      <c r="DD27" s="37">
        <f>SUMIFS(Lançamentos!$F:$F,Lançamentos!$A:$A,DD$19,Lançamentos!$C:$C,"Vendas Online")</f>
        <v>0</v>
      </c>
      <c r="DE27" s="37">
        <f>SUMIFS(Lançamentos!$F:$F,Lançamentos!$A:$A,DE$19,Lançamentos!$C:$C,"Vendas Online")</f>
        <v>0</v>
      </c>
      <c r="DF27" s="37">
        <f>SUMIFS(Lançamentos!$F:$F,Lançamentos!$A:$A,DF$19,Lançamentos!$C:$C,"Vendas Online")</f>
        <v>0</v>
      </c>
      <c r="DG27" s="37">
        <f>SUMIFS(Lançamentos!$F:$F,Lançamentos!$A:$A,DG$19,Lançamentos!$C:$C,"Vendas Online")</f>
        <v>0</v>
      </c>
      <c r="DH27" s="37">
        <f>SUMIFS(Lançamentos!$F:$F,Lançamentos!$A:$A,DH$19,Lançamentos!$C:$C,"Vendas Online")</f>
        <v>0</v>
      </c>
      <c r="DI27" s="37">
        <f>SUMIFS(Lançamentos!$F:$F,Lançamentos!$A:$A,DI$19,Lançamentos!$C:$C,"Vendas Online")</f>
        <v>0</v>
      </c>
      <c r="DJ27" s="37">
        <f>SUMIFS(Lançamentos!$F:$F,Lançamentos!$A:$A,DJ$19,Lançamentos!$C:$C,"Vendas Online")</f>
        <v>0</v>
      </c>
      <c r="DK27" s="37">
        <f>SUMIFS(Lançamentos!$F:$F,Lançamentos!$A:$A,DK$19,Lançamentos!$C:$C,"Vendas Online")</f>
        <v>0</v>
      </c>
      <c r="DL27" s="37">
        <f>SUMIFS(Lançamentos!$F:$F,Lançamentos!$A:$A,DL$19,Lançamentos!$C:$C,"Vendas Online")</f>
        <v>0</v>
      </c>
      <c r="DM27" s="37">
        <f>SUMIFS(Lançamentos!$F:$F,Lançamentos!$A:$A,DM$19,Lançamentos!$C:$C,"Vendas Online")</f>
        <v>0</v>
      </c>
      <c r="DN27" s="37">
        <f>SUMIFS(Lançamentos!$F:$F,Lançamentos!$A:$A,DN$19,Lançamentos!$C:$C,"Vendas Online")</f>
        <v>0</v>
      </c>
      <c r="DO27" s="37">
        <f>SUMIFS(Lançamentos!$F:$F,Lançamentos!$A:$A,DO$19,Lançamentos!$C:$C,"Vendas Online")</f>
        <v>0</v>
      </c>
      <c r="DP27" s="37">
        <f>SUMIFS(Lançamentos!$F:$F,Lançamentos!$A:$A,DP$19,Lançamentos!$C:$C,"Vendas Online")</f>
        <v>0</v>
      </c>
      <c r="DQ27" s="37">
        <f>SUMIFS(Lançamentos!$F:$F,Lançamentos!$A:$A,DQ$19,Lançamentos!$C:$C,"Vendas Online")</f>
        <v>0</v>
      </c>
      <c r="DR27" s="37">
        <f>SUMIFS(Lançamentos!$F:$F,Lançamentos!$A:$A,DR$19,Lançamentos!$C:$C,"Vendas Online")</f>
        <v>0</v>
      </c>
      <c r="DS27" s="37">
        <f>SUMIFS(Lançamentos!$F:$F,Lançamentos!$A:$A,DS$19,Lançamentos!$C:$C,"Vendas Online")</f>
        <v>0</v>
      </c>
      <c r="DT27" s="37">
        <f>SUMIFS(Lançamentos!$F:$F,Lançamentos!$A:$A,DT$19,Lançamentos!$C:$C,"Vendas Online")</f>
        <v>0</v>
      </c>
      <c r="DU27" s="37">
        <f>SUMIFS(Lançamentos!$F:$F,Lançamentos!$A:$A,DU$19,Lançamentos!$C:$C,"Vendas Online")</f>
        <v>0</v>
      </c>
      <c r="DV27" s="37">
        <f>SUMIFS(Lançamentos!$F:$F,Lançamentos!$A:$A,DV$19,Lançamentos!$C:$C,"Vendas Online")</f>
        <v>0</v>
      </c>
      <c r="DW27" s="37">
        <f>SUMIFS(Lançamentos!$F:$F,Lançamentos!$A:$A,DW$19,Lançamentos!$C:$C,"Vendas Online")</f>
        <v>0</v>
      </c>
      <c r="DX27" s="37">
        <f>SUMIFS(Lançamentos!$F:$F,Lançamentos!$A:$A,DX$19,Lançamentos!$C:$C,"Vendas Online")</f>
        <v>0</v>
      </c>
      <c r="DY27" s="37">
        <f>SUMIFS(Lançamentos!$F:$F,Lançamentos!$A:$A,DY$19,Lançamentos!$C:$C,"Vendas Online")</f>
        <v>0</v>
      </c>
      <c r="DZ27" s="37">
        <f>SUMIFS(Lançamentos!$F:$F,Lançamentos!$A:$A,DZ$19,Lançamentos!$C:$C,"Vendas Online")</f>
        <v>0</v>
      </c>
      <c r="EA27" s="37">
        <f>SUMIFS(Lançamentos!$F:$F,Lançamentos!$A:$A,EA$19,Lançamentos!$C:$C,"Vendas Online")</f>
        <v>0</v>
      </c>
      <c r="EB27" s="37">
        <f>SUMIFS(Lançamentos!$F:$F,Lançamentos!$A:$A,EB$19,Lançamentos!$C:$C,"Vendas Online")</f>
        <v>0</v>
      </c>
      <c r="EC27" s="37">
        <f>SUMIFS(Lançamentos!$F:$F,Lançamentos!$A:$A,EC$19,Lançamentos!$C:$C,"Vendas Online")</f>
        <v>0</v>
      </c>
      <c r="ED27" s="37">
        <f>SUMIFS(Lançamentos!$F:$F,Lançamentos!$A:$A,ED$19,Lançamentos!$C:$C,"Vendas Online")</f>
        <v>0</v>
      </c>
      <c r="EE27" s="37">
        <f>SUMIFS(Lançamentos!$F:$F,Lançamentos!$A:$A,EE$19,Lançamentos!$C:$C,"Vendas Online")</f>
        <v>0</v>
      </c>
      <c r="EF27" s="37">
        <f>SUMIFS(Lançamentos!$F:$F,Lançamentos!$A:$A,EF$19,Lançamentos!$C:$C,"Vendas Online")</f>
        <v>0</v>
      </c>
      <c r="EG27" s="37">
        <f>SUMIFS(Lançamentos!$F:$F,Lançamentos!$A:$A,EG$19,Lançamentos!$C:$C,"Vendas Online")</f>
        <v>0</v>
      </c>
      <c r="EH27" s="37">
        <f>SUMIFS(Lançamentos!$F:$F,Lançamentos!$A:$A,EH$19,Lançamentos!$C:$C,"Vendas Online")</f>
        <v>0</v>
      </c>
      <c r="EI27" s="37">
        <f>SUMIFS(Lançamentos!$F:$F,Lançamentos!$A:$A,EI$19,Lançamentos!$C:$C,"Vendas Online")</f>
        <v>0</v>
      </c>
      <c r="EJ27" s="37">
        <f>SUMIFS(Lançamentos!$F:$F,Lançamentos!$A:$A,EJ$19,Lançamentos!$C:$C,"Vendas Online")</f>
        <v>0</v>
      </c>
      <c r="EK27" s="37">
        <f>SUMIFS(Lançamentos!$F:$F,Lançamentos!$A:$A,EK$19,Lançamentos!$C:$C,"Vendas Online")</f>
        <v>0</v>
      </c>
      <c r="EL27" s="37">
        <f>SUMIFS(Lançamentos!$F:$F,Lançamentos!$A:$A,EL$19,Lançamentos!$C:$C,"Vendas Online")</f>
        <v>0</v>
      </c>
      <c r="EM27" s="37">
        <f>SUMIFS(Lançamentos!$F:$F,Lançamentos!$A:$A,EM$19,Lançamentos!$C:$C,"Vendas Online")</f>
        <v>0</v>
      </c>
      <c r="EN27" s="37">
        <f>SUMIFS(Lançamentos!$F:$F,Lançamentos!$A:$A,EN$19,Lançamentos!$C:$C,"Vendas Online")</f>
        <v>0</v>
      </c>
      <c r="EO27" s="37">
        <f>SUMIFS(Lançamentos!$F:$F,Lançamentos!$A:$A,EO$19,Lançamentos!$C:$C,"Vendas Online")</f>
        <v>0</v>
      </c>
      <c r="EP27" s="37">
        <f>SUMIFS(Lançamentos!$F:$F,Lançamentos!$A:$A,EP$19,Lançamentos!$C:$C,"Vendas Online")</f>
        <v>0</v>
      </c>
      <c r="EQ27" s="37">
        <f>SUMIFS(Lançamentos!$F:$F,Lançamentos!$A:$A,EQ$19,Lançamentos!$C:$C,"Vendas Online")</f>
        <v>0</v>
      </c>
      <c r="ER27" s="37">
        <f>SUMIFS(Lançamentos!$F:$F,Lançamentos!$A:$A,ER$19,Lançamentos!$C:$C,"Vendas Online")</f>
        <v>0</v>
      </c>
      <c r="ES27" s="37">
        <f>SUMIFS(Lançamentos!$F:$F,Lançamentos!$A:$A,ES$19,Lançamentos!$C:$C,"Vendas Online")</f>
        <v>0</v>
      </c>
      <c r="ET27" s="37">
        <f>SUMIFS(Lançamentos!$F:$F,Lançamentos!$A:$A,ET$19,Lançamentos!$C:$C,"Vendas Online")</f>
        <v>0</v>
      </c>
      <c r="EU27" s="37">
        <f>SUMIFS(Lançamentos!$F:$F,Lançamentos!$A:$A,EU$19,Lançamentos!$C:$C,"Vendas Online")</f>
        <v>0</v>
      </c>
      <c r="EV27" s="37">
        <f>SUMIFS(Lançamentos!$F:$F,Lançamentos!$A:$A,EV$19,Lançamentos!$C:$C,"Vendas Online")</f>
        <v>0</v>
      </c>
      <c r="EW27" s="37">
        <f>SUMIFS(Lançamentos!$F:$F,Lançamentos!$A:$A,EW$19,Lançamentos!$C:$C,"Vendas Online")</f>
        <v>0</v>
      </c>
      <c r="EX27" s="37">
        <f>SUMIFS(Lançamentos!$F:$F,Lançamentos!$A:$A,EX$19,Lançamentos!$C:$C,"Vendas Online")</f>
        <v>0</v>
      </c>
      <c r="EY27" s="37">
        <f>SUMIFS(Lançamentos!$F:$F,Lançamentos!$A:$A,EY$19,Lançamentos!$C:$C,"Vendas Online")</f>
        <v>0</v>
      </c>
      <c r="EZ27" s="37">
        <f>SUMIFS(Lançamentos!$F:$F,Lançamentos!$A:$A,EZ$19,Lançamentos!$C:$C,"Vendas Online")</f>
        <v>0</v>
      </c>
      <c r="FA27" s="37">
        <f>SUMIFS(Lançamentos!$F:$F,Lançamentos!$A:$A,FA$19,Lançamentos!$C:$C,"Vendas Online")</f>
        <v>0</v>
      </c>
      <c r="FB27" s="37">
        <f>SUMIFS(Lançamentos!$F:$F,Lançamentos!$A:$A,FB$19,Lançamentos!$C:$C,"Vendas Online")</f>
        <v>0</v>
      </c>
      <c r="FC27" s="37">
        <f>SUMIFS(Lançamentos!$F:$F,Lançamentos!$A:$A,FC$19,Lançamentos!$C:$C,"Vendas Online")</f>
        <v>0</v>
      </c>
      <c r="FD27" s="37">
        <f>SUMIFS(Lançamentos!$F:$F,Lançamentos!$A:$A,FD$19,Lançamentos!$C:$C,"Vendas Online")</f>
        <v>0</v>
      </c>
      <c r="FE27" s="37">
        <f>SUMIFS(Lançamentos!$F:$F,Lançamentos!$A:$A,FE$19,Lançamentos!$C:$C,"Vendas Online")</f>
        <v>0</v>
      </c>
      <c r="FF27" s="37">
        <f>SUMIFS(Lançamentos!$F:$F,Lançamentos!$A:$A,FF$19,Lançamentos!$C:$C,"Vendas Online")</f>
        <v>0</v>
      </c>
      <c r="FG27" s="37">
        <f>SUMIFS(Lançamentos!$F:$F,Lançamentos!$A:$A,FG$19,Lançamentos!$C:$C,"Vendas Online")</f>
        <v>0</v>
      </c>
      <c r="FH27" s="37">
        <f>SUMIFS(Lançamentos!$F:$F,Lançamentos!$A:$A,FH$19,Lançamentos!$C:$C,"Vendas Online")</f>
        <v>0</v>
      </c>
      <c r="FI27" s="37">
        <f>SUMIFS(Lançamentos!$F:$F,Lançamentos!$A:$A,FI$19,Lançamentos!$C:$C,"Vendas Online")</f>
        <v>0</v>
      </c>
      <c r="FJ27" s="37">
        <f>SUMIFS(Lançamentos!$F:$F,Lançamentos!$A:$A,FJ$19,Lançamentos!$C:$C,"Vendas Online")</f>
        <v>0</v>
      </c>
      <c r="FK27" s="37">
        <f>SUMIFS(Lançamentos!$F:$F,Lançamentos!$A:$A,FK$19,Lançamentos!$C:$C,"Vendas Online")</f>
        <v>0</v>
      </c>
      <c r="FL27" s="37">
        <f>SUMIFS(Lançamentos!$F:$F,Lançamentos!$A:$A,FL$19,Lançamentos!$C:$C,"Vendas Online")</f>
        <v>0</v>
      </c>
      <c r="FM27" s="37">
        <f>SUMIFS(Lançamentos!$F:$F,Lançamentos!$A:$A,FM$19,Lançamentos!$C:$C,"Vendas Online")</f>
        <v>0</v>
      </c>
      <c r="FN27" s="37">
        <f>SUMIFS(Lançamentos!$F:$F,Lançamentos!$A:$A,FN$19,Lançamentos!$C:$C,"Vendas Online")</f>
        <v>0</v>
      </c>
      <c r="FO27" s="37">
        <f>SUMIFS(Lançamentos!$F:$F,Lançamentos!$A:$A,FO$19,Lançamentos!$C:$C,"Vendas Online")</f>
        <v>0</v>
      </c>
      <c r="FP27" s="37">
        <f>SUMIFS(Lançamentos!$F:$F,Lançamentos!$A:$A,FP$19,Lançamentos!$C:$C,"Vendas Online")</f>
        <v>0</v>
      </c>
      <c r="FQ27" s="37">
        <f>SUMIFS(Lançamentos!$F:$F,Lançamentos!$A:$A,FQ$19,Lançamentos!$C:$C,"Vendas Online")</f>
        <v>0</v>
      </c>
      <c r="FR27" s="37">
        <f>SUMIFS(Lançamentos!$F:$F,Lançamentos!$A:$A,FR$19,Lançamentos!$C:$C,"Vendas Online")</f>
        <v>0</v>
      </c>
      <c r="FS27" s="37">
        <f>SUMIFS(Lançamentos!$F:$F,Lançamentos!$A:$A,FS$19,Lançamentos!$C:$C,"Vendas Online")</f>
        <v>0</v>
      </c>
      <c r="FT27" s="37">
        <f>SUMIFS(Lançamentos!$F:$F,Lançamentos!$A:$A,FT$19,Lançamentos!$C:$C,"Vendas Online")</f>
        <v>0</v>
      </c>
      <c r="FU27" s="37">
        <f>SUMIFS(Lançamentos!$F:$F,Lançamentos!$A:$A,FU$19,Lançamentos!$C:$C,"Vendas Online")</f>
        <v>0</v>
      </c>
      <c r="FV27" s="37">
        <f>SUMIFS(Lançamentos!$F:$F,Lançamentos!$A:$A,FV$19,Lançamentos!$C:$C,"Vendas Online")</f>
        <v>0</v>
      </c>
      <c r="FW27" s="37">
        <f>SUMIFS(Lançamentos!$F:$F,Lançamentos!$A:$A,FW$19,Lançamentos!$C:$C,"Vendas Online")</f>
        <v>0</v>
      </c>
      <c r="FX27" s="37">
        <f>SUMIFS(Lançamentos!$F:$F,Lançamentos!$A:$A,FX$19,Lançamentos!$C:$C,"Vendas Online")</f>
        <v>0</v>
      </c>
      <c r="FY27" s="37">
        <f>SUMIFS(Lançamentos!$F:$F,Lançamentos!$A:$A,FY$19,Lançamentos!$C:$C,"Vendas Online")</f>
        <v>0</v>
      </c>
      <c r="FZ27" s="37">
        <f>SUMIFS(Lançamentos!$F:$F,Lançamentos!$A:$A,FZ$19,Lançamentos!$C:$C,"Vendas Online")</f>
        <v>0</v>
      </c>
      <c r="GA27" s="37">
        <f>SUMIFS(Lançamentos!$F:$F,Lançamentos!$A:$A,GA$19,Lançamentos!$C:$C,"Vendas Online")</f>
        <v>0</v>
      </c>
      <c r="GB27" s="37">
        <f>SUMIFS(Lançamentos!$F:$F,Lançamentos!$A:$A,GB$19,Lançamentos!$C:$C,"Vendas Online")</f>
        <v>0</v>
      </c>
      <c r="GC27" s="37">
        <f>SUMIFS(Lançamentos!$F:$F,Lançamentos!$A:$A,GC$19,Lançamentos!$C:$C,"Vendas Online")</f>
        <v>0</v>
      </c>
      <c r="GD27" s="37">
        <f>SUMIFS(Lançamentos!$F:$F,Lançamentos!$A:$A,GD$19,Lançamentos!$C:$C,"Vendas Online")</f>
        <v>0</v>
      </c>
      <c r="GE27" s="37">
        <f>SUMIFS(Lançamentos!$F:$F,Lançamentos!$A:$A,GE$19,Lançamentos!$C:$C,"Vendas Online")</f>
        <v>0</v>
      </c>
      <c r="GF27" s="37">
        <f>SUMIFS(Lançamentos!$F:$F,Lançamentos!$A:$A,GF$19,Lançamentos!$C:$C,"Vendas Online")</f>
        <v>0</v>
      </c>
      <c r="GG27" s="37">
        <f>SUMIFS(Lançamentos!$F:$F,Lançamentos!$A:$A,GG$19,Lançamentos!$C:$C,"Vendas Online")</f>
        <v>0</v>
      </c>
      <c r="GH27" s="37">
        <f>SUMIFS(Lançamentos!$F:$F,Lançamentos!$A:$A,GH$19,Lançamentos!$C:$C,"Vendas Online")</f>
        <v>0</v>
      </c>
      <c r="GI27" s="37">
        <f>SUMIFS(Lançamentos!$F:$F,Lançamentos!$A:$A,GI$19,Lançamentos!$C:$C,"Vendas Online")</f>
        <v>0</v>
      </c>
      <c r="GJ27" s="37">
        <f>SUMIFS(Lançamentos!$F:$F,Lançamentos!$A:$A,GJ$19,Lançamentos!$C:$C,"Vendas Online")</f>
        <v>0</v>
      </c>
      <c r="GK27" s="37">
        <f>SUMIFS(Lançamentos!$F:$F,Lançamentos!$A:$A,GK$19,Lançamentos!$C:$C,"Vendas Online")</f>
        <v>0</v>
      </c>
      <c r="GL27" s="37">
        <f>SUMIFS(Lançamentos!$F:$F,Lançamentos!$A:$A,GL$19,Lançamentos!$C:$C,"Vendas Online")</f>
        <v>0</v>
      </c>
      <c r="GM27" s="37">
        <f>SUMIFS(Lançamentos!$F:$F,Lançamentos!$A:$A,GM$19,Lançamentos!$C:$C,"Vendas Online")</f>
        <v>0</v>
      </c>
      <c r="GN27" s="37">
        <f>SUMIFS(Lançamentos!$F:$F,Lançamentos!$A:$A,GN$19,Lançamentos!$C:$C,"Vendas Online")</f>
        <v>0</v>
      </c>
      <c r="GO27" s="37">
        <f>SUMIFS(Lançamentos!$F:$F,Lançamentos!$A:$A,GO$19,Lançamentos!$C:$C,"Vendas Online")</f>
        <v>0</v>
      </c>
      <c r="GP27" s="37">
        <f>SUMIFS(Lançamentos!$F:$F,Lançamentos!$A:$A,GP$19,Lançamentos!$C:$C,"Vendas Online")</f>
        <v>0</v>
      </c>
      <c r="GQ27" s="37">
        <f>SUMIFS(Lançamentos!$F:$F,Lançamentos!$A:$A,GQ$19,Lançamentos!$C:$C,"Vendas Online")</f>
        <v>0</v>
      </c>
      <c r="GR27" s="37">
        <f>SUMIFS(Lançamentos!$F:$F,Lançamentos!$A:$A,GR$19,Lançamentos!$C:$C,"Vendas Online")</f>
        <v>0</v>
      </c>
      <c r="GS27" s="37">
        <f>SUMIFS(Lançamentos!$F:$F,Lançamentos!$A:$A,GS$19,Lançamentos!$C:$C,"Vendas Online")</f>
        <v>0</v>
      </c>
      <c r="GT27" s="37">
        <f>SUMIFS(Lançamentos!$F:$F,Lançamentos!$A:$A,GT$19,Lançamentos!$C:$C,"Vendas Online")</f>
        <v>0</v>
      </c>
      <c r="GU27" s="37">
        <f>SUMIFS(Lançamentos!$F:$F,Lançamentos!$A:$A,GU$19,Lançamentos!$C:$C,"Vendas Online")</f>
        <v>0</v>
      </c>
      <c r="GV27" s="37">
        <f>SUMIFS(Lançamentos!$F:$F,Lançamentos!$A:$A,GV$19,Lançamentos!$C:$C,"Vendas Online")</f>
        <v>0</v>
      </c>
      <c r="GW27" s="37">
        <f>SUMIFS(Lançamentos!$F:$F,Lançamentos!$A:$A,GW$19,Lançamentos!$C:$C,"Vendas Online")</f>
        <v>0</v>
      </c>
      <c r="GX27" s="37">
        <f>SUMIFS(Lançamentos!$F:$F,Lançamentos!$A:$A,GX$19,Lançamentos!$C:$C,"Vendas Online")</f>
        <v>0</v>
      </c>
      <c r="GY27" s="37">
        <f>SUMIFS(Lançamentos!$F:$F,Lançamentos!$A:$A,GY$19,Lançamentos!$C:$C,"Vendas Online")</f>
        <v>0</v>
      </c>
      <c r="GZ27" s="37">
        <f>SUMIFS(Lançamentos!$F:$F,Lançamentos!$A:$A,GZ$19,Lançamentos!$C:$C,"Vendas Online")</f>
        <v>0</v>
      </c>
      <c r="HA27" s="37">
        <f>SUMIFS(Lançamentos!$F:$F,Lançamentos!$A:$A,HA$19,Lançamentos!$C:$C,"Vendas Online")</f>
        <v>0</v>
      </c>
      <c r="HB27" s="37">
        <f>SUMIFS(Lançamentos!$F:$F,Lançamentos!$A:$A,HB$19,Lançamentos!$C:$C,"Vendas Online")</f>
        <v>0</v>
      </c>
      <c r="HC27" s="37">
        <f>SUMIFS(Lançamentos!$F:$F,Lançamentos!$A:$A,HC$19,Lançamentos!$C:$C,"Vendas Online")</f>
        <v>0</v>
      </c>
      <c r="HD27" s="37">
        <f>SUMIFS(Lançamentos!$F:$F,Lançamentos!$A:$A,HD$19,Lançamentos!$C:$C,"Vendas Online")</f>
        <v>0</v>
      </c>
      <c r="HE27" s="37">
        <f>SUMIFS(Lançamentos!$F:$F,Lançamentos!$A:$A,HE$19,Lançamentos!$C:$C,"Vendas Online")</f>
        <v>0</v>
      </c>
      <c r="HF27" s="37">
        <f>SUMIFS(Lançamentos!$F:$F,Lançamentos!$A:$A,HF$19,Lançamentos!$C:$C,"Vendas Online")</f>
        <v>0</v>
      </c>
      <c r="HG27" s="37">
        <f>SUMIFS(Lançamentos!$F:$F,Lançamentos!$A:$A,HG$19,Lançamentos!$C:$C,"Vendas Online")</f>
        <v>0</v>
      </c>
      <c r="HH27" s="37">
        <f>SUMIFS(Lançamentos!$F:$F,Lançamentos!$A:$A,HH$19,Lançamentos!$C:$C,"Vendas Online")</f>
        <v>0</v>
      </c>
      <c r="HI27" s="37">
        <f>SUMIFS(Lançamentos!$F:$F,Lançamentos!$A:$A,HI$19,Lançamentos!$C:$C,"Vendas Online")</f>
        <v>0</v>
      </c>
      <c r="HJ27" s="37">
        <f>SUMIFS(Lançamentos!$F:$F,Lançamentos!$A:$A,HJ$19,Lançamentos!$C:$C,"Vendas Online")</f>
        <v>0</v>
      </c>
      <c r="HK27" s="37">
        <f>SUMIFS(Lançamentos!$F:$F,Lançamentos!$A:$A,HK$19,Lançamentos!$C:$C,"Vendas Online")</f>
        <v>0</v>
      </c>
      <c r="HL27" s="37">
        <f>SUMIFS(Lançamentos!$F:$F,Lançamentos!$A:$A,HL$19,Lançamentos!$C:$C,"Vendas Online")</f>
        <v>0</v>
      </c>
      <c r="HM27" s="37">
        <f>SUMIFS(Lançamentos!$F:$F,Lançamentos!$A:$A,HM$19,Lançamentos!$C:$C,"Vendas Online")</f>
        <v>0</v>
      </c>
      <c r="HN27" s="37">
        <f>SUMIFS(Lançamentos!$F:$F,Lançamentos!$A:$A,HN$19,Lançamentos!$C:$C,"Vendas Online")</f>
        <v>0</v>
      </c>
      <c r="HO27" s="37">
        <f>SUMIFS(Lançamentos!$F:$F,Lançamentos!$A:$A,HO$19,Lançamentos!$C:$C,"Vendas Online")</f>
        <v>0</v>
      </c>
      <c r="HP27" s="37">
        <f>SUMIFS(Lançamentos!$F:$F,Lançamentos!$A:$A,HP$19,Lançamentos!$C:$C,"Vendas Online")</f>
        <v>0</v>
      </c>
      <c r="HQ27" s="37">
        <f>SUMIFS(Lançamentos!$F:$F,Lançamentos!$A:$A,HQ$19,Lançamentos!$C:$C,"Vendas Online")</f>
        <v>0</v>
      </c>
      <c r="HR27" s="37">
        <f>SUMIFS(Lançamentos!$F:$F,Lançamentos!$A:$A,HR$19,Lançamentos!$C:$C,"Vendas Online")</f>
        <v>0</v>
      </c>
      <c r="HS27" s="37">
        <f>SUMIFS(Lançamentos!$F:$F,Lançamentos!$A:$A,HS$19,Lançamentos!$C:$C,"Vendas Online")</f>
        <v>0</v>
      </c>
      <c r="HT27" s="37">
        <f>SUMIFS(Lançamentos!$F:$F,Lançamentos!$A:$A,HT$19,Lançamentos!$C:$C,"Vendas Online")</f>
        <v>0</v>
      </c>
      <c r="HU27" s="37">
        <f>SUMIFS(Lançamentos!$F:$F,Lançamentos!$A:$A,HU$19,Lançamentos!$C:$C,"Vendas Online")</f>
        <v>0</v>
      </c>
      <c r="HV27" s="37">
        <f>SUMIFS(Lançamentos!$F:$F,Lançamentos!$A:$A,HV$19,Lançamentos!$C:$C,"Vendas Online")</f>
        <v>0</v>
      </c>
      <c r="HW27" s="37">
        <f>SUMIFS(Lançamentos!$F:$F,Lançamentos!$A:$A,HW$19,Lançamentos!$C:$C,"Vendas Online")</f>
        <v>0</v>
      </c>
      <c r="HX27" s="37">
        <f>SUMIFS(Lançamentos!$F:$F,Lançamentos!$A:$A,HX$19,Lançamentos!$C:$C,"Vendas Online")</f>
        <v>0</v>
      </c>
      <c r="HY27" s="37">
        <f>SUMIFS(Lançamentos!$F:$F,Lançamentos!$A:$A,HY$19,Lançamentos!$C:$C,"Vendas Online")</f>
        <v>0</v>
      </c>
      <c r="HZ27" s="37">
        <f>SUMIFS(Lançamentos!$F:$F,Lançamentos!$A:$A,HZ$19,Lançamentos!$C:$C,"Vendas Online")</f>
        <v>0</v>
      </c>
      <c r="IA27" s="37">
        <f>SUMIFS(Lançamentos!$F:$F,Lançamentos!$A:$A,IA$19,Lançamentos!$C:$C,"Vendas Online")</f>
        <v>0</v>
      </c>
      <c r="IB27" s="37">
        <f>SUMIFS(Lançamentos!$F:$F,Lançamentos!$A:$A,IB$19,Lançamentos!$C:$C,"Vendas Online")</f>
        <v>0</v>
      </c>
      <c r="IC27" s="37">
        <f>SUMIFS(Lançamentos!$F:$F,Lançamentos!$A:$A,IC$19,Lançamentos!$C:$C,"Vendas Online")</f>
        <v>0</v>
      </c>
      <c r="ID27" s="37">
        <f>SUMIFS(Lançamentos!$F:$F,Lançamentos!$A:$A,ID$19,Lançamentos!$C:$C,"Vendas Online")</f>
        <v>0</v>
      </c>
      <c r="IE27" s="37">
        <f>SUMIFS(Lançamentos!$F:$F,Lançamentos!$A:$A,IE$19,Lançamentos!$C:$C,"Vendas Online")</f>
        <v>0</v>
      </c>
      <c r="IF27" s="37">
        <f>SUMIFS(Lançamentos!$F:$F,Lançamentos!$A:$A,IF$19,Lançamentos!$C:$C,"Vendas Online")</f>
        <v>0</v>
      </c>
      <c r="IG27" s="37">
        <f>SUMIFS(Lançamentos!$F:$F,Lançamentos!$A:$A,IG$19,Lançamentos!$C:$C,"Vendas Online")</f>
        <v>0</v>
      </c>
      <c r="IH27" s="37">
        <f>SUMIFS(Lançamentos!$F:$F,Lançamentos!$A:$A,IH$19,Lançamentos!$C:$C,"Vendas Online")</f>
        <v>0</v>
      </c>
      <c r="II27" s="37">
        <f>SUMIFS(Lançamentos!$F:$F,Lançamentos!$A:$A,II$19,Lançamentos!$C:$C,"Vendas Online")</f>
        <v>0</v>
      </c>
      <c r="IJ27" s="37">
        <f>SUMIFS(Lançamentos!$F:$F,Lançamentos!$A:$A,IJ$19,Lançamentos!$C:$C,"Vendas Online")</f>
        <v>0</v>
      </c>
      <c r="IK27" s="37">
        <f>SUMIFS(Lançamentos!$F:$F,Lançamentos!$A:$A,IK$19,Lançamentos!$C:$C,"Vendas Online")</f>
        <v>0</v>
      </c>
      <c r="IL27" s="37">
        <f>SUMIFS(Lançamentos!$F:$F,Lançamentos!$A:$A,IL$19,Lançamentos!$C:$C,"Vendas Online")</f>
        <v>0</v>
      </c>
    </row>
    <row r="28" spans="1:246" x14ac:dyDescent="0.3">
      <c r="A28" t="s">
        <v>83</v>
      </c>
      <c r="B28" s="37">
        <f>SUMIFS(Lançamentos!$F:$F,Lançamentos!$A:$A,B$19,Lançamentos!$C:$C,"Comissões Recebidas")</f>
        <v>0</v>
      </c>
      <c r="C28" s="37">
        <f>SUMIFS(Lançamentos!$F:$F,Lançamentos!$A:$A,C$19,Lançamentos!$C:$C,"Comissões Recebidas")</f>
        <v>0</v>
      </c>
      <c r="D28" s="37">
        <f>SUMIFS(Lançamentos!$F:$F,Lançamentos!$A:$A,D$19,Lançamentos!$C:$C,"Comissões Recebidas")</f>
        <v>0</v>
      </c>
      <c r="E28" s="37">
        <f>SUMIFS(Lançamentos!$F:$F,Lançamentos!$A:$A,E$19,Lançamentos!$C:$C,"Comissões Recebidas")</f>
        <v>0</v>
      </c>
      <c r="F28" s="37">
        <f>SUMIFS(Lançamentos!$F:$F,Lançamentos!$A:$A,F$19,Lançamentos!$C:$C,"Comissões Recebidas")</f>
        <v>0</v>
      </c>
      <c r="G28" s="37">
        <f>SUMIFS(Lançamentos!$F:$F,Lançamentos!$A:$A,G$19,Lançamentos!$C:$C,"Comissões Recebidas")</f>
        <v>0</v>
      </c>
      <c r="H28" s="37">
        <f>SUMIFS(Lançamentos!$F:$F,Lançamentos!$A:$A,H$19,Lançamentos!$C:$C,"Comissões Recebidas")</f>
        <v>0</v>
      </c>
      <c r="I28" s="37">
        <f>SUMIFS(Lançamentos!$F:$F,Lançamentos!$A:$A,I$19,Lançamentos!$C:$C,"Comissões Recebidas")</f>
        <v>0</v>
      </c>
      <c r="J28" s="37">
        <f>SUMIFS(Lançamentos!$F:$F,Lançamentos!$A:$A,J$19,Lançamentos!$C:$C,"Comissões Recebidas")</f>
        <v>0</v>
      </c>
      <c r="K28" s="37">
        <f>SUMIFS(Lançamentos!$F:$F,Lançamentos!$A:$A,K$19,Lançamentos!$C:$C,"Comissões Recebidas")</f>
        <v>0</v>
      </c>
      <c r="L28" s="37">
        <f>SUMIFS(Lançamentos!$F:$F,Lançamentos!$A:$A,L$19,Lançamentos!$C:$C,"Comissões Recebidas")</f>
        <v>0</v>
      </c>
      <c r="M28" s="37">
        <f>SUMIFS(Lançamentos!$F:$F,Lançamentos!$A:$A,M$19,Lançamentos!$C:$C,"Comissões Recebidas")</f>
        <v>0</v>
      </c>
      <c r="N28" s="37">
        <f>SUMIFS(Lançamentos!$F:$F,Lançamentos!$A:$A,N$19,Lançamentos!$C:$C,"Comissões Recebidas")</f>
        <v>0</v>
      </c>
      <c r="O28" s="37">
        <f>SUMIFS(Lançamentos!$F:$F,Lançamentos!$A:$A,O$19,Lançamentos!$C:$C,"Comissões Recebidas")</f>
        <v>0</v>
      </c>
      <c r="P28" s="37">
        <f>SUMIFS(Lançamentos!$F:$F,Lançamentos!$A:$A,P$19,Lançamentos!$C:$C,"Comissões Recebidas")</f>
        <v>0</v>
      </c>
      <c r="Q28" s="37">
        <f>SUMIFS(Lançamentos!$F:$F,Lançamentos!$A:$A,Q$19,Lançamentos!$C:$C,"Comissões Recebidas")</f>
        <v>0</v>
      </c>
      <c r="R28" s="37">
        <f>SUMIFS(Lançamentos!$F:$F,Lançamentos!$A:$A,R$19,Lançamentos!$C:$C,"Comissões Recebidas")</f>
        <v>0</v>
      </c>
      <c r="S28" s="37">
        <f>SUMIFS(Lançamentos!$F:$F,Lançamentos!$A:$A,S$19,Lançamentos!$C:$C,"Comissões Recebidas")</f>
        <v>0</v>
      </c>
      <c r="T28" s="37">
        <f>SUMIFS(Lançamentos!$F:$F,Lançamentos!$A:$A,T$19,Lançamentos!$C:$C,"Comissões Recebidas")</f>
        <v>0</v>
      </c>
      <c r="U28" s="37">
        <f>SUMIFS(Lançamentos!$F:$F,Lançamentos!$A:$A,U$19,Lançamentos!$C:$C,"Comissões Recebidas")</f>
        <v>0</v>
      </c>
      <c r="V28" s="37">
        <f>SUMIFS(Lançamentos!$F:$F,Lançamentos!$A:$A,V$19,Lançamentos!$C:$C,"Comissões Recebidas")</f>
        <v>0</v>
      </c>
      <c r="W28" s="37">
        <f>SUMIFS(Lançamentos!$F:$F,Lançamentos!$A:$A,W$19,Lançamentos!$C:$C,"Comissões Recebidas")</f>
        <v>0</v>
      </c>
      <c r="X28" s="37">
        <f>SUMIFS(Lançamentos!$F:$F,Lançamentos!$A:$A,X$19,Lançamentos!$C:$C,"Comissões Recebidas")</f>
        <v>0</v>
      </c>
      <c r="Y28" s="37">
        <f>SUMIFS(Lançamentos!$F:$F,Lançamentos!$A:$A,Y$19,Lançamentos!$C:$C,"Comissões Recebidas")</f>
        <v>0</v>
      </c>
      <c r="Z28" s="37">
        <f>SUMIFS(Lançamentos!$F:$F,Lançamentos!$A:$A,Z$19,Lançamentos!$C:$C,"Comissões Recebidas")</f>
        <v>0</v>
      </c>
      <c r="AA28" s="37">
        <f>SUMIFS(Lançamentos!$F:$F,Lançamentos!$A:$A,AA$19,Lançamentos!$C:$C,"Comissões Recebidas")</f>
        <v>0</v>
      </c>
      <c r="AB28" s="37">
        <f>SUMIFS(Lançamentos!$F:$F,Lançamentos!$A:$A,AB$19,Lançamentos!$C:$C,"Comissões Recebidas")</f>
        <v>0</v>
      </c>
      <c r="AC28" s="37">
        <f>SUMIFS(Lançamentos!$F:$F,Lançamentos!$A:$A,AC$19,Lançamentos!$C:$C,"Comissões Recebidas")</f>
        <v>0</v>
      </c>
      <c r="AD28" s="37">
        <f>SUMIFS(Lançamentos!$F:$F,Lançamentos!$A:$A,AD$19,Lançamentos!$C:$C,"Comissões Recebidas")</f>
        <v>0</v>
      </c>
      <c r="AE28" s="37">
        <f>SUMIFS(Lançamentos!$F:$F,Lançamentos!$A:$A,AE$19,Lançamentos!$C:$C,"Comissões Recebidas")</f>
        <v>0</v>
      </c>
      <c r="AF28" s="37">
        <f>SUMIFS(Lançamentos!$F:$F,Lançamentos!$A:$A,AF$19,Lançamentos!$C:$C,"Comissões Recebidas")</f>
        <v>0</v>
      </c>
      <c r="AG28" s="37">
        <f>SUMIFS(Lançamentos!$F:$F,Lançamentos!$A:$A,AG$19,Lançamentos!$C:$C,"Comissões Recebidas")</f>
        <v>0</v>
      </c>
      <c r="AH28" s="37">
        <f>SUMIFS(Lançamentos!$F:$F,Lançamentos!$A:$A,AH$19,Lançamentos!$C:$C,"Comissões Recebidas")</f>
        <v>0</v>
      </c>
      <c r="AI28" s="37">
        <f>SUMIFS(Lançamentos!$F:$F,Lançamentos!$A:$A,AI$19,Lançamentos!$C:$C,"Comissões Recebidas")</f>
        <v>0</v>
      </c>
      <c r="AJ28" s="37">
        <f>SUMIFS(Lançamentos!$F:$F,Lançamentos!$A:$A,AJ$19,Lançamentos!$C:$C,"Comissões Recebidas")</f>
        <v>0</v>
      </c>
      <c r="AK28" s="37">
        <f>SUMIFS(Lançamentos!$F:$F,Lançamentos!$A:$A,AK$19,Lançamentos!$C:$C,"Comissões Recebidas")</f>
        <v>0</v>
      </c>
      <c r="AL28" s="37">
        <f>SUMIFS(Lançamentos!$F:$F,Lançamentos!$A:$A,AL$19,Lançamentos!$C:$C,"Comissões Recebidas")</f>
        <v>0</v>
      </c>
      <c r="AM28" s="37">
        <f>SUMIFS(Lançamentos!$F:$F,Lançamentos!$A:$A,AM$19,Lançamentos!$C:$C,"Comissões Recebidas")</f>
        <v>0</v>
      </c>
      <c r="AN28" s="37">
        <f>SUMIFS(Lançamentos!$F:$F,Lançamentos!$A:$A,AN$19,Lançamentos!$C:$C,"Comissões Recebidas")</f>
        <v>0</v>
      </c>
      <c r="AO28" s="37">
        <f>SUMIFS(Lançamentos!$F:$F,Lançamentos!$A:$A,AO$19,Lançamentos!$C:$C,"Comissões Recebidas")</f>
        <v>0</v>
      </c>
      <c r="AP28" s="37">
        <f>SUMIFS(Lançamentos!$F:$F,Lançamentos!$A:$A,AP$19,Lançamentos!$C:$C,"Comissões Recebidas")</f>
        <v>0</v>
      </c>
      <c r="AQ28" s="37">
        <f>SUMIFS(Lançamentos!$F:$F,Lançamentos!$A:$A,AQ$19,Lançamentos!$C:$C,"Comissões Recebidas")</f>
        <v>0</v>
      </c>
      <c r="AR28" s="37">
        <f>SUMIFS(Lançamentos!$F:$F,Lançamentos!$A:$A,AR$19,Lançamentos!$C:$C,"Comissões Recebidas")</f>
        <v>0</v>
      </c>
      <c r="AS28" s="37">
        <f>SUMIFS(Lançamentos!$F:$F,Lançamentos!$A:$A,AS$19,Lançamentos!$C:$C,"Comissões Recebidas")</f>
        <v>0</v>
      </c>
      <c r="AT28" s="37">
        <f>SUMIFS(Lançamentos!$F:$F,Lançamentos!$A:$A,AT$19,Lançamentos!$C:$C,"Comissões Recebidas")</f>
        <v>0</v>
      </c>
      <c r="AU28" s="37">
        <f>SUMIFS(Lançamentos!$F:$F,Lançamentos!$A:$A,AU$19,Lançamentos!$C:$C,"Comissões Recebidas")</f>
        <v>0</v>
      </c>
      <c r="AV28" s="37">
        <f>SUMIFS(Lançamentos!$F:$F,Lançamentos!$A:$A,AV$19,Lançamentos!$C:$C,"Comissões Recebidas")</f>
        <v>0</v>
      </c>
      <c r="AW28" s="37">
        <f>SUMIFS(Lançamentos!$F:$F,Lançamentos!$A:$A,AW$19,Lançamentos!$C:$C,"Comissões Recebidas")</f>
        <v>0</v>
      </c>
      <c r="AX28" s="37">
        <f>SUMIFS(Lançamentos!$F:$F,Lançamentos!$A:$A,AX$19,Lançamentos!$C:$C,"Comissões Recebidas")</f>
        <v>0</v>
      </c>
      <c r="AY28" s="37">
        <f>SUMIFS(Lançamentos!$F:$F,Lançamentos!$A:$A,AY$19,Lançamentos!$C:$C,"Comissões Recebidas")</f>
        <v>0</v>
      </c>
      <c r="AZ28" s="37">
        <f>SUMIFS(Lançamentos!$F:$F,Lançamentos!$A:$A,AZ$19,Lançamentos!$C:$C,"Comissões Recebidas")</f>
        <v>0</v>
      </c>
      <c r="BA28" s="37">
        <f>SUMIFS(Lançamentos!$F:$F,Lançamentos!$A:$A,BA$19,Lançamentos!$C:$C,"Comissões Recebidas")</f>
        <v>0</v>
      </c>
      <c r="BB28" s="37">
        <f>SUMIFS(Lançamentos!$F:$F,Lançamentos!$A:$A,BB$19,Lançamentos!$C:$C,"Comissões Recebidas")</f>
        <v>0</v>
      </c>
      <c r="BC28" s="37">
        <f>SUMIFS(Lançamentos!$F:$F,Lançamentos!$A:$A,BC$19,Lançamentos!$C:$C,"Comissões Recebidas")</f>
        <v>0</v>
      </c>
      <c r="BD28" s="37">
        <f>SUMIFS(Lançamentos!$F:$F,Lançamentos!$A:$A,BD$19,Lançamentos!$C:$C,"Comissões Recebidas")</f>
        <v>0</v>
      </c>
      <c r="BE28" s="37">
        <f>SUMIFS(Lançamentos!$F:$F,Lançamentos!$A:$A,BE$19,Lançamentos!$C:$C,"Comissões Recebidas")</f>
        <v>0</v>
      </c>
      <c r="BF28" s="37">
        <f>SUMIFS(Lançamentos!$F:$F,Lançamentos!$A:$A,BF$19,Lançamentos!$C:$C,"Comissões Recebidas")</f>
        <v>0</v>
      </c>
      <c r="BG28" s="37">
        <f>SUMIFS(Lançamentos!$F:$F,Lançamentos!$A:$A,BG$19,Lançamentos!$C:$C,"Comissões Recebidas")</f>
        <v>0</v>
      </c>
      <c r="BH28" s="37">
        <f>SUMIFS(Lançamentos!$F:$F,Lançamentos!$A:$A,BH$19,Lançamentos!$C:$C,"Comissões Recebidas")</f>
        <v>0</v>
      </c>
      <c r="BI28" s="37">
        <f>SUMIFS(Lançamentos!$F:$F,Lançamentos!$A:$A,BI$19,Lançamentos!$C:$C,"Comissões Recebidas")</f>
        <v>0</v>
      </c>
      <c r="BJ28" s="37">
        <f>SUMIFS(Lançamentos!$F:$F,Lançamentos!$A:$A,BJ$19,Lançamentos!$C:$C,"Comissões Recebidas")</f>
        <v>0</v>
      </c>
      <c r="BK28" s="37">
        <f>SUMIFS(Lançamentos!$F:$F,Lançamentos!$A:$A,BK$19,Lançamentos!$C:$C,"Comissões Recebidas")</f>
        <v>0</v>
      </c>
      <c r="BL28" s="37">
        <f>SUMIFS(Lançamentos!$F:$F,Lançamentos!$A:$A,BL$19,Lançamentos!$C:$C,"Comissões Recebidas")</f>
        <v>0</v>
      </c>
      <c r="BM28" s="37">
        <f>SUMIFS(Lançamentos!$F:$F,Lançamentos!$A:$A,BM$19,Lançamentos!$C:$C,"Comissões Recebidas")</f>
        <v>0</v>
      </c>
      <c r="BN28" s="37">
        <f>SUMIFS(Lançamentos!$F:$F,Lançamentos!$A:$A,BN$19,Lançamentos!$C:$C,"Comissões Recebidas")</f>
        <v>0</v>
      </c>
      <c r="BO28" s="37">
        <f>SUMIFS(Lançamentos!$F:$F,Lançamentos!$A:$A,BO$19,Lançamentos!$C:$C,"Comissões Recebidas")</f>
        <v>0</v>
      </c>
      <c r="BP28" s="37">
        <f>SUMIFS(Lançamentos!$F:$F,Lançamentos!$A:$A,BP$19,Lançamentos!$C:$C,"Comissões Recebidas")</f>
        <v>0</v>
      </c>
      <c r="BQ28" s="37">
        <f>SUMIFS(Lançamentos!$F:$F,Lançamentos!$A:$A,BQ$19,Lançamentos!$C:$C,"Comissões Recebidas")</f>
        <v>0</v>
      </c>
      <c r="BR28" s="37">
        <f>SUMIFS(Lançamentos!$F:$F,Lançamentos!$A:$A,BR$19,Lançamentos!$C:$C,"Comissões Recebidas")</f>
        <v>0</v>
      </c>
      <c r="BS28" s="37">
        <f>SUMIFS(Lançamentos!$F:$F,Lançamentos!$A:$A,BS$19,Lançamentos!$C:$C,"Comissões Recebidas")</f>
        <v>0</v>
      </c>
      <c r="BT28" s="37">
        <f>SUMIFS(Lançamentos!$F:$F,Lançamentos!$A:$A,BT$19,Lançamentos!$C:$C,"Comissões Recebidas")</f>
        <v>0</v>
      </c>
      <c r="BU28" s="37">
        <f>SUMIFS(Lançamentos!$F:$F,Lançamentos!$A:$A,BU$19,Lançamentos!$C:$C,"Comissões Recebidas")</f>
        <v>0</v>
      </c>
      <c r="BV28" s="37">
        <f>SUMIFS(Lançamentos!$F:$F,Lançamentos!$A:$A,BV$19,Lançamentos!$C:$C,"Comissões Recebidas")</f>
        <v>0</v>
      </c>
      <c r="BW28" s="37">
        <f>SUMIFS(Lançamentos!$F:$F,Lançamentos!$A:$A,BW$19,Lançamentos!$C:$C,"Comissões Recebidas")</f>
        <v>0</v>
      </c>
      <c r="BX28" s="37">
        <f>SUMIFS(Lançamentos!$F:$F,Lançamentos!$A:$A,BX$19,Lançamentos!$C:$C,"Comissões Recebidas")</f>
        <v>0</v>
      </c>
      <c r="BY28" s="37">
        <f>SUMIFS(Lançamentos!$F:$F,Lançamentos!$A:$A,BY$19,Lançamentos!$C:$C,"Comissões Recebidas")</f>
        <v>0</v>
      </c>
      <c r="BZ28" s="37">
        <f>SUMIFS(Lançamentos!$F:$F,Lançamentos!$A:$A,BZ$19,Lançamentos!$C:$C,"Comissões Recebidas")</f>
        <v>0</v>
      </c>
      <c r="CA28" s="37">
        <f>SUMIFS(Lançamentos!$F:$F,Lançamentos!$A:$A,CA$19,Lançamentos!$C:$C,"Comissões Recebidas")</f>
        <v>0</v>
      </c>
      <c r="CB28" s="37">
        <f>SUMIFS(Lançamentos!$F:$F,Lançamentos!$A:$A,CB$19,Lançamentos!$C:$C,"Comissões Recebidas")</f>
        <v>0</v>
      </c>
      <c r="CC28" s="37">
        <f>SUMIFS(Lançamentos!$F:$F,Lançamentos!$A:$A,CC$19,Lançamentos!$C:$C,"Comissões Recebidas")</f>
        <v>0</v>
      </c>
      <c r="CD28" s="37">
        <f>SUMIFS(Lançamentos!$F:$F,Lançamentos!$A:$A,CD$19,Lançamentos!$C:$C,"Comissões Recebidas")</f>
        <v>0</v>
      </c>
      <c r="CE28" s="37">
        <f>SUMIFS(Lançamentos!$F:$F,Lançamentos!$A:$A,CE$19,Lançamentos!$C:$C,"Comissões Recebidas")</f>
        <v>0</v>
      </c>
      <c r="CF28" s="37">
        <f>SUMIFS(Lançamentos!$F:$F,Lançamentos!$A:$A,CF$19,Lançamentos!$C:$C,"Comissões Recebidas")</f>
        <v>0</v>
      </c>
      <c r="CG28" s="37">
        <f>SUMIFS(Lançamentos!$F:$F,Lançamentos!$A:$A,CG$19,Lançamentos!$C:$C,"Comissões Recebidas")</f>
        <v>0</v>
      </c>
      <c r="CH28" s="37">
        <f>SUMIFS(Lançamentos!$F:$F,Lançamentos!$A:$A,CH$19,Lançamentos!$C:$C,"Comissões Recebidas")</f>
        <v>0</v>
      </c>
      <c r="CI28" s="37">
        <f>SUMIFS(Lançamentos!$F:$F,Lançamentos!$A:$A,CI$19,Lançamentos!$C:$C,"Comissões Recebidas")</f>
        <v>0</v>
      </c>
      <c r="CJ28" s="37">
        <f>SUMIFS(Lançamentos!$F:$F,Lançamentos!$A:$A,CJ$19,Lançamentos!$C:$C,"Comissões Recebidas")</f>
        <v>0</v>
      </c>
      <c r="CK28" s="37">
        <f>SUMIFS(Lançamentos!$F:$F,Lançamentos!$A:$A,CK$19,Lançamentos!$C:$C,"Comissões Recebidas")</f>
        <v>0</v>
      </c>
      <c r="CL28" s="37">
        <f>SUMIFS(Lançamentos!$F:$F,Lançamentos!$A:$A,CL$19,Lançamentos!$C:$C,"Comissões Recebidas")</f>
        <v>0</v>
      </c>
      <c r="CM28" s="37">
        <f>SUMIFS(Lançamentos!$F:$F,Lançamentos!$A:$A,CM$19,Lançamentos!$C:$C,"Comissões Recebidas")</f>
        <v>0</v>
      </c>
      <c r="CN28" s="37">
        <f>SUMIFS(Lançamentos!$F:$F,Lançamentos!$A:$A,CN$19,Lançamentos!$C:$C,"Comissões Recebidas")</f>
        <v>0</v>
      </c>
      <c r="CO28" s="37">
        <f>SUMIFS(Lançamentos!$F:$F,Lançamentos!$A:$A,CO$19,Lançamentos!$C:$C,"Comissões Recebidas")</f>
        <v>0</v>
      </c>
      <c r="CP28" s="37">
        <f>SUMIFS(Lançamentos!$F:$F,Lançamentos!$A:$A,CP$19,Lançamentos!$C:$C,"Comissões Recebidas")</f>
        <v>0</v>
      </c>
      <c r="CQ28" s="37">
        <f>SUMIFS(Lançamentos!$F:$F,Lançamentos!$A:$A,CQ$19,Lançamentos!$C:$C,"Comissões Recebidas")</f>
        <v>0</v>
      </c>
      <c r="CR28" s="37">
        <f>SUMIFS(Lançamentos!$F:$F,Lançamentos!$A:$A,CR$19,Lançamentos!$C:$C,"Comissões Recebidas")</f>
        <v>0</v>
      </c>
      <c r="CS28" s="37">
        <f>SUMIFS(Lançamentos!$F:$F,Lançamentos!$A:$A,CS$19,Lançamentos!$C:$C,"Comissões Recebidas")</f>
        <v>0</v>
      </c>
      <c r="CT28" s="37">
        <f>SUMIFS(Lançamentos!$F:$F,Lançamentos!$A:$A,CT$19,Lançamentos!$C:$C,"Comissões Recebidas")</f>
        <v>0</v>
      </c>
      <c r="CU28" s="37">
        <f>SUMIFS(Lançamentos!$F:$F,Lançamentos!$A:$A,CU$19,Lançamentos!$C:$C,"Comissões Recebidas")</f>
        <v>0</v>
      </c>
      <c r="CV28" s="37">
        <f>SUMIFS(Lançamentos!$F:$F,Lançamentos!$A:$A,CV$19,Lançamentos!$C:$C,"Comissões Recebidas")</f>
        <v>0</v>
      </c>
      <c r="CW28" s="37">
        <f>SUMIFS(Lançamentos!$F:$F,Lançamentos!$A:$A,CW$19,Lançamentos!$C:$C,"Comissões Recebidas")</f>
        <v>0</v>
      </c>
      <c r="CX28" s="37">
        <f>SUMIFS(Lançamentos!$F:$F,Lançamentos!$A:$A,CX$19,Lançamentos!$C:$C,"Comissões Recebidas")</f>
        <v>0</v>
      </c>
      <c r="CY28" s="37">
        <f>SUMIFS(Lançamentos!$F:$F,Lançamentos!$A:$A,CY$19,Lançamentos!$C:$C,"Comissões Recebidas")</f>
        <v>0</v>
      </c>
      <c r="CZ28" s="37">
        <f>SUMIFS(Lançamentos!$F:$F,Lançamentos!$A:$A,CZ$19,Lançamentos!$C:$C,"Comissões Recebidas")</f>
        <v>0</v>
      </c>
      <c r="DA28" s="37">
        <f>SUMIFS(Lançamentos!$F:$F,Lançamentos!$A:$A,DA$19,Lançamentos!$C:$C,"Comissões Recebidas")</f>
        <v>0</v>
      </c>
      <c r="DB28" s="37">
        <f>SUMIFS(Lançamentos!$F:$F,Lançamentos!$A:$A,DB$19,Lançamentos!$C:$C,"Comissões Recebidas")</f>
        <v>0</v>
      </c>
      <c r="DC28" s="37">
        <f>SUMIFS(Lançamentos!$F:$F,Lançamentos!$A:$A,DC$19,Lançamentos!$C:$C,"Comissões Recebidas")</f>
        <v>0</v>
      </c>
      <c r="DD28" s="37">
        <f>SUMIFS(Lançamentos!$F:$F,Lançamentos!$A:$A,DD$19,Lançamentos!$C:$C,"Comissões Recebidas")</f>
        <v>0</v>
      </c>
      <c r="DE28" s="37">
        <f>SUMIFS(Lançamentos!$F:$F,Lançamentos!$A:$A,DE$19,Lançamentos!$C:$C,"Comissões Recebidas")</f>
        <v>0</v>
      </c>
      <c r="DF28" s="37">
        <f>SUMIFS(Lançamentos!$F:$F,Lançamentos!$A:$A,DF$19,Lançamentos!$C:$C,"Comissões Recebidas")</f>
        <v>0</v>
      </c>
      <c r="DG28" s="37">
        <f>SUMIFS(Lançamentos!$F:$F,Lançamentos!$A:$A,DG$19,Lançamentos!$C:$C,"Comissões Recebidas")</f>
        <v>0</v>
      </c>
      <c r="DH28" s="37">
        <f>SUMIFS(Lançamentos!$F:$F,Lançamentos!$A:$A,DH$19,Lançamentos!$C:$C,"Comissões Recebidas")</f>
        <v>0</v>
      </c>
      <c r="DI28" s="37">
        <f>SUMIFS(Lançamentos!$F:$F,Lançamentos!$A:$A,DI$19,Lançamentos!$C:$C,"Comissões Recebidas")</f>
        <v>0</v>
      </c>
      <c r="DJ28" s="37">
        <f>SUMIFS(Lançamentos!$F:$F,Lançamentos!$A:$A,DJ$19,Lançamentos!$C:$C,"Comissões Recebidas")</f>
        <v>0</v>
      </c>
      <c r="DK28" s="37">
        <f>SUMIFS(Lançamentos!$F:$F,Lançamentos!$A:$A,DK$19,Lançamentos!$C:$C,"Comissões Recebidas")</f>
        <v>0</v>
      </c>
      <c r="DL28" s="37">
        <f>SUMIFS(Lançamentos!$F:$F,Lançamentos!$A:$A,DL$19,Lançamentos!$C:$C,"Comissões Recebidas")</f>
        <v>0</v>
      </c>
      <c r="DM28" s="37">
        <f>SUMIFS(Lançamentos!$F:$F,Lançamentos!$A:$A,DM$19,Lançamentos!$C:$C,"Comissões Recebidas")</f>
        <v>0</v>
      </c>
      <c r="DN28" s="37">
        <f>SUMIFS(Lançamentos!$F:$F,Lançamentos!$A:$A,DN$19,Lançamentos!$C:$C,"Comissões Recebidas")</f>
        <v>0</v>
      </c>
      <c r="DO28" s="37">
        <f>SUMIFS(Lançamentos!$F:$F,Lançamentos!$A:$A,DO$19,Lançamentos!$C:$C,"Comissões Recebidas")</f>
        <v>0</v>
      </c>
      <c r="DP28" s="37">
        <f>SUMIFS(Lançamentos!$F:$F,Lançamentos!$A:$A,DP$19,Lançamentos!$C:$C,"Comissões Recebidas")</f>
        <v>0</v>
      </c>
      <c r="DQ28" s="37">
        <f>SUMIFS(Lançamentos!$F:$F,Lançamentos!$A:$A,DQ$19,Lançamentos!$C:$C,"Comissões Recebidas")</f>
        <v>0</v>
      </c>
      <c r="DR28" s="37">
        <f>SUMIFS(Lançamentos!$F:$F,Lançamentos!$A:$A,DR$19,Lançamentos!$C:$C,"Comissões Recebidas")</f>
        <v>0</v>
      </c>
      <c r="DS28" s="37">
        <f>SUMIFS(Lançamentos!$F:$F,Lançamentos!$A:$A,DS$19,Lançamentos!$C:$C,"Comissões Recebidas")</f>
        <v>0</v>
      </c>
      <c r="DT28" s="37">
        <f>SUMIFS(Lançamentos!$F:$F,Lançamentos!$A:$A,DT$19,Lançamentos!$C:$C,"Comissões Recebidas")</f>
        <v>0</v>
      </c>
      <c r="DU28" s="37">
        <f>SUMIFS(Lançamentos!$F:$F,Lançamentos!$A:$A,DU$19,Lançamentos!$C:$C,"Comissões Recebidas")</f>
        <v>0</v>
      </c>
      <c r="DV28" s="37">
        <f>SUMIFS(Lançamentos!$F:$F,Lançamentos!$A:$A,DV$19,Lançamentos!$C:$C,"Comissões Recebidas")</f>
        <v>0</v>
      </c>
      <c r="DW28" s="37">
        <f>SUMIFS(Lançamentos!$F:$F,Lançamentos!$A:$A,DW$19,Lançamentos!$C:$C,"Comissões Recebidas")</f>
        <v>0</v>
      </c>
      <c r="DX28" s="37">
        <f>SUMIFS(Lançamentos!$F:$F,Lançamentos!$A:$A,DX$19,Lançamentos!$C:$C,"Comissões Recebidas")</f>
        <v>0</v>
      </c>
      <c r="DY28" s="37">
        <f>SUMIFS(Lançamentos!$F:$F,Lançamentos!$A:$A,DY$19,Lançamentos!$C:$C,"Comissões Recebidas")</f>
        <v>0</v>
      </c>
      <c r="DZ28" s="37">
        <f>SUMIFS(Lançamentos!$F:$F,Lançamentos!$A:$A,DZ$19,Lançamentos!$C:$C,"Comissões Recebidas")</f>
        <v>0</v>
      </c>
      <c r="EA28" s="37">
        <f>SUMIFS(Lançamentos!$F:$F,Lançamentos!$A:$A,EA$19,Lançamentos!$C:$C,"Comissões Recebidas")</f>
        <v>0</v>
      </c>
      <c r="EB28" s="37">
        <f>SUMIFS(Lançamentos!$F:$F,Lançamentos!$A:$A,EB$19,Lançamentos!$C:$C,"Comissões Recebidas")</f>
        <v>0</v>
      </c>
      <c r="EC28" s="37">
        <f>SUMIFS(Lançamentos!$F:$F,Lançamentos!$A:$A,EC$19,Lançamentos!$C:$C,"Comissões Recebidas")</f>
        <v>0</v>
      </c>
      <c r="ED28" s="37">
        <f>SUMIFS(Lançamentos!$F:$F,Lançamentos!$A:$A,ED$19,Lançamentos!$C:$C,"Comissões Recebidas")</f>
        <v>0</v>
      </c>
      <c r="EE28" s="37">
        <f>SUMIFS(Lançamentos!$F:$F,Lançamentos!$A:$A,EE$19,Lançamentos!$C:$C,"Comissões Recebidas")</f>
        <v>0</v>
      </c>
      <c r="EF28" s="37">
        <f>SUMIFS(Lançamentos!$F:$F,Lançamentos!$A:$A,EF$19,Lançamentos!$C:$C,"Comissões Recebidas")</f>
        <v>0</v>
      </c>
      <c r="EG28" s="37">
        <f>SUMIFS(Lançamentos!$F:$F,Lançamentos!$A:$A,EG$19,Lançamentos!$C:$C,"Comissões Recebidas")</f>
        <v>0</v>
      </c>
      <c r="EH28" s="37">
        <f>SUMIFS(Lançamentos!$F:$F,Lançamentos!$A:$A,EH$19,Lançamentos!$C:$C,"Comissões Recebidas")</f>
        <v>0</v>
      </c>
      <c r="EI28" s="37">
        <f>SUMIFS(Lançamentos!$F:$F,Lançamentos!$A:$A,EI$19,Lançamentos!$C:$C,"Comissões Recebidas")</f>
        <v>0</v>
      </c>
      <c r="EJ28" s="37">
        <f>SUMIFS(Lançamentos!$F:$F,Lançamentos!$A:$A,EJ$19,Lançamentos!$C:$C,"Comissões Recebidas")</f>
        <v>0</v>
      </c>
      <c r="EK28" s="37">
        <f>SUMIFS(Lançamentos!$F:$F,Lançamentos!$A:$A,EK$19,Lançamentos!$C:$C,"Comissões Recebidas")</f>
        <v>0</v>
      </c>
      <c r="EL28" s="37">
        <f>SUMIFS(Lançamentos!$F:$F,Lançamentos!$A:$A,EL$19,Lançamentos!$C:$C,"Comissões Recebidas")</f>
        <v>0</v>
      </c>
      <c r="EM28" s="37">
        <f>SUMIFS(Lançamentos!$F:$F,Lançamentos!$A:$A,EM$19,Lançamentos!$C:$C,"Comissões Recebidas")</f>
        <v>0</v>
      </c>
      <c r="EN28" s="37">
        <f>SUMIFS(Lançamentos!$F:$F,Lançamentos!$A:$A,EN$19,Lançamentos!$C:$C,"Comissões Recebidas")</f>
        <v>0</v>
      </c>
      <c r="EO28" s="37">
        <f>SUMIFS(Lançamentos!$F:$F,Lançamentos!$A:$A,EO$19,Lançamentos!$C:$C,"Comissões Recebidas")</f>
        <v>0</v>
      </c>
      <c r="EP28" s="37">
        <f>SUMIFS(Lançamentos!$F:$F,Lançamentos!$A:$A,EP$19,Lançamentos!$C:$C,"Comissões Recebidas")</f>
        <v>0</v>
      </c>
      <c r="EQ28" s="37">
        <f>SUMIFS(Lançamentos!$F:$F,Lançamentos!$A:$A,EQ$19,Lançamentos!$C:$C,"Comissões Recebidas")</f>
        <v>0</v>
      </c>
      <c r="ER28" s="37">
        <f>SUMIFS(Lançamentos!$F:$F,Lançamentos!$A:$A,ER$19,Lançamentos!$C:$C,"Comissões Recebidas")</f>
        <v>0</v>
      </c>
      <c r="ES28" s="37">
        <f>SUMIFS(Lançamentos!$F:$F,Lançamentos!$A:$A,ES$19,Lançamentos!$C:$C,"Comissões Recebidas")</f>
        <v>0</v>
      </c>
      <c r="ET28" s="37">
        <f>SUMIFS(Lançamentos!$F:$F,Lançamentos!$A:$A,ET$19,Lançamentos!$C:$C,"Comissões Recebidas")</f>
        <v>0</v>
      </c>
      <c r="EU28" s="37">
        <f>SUMIFS(Lançamentos!$F:$F,Lançamentos!$A:$A,EU$19,Lançamentos!$C:$C,"Comissões Recebidas")</f>
        <v>0</v>
      </c>
      <c r="EV28" s="37">
        <f>SUMIFS(Lançamentos!$F:$F,Lançamentos!$A:$A,EV$19,Lançamentos!$C:$C,"Comissões Recebidas")</f>
        <v>0</v>
      </c>
      <c r="EW28" s="37">
        <f>SUMIFS(Lançamentos!$F:$F,Lançamentos!$A:$A,EW$19,Lançamentos!$C:$C,"Comissões Recebidas")</f>
        <v>0</v>
      </c>
      <c r="EX28" s="37">
        <f>SUMIFS(Lançamentos!$F:$F,Lançamentos!$A:$A,EX$19,Lançamentos!$C:$C,"Comissões Recebidas")</f>
        <v>0</v>
      </c>
      <c r="EY28" s="37">
        <f>SUMIFS(Lançamentos!$F:$F,Lançamentos!$A:$A,EY$19,Lançamentos!$C:$C,"Comissões Recebidas")</f>
        <v>0</v>
      </c>
      <c r="EZ28" s="37">
        <f>SUMIFS(Lançamentos!$F:$F,Lançamentos!$A:$A,EZ$19,Lançamentos!$C:$C,"Comissões Recebidas")</f>
        <v>0</v>
      </c>
      <c r="FA28" s="37">
        <f>SUMIFS(Lançamentos!$F:$F,Lançamentos!$A:$A,FA$19,Lançamentos!$C:$C,"Comissões Recebidas")</f>
        <v>0</v>
      </c>
      <c r="FB28" s="37">
        <f>SUMIFS(Lançamentos!$F:$F,Lançamentos!$A:$A,FB$19,Lançamentos!$C:$C,"Comissões Recebidas")</f>
        <v>0</v>
      </c>
      <c r="FC28" s="37">
        <f>SUMIFS(Lançamentos!$F:$F,Lançamentos!$A:$A,FC$19,Lançamentos!$C:$C,"Comissões Recebidas")</f>
        <v>0</v>
      </c>
      <c r="FD28" s="37">
        <f>SUMIFS(Lançamentos!$F:$F,Lançamentos!$A:$A,FD$19,Lançamentos!$C:$C,"Comissões Recebidas")</f>
        <v>0</v>
      </c>
      <c r="FE28" s="37">
        <f>SUMIFS(Lançamentos!$F:$F,Lançamentos!$A:$A,FE$19,Lançamentos!$C:$C,"Comissões Recebidas")</f>
        <v>0</v>
      </c>
      <c r="FF28" s="37">
        <f>SUMIFS(Lançamentos!$F:$F,Lançamentos!$A:$A,FF$19,Lançamentos!$C:$C,"Comissões Recebidas")</f>
        <v>0</v>
      </c>
      <c r="FG28" s="37">
        <f>SUMIFS(Lançamentos!$F:$F,Lançamentos!$A:$A,FG$19,Lançamentos!$C:$C,"Comissões Recebidas")</f>
        <v>0</v>
      </c>
      <c r="FH28" s="37">
        <f>SUMIFS(Lançamentos!$F:$F,Lançamentos!$A:$A,FH$19,Lançamentos!$C:$C,"Comissões Recebidas")</f>
        <v>0</v>
      </c>
      <c r="FI28" s="37">
        <f>SUMIFS(Lançamentos!$F:$F,Lançamentos!$A:$A,FI$19,Lançamentos!$C:$C,"Comissões Recebidas")</f>
        <v>0</v>
      </c>
      <c r="FJ28" s="37">
        <f>SUMIFS(Lançamentos!$F:$F,Lançamentos!$A:$A,FJ$19,Lançamentos!$C:$C,"Comissões Recebidas")</f>
        <v>0</v>
      </c>
      <c r="FK28" s="37">
        <f>SUMIFS(Lançamentos!$F:$F,Lançamentos!$A:$A,FK$19,Lançamentos!$C:$C,"Comissões Recebidas")</f>
        <v>0</v>
      </c>
      <c r="FL28" s="37">
        <f>SUMIFS(Lançamentos!$F:$F,Lançamentos!$A:$A,FL$19,Lançamentos!$C:$C,"Comissões Recebidas")</f>
        <v>0</v>
      </c>
      <c r="FM28" s="37">
        <f>SUMIFS(Lançamentos!$F:$F,Lançamentos!$A:$A,FM$19,Lançamentos!$C:$C,"Comissões Recebidas")</f>
        <v>0</v>
      </c>
      <c r="FN28" s="37">
        <f>SUMIFS(Lançamentos!$F:$F,Lançamentos!$A:$A,FN$19,Lançamentos!$C:$C,"Comissões Recebidas")</f>
        <v>0</v>
      </c>
      <c r="FO28" s="37">
        <f>SUMIFS(Lançamentos!$F:$F,Lançamentos!$A:$A,FO$19,Lançamentos!$C:$C,"Comissões Recebidas")</f>
        <v>0</v>
      </c>
      <c r="FP28" s="37">
        <f>SUMIFS(Lançamentos!$F:$F,Lançamentos!$A:$A,FP$19,Lançamentos!$C:$C,"Comissões Recebidas")</f>
        <v>0</v>
      </c>
      <c r="FQ28" s="37">
        <f>SUMIFS(Lançamentos!$F:$F,Lançamentos!$A:$A,FQ$19,Lançamentos!$C:$C,"Comissões Recebidas")</f>
        <v>0</v>
      </c>
      <c r="FR28" s="37">
        <f>SUMIFS(Lançamentos!$F:$F,Lançamentos!$A:$A,FR$19,Lançamentos!$C:$C,"Comissões Recebidas")</f>
        <v>0</v>
      </c>
      <c r="FS28" s="37">
        <f>SUMIFS(Lançamentos!$F:$F,Lançamentos!$A:$A,FS$19,Lançamentos!$C:$C,"Comissões Recebidas")</f>
        <v>0</v>
      </c>
      <c r="FT28" s="37">
        <f>SUMIFS(Lançamentos!$F:$F,Lançamentos!$A:$A,FT$19,Lançamentos!$C:$C,"Comissões Recebidas")</f>
        <v>0</v>
      </c>
      <c r="FU28" s="37">
        <f>SUMIFS(Lançamentos!$F:$F,Lançamentos!$A:$A,FU$19,Lançamentos!$C:$C,"Comissões Recebidas")</f>
        <v>0</v>
      </c>
      <c r="FV28" s="37">
        <f>SUMIFS(Lançamentos!$F:$F,Lançamentos!$A:$A,FV$19,Lançamentos!$C:$C,"Comissões Recebidas")</f>
        <v>0</v>
      </c>
      <c r="FW28" s="37">
        <f>SUMIFS(Lançamentos!$F:$F,Lançamentos!$A:$A,FW$19,Lançamentos!$C:$C,"Comissões Recebidas")</f>
        <v>0</v>
      </c>
      <c r="FX28" s="37">
        <f>SUMIFS(Lançamentos!$F:$F,Lançamentos!$A:$A,FX$19,Lançamentos!$C:$C,"Comissões Recebidas")</f>
        <v>0</v>
      </c>
      <c r="FY28" s="37">
        <f>SUMIFS(Lançamentos!$F:$F,Lançamentos!$A:$A,FY$19,Lançamentos!$C:$C,"Comissões Recebidas")</f>
        <v>0</v>
      </c>
      <c r="FZ28" s="37">
        <f>SUMIFS(Lançamentos!$F:$F,Lançamentos!$A:$A,FZ$19,Lançamentos!$C:$C,"Comissões Recebidas")</f>
        <v>0</v>
      </c>
      <c r="GA28" s="37">
        <f>SUMIFS(Lançamentos!$F:$F,Lançamentos!$A:$A,GA$19,Lançamentos!$C:$C,"Comissões Recebidas")</f>
        <v>0</v>
      </c>
      <c r="GB28" s="37">
        <f>SUMIFS(Lançamentos!$F:$F,Lançamentos!$A:$A,GB$19,Lançamentos!$C:$C,"Comissões Recebidas")</f>
        <v>0</v>
      </c>
      <c r="GC28" s="37">
        <f>SUMIFS(Lançamentos!$F:$F,Lançamentos!$A:$A,GC$19,Lançamentos!$C:$C,"Comissões Recebidas")</f>
        <v>0</v>
      </c>
      <c r="GD28" s="37">
        <f>SUMIFS(Lançamentos!$F:$F,Lançamentos!$A:$A,GD$19,Lançamentos!$C:$C,"Comissões Recebidas")</f>
        <v>0</v>
      </c>
      <c r="GE28" s="37">
        <f>SUMIFS(Lançamentos!$F:$F,Lançamentos!$A:$A,GE$19,Lançamentos!$C:$C,"Comissões Recebidas")</f>
        <v>0</v>
      </c>
      <c r="GF28" s="37">
        <f>SUMIFS(Lançamentos!$F:$F,Lançamentos!$A:$A,GF$19,Lançamentos!$C:$C,"Comissões Recebidas")</f>
        <v>0</v>
      </c>
      <c r="GG28" s="37">
        <f>SUMIFS(Lançamentos!$F:$F,Lançamentos!$A:$A,GG$19,Lançamentos!$C:$C,"Comissões Recebidas")</f>
        <v>0</v>
      </c>
      <c r="GH28" s="37">
        <f>SUMIFS(Lançamentos!$F:$F,Lançamentos!$A:$A,GH$19,Lançamentos!$C:$C,"Comissões Recebidas")</f>
        <v>0</v>
      </c>
      <c r="GI28" s="37">
        <f>SUMIFS(Lançamentos!$F:$F,Lançamentos!$A:$A,GI$19,Lançamentos!$C:$C,"Comissões Recebidas")</f>
        <v>0</v>
      </c>
      <c r="GJ28" s="37">
        <f>SUMIFS(Lançamentos!$F:$F,Lançamentos!$A:$A,GJ$19,Lançamentos!$C:$C,"Comissões Recebidas")</f>
        <v>0</v>
      </c>
      <c r="GK28" s="37">
        <f>SUMIFS(Lançamentos!$F:$F,Lançamentos!$A:$A,GK$19,Lançamentos!$C:$C,"Comissões Recebidas")</f>
        <v>0</v>
      </c>
      <c r="GL28" s="37">
        <f>SUMIFS(Lançamentos!$F:$F,Lançamentos!$A:$A,GL$19,Lançamentos!$C:$C,"Comissões Recebidas")</f>
        <v>0</v>
      </c>
      <c r="GM28" s="37">
        <f>SUMIFS(Lançamentos!$F:$F,Lançamentos!$A:$A,GM$19,Lançamentos!$C:$C,"Comissões Recebidas")</f>
        <v>0</v>
      </c>
      <c r="GN28" s="37">
        <f>SUMIFS(Lançamentos!$F:$F,Lançamentos!$A:$A,GN$19,Lançamentos!$C:$C,"Comissões Recebidas")</f>
        <v>0</v>
      </c>
      <c r="GO28" s="37">
        <f>SUMIFS(Lançamentos!$F:$F,Lançamentos!$A:$A,GO$19,Lançamentos!$C:$C,"Comissões Recebidas")</f>
        <v>0</v>
      </c>
      <c r="GP28" s="37">
        <f>SUMIFS(Lançamentos!$F:$F,Lançamentos!$A:$A,GP$19,Lançamentos!$C:$C,"Comissões Recebidas")</f>
        <v>0</v>
      </c>
      <c r="GQ28" s="37">
        <f>SUMIFS(Lançamentos!$F:$F,Lançamentos!$A:$A,GQ$19,Lançamentos!$C:$C,"Comissões Recebidas")</f>
        <v>0</v>
      </c>
      <c r="GR28" s="37">
        <f>SUMIFS(Lançamentos!$F:$F,Lançamentos!$A:$A,GR$19,Lançamentos!$C:$C,"Comissões Recebidas")</f>
        <v>0</v>
      </c>
      <c r="GS28" s="37">
        <f>SUMIFS(Lançamentos!$F:$F,Lançamentos!$A:$A,GS$19,Lançamentos!$C:$C,"Comissões Recebidas")</f>
        <v>0</v>
      </c>
      <c r="GT28" s="37">
        <f>SUMIFS(Lançamentos!$F:$F,Lançamentos!$A:$A,GT$19,Lançamentos!$C:$C,"Comissões Recebidas")</f>
        <v>0</v>
      </c>
      <c r="GU28" s="37">
        <f>SUMIFS(Lançamentos!$F:$F,Lançamentos!$A:$A,GU$19,Lançamentos!$C:$C,"Comissões Recebidas")</f>
        <v>0</v>
      </c>
      <c r="GV28" s="37">
        <f>SUMIFS(Lançamentos!$F:$F,Lançamentos!$A:$A,GV$19,Lançamentos!$C:$C,"Comissões Recebidas")</f>
        <v>0</v>
      </c>
      <c r="GW28" s="37">
        <f>SUMIFS(Lançamentos!$F:$F,Lançamentos!$A:$A,GW$19,Lançamentos!$C:$C,"Comissões Recebidas")</f>
        <v>0</v>
      </c>
      <c r="GX28" s="37">
        <f>SUMIFS(Lançamentos!$F:$F,Lançamentos!$A:$A,GX$19,Lançamentos!$C:$C,"Comissões Recebidas")</f>
        <v>0</v>
      </c>
      <c r="GY28" s="37">
        <f>SUMIFS(Lançamentos!$F:$F,Lançamentos!$A:$A,GY$19,Lançamentos!$C:$C,"Comissões Recebidas")</f>
        <v>0</v>
      </c>
      <c r="GZ28" s="37">
        <f>SUMIFS(Lançamentos!$F:$F,Lançamentos!$A:$A,GZ$19,Lançamentos!$C:$C,"Comissões Recebidas")</f>
        <v>0</v>
      </c>
      <c r="HA28" s="37">
        <f>SUMIFS(Lançamentos!$F:$F,Lançamentos!$A:$A,HA$19,Lançamentos!$C:$C,"Comissões Recebidas")</f>
        <v>0</v>
      </c>
      <c r="HB28" s="37">
        <f>SUMIFS(Lançamentos!$F:$F,Lançamentos!$A:$A,HB$19,Lançamentos!$C:$C,"Comissões Recebidas")</f>
        <v>0</v>
      </c>
      <c r="HC28" s="37">
        <f>SUMIFS(Lançamentos!$F:$F,Lançamentos!$A:$A,HC$19,Lançamentos!$C:$C,"Comissões Recebidas")</f>
        <v>0</v>
      </c>
      <c r="HD28" s="37">
        <f>SUMIFS(Lançamentos!$F:$F,Lançamentos!$A:$A,HD$19,Lançamentos!$C:$C,"Comissões Recebidas")</f>
        <v>0</v>
      </c>
      <c r="HE28" s="37">
        <f>SUMIFS(Lançamentos!$F:$F,Lançamentos!$A:$A,HE$19,Lançamentos!$C:$C,"Comissões Recebidas")</f>
        <v>0</v>
      </c>
      <c r="HF28" s="37">
        <f>SUMIFS(Lançamentos!$F:$F,Lançamentos!$A:$A,HF$19,Lançamentos!$C:$C,"Comissões Recebidas")</f>
        <v>0</v>
      </c>
      <c r="HG28" s="37">
        <f>SUMIFS(Lançamentos!$F:$F,Lançamentos!$A:$A,HG$19,Lançamentos!$C:$C,"Comissões Recebidas")</f>
        <v>0</v>
      </c>
      <c r="HH28" s="37">
        <f>SUMIFS(Lançamentos!$F:$F,Lançamentos!$A:$A,HH$19,Lançamentos!$C:$C,"Comissões Recebidas")</f>
        <v>0</v>
      </c>
      <c r="HI28" s="37">
        <f>SUMIFS(Lançamentos!$F:$F,Lançamentos!$A:$A,HI$19,Lançamentos!$C:$C,"Comissões Recebidas")</f>
        <v>0</v>
      </c>
      <c r="HJ28" s="37">
        <f>SUMIFS(Lançamentos!$F:$F,Lançamentos!$A:$A,HJ$19,Lançamentos!$C:$C,"Comissões Recebidas")</f>
        <v>0</v>
      </c>
      <c r="HK28" s="37">
        <f>SUMIFS(Lançamentos!$F:$F,Lançamentos!$A:$A,HK$19,Lançamentos!$C:$C,"Comissões Recebidas")</f>
        <v>0</v>
      </c>
      <c r="HL28" s="37">
        <f>SUMIFS(Lançamentos!$F:$F,Lançamentos!$A:$A,HL$19,Lançamentos!$C:$C,"Comissões Recebidas")</f>
        <v>0</v>
      </c>
      <c r="HM28" s="37">
        <f>SUMIFS(Lançamentos!$F:$F,Lançamentos!$A:$A,HM$19,Lançamentos!$C:$C,"Comissões Recebidas")</f>
        <v>0</v>
      </c>
      <c r="HN28" s="37">
        <f>SUMIFS(Lançamentos!$F:$F,Lançamentos!$A:$A,HN$19,Lançamentos!$C:$C,"Comissões Recebidas")</f>
        <v>0</v>
      </c>
      <c r="HO28" s="37">
        <f>SUMIFS(Lançamentos!$F:$F,Lançamentos!$A:$A,HO$19,Lançamentos!$C:$C,"Comissões Recebidas")</f>
        <v>0</v>
      </c>
      <c r="HP28" s="37">
        <f>SUMIFS(Lançamentos!$F:$F,Lançamentos!$A:$A,HP$19,Lançamentos!$C:$C,"Comissões Recebidas")</f>
        <v>0</v>
      </c>
      <c r="HQ28" s="37">
        <f>SUMIFS(Lançamentos!$F:$F,Lançamentos!$A:$A,HQ$19,Lançamentos!$C:$C,"Comissões Recebidas")</f>
        <v>0</v>
      </c>
      <c r="HR28" s="37">
        <f>SUMIFS(Lançamentos!$F:$F,Lançamentos!$A:$A,HR$19,Lançamentos!$C:$C,"Comissões Recebidas")</f>
        <v>0</v>
      </c>
      <c r="HS28" s="37">
        <f>SUMIFS(Lançamentos!$F:$F,Lançamentos!$A:$A,HS$19,Lançamentos!$C:$C,"Comissões Recebidas")</f>
        <v>0</v>
      </c>
      <c r="HT28" s="37">
        <f>SUMIFS(Lançamentos!$F:$F,Lançamentos!$A:$A,HT$19,Lançamentos!$C:$C,"Comissões Recebidas")</f>
        <v>0</v>
      </c>
      <c r="HU28" s="37">
        <f>SUMIFS(Lançamentos!$F:$F,Lançamentos!$A:$A,HU$19,Lançamentos!$C:$C,"Comissões Recebidas")</f>
        <v>0</v>
      </c>
      <c r="HV28" s="37">
        <f>SUMIFS(Lançamentos!$F:$F,Lançamentos!$A:$A,HV$19,Lançamentos!$C:$C,"Comissões Recebidas")</f>
        <v>0</v>
      </c>
      <c r="HW28" s="37">
        <f>SUMIFS(Lançamentos!$F:$F,Lançamentos!$A:$A,HW$19,Lançamentos!$C:$C,"Comissões Recebidas")</f>
        <v>0</v>
      </c>
      <c r="HX28" s="37">
        <f>SUMIFS(Lançamentos!$F:$F,Lançamentos!$A:$A,HX$19,Lançamentos!$C:$C,"Comissões Recebidas")</f>
        <v>0</v>
      </c>
      <c r="HY28" s="37">
        <f>SUMIFS(Lançamentos!$F:$F,Lançamentos!$A:$A,HY$19,Lançamentos!$C:$C,"Comissões Recebidas")</f>
        <v>0</v>
      </c>
      <c r="HZ28" s="37">
        <f>SUMIFS(Lançamentos!$F:$F,Lançamentos!$A:$A,HZ$19,Lançamentos!$C:$C,"Comissões Recebidas")</f>
        <v>0</v>
      </c>
      <c r="IA28" s="37">
        <f>SUMIFS(Lançamentos!$F:$F,Lançamentos!$A:$A,IA$19,Lançamentos!$C:$C,"Comissões Recebidas")</f>
        <v>0</v>
      </c>
      <c r="IB28" s="37">
        <f>SUMIFS(Lançamentos!$F:$F,Lançamentos!$A:$A,IB$19,Lançamentos!$C:$C,"Comissões Recebidas")</f>
        <v>0</v>
      </c>
      <c r="IC28" s="37">
        <f>SUMIFS(Lançamentos!$F:$F,Lançamentos!$A:$A,IC$19,Lançamentos!$C:$C,"Comissões Recebidas")</f>
        <v>0</v>
      </c>
      <c r="ID28" s="37">
        <f>SUMIFS(Lançamentos!$F:$F,Lançamentos!$A:$A,ID$19,Lançamentos!$C:$C,"Comissões Recebidas")</f>
        <v>0</v>
      </c>
      <c r="IE28" s="37">
        <f>SUMIFS(Lançamentos!$F:$F,Lançamentos!$A:$A,IE$19,Lançamentos!$C:$C,"Comissões Recebidas")</f>
        <v>0</v>
      </c>
      <c r="IF28" s="37">
        <f>SUMIFS(Lançamentos!$F:$F,Lançamentos!$A:$A,IF$19,Lançamentos!$C:$C,"Comissões Recebidas")</f>
        <v>0</v>
      </c>
      <c r="IG28" s="37">
        <f>SUMIFS(Lançamentos!$F:$F,Lançamentos!$A:$A,IG$19,Lançamentos!$C:$C,"Comissões Recebidas")</f>
        <v>0</v>
      </c>
      <c r="IH28" s="37">
        <f>SUMIFS(Lançamentos!$F:$F,Lançamentos!$A:$A,IH$19,Lançamentos!$C:$C,"Comissões Recebidas")</f>
        <v>0</v>
      </c>
      <c r="II28" s="37">
        <f>SUMIFS(Lançamentos!$F:$F,Lançamentos!$A:$A,II$19,Lançamentos!$C:$C,"Comissões Recebidas")</f>
        <v>0</v>
      </c>
      <c r="IJ28" s="37">
        <f>SUMIFS(Lançamentos!$F:$F,Lançamentos!$A:$A,IJ$19,Lançamentos!$C:$C,"Comissões Recebidas")</f>
        <v>0</v>
      </c>
      <c r="IK28" s="37">
        <f>SUMIFS(Lançamentos!$F:$F,Lançamentos!$A:$A,IK$19,Lançamentos!$C:$C,"Comissões Recebidas")</f>
        <v>0</v>
      </c>
      <c r="IL28" s="37">
        <f>SUMIFS(Lançamentos!$F:$F,Lançamentos!$A:$A,IL$19,Lançamentos!$C:$C,"Comissões Recebidas")</f>
        <v>0</v>
      </c>
    </row>
    <row r="29" spans="1:246" x14ac:dyDescent="0.3">
      <c r="A29" t="s">
        <v>84</v>
      </c>
      <c r="B29" s="37">
        <f>SUMIFS(Lançamentos!$F:$F,Lançamentos!$A:$A,B$19,Lançamentos!$C:$C,"Aluguel Recebido")</f>
        <v>0</v>
      </c>
      <c r="C29" s="37">
        <f>SUMIFS(Lançamentos!$F:$F,Lançamentos!$A:$A,C$19,Lançamentos!$C:$C,"Aluguel Recebido")</f>
        <v>0</v>
      </c>
      <c r="D29" s="37">
        <f>SUMIFS(Lançamentos!$F:$F,Lançamentos!$A:$A,D$19,Lançamentos!$C:$C,"Aluguel Recebido")</f>
        <v>0</v>
      </c>
      <c r="E29" s="37">
        <f>SUMIFS(Lançamentos!$F:$F,Lançamentos!$A:$A,E$19,Lançamentos!$C:$C,"Aluguel Recebido")</f>
        <v>0</v>
      </c>
      <c r="F29" s="37">
        <f>SUMIFS(Lançamentos!$F:$F,Lançamentos!$A:$A,F$19,Lançamentos!$C:$C,"Aluguel Recebido")</f>
        <v>0</v>
      </c>
      <c r="G29" s="37">
        <f>SUMIFS(Lançamentos!$F:$F,Lançamentos!$A:$A,G$19,Lançamentos!$C:$C,"Aluguel Recebido")</f>
        <v>0</v>
      </c>
      <c r="H29" s="37">
        <f>SUMIFS(Lançamentos!$F:$F,Lançamentos!$A:$A,H$19,Lançamentos!$C:$C,"Aluguel Recebido")</f>
        <v>0</v>
      </c>
      <c r="I29" s="37">
        <f>SUMIFS(Lançamentos!$F:$F,Lançamentos!$A:$A,I$19,Lançamentos!$C:$C,"Aluguel Recebido")</f>
        <v>0</v>
      </c>
      <c r="J29" s="37">
        <f>SUMIFS(Lançamentos!$F:$F,Lançamentos!$A:$A,J$19,Lançamentos!$C:$C,"Aluguel Recebido")</f>
        <v>0</v>
      </c>
      <c r="K29" s="37">
        <f>SUMIFS(Lançamentos!$F:$F,Lançamentos!$A:$A,K$19,Lançamentos!$C:$C,"Aluguel Recebido")</f>
        <v>0</v>
      </c>
      <c r="L29" s="37">
        <f>SUMIFS(Lançamentos!$F:$F,Lançamentos!$A:$A,L$19,Lançamentos!$C:$C,"Aluguel Recebido")</f>
        <v>0</v>
      </c>
      <c r="M29" s="37">
        <f>SUMIFS(Lançamentos!$F:$F,Lançamentos!$A:$A,M$19,Lançamentos!$C:$C,"Aluguel Recebido")</f>
        <v>0</v>
      </c>
      <c r="N29" s="37">
        <f>SUMIFS(Lançamentos!$F:$F,Lançamentos!$A:$A,N$19,Lançamentos!$C:$C,"Aluguel Recebido")</f>
        <v>0</v>
      </c>
      <c r="O29" s="37">
        <f>SUMIFS(Lançamentos!$F:$F,Lançamentos!$A:$A,O$19,Lançamentos!$C:$C,"Aluguel Recebido")</f>
        <v>0</v>
      </c>
      <c r="P29" s="37">
        <f>SUMIFS(Lançamentos!$F:$F,Lançamentos!$A:$A,P$19,Lançamentos!$C:$C,"Aluguel Recebido")</f>
        <v>0</v>
      </c>
      <c r="Q29" s="37">
        <f>SUMIFS(Lançamentos!$F:$F,Lançamentos!$A:$A,Q$19,Lançamentos!$C:$C,"Aluguel Recebido")</f>
        <v>0</v>
      </c>
      <c r="R29" s="37">
        <f>SUMIFS(Lançamentos!$F:$F,Lançamentos!$A:$A,R$19,Lançamentos!$C:$C,"Aluguel Recebido")</f>
        <v>0</v>
      </c>
      <c r="S29" s="37">
        <f>SUMIFS(Lançamentos!$F:$F,Lançamentos!$A:$A,S$19,Lançamentos!$C:$C,"Aluguel Recebido")</f>
        <v>0</v>
      </c>
      <c r="T29" s="37">
        <f>SUMIFS(Lançamentos!$F:$F,Lançamentos!$A:$A,T$19,Lançamentos!$C:$C,"Aluguel Recebido")</f>
        <v>0</v>
      </c>
      <c r="U29" s="37">
        <f>SUMIFS(Lançamentos!$F:$F,Lançamentos!$A:$A,U$19,Lançamentos!$C:$C,"Aluguel Recebido")</f>
        <v>0</v>
      </c>
      <c r="V29" s="37">
        <f>SUMIFS(Lançamentos!$F:$F,Lançamentos!$A:$A,V$19,Lançamentos!$C:$C,"Aluguel Recebido")</f>
        <v>0</v>
      </c>
      <c r="W29" s="37">
        <f>SUMIFS(Lançamentos!$F:$F,Lançamentos!$A:$A,W$19,Lançamentos!$C:$C,"Aluguel Recebido")</f>
        <v>0</v>
      </c>
      <c r="X29" s="37">
        <f>SUMIFS(Lançamentos!$F:$F,Lançamentos!$A:$A,X$19,Lançamentos!$C:$C,"Aluguel Recebido")</f>
        <v>0</v>
      </c>
      <c r="Y29" s="37">
        <f>SUMIFS(Lançamentos!$F:$F,Lançamentos!$A:$A,Y$19,Lançamentos!$C:$C,"Aluguel Recebido")</f>
        <v>0</v>
      </c>
      <c r="Z29" s="37">
        <f>SUMIFS(Lançamentos!$F:$F,Lançamentos!$A:$A,Z$19,Lançamentos!$C:$C,"Aluguel Recebido")</f>
        <v>0</v>
      </c>
      <c r="AA29" s="37">
        <f>SUMIFS(Lançamentos!$F:$F,Lançamentos!$A:$A,AA$19,Lançamentos!$C:$C,"Aluguel Recebido")</f>
        <v>0</v>
      </c>
      <c r="AB29" s="37">
        <f>SUMIFS(Lançamentos!$F:$F,Lançamentos!$A:$A,AB$19,Lançamentos!$C:$C,"Aluguel Recebido")</f>
        <v>0</v>
      </c>
      <c r="AC29" s="37">
        <f>SUMIFS(Lançamentos!$F:$F,Lançamentos!$A:$A,AC$19,Lançamentos!$C:$C,"Aluguel Recebido")</f>
        <v>0</v>
      </c>
      <c r="AD29" s="37">
        <f>SUMIFS(Lançamentos!$F:$F,Lançamentos!$A:$A,AD$19,Lançamentos!$C:$C,"Aluguel Recebido")</f>
        <v>0</v>
      </c>
      <c r="AE29" s="37">
        <f>SUMIFS(Lançamentos!$F:$F,Lançamentos!$A:$A,AE$19,Lançamentos!$C:$C,"Aluguel Recebido")</f>
        <v>0</v>
      </c>
      <c r="AF29" s="37">
        <f>SUMIFS(Lançamentos!$F:$F,Lançamentos!$A:$A,AF$19,Lançamentos!$C:$C,"Aluguel Recebido")</f>
        <v>0</v>
      </c>
      <c r="AG29" s="37">
        <f>SUMIFS(Lançamentos!$F:$F,Lançamentos!$A:$A,AG$19,Lançamentos!$C:$C,"Aluguel Recebido")</f>
        <v>0</v>
      </c>
      <c r="AH29" s="37">
        <f>SUMIFS(Lançamentos!$F:$F,Lançamentos!$A:$A,AH$19,Lançamentos!$C:$C,"Aluguel Recebido")</f>
        <v>0</v>
      </c>
      <c r="AI29" s="37">
        <f>SUMIFS(Lançamentos!$F:$F,Lançamentos!$A:$A,AI$19,Lançamentos!$C:$C,"Aluguel Recebido")</f>
        <v>0</v>
      </c>
      <c r="AJ29" s="37">
        <f>SUMIFS(Lançamentos!$F:$F,Lançamentos!$A:$A,AJ$19,Lançamentos!$C:$C,"Aluguel Recebido")</f>
        <v>0</v>
      </c>
      <c r="AK29" s="37">
        <f>SUMIFS(Lançamentos!$F:$F,Lançamentos!$A:$A,AK$19,Lançamentos!$C:$C,"Aluguel Recebido")</f>
        <v>0</v>
      </c>
      <c r="AL29" s="37">
        <f>SUMIFS(Lançamentos!$F:$F,Lançamentos!$A:$A,AL$19,Lançamentos!$C:$C,"Aluguel Recebido")</f>
        <v>0</v>
      </c>
      <c r="AM29" s="37">
        <f>SUMIFS(Lançamentos!$F:$F,Lançamentos!$A:$A,AM$19,Lançamentos!$C:$C,"Aluguel Recebido")</f>
        <v>0</v>
      </c>
      <c r="AN29" s="37">
        <f>SUMIFS(Lançamentos!$F:$F,Lançamentos!$A:$A,AN$19,Lançamentos!$C:$C,"Aluguel Recebido")</f>
        <v>0</v>
      </c>
      <c r="AO29" s="37">
        <f>SUMIFS(Lançamentos!$F:$F,Lançamentos!$A:$A,AO$19,Lançamentos!$C:$C,"Aluguel Recebido")</f>
        <v>0</v>
      </c>
      <c r="AP29" s="37">
        <f>SUMIFS(Lançamentos!$F:$F,Lançamentos!$A:$A,AP$19,Lançamentos!$C:$C,"Aluguel Recebido")</f>
        <v>0</v>
      </c>
      <c r="AQ29" s="37">
        <f>SUMIFS(Lançamentos!$F:$F,Lançamentos!$A:$A,AQ$19,Lançamentos!$C:$C,"Aluguel Recebido")</f>
        <v>0</v>
      </c>
      <c r="AR29" s="37">
        <f>SUMIFS(Lançamentos!$F:$F,Lançamentos!$A:$A,AR$19,Lançamentos!$C:$C,"Aluguel Recebido")</f>
        <v>0</v>
      </c>
      <c r="AS29" s="37">
        <f>SUMIFS(Lançamentos!$F:$F,Lançamentos!$A:$A,AS$19,Lançamentos!$C:$C,"Aluguel Recebido")</f>
        <v>0</v>
      </c>
      <c r="AT29" s="37">
        <f>SUMIFS(Lançamentos!$F:$F,Lançamentos!$A:$A,AT$19,Lançamentos!$C:$C,"Aluguel Recebido")</f>
        <v>0</v>
      </c>
      <c r="AU29" s="37">
        <f>SUMIFS(Lançamentos!$F:$F,Lançamentos!$A:$A,AU$19,Lançamentos!$C:$C,"Aluguel Recebido")</f>
        <v>0</v>
      </c>
      <c r="AV29" s="37">
        <f>SUMIFS(Lançamentos!$F:$F,Lançamentos!$A:$A,AV$19,Lançamentos!$C:$C,"Aluguel Recebido")</f>
        <v>0</v>
      </c>
      <c r="AW29" s="37">
        <f>SUMIFS(Lançamentos!$F:$F,Lançamentos!$A:$A,AW$19,Lançamentos!$C:$C,"Aluguel Recebido")</f>
        <v>0</v>
      </c>
      <c r="AX29" s="37">
        <f>SUMIFS(Lançamentos!$F:$F,Lançamentos!$A:$A,AX$19,Lançamentos!$C:$C,"Aluguel Recebido")</f>
        <v>0</v>
      </c>
      <c r="AY29" s="37">
        <f>SUMIFS(Lançamentos!$F:$F,Lançamentos!$A:$A,AY$19,Lançamentos!$C:$C,"Aluguel Recebido")</f>
        <v>0</v>
      </c>
      <c r="AZ29" s="37">
        <f>SUMIFS(Lançamentos!$F:$F,Lançamentos!$A:$A,AZ$19,Lançamentos!$C:$C,"Aluguel Recebido")</f>
        <v>0</v>
      </c>
      <c r="BA29" s="37">
        <f>SUMIFS(Lançamentos!$F:$F,Lançamentos!$A:$A,BA$19,Lançamentos!$C:$C,"Aluguel Recebido")</f>
        <v>0</v>
      </c>
      <c r="BB29" s="37">
        <f>SUMIFS(Lançamentos!$F:$F,Lançamentos!$A:$A,BB$19,Lançamentos!$C:$C,"Aluguel Recebido")</f>
        <v>0</v>
      </c>
      <c r="BC29" s="37">
        <f>SUMIFS(Lançamentos!$F:$F,Lançamentos!$A:$A,BC$19,Lançamentos!$C:$C,"Aluguel Recebido")</f>
        <v>0</v>
      </c>
      <c r="BD29" s="37">
        <f>SUMIFS(Lançamentos!$F:$F,Lançamentos!$A:$A,BD$19,Lançamentos!$C:$C,"Aluguel Recebido")</f>
        <v>0</v>
      </c>
      <c r="BE29" s="37">
        <f>SUMIFS(Lançamentos!$F:$F,Lançamentos!$A:$A,BE$19,Lançamentos!$C:$C,"Aluguel Recebido")</f>
        <v>0</v>
      </c>
      <c r="BF29" s="37">
        <f>SUMIFS(Lançamentos!$F:$F,Lançamentos!$A:$A,BF$19,Lançamentos!$C:$C,"Aluguel Recebido")</f>
        <v>0</v>
      </c>
      <c r="BG29" s="37">
        <f>SUMIFS(Lançamentos!$F:$F,Lançamentos!$A:$A,BG$19,Lançamentos!$C:$C,"Aluguel Recebido")</f>
        <v>0</v>
      </c>
      <c r="BH29" s="37">
        <f>SUMIFS(Lançamentos!$F:$F,Lançamentos!$A:$A,BH$19,Lançamentos!$C:$C,"Aluguel Recebido")</f>
        <v>0</v>
      </c>
      <c r="BI29" s="37">
        <f>SUMIFS(Lançamentos!$F:$F,Lançamentos!$A:$A,BI$19,Lançamentos!$C:$C,"Aluguel Recebido")</f>
        <v>0</v>
      </c>
      <c r="BJ29" s="37">
        <f>SUMIFS(Lançamentos!$F:$F,Lançamentos!$A:$A,BJ$19,Lançamentos!$C:$C,"Aluguel Recebido")</f>
        <v>0</v>
      </c>
      <c r="BK29" s="37">
        <f>SUMIFS(Lançamentos!$F:$F,Lançamentos!$A:$A,BK$19,Lançamentos!$C:$C,"Aluguel Recebido")</f>
        <v>0</v>
      </c>
      <c r="BL29" s="37">
        <f>SUMIFS(Lançamentos!$F:$F,Lançamentos!$A:$A,BL$19,Lançamentos!$C:$C,"Aluguel Recebido")</f>
        <v>0</v>
      </c>
      <c r="BM29" s="37">
        <f>SUMIFS(Lançamentos!$F:$F,Lançamentos!$A:$A,BM$19,Lançamentos!$C:$C,"Aluguel Recebido")</f>
        <v>0</v>
      </c>
      <c r="BN29" s="37">
        <f>SUMIFS(Lançamentos!$F:$F,Lançamentos!$A:$A,BN$19,Lançamentos!$C:$C,"Aluguel Recebido")</f>
        <v>0</v>
      </c>
      <c r="BO29" s="37">
        <f>SUMIFS(Lançamentos!$F:$F,Lançamentos!$A:$A,BO$19,Lançamentos!$C:$C,"Aluguel Recebido")</f>
        <v>0</v>
      </c>
      <c r="BP29" s="37">
        <f>SUMIFS(Lançamentos!$F:$F,Lançamentos!$A:$A,BP$19,Lançamentos!$C:$C,"Aluguel Recebido")</f>
        <v>0</v>
      </c>
      <c r="BQ29" s="37">
        <f>SUMIFS(Lançamentos!$F:$F,Lançamentos!$A:$A,BQ$19,Lançamentos!$C:$C,"Aluguel Recebido")</f>
        <v>0</v>
      </c>
      <c r="BR29" s="37">
        <f>SUMIFS(Lançamentos!$F:$F,Lançamentos!$A:$A,BR$19,Lançamentos!$C:$C,"Aluguel Recebido")</f>
        <v>0</v>
      </c>
      <c r="BS29" s="37">
        <f>SUMIFS(Lançamentos!$F:$F,Lançamentos!$A:$A,BS$19,Lançamentos!$C:$C,"Aluguel Recebido")</f>
        <v>0</v>
      </c>
      <c r="BT29" s="37">
        <f>SUMIFS(Lançamentos!$F:$F,Lançamentos!$A:$A,BT$19,Lançamentos!$C:$C,"Aluguel Recebido")</f>
        <v>0</v>
      </c>
      <c r="BU29" s="37">
        <f>SUMIFS(Lançamentos!$F:$F,Lançamentos!$A:$A,BU$19,Lançamentos!$C:$C,"Aluguel Recebido")</f>
        <v>0</v>
      </c>
      <c r="BV29" s="37">
        <f>SUMIFS(Lançamentos!$F:$F,Lançamentos!$A:$A,BV$19,Lançamentos!$C:$C,"Aluguel Recebido")</f>
        <v>0</v>
      </c>
      <c r="BW29" s="37">
        <f>SUMIFS(Lançamentos!$F:$F,Lançamentos!$A:$A,BW$19,Lançamentos!$C:$C,"Aluguel Recebido")</f>
        <v>0</v>
      </c>
      <c r="BX29" s="37">
        <f>SUMIFS(Lançamentos!$F:$F,Lançamentos!$A:$A,BX$19,Lançamentos!$C:$C,"Aluguel Recebido")</f>
        <v>0</v>
      </c>
      <c r="BY29" s="37">
        <f>SUMIFS(Lançamentos!$F:$F,Lançamentos!$A:$A,BY$19,Lançamentos!$C:$C,"Aluguel Recebido")</f>
        <v>0</v>
      </c>
      <c r="BZ29" s="37">
        <f>SUMIFS(Lançamentos!$F:$F,Lançamentos!$A:$A,BZ$19,Lançamentos!$C:$C,"Aluguel Recebido")</f>
        <v>0</v>
      </c>
      <c r="CA29" s="37">
        <f>SUMIFS(Lançamentos!$F:$F,Lançamentos!$A:$A,CA$19,Lançamentos!$C:$C,"Aluguel Recebido")</f>
        <v>0</v>
      </c>
      <c r="CB29" s="37">
        <f>SUMIFS(Lançamentos!$F:$F,Lançamentos!$A:$A,CB$19,Lançamentos!$C:$C,"Aluguel Recebido")</f>
        <v>0</v>
      </c>
      <c r="CC29" s="37">
        <f>SUMIFS(Lançamentos!$F:$F,Lançamentos!$A:$A,CC$19,Lançamentos!$C:$C,"Aluguel Recebido")</f>
        <v>0</v>
      </c>
      <c r="CD29" s="37">
        <f>SUMIFS(Lançamentos!$F:$F,Lançamentos!$A:$A,CD$19,Lançamentos!$C:$C,"Aluguel Recebido")</f>
        <v>0</v>
      </c>
      <c r="CE29" s="37">
        <f>SUMIFS(Lançamentos!$F:$F,Lançamentos!$A:$A,CE$19,Lançamentos!$C:$C,"Aluguel Recebido")</f>
        <v>0</v>
      </c>
      <c r="CF29" s="37">
        <f>SUMIFS(Lançamentos!$F:$F,Lançamentos!$A:$A,CF$19,Lançamentos!$C:$C,"Aluguel Recebido")</f>
        <v>0</v>
      </c>
      <c r="CG29" s="37">
        <f>SUMIFS(Lançamentos!$F:$F,Lançamentos!$A:$A,CG$19,Lançamentos!$C:$C,"Aluguel Recebido")</f>
        <v>0</v>
      </c>
      <c r="CH29" s="37">
        <f>SUMIFS(Lançamentos!$F:$F,Lançamentos!$A:$A,CH$19,Lançamentos!$C:$C,"Aluguel Recebido")</f>
        <v>0</v>
      </c>
      <c r="CI29" s="37">
        <f>SUMIFS(Lançamentos!$F:$F,Lançamentos!$A:$A,CI$19,Lançamentos!$C:$C,"Aluguel Recebido")</f>
        <v>0</v>
      </c>
      <c r="CJ29" s="37">
        <f>SUMIFS(Lançamentos!$F:$F,Lançamentos!$A:$A,CJ$19,Lançamentos!$C:$C,"Aluguel Recebido")</f>
        <v>0</v>
      </c>
      <c r="CK29" s="37">
        <f>SUMIFS(Lançamentos!$F:$F,Lançamentos!$A:$A,CK$19,Lançamentos!$C:$C,"Aluguel Recebido")</f>
        <v>0</v>
      </c>
      <c r="CL29" s="37">
        <f>SUMIFS(Lançamentos!$F:$F,Lançamentos!$A:$A,CL$19,Lançamentos!$C:$C,"Aluguel Recebido")</f>
        <v>0</v>
      </c>
      <c r="CM29" s="37">
        <f>SUMIFS(Lançamentos!$F:$F,Lançamentos!$A:$A,CM$19,Lançamentos!$C:$C,"Aluguel Recebido")</f>
        <v>0</v>
      </c>
      <c r="CN29" s="37">
        <f>SUMIFS(Lançamentos!$F:$F,Lançamentos!$A:$A,CN$19,Lançamentos!$C:$C,"Aluguel Recebido")</f>
        <v>0</v>
      </c>
      <c r="CO29" s="37">
        <f>SUMIFS(Lançamentos!$F:$F,Lançamentos!$A:$A,CO$19,Lançamentos!$C:$C,"Aluguel Recebido")</f>
        <v>0</v>
      </c>
      <c r="CP29" s="37">
        <f>SUMIFS(Lançamentos!$F:$F,Lançamentos!$A:$A,CP$19,Lançamentos!$C:$C,"Aluguel Recebido")</f>
        <v>0</v>
      </c>
      <c r="CQ29" s="37">
        <f>SUMIFS(Lançamentos!$F:$F,Lançamentos!$A:$A,CQ$19,Lançamentos!$C:$C,"Aluguel Recebido")</f>
        <v>0</v>
      </c>
      <c r="CR29" s="37">
        <f>SUMIFS(Lançamentos!$F:$F,Lançamentos!$A:$A,CR$19,Lançamentos!$C:$C,"Aluguel Recebido")</f>
        <v>0</v>
      </c>
      <c r="CS29" s="37">
        <f>SUMIFS(Lançamentos!$F:$F,Lançamentos!$A:$A,CS$19,Lançamentos!$C:$C,"Aluguel Recebido")</f>
        <v>0</v>
      </c>
      <c r="CT29" s="37">
        <f>SUMIFS(Lançamentos!$F:$F,Lançamentos!$A:$A,CT$19,Lançamentos!$C:$C,"Aluguel Recebido")</f>
        <v>0</v>
      </c>
      <c r="CU29" s="37">
        <f>SUMIFS(Lançamentos!$F:$F,Lançamentos!$A:$A,CU$19,Lançamentos!$C:$C,"Aluguel Recebido")</f>
        <v>0</v>
      </c>
      <c r="CV29" s="37">
        <f>SUMIFS(Lançamentos!$F:$F,Lançamentos!$A:$A,CV$19,Lançamentos!$C:$C,"Aluguel Recebido")</f>
        <v>0</v>
      </c>
      <c r="CW29" s="37">
        <f>SUMIFS(Lançamentos!$F:$F,Lançamentos!$A:$A,CW$19,Lançamentos!$C:$C,"Aluguel Recebido")</f>
        <v>0</v>
      </c>
      <c r="CX29" s="37">
        <f>SUMIFS(Lançamentos!$F:$F,Lançamentos!$A:$A,CX$19,Lançamentos!$C:$C,"Aluguel Recebido")</f>
        <v>0</v>
      </c>
      <c r="CY29" s="37">
        <f>SUMIFS(Lançamentos!$F:$F,Lançamentos!$A:$A,CY$19,Lançamentos!$C:$C,"Aluguel Recebido")</f>
        <v>0</v>
      </c>
      <c r="CZ29" s="37">
        <f>SUMIFS(Lançamentos!$F:$F,Lançamentos!$A:$A,CZ$19,Lançamentos!$C:$C,"Aluguel Recebido")</f>
        <v>0</v>
      </c>
      <c r="DA29" s="37">
        <f>SUMIFS(Lançamentos!$F:$F,Lançamentos!$A:$A,DA$19,Lançamentos!$C:$C,"Aluguel Recebido")</f>
        <v>0</v>
      </c>
      <c r="DB29" s="37">
        <f>SUMIFS(Lançamentos!$F:$F,Lançamentos!$A:$A,DB$19,Lançamentos!$C:$C,"Aluguel Recebido")</f>
        <v>0</v>
      </c>
      <c r="DC29" s="37">
        <f>SUMIFS(Lançamentos!$F:$F,Lançamentos!$A:$A,DC$19,Lançamentos!$C:$C,"Aluguel Recebido")</f>
        <v>0</v>
      </c>
      <c r="DD29" s="37">
        <f>SUMIFS(Lançamentos!$F:$F,Lançamentos!$A:$A,DD$19,Lançamentos!$C:$C,"Aluguel Recebido")</f>
        <v>0</v>
      </c>
      <c r="DE29" s="37">
        <f>SUMIFS(Lançamentos!$F:$F,Lançamentos!$A:$A,DE$19,Lançamentos!$C:$C,"Aluguel Recebido")</f>
        <v>0</v>
      </c>
      <c r="DF29" s="37">
        <f>SUMIFS(Lançamentos!$F:$F,Lançamentos!$A:$A,DF$19,Lançamentos!$C:$C,"Aluguel Recebido")</f>
        <v>0</v>
      </c>
      <c r="DG29" s="37">
        <f>SUMIFS(Lançamentos!$F:$F,Lançamentos!$A:$A,DG$19,Lançamentos!$C:$C,"Aluguel Recebido")</f>
        <v>0</v>
      </c>
      <c r="DH29" s="37">
        <f>SUMIFS(Lançamentos!$F:$F,Lançamentos!$A:$A,DH$19,Lançamentos!$C:$C,"Aluguel Recebido")</f>
        <v>0</v>
      </c>
      <c r="DI29" s="37">
        <f>SUMIFS(Lançamentos!$F:$F,Lançamentos!$A:$A,DI$19,Lançamentos!$C:$C,"Aluguel Recebido")</f>
        <v>0</v>
      </c>
      <c r="DJ29" s="37">
        <f>SUMIFS(Lançamentos!$F:$F,Lançamentos!$A:$A,DJ$19,Lançamentos!$C:$C,"Aluguel Recebido")</f>
        <v>0</v>
      </c>
      <c r="DK29" s="37">
        <f>SUMIFS(Lançamentos!$F:$F,Lançamentos!$A:$A,DK$19,Lançamentos!$C:$C,"Aluguel Recebido")</f>
        <v>0</v>
      </c>
      <c r="DL29" s="37">
        <f>SUMIFS(Lançamentos!$F:$F,Lançamentos!$A:$A,DL$19,Lançamentos!$C:$C,"Aluguel Recebido")</f>
        <v>0</v>
      </c>
      <c r="DM29" s="37">
        <f>SUMIFS(Lançamentos!$F:$F,Lançamentos!$A:$A,DM$19,Lançamentos!$C:$C,"Aluguel Recebido")</f>
        <v>0</v>
      </c>
      <c r="DN29" s="37">
        <f>SUMIFS(Lançamentos!$F:$F,Lançamentos!$A:$A,DN$19,Lançamentos!$C:$C,"Aluguel Recebido")</f>
        <v>0</v>
      </c>
      <c r="DO29" s="37">
        <f>SUMIFS(Lançamentos!$F:$F,Lançamentos!$A:$A,DO$19,Lançamentos!$C:$C,"Aluguel Recebido")</f>
        <v>0</v>
      </c>
      <c r="DP29" s="37">
        <f>SUMIFS(Lançamentos!$F:$F,Lançamentos!$A:$A,DP$19,Lançamentos!$C:$C,"Aluguel Recebido")</f>
        <v>0</v>
      </c>
      <c r="DQ29" s="37">
        <f>SUMIFS(Lançamentos!$F:$F,Lançamentos!$A:$A,DQ$19,Lançamentos!$C:$C,"Aluguel Recebido")</f>
        <v>0</v>
      </c>
      <c r="DR29" s="37">
        <f>SUMIFS(Lançamentos!$F:$F,Lançamentos!$A:$A,DR$19,Lançamentos!$C:$C,"Aluguel Recebido")</f>
        <v>0</v>
      </c>
      <c r="DS29" s="37">
        <f>SUMIFS(Lançamentos!$F:$F,Lançamentos!$A:$A,DS$19,Lançamentos!$C:$C,"Aluguel Recebido")</f>
        <v>0</v>
      </c>
      <c r="DT29" s="37">
        <f>SUMIFS(Lançamentos!$F:$F,Lançamentos!$A:$A,DT$19,Lançamentos!$C:$C,"Aluguel Recebido")</f>
        <v>0</v>
      </c>
      <c r="DU29" s="37">
        <f>SUMIFS(Lançamentos!$F:$F,Lançamentos!$A:$A,DU$19,Lançamentos!$C:$C,"Aluguel Recebido")</f>
        <v>0</v>
      </c>
      <c r="DV29" s="37">
        <f>SUMIFS(Lançamentos!$F:$F,Lançamentos!$A:$A,DV$19,Lançamentos!$C:$C,"Aluguel Recebido")</f>
        <v>0</v>
      </c>
      <c r="DW29" s="37">
        <f>SUMIFS(Lançamentos!$F:$F,Lançamentos!$A:$A,DW$19,Lançamentos!$C:$C,"Aluguel Recebido")</f>
        <v>0</v>
      </c>
      <c r="DX29" s="37">
        <f>SUMIFS(Lançamentos!$F:$F,Lançamentos!$A:$A,DX$19,Lançamentos!$C:$C,"Aluguel Recebido")</f>
        <v>0</v>
      </c>
      <c r="DY29" s="37">
        <f>SUMIFS(Lançamentos!$F:$F,Lançamentos!$A:$A,DY$19,Lançamentos!$C:$C,"Aluguel Recebido")</f>
        <v>0</v>
      </c>
      <c r="DZ29" s="37">
        <f>SUMIFS(Lançamentos!$F:$F,Lançamentos!$A:$A,DZ$19,Lançamentos!$C:$C,"Aluguel Recebido")</f>
        <v>0</v>
      </c>
      <c r="EA29" s="37">
        <f>SUMIFS(Lançamentos!$F:$F,Lançamentos!$A:$A,EA$19,Lançamentos!$C:$C,"Aluguel Recebido")</f>
        <v>0</v>
      </c>
      <c r="EB29" s="37">
        <f>SUMIFS(Lançamentos!$F:$F,Lançamentos!$A:$A,EB$19,Lançamentos!$C:$C,"Aluguel Recebido")</f>
        <v>0</v>
      </c>
      <c r="EC29" s="37">
        <f>SUMIFS(Lançamentos!$F:$F,Lançamentos!$A:$A,EC$19,Lançamentos!$C:$C,"Aluguel Recebido")</f>
        <v>0</v>
      </c>
      <c r="ED29" s="37">
        <f>SUMIFS(Lançamentos!$F:$F,Lançamentos!$A:$A,ED$19,Lançamentos!$C:$C,"Aluguel Recebido")</f>
        <v>0</v>
      </c>
      <c r="EE29" s="37">
        <f>SUMIFS(Lançamentos!$F:$F,Lançamentos!$A:$A,EE$19,Lançamentos!$C:$C,"Aluguel Recebido")</f>
        <v>0</v>
      </c>
      <c r="EF29" s="37">
        <f>SUMIFS(Lançamentos!$F:$F,Lançamentos!$A:$A,EF$19,Lançamentos!$C:$C,"Aluguel Recebido")</f>
        <v>0</v>
      </c>
      <c r="EG29" s="37">
        <f>SUMIFS(Lançamentos!$F:$F,Lançamentos!$A:$A,EG$19,Lançamentos!$C:$C,"Aluguel Recebido")</f>
        <v>0</v>
      </c>
      <c r="EH29" s="37">
        <f>SUMIFS(Lançamentos!$F:$F,Lançamentos!$A:$A,EH$19,Lançamentos!$C:$C,"Aluguel Recebido")</f>
        <v>0</v>
      </c>
      <c r="EI29" s="37">
        <f>SUMIFS(Lançamentos!$F:$F,Lançamentos!$A:$A,EI$19,Lançamentos!$C:$C,"Aluguel Recebido")</f>
        <v>0</v>
      </c>
      <c r="EJ29" s="37">
        <f>SUMIFS(Lançamentos!$F:$F,Lançamentos!$A:$A,EJ$19,Lançamentos!$C:$C,"Aluguel Recebido")</f>
        <v>0</v>
      </c>
      <c r="EK29" s="37">
        <f>SUMIFS(Lançamentos!$F:$F,Lançamentos!$A:$A,EK$19,Lançamentos!$C:$C,"Aluguel Recebido")</f>
        <v>0</v>
      </c>
      <c r="EL29" s="37">
        <f>SUMIFS(Lançamentos!$F:$F,Lançamentos!$A:$A,EL$19,Lançamentos!$C:$C,"Aluguel Recebido")</f>
        <v>0</v>
      </c>
      <c r="EM29" s="37">
        <f>SUMIFS(Lançamentos!$F:$F,Lançamentos!$A:$A,EM$19,Lançamentos!$C:$C,"Aluguel Recebido")</f>
        <v>0</v>
      </c>
      <c r="EN29" s="37">
        <f>SUMIFS(Lançamentos!$F:$F,Lançamentos!$A:$A,EN$19,Lançamentos!$C:$C,"Aluguel Recebido")</f>
        <v>0</v>
      </c>
      <c r="EO29" s="37">
        <f>SUMIFS(Lançamentos!$F:$F,Lançamentos!$A:$A,EO$19,Lançamentos!$C:$C,"Aluguel Recebido")</f>
        <v>0</v>
      </c>
      <c r="EP29" s="37">
        <f>SUMIFS(Lançamentos!$F:$F,Lançamentos!$A:$A,EP$19,Lançamentos!$C:$C,"Aluguel Recebido")</f>
        <v>0</v>
      </c>
      <c r="EQ29" s="37">
        <f>SUMIFS(Lançamentos!$F:$F,Lançamentos!$A:$A,EQ$19,Lançamentos!$C:$C,"Aluguel Recebido")</f>
        <v>0</v>
      </c>
      <c r="ER29" s="37">
        <f>SUMIFS(Lançamentos!$F:$F,Lançamentos!$A:$A,ER$19,Lançamentos!$C:$C,"Aluguel Recebido")</f>
        <v>0</v>
      </c>
      <c r="ES29" s="37">
        <f>SUMIFS(Lançamentos!$F:$F,Lançamentos!$A:$A,ES$19,Lançamentos!$C:$C,"Aluguel Recebido")</f>
        <v>0</v>
      </c>
      <c r="ET29" s="37">
        <f>SUMIFS(Lançamentos!$F:$F,Lançamentos!$A:$A,ET$19,Lançamentos!$C:$C,"Aluguel Recebido")</f>
        <v>0</v>
      </c>
      <c r="EU29" s="37">
        <f>SUMIFS(Lançamentos!$F:$F,Lançamentos!$A:$A,EU$19,Lançamentos!$C:$C,"Aluguel Recebido")</f>
        <v>0</v>
      </c>
      <c r="EV29" s="37">
        <f>SUMIFS(Lançamentos!$F:$F,Lançamentos!$A:$A,EV$19,Lançamentos!$C:$C,"Aluguel Recebido")</f>
        <v>0</v>
      </c>
      <c r="EW29" s="37">
        <f>SUMIFS(Lançamentos!$F:$F,Lançamentos!$A:$A,EW$19,Lançamentos!$C:$C,"Aluguel Recebido")</f>
        <v>0</v>
      </c>
      <c r="EX29" s="37">
        <f>SUMIFS(Lançamentos!$F:$F,Lançamentos!$A:$A,EX$19,Lançamentos!$C:$C,"Aluguel Recebido")</f>
        <v>0</v>
      </c>
      <c r="EY29" s="37">
        <f>SUMIFS(Lançamentos!$F:$F,Lançamentos!$A:$A,EY$19,Lançamentos!$C:$C,"Aluguel Recebido")</f>
        <v>0</v>
      </c>
      <c r="EZ29" s="37">
        <f>SUMIFS(Lançamentos!$F:$F,Lançamentos!$A:$A,EZ$19,Lançamentos!$C:$C,"Aluguel Recebido")</f>
        <v>0</v>
      </c>
      <c r="FA29" s="37">
        <f>SUMIFS(Lançamentos!$F:$F,Lançamentos!$A:$A,FA$19,Lançamentos!$C:$C,"Aluguel Recebido")</f>
        <v>0</v>
      </c>
      <c r="FB29" s="37">
        <f>SUMIFS(Lançamentos!$F:$F,Lançamentos!$A:$A,FB$19,Lançamentos!$C:$C,"Aluguel Recebido")</f>
        <v>0</v>
      </c>
      <c r="FC29" s="37">
        <f>SUMIFS(Lançamentos!$F:$F,Lançamentos!$A:$A,FC$19,Lançamentos!$C:$C,"Aluguel Recebido")</f>
        <v>0</v>
      </c>
      <c r="FD29" s="37">
        <f>SUMIFS(Lançamentos!$F:$F,Lançamentos!$A:$A,FD$19,Lançamentos!$C:$C,"Aluguel Recebido")</f>
        <v>0</v>
      </c>
      <c r="FE29" s="37">
        <f>SUMIFS(Lançamentos!$F:$F,Lançamentos!$A:$A,FE$19,Lançamentos!$C:$C,"Aluguel Recebido")</f>
        <v>0</v>
      </c>
      <c r="FF29" s="37">
        <f>SUMIFS(Lançamentos!$F:$F,Lançamentos!$A:$A,FF$19,Lançamentos!$C:$C,"Aluguel Recebido")</f>
        <v>0</v>
      </c>
      <c r="FG29" s="37">
        <f>SUMIFS(Lançamentos!$F:$F,Lançamentos!$A:$A,FG$19,Lançamentos!$C:$C,"Aluguel Recebido")</f>
        <v>0</v>
      </c>
      <c r="FH29" s="37">
        <f>SUMIFS(Lançamentos!$F:$F,Lançamentos!$A:$A,FH$19,Lançamentos!$C:$C,"Aluguel Recebido")</f>
        <v>0</v>
      </c>
      <c r="FI29" s="37">
        <f>SUMIFS(Lançamentos!$F:$F,Lançamentos!$A:$A,FI$19,Lançamentos!$C:$C,"Aluguel Recebido")</f>
        <v>0</v>
      </c>
      <c r="FJ29" s="37">
        <f>SUMIFS(Lançamentos!$F:$F,Lançamentos!$A:$A,FJ$19,Lançamentos!$C:$C,"Aluguel Recebido")</f>
        <v>0</v>
      </c>
      <c r="FK29" s="37">
        <f>SUMIFS(Lançamentos!$F:$F,Lançamentos!$A:$A,FK$19,Lançamentos!$C:$C,"Aluguel Recebido")</f>
        <v>0</v>
      </c>
      <c r="FL29" s="37">
        <f>SUMIFS(Lançamentos!$F:$F,Lançamentos!$A:$A,FL$19,Lançamentos!$C:$C,"Aluguel Recebido")</f>
        <v>0</v>
      </c>
      <c r="FM29" s="37">
        <f>SUMIFS(Lançamentos!$F:$F,Lançamentos!$A:$A,FM$19,Lançamentos!$C:$C,"Aluguel Recebido")</f>
        <v>0</v>
      </c>
      <c r="FN29" s="37">
        <f>SUMIFS(Lançamentos!$F:$F,Lançamentos!$A:$A,FN$19,Lançamentos!$C:$C,"Aluguel Recebido")</f>
        <v>0</v>
      </c>
      <c r="FO29" s="37">
        <f>SUMIFS(Lançamentos!$F:$F,Lançamentos!$A:$A,FO$19,Lançamentos!$C:$C,"Aluguel Recebido")</f>
        <v>0</v>
      </c>
      <c r="FP29" s="37">
        <f>SUMIFS(Lançamentos!$F:$F,Lançamentos!$A:$A,FP$19,Lançamentos!$C:$C,"Aluguel Recebido")</f>
        <v>0</v>
      </c>
      <c r="FQ29" s="37">
        <f>SUMIFS(Lançamentos!$F:$F,Lançamentos!$A:$A,FQ$19,Lançamentos!$C:$C,"Aluguel Recebido")</f>
        <v>0</v>
      </c>
      <c r="FR29" s="37">
        <f>SUMIFS(Lançamentos!$F:$F,Lançamentos!$A:$A,FR$19,Lançamentos!$C:$C,"Aluguel Recebido")</f>
        <v>0</v>
      </c>
      <c r="FS29" s="37">
        <f>SUMIFS(Lançamentos!$F:$F,Lançamentos!$A:$A,FS$19,Lançamentos!$C:$C,"Aluguel Recebido")</f>
        <v>0</v>
      </c>
      <c r="FT29" s="37">
        <f>SUMIFS(Lançamentos!$F:$F,Lançamentos!$A:$A,FT$19,Lançamentos!$C:$C,"Aluguel Recebido")</f>
        <v>0</v>
      </c>
      <c r="FU29" s="37">
        <f>SUMIFS(Lançamentos!$F:$F,Lançamentos!$A:$A,FU$19,Lançamentos!$C:$C,"Aluguel Recebido")</f>
        <v>0</v>
      </c>
      <c r="FV29" s="37">
        <f>SUMIFS(Lançamentos!$F:$F,Lançamentos!$A:$A,FV$19,Lançamentos!$C:$C,"Aluguel Recebido")</f>
        <v>0</v>
      </c>
      <c r="FW29" s="37">
        <f>SUMIFS(Lançamentos!$F:$F,Lançamentos!$A:$A,FW$19,Lançamentos!$C:$C,"Aluguel Recebido")</f>
        <v>0</v>
      </c>
      <c r="FX29" s="37">
        <f>SUMIFS(Lançamentos!$F:$F,Lançamentos!$A:$A,FX$19,Lançamentos!$C:$C,"Aluguel Recebido")</f>
        <v>0</v>
      </c>
      <c r="FY29" s="37">
        <f>SUMIFS(Lançamentos!$F:$F,Lançamentos!$A:$A,FY$19,Lançamentos!$C:$C,"Aluguel Recebido")</f>
        <v>0</v>
      </c>
      <c r="FZ29" s="37">
        <f>SUMIFS(Lançamentos!$F:$F,Lançamentos!$A:$A,FZ$19,Lançamentos!$C:$C,"Aluguel Recebido")</f>
        <v>0</v>
      </c>
      <c r="GA29" s="37">
        <f>SUMIFS(Lançamentos!$F:$F,Lançamentos!$A:$A,GA$19,Lançamentos!$C:$C,"Aluguel Recebido")</f>
        <v>0</v>
      </c>
      <c r="GB29" s="37">
        <f>SUMIFS(Lançamentos!$F:$F,Lançamentos!$A:$A,GB$19,Lançamentos!$C:$C,"Aluguel Recebido")</f>
        <v>0</v>
      </c>
      <c r="GC29" s="37">
        <f>SUMIFS(Lançamentos!$F:$F,Lançamentos!$A:$A,GC$19,Lançamentos!$C:$C,"Aluguel Recebido")</f>
        <v>0</v>
      </c>
      <c r="GD29" s="37">
        <f>SUMIFS(Lançamentos!$F:$F,Lançamentos!$A:$A,GD$19,Lançamentos!$C:$C,"Aluguel Recebido")</f>
        <v>0</v>
      </c>
      <c r="GE29" s="37">
        <f>SUMIFS(Lançamentos!$F:$F,Lançamentos!$A:$A,GE$19,Lançamentos!$C:$C,"Aluguel Recebido")</f>
        <v>0</v>
      </c>
      <c r="GF29" s="37">
        <f>SUMIFS(Lançamentos!$F:$F,Lançamentos!$A:$A,GF$19,Lançamentos!$C:$C,"Aluguel Recebido")</f>
        <v>0</v>
      </c>
      <c r="GG29" s="37">
        <f>SUMIFS(Lançamentos!$F:$F,Lançamentos!$A:$A,GG$19,Lançamentos!$C:$C,"Aluguel Recebido")</f>
        <v>0</v>
      </c>
      <c r="GH29" s="37">
        <f>SUMIFS(Lançamentos!$F:$F,Lançamentos!$A:$A,GH$19,Lançamentos!$C:$C,"Aluguel Recebido")</f>
        <v>0</v>
      </c>
      <c r="GI29" s="37">
        <f>SUMIFS(Lançamentos!$F:$F,Lançamentos!$A:$A,GI$19,Lançamentos!$C:$C,"Aluguel Recebido")</f>
        <v>0</v>
      </c>
      <c r="GJ29" s="37">
        <f>SUMIFS(Lançamentos!$F:$F,Lançamentos!$A:$A,GJ$19,Lançamentos!$C:$C,"Aluguel Recebido")</f>
        <v>0</v>
      </c>
      <c r="GK29" s="37">
        <f>SUMIFS(Lançamentos!$F:$F,Lançamentos!$A:$A,GK$19,Lançamentos!$C:$C,"Aluguel Recebido")</f>
        <v>0</v>
      </c>
      <c r="GL29" s="37">
        <f>SUMIFS(Lançamentos!$F:$F,Lançamentos!$A:$A,GL$19,Lançamentos!$C:$C,"Aluguel Recebido")</f>
        <v>0</v>
      </c>
      <c r="GM29" s="37">
        <f>SUMIFS(Lançamentos!$F:$F,Lançamentos!$A:$A,GM$19,Lançamentos!$C:$C,"Aluguel Recebido")</f>
        <v>0</v>
      </c>
      <c r="GN29" s="37">
        <f>SUMIFS(Lançamentos!$F:$F,Lançamentos!$A:$A,GN$19,Lançamentos!$C:$C,"Aluguel Recebido")</f>
        <v>0</v>
      </c>
      <c r="GO29" s="37">
        <f>SUMIFS(Lançamentos!$F:$F,Lançamentos!$A:$A,GO$19,Lançamentos!$C:$C,"Aluguel Recebido")</f>
        <v>0</v>
      </c>
      <c r="GP29" s="37">
        <f>SUMIFS(Lançamentos!$F:$F,Lançamentos!$A:$A,GP$19,Lançamentos!$C:$C,"Aluguel Recebido")</f>
        <v>0</v>
      </c>
      <c r="GQ29" s="37">
        <f>SUMIFS(Lançamentos!$F:$F,Lançamentos!$A:$A,GQ$19,Lançamentos!$C:$C,"Aluguel Recebido")</f>
        <v>0</v>
      </c>
      <c r="GR29" s="37">
        <f>SUMIFS(Lançamentos!$F:$F,Lançamentos!$A:$A,GR$19,Lançamentos!$C:$C,"Aluguel Recebido")</f>
        <v>0</v>
      </c>
      <c r="GS29" s="37">
        <f>SUMIFS(Lançamentos!$F:$F,Lançamentos!$A:$A,GS$19,Lançamentos!$C:$C,"Aluguel Recebido")</f>
        <v>0</v>
      </c>
      <c r="GT29" s="37">
        <f>SUMIFS(Lançamentos!$F:$F,Lançamentos!$A:$A,GT$19,Lançamentos!$C:$C,"Aluguel Recebido")</f>
        <v>0</v>
      </c>
      <c r="GU29" s="37">
        <f>SUMIFS(Lançamentos!$F:$F,Lançamentos!$A:$A,GU$19,Lançamentos!$C:$C,"Aluguel Recebido")</f>
        <v>0</v>
      </c>
      <c r="GV29" s="37">
        <f>SUMIFS(Lançamentos!$F:$F,Lançamentos!$A:$A,GV$19,Lançamentos!$C:$C,"Aluguel Recebido")</f>
        <v>0</v>
      </c>
      <c r="GW29" s="37">
        <f>SUMIFS(Lançamentos!$F:$F,Lançamentos!$A:$A,GW$19,Lançamentos!$C:$C,"Aluguel Recebido")</f>
        <v>0</v>
      </c>
      <c r="GX29" s="37">
        <f>SUMIFS(Lançamentos!$F:$F,Lançamentos!$A:$A,GX$19,Lançamentos!$C:$C,"Aluguel Recebido")</f>
        <v>0</v>
      </c>
      <c r="GY29" s="37">
        <f>SUMIFS(Lançamentos!$F:$F,Lançamentos!$A:$A,GY$19,Lançamentos!$C:$C,"Aluguel Recebido")</f>
        <v>0</v>
      </c>
      <c r="GZ29" s="37">
        <f>SUMIFS(Lançamentos!$F:$F,Lançamentos!$A:$A,GZ$19,Lançamentos!$C:$C,"Aluguel Recebido")</f>
        <v>0</v>
      </c>
      <c r="HA29" s="37">
        <f>SUMIFS(Lançamentos!$F:$F,Lançamentos!$A:$A,HA$19,Lançamentos!$C:$C,"Aluguel Recebido")</f>
        <v>0</v>
      </c>
      <c r="HB29" s="37">
        <f>SUMIFS(Lançamentos!$F:$F,Lançamentos!$A:$A,HB$19,Lançamentos!$C:$C,"Aluguel Recebido")</f>
        <v>0</v>
      </c>
      <c r="HC29" s="37">
        <f>SUMIFS(Lançamentos!$F:$F,Lançamentos!$A:$A,HC$19,Lançamentos!$C:$C,"Aluguel Recebido")</f>
        <v>0</v>
      </c>
      <c r="HD29" s="37">
        <f>SUMIFS(Lançamentos!$F:$F,Lançamentos!$A:$A,HD$19,Lançamentos!$C:$C,"Aluguel Recebido")</f>
        <v>0</v>
      </c>
      <c r="HE29" s="37">
        <f>SUMIFS(Lançamentos!$F:$F,Lançamentos!$A:$A,HE$19,Lançamentos!$C:$C,"Aluguel Recebido")</f>
        <v>0</v>
      </c>
      <c r="HF29" s="37">
        <f>SUMIFS(Lançamentos!$F:$F,Lançamentos!$A:$A,HF$19,Lançamentos!$C:$C,"Aluguel Recebido")</f>
        <v>0</v>
      </c>
      <c r="HG29" s="37">
        <f>SUMIFS(Lançamentos!$F:$F,Lançamentos!$A:$A,HG$19,Lançamentos!$C:$C,"Aluguel Recebido")</f>
        <v>0</v>
      </c>
      <c r="HH29" s="37">
        <f>SUMIFS(Lançamentos!$F:$F,Lançamentos!$A:$A,HH$19,Lançamentos!$C:$C,"Aluguel Recebido")</f>
        <v>0</v>
      </c>
      <c r="HI29" s="37">
        <f>SUMIFS(Lançamentos!$F:$F,Lançamentos!$A:$A,HI$19,Lançamentos!$C:$C,"Aluguel Recebido")</f>
        <v>0</v>
      </c>
      <c r="HJ29" s="37">
        <f>SUMIFS(Lançamentos!$F:$F,Lançamentos!$A:$A,HJ$19,Lançamentos!$C:$C,"Aluguel Recebido")</f>
        <v>0</v>
      </c>
      <c r="HK29" s="37">
        <f>SUMIFS(Lançamentos!$F:$F,Lançamentos!$A:$A,HK$19,Lançamentos!$C:$C,"Aluguel Recebido")</f>
        <v>0</v>
      </c>
      <c r="HL29" s="37">
        <f>SUMIFS(Lançamentos!$F:$F,Lançamentos!$A:$A,HL$19,Lançamentos!$C:$C,"Aluguel Recebido")</f>
        <v>0</v>
      </c>
      <c r="HM29" s="37">
        <f>SUMIFS(Lançamentos!$F:$F,Lançamentos!$A:$A,HM$19,Lançamentos!$C:$C,"Aluguel Recebido")</f>
        <v>0</v>
      </c>
      <c r="HN29" s="37">
        <f>SUMIFS(Lançamentos!$F:$F,Lançamentos!$A:$A,HN$19,Lançamentos!$C:$C,"Aluguel Recebido")</f>
        <v>0</v>
      </c>
      <c r="HO29" s="37">
        <f>SUMIFS(Lançamentos!$F:$F,Lançamentos!$A:$A,HO$19,Lançamentos!$C:$C,"Aluguel Recebido")</f>
        <v>0</v>
      </c>
      <c r="HP29" s="37">
        <f>SUMIFS(Lançamentos!$F:$F,Lançamentos!$A:$A,HP$19,Lançamentos!$C:$C,"Aluguel Recebido")</f>
        <v>0</v>
      </c>
      <c r="HQ29" s="37">
        <f>SUMIFS(Lançamentos!$F:$F,Lançamentos!$A:$A,HQ$19,Lançamentos!$C:$C,"Aluguel Recebido")</f>
        <v>0</v>
      </c>
      <c r="HR29" s="37">
        <f>SUMIFS(Lançamentos!$F:$F,Lançamentos!$A:$A,HR$19,Lançamentos!$C:$C,"Aluguel Recebido")</f>
        <v>0</v>
      </c>
      <c r="HS29" s="37">
        <f>SUMIFS(Lançamentos!$F:$F,Lançamentos!$A:$A,HS$19,Lançamentos!$C:$C,"Aluguel Recebido")</f>
        <v>0</v>
      </c>
      <c r="HT29" s="37">
        <f>SUMIFS(Lançamentos!$F:$F,Lançamentos!$A:$A,HT$19,Lançamentos!$C:$C,"Aluguel Recebido")</f>
        <v>0</v>
      </c>
      <c r="HU29" s="37">
        <f>SUMIFS(Lançamentos!$F:$F,Lançamentos!$A:$A,HU$19,Lançamentos!$C:$C,"Aluguel Recebido")</f>
        <v>0</v>
      </c>
      <c r="HV29" s="37">
        <f>SUMIFS(Lançamentos!$F:$F,Lançamentos!$A:$A,HV$19,Lançamentos!$C:$C,"Aluguel Recebido")</f>
        <v>0</v>
      </c>
      <c r="HW29" s="37">
        <f>SUMIFS(Lançamentos!$F:$F,Lançamentos!$A:$A,HW$19,Lançamentos!$C:$C,"Aluguel Recebido")</f>
        <v>0</v>
      </c>
      <c r="HX29" s="37">
        <f>SUMIFS(Lançamentos!$F:$F,Lançamentos!$A:$A,HX$19,Lançamentos!$C:$C,"Aluguel Recebido")</f>
        <v>0</v>
      </c>
      <c r="HY29" s="37">
        <f>SUMIFS(Lançamentos!$F:$F,Lançamentos!$A:$A,HY$19,Lançamentos!$C:$C,"Aluguel Recebido")</f>
        <v>0</v>
      </c>
      <c r="HZ29" s="37">
        <f>SUMIFS(Lançamentos!$F:$F,Lançamentos!$A:$A,HZ$19,Lançamentos!$C:$C,"Aluguel Recebido")</f>
        <v>0</v>
      </c>
      <c r="IA29" s="37">
        <f>SUMIFS(Lançamentos!$F:$F,Lançamentos!$A:$A,IA$19,Lançamentos!$C:$C,"Aluguel Recebido")</f>
        <v>0</v>
      </c>
      <c r="IB29" s="37">
        <f>SUMIFS(Lançamentos!$F:$F,Lançamentos!$A:$A,IB$19,Lançamentos!$C:$C,"Aluguel Recebido")</f>
        <v>0</v>
      </c>
      <c r="IC29" s="37">
        <f>SUMIFS(Lançamentos!$F:$F,Lançamentos!$A:$A,IC$19,Lançamentos!$C:$C,"Aluguel Recebido")</f>
        <v>0</v>
      </c>
      <c r="ID29" s="37">
        <f>SUMIFS(Lançamentos!$F:$F,Lançamentos!$A:$A,ID$19,Lançamentos!$C:$C,"Aluguel Recebido")</f>
        <v>0</v>
      </c>
      <c r="IE29" s="37">
        <f>SUMIFS(Lançamentos!$F:$F,Lançamentos!$A:$A,IE$19,Lançamentos!$C:$C,"Aluguel Recebido")</f>
        <v>0</v>
      </c>
      <c r="IF29" s="37">
        <f>SUMIFS(Lançamentos!$F:$F,Lançamentos!$A:$A,IF$19,Lançamentos!$C:$C,"Aluguel Recebido")</f>
        <v>0</v>
      </c>
      <c r="IG29" s="37">
        <f>SUMIFS(Lançamentos!$F:$F,Lançamentos!$A:$A,IG$19,Lançamentos!$C:$C,"Aluguel Recebido")</f>
        <v>0</v>
      </c>
      <c r="IH29" s="37">
        <f>SUMIFS(Lançamentos!$F:$F,Lançamentos!$A:$A,IH$19,Lançamentos!$C:$C,"Aluguel Recebido")</f>
        <v>0</v>
      </c>
      <c r="II29" s="37">
        <f>SUMIFS(Lançamentos!$F:$F,Lançamentos!$A:$A,II$19,Lançamentos!$C:$C,"Aluguel Recebido")</f>
        <v>0</v>
      </c>
      <c r="IJ29" s="37">
        <f>SUMIFS(Lançamentos!$F:$F,Lançamentos!$A:$A,IJ$19,Lançamentos!$C:$C,"Aluguel Recebido")</f>
        <v>0</v>
      </c>
      <c r="IK29" s="37">
        <f>SUMIFS(Lançamentos!$F:$F,Lançamentos!$A:$A,IK$19,Lançamentos!$C:$C,"Aluguel Recebido")</f>
        <v>0</v>
      </c>
      <c r="IL29" s="37">
        <f>SUMIFS(Lançamentos!$F:$F,Lançamentos!$A:$A,IL$19,Lançamentos!$C:$C,"Aluguel Recebido")</f>
        <v>0</v>
      </c>
    </row>
    <row r="30" spans="1:246" x14ac:dyDescent="0.3">
      <c r="A30" t="s">
        <v>85</v>
      </c>
      <c r="B30" s="37">
        <f>SUMIFS(Lançamentos!$F:$F,Lançamentos!$A:$A,B$19,Lançamentos!$C:$C,"Reembolsos")</f>
        <v>0</v>
      </c>
      <c r="C30" s="37">
        <f>SUMIFS(Lançamentos!$F:$F,Lançamentos!$A:$A,C$19,Lançamentos!$C:$C,"Reembolsos")</f>
        <v>0</v>
      </c>
      <c r="D30" s="37">
        <f>SUMIFS(Lançamentos!$F:$F,Lançamentos!$A:$A,D$19,Lançamentos!$C:$C,"Reembolsos")</f>
        <v>0</v>
      </c>
      <c r="E30" s="37">
        <f>SUMIFS(Lançamentos!$F:$F,Lançamentos!$A:$A,E$19,Lançamentos!$C:$C,"Reembolsos")</f>
        <v>0</v>
      </c>
      <c r="F30" s="37">
        <f>SUMIFS(Lançamentos!$F:$F,Lançamentos!$A:$A,F$19,Lançamentos!$C:$C,"Reembolsos")</f>
        <v>0</v>
      </c>
      <c r="G30" s="37">
        <f>SUMIFS(Lançamentos!$F:$F,Lançamentos!$A:$A,G$19,Lançamentos!$C:$C,"Reembolsos")</f>
        <v>0</v>
      </c>
      <c r="H30" s="37">
        <f>SUMIFS(Lançamentos!$F:$F,Lançamentos!$A:$A,H$19,Lançamentos!$C:$C,"Reembolsos")</f>
        <v>0</v>
      </c>
      <c r="I30" s="37">
        <f>SUMIFS(Lançamentos!$F:$F,Lançamentos!$A:$A,I$19,Lançamentos!$C:$C,"Reembolsos")</f>
        <v>0</v>
      </c>
      <c r="J30" s="37">
        <f>SUMIFS(Lançamentos!$F:$F,Lançamentos!$A:$A,J$19,Lançamentos!$C:$C,"Reembolsos")</f>
        <v>0</v>
      </c>
      <c r="K30" s="37">
        <f>SUMIFS(Lançamentos!$F:$F,Lançamentos!$A:$A,K$19,Lançamentos!$C:$C,"Reembolsos")</f>
        <v>0</v>
      </c>
      <c r="L30" s="37">
        <f>SUMIFS(Lançamentos!$F:$F,Lançamentos!$A:$A,L$19,Lançamentos!$C:$C,"Reembolsos")</f>
        <v>0</v>
      </c>
      <c r="M30" s="37">
        <f>SUMIFS(Lançamentos!$F:$F,Lançamentos!$A:$A,M$19,Lançamentos!$C:$C,"Reembolsos")</f>
        <v>0</v>
      </c>
      <c r="N30" s="37">
        <f>SUMIFS(Lançamentos!$F:$F,Lançamentos!$A:$A,N$19,Lançamentos!$C:$C,"Reembolsos")</f>
        <v>0</v>
      </c>
      <c r="O30" s="37">
        <f>SUMIFS(Lançamentos!$F:$F,Lançamentos!$A:$A,O$19,Lançamentos!$C:$C,"Reembolsos")</f>
        <v>0</v>
      </c>
      <c r="P30" s="37">
        <f>SUMIFS(Lançamentos!$F:$F,Lançamentos!$A:$A,P$19,Lançamentos!$C:$C,"Reembolsos")</f>
        <v>0</v>
      </c>
      <c r="Q30" s="37">
        <f>SUMIFS(Lançamentos!$F:$F,Lançamentos!$A:$A,Q$19,Lançamentos!$C:$C,"Reembolsos")</f>
        <v>0</v>
      </c>
      <c r="R30" s="37">
        <f>SUMIFS(Lançamentos!$F:$F,Lançamentos!$A:$A,R$19,Lançamentos!$C:$C,"Reembolsos")</f>
        <v>0</v>
      </c>
      <c r="S30" s="37">
        <f>SUMIFS(Lançamentos!$F:$F,Lançamentos!$A:$A,S$19,Lançamentos!$C:$C,"Reembolsos")</f>
        <v>0</v>
      </c>
      <c r="T30" s="37">
        <f>SUMIFS(Lançamentos!$F:$F,Lançamentos!$A:$A,T$19,Lançamentos!$C:$C,"Reembolsos")</f>
        <v>0</v>
      </c>
      <c r="U30" s="37">
        <f>SUMIFS(Lançamentos!$F:$F,Lançamentos!$A:$A,U$19,Lançamentos!$C:$C,"Reembolsos")</f>
        <v>0</v>
      </c>
      <c r="V30" s="37">
        <f>SUMIFS(Lançamentos!$F:$F,Lançamentos!$A:$A,V$19,Lançamentos!$C:$C,"Reembolsos")</f>
        <v>0</v>
      </c>
      <c r="W30" s="37">
        <f>SUMIFS(Lançamentos!$F:$F,Lançamentos!$A:$A,W$19,Lançamentos!$C:$C,"Reembolsos")</f>
        <v>0</v>
      </c>
      <c r="X30" s="37">
        <f>SUMIFS(Lançamentos!$F:$F,Lançamentos!$A:$A,X$19,Lançamentos!$C:$C,"Reembolsos")</f>
        <v>0</v>
      </c>
      <c r="Y30" s="37">
        <f>SUMIFS(Lançamentos!$F:$F,Lançamentos!$A:$A,Y$19,Lançamentos!$C:$C,"Reembolsos")</f>
        <v>0</v>
      </c>
      <c r="Z30" s="37">
        <f>SUMIFS(Lançamentos!$F:$F,Lançamentos!$A:$A,Z$19,Lançamentos!$C:$C,"Reembolsos")</f>
        <v>0</v>
      </c>
      <c r="AA30" s="37">
        <f>SUMIFS(Lançamentos!$F:$F,Lançamentos!$A:$A,AA$19,Lançamentos!$C:$C,"Reembolsos")</f>
        <v>0</v>
      </c>
      <c r="AB30" s="37">
        <f>SUMIFS(Lançamentos!$F:$F,Lançamentos!$A:$A,AB$19,Lançamentos!$C:$C,"Reembolsos")</f>
        <v>0</v>
      </c>
      <c r="AC30" s="37">
        <f>SUMIFS(Lançamentos!$F:$F,Lançamentos!$A:$A,AC$19,Lançamentos!$C:$C,"Reembolsos")</f>
        <v>0</v>
      </c>
      <c r="AD30" s="37">
        <f>SUMIFS(Lançamentos!$F:$F,Lançamentos!$A:$A,AD$19,Lançamentos!$C:$C,"Reembolsos")</f>
        <v>0</v>
      </c>
      <c r="AE30" s="37">
        <f>SUMIFS(Lançamentos!$F:$F,Lançamentos!$A:$A,AE$19,Lançamentos!$C:$C,"Reembolsos")</f>
        <v>0</v>
      </c>
      <c r="AF30" s="37">
        <f>SUMIFS(Lançamentos!$F:$F,Lançamentos!$A:$A,AF$19,Lançamentos!$C:$C,"Reembolsos")</f>
        <v>0</v>
      </c>
      <c r="AG30" s="37">
        <f>SUMIFS(Lançamentos!$F:$F,Lançamentos!$A:$A,AG$19,Lançamentos!$C:$C,"Reembolsos")</f>
        <v>0</v>
      </c>
      <c r="AH30" s="37">
        <f>SUMIFS(Lançamentos!$F:$F,Lançamentos!$A:$A,AH$19,Lançamentos!$C:$C,"Reembolsos")</f>
        <v>0</v>
      </c>
      <c r="AI30" s="37">
        <f>SUMIFS(Lançamentos!$F:$F,Lançamentos!$A:$A,AI$19,Lançamentos!$C:$C,"Reembolsos")</f>
        <v>0</v>
      </c>
      <c r="AJ30" s="37">
        <f>SUMIFS(Lançamentos!$F:$F,Lançamentos!$A:$A,AJ$19,Lançamentos!$C:$C,"Reembolsos")</f>
        <v>0</v>
      </c>
      <c r="AK30" s="37">
        <f>SUMIFS(Lançamentos!$F:$F,Lançamentos!$A:$A,AK$19,Lançamentos!$C:$C,"Reembolsos")</f>
        <v>0</v>
      </c>
      <c r="AL30" s="37">
        <f>SUMIFS(Lançamentos!$F:$F,Lançamentos!$A:$A,AL$19,Lançamentos!$C:$C,"Reembolsos")</f>
        <v>0</v>
      </c>
      <c r="AM30" s="37">
        <f>SUMIFS(Lançamentos!$F:$F,Lançamentos!$A:$A,AM$19,Lançamentos!$C:$C,"Reembolsos")</f>
        <v>0</v>
      </c>
      <c r="AN30" s="37">
        <f>SUMIFS(Lançamentos!$F:$F,Lançamentos!$A:$A,AN$19,Lançamentos!$C:$C,"Reembolsos")</f>
        <v>0</v>
      </c>
      <c r="AO30" s="37">
        <f>SUMIFS(Lançamentos!$F:$F,Lançamentos!$A:$A,AO$19,Lançamentos!$C:$C,"Reembolsos")</f>
        <v>0</v>
      </c>
      <c r="AP30" s="37">
        <f>SUMIFS(Lançamentos!$F:$F,Lançamentos!$A:$A,AP$19,Lançamentos!$C:$C,"Reembolsos")</f>
        <v>0</v>
      </c>
      <c r="AQ30" s="37">
        <f>SUMIFS(Lançamentos!$F:$F,Lançamentos!$A:$A,AQ$19,Lançamentos!$C:$C,"Reembolsos")</f>
        <v>0</v>
      </c>
      <c r="AR30" s="37">
        <f>SUMIFS(Lançamentos!$F:$F,Lançamentos!$A:$A,AR$19,Lançamentos!$C:$C,"Reembolsos")</f>
        <v>0</v>
      </c>
      <c r="AS30" s="37">
        <f>SUMIFS(Lançamentos!$F:$F,Lançamentos!$A:$A,AS$19,Lançamentos!$C:$C,"Reembolsos")</f>
        <v>0</v>
      </c>
      <c r="AT30" s="37">
        <f>SUMIFS(Lançamentos!$F:$F,Lançamentos!$A:$A,AT$19,Lançamentos!$C:$C,"Reembolsos")</f>
        <v>0</v>
      </c>
      <c r="AU30" s="37">
        <f>SUMIFS(Lançamentos!$F:$F,Lançamentos!$A:$A,AU$19,Lançamentos!$C:$C,"Reembolsos")</f>
        <v>0</v>
      </c>
      <c r="AV30" s="37">
        <f>SUMIFS(Lançamentos!$F:$F,Lançamentos!$A:$A,AV$19,Lançamentos!$C:$C,"Reembolsos")</f>
        <v>0</v>
      </c>
      <c r="AW30" s="37">
        <f>SUMIFS(Lançamentos!$F:$F,Lançamentos!$A:$A,AW$19,Lançamentos!$C:$C,"Reembolsos")</f>
        <v>0</v>
      </c>
      <c r="AX30" s="37">
        <f>SUMIFS(Lançamentos!$F:$F,Lançamentos!$A:$A,AX$19,Lançamentos!$C:$C,"Reembolsos")</f>
        <v>0</v>
      </c>
      <c r="AY30" s="37">
        <f>SUMIFS(Lançamentos!$F:$F,Lançamentos!$A:$A,AY$19,Lançamentos!$C:$C,"Reembolsos")</f>
        <v>0</v>
      </c>
      <c r="AZ30" s="37">
        <f>SUMIFS(Lançamentos!$F:$F,Lançamentos!$A:$A,AZ$19,Lançamentos!$C:$C,"Reembolsos")</f>
        <v>0</v>
      </c>
      <c r="BA30" s="37">
        <f>SUMIFS(Lançamentos!$F:$F,Lançamentos!$A:$A,BA$19,Lançamentos!$C:$C,"Reembolsos")</f>
        <v>0</v>
      </c>
      <c r="BB30" s="37">
        <f>SUMIFS(Lançamentos!$F:$F,Lançamentos!$A:$A,BB$19,Lançamentos!$C:$C,"Reembolsos")</f>
        <v>0</v>
      </c>
      <c r="BC30" s="37">
        <f>SUMIFS(Lançamentos!$F:$F,Lançamentos!$A:$A,BC$19,Lançamentos!$C:$C,"Reembolsos")</f>
        <v>0</v>
      </c>
      <c r="BD30" s="37">
        <f>SUMIFS(Lançamentos!$F:$F,Lançamentos!$A:$A,BD$19,Lançamentos!$C:$C,"Reembolsos")</f>
        <v>0</v>
      </c>
      <c r="BE30" s="37">
        <f>SUMIFS(Lançamentos!$F:$F,Lançamentos!$A:$A,BE$19,Lançamentos!$C:$C,"Reembolsos")</f>
        <v>0</v>
      </c>
      <c r="BF30" s="37">
        <f>SUMIFS(Lançamentos!$F:$F,Lançamentos!$A:$A,BF$19,Lançamentos!$C:$C,"Reembolsos")</f>
        <v>0</v>
      </c>
      <c r="BG30" s="37">
        <f>SUMIFS(Lançamentos!$F:$F,Lançamentos!$A:$A,BG$19,Lançamentos!$C:$C,"Reembolsos")</f>
        <v>0</v>
      </c>
      <c r="BH30" s="37">
        <f>SUMIFS(Lançamentos!$F:$F,Lançamentos!$A:$A,BH$19,Lançamentos!$C:$C,"Reembolsos")</f>
        <v>0</v>
      </c>
      <c r="BI30" s="37">
        <f>SUMIFS(Lançamentos!$F:$F,Lançamentos!$A:$A,BI$19,Lançamentos!$C:$C,"Reembolsos")</f>
        <v>0</v>
      </c>
      <c r="BJ30" s="37">
        <f>SUMIFS(Lançamentos!$F:$F,Lançamentos!$A:$A,BJ$19,Lançamentos!$C:$C,"Reembolsos")</f>
        <v>0</v>
      </c>
      <c r="BK30" s="37">
        <f>SUMIFS(Lançamentos!$F:$F,Lançamentos!$A:$A,BK$19,Lançamentos!$C:$C,"Reembolsos")</f>
        <v>0</v>
      </c>
      <c r="BL30" s="37">
        <f>SUMIFS(Lançamentos!$F:$F,Lançamentos!$A:$A,BL$19,Lançamentos!$C:$C,"Reembolsos")</f>
        <v>0</v>
      </c>
      <c r="BM30" s="37">
        <f>SUMIFS(Lançamentos!$F:$F,Lançamentos!$A:$A,BM$19,Lançamentos!$C:$C,"Reembolsos")</f>
        <v>0</v>
      </c>
      <c r="BN30" s="37">
        <f>SUMIFS(Lançamentos!$F:$F,Lançamentos!$A:$A,BN$19,Lançamentos!$C:$C,"Reembolsos")</f>
        <v>0</v>
      </c>
      <c r="BO30" s="37">
        <f>SUMIFS(Lançamentos!$F:$F,Lançamentos!$A:$A,BO$19,Lançamentos!$C:$C,"Reembolsos")</f>
        <v>0</v>
      </c>
      <c r="BP30" s="37">
        <f>SUMIFS(Lançamentos!$F:$F,Lançamentos!$A:$A,BP$19,Lançamentos!$C:$C,"Reembolsos")</f>
        <v>0</v>
      </c>
      <c r="BQ30" s="37">
        <f>SUMIFS(Lançamentos!$F:$F,Lançamentos!$A:$A,BQ$19,Lançamentos!$C:$C,"Reembolsos")</f>
        <v>0</v>
      </c>
      <c r="BR30" s="37">
        <f>SUMIFS(Lançamentos!$F:$F,Lançamentos!$A:$A,BR$19,Lançamentos!$C:$C,"Reembolsos")</f>
        <v>0</v>
      </c>
      <c r="BS30" s="37">
        <f>SUMIFS(Lançamentos!$F:$F,Lançamentos!$A:$A,BS$19,Lançamentos!$C:$C,"Reembolsos")</f>
        <v>0</v>
      </c>
      <c r="BT30" s="37">
        <f>SUMIFS(Lançamentos!$F:$F,Lançamentos!$A:$A,BT$19,Lançamentos!$C:$C,"Reembolsos")</f>
        <v>0</v>
      </c>
      <c r="BU30" s="37">
        <f>SUMIFS(Lançamentos!$F:$F,Lançamentos!$A:$A,BU$19,Lançamentos!$C:$C,"Reembolsos")</f>
        <v>0</v>
      </c>
      <c r="BV30" s="37">
        <f>SUMIFS(Lançamentos!$F:$F,Lançamentos!$A:$A,BV$19,Lançamentos!$C:$C,"Reembolsos")</f>
        <v>0</v>
      </c>
      <c r="BW30" s="37">
        <f>SUMIFS(Lançamentos!$F:$F,Lançamentos!$A:$A,BW$19,Lançamentos!$C:$C,"Reembolsos")</f>
        <v>0</v>
      </c>
      <c r="BX30" s="37">
        <f>SUMIFS(Lançamentos!$F:$F,Lançamentos!$A:$A,BX$19,Lançamentos!$C:$C,"Reembolsos")</f>
        <v>0</v>
      </c>
      <c r="BY30" s="37">
        <f>SUMIFS(Lançamentos!$F:$F,Lançamentos!$A:$A,BY$19,Lançamentos!$C:$C,"Reembolsos")</f>
        <v>0</v>
      </c>
      <c r="BZ30" s="37">
        <f>SUMIFS(Lançamentos!$F:$F,Lançamentos!$A:$A,BZ$19,Lançamentos!$C:$C,"Reembolsos")</f>
        <v>0</v>
      </c>
      <c r="CA30" s="37">
        <f>SUMIFS(Lançamentos!$F:$F,Lançamentos!$A:$A,CA$19,Lançamentos!$C:$C,"Reembolsos")</f>
        <v>0</v>
      </c>
      <c r="CB30" s="37">
        <f>SUMIFS(Lançamentos!$F:$F,Lançamentos!$A:$A,CB$19,Lançamentos!$C:$C,"Reembolsos")</f>
        <v>0</v>
      </c>
      <c r="CC30" s="37">
        <f>SUMIFS(Lançamentos!$F:$F,Lançamentos!$A:$A,CC$19,Lançamentos!$C:$C,"Reembolsos")</f>
        <v>0</v>
      </c>
      <c r="CD30" s="37">
        <f>SUMIFS(Lançamentos!$F:$F,Lançamentos!$A:$A,CD$19,Lançamentos!$C:$C,"Reembolsos")</f>
        <v>0</v>
      </c>
      <c r="CE30" s="37">
        <f>SUMIFS(Lançamentos!$F:$F,Lançamentos!$A:$A,CE$19,Lançamentos!$C:$C,"Reembolsos")</f>
        <v>0</v>
      </c>
      <c r="CF30" s="37">
        <f>SUMIFS(Lançamentos!$F:$F,Lançamentos!$A:$A,CF$19,Lançamentos!$C:$C,"Reembolsos")</f>
        <v>0</v>
      </c>
      <c r="CG30" s="37">
        <f>SUMIFS(Lançamentos!$F:$F,Lançamentos!$A:$A,CG$19,Lançamentos!$C:$C,"Reembolsos")</f>
        <v>0</v>
      </c>
      <c r="CH30" s="37">
        <f>SUMIFS(Lançamentos!$F:$F,Lançamentos!$A:$A,CH$19,Lançamentos!$C:$C,"Reembolsos")</f>
        <v>0</v>
      </c>
      <c r="CI30" s="37">
        <f>SUMIFS(Lançamentos!$F:$F,Lançamentos!$A:$A,CI$19,Lançamentos!$C:$C,"Reembolsos")</f>
        <v>0</v>
      </c>
      <c r="CJ30" s="37">
        <f>SUMIFS(Lançamentos!$F:$F,Lançamentos!$A:$A,CJ$19,Lançamentos!$C:$C,"Reembolsos")</f>
        <v>0</v>
      </c>
      <c r="CK30" s="37">
        <f>SUMIFS(Lançamentos!$F:$F,Lançamentos!$A:$A,CK$19,Lançamentos!$C:$C,"Reembolsos")</f>
        <v>0</v>
      </c>
      <c r="CL30" s="37">
        <f>SUMIFS(Lançamentos!$F:$F,Lançamentos!$A:$A,CL$19,Lançamentos!$C:$C,"Reembolsos")</f>
        <v>0</v>
      </c>
      <c r="CM30" s="37">
        <f>SUMIFS(Lançamentos!$F:$F,Lançamentos!$A:$A,CM$19,Lançamentos!$C:$C,"Reembolsos")</f>
        <v>0</v>
      </c>
      <c r="CN30" s="37">
        <f>SUMIFS(Lançamentos!$F:$F,Lançamentos!$A:$A,CN$19,Lançamentos!$C:$C,"Reembolsos")</f>
        <v>0</v>
      </c>
      <c r="CO30" s="37">
        <f>SUMIFS(Lançamentos!$F:$F,Lançamentos!$A:$A,CO$19,Lançamentos!$C:$C,"Reembolsos")</f>
        <v>0</v>
      </c>
      <c r="CP30" s="37">
        <f>SUMIFS(Lançamentos!$F:$F,Lançamentos!$A:$A,CP$19,Lançamentos!$C:$C,"Reembolsos")</f>
        <v>0</v>
      </c>
      <c r="CQ30" s="37">
        <f>SUMIFS(Lançamentos!$F:$F,Lançamentos!$A:$A,CQ$19,Lançamentos!$C:$C,"Reembolsos")</f>
        <v>0</v>
      </c>
      <c r="CR30" s="37">
        <f>SUMIFS(Lançamentos!$F:$F,Lançamentos!$A:$A,CR$19,Lançamentos!$C:$C,"Reembolsos")</f>
        <v>0</v>
      </c>
      <c r="CS30" s="37">
        <f>SUMIFS(Lançamentos!$F:$F,Lançamentos!$A:$A,CS$19,Lançamentos!$C:$C,"Reembolsos")</f>
        <v>0</v>
      </c>
      <c r="CT30" s="37">
        <f>SUMIFS(Lançamentos!$F:$F,Lançamentos!$A:$A,CT$19,Lançamentos!$C:$C,"Reembolsos")</f>
        <v>0</v>
      </c>
      <c r="CU30" s="37">
        <f>SUMIFS(Lançamentos!$F:$F,Lançamentos!$A:$A,CU$19,Lançamentos!$C:$C,"Reembolsos")</f>
        <v>0</v>
      </c>
      <c r="CV30" s="37">
        <f>SUMIFS(Lançamentos!$F:$F,Lançamentos!$A:$A,CV$19,Lançamentos!$C:$C,"Reembolsos")</f>
        <v>0</v>
      </c>
      <c r="CW30" s="37">
        <f>SUMIFS(Lançamentos!$F:$F,Lançamentos!$A:$A,CW$19,Lançamentos!$C:$C,"Reembolsos")</f>
        <v>0</v>
      </c>
      <c r="CX30" s="37">
        <f>SUMIFS(Lançamentos!$F:$F,Lançamentos!$A:$A,CX$19,Lançamentos!$C:$C,"Reembolsos")</f>
        <v>0</v>
      </c>
      <c r="CY30" s="37">
        <f>SUMIFS(Lançamentos!$F:$F,Lançamentos!$A:$A,CY$19,Lançamentos!$C:$C,"Reembolsos")</f>
        <v>0</v>
      </c>
      <c r="CZ30" s="37">
        <f>SUMIFS(Lançamentos!$F:$F,Lançamentos!$A:$A,CZ$19,Lançamentos!$C:$C,"Reembolsos")</f>
        <v>0</v>
      </c>
      <c r="DA30" s="37">
        <f>SUMIFS(Lançamentos!$F:$F,Lançamentos!$A:$A,DA$19,Lançamentos!$C:$C,"Reembolsos")</f>
        <v>0</v>
      </c>
      <c r="DB30" s="37">
        <f>SUMIFS(Lançamentos!$F:$F,Lançamentos!$A:$A,DB$19,Lançamentos!$C:$C,"Reembolsos")</f>
        <v>0</v>
      </c>
      <c r="DC30" s="37">
        <f>SUMIFS(Lançamentos!$F:$F,Lançamentos!$A:$A,DC$19,Lançamentos!$C:$C,"Reembolsos")</f>
        <v>0</v>
      </c>
      <c r="DD30" s="37">
        <f>SUMIFS(Lançamentos!$F:$F,Lançamentos!$A:$A,DD$19,Lançamentos!$C:$C,"Reembolsos")</f>
        <v>0</v>
      </c>
      <c r="DE30" s="37">
        <f>SUMIFS(Lançamentos!$F:$F,Lançamentos!$A:$A,DE$19,Lançamentos!$C:$C,"Reembolsos")</f>
        <v>0</v>
      </c>
      <c r="DF30" s="37">
        <f>SUMIFS(Lançamentos!$F:$F,Lançamentos!$A:$A,DF$19,Lançamentos!$C:$C,"Reembolsos")</f>
        <v>0</v>
      </c>
      <c r="DG30" s="37">
        <f>SUMIFS(Lançamentos!$F:$F,Lançamentos!$A:$A,DG$19,Lançamentos!$C:$C,"Reembolsos")</f>
        <v>0</v>
      </c>
      <c r="DH30" s="37">
        <f>SUMIFS(Lançamentos!$F:$F,Lançamentos!$A:$A,DH$19,Lançamentos!$C:$C,"Reembolsos")</f>
        <v>0</v>
      </c>
      <c r="DI30" s="37">
        <f>SUMIFS(Lançamentos!$F:$F,Lançamentos!$A:$A,DI$19,Lançamentos!$C:$C,"Reembolsos")</f>
        <v>0</v>
      </c>
      <c r="DJ30" s="37">
        <f>SUMIFS(Lançamentos!$F:$F,Lançamentos!$A:$A,DJ$19,Lançamentos!$C:$C,"Reembolsos")</f>
        <v>0</v>
      </c>
      <c r="DK30" s="37">
        <f>SUMIFS(Lançamentos!$F:$F,Lançamentos!$A:$A,DK$19,Lançamentos!$C:$C,"Reembolsos")</f>
        <v>0</v>
      </c>
      <c r="DL30" s="37">
        <f>SUMIFS(Lançamentos!$F:$F,Lançamentos!$A:$A,DL$19,Lançamentos!$C:$C,"Reembolsos")</f>
        <v>0</v>
      </c>
      <c r="DM30" s="37">
        <f>SUMIFS(Lançamentos!$F:$F,Lançamentos!$A:$A,DM$19,Lançamentos!$C:$C,"Reembolsos")</f>
        <v>0</v>
      </c>
      <c r="DN30" s="37">
        <f>SUMIFS(Lançamentos!$F:$F,Lançamentos!$A:$A,DN$19,Lançamentos!$C:$C,"Reembolsos")</f>
        <v>0</v>
      </c>
      <c r="DO30" s="37">
        <f>SUMIFS(Lançamentos!$F:$F,Lançamentos!$A:$A,DO$19,Lançamentos!$C:$C,"Reembolsos")</f>
        <v>0</v>
      </c>
      <c r="DP30" s="37">
        <f>SUMIFS(Lançamentos!$F:$F,Lançamentos!$A:$A,DP$19,Lançamentos!$C:$C,"Reembolsos")</f>
        <v>0</v>
      </c>
      <c r="DQ30" s="37">
        <f>SUMIFS(Lançamentos!$F:$F,Lançamentos!$A:$A,DQ$19,Lançamentos!$C:$C,"Reembolsos")</f>
        <v>0</v>
      </c>
      <c r="DR30" s="37">
        <f>SUMIFS(Lançamentos!$F:$F,Lançamentos!$A:$A,DR$19,Lançamentos!$C:$C,"Reembolsos")</f>
        <v>0</v>
      </c>
      <c r="DS30" s="37">
        <f>SUMIFS(Lançamentos!$F:$F,Lançamentos!$A:$A,DS$19,Lançamentos!$C:$C,"Reembolsos")</f>
        <v>0</v>
      </c>
      <c r="DT30" s="37">
        <f>SUMIFS(Lançamentos!$F:$F,Lançamentos!$A:$A,DT$19,Lançamentos!$C:$C,"Reembolsos")</f>
        <v>0</v>
      </c>
      <c r="DU30" s="37">
        <f>SUMIFS(Lançamentos!$F:$F,Lançamentos!$A:$A,DU$19,Lançamentos!$C:$C,"Reembolsos")</f>
        <v>0</v>
      </c>
      <c r="DV30" s="37">
        <f>SUMIFS(Lançamentos!$F:$F,Lançamentos!$A:$A,DV$19,Lançamentos!$C:$C,"Reembolsos")</f>
        <v>0</v>
      </c>
      <c r="DW30" s="37">
        <f>SUMIFS(Lançamentos!$F:$F,Lançamentos!$A:$A,DW$19,Lançamentos!$C:$C,"Reembolsos")</f>
        <v>0</v>
      </c>
      <c r="DX30" s="37">
        <f>SUMIFS(Lançamentos!$F:$F,Lançamentos!$A:$A,DX$19,Lançamentos!$C:$C,"Reembolsos")</f>
        <v>0</v>
      </c>
      <c r="DY30" s="37">
        <f>SUMIFS(Lançamentos!$F:$F,Lançamentos!$A:$A,DY$19,Lançamentos!$C:$C,"Reembolsos")</f>
        <v>0</v>
      </c>
      <c r="DZ30" s="37">
        <f>SUMIFS(Lançamentos!$F:$F,Lançamentos!$A:$A,DZ$19,Lançamentos!$C:$C,"Reembolsos")</f>
        <v>0</v>
      </c>
      <c r="EA30" s="37">
        <f>SUMIFS(Lançamentos!$F:$F,Lançamentos!$A:$A,EA$19,Lançamentos!$C:$C,"Reembolsos")</f>
        <v>0</v>
      </c>
      <c r="EB30" s="37">
        <f>SUMIFS(Lançamentos!$F:$F,Lançamentos!$A:$A,EB$19,Lançamentos!$C:$C,"Reembolsos")</f>
        <v>0</v>
      </c>
      <c r="EC30" s="37">
        <f>SUMIFS(Lançamentos!$F:$F,Lançamentos!$A:$A,EC$19,Lançamentos!$C:$C,"Reembolsos")</f>
        <v>0</v>
      </c>
      <c r="ED30" s="37">
        <f>SUMIFS(Lançamentos!$F:$F,Lançamentos!$A:$A,ED$19,Lançamentos!$C:$C,"Reembolsos")</f>
        <v>0</v>
      </c>
      <c r="EE30" s="37">
        <f>SUMIFS(Lançamentos!$F:$F,Lançamentos!$A:$A,EE$19,Lançamentos!$C:$C,"Reembolsos")</f>
        <v>0</v>
      </c>
      <c r="EF30" s="37">
        <f>SUMIFS(Lançamentos!$F:$F,Lançamentos!$A:$A,EF$19,Lançamentos!$C:$C,"Reembolsos")</f>
        <v>0</v>
      </c>
      <c r="EG30" s="37">
        <f>SUMIFS(Lançamentos!$F:$F,Lançamentos!$A:$A,EG$19,Lançamentos!$C:$C,"Reembolsos")</f>
        <v>0</v>
      </c>
      <c r="EH30" s="37">
        <f>SUMIFS(Lançamentos!$F:$F,Lançamentos!$A:$A,EH$19,Lançamentos!$C:$C,"Reembolsos")</f>
        <v>0</v>
      </c>
      <c r="EI30" s="37">
        <f>SUMIFS(Lançamentos!$F:$F,Lançamentos!$A:$A,EI$19,Lançamentos!$C:$C,"Reembolsos")</f>
        <v>0</v>
      </c>
      <c r="EJ30" s="37">
        <f>SUMIFS(Lançamentos!$F:$F,Lançamentos!$A:$A,EJ$19,Lançamentos!$C:$C,"Reembolsos")</f>
        <v>0</v>
      </c>
      <c r="EK30" s="37">
        <f>SUMIFS(Lançamentos!$F:$F,Lançamentos!$A:$A,EK$19,Lançamentos!$C:$C,"Reembolsos")</f>
        <v>0</v>
      </c>
      <c r="EL30" s="37">
        <f>SUMIFS(Lançamentos!$F:$F,Lançamentos!$A:$A,EL$19,Lançamentos!$C:$C,"Reembolsos")</f>
        <v>0</v>
      </c>
      <c r="EM30" s="37">
        <f>SUMIFS(Lançamentos!$F:$F,Lançamentos!$A:$A,EM$19,Lançamentos!$C:$C,"Reembolsos")</f>
        <v>0</v>
      </c>
      <c r="EN30" s="37">
        <f>SUMIFS(Lançamentos!$F:$F,Lançamentos!$A:$A,EN$19,Lançamentos!$C:$C,"Reembolsos")</f>
        <v>0</v>
      </c>
      <c r="EO30" s="37">
        <f>SUMIFS(Lançamentos!$F:$F,Lançamentos!$A:$A,EO$19,Lançamentos!$C:$C,"Reembolsos")</f>
        <v>0</v>
      </c>
      <c r="EP30" s="37">
        <f>SUMIFS(Lançamentos!$F:$F,Lançamentos!$A:$A,EP$19,Lançamentos!$C:$C,"Reembolsos")</f>
        <v>0</v>
      </c>
      <c r="EQ30" s="37">
        <f>SUMIFS(Lançamentos!$F:$F,Lançamentos!$A:$A,EQ$19,Lançamentos!$C:$C,"Reembolsos")</f>
        <v>0</v>
      </c>
      <c r="ER30" s="37">
        <f>SUMIFS(Lançamentos!$F:$F,Lançamentos!$A:$A,ER$19,Lançamentos!$C:$C,"Reembolsos")</f>
        <v>0</v>
      </c>
      <c r="ES30" s="37">
        <f>SUMIFS(Lançamentos!$F:$F,Lançamentos!$A:$A,ES$19,Lançamentos!$C:$C,"Reembolsos")</f>
        <v>0</v>
      </c>
      <c r="ET30" s="37">
        <f>SUMIFS(Lançamentos!$F:$F,Lançamentos!$A:$A,ET$19,Lançamentos!$C:$C,"Reembolsos")</f>
        <v>0</v>
      </c>
      <c r="EU30" s="37">
        <f>SUMIFS(Lançamentos!$F:$F,Lançamentos!$A:$A,EU$19,Lançamentos!$C:$C,"Reembolsos")</f>
        <v>0</v>
      </c>
      <c r="EV30" s="37">
        <f>SUMIFS(Lançamentos!$F:$F,Lançamentos!$A:$A,EV$19,Lançamentos!$C:$C,"Reembolsos")</f>
        <v>0</v>
      </c>
      <c r="EW30" s="37">
        <f>SUMIFS(Lançamentos!$F:$F,Lançamentos!$A:$A,EW$19,Lançamentos!$C:$C,"Reembolsos")</f>
        <v>0</v>
      </c>
      <c r="EX30" s="37">
        <f>SUMIFS(Lançamentos!$F:$F,Lançamentos!$A:$A,EX$19,Lançamentos!$C:$C,"Reembolsos")</f>
        <v>0</v>
      </c>
      <c r="EY30" s="37">
        <f>SUMIFS(Lançamentos!$F:$F,Lançamentos!$A:$A,EY$19,Lançamentos!$C:$C,"Reembolsos")</f>
        <v>0</v>
      </c>
      <c r="EZ30" s="37">
        <f>SUMIFS(Lançamentos!$F:$F,Lançamentos!$A:$A,EZ$19,Lançamentos!$C:$C,"Reembolsos")</f>
        <v>0</v>
      </c>
      <c r="FA30" s="37">
        <f>SUMIFS(Lançamentos!$F:$F,Lançamentos!$A:$A,FA$19,Lançamentos!$C:$C,"Reembolsos")</f>
        <v>0</v>
      </c>
      <c r="FB30" s="37">
        <f>SUMIFS(Lançamentos!$F:$F,Lançamentos!$A:$A,FB$19,Lançamentos!$C:$C,"Reembolsos")</f>
        <v>0</v>
      </c>
      <c r="FC30" s="37">
        <f>SUMIFS(Lançamentos!$F:$F,Lançamentos!$A:$A,FC$19,Lançamentos!$C:$C,"Reembolsos")</f>
        <v>0</v>
      </c>
      <c r="FD30" s="37">
        <f>SUMIFS(Lançamentos!$F:$F,Lançamentos!$A:$A,FD$19,Lançamentos!$C:$C,"Reembolsos")</f>
        <v>0</v>
      </c>
      <c r="FE30" s="37">
        <f>SUMIFS(Lançamentos!$F:$F,Lançamentos!$A:$A,FE$19,Lançamentos!$C:$C,"Reembolsos")</f>
        <v>0</v>
      </c>
      <c r="FF30" s="37">
        <f>SUMIFS(Lançamentos!$F:$F,Lançamentos!$A:$A,FF$19,Lançamentos!$C:$C,"Reembolsos")</f>
        <v>0</v>
      </c>
      <c r="FG30" s="37">
        <f>SUMIFS(Lançamentos!$F:$F,Lançamentos!$A:$A,FG$19,Lançamentos!$C:$C,"Reembolsos")</f>
        <v>0</v>
      </c>
      <c r="FH30" s="37">
        <f>SUMIFS(Lançamentos!$F:$F,Lançamentos!$A:$A,FH$19,Lançamentos!$C:$C,"Reembolsos")</f>
        <v>0</v>
      </c>
      <c r="FI30" s="37">
        <f>SUMIFS(Lançamentos!$F:$F,Lançamentos!$A:$A,FI$19,Lançamentos!$C:$C,"Reembolsos")</f>
        <v>0</v>
      </c>
      <c r="FJ30" s="37">
        <f>SUMIFS(Lançamentos!$F:$F,Lançamentos!$A:$A,FJ$19,Lançamentos!$C:$C,"Reembolsos")</f>
        <v>0</v>
      </c>
      <c r="FK30" s="37">
        <f>SUMIFS(Lançamentos!$F:$F,Lançamentos!$A:$A,FK$19,Lançamentos!$C:$C,"Reembolsos")</f>
        <v>0</v>
      </c>
      <c r="FL30" s="37">
        <f>SUMIFS(Lançamentos!$F:$F,Lançamentos!$A:$A,FL$19,Lançamentos!$C:$C,"Reembolsos")</f>
        <v>0</v>
      </c>
      <c r="FM30" s="37">
        <f>SUMIFS(Lançamentos!$F:$F,Lançamentos!$A:$A,FM$19,Lançamentos!$C:$C,"Reembolsos")</f>
        <v>0</v>
      </c>
      <c r="FN30" s="37">
        <f>SUMIFS(Lançamentos!$F:$F,Lançamentos!$A:$A,FN$19,Lançamentos!$C:$C,"Reembolsos")</f>
        <v>0</v>
      </c>
      <c r="FO30" s="37">
        <f>SUMIFS(Lançamentos!$F:$F,Lançamentos!$A:$A,FO$19,Lançamentos!$C:$C,"Reembolsos")</f>
        <v>0</v>
      </c>
      <c r="FP30" s="37">
        <f>SUMIFS(Lançamentos!$F:$F,Lançamentos!$A:$A,FP$19,Lançamentos!$C:$C,"Reembolsos")</f>
        <v>0</v>
      </c>
      <c r="FQ30" s="37">
        <f>SUMIFS(Lançamentos!$F:$F,Lançamentos!$A:$A,FQ$19,Lançamentos!$C:$C,"Reembolsos")</f>
        <v>0</v>
      </c>
      <c r="FR30" s="37">
        <f>SUMIFS(Lançamentos!$F:$F,Lançamentos!$A:$A,FR$19,Lançamentos!$C:$C,"Reembolsos")</f>
        <v>0</v>
      </c>
      <c r="FS30" s="37">
        <f>SUMIFS(Lançamentos!$F:$F,Lançamentos!$A:$A,FS$19,Lançamentos!$C:$C,"Reembolsos")</f>
        <v>0</v>
      </c>
      <c r="FT30" s="37">
        <f>SUMIFS(Lançamentos!$F:$F,Lançamentos!$A:$A,FT$19,Lançamentos!$C:$C,"Reembolsos")</f>
        <v>0</v>
      </c>
      <c r="FU30" s="37">
        <f>SUMIFS(Lançamentos!$F:$F,Lançamentos!$A:$A,FU$19,Lançamentos!$C:$C,"Reembolsos")</f>
        <v>0</v>
      </c>
      <c r="FV30" s="37">
        <f>SUMIFS(Lançamentos!$F:$F,Lançamentos!$A:$A,FV$19,Lançamentos!$C:$C,"Reembolsos")</f>
        <v>0</v>
      </c>
      <c r="FW30" s="37">
        <f>SUMIFS(Lançamentos!$F:$F,Lançamentos!$A:$A,FW$19,Lançamentos!$C:$C,"Reembolsos")</f>
        <v>0</v>
      </c>
      <c r="FX30" s="37">
        <f>SUMIFS(Lançamentos!$F:$F,Lançamentos!$A:$A,FX$19,Lançamentos!$C:$C,"Reembolsos")</f>
        <v>0</v>
      </c>
      <c r="FY30" s="37">
        <f>SUMIFS(Lançamentos!$F:$F,Lançamentos!$A:$A,FY$19,Lançamentos!$C:$C,"Reembolsos")</f>
        <v>0</v>
      </c>
      <c r="FZ30" s="37">
        <f>SUMIFS(Lançamentos!$F:$F,Lançamentos!$A:$A,FZ$19,Lançamentos!$C:$C,"Reembolsos")</f>
        <v>0</v>
      </c>
      <c r="GA30" s="37">
        <f>SUMIFS(Lançamentos!$F:$F,Lançamentos!$A:$A,GA$19,Lançamentos!$C:$C,"Reembolsos")</f>
        <v>0</v>
      </c>
      <c r="GB30" s="37">
        <f>SUMIFS(Lançamentos!$F:$F,Lançamentos!$A:$A,GB$19,Lançamentos!$C:$C,"Reembolsos")</f>
        <v>0</v>
      </c>
      <c r="GC30" s="37">
        <f>SUMIFS(Lançamentos!$F:$F,Lançamentos!$A:$A,GC$19,Lançamentos!$C:$C,"Reembolsos")</f>
        <v>0</v>
      </c>
      <c r="GD30" s="37">
        <f>SUMIFS(Lançamentos!$F:$F,Lançamentos!$A:$A,GD$19,Lançamentos!$C:$C,"Reembolsos")</f>
        <v>0</v>
      </c>
      <c r="GE30" s="37">
        <f>SUMIFS(Lançamentos!$F:$F,Lançamentos!$A:$A,GE$19,Lançamentos!$C:$C,"Reembolsos")</f>
        <v>0</v>
      </c>
      <c r="GF30" s="37">
        <f>SUMIFS(Lançamentos!$F:$F,Lançamentos!$A:$A,GF$19,Lançamentos!$C:$C,"Reembolsos")</f>
        <v>0</v>
      </c>
      <c r="GG30" s="37">
        <f>SUMIFS(Lançamentos!$F:$F,Lançamentos!$A:$A,GG$19,Lançamentos!$C:$C,"Reembolsos")</f>
        <v>0</v>
      </c>
      <c r="GH30" s="37">
        <f>SUMIFS(Lançamentos!$F:$F,Lançamentos!$A:$A,GH$19,Lançamentos!$C:$C,"Reembolsos")</f>
        <v>0</v>
      </c>
      <c r="GI30" s="37">
        <f>SUMIFS(Lançamentos!$F:$F,Lançamentos!$A:$A,GI$19,Lançamentos!$C:$C,"Reembolsos")</f>
        <v>0</v>
      </c>
      <c r="GJ30" s="37">
        <f>SUMIFS(Lançamentos!$F:$F,Lançamentos!$A:$A,GJ$19,Lançamentos!$C:$C,"Reembolsos")</f>
        <v>0</v>
      </c>
      <c r="GK30" s="37">
        <f>SUMIFS(Lançamentos!$F:$F,Lançamentos!$A:$A,GK$19,Lançamentos!$C:$C,"Reembolsos")</f>
        <v>0</v>
      </c>
      <c r="GL30" s="37">
        <f>SUMIFS(Lançamentos!$F:$F,Lançamentos!$A:$A,GL$19,Lançamentos!$C:$C,"Reembolsos")</f>
        <v>0</v>
      </c>
      <c r="GM30" s="37">
        <f>SUMIFS(Lançamentos!$F:$F,Lançamentos!$A:$A,GM$19,Lançamentos!$C:$C,"Reembolsos")</f>
        <v>0</v>
      </c>
      <c r="GN30" s="37">
        <f>SUMIFS(Lançamentos!$F:$F,Lançamentos!$A:$A,GN$19,Lançamentos!$C:$C,"Reembolsos")</f>
        <v>0</v>
      </c>
      <c r="GO30" s="37">
        <f>SUMIFS(Lançamentos!$F:$F,Lançamentos!$A:$A,GO$19,Lançamentos!$C:$C,"Reembolsos")</f>
        <v>0</v>
      </c>
      <c r="GP30" s="37">
        <f>SUMIFS(Lançamentos!$F:$F,Lançamentos!$A:$A,GP$19,Lançamentos!$C:$C,"Reembolsos")</f>
        <v>0</v>
      </c>
      <c r="GQ30" s="37">
        <f>SUMIFS(Lançamentos!$F:$F,Lançamentos!$A:$A,GQ$19,Lançamentos!$C:$C,"Reembolsos")</f>
        <v>0</v>
      </c>
      <c r="GR30" s="37">
        <f>SUMIFS(Lançamentos!$F:$F,Lançamentos!$A:$A,GR$19,Lançamentos!$C:$C,"Reembolsos")</f>
        <v>0</v>
      </c>
      <c r="GS30" s="37">
        <f>SUMIFS(Lançamentos!$F:$F,Lançamentos!$A:$A,GS$19,Lançamentos!$C:$C,"Reembolsos")</f>
        <v>0</v>
      </c>
      <c r="GT30" s="37">
        <f>SUMIFS(Lançamentos!$F:$F,Lançamentos!$A:$A,GT$19,Lançamentos!$C:$C,"Reembolsos")</f>
        <v>0</v>
      </c>
      <c r="GU30" s="37">
        <f>SUMIFS(Lançamentos!$F:$F,Lançamentos!$A:$A,GU$19,Lançamentos!$C:$C,"Reembolsos")</f>
        <v>0</v>
      </c>
      <c r="GV30" s="37">
        <f>SUMIFS(Lançamentos!$F:$F,Lançamentos!$A:$A,GV$19,Lançamentos!$C:$C,"Reembolsos")</f>
        <v>0</v>
      </c>
      <c r="GW30" s="37">
        <f>SUMIFS(Lançamentos!$F:$F,Lançamentos!$A:$A,GW$19,Lançamentos!$C:$C,"Reembolsos")</f>
        <v>0</v>
      </c>
      <c r="GX30" s="37">
        <f>SUMIFS(Lançamentos!$F:$F,Lançamentos!$A:$A,GX$19,Lançamentos!$C:$C,"Reembolsos")</f>
        <v>0</v>
      </c>
      <c r="GY30" s="37">
        <f>SUMIFS(Lançamentos!$F:$F,Lançamentos!$A:$A,GY$19,Lançamentos!$C:$C,"Reembolsos")</f>
        <v>0</v>
      </c>
      <c r="GZ30" s="37">
        <f>SUMIFS(Lançamentos!$F:$F,Lançamentos!$A:$A,GZ$19,Lançamentos!$C:$C,"Reembolsos")</f>
        <v>0</v>
      </c>
      <c r="HA30" s="37">
        <f>SUMIFS(Lançamentos!$F:$F,Lançamentos!$A:$A,HA$19,Lançamentos!$C:$C,"Reembolsos")</f>
        <v>0</v>
      </c>
      <c r="HB30" s="37">
        <f>SUMIFS(Lançamentos!$F:$F,Lançamentos!$A:$A,HB$19,Lançamentos!$C:$C,"Reembolsos")</f>
        <v>0</v>
      </c>
      <c r="HC30" s="37">
        <f>SUMIFS(Lançamentos!$F:$F,Lançamentos!$A:$A,HC$19,Lançamentos!$C:$C,"Reembolsos")</f>
        <v>0</v>
      </c>
      <c r="HD30" s="37">
        <f>SUMIFS(Lançamentos!$F:$F,Lançamentos!$A:$A,HD$19,Lançamentos!$C:$C,"Reembolsos")</f>
        <v>0</v>
      </c>
      <c r="HE30" s="37">
        <f>SUMIFS(Lançamentos!$F:$F,Lançamentos!$A:$A,HE$19,Lançamentos!$C:$C,"Reembolsos")</f>
        <v>0</v>
      </c>
      <c r="HF30" s="37">
        <f>SUMIFS(Lançamentos!$F:$F,Lançamentos!$A:$A,HF$19,Lançamentos!$C:$C,"Reembolsos")</f>
        <v>0</v>
      </c>
      <c r="HG30" s="37">
        <f>SUMIFS(Lançamentos!$F:$F,Lançamentos!$A:$A,HG$19,Lançamentos!$C:$C,"Reembolsos")</f>
        <v>0</v>
      </c>
      <c r="HH30" s="37">
        <f>SUMIFS(Lançamentos!$F:$F,Lançamentos!$A:$A,HH$19,Lançamentos!$C:$C,"Reembolsos")</f>
        <v>0</v>
      </c>
      <c r="HI30" s="37">
        <f>SUMIFS(Lançamentos!$F:$F,Lançamentos!$A:$A,HI$19,Lançamentos!$C:$C,"Reembolsos")</f>
        <v>0</v>
      </c>
      <c r="HJ30" s="37">
        <f>SUMIFS(Lançamentos!$F:$F,Lançamentos!$A:$A,HJ$19,Lançamentos!$C:$C,"Reembolsos")</f>
        <v>0</v>
      </c>
      <c r="HK30" s="37">
        <f>SUMIFS(Lançamentos!$F:$F,Lançamentos!$A:$A,HK$19,Lançamentos!$C:$C,"Reembolsos")</f>
        <v>0</v>
      </c>
      <c r="HL30" s="37">
        <f>SUMIFS(Lançamentos!$F:$F,Lançamentos!$A:$A,HL$19,Lançamentos!$C:$C,"Reembolsos")</f>
        <v>0</v>
      </c>
      <c r="HM30" s="37">
        <f>SUMIFS(Lançamentos!$F:$F,Lançamentos!$A:$A,HM$19,Lançamentos!$C:$C,"Reembolsos")</f>
        <v>0</v>
      </c>
      <c r="HN30" s="37">
        <f>SUMIFS(Lançamentos!$F:$F,Lançamentos!$A:$A,HN$19,Lançamentos!$C:$C,"Reembolsos")</f>
        <v>0</v>
      </c>
      <c r="HO30" s="37">
        <f>SUMIFS(Lançamentos!$F:$F,Lançamentos!$A:$A,HO$19,Lançamentos!$C:$C,"Reembolsos")</f>
        <v>0</v>
      </c>
      <c r="HP30" s="37">
        <f>SUMIFS(Lançamentos!$F:$F,Lançamentos!$A:$A,HP$19,Lançamentos!$C:$C,"Reembolsos")</f>
        <v>0</v>
      </c>
      <c r="HQ30" s="37">
        <f>SUMIFS(Lançamentos!$F:$F,Lançamentos!$A:$A,HQ$19,Lançamentos!$C:$C,"Reembolsos")</f>
        <v>0</v>
      </c>
      <c r="HR30" s="37">
        <f>SUMIFS(Lançamentos!$F:$F,Lançamentos!$A:$A,HR$19,Lançamentos!$C:$C,"Reembolsos")</f>
        <v>0</v>
      </c>
      <c r="HS30" s="37">
        <f>SUMIFS(Lançamentos!$F:$F,Lançamentos!$A:$A,HS$19,Lançamentos!$C:$C,"Reembolsos")</f>
        <v>0</v>
      </c>
      <c r="HT30" s="37">
        <f>SUMIFS(Lançamentos!$F:$F,Lançamentos!$A:$A,HT$19,Lançamentos!$C:$C,"Reembolsos")</f>
        <v>0</v>
      </c>
      <c r="HU30" s="37">
        <f>SUMIFS(Lançamentos!$F:$F,Lançamentos!$A:$A,HU$19,Lançamentos!$C:$C,"Reembolsos")</f>
        <v>0</v>
      </c>
      <c r="HV30" s="37">
        <f>SUMIFS(Lançamentos!$F:$F,Lançamentos!$A:$A,HV$19,Lançamentos!$C:$C,"Reembolsos")</f>
        <v>0</v>
      </c>
      <c r="HW30" s="37">
        <f>SUMIFS(Lançamentos!$F:$F,Lançamentos!$A:$A,HW$19,Lançamentos!$C:$C,"Reembolsos")</f>
        <v>0</v>
      </c>
      <c r="HX30" s="37">
        <f>SUMIFS(Lançamentos!$F:$F,Lançamentos!$A:$A,HX$19,Lançamentos!$C:$C,"Reembolsos")</f>
        <v>0</v>
      </c>
      <c r="HY30" s="37">
        <f>SUMIFS(Lançamentos!$F:$F,Lançamentos!$A:$A,HY$19,Lançamentos!$C:$C,"Reembolsos")</f>
        <v>0</v>
      </c>
      <c r="HZ30" s="37">
        <f>SUMIFS(Lançamentos!$F:$F,Lançamentos!$A:$A,HZ$19,Lançamentos!$C:$C,"Reembolsos")</f>
        <v>0</v>
      </c>
      <c r="IA30" s="37">
        <f>SUMIFS(Lançamentos!$F:$F,Lançamentos!$A:$A,IA$19,Lançamentos!$C:$C,"Reembolsos")</f>
        <v>0</v>
      </c>
      <c r="IB30" s="37">
        <f>SUMIFS(Lançamentos!$F:$F,Lançamentos!$A:$A,IB$19,Lançamentos!$C:$C,"Reembolsos")</f>
        <v>0</v>
      </c>
      <c r="IC30" s="37">
        <f>SUMIFS(Lançamentos!$F:$F,Lançamentos!$A:$A,IC$19,Lançamentos!$C:$C,"Reembolsos")</f>
        <v>0</v>
      </c>
      <c r="ID30" s="37">
        <f>SUMIFS(Lançamentos!$F:$F,Lançamentos!$A:$A,ID$19,Lançamentos!$C:$C,"Reembolsos")</f>
        <v>0</v>
      </c>
      <c r="IE30" s="37">
        <f>SUMIFS(Lançamentos!$F:$F,Lançamentos!$A:$A,IE$19,Lançamentos!$C:$C,"Reembolsos")</f>
        <v>0</v>
      </c>
      <c r="IF30" s="37">
        <f>SUMIFS(Lançamentos!$F:$F,Lançamentos!$A:$A,IF$19,Lançamentos!$C:$C,"Reembolsos")</f>
        <v>0</v>
      </c>
      <c r="IG30" s="37">
        <f>SUMIFS(Lançamentos!$F:$F,Lançamentos!$A:$A,IG$19,Lançamentos!$C:$C,"Reembolsos")</f>
        <v>0</v>
      </c>
      <c r="IH30" s="37">
        <f>SUMIFS(Lançamentos!$F:$F,Lançamentos!$A:$A,IH$19,Lançamentos!$C:$C,"Reembolsos")</f>
        <v>0</v>
      </c>
      <c r="II30" s="37">
        <f>SUMIFS(Lançamentos!$F:$F,Lançamentos!$A:$A,II$19,Lançamentos!$C:$C,"Reembolsos")</f>
        <v>0</v>
      </c>
      <c r="IJ30" s="37">
        <f>SUMIFS(Lançamentos!$F:$F,Lançamentos!$A:$A,IJ$19,Lançamentos!$C:$C,"Reembolsos")</f>
        <v>0</v>
      </c>
      <c r="IK30" s="37">
        <f>SUMIFS(Lançamentos!$F:$F,Lançamentos!$A:$A,IK$19,Lançamentos!$C:$C,"Reembolsos")</f>
        <v>0</v>
      </c>
      <c r="IL30" s="37">
        <f>SUMIFS(Lançamentos!$F:$F,Lançamentos!$A:$A,IL$19,Lançamentos!$C:$C,"Reembolsos")</f>
        <v>0</v>
      </c>
    </row>
    <row r="31" spans="1:246" x14ac:dyDescent="0.3">
      <c r="A31" t="s">
        <v>86</v>
      </c>
      <c r="B31" s="37">
        <f>SUMIFS(Lançamentos!$F:$F,Lançamentos!$A:$A,B$19,Lançamentos!$C:$C,"Aporte de Sócios")</f>
        <v>0</v>
      </c>
      <c r="C31" s="37">
        <f>SUMIFS(Lançamentos!$F:$F,Lançamentos!$A:$A,C$19,Lançamentos!$C:$C,"Aporte de Sócios")</f>
        <v>0</v>
      </c>
      <c r="D31" s="37">
        <f>SUMIFS(Lançamentos!$F:$F,Lançamentos!$A:$A,D$19,Lançamentos!$C:$C,"Aporte de Sócios")</f>
        <v>0</v>
      </c>
      <c r="E31" s="37">
        <f>SUMIFS(Lançamentos!$F:$F,Lançamentos!$A:$A,E$19,Lançamentos!$C:$C,"Aporte de Sócios")</f>
        <v>0</v>
      </c>
      <c r="F31" s="37">
        <f>SUMIFS(Lançamentos!$F:$F,Lançamentos!$A:$A,F$19,Lançamentos!$C:$C,"Aporte de Sócios")</f>
        <v>0</v>
      </c>
      <c r="G31" s="37">
        <f>SUMIFS(Lançamentos!$F:$F,Lançamentos!$A:$A,G$19,Lançamentos!$C:$C,"Aporte de Sócios")</f>
        <v>0</v>
      </c>
      <c r="H31" s="37">
        <f>SUMIFS(Lançamentos!$F:$F,Lançamentos!$A:$A,H$19,Lançamentos!$C:$C,"Aporte de Sócios")</f>
        <v>0</v>
      </c>
      <c r="I31" s="37">
        <f>SUMIFS(Lançamentos!$F:$F,Lançamentos!$A:$A,I$19,Lançamentos!$C:$C,"Aporte de Sócios")</f>
        <v>0</v>
      </c>
      <c r="J31" s="37">
        <f>SUMIFS(Lançamentos!$F:$F,Lançamentos!$A:$A,J$19,Lançamentos!$C:$C,"Aporte de Sócios")</f>
        <v>0</v>
      </c>
      <c r="K31" s="37">
        <f>SUMIFS(Lançamentos!$F:$F,Lançamentos!$A:$A,K$19,Lançamentos!$C:$C,"Aporte de Sócios")</f>
        <v>0</v>
      </c>
      <c r="L31" s="37">
        <f>SUMIFS(Lançamentos!$F:$F,Lançamentos!$A:$A,L$19,Lançamentos!$C:$C,"Aporte de Sócios")</f>
        <v>0</v>
      </c>
      <c r="M31" s="37">
        <f>SUMIFS(Lançamentos!$F:$F,Lançamentos!$A:$A,M$19,Lançamentos!$C:$C,"Aporte de Sócios")</f>
        <v>0</v>
      </c>
      <c r="N31" s="37">
        <f>SUMIFS(Lançamentos!$F:$F,Lançamentos!$A:$A,N$19,Lançamentos!$C:$C,"Aporte de Sócios")</f>
        <v>0</v>
      </c>
      <c r="O31" s="37">
        <f>SUMIFS(Lançamentos!$F:$F,Lançamentos!$A:$A,O$19,Lançamentos!$C:$C,"Aporte de Sócios")</f>
        <v>0</v>
      </c>
      <c r="P31" s="37">
        <f>SUMIFS(Lançamentos!$F:$F,Lançamentos!$A:$A,P$19,Lançamentos!$C:$C,"Aporte de Sócios")</f>
        <v>0</v>
      </c>
      <c r="Q31" s="37">
        <f>SUMIFS(Lançamentos!$F:$F,Lançamentos!$A:$A,Q$19,Lançamentos!$C:$C,"Aporte de Sócios")</f>
        <v>0</v>
      </c>
      <c r="R31" s="37">
        <f>SUMIFS(Lançamentos!$F:$F,Lançamentos!$A:$A,R$19,Lançamentos!$C:$C,"Aporte de Sócios")</f>
        <v>0</v>
      </c>
      <c r="S31" s="37">
        <f>SUMIFS(Lançamentos!$F:$F,Lançamentos!$A:$A,S$19,Lançamentos!$C:$C,"Aporte de Sócios")</f>
        <v>0</v>
      </c>
      <c r="T31" s="37">
        <f>SUMIFS(Lançamentos!$F:$F,Lançamentos!$A:$A,T$19,Lançamentos!$C:$C,"Aporte de Sócios")</f>
        <v>0</v>
      </c>
      <c r="U31" s="37">
        <f>SUMIFS(Lançamentos!$F:$F,Lançamentos!$A:$A,U$19,Lançamentos!$C:$C,"Aporte de Sócios")</f>
        <v>0</v>
      </c>
      <c r="V31" s="37">
        <f>SUMIFS(Lançamentos!$F:$F,Lançamentos!$A:$A,V$19,Lançamentos!$C:$C,"Aporte de Sócios")</f>
        <v>0</v>
      </c>
      <c r="W31" s="37">
        <f>SUMIFS(Lançamentos!$F:$F,Lançamentos!$A:$A,W$19,Lançamentos!$C:$C,"Aporte de Sócios")</f>
        <v>0</v>
      </c>
      <c r="X31" s="37">
        <f>SUMIFS(Lançamentos!$F:$F,Lançamentos!$A:$A,X$19,Lançamentos!$C:$C,"Aporte de Sócios")</f>
        <v>0</v>
      </c>
      <c r="Y31" s="37">
        <f>SUMIFS(Lançamentos!$F:$F,Lançamentos!$A:$A,Y$19,Lançamentos!$C:$C,"Aporte de Sócios")</f>
        <v>0</v>
      </c>
      <c r="Z31" s="37">
        <f>SUMIFS(Lançamentos!$F:$F,Lançamentos!$A:$A,Z$19,Lançamentos!$C:$C,"Aporte de Sócios")</f>
        <v>0</v>
      </c>
      <c r="AA31" s="37">
        <f>SUMIFS(Lançamentos!$F:$F,Lançamentos!$A:$A,AA$19,Lançamentos!$C:$C,"Aporte de Sócios")</f>
        <v>0</v>
      </c>
      <c r="AB31" s="37">
        <f>SUMIFS(Lançamentos!$F:$F,Lançamentos!$A:$A,AB$19,Lançamentos!$C:$C,"Aporte de Sócios")</f>
        <v>0</v>
      </c>
      <c r="AC31" s="37">
        <f>SUMIFS(Lançamentos!$F:$F,Lançamentos!$A:$A,AC$19,Lançamentos!$C:$C,"Aporte de Sócios")</f>
        <v>0</v>
      </c>
      <c r="AD31" s="37">
        <f>SUMIFS(Lançamentos!$F:$F,Lançamentos!$A:$A,AD$19,Lançamentos!$C:$C,"Aporte de Sócios")</f>
        <v>0</v>
      </c>
      <c r="AE31" s="37">
        <f>SUMIFS(Lançamentos!$F:$F,Lançamentos!$A:$A,AE$19,Lançamentos!$C:$C,"Aporte de Sócios")</f>
        <v>0</v>
      </c>
      <c r="AF31" s="37">
        <f>SUMIFS(Lançamentos!$F:$F,Lançamentos!$A:$A,AF$19,Lançamentos!$C:$C,"Aporte de Sócios")</f>
        <v>0</v>
      </c>
      <c r="AG31" s="37">
        <f>SUMIFS(Lançamentos!$F:$F,Lançamentos!$A:$A,AG$19,Lançamentos!$C:$C,"Aporte de Sócios")</f>
        <v>0</v>
      </c>
      <c r="AH31" s="37">
        <f>SUMIFS(Lançamentos!$F:$F,Lançamentos!$A:$A,AH$19,Lançamentos!$C:$C,"Aporte de Sócios")</f>
        <v>0</v>
      </c>
      <c r="AI31" s="37">
        <f>SUMIFS(Lançamentos!$F:$F,Lançamentos!$A:$A,AI$19,Lançamentos!$C:$C,"Aporte de Sócios")</f>
        <v>0</v>
      </c>
      <c r="AJ31" s="37">
        <f>SUMIFS(Lançamentos!$F:$F,Lançamentos!$A:$A,AJ$19,Lançamentos!$C:$C,"Aporte de Sócios")</f>
        <v>0</v>
      </c>
      <c r="AK31" s="37">
        <f>SUMIFS(Lançamentos!$F:$F,Lançamentos!$A:$A,AK$19,Lançamentos!$C:$C,"Aporte de Sócios")</f>
        <v>0</v>
      </c>
      <c r="AL31" s="37">
        <f>SUMIFS(Lançamentos!$F:$F,Lançamentos!$A:$A,AL$19,Lançamentos!$C:$C,"Aporte de Sócios")</f>
        <v>0</v>
      </c>
      <c r="AM31" s="37">
        <f>SUMIFS(Lançamentos!$F:$F,Lançamentos!$A:$A,AM$19,Lançamentos!$C:$C,"Aporte de Sócios")</f>
        <v>0</v>
      </c>
      <c r="AN31" s="37">
        <f>SUMIFS(Lançamentos!$F:$F,Lançamentos!$A:$A,AN$19,Lançamentos!$C:$C,"Aporte de Sócios")</f>
        <v>0</v>
      </c>
      <c r="AO31" s="37">
        <f>SUMIFS(Lançamentos!$F:$F,Lançamentos!$A:$A,AO$19,Lançamentos!$C:$C,"Aporte de Sócios")</f>
        <v>0</v>
      </c>
      <c r="AP31" s="37">
        <f>SUMIFS(Lançamentos!$F:$F,Lançamentos!$A:$A,AP$19,Lançamentos!$C:$C,"Aporte de Sócios")</f>
        <v>0</v>
      </c>
      <c r="AQ31" s="37">
        <f>SUMIFS(Lançamentos!$F:$F,Lançamentos!$A:$A,AQ$19,Lançamentos!$C:$C,"Aporte de Sócios")</f>
        <v>0</v>
      </c>
      <c r="AR31" s="37">
        <f>SUMIFS(Lançamentos!$F:$F,Lançamentos!$A:$A,AR$19,Lançamentos!$C:$C,"Aporte de Sócios")</f>
        <v>0</v>
      </c>
      <c r="AS31" s="37">
        <f>SUMIFS(Lançamentos!$F:$F,Lançamentos!$A:$A,AS$19,Lançamentos!$C:$C,"Aporte de Sócios")</f>
        <v>0</v>
      </c>
      <c r="AT31" s="37">
        <f>SUMIFS(Lançamentos!$F:$F,Lançamentos!$A:$A,AT$19,Lançamentos!$C:$C,"Aporte de Sócios")</f>
        <v>0</v>
      </c>
      <c r="AU31" s="37">
        <f>SUMIFS(Lançamentos!$F:$F,Lançamentos!$A:$A,AU$19,Lançamentos!$C:$C,"Aporte de Sócios")</f>
        <v>0</v>
      </c>
      <c r="AV31" s="37">
        <f>SUMIFS(Lançamentos!$F:$F,Lançamentos!$A:$A,AV$19,Lançamentos!$C:$C,"Aporte de Sócios")</f>
        <v>0</v>
      </c>
      <c r="AW31" s="37">
        <f>SUMIFS(Lançamentos!$F:$F,Lançamentos!$A:$A,AW$19,Lançamentos!$C:$C,"Aporte de Sócios")</f>
        <v>0</v>
      </c>
      <c r="AX31" s="37">
        <f>SUMIFS(Lançamentos!$F:$F,Lançamentos!$A:$A,AX$19,Lançamentos!$C:$C,"Aporte de Sócios")</f>
        <v>0</v>
      </c>
      <c r="AY31" s="37">
        <f>SUMIFS(Lançamentos!$F:$F,Lançamentos!$A:$A,AY$19,Lançamentos!$C:$C,"Aporte de Sócios")</f>
        <v>0</v>
      </c>
      <c r="AZ31" s="37">
        <f>SUMIFS(Lançamentos!$F:$F,Lançamentos!$A:$A,AZ$19,Lançamentos!$C:$C,"Aporte de Sócios")</f>
        <v>0</v>
      </c>
      <c r="BA31" s="37">
        <f>SUMIFS(Lançamentos!$F:$F,Lançamentos!$A:$A,BA$19,Lançamentos!$C:$C,"Aporte de Sócios")</f>
        <v>0</v>
      </c>
      <c r="BB31" s="37">
        <f>SUMIFS(Lançamentos!$F:$F,Lançamentos!$A:$A,BB$19,Lançamentos!$C:$C,"Aporte de Sócios")</f>
        <v>0</v>
      </c>
      <c r="BC31" s="37">
        <f>SUMIFS(Lançamentos!$F:$F,Lançamentos!$A:$A,BC$19,Lançamentos!$C:$C,"Aporte de Sócios")</f>
        <v>0</v>
      </c>
      <c r="BD31" s="37">
        <f>SUMIFS(Lançamentos!$F:$F,Lançamentos!$A:$A,BD$19,Lançamentos!$C:$C,"Aporte de Sócios")</f>
        <v>0</v>
      </c>
      <c r="BE31" s="37">
        <f>SUMIFS(Lançamentos!$F:$F,Lançamentos!$A:$A,BE$19,Lançamentos!$C:$C,"Aporte de Sócios")</f>
        <v>0</v>
      </c>
      <c r="BF31" s="37">
        <f>SUMIFS(Lançamentos!$F:$F,Lançamentos!$A:$A,BF$19,Lançamentos!$C:$C,"Aporte de Sócios")</f>
        <v>0</v>
      </c>
      <c r="BG31" s="37">
        <f>SUMIFS(Lançamentos!$F:$F,Lançamentos!$A:$A,BG$19,Lançamentos!$C:$C,"Aporte de Sócios")</f>
        <v>0</v>
      </c>
      <c r="BH31" s="37">
        <f>SUMIFS(Lançamentos!$F:$F,Lançamentos!$A:$A,BH$19,Lançamentos!$C:$C,"Aporte de Sócios")</f>
        <v>0</v>
      </c>
      <c r="BI31" s="37">
        <f>SUMIFS(Lançamentos!$F:$F,Lançamentos!$A:$A,BI$19,Lançamentos!$C:$C,"Aporte de Sócios")</f>
        <v>0</v>
      </c>
      <c r="BJ31" s="37">
        <f>SUMIFS(Lançamentos!$F:$F,Lançamentos!$A:$A,BJ$19,Lançamentos!$C:$C,"Aporte de Sócios")</f>
        <v>0</v>
      </c>
      <c r="BK31" s="37">
        <f>SUMIFS(Lançamentos!$F:$F,Lançamentos!$A:$A,BK$19,Lançamentos!$C:$C,"Aporte de Sócios")</f>
        <v>0</v>
      </c>
      <c r="BL31" s="37">
        <f>SUMIFS(Lançamentos!$F:$F,Lançamentos!$A:$A,BL$19,Lançamentos!$C:$C,"Aporte de Sócios")</f>
        <v>0</v>
      </c>
      <c r="BM31" s="37">
        <f>SUMIFS(Lançamentos!$F:$F,Lançamentos!$A:$A,BM$19,Lançamentos!$C:$C,"Aporte de Sócios")</f>
        <v>0</v>
      </c>
      <c r="BN31" s="37">
        <f>SUMIFS(Lançamentos!$F:$F,Lançamentos!$A:$A,BN$19,Lançamentos!$C:$C,"Aporte de Sócios")</f>
        <v>0</v>
      </c>
      <c r="BO31" s="37">
        <f>SUMIFS(Lançamentos!$F:$F,Lançamentos!$A:$A,BO$19,Lançamentos!$C:$C,"Aporte de Sócios")</f>
        <v>0</v>
      </c>
      <c r="BP31" s="37">
        <f>SUMIFS(Lançamentos!$F:$F,Lançamentos!$A:$A,BP$19,Lançamentos!$C:$C,"Aporte de Sócios")</f>
        <v>0</v>
      </c>
      <c r="BQ31" s="37">
        <f>SUMIFS(Lançamentos!$F:$F,Lançamentos!$A:$A,BQ$19,Lançamentos!$C:$C,"Aporte de Sócios")</f>
        <v>0</v>
      </c>
      <c r="BR31" s="37">
        <f>SUMIFS(Lançamentos!$F:$F,Lançamentos!$A:$A,BR$19,Lançamentos!$C:$C,"Aporte de Sócios")</f>
        <v>0</v>
      </c>
      <c r="BS31" s="37">
        <f>SUMIFS(Lançamentos!$F:$F,Lançamentos!$A:$A,BS$19,Lançamentos!$C:$C,"Aporte de Sócios")</f>
        <v>0</v>
      </c>
      <c r="BT31" s="37">
        <f>SUMIFS(Lançamentos!$F:$F,Lançamentos!$A:$A,BT$19,Lançamentos!$C:$C,"Aporte de Sócios")</f>
        <v>0</v>
      </c>
      <c r="BU31" s="37">
        <f>SUMIFS(Lançamentos!$F:$F,Lançamentos!$A:$A,BU$19,Lançamentos!$C:$C,"Aporte de Sócios")</f>
        <v>0</v>
      </c>
      <c r="BV31" s="37">
        <f>SUMIFS(Lançamentos!$F:$F,Lançamentos!$A:$A,BV$19,Lançamentos!$C:$C,"Aporte de Sócios")</f>
        <v>0</v>
      </c>
      <c r="BW31" s="37">
        <f>SUMIFS(Lançamentos!$F:$F,Lançamentos!$A:$A,BW$19,Lançamentos!$C:$C,"Aporte de Sócios")</f>
        <v>0</v>
      </c>
      <c r="BX31" s="37">
        <f>SUMIFS(Lançamentos!$F:$F,Lançamentos!$A:$A,BX$19,Lançamentos!$C:$C,"Aporte de Sócios")</f>
        <v>0</v>
      </c>
      <c r="BY31" s="37">
        <f>SUMIFS(Lançamentos!$F:$F,Lançamentos!$A:$A,BY$19,Lançamentos!$C:$C,"Aporte de Sócios")</f>
        <v>0</v>
      </c>
      <c r="BZ31" s="37">
        <f>SUMIFS(Lançamentos!$F:$F,Lançamentos!$A:$A,BZ$19,Lançamentos!$C:$C,"Aporte de Sócios")</f>
        <v>0</v>
      </c>
      <c r="CA31" s="37">
        <f>SUMIFS(Lançamentos!$F:$F,Lançamentos!$A:$A,CA$19,Lançamentos!$C:$C,"Aporte de Sócios")</f>
        <v>0</v>
      </c>
      <c r="CB31" s="37">
        <f>SUMIFS(Lançamentos!$F:$F,Lançamentos!$A:$A,CB$19,Lançamentos!$C:$C,"Aporte de Sócios")</f>
        <v>0</v>
      </c>
      <c r="CC31" s="37">
        <f>SUMIFS(Lançamentos!$F:$F,Lançamentos!$A:$A,CC$19,Lançamentos!$C:$C,"Aporte de Sócios")</f>
        <v>0</v>
      </c>
      <c r="CD31" s="37">
        <f>SUMIFS(Lançamentos!$F:$F,Lançamentos!$A:$A,CD$19,Lançamentos!$C:$C,"Aporte de Sócios")</f>
        <v>0</v>
      </c>
      <c r="CE31" s="37">
        <f>SUMIFS(Lançamentos!$F:$F,Lançamentos!$A:$A,CE$19,Lançamentos!$C:$C,"Aporte de Sócios")</f>
        <v>0</v>
      </c>
      <c r="CF31" s="37">
        <f>SUMIFS(Lançamentos!$F:$F,Lançamentos!$A:$A,CF$19,Lançamentos!$C:$C,"Aporte de Sócios")</f>
        <v>0</v>
      </c>
      <c r="CG31" s="37">
        <f>SUMIFS(Lançamentos!$F:$F,Lançamentos!$A:$A,CG$19,Lançamentos!$C:$C,"Aporte de Sócios")</f>
        <v>0</v>
      </c>
      <c r="CH31" s="37">
        <f>SUMIFS(Lançamentos!$F:$F,Lançamentos!$A:$A,CH$19,Lançamentos!$C:$C,"Aporte de Sócios")</f>
        <v>0</v>
      </c>
      <c r="CI31" s="37">
        <f>SUMIFS(Lançamentos!$F:$F,Lançamentos!$A:$A,CI$19,Lançamentos!$C:$C,"Aporte de Sócios")</f>
        <v>0</v>
      </c>
      <c r="CJ31" s="37">
        <f>SUMIFS(Lançamentos!$F:$F,Lançamentos!$A:$A,CJ$19,Lançamentos!$C:$C,"Aporte de Sócios")</f>
        <v>0</v>
      </c>
      <c r="CK31" s="37">
        <f>SUMIFS(Lançamentos!$F:$F,Lançamentos!$A:$A,CK$19,Lançamentos!$C:$C,"Aporte de Sócios")</f>
        <v>0</v>
      </c>
      <c r="CL31" s="37">
        <f>SUMIFS(Lançamentos!$F:$F,Lançamentos!$A:$A,CL$19,Lançamentos!$C:$C,"Aporte de Sócios")</f>
        <v>0</v>
      </c>
      <c r="CM31" s="37">
        <f>SUMIFS(Lançamentos!$F:$F,Lançamentos!$A:$A,CM$19,Lançamentos!$C:$C,"Aporte de Sócios")</f>
        <v>0</v>
      </c>
      <c r="CN31" s="37">
        <f>SUMIFS(Lançamentos!$F:$F,Lançamentos!$A:$A,CN$19,Lançamentos!$C:$C,"Aporte de Sócios")</f>
        <v>0</v>
      </c>
      <c r="CO31" s="37">
        <f>SUMIFS(Lançamentos!$F:$F,Lançamentos!$A:$A,CO$19,Lançamentos!$C:$C,"Aporte de Sócios")</f>
        <v>0</v>
      </c>
      <c r="CP31" s="37">
        <f>SUMIFS(Lançamentos!$F:$F,Lançamentos!$A:$A,CP$19,Lançamentos!$C:$C,"Aporte de Sócios")</f>
        <v>0</v>
      </c>
      <c r="CQ31" s="37">
        <f>SUMIFS(Lançamentos!$F:$F,Lançamentos!$A:$A,CQ$19,Lançamentos!$C:$C,"Aporte de Sócios")</f>
        <v>0</v>
      </c>
      <c r="CR31" s="37">
        <f>SUMIFS(Lançamentos!$F:$F,Lançamentos!$A:$A,CR$19,Lançamentos!$C:$C,"Aporte de Sócios")</f>
        <v>0</v>
      </c>
      <c r="CS31" s="37">
        <f>SUMIFS(Lançamentos!$F:$F,Lançamentos!$A:$A,CS$19,Lançamentos!$C:$C,"Aporte de Sócios")</f>
        <v>0</v>
      </c>
      <c r="CT31" s="37">
        <f>SUMIFS(Lançamentos!$F:$F,Lançamentos!$A:$A,CT$19,Lançamentos!$C:$C,"Aporte de Sócios")</f>
        <v>0</v>
      </c>
      <c r="CU31" s="37">
        <f>SUMIFS(Lançamentos!$F:$F,Lançamentos!$A:$A,CU$19,Lançamentos!$C:$C,"Aporte de Sócios")</f>
        <v>0</v>
      </c>
      <c r="CV31" s="37">
        <f>SUMIFS(Lançamentos!$F:$F,Lançamentos!$A:$A,CV$19,Lançamentos!$C:$C,"Aporte de Sócios")</f>
        <v>0</v>
      </c>
      <c r="CW31" s="37">
        <f>SUMIFS(Lançamentos!$F:$F,Lançamentos!$A:$A,CW$19,Lançamentos!$C:$C,"Aporte de Sócios")</f>
        <v>0</v>
      </c>
      <c r="CX31" s="37">
        <f>SUMIFS(Lançamentos!$F:$F,Lançamentos!$A:$A,CX$19,Lançamentos!$C:$C,"Aporte de Sócios")</f>
        <v>0</v>
      </c>
      <c r="CY31" s="37">
        <f>SUMIFS(Lançamentos!$F:$F,Lançamentos!$A:$A,CY$19,Lançamentos!$C:$C,"Aporte de Sócios")</f>
        <v>0</v>
      </c>
      <c r="CZ31" s="37">
        <f>SUMIFS(Lançamentos!$F:$F,Lançamentos!$A:$A,CZ$19,Lançamentos!$C:$C,"Aporte de Sócios")</f>
        <v>0</v>
      </c>
      <c r="DA31" s="37">
        <f>SUMIFS(Lançamentos!$F:$F,Lançamentos!$A:$A,DA$19,Lançamentos!$C:$C,"Aporte de Sócios")</f>
        <v>0</v>
      </c>
      <c r="DB31" s="37">
        <f>SUMIFS(Lançamentos!$F:$F,Lançamentos!$A:$A,DB$19,Lançamentos!$C:$C,"Aporte de Sócios")</f>
        <v>0</v>
      </c>
      <c r="DC31" s="37">
        <f>SUMIFS(Lançamentos!$F:$F,Lançamentos!$A:$A,DC$19,Lançamentos!$C:$C,"Aporte de Sócios")</f>
        <v>0</v>
      </c>
      <c r="DD31" s="37">
        <f>SUMIFS(Lançamentos!$F:$F,Lançamentos!$A:$A,DD$19,Lançamentos!$C:$C,"Aporte de Sócios")</f>
        <v>0</v>
      </c>
      <c r="DE31" s="37">
        <f>SUMIFS(Lançamentos!$F:$F,Lançamentos!$A:$A,DE$19,Lançamentos!$C:$C,"Aporte de Sócios")</f>
        <v>0</v>
      </c>
      <c r="DF31" s="37">
        <f>SUMIFS(Lançamentos!$F:$F,Lançamentos!$A:$A,DF$19,Lançamentos!$C:$C,"Aporte de Sócios")</f>
        <v>0</v>
      </c>
      <c r="DG31" s="37">
        <f>SUMIFS(Lançamentos!$F:$F,Lançamentos!$A:$A,DG$19,Lançamentos!$C:$C,"Aporte de Sócios")</f>
        <v>0</v>
      </c>
      <c r="DH31" s="37">
        <f>SUMIFS(Lançamentos!$F:$F,Lançamentos!$A:$A,DH$19,Lançamentos!$C:$C,"Aporte de Sócios")</f>
        <v>0</v>
      </c>
      <c r="DI31" s="37">
        <f>SUMIFS(Lançamentos!$F:$F,Lançamentos!$A:$A,DI$19,Lançamentos!$C:$C,"Aporte de Sócios")</f>
        <v>0</v>
      </c>
      <c r="DJ31" s="37">
        <f>SUMIFS(Lançamentos!$F:$F,Lançamentos!$A:$A,DJ$19,Lançamentos!$C:$C,"Aporte de Sócios")</f>
        <v>0</v>
      </c>
      <c r="DK31" s="37">
        <f>SUMIFS(Lançamentos!$F:$F,Lançamentos!$A:$A,DK$19,Lançamentos!$C:$C,"Aporte de Sócios")</f>
        <v>0</v>
      </c>
      <c r="DL31" s="37">
        <f>SUMIFS(Lançamentos!$F:$F,Lançamentos!$A:$A,DL$19,Lançamentos!$C:$C,"Aporte de Sócios")</f>
        <v>0</v>
      </c>
      <c r="DM31" s="37">
        <f>SUMIFS(Lançamentos!$F:$F,Lançamentos!$A:$A,DM$19,Lançamentos!$C:$C,"Aporte de Sócios")</f>
        <v>0</v>
      </c>
      <c r="DN31" s="37">
        <f>SUMIFS(Lançamentos!$F:$F,Lançamentos!$A:$A,DN$19,Lançamentos!$C:$C,"Aporte de Sócios")</f>
        <v>0</v>
      </c>
      <c r="DO31" s="37">
        <f>SUMIFS(Lançamentos!$F:$F,Lançamentos!$A:$A,DO$19,Lançamentos!$C:$C,"Aporte de Sócios")</f>
        <v>0</v>
      </c>
      <c r="DP31" s="37">
        <f>SUMIFS(Lançamentos!$F:$F,Lançamentos!$A:$A,DP$19,Lançamentos!$C:$C,"Aporte de Sócios")</f>
        <v>0</v>
      </c>
      <c r="DQ31" s="37">
        <f>SUMIFS(Lançamentos!$F:$F,Lançamentos!$A:$A,DQ$19,Lançamentos!$C:$C,"Aporte de Sócios")</f>
        <v>0</v>
      </c>
      <c r="DR31" s="37">
        <f>SUMIFS(Lançamentos!$F:$F,Lançamentos!$A:$A,DR$19,Lançamentos!$C:$C,"Aporte de Sócios")</f>
        <v>0</v>
      </c>
      <c r="DS31" s="37">
        <f>SUMIFS(Lançamentos!$F:$F,Lançamentos!$A:$A,DS$19,Lançamentos!$C:$C,"Aporte de Sócios")</f>
        <v>0</v>
      </c>
      <c r="DT31" s="37">
        <f>SUMIFS(Lançamentos!$F:$F,Lançamentos!$A:$A,DT$19,Lançamentos!$C:$C,"Aporte de Sócios")</f>
        <v>0</v>
      </c>
      <c r="DU31" s="37">
        <f>SUMIFS(Lançamentos!$F:$F,Lançamentos!$A:$A,DU$19,Lançamentos!$C:$C,"Aporte de Sócios")</f>
        <v>0</v>
      </c>
      <c r="DV31" s="37">
        <f>SUMIFS(Lançamentos!$F:$F,Lançamentos!$A:$A,DV$19,Lançamentos!$C:$C,"Aporte de Sócios")</f>
        <v>0</v>
      </c>
      <c r="DW31" s="37">
        <f>SUMIFS(Lançamentos!$F:$F,Lançamentos!$A:$A,DW$19,Lançamentos!$C:$C,"Aporte de Sócios")</f>
        <v>0</v>
      </c>
      <c r="DX31" s="37">
        <f>SUMIFS(Lançamentos!$F:$F,Lançamentos!$A:$A,DX$19,Lançamentos!$C:$C,"Aporte de Sócios")</f>
        <v>0</v>
      </c>
      <c r="DY31" s="37">
        <f>SUMIFS(Lançamentos!$F:$F,Lançamentos!$A:$A,DY$19,Lançamentos!$C:$C,"Aporte de Sócios")</f>
        <v>0</v>
      </c>
      <c r="DZ31" s="37">
        <f>SUMIFS(Lançamentos!$F:$F,Lançamentos!$A:$A,DZ$19,Lançamentos!$C:$C,"Aporte de Sócios")</f>
        <v>0</v>
      </c>
      <c r="EA31" s="37">
        <f>SUMIFS(Lançamentos!$F:$F,Lançamentos!$A:$A,EA$19,Lançamentos!$C:$C,"Aporte de Sócios")</f>
        <v>0</v>
      </c>
      <c r="EB31" s="37">
        <f>SUMIFS(Lançamentos!$F:$F,Lançamentos!$A:$A,EB$19,Lançamentos!$C:$C,"Aporte de Sócios")</f>
        <v>0</v>
      </c>
      <c r="EC31" s="37">
        <f>SUMIFS(Lançamentos!$F:$F,Lançamentos!$A:$A,EC$19,Lançamentos!$C:$C,"Aporte de Sócios")</f>
        <v>0</v>
      </c>
      <c r="ED31" s="37">
        <f>SUMIFS(Lançamentos!$F:$F,Lançamentos!$A:$A,ED$19,Lançamentos!$C:$C,"Aporte de Sócios")</f>
        <v>0</v>
      </c>
      <c r="EE31" s="37">
        <f>SUMIFS(Lançamentos!$F:$F,Lançamentos!$A:$A,EE$19,Lançamentos!$C:$C,"Aporte de Sócios")</f>
        <v>0</v>
      </c>
      <c r="EF31" s="37">
        <f>SUMIFS(Lançamentos!$F:$F,Lançamentos!$A:$A,EF$19,Lançamentos!$C:$C,"Aporte de Sócios")</f>
        <v>0</v>
      </c>
      <c r="EG31" s="37">
        <f>SUMIFS(Lançamentos!$F:$F,Lançamentos!$A:$A,EG$19,Lançamentos!$C:$C,"Aporte de Sócios")</f>
        <v>0</v>
      </c>
      <c r="EH31" s="37">
        <f>SUMIFS(Lançamentos!$F:$F,Lançamentos!$A:$A,EH$19,Lançamentos!$C:$C,"Aporte de Sócios")</f>
        <v>0</v>
      </c>
      <c r="EI31" s="37">
        <f>SUMIFS(Lançamentos!$F:$F,Lançamentos!$A:$A,EI$19,Lançamentos!$C:$C,"Aporte de Sócios")</f>
        <v>0</v>
      </c>
      <c r="EJ31" s="37">
        <f>SUMIFS(Lançamentos!$F:$F,Lançamentos!$A:$A,EJ$19,Lançamentos!$C:$C,"Aporte de Sócios")</f>
        <v>0</v>
      </c>
      <c r="EK31" s="37">
        <f>SUMIFS(Lançamentos!$F:$F,Lançamentos!$A:$A,EK$19,Lançamentos!$C:$C,"Aporte de Sócios")</f>
        <v>0</v>
      </c>
      <c r="EL31" s="37">
        <f>SUMIFS(Lançamentos!$F:$F,Lançamentos!$A:$A,EL$19,Lançamentos!$C:$C,"Aporte de Sócios")</f>
        <v>0</v>
      </c>
      <c r="EM31" s="37">
        <f>SUMIFS(Lançamentos!$F:$F,Lançamentos!$A:$A,EM$19,Lançamentos!$C:$C,"Aporte de Sócios")</f>
        <v>0</v>
      </c>
      <c r="EN31" s="37">
        <f>SUMIFS(Lançamentos!$F:$F,Lançamentos!$A:$A,EN$19,Lançamentos!$C:$C,"Aporte de Sócios")</f>
        <v>0</v>
      </c>
      <c r="EO31" s="37">
        <f>SUMIFS(Lançamentos!$F:$F,Lançamentos!$A:$A,EO$19,Lançamentos!$C:$C,"Aporte de Sócios")</f>
        <v>0</v>
      </c>
      <c r="EP31" s="37">
        <f>SUMIFS(Lançamentos!$F:$F,Lançamentos!$A:$A,EP$19,Lançamentos!$C:$C,"Aporte de Sócios")</f>
        <v>0</v>
      </c>
      <c r="EQ31" s="37">
        <f>SUMIFS(Lançamentos!$F:$F,Lançamentos!$A:$A,EQ$19,Lançamentos!$C:$C,"Aporte de Sócios")</f>
        <v>0</v>
      </c>
      <c r="ER31" s="37">
        <f>SUMIFS(Lançamentos!$F:$F,Lançamentos!$A:$A,ER$19,Lançamentos!$C:$C,"Aporte de Sócios")</f>
        <v>0</v>
      </c>
      <c r="ES31" s="37">
        <f>SUMIFS(Lançamentos!$F:$F,Lançamentos!$A:$A,ES$19,Lançamentos!$C:$C,"Aporte de Sócios")</f>
        <v>0</v>
      </c>
      <c r="ET31" s="37">
        <f>SUMIFS(Lançamentos!$F:$F,Lançamentos!$A:$A,ET$19,Lançamentos!$C:$C,"Aporte de Sócios")</f>
        <v>0</v>
      </c>
      <c r="EU31" s="37">
        <f>SUMIFS(Lançamentos!$F:$F,Lançamentos!$A:$A,EU$19,Lançamentos!$C:$C,"Aporte de Sócios")</f>
        <v>0</v>
      </c>
      <c r="EV31" s="37">
        <f>SUMIFS(Lançamentos!$F:$F,Lançamentos!$A:$A,EV$19,Lançamentos!$C:$C,"Aporte de Sócios")</f>
        <v>0</v>
      </c>
      <c r="EW31" s="37">
        <f>SUMIFS(Lançamentos!$F:$F,Lançamentos!$A:$A,EW$19,Lançamentos!$C:$C,"Aporte de Sócios")</f>
        <v>0</v>
      </c>
      <c r="EX31" s="37">
        <f>SUMIFS(Lançamentos!$F:$F,Lançamentos!$A:$A,EX$19,Lançamentos!$C:$C,"Aporte de Sócios")</f>
        <v>0</v>
      </c>
      <c r="EY31" s="37">
        <f>SUMIFS(Lançamentos!$F:$F,Lançamentos!$A:$A,EY$19,Lançamentos!$C:$C,"Aporte de Sócios")</f>
        <v>0</v>
      </c>
      <c r="EZ31" s="37">
        <f>SUMIFS(Lançamentos!$F:$F,Lançamentos!$A:$A,EZ$19,Lançamentos!$C:$C,"Aporte de Sócios")</f>
        <v>0</v>
      </c>
      <c r="FA31" s="37">
        <f>SUMIFS(Lançamentos!$F:$F,Lançamentos!$A:$A,FA$19,Lançamentos!$C:$C,"Aporte de Sócios")</f>
        <v>0</v>
      </c>
      <c r="FB31" s="37">
        <f>SUMIFS(Lançamentos!$F:$F,Lançamentos!$A:$A,FB$19,Lançamentos!$C:$C,"Aporte de Sócios")</f>
        <v>0</v>
      </c>
      <c r="FC31" s="37">
        <f>SUMIFS(Lançamentos!$F:$F,Lançamentos!$A:$A,FC$19,Lançamentos!$C:$C,"Aporte de Sócios")</f>
        <v>0</v>
      </c>
      <c r="FD31" s="37">
        <f>SUMIFS(Lançamentos!$F:$F,Lançamentos!$A:$A,FD$19,Lançamentos!$C:$C,"Aporte de Sócios")</f>
        <v>0</v>
      </c>
      <c r="FE31" s="37">
        <f>SUMIFS(Lançamentos!$F:$F,Lançamentos!$A:$A,FE$19,Lançamentos!$C:$C,"Aporte de Sócios")</f>
        <v>0</v>
      </c>
      <c r="FF31" s="37">
        <f>SUMIFS(Lançamentos!$F:$F,Lançamentos!$A:$A,FF$19,Lançamentos!$C:$C,"Aporte de Sócios")</f>
        <v>0</v>
      </c>
      <c r="FG31" s="37">
        <f>SUMIFS(Lançamentos!$F:$F,Lançamentos!$A:$A,FG$19,Lançamentos!$C:$C,"Aporte de Sócios")</f>
        <v>0</v>
      </c>
      <c r="FH31" s="37">
        <f>SUMIFS(Lançamentos!$F:$F,Lançamentos!$A:$A,FH$19,Lançamentos!$C:$C,"Aporte de Sócios")</f>
        <v>0</v>
      </c>
      <c r="FI31" s="37">
        <f>SUMIFS(Lançamentos!$F:$F,Lançamentos!$A:$A,FI$19,Lançamentos!$C:$C,"Aporte de Sócios")</f>
        <v>0</v>
      </c>
      <c r="FJ31" s="37">
        <f>SUMIFS(Lançamentos!$F:$F,Lançamentos!$A:$A,FJ$19,Lançamentos!$C:$C,"Aporte de Sócios")</f>
        <v>0</v>
      </c>
      <c r="FK31" s="37">
        <f>SUMIFS(Lançamentos!$F:$F,Lançamentos!$A:$A,FK$19,Lançamentos!$C:$C,"Aporte de Sócios")</f>
        <v>0</v>
      </c>
      <c r="FL31" s="37">
        <f>SUMIFS(Lançamentos!$F:$F,Lançamentos!$A:$A,FL$19,Lançamentos!$C:$C,"Aporte de Sócios")</f>
        <v>0</v>
      </c>
      <c r="FM31" s="37">
        <f>SUMIFS(Lançamentos!$F:$F,Lançamentos!$A:$A,FM$19,Lançamentos!$C:$C,"Aporte de Sócios")</f>
        <v>0</v>
      </c>
      <c r="FN31" s="37">
        <f>SUMIFS(Lançamentos!$F:$F,Lançamentos!$A:$A,FN$19,Lançamentos!$C:$C,"Aporte de Sócios")</f>
        <v>0</v>
      </c>
      <c r="FO31" s="37">
        <f>SUMIFS(Lançamentos!$F:$F,Lançamentos!$A:$A,FO$19,Lançamentos!$C:$C,"Aporte de Sócios")</f>
        <v>0</v>
      </c>
      <c r="FP31" s="37">
        <f>SUMIFS(Lançamentos!$F:$F,Lançamentos!$A:$A,FP$19,Lançamentos!$C:$C,"Aporte de Sócios")</f>
        <v>0</v>
      </c>
      <c r="FQ31" s="37">
        <f>SUMIFS(Lançamentos!$F:$F,Lançamentos!$A:$A,FQ$19,Lançamentos!$C:$C,"Aporte de Sócios")</f>
        <v>0</v>
      </c>
      <c r="FR31" s="37">
        <f>SUMIFS(Lançamentos!$F:$F,Lançamentos!$A:$A,FR$19,Lançamentos!$C:$C,"Aporte de Sócios")</f>
        <v>0</v>
      </c>
      <c r="FS31" s="37">
        <f>SUMIFS(Lançamentos!$F:$F,Lançamentos!$A:$A,FS$19,Lançamentos!$C:$C,"Aporte de Sócios")</f>
        <v>0</v>
      </c>
      <c r="FT31" s="37">
        <f>SUMIFS(Lançamentos!$F:$F,Lançamentos!$A:$A,FT$19,Lançamentos!$C:$C,"Aporte de Sócios")</f>
        <v>0</v>
      </c>
      <c r="FU31" s="37">
        <f>SUMIFS(Lançamentos!$F:$F,Lançamentos!$A:$A,FU$19,Lançamentos!$C:$C,"Aporte de Sócios")</f>
        <v>0</v>
      </c>
      <c r="FV31" s="37">
        <f>SUMIFS(Lançamentos!$F:$F,Lançamentos!$A:$A,FV$19,Lançamentos!$C:$C,"Aporte de Sócios")</f>
        <v>0</v>
      </c>
      <c r="FW31" s="37">
        <f>SUMIFS(Lançamentos!$F:$F,Lançamentos!$A:$A,FW$19,Lançamentos!$C:$C,"Aporte de Sócios")</f>
        <v>0</v>
      </c>
      <c r="FX31" s="37">
        <f>SUMIFS(Lançamentos!$F:$F,Lançamentos!$A:$A,FX$19,Lançamentos!$C:$C,"Aporte de Sócios")</f>
        <v>0</v>
      </c>
      <c r="FY31" s="37">
        <f>SUMIFS(Lançamentos!$F:$F,Lançamentos!$A:$A,FY$19,Lançamentos!$C:$C,"Aporte de Sócios")</f>
        <v>0</v>
      </c>
      <c r="FZ31" s="37">
        <f>SUMIFS(Lançamentos!$F:$F,Lançamentos!$A:$A,FZ$19,Lançamentos!$C:$C,"Aporte de Sócios")</f>
        <v>0</v>
      </c>
      <c r="GA31" s="37">
        <f>SUMIFS(Lançamentos!$F:$F,Lançamentos!$A:$A,GA$19,Lançamentos!$C:$C,"Aporte de Sócios")</f>
        <v>0</v>
      </c>
      <c r="GB31" s="37">
        <f>SUMIFS(Lançamentos!$F:$F,Lançamentos!$A:$A,GB$19,Lançamentos!$C:$C,"Aporte de Sócios")</f>
        <v>0</v>
      </c>
      <c r="GC31" s="37">
        <f>SUMIFS(Lançamentos!$F:$F,Lançamentos!$A:$A,GC$19,Lançamentos!$C:$C,"Aporte de Sócios")</f>
        <v>0</v>
      </c>
      <c r="GD31" s="37">
        <f>SUMIFS(Lançamentos!$F:$F,Lançamentos!$A:$A,GD$19,Lançamentos!$C:$C,"Aporte de Sócios")</f>
        <v>0</v>
      </c>
      <c r="GE31" s="37">
        <f>SUMIFS(Lançamentos!$F:$F,Lançamentos!$A:$A,GE$19,Lançamentos!$C:$C,"Aporte de Sócios")</f>
        <v>0</v>
      </c>
      <c r="GF31" s="37">
        <f>SUMIFS(Lançamentos!$F:$F,Lançamentos!$A:$A,GF$19,Lançamentos!$C:$C,"Aporte de Sócios")</f>
        <v>0</v>
      </c>
      <c r="GG31" s="37">
        <f>SUMIFS(Lançamentos!$F:$F,Lançamentos!$A:$A,GG$19,Lançamentos!$C:$C,"Aporte de Sócios")</f>
        <v>0</v>
      </c>
      <c r="GH31" s="37">
        <f>SUMIFS(Lançamentos!$F:$F,Lançamentos!$A:$A,GH$19,Lançamentos!$C:$C,"Aporte de Sócios")</f>
        <v>0</v>
      </c>
      <c r="GI31" s="37">
        <f>SUMIFS(Lançamentos!$F:$F,Lançamentos!$A:$A,GI$19,Lançamentos!$C:$C,"Aporte de Sócios")</f>
        <v>0</v>
      </c>
      <c r="GJ31" s="37">
        <f>SUMIFS(Lançamentos!$F:$F,Lançamentos!$A:$A,GJ$19,Lançamentos!$C:$C,"Aporte de Sócios")</f>
        <v>0</v>
      </c>
      <c r="GK31" s="37">
        <f>SUMIFS(Lançamentos!$F:$F,Lançamentos!$A:$A,GK$19,Lançamentos!$C:$C,"Aporte de Sócios")</f>
        <v>0</v>
      </c>
      <c r="GL31" s="37">
        <f>SUMIFS(Lançamentos!$F:$F,Lançamentos!$A:$A,GL$19,Lançamentos!$C:$C,"Aporte de Sócios")</f>
        <v>0</v>
      </c>
      <c r="GM31" s="37">
        <f>SUMIFS(Lançamentos!$F:$F,Lançamentos!$A:$A,GM$19,Lançamentos!$C:$C,"Aporte de Sócios")</f>
        <v>0</v>
      </c>
      <c r="GN31" s="37">
        <f>SUMIFS(Lançamentos!$F:$F,Lançamentos!$A:$A,GN$19,Lançamentos!$C:$C,"Aporte de Sócios")</f>
        <v>0</v>
      </c>
      <c r="GO31" s="37">
        <f>SUMIFS(Lançamentos!$F:$F,Lançamentos!$A:$A,GO$19,Lançamentos!$C:$C,"Aporte de Sócios")</f>
        <v>0</v>
      </c>
      <c r="GP31" s="37">
        <f>SUMIFS(Lançamentos!$F:$F,Lançamentos!$A:$A,GP$19,Lançamentos!$C:$C,"Aporte de Sócios")</f>
        <v>0</v>
      </c>
      <c r="GQ31" s="37">
        <f>SUMIFS(Lançamentos!$F:$F,Lançamentos!$A:$A,GQ$19,Lançamentos!$C:$C,"Aporte de Sócios")</f>
        <v>0</v>
      </c>
      <c r="GR31" s="37">
        <f>SUMIFS(Lançamentos!$F:$F,Lançamentos!$A:$A,GR$19,Lançamentos!$C:$C,"Aporte de Sócios")</f>
        <v>0</v>
      </c>
      <c r="GS31" s="37">
        <f>SUMIFS(Lançamentos!$F:$F,Lançamentos!$A:$A,GS$19,Lançamentos!$C:$C,"Aporte de Sócios")</f>
        <v>0</v>
      </c>
      <c r="GT31" s="37">
        <f>SUMIFS(Lançamentos!$F:$F,Lançamentos!$A:$A,GT$19,Lançamentos!$C:$C,"Aporte de Sócios")</f>
        <v>0</v>
      </c>
      <c r="GU31" s="37">
        <f>SUMIFS(Lançamentos!$F:$F,Lançamentos!$A:$A,GU$19,Lançamentos!$C:$C,"Aporte de Sócios")</f>
        <v>0</v>
      </c>
      <c r="GV31" s="37">
        <f>SUMIFS(Lançamentos!$F:$F,Lançamentos!$A:$A,GV$19,Lançamentos!$C:$C,"Aporte de Sócios")</f>
        <v>0</v>
      </c>
      <c r="GW31" s="37">
        <f>SUMIFS(Lançamentos!$F:$F,Lançamentos!$A:$A,GW$19,Lançamentos!$C:$C,"Aporte de Sócios")</f>
        <v>0</v>
      </c>
      <c r="GX31" s="37">
        <f>SUMIFS(Lançamentos!$F:$F,Lançamentos!$A:$A,GX$19,Lançamentos!$C:$C,"Aporte de Sócios")</f>
        <v>0</v>
      </c>
      <c r="GY31" s="37">
        <f>SUMIFS(Lançamentos!$F:$F,Lançamentos!$A:$A,GY$19,Lançamentos!$C:$C,"Aporte de Sócios")</f>
        <v>0</v>
      </c>
      <c r="GZ31" s="37">
        <f>SUMIFS(Lançamentos!$F:$F,Lançamentos!$A:$A,GZ$19,Lançamentos!$C:$C,"Aporte de Sócios")</f>
        <v>0</v>
      </c>
      <c r="HA31" s="37">
        <f>SUMIFS(Lançamentos!$F:$F,Lançamentos!$A:$A,HA$19,Lançamentos!$C:$C,"Aporte de Sócios")</f>
        <v>0</v>
      </c>
      <c r="HB31" s="37">
        <f>SUMIFS(Lançamentos!$F:$F,Lançamentos!$A:$A,HB$19,Lançamentos!$C:$C,"Aporte de Sócios")</f>
        <v>0</v>
      </c>
      <c r="HC31" s="37">
        <f>SUMIFS(Lançamentos!$F:$F,Lançamentos!$A:$A,HC$19,Lançamentos!$C:$C,"Aporte de Sócios")</f>
        <v>0</v>
      </c>
      <c r="HD31" s="37">
        <f>SUMIFS(Lançamentos!$F:$F,Lançamentos!$A:$A,HD$19,Lançamentos!$C:$C,"Aporte de Sócios")</f>
        <v>0</v>
      </c>
      <c r="HE31" s="37">
        <f>SUMIFS(Lançamentos!$F:$F,Lançamentos!$A:$A,HE$19,Lançamentos!$C:$C,"Aporte de Sócios")</f>
        <v>0</v>
      </c>
      <c r="HF31" s="37">
        <f>SUMIFS(Lançamentos!$F:$F,Lançamentos!$A:$A,HF$19,Lançamentos!$C:$C,"Aporte de Sócios")</f>
        <v>0</v>
      </c>
      <c r="HG31" s="37">
        <f>SUMIFS(Lançamentos!$F:$F,Lançamentos!$A:$A,HG$19,Lançamentos!$C:$C,"Aporte de Sócios")</f>
        <v>0</v>
      </c>
      <c r="HH31" s="37">
        <f>SUMIFS(Lançamentos!$F:$F,Lançamentos!$A:$A,HH$19,Lançamentos!$C:$C,"Aporte de Sócios")</f>
        <v>0</v>
      </c>
      <c r="HI31" s="37">
        <f>SUMIFS(Lançamentos!$F:$F,Lançamentos!$A:$A,HI$19,Lançamentos!$C:$C,"Aporte de Sócios")</f>
        <v>0</v>
      </c>
      <c r="HJ31" s="37">
        <f>SUMIFS(Lançamentos!$F:$F,Lançamentos!$A:$A,HJ$19,Lançamentos!$C:$C,"Aporte de Sócios")</f>
        <v>0</v>
      </c>
      <c r="HK31" s="37">
        <f>SUMIFS(Lançamentos!$F:$F,Lançamentos!$A:$A,HK$19,Lançamentos!$C:$C,"Aporte de Sócios")</f>
        <v>0</v>
      </c>
      <c r="HL31" s="37">
        <f>SUMIFS(Lançamentos!$F:$F,Lançamentos!$A:$A,HL$19,Lançamentos!$C:$C,"Aporte de Sócios")</f>
        <v>0</v>
      </c>
      <c r="HM31" s="37">
        <f>SUMIFS(Lançamentos!$F:$F,Lançamentos!$A:$A,HM$19,Lançamentos!$C:$C,"Aporte de Sócios")</f>
        <v>0</v>
      </c>
      <c r="HN31" s="37">
        <f>SUMIFS(Lançamentos!$F:$F,Lançamentos!$A:$A,HN$19,Lançamentos!$C:$C,"Aporte de Sócios")</f>
        <v>0</v>
      </c>
      <c r="HO31" s="37">
        <f>SUMIFS(Lançamentos!$F:$F,Lançamentos!$A:$A,HO$19,Lançamentos!$C:$C,"Aporte de Sócios")</f>
        <v>0</v>
      </c>
      <c r="HP31" s="37">
        <f>SUMIFS(Lançamentos!$F:$F,Lançamentos!$A:$A,HP$19,Lançamentos!$C:$C,"Aporte de Sócios")</f>
        <v>0</v>
      </c>
      <c r="HQ31" s="37">
        <f>SUMIFS(Lançamentos!$F:$F,Lançamentos!$A:$A,HQ$19,Lançamentos!$C:$C,"Aporte de Sócios")</f>
        <v>0</v>
      </c>
      <c r="HR31" s="37">
        <f>SUMIFS(Lançamentos!$F:$F,Lançamentos!$A:$A,HR$19,Lançamentos!$C:$C,"Aporte de Sócios")</f>
        <v>0</v>
      </c>
      <c r="HS31" s="37">
        <f>SUMIFS(Lançamentos!$F:$F,Lançamentos!$A:$A,HS$19,Lançamentos!$C:$C,"Aporte de Sócios")</f>
        <v>0</v>
      </c>
      <c r="HT31" s="37">
        <f>SUMIFS(Lançamentos!$F:$F,Lançamentos!$A:$A,HT$19,Lançamentos!$C:$C,"Aporte de Sócios")</f>
        <v>0</v>
      </c>
      <c r="HU31" s="37">
        <f>SUMIFS(Lançamentos!$F:$F,Lançamentos!$A:$A,HU$19,Lançamentos!$C:$C,"Aporte de Sócios")</f>
        <v>0</v>
      </c>
      <c r="HV31" s="37">
        <f>SUMIFS(Lançamentos!$F:$F,Lançamentos!$A:$A,HV$19,Lançamentos!$C:$C,"Aporte de Sócios")</f>
        <v>0</v>
      </c>
      <c r="HW31" s="37">
        <f>SUMIFS(Lançamentos!$F:$F,Lançamentos!$A:$A,HW$19,Lançamentos!$C:$C,"Aporte de Sócios")</f>
        <v>0</v>
      </c>
      <c r="HX31" s="37">
        <f>SUMIFS(Lançamentos!$F:$F,Lançamentos!$A:$A,HX$19,Lançamentos!$C:$C,"Aporte de Sócios")</f>
        <v>0</v>
      </c>
      <c r="HY31" s="37">
        <f>SUMIFS(Lançamentos!$F:$F,Lançamentos!$A:$A,HY$19,Lançamentos!$C:$C,"Aporte de Sócios")</f>
        <v>0</v>
      </c>
      <c r="HZ31" s="37">
        <f>SUMIFS(Lançamentos!$F:$F,Lançamentos!$A:$A,HZ$19,Lançamentos!$C:$C,"Aporte de Sócios")</f>
        <v>0</v>
      </c>
      <c r="IA31" s="37">
        <f>SUMIFS(Lançamentos!$F:$F,Lançamentos!$A:$A,IA$19,Lançamentos!$C:$C,"Aporte de Sócios")</f>
        <v>0</v>
      </c>
      <c r="IB31" s="37">
        <f>SUMIFS(Lançamentos!$F:$F,Lançamentos!$A:$A,IB$19,Lançamentos!$C:$C,"Aporte de Sócios")</f>
        <v>0</v>
      </c>
      <c r="IC31" s="37">
        <f>SUMIFS(Lançamentos!$F:$F,Lançamentos!$A:$A,IC$19,Lançamentos!$C:$C,"Aporte de Sócios")</f>
        <v>0</v>
      </c>
      <c r="ID31" s="37">
        <f>SUMIFS(Lançamentos!$F:$F,Lançamentos!$A:$A,ID$19,Lançamentos!$C:$C,"Aporte de Sócios")</f>
        <v>0</v>
      </c>
      <c r="IE31" s="37">
        <f>SUMIFS(Lançamentos!$F:$F,Lançamentos!$A:$A,IE$19,Lançamentos!$C:$C,"Aporte de Sócios")</f>
        <v>0</v>
      </c>
      <c r="IF31" s="37">
        <f>SUMIFS(Lançamentos!$F:$F,Lançamentos!$A:$A,IF$19,Lançamentos!$C:$C,"Aporte de Sócios")</f>
        <v>0</v>
      </c>
      <c r="IG31" s="37">
        <f>SUMIFS(Lançamentos!$F:$F,Lançamentos!$A:$A,IG$19,Lançamentos!$C:$C,"Aporte de Sócios")</f>
        <v>0</v>
      </c>
      <c r="IH31" s="37">
        <f>SUMIFS(Lançamentos!$F:$F,Lançamentos!$A:$A,IH$19,Lançamentos!$C:$C,"Aporte de Sócios")</f>
        <v>0</v>
      </c>
      <c r="II31" s="37">
        <f>SUMIFS(Lançamentos!$F:$F,Lançamentos!$A:$A,II$19,Lançamentos!$C:$C,"Aporte de Sócios")</f>
        <v>0</v>
      </c>
      <c r="IJ31" s="37">
        <f>SUMIFS(Lançamentos!$F:$F,Lançamentos!$A:$A,IJ$19,Lançamentos!$C:$C,"Aporte de Sócios")</f>
        <v>0</v>
      </c>
      <c r="IK31" s="37">
        <f>SUMIFS(Lançamentos!$F:$F,Lançamentos!$A:$A,IK$19,Lançamentos!$C:$C,"Aporte de Sócios")</f>
        <v>0</v>
      </c>
      <c r="IL31" s="37">
        <f>SUMIFS(Lançamentos!$F:$F,Lançamentos!$A:$A,IL$19,Lançamentos!$C:$C,"Aporte de Sócios")</f>
        <v>0</v>
      </c>
    </row>
    <row r="32" spans="1:246" x14ac:dyDescent="0.3">
      <c r="A32" t="s">
        <v>87</v>
      </c>
      <c r="B32" s="37">
        <f>SUMIFS(Lançamentos!$F:$F,Lançamentos!$A:$A,B$19,Lançamentos!$C:$C,"Empréstimo Recebido")</f>
        <v>0</v>
      </c>
      <c r="C32" s="37">
        <f>SUMIFS(Lançamentos!$F:$F,Lançamentos!$A:$A,C$19,Lançamentos!$C:$C,"Empréstimo Recebido")</f>
        <v>0</v>
      </c>
      <c r="D32" s="37">
        <f>SUMIFS(Lançamentos!$F:$F,Lançamentos!$A:$A,D$19,Lançamentos!$C:$C,"Empréstimo Recebido")</f>
        <v>0</v>
      </c>
      <c r="E32" s="37">
        <f>SUMIFS(Lançamentos!$F:$F,Lançamentos!$A:$A,E$19,Lançamentos!$C:$C,"Empréstimo Recebido")</f>
        <v>0</v>
      </c>
      <c r="F32" s="37">
        <f>SUMIFS(Lançamentos!$F:$F,Lançamentos!$A:$A,F$19,Lançamentos!$C:$C,"Empréstimo Recebido")</f>
        <v>0</v>
      </c>
      <c r="G32" s="37">
        <f>SUMIFS(Lançamentos!$F:$F,Lançamentos!$A:$A,G$19,Lançamentos!$C:$C,"Empréstimo Recebido")</f>
        <v>0</v>
      </c>
      <c r="H32" s="37">
        <f>SUMIFS(Lançamentos!$F:$F,Lançamentos!$A:$A,H$19,Lançamentos!$C:$C,"Empréstimo Recebido")</f>
        <v>0</v>
      </c>
      <c r="I32" s="37">
        <f>SUMIFS(Lançamentos!$F:$F,Lançamentos!$A:$A,I$19,Lançamentos!$C:$C,"Empréstimo Recebido")</f>
        <v>0</v>
      </c>
      <c r="J32" s="37">
        <f>SUMIFS(Lançamentos!$F:$F,Lançamentos!$A:$A,J$19,Lançamentos!$C:$C,"Empréstimo Recebido")</f>
        <v>0</v>
      </c>
      <c r="K32" s="37">
        <f>SUMIFS(Lançamentos!$F:$F,Lançamentos!$A:$A,K$19,Lançamentos!$C:$C,"Empréstimo Recebido")</f>
        <v>0</v>
      </c>
      <c r="L32" s="37">
        <f>SUMIFS(Lançamentos!$F:$F,Lançamentos!$A:$A,L$19,Lançamentos!$C:$C,"Empréstimo Recebido")</f>
        <v>0</v>
      </c>
      <c r="M32" s="37">
        <f>SUMIFS(Lançamentos!$F:$F,Lançamentos!$A:$A,M$19,Lançamentos!$C:$C,"Empréstimo Recebido")</f>
        <v>0</v>
      </c>
      <c r="N32" s="37">
        <f>SUMIFS(Lançamentos!$F:$F,Lançamentos!$A:$A,N$19,Lançamentos!$C:$C,"Empréstimo Recebido")</f>
        <v>0</v>
      </c>
      <c r="O32" s="37">
        <f>SUMIFS(Lançamentos!$F:$F,Lançamentos!$A:$A,O$19,Lançamentos!$C:$C,"Empréstimo Recebido")</f>
        <v>0</v>
      </c>
      <c r="P32" s="37">
        <f>SUMIFS(Lançamentos!$F:$F,Lançamentos!$A:$A,P$19,Lançamentos!$C:$C,"Empréstimo Recebido")</f>
        <v>0</v>
      </c>
      <c r="Q32" s="37">
        <f>SUMIFS(Lançamentos!$F:$F,Lançamentos!$A:$A,Q$19,Lançamentos!$C:$C,"Empréstimo Recebido")</f>
        <v>0</v>
      </c>
      <c r="R32" s="37">
        <f>SUMIFS(Lançamentos!$F:$F,Lançamentos!$A:$A,R$19,Lançamentos!$C:$C,"Empréstimo Recebido")</f>
        <v>0</v>
      </c>
      <c r="S32" s="37">
        <f>SUMIFS(Lançamentos!$F:$F,Lançamentos!$A:$A,S$19,Lançamentos!$C:$C,"Empréstimo Recebido")</f>
        <v>0</v>
      </c>
      <c r="T32" s="37">
        <f>SUMIFS(Lançamentos!$F:$F,Lançamentos!$A:$A,T$19,Lançamentos!$C:$C,"Empréstimo Recebido")</f>
        <v>0</v>
      </c>
      <c r="U32" s="37">
        <f>SUMIFS(Lançamentos!$F:$F,Lançamentos!$A:$A,U$19,Lançamentos!$C:$C,"Empréstimo Recebido")</f>
        <v>0</v>
      </c>
      <c r="V32" s="37">
        <f>SUMIFS(Lançamentos!$F:$F,Lançamentos!$A:$A,V$19,Lançamentos!$C:$C,"Empréstimo Recebido")</f>
        <v>0</v>
      </c>
      <c r="W32" s="37">
        <f>SUMIFS(Lançamentos!$F:$F,Lançamentos!$A:$A,W$19,Lançamentos!$C:$C,"Empréstimo Recebido")</f>
        <v>0</v>
      </c>
      <c r="X32" s="37">
        <f>SUMIFS(Lançamentos!$F:$F,Lançamentos!$A:$A,X$19,Lançamentos!$C:$C,"Empréstimo Recebido")</f>
        <v>0</v>
      </c>
      <c r="Y32" s="37">
        <f>SUMIFS(Lançamentos!$F:$F,Lançamentos!$A:$A,Y$19,Lançamentos!$C:$C,"Empréstimo Recebido")</f>
        <v>0</v>
      </c>
      <c r="Z32" s="37">
        <f>SUMIFS(Lançamentos!$F:$F,Lançamentos!$A:$A,Z$19,Lançamentos!$C:$C,"Empréstimo Recebido")</f>
        <v>0</v>
      </c>
      <c r="AA32" s="37">
        <f>SUMIFS(Lançamentos!$F:$F,Lançamentos!$A:$A,AA$19,Lançamentos!$C:$C,"Empréstimo Recebido")</f>
        <v>0</v>
      </c>
      <c r="AB32" s="37">
        <f>SUMIFS(Lançamentos!$F:$F,Lançamentos!$A:$A,AB$19,Lançamentos!$C:$C,"Empréstimo Recebido")</f>
        <v>0</v>
      </c>
      <c r="AC32" s="37">
        <f>SUMIFS(Lançamentos!$F:$F,Lançamentos!$A:$A,AC$19,Lançamentos!$C:$C,"Empréstimo Recebido")</f>
        <v>0</v>
      </c>
      <c r="AD32" s="37">
        <f>SUMIFS(Lançamentos!$F:$F,Lançamentos!$A:$A,AD$19,Lançamentos!$C:$C,"Empréstimo Recebido")</f>
        <v>0</v>
      </c>
      <c r="AE32" s="37">
        <f>SUMIFS(Lançamentos!$F:$F,Lançamentos!$A:$A,AE$19,Lançamentos!$C:$C,"Empréstimo Recebido")</f>
        <v>0</v>
      </c>
      <c r="AF32" s="37">
        <f>SUMIFS(Lançamentos!$F:$F,Lançamentos!$A:$A,AF$19,Lançamentos!$C:$C,"Empréstimo Recebido")</f>
        <v>0</v>
      </c>
      <c r="AG32" s="37">
        <f>SUMIFS(Lançamentos!$F:$F,Lançamentos!$A:$A,AG$19,Lançamentos!$C:$C,"Empréstimo Recebido")</f>
        <v>0</v>
      </c>
      <c r="AH32" s="37">
        <f>SUMIFS(Lançamentos!$F:$F,Lançamentos!$A:$A,AH$19,Lançamentos!$C:$C,"Empréstimo Recebido")</f>
        <v>0</v>
      </c>
      <c r="AI32" s="37">
        <f>SUMIFS(Lançamentos!$F:$F,Lançamentos!$A:$A,AI$19,Lançamentos!$C:$C,"Empréstimo Recebido")</f>
        <v>0</v>
      </c>
      <c r="AJ32" s="37">
        <f>SUMIFS(Lançamentos!$F:$F,Lançamentos!$A:$A,AJ$19,Lançamentos!$C:$C,"Empréstimo Recebido")</f>
        <v>0</v>
      </c>
      <c r="AK32" s="37">
        <f>SUMIFS(Lançamentos!$F:$F,Lançamentos!$A:$A,AK$19,Lançamentos!$C:$C,"Empréstimo Recebido")</f>
        <v>0</v>
      </c>
      <c r="AL32" s="37">
        <f>SUMIFS(Lançamentos!$F:$F,Lançamentos!$A:$A,AL$19,Lançamentos!$C:$C,"Empréstimo Recebido")</f>
        <v>0</v>
      </c>
      <c r="AM32" s="37">
        <f>SUMIFS(Lançamentos!$F:$F,Lançamentos!$A:$A,AM$19,Lançamentos!$C:$C,"Empréstimo Recebido")</f>
        <v>0</v>
      </c>
      <c r="AN32" s="37">
        <f>SUMIFS(Lançamentos!$F:$F,Lançamentos!$A:$A,AN$19,Lançamentos!$C:$C,"Empréstimo Recebido")</f>
        <v>0</v>
      </c>
      <c r="AO32" s="37">
        <f>SUMIFS(Lançamentos!$F:$F,Lançamentos!$A:$A,AO$19,Lançamentos!$C:$C,"Empréstimo Recebido")</f>
        <v>0</v>
      </c>
      <c r="AP32" s="37">
        <f>SUMIFS(Lançamentos!$F:$F,Lançamentos!$A:$A,AP$19,Lançamentos!$C:$C,"Empréstimo Recebido")</f>
        <v>0</v>
      </c>
      <c r="AQ32" s="37">
        <f>SUMIFS(Lançamentos!$F:$F,Lançamentos!$A:$A,AQ$19,Lançamentos!$C:$C,"Empréstimo Recebido")</f>
        <v>0</v>
      </c>
      <c r="AR32" s="37">
        <f>SUMIFS(Lançamentos!$F:$F,Lançamentos!$A:$A,AR$19,Lançamentos!$C:$C,"Empréstimo Recebido")</f>
        <v>0</v>
      </c>
      <c r="AS32" s="37">
        <f>SUMIFS(Lançamentos!$F:$F,Lançamentos!$A:$A,AS$19,Lançamentos!$C:$C,"Empréstimo Recebido")</f>
        <v>0</v>
      </c>
      <c r="AT32" s="37">
        <f>SUMIFS(Lançamentos!$F:$F,Lançamentos!$A:$A,AT$19,Lançamentos!$C:$C,"Empréstimo Recebido")</f>
        <v>0</v>
      </c>
      <c r="AU32" s="37">
        <f>SUMIFS(Lançamentos!$F:$F,Lançamentos!$A:$A,AU$19,Lançamentos!$C:$C,"Empréstimo Recebido")</f>
        <v>0</v>
      </c>
      <c r="AV32" s="37">
        <f>SUMIFS(Lançamentos!$F:$F,Lançamentos!$A:$A,AV$19,Lançamentos!$C:$C,"Empréstimo Recebido")</f>
        <v>0</v>
      </c>
      <c r="AW32" s="37">
        <f>SUMIFS(Lançamentos!$F:$F,Lançamentos!$A:$A,AW$19,Lançamentos!$C:$C,"Empréstimo Recebido")</f>
        <v>0</v>
      </c>
      <c r="AX32" s="37">
        <f>SUMIFS(Lançamentos!$F:$F,Lançamentos!$A:$A,AX$19,Lançamentos!$C:$C,"Empréstimo Recebido")</f>
        <v>0</v>
      </c>
      <c r="AY32" s="37">
        <f>SUMIFS(Lançamentos!$F:$F,Lançamentos!$A:$A,AY$19,Lançamentos!$C:$C,"Empréstimo Recebido")</f>
        <v>0</v>
      </c>
      <c r="AZ32" s="37">
        <f>SUMIFS(Lançamentos!$F:$F,Lançamentos!$A:$A,AZ$19,Lançamentos!$C:$C,"Empréstimo Recebido")</f>
        <v>0</v>
      </c>
      <c r="BA32" s="37">
        <f>SUMIFS(Lançamentos!$F:$F,Lançamentos!$A:$A,BA$19,Lançamentos!$C:$C,"Empréstimo Recebido")</f>
        <v>0</v>
      </c>
      <c r="BB32" s="37">
        <f>SUMIFS(Lançamentos!$F:$F,Lançamentos!$A:$A,BB$19,Lançamentos!$C:$C,"Empréstimo Recebido")</f>
        <v>0</v>
      </c>
      <c r="BC32" s="37">
        <f>SUMIFS(Lançamentos!$F:$F,Lançamentos!$A:$A,BC$19,Lançamentos!$C:$C,"Empréstimo Recebido")</f>
        <v>0</v>
      </c>
      <c r="BD32" s="37">
        <f>SUMIFS(Lançamentos!$F:$F,Lançamentos!$A:$A,BD$19,Lançamentos!$C:$C,"Empréstimo Recebido")</f>
        <v>0</v>
      </c>
      <c r="BE32" s="37">
        <f>SUMIFS(Lançamentos!$F:$F,Lançamentos!$A:$A,BE$19,Lançamentos!$C:$C,"Empréstimo Recebido")</f>
        <v>0</v>
      </c>
      <c r="BF32" s="37">
        <f>SUMIFS(Lançamentos!$F:$F,Lançamentos!$A:$A,BF$19,Lançamentos!$C:$C,"Empréstimo Recebido")</f>
        <v>0</v>
      </c>
      <c r="BG32" s="37">
        <f>SUMIFS(Lançamentos!$F:$F,Lançamentos!$A:$A,BG$19,Lançamentos!$C:$C,"Empréstimo Recebido")</f>
        <v>0</v>
      </c>
      <c r="BH32" s="37">
        <f>SUMIFS(Lançamentos!$F:$F,Lançamentos!$A:$A,BH$19,Lançamentos!$C:$C,"Empréstimo Recebido")</f>
        <v>0</v>
      </c>
      <c r="BI32" s="37">
        <f>SUMIFS(Lançamentos!$F:$F,Lançamentos!$A:$A,BI$19,Lançamentos!$C:$C,"Empréstimo Recebido")</f>
        <v>0</v>
      </c>
      <c r="BJ32" s="37">
        <f>SUMIFS(Lançamentos!$F:$F,Lançamentos!$A:$A,BJ$19,Lançamentos!$C:$C,"Empréstimo Recebido")</f>
        <v>0</v>
      </c>
      <c r="BK32" s="37">
        <f>SUMIFS(Lançamentos!$F:$F,Lançamentos!$A:$A,BK$19,Lançamentos!$C:$C,"Empréstimo Recebido")</f>
        <v>0</v>
      </c>
      <c r="BL32" s="37">
        <f>SUMIFS(Lançamentos!$F:$F,Lançamentos!$A:$A,BL$19,Lançamentos!$C:$C,"Empréstimo Recebido")</f>
        <v>0</v>
      </c>
      <c r="BM32" s="37">
        <f>SUMIFS(Lançamentos!$F:$F,Lançamentos!$A:$A,BM$19,Lançamentos!$C:$C,"Empréstimo Recebido")</f>
        <v>0</v>
      </c>
      <c r="BN32" s="37">
        <f>SUMIFS(Lançamentos!$F:$F,Lançamentos!$A:$A,BN$19,Lançamentos!$C:$C,"Empréstimo Recebido")</f>
        <v>0</v>
      </c>
      <c r="BO32" s="37">
        <f>SUMIFS(Lançamentos!$F:$F,Lançamentos!$A:$A,BO$19,Lançamentos!$C:$C,"Empréstimo Recebido")</f>
        <v>0</v>
      </c>
      <c r="BP32" s="37">
        <f>SUMIFS(Lançamentos!$F:$F,Lançamentos!$A:$A,BP$19,Lançamentos!$C:$C,"Empréstimo Recebido")</f>
        <v>0</v>
      </c>
      <c r="BQ32" s="37">
        <f>SUMIFS(Lançamentos!$F:$F,Lançamentos!$A:$A,BQ$19,Lançamentos!$C:$C,"Empréstimo Recebido")</f>
        <v>0</v>
      </c>
      <c r="BR32" s="37">
        <f>SUMIFS(Lançamentos!$F:$F,Lançamentos!$A:$A,BR$19,Lançamentos!$C:$C,"Empréstimo Recebido")</f>
        <v>0</v>
      </c>
      <c r="BS32" s="37">
        <f>SUMIFS(Lançamentos!$F:$F,Lançamentos!$A:$A,BS$19,Lançamentos!$C:$C,"Empréstimo Recebido")</f>
        <v>0</v>
      </c>
      <c r="BT32" s="37">
        <f>SUMIFS(Lançamentos!$F:$F,Lançamentos!$A:$A,BT$19,Lançamentos!$C:$C,"Empréstimo Recebido")</f>
        <v>0</v>
      </c>
      <c r="BU32" s="37">
        <f>SUMIFS(Lançamentos!$F:$F,Lançamentos!$A:$A,BU$19,Lançamentos!$C:$C,"Empréstimo Recebido")</f>
        <v>0</v>
      </c>
      <c r="BV32" s="37">
        <f>SUMIFS(Lançamentos!$F:$F,Lançamentos!$A:$A,BV$19,Lançamentos!$C:$C,"Empréstimo Recebido")</f>
        <v>0</v>
      </c>
      <c r="BW32" s="37">
        <f>SUMIFS(Lançamentos!$F:$F,Lançamentos!$A:$A,BW$19,Lançamentos!$C:$C,"Empréstimo Recebido")</f>
        <v>0</v>
      </c>
      <c r="BX32" s="37">
        <f>SUMIFS(Lançamentos!$F:$F,Lançamentos!$A:$A,BX$19,Lançamentos!$C:$C,"Empréstimo Recebido")</f>
        <v>0</v>
      </c>
      <c r="BY32" s="37">
        <f>SUMIFS(Lançamentos!$F:$F,Lançamentos!$A:$A,BY$19,Lançamentos!$C:$C,"Empréstimo Recebido")</f>
        <v>0</v>
      </c>
      <c r="BZ32" s="37">
        <f>SUMIFS(Lançamentos!$F:$F,Lançamentos!$A:$A,BZ$19,Lançamentos!$C:$C,"Empréstimo Recebido")</f>
        <v>0</v>
      </c>
      <c r="CA32" s="37">
        <f>SUMIFS(Lançamentos!$F:$F,Lançamentos!$A:$A,CA$19,Lançamentos!$C:$C,"Empréstimo Recebido")</f>
        <v>0</v>
      </c>
      <c r="CB32" s="37">
        <f>SUMIFS(Lançamentos!$F:$F,Lançamentos!$A:$A,CB$19,Lançamentos!$C:$C,"Empréstimo Recebido")</f>
        <v>0</v>
      </c>
      <c r="CC32" s="37">
        <f>SUMIFS(Lançamentos!$F:$F,Lançamentos!$A:$A,CC$19,Lançamentos!$C:$C,"Empréstimo Recebido")</f>
        <v>0</v>
      </c>
      <c r="CD32" s="37">
        <f>SUMIFS(Lançamentos!$F:$F,Lançamentos!$A:$A,CD$19,Lançamentos!$C:$C,"Empréstimo Recebido")</f>
        <v>0</v>
      </c>
      <c r="CE32" s="37">
        <f>SUMIFS(Lançamentos!$F:$F,Lançamentos!$A:$A,CE$19,Lançamentos!$C:$C,"Empréstimo Recebido")</f>
        <v>0</v>
      </c>
      <c r="CF32" s="37">
        <f>SUMIFS(Lançamentos!$F:$F,Lançamentos!$A:$A,CF$19,Lançamentos!$C:$C,"Empréstimo Recebido")</f>
        <v>0</v>
      </c>
      <c r="CG32" s="37">
        <f>SUMIFS(Lançamentos!$F:$F,Lançamentos!$A:$A,CG$19,Lançamentos!$C:$C,"Empréstimo Recebido")</f>
        <v>0</v>
      </c>
      <c r="CH32" s="37">
        <f>SUMIFS(Lançamentos!$F:$F,Lançamentos!$A:$A,CH$19,Lançamentos!$C:$C,"Empréstimo Recebido")</f>
        <v>0</v>
      </c>
      <c r="CI32" s="37">
        <f>SUMIFS(Lançamentos!$F:$F,Lançamentos!$A:$A,CI$19,Lançamentos!$C:$C,"Empréstimo Recebido")</f>
        <v>0</v>
      </c>
      <c r="CJ32" s="37">
        <f>SUMIFS(Lançamentos!$F:$F,Lançamentos!$A:$A,CJ$19,Lançamentos!$C:$C,"Empréstimo Recebido")</f>
        <v>0</v>
      </c>
      <c r="CK32" s="37">
        <f>SUMIFS(Lançamentos!$F:$F,Lançamentos!$A:$A,CK$19,Lançamentos!$C:$C,"Empréstimo Recebido")</f>
        <v>0</v>
      </c>
      <c r="CL32" s="37">
        <f>SUMIFS(Lançamentos!$F:$F,Lançamentos!$A:$A,CL$19,Lançamentos!$C:$C,"Empréstimo Recebido")</f>
        <v>0</v>
      </c>
      <c r="CM32" s="37">
        <f>SUMIFS(Lançamentos!$F:$F,Lançamentos!$A:$A,CM$19,Lançamentos!$C:$C,"Empréstimo Recebido")</f>
        <v>0</v>
      </c>
      <c r="CN32" s="37">
        <f>SUMIFS(Lançamentos!$F:$F,Lançamentos!$A:$A,CN$19,Lançamentos!$C:$C,"Empréstimo Recebido")</f>
        <v>0</v>
      </c>
      <c r="CO32" s="37">
        <f>SUMIFS(Lançamentos!$F:$F,Lançamentos!$A:$A,CO$19,Lançamentos!$C:$C,"Empréstimo Recebido")</f>
        <v>0</v>
      </c>
      <c r="CP32" s="37">
        <f>SUMIFS(Lançamentos!$F:$F,Lançamentos!$A:$A,CP$19,Lançamentos!$C:$C,"Empréstimo Recebido")</f>
        <v>0</v>
      </c>
      <c r="CQ32" s="37">
        <f>SUMIFS(Lançamentos!$F:$F,Lançamentos!$A:$A,CQ$19,Lançamentos!$C:$C,"Empréstimo Recebido")</f>
        <v>0</v>
      </c>
      <c r="CR32" s="37">
        <f>SUMIFS(Lançamentos!$F:$F,Lançamentos!$A:$A,CR$19,Lançamentos!$C:$C,"Empréstimo Recebido")</f>
        <v>0</v>
      </c>
      <c r="CS32" s="37">
        <f>SUMIFS(Lançamentos!$F:$F,Lançamentos!$A:$A,CS$19,Lançamentos!$C:$C,"Empréstimo Recebido")</f>
        <v>0</v>
      </c>
      <c r="CT32" s="37">
        <f>SUMIFS(Lançamentos!$F:$F,Lançamentos!$A:$A,CT$19,Lançamentos!$C:$C,"Empréstimo Recebido")</f>
        <v>0</v>
      </c>
      <c r="CU32" s="37">
        <f>SUMIFS(Lançamentos!$F:$F,Lançamentos!$A:$A,CU$19,Lançamentos!$C:$C,"Empréstimo Recebido")</f>
        <v>0</v>
      </c>
      <c r="CV32" s="37">
        <f>SUMIFS(Lançamentos!$F:$F,Lançamentos!$A:$A,CV$19,Lançamentos!$C:$C,"Empréstimo Recebido")</f>
        <v>0</v>
      </c>
      <c r="CW32" s="37">
        <f>SUMIFS(Lançamentos!$F:$F,Lançamentos!$A:$A,CW$19,Lançamentos!$C:$C,"Empréstimo Recebido")</f>
        <v>0</v>
      </c>
      <c r="CX32" s="37">
        <f>SUMIFS(Lançamentos!$F:$F,Lançamentos!$A:$A,CX$19,Lançamentos!$C:$C,"Empréstimo Recebido")</f>
        <v>0</v>
      </c>
      <c r="CY32" s="37">
        <f>SUMIFS(Lançamentos!$F:$F,Lançamentos!$A:$A,CY$19,Lançamentos!$C:$C,"Empréstimo Recebido")</f>
        <v>0</v>
      </c>
      <c r="CZ32" s="37">
        <f>SUMIFS(Lançamentos!$F:$F,Lançamentos!$A:$A,CZ$19,Lançamentos!$C:$C,"Empréstimo Recebido")</f>
        <v>0</v>
      </c>
      <c r="DA32" s="37">
        <f>SUMIFS(Lançamentos!$F:$F,Lançamentos!$A:$A,DA$19,Lançamentos!$C:$C,"Empréstimo Recebido")</f>
        <v>0</v>
      </c>
      <c r="DB32" s="37">
        <f>SUMIFS(Lançamentos!$F:$F,Lançamentos!$A:$A,DB$19,Lançamentos!$C:$C,"Empréstimo Recebido")</f>
        <v>0</v>
      </c>
      <c r="DC32" s="37">
        <f>SUMIFS(Lançamentos!$F:$F,Lançamentos!$A:$A,DC$19,Lançamentos!$C:$C,"Empréstimo Recebido")</f>
        <v>0</v>
      </c>
      <c r="DD32" s="37">
        <f>SUMIFS(Lançamentos!$F:$F,Lançamentos!$A:$A,DD$19,Lançamentos!$C:$C,"Empréstimo Recebido")</f>
        <v>0</v>
      </c>
      <c r="DE32" s="37">
        <f>SUMIFS(Lançamentos!$F:$F,Lançamentos!$A:$A,DE$19,Lançamentos!$C:$C,"Empréstimo Recebido")</f>
        <v>0</v>
      </c>
      <c r="DF32" s="37">
        <f>SUMIFS(Lançamentos!$F:$F,Lançamentos!$A:$A,DF$19,Lançamentos!$C:$C,"Empréstimo Recebido")</f>
        <v>0</v>
      </c>
      <c r="DG32" s="37">
        <f>SUMIFS(Lançamentos!$F:$F,Lançamentos!$A:$A,DG$19,Lançamentos!$C:$C,"Empréstimo Recebido")</f>
        <v>0</v>
      </c>
      <c r="DH32" s="37">
        <f>SUMIFS(Lançamentos!$F:$F,Lançamentos!$A:$A,DH$19,Lançamentos!$C:$C,"Empréstimo Recebido")</f>
        <v>0</v>
      </c>
      <c r="DI32" s="37">
        <f>SUMIFS(Lançamentos!$F:$F,Lançamentos!$A:$A,DI$19,Lançamentos!$C:$C,"Empréstimo Recebido")</f>
        <v>0</v>
      </c>
      <c r="DJ32" s="37">
        <f>SUMIFS(Lançamentos!$F:$F,Lançamentos!$A:$A,DJ$19,Lançamentos!$C:$C,"Empréstimo Recebido")</f>
        <v>0</v>
      </c>
      <c r="DK32" s="37">
        <f>SUMIFS(Lançamentos!$F:$F,Lançamentos!$A:$A,DK$19,Lançamentos!$C:$C,"Empréstimo Recebido")</f>
        <v>0</v>
      </c>
      <c r="DL32" s="37">
        <f>SUMIFS(Lançamentos!$F:$F,Lançamentos!$A:$A,DL$19,Lançamentos!$C:$C,"Empréstimo Recebido")</f>
        <v>0</v>
      </c>
      <c r="DM32" s="37">
        <f>SUMIFS(Lançamentos!$F:$F,Lançamentos!$A:$A,DM$19,Lançamentos!$C:$C,"Empréstimo Recebido")</f>
        <v>0</v>
      </c>
      <c r="DN32" s="37">
        <f>SUMIFS(Lançamentos!$F:$F,Lançamentos!$A:$A,DN$19,Lançamentos!$C:$C,"Empréstimo Recebido")</f>
        <v>0</v>
      </c>
      <c r="DO32" s="37">
        <f>SUMIFS(Lançamentos!$F:$F,Lançamentos!$A:$A,DO$19,Lançamentos!$C:$C,"Empréstimo Recebido")</f>
        <v>0</v>
      </c>
      <c r="DP32" s="37">
        <f>SUMIFS(Lançamentos!$F:$F,Lançamentos!$A:$A,DP$19,Lançamentos!$C:$C,"Empréstimo Recebido")</f>
        <v>0</v>
      </c>
      <c r="DQ32" s="37">
        <f>SUMIFS(Lançamentos!$F:$F,Lançamentos!$A:$A,DQ$19,Lançamentos!$C:$C,"Empréstimo Recebido")</f>
        <v>0</v>
      </c>
      <c r="DR32" s="37">
        <f>SUMIFS(Lançamentos!$F:$F,Lançamentos!$A:$A,DR$19,Lançamentos!$C:$C,"Empréstimo Recebido")</f>
        <v>0</v>
      </c>
      <c r="DS32" s="37">
        <f>SUMIFS(Lançamentos!$F:$F,Lançamentos!$A:$A,DS$19,Lançamentos!$C:$C,"Empréstimo Recebido")</f>
        <v>0</v>
      </c>
      <c r="DT32" s="37">
        <f>SUMIFS(Lançamentos!$F:$F,Lançamentos!$A:$A,DT$19,Lançamentos!$C:$C,"Empréstimo Recebido")</f>
        <v>0</v>
      </c>
      <c r="DU32" s="37">
        <f>SUMIFS(Lançamentos!$F:$F,Lançamentos!$A:$A,DU$19,Lançamentos!$C:$C,"Empréstimo Recebido")</f>
        <v>0</v>
      </c>
      <c r="DV32" s="37">
        <f>SUMIFS(Lançamentos!$F:$F,Lançamentos!$A:$A,DV$19,Lançamentos!$C:$C,"Empréstimo Recebido")</f>
        <v>0</v>
      </c>
      <c r="DW32" s="37">
        <f>SUMIFS(Lançamentos!$F:$F,Lançamentos!$A:$A,DW$19,Lançamentos!$C:$C,"Empréstimo Recebido")</f>
        <v>0</v>
      </c>
      <c r="DX32" s="37">
        <f>SUMIFS(Lançamentos!$F:$F,Lançamentos!$A:$A,DX$19,Lançamentos!$C:$C,"Empréstimo Recebido")</f>
        <v>0</v>
      </c>
      <c r="DY32" s="37">
        <f>SUMIFS(Lançamentos!$F:$F,Lançamentos!$A:$A,DY$19,Lançamentos!$C:$C,"Empréstimo Recebido")</f>
        <v>0</v>
      </c>
      <c r="DZ32" s="37">
        <f>SUMIFS(Lançamentos!$F:$F,Lançamentos!$A:$A,DZ$19,Lançamentos!$C:$C,"Empréstimo Recebido")</f>
        <v>0</v>
      </c>
      <c r="EA32" s="37">
        <f>SUMIFS(Lançamentos!$F:$F,Lançamentos!$A:$A,EA$19,Lançamentos!$C:$C,"Empréstimo Recebido")</f>
        <v>0</v>
      </c>
      <c r="EB32" s="37">
        <f>SUMIFS(Lançamentos!$F:$F,Lançamentos!$A:$A,EB$19,Lançamentos!$C:$C,"Empréstimo Recebido")</f>
        <v>0</v>
      </c>
      <c r="EC32" s="37">
        <f>SUMIFS(Lançamentos!$F:$F,Lançamentos!$A:$A,EC$19,Lançamentos!$C:$C,"Empréstimo Recebido")</f>
        <v>0</v>
      </c>
      <c r="ED32" s="37">
        <f>SUMIFS(Lançamentos!$F:$F,Lançamentos!$A:$A,ED$19,Lançamentos!$C:$C,"Empréstimo Recebido")</f>
        <v>0</v>
      </c>
      <c r="EE32" s="37">
        <f>SUMIFS(Lançamentos!$F:$F,Lançamentos!$A:$A,EE$19,Lançamentos!$C:$C,"Empréstimo Recebido")</f>
        <v>0</v>
      </c>
      <c r="EF32" s="37">
        <f>SUMIFS(Lançamentos!$F:$F,Lançamentos!$A:$A,EF$19,Lançamentos!$C:$C,"Empréstimo Recebido")</f>
        <v>0</v>
      </c>
      <c r="EG32" s="37">
        <f>SUMIFS(Lançamentos!$F:$F,Lançamentos!$A:$A,EG$19,Lançamentos!$C:$C,"Empréstimo Recebido")</f>
        <v>0</v>
      </c>
      <c r="EH32" s="37">
        <f>SUMIFS(Lançamentos!$F:$F,Lançamentos!$A:$A,EH$19,Lançamentos!$C:$C,"Empréstimo Recebido")</f>
        <v>0</v>
      </c>
      <c r="EI32" s="37">
        <f>SUMIFS(Lançamentos!$F:$F,Lançamentos!$A:$A,EI$19,Lançamentos!$C:$C,"Empréstimo Recebido")</f>
        <v>0</v>
      </c>
      <c r="EJ32" s="37">
        <f>SUMIFS(Lançamentos!$F:$F,Lançamentos!$A:$A,EJ$19,Lançamentos!$C:$C,"Empréstimo Recebido")</f>
        <v>0</v>
      </c>
      <c r="EK32" s="37">
        <f>SUMIFS(Lançamentos!$F:$F,Lançamentos!$A:$A,EK$19,Lançamentos!$C:$C,"Empréstimo Recebido")</f>
        <v>0</v>
      </c>
      <c r="EL32" s="37">
        <f>SUMIFS(Lançamentos!$F:$F,Lançamentos!$A:$A,EL$19,Lançamentos!$C:$C,"Empréstimo Recebido")</f>
        <v>0</v>
      </c>
      <c r="EM32" s="37">
        <f>SUMIFS(Lançamentos!$F:$F,Lançamentos!$A:$A,EM$19,Lançamentos!$C:$C,"Empréstimo Recebido")</f>
        <v>0</v>
      </c>
      <c r="EN32" s="37">
        <f>SUMIFS(Lançamentos!$F:$F,Lançamentos!$A:$A,EN$19,Lançamentos!$C:$C,"Empréstimo Recebido")</f>
        <v>0</v>
      </c>
      <c r="EO32" s="37">
        <f>SUMIFS(Lançamentos!$F:$F,Lançamentos!$A:$A,EO$19,Lançamentos!$C:$C,"Empréstimo Recebido")</f>
        <v>0</v>
      </c>
      <c r="EP32" s="37">
        <f>SUMIFS(Lançamentos!$F:$F,Lançamentos!$A:$A,EP$19,Lançamentos!$C:$C,"Empréstimo Recebido")</f>
        <v>0</v>
      </c>
      <c r="EQ32" s="37">
        <f>SUMIFS(Lançamentos!$F:$F,Lançamentos!$A:$A,EQ$19,Lançamentos!$C:$C,"Empréstimo Recebido")</f>
        <v>0</v>
      </c>
      <c r="ER32" s="37">
        <f>SUMIFS(Lançamentos!$F:$F,Lançamentos!$A:$A,ER$19,Lançamentos!$C:$C,"Empréstimo Recebido")</f>
        <v>0</v>
      </c>
      <c r="ES32" s="37">
        <f>SUMIFS(Lançamentos!$F:$F,Lançamentos!$A:$A,ES$19,Lançamentos!$C:$C,"Empréstimo Recebido")</f>
        <v>0</v>
      </c>
      <c r="ET32" s="37">
        <f>SUMIFS(Lançamentos!$F:$F,Lançamentos!$A:$A,ET$19,Lançamentos!$C:$C,"Empréstimo Recebido")</f>
        <v>0</v>
      </c>
      <c r="EU32" s="37">
        <f>SUMIFS(Lançamentos!$F:$F,Lançamentos!$A:$A,EU$19,Lançamentos!$C:$C,"Empréstimo Recebido")</f>
        <v>0</v>
      </c>
      <c r="EV32" s="37">
        <f>SUMIFS(Lançamentos!$F:$F,Lançamentos!$A:$A,EV$19,Lançamentos!$C:$C,"Empréstimo Recebido")</f>
        <v>0</v>
      </c>
      <c r="EW32" s="37">
        <f>SUMIFS(Lançamentos!$F:$F,Lançamentos!$A:$A,EW$19,Lançamentos!$C:$C,"Empréstimo Recebido")</f>
        <v>0</v>
      </c>
      <c r="EX32" s="37">
        <f>SUMIFS(Lançamentos!$F:$F,Lançamentos!$A:$A,EX$19,Lançamentos!$C:$C,"Empréstimo Recebido")</f>
        <v>0</v>
      </c>
      <c r="EY32" s="37">
        <f>SUMIFS(Lançamentos!$F:$F,Lançamentos!$A:$A,EY$19,Lançamentos!$C:$C,"Empréstimo Recebido")</f>
        <v>0</v>
      </c>
      <c r="EZ32" s="37">
        <f>SUMIFS(Lançamentos!$F:$F,Lançamentos!$A:$A,EZ$19,Lançamentos!$C:$C,"Empréstimo Recebido")</f>
        <v>0</v>
      </c>
      <c r="FA32" s="37">
        <f>SUMIFS(Lançamentos!$F:$F,Lançamentos!$A:$A,FA$19,Lançamentos!$C:$C,"Empréstimo Recebido")</f>
        <v>0</v>
      </c>
      <c r="FB32" s="37">
        <f>SUMIFS(Lançamentos!$F:$F,Lançamentos!$A:$A,FB$19,Lançamentos!$C:$C,"Empréstimo Recebido")</f>
        <v>0</v>
      </c>
      <c r="FC32" s="37">
        <f>SUMIFS(Lançamentos!$F:$F,Lançamentos!$A:$A,FC$19,Lançamentos!$C:$C,"Empréstimo Recebido")</f>
        <v>0</v>
      </c>
      <c r="FD32" s="37">
        <f>SUMIFS(Lançamentos!$F:$F,Lançamentos!$A:$A,FD$19,Lançamentos!$C:$C,"Empréstimo Recebido")</f>
        <v>0</v>
      </c>
      <c r="FE32" s="37">
        <f>SUMIFS(Lançamentos!$F:$F,Lançamentos!$A:$A,FE$19,Lançamentos!$C:$C,"Empréstimo Recebido")</f>
        <v>0</v>
      </c>
      <c r="FF32" s="37">
        <f>SUMIFS(Lançamentos!$F:$F,Lançamentos!$A:$A,FF$19,Lançamentos!$C:$C,"Empréstimo Recebido")</f>
        <v>0</v>
      </c>
      <c r="FG32" s="37">
        <f>SUMIFS(Lançamentos!$F:$F,Lançamentos!$A:$A,FG$19,Lançamentos!$C:$C,"Empréstimo Recebido")</f>
        <v>0</v>
      </c>
      <c r="FH32" s="37">
        <f>SUMIFS(Lançamentos!$F:$F,Lançamentos!$A:$A,FH$19,Lançamentos!$C:$C,"Empréstimo Recebido")</f>
        <v>0</v>
      </c>
      <c r="FI32" s="37">
        <f>SUMIFS(Lançamentos!$F:$F,Lançamentos!$A:$A,FI$19,Lançamentos!$C:$C,"Empréstimo Recebido")</f>
        <v>0</v>
      </c>
      <c r="FJ32" s="37">
        <f>SUMIFS(Lançamentos!$F:$F,Lançamentos!$A:$A,FJ$19,Lançamentos!$C:$C,"Empréstimo Recebido")</f>
        <v>0</v>
      </c>
      <c r="FK32" s="37">
        <f>SUMIFS(Lançamentos!$F:$F,Lançamentos!$A:$A,FK$19,Lançamentos!$C:$C,"Empréstimo Recebido")</f>
        <v>0</v>
      </c>
      <c r="FL32" s="37">
        <f>SUMIFS(Lançamentos!$F:$F,Lançamentos!$A:$A,FL$19,Lançamentos!$C:$C,"Empréstimo Recebido")</f>
        <v>0</v>
      </c>
      <c r="FM32" s="37">
        <f>SUMIFS(Lançamentos!$F:$F,Lançamentos!$A:$A,FM$19,Lançamentos!$C:$C,"Empréstimo Recebido")</f>
        <v>0</v>
      </c>
      <c r="FN32" s="37">
        <f>SUMIFS(Lançamentos!$F:$F,Lançamentos!$A:$A,FN$19,Lançamentos!$C:$C,"Empréstimo Recebido")</f>
        <v>0</v>
      </c>
      <c r="FO32" s="37">
        <f>SUMIFS(Lançamentos!$F:$F,Lançamentos!$A:$A,FO$19,Lançamentos!$C:$C,"Empréstimo Recebido")</f>
        <v>0</v>
      </c>
      <c r="FP32" s="37">
        <f>SUMIFS(Lançamentos!$F:$F,Lançamentos!$A:$A,FP$19,Lançamentos!$C:$C,"Empréstimo Recebido")</f>
        <v>0</v>
      </c>
      <c r="FQ32" s="37">
        <f>SUMIFS(Lançamentos!$F:$F,Lançamentos!$A:$A,FQ$19,Lançamentos!$C:$C,"Empréstimo Recebido")</f>
        <v>0</v>
      </c>
      <c r="FR32" s="37">
        <f>SUMIFS(Lançamentos!$F:$F,Lançamentos!$A:$A,FR$19,Lançamentos!$C:$C,"Empréstimo Recebido")</f>
        <v>0</v>
      </c>
      <c r="FS32" s="37">
        <f>SUMIFS(Lançamentos!$F:$F,Lançamentos!$A:$A,FS$19,Lançamentos!$C:$C,"Empréstimo Recebido")</f>
        <v>0</v>
      </c>
      <c r="FT32" s="37">
        <f>SUMIFS(Lançamentos!$F:$F,Lançamentos!$A:$A,FT$19,Lançamentos!$C:$C,"Empréstimo Recebido")</f>
        <v>0</v>
      </c>
      <c r="FU32" s="37">
        <f>SUMIFS(Lançamentos!$F:$F,Lançamentos!$A:$A,FU$19,Lançamentos!$C:$C,"Empréstimo Recebido")</f>
        <v>0</v>
      </c>
      <c r="FV32" s="37">
        <f>SUMIFS(Lançamentos!$F:$F,Lançamentos!$A:$A,FV$19,Lançamentos!$C:$C,"Empréstimo Recebido")</f>
        <v>0</v>
      </c>
      <c r="FW32" s="37">
        <f>SUMIFS(Lançamentos!$F:$F,Lançamentos!$A:$A,FW$19,Lançamentos!$C:$C,"Empréstimo Recebido")</f>
        <v>0</v>
      </c>
      <c r="FX32" s="37">
        <f>SUMIFS(Lançamentos!$F:$F,Lançamentos!$A:$A,FX$19,Lançamentos!$C:$C,"Empréstimo Recebido")</f>
        <v>0</v>
      </c>
      <c r="FY32" s="37">
        <f>SUMIFS(Lançamentos!$F:$F,Lançamentos!$A:$A,FY$19,Lançamentos!$C:$C,"Empréstimo Recebido")</f>
        <v>0</v>
      </c>
      <c r="FZ32" s="37">
        <f>SUMIFS(Lançamentos!$F:$F,Lançamentos!$A:$A,FZ$19,Lançamentos!$C:$C,"Empréstimo Recebido")</f>
        <v>0</v>
      </c>
      <c r="GA32" s="37">
        <f>SUMIFS(Lançamentos!$F:$F,Lançamentos!$A:$A,GA$19,Lançamentos!$C:$C,"Empréstimo Recebido")</f>
        <v>0</v>
      </c>
      <c r="GB32" s="37">
        <f>SUMIFS(Lançamentos!$F:$F,Lançamentos!$A:$A,GB$19,Lançamentos!$C:$C,"Empréstimo Recebido")</f>
        <v>0</v>
      </c>
      <c r="GC32" s="37">
        <f>SUMIFS(Lançamentos!$F:$F,Lançamentos!$A:$A,GC$19,Lançamentos!$C:$C,"Empréstimo Recebido")</f>
        <v>0</v>
      </c>
      <c r="GD32" s="37">
        <f>SUMIFS(Lançamentos!$F:$F,Lançamentos!$A:$A,GD$19,Lançamentos!$C:$C,"Empréstimo Recebido")</f>
        <v>0</v>
      </c>
      <c r="GE32" s="37">
        <f>SUMIFS(Lançamentos!$F:$F,Lançamentos!$A:$A,GE$19,Lançamentos!$C:$C,"Empréstimo Recebido")</f>
        <v>0</v>
      </c>
      <c r="GF32" s="37">
        <f>SUMIFS(Lançamentos!$F:$F,Lançamentos!$A:$A,GF$19,Lançamentos!$C:$C,"Empréstimo Recebido")</f>
        <v>0</v>
      </c>
      <c r="GG32" s="37">
        <f>SUMIFS(Lançamentos!$F:$F,Lançamentos!$A:$A,GG$19,Lançamentos!$C:$C,"Empréstimo Recebido")</f>
        <v>0</v>
      </c>
      <c r="GH32" s="37">
        <f>SUMIFS(Lançamentos!$F:$F,Lançamentos!$A:$A,GH$19,Lançamentos!$C:$C,"Empréstimo Recebido")</f>
        <v>0</v>
      </c>
      <c r="GI32" s="37">
        <f>SUMIFS(Lançamentos!$F:$F,Lançamentos!$A:$A,GI$19,Lançamentos!$C:$C,"Empréstimo Recebido")</f>
        <v>0</v>
      </c>
      <c r="GJ32" s="37">
        <f>SUMIFS(Lançamentos!$F:$F,Lançamentos!$A:$A,GJ$19,Lançamentos!$C:$C,"Empréstimo Recebido")</f>
        <v>0</v>
      </c>
      <c r="GK32" s="37">
        <f>SUMIFS(Lançamentos!$F:$F,Lançamentos!$A:$A,GK$19,Lançamentos!$C:$C,"Empréstimo Recebido")</f>
        <v>0</v>
      </c>
      <c r="GL32" s="37">
        <f>SUMIFS(Lançamentos!$F:$F,Lançamentos!$A:$A,GL$19,Lançamentos!$C:$C,"Empréstimo Recebido")</f>
        <v>0</v>
      </c>
      <c r="GM32" s="37">
        <f>SUMIFS(Lançamentos!$F:$F,Lançamentos!$A:$A,GM$19,Lançamentos!$C:$C,"Empréstimo Recebido")</f>
        <v>0</v>
      </c>
      <c r="GN32" s="37">
        <f>SUMIFS(Lançamentos!$F:$F,Lançamentos!$A:$A,GN$19,Lançamentos!$C:$C,"Empréstimo Recebido")</f>
        <v>0</v>
      </c>
      <c r="GO32" s="37">
        <f>SUMIFS(Lançamentos!$F:$F,Lançamentos!$A:$A,GO$19,Lançamentos!$C:$C,"Empréstimo Recebido")</f>
        <v>0</v>
      </c>
      <c r="GP32" s="37">
        <f>SUMIFS(Lançamentos!$F:$F,Lançamentos!$A:$A,GP$19,Lançamentos!$C:$C,"Empréstimo Recebido")</f>
        <v>0</v>
      </c>
      <c r="GQ32" s="37">
        <f>SUMIFS(Lançamentos!$F:$F,Lançamentos!$A:$A,GQ$19,Lançamentos!$C:$C,"Empréstimo Recebido")</f>
        <v>0</v>
      </c>
      <c r="GR32" s="37">
        <f>SUMIFS(Lançamentos!$F:$F,Lançamentos!$A:$A,GR$19,Lançamentos!$C:$C,"Empréstimo Recebido")</f>
        <v>0</v>
      </c>
      <c r="GS32" s="37">
        <f>SUMIFS(Lançamentos!$F:$F,Lançamentos!$A:$A,GS$19,Lançamentos!$C:$C,"Empréstimo Recebido")</f>
        <v>0</v>
      </c>
      <c r="GT32" s="37">
        <f>SUMIFS(Lançamentos!$F:$F,Lançamentos!$A:$A,GT$19,Lançamentos!$C:$C,"Empréstimo Recebido")</f>
        <v>0</v>
      </c>
      <c r="GU32" s="37">
        <f>SUMIFS(Lançamentos!$F:$F,Lançamentos!$A:$A,GU$19,Lançamentos!$C:$C,"Empréstimo Recebido")</f>
        <v>0</v>
      </c>
      <c r="GV32" s="37">
        <f>SUMIFS(Lançamentos!$F:$F,Lançamentos!$A:$A,GV$19,Lançamentos!$C:$C,"Empréstimo Recebido")</f>
        <v>0</v>
      </c>
      <c r="GW32" s="37">
        <f>SUMIFS(Lançamentos!$F:$F,Lançamentos!$A:$A,GW$19,Lançamentos!$C:$C,"Empréstimo Recebido")</f>
        <v>0</v>
      </c>
      <c r="GX32" s="37">
        <f>SUMIFS(Lançamentos!$F:$F,Lançamentos!$A:$A,GX$19,Lançamentos!$C:$C,"Empréstimo Recebido")</f>
        <v>0</v>
      </c>
      <c r="GY32" s="37">
        <f>SUMIFS(Lançamentos!$F:$F,Lançamentos!$A:$A,GY$19,Lançamentos!$C:$C,"Empréstimo Recebido")</f>
        <v>0</v>
      </c>
      <c r="GZ32" s="37">
        <f>SUMIFS(Lançamentos!$F:$F,Lançamentos!$A:$A,GZ$19,Lançamentos!$C:$C,"Empréstimo Recebido")</f>
        <v>0</v>
      </c>
      <c r="HA32" s="37">
        <f>SUMIFS(Lançamentos!$F:$F,Lançamentos!$A:$A,HA$19,Lançamentos!$C:$C,"Empréstimo Recebido")</f>
        <v>0</v>
      </c>
      <c r="HB32" s="37">
        <f>SUMIFS(Lançamentos!$F:$F,Lançamentos!$A:$A,HB$19,Lançamentos!$C:$C,"Empréstimo Recebido")</f>
        <v>0</v>
      </c>
      <c r="HC32" s="37">
        <f>SUMIFS(Lançamentos!$F:$F,Lançamentos!$A:$A,HC$19,Lançamentos!$C:$C,"Empréstimo Recebido")</f>
        <v>0</v>
      </c>
      <c r="HD32" s="37">
        <f>SUMIFS(Lançamentos!$F:$F,Lançamentos!$A:$A,HD$19,Lançamentos!$C:$C,"Empréstimo Recebido")</f>
        <v>0</v>
      </c>
      <c r="HE32" s="37">
        <f>SUMIFS(Lançamentos!$F:$F,Lançamentos!$A:$A,HE$19,Lançamentos!$C:$C,"Empréstimo Recebido")</f>
        <v>0</v>
      </c>
      <c r="HF32" s="37">
        <f>SUMIFS(Lançamentos!$F:$F,Lançamentos!$A:$A,HF$19,Lançamentos!$C:$C,"Empréstimo Recebido")</f>
        <v>0</v>
      </c>
      <c r="HG32" s="37">
        <f>SUMIFS(Lançamentos!$F:$F,Lançamentos!$A:$A,HG$19,Lançamentos!$C:$C,"Empréstimo Recebido")</f>
        <v>0</v>
      </c>
      <c r="HH32" s="37">
        <f>SUMIFS(Lançamentos!$F:$F,Lançamentos!$A:$A,HH$19,Lançamentos!$C:$C,"Empréstimo Recebido")</f>
        <v>0</v>
      </c>
      <c r="HI32" s="37">
        <f>SUMIFS(Lançamentos!$F:$F,Lançamentos!$A:$A,HI$19,Lançamentos!$C:$C,"Empréstimo Recebido")</f>
        <v>0</v>
      </c>
      <c r="HJ32" s="37">
        <f>SUMIFS(Lançamentos!$F:$F,Lançamentos!$A:$A,HJ$19,Lançamentos!$C:$C,"Empréstimo Recebido")</f>
        <v>0</v>
      </c>
      <c r="HK32" s="37">
        <f>SUMIFS(Lançamentos!$F:$F,Lançamentos!$A:$A,HK$19,Lançamentos!$C:$C,"Empréstimo Recebido")</f>
        <v>0</v>
      </c>
      <c r="HL32" s="37">
        <f>SUMIFS(Lançamentos!$F:$F,Lançamentos!$A:$A,HL$19,Lançamentos!$C:$C,"Empréstimo Recebido")</f>
        <v>0</v>
      </c>
      <c r="HM32" s="37">
        <f>SUMIFS(Lançamentos!$F:$F,Lançamentos!$A:$A,HM$19,Lançamentos!$C:$C,"Empréstimo Recebido")</f>
        <v>0</v>
      </c>
      <c r="HN32" s="37">
        <f>SUMIFS(Lançamentos!$F:$F,Lançamentos!$A:$A,HN$19,Lançamentos!$C:$C,"Empréstimo Recebido")</f>
        <v>0</v>
      </c>
      <c r="HO32" s="37">
        <f>SUMIFS(Lançamentos!$F:$F,Lançamentos!$A:$A,HO$19,Lançamentos!$C:$C,"Empréstimo Recebido")</f>
        <v>0</v>
      </c>
      <c r="HP32" s="37">
        <f>SUMIFS(Lançamentos!$F:$F,Lançamentos!$A:$A,HP$19,Lançamentos!$C:$C,"Empréstimo Recebido")</f>
        <v>0</v>
      </c>
      <c r="HQ32" s="37">
        <f>SUMIFS(Lançamentos!$F:$F,Lançamentos!$A:$A,HQ$19,Lançamentos!$C:$C,"Empréstimo Recebido")</f>
        <v>0</v>
      </c>
      <c r="HR32" s="37">
        <f>SUMIFS(Lançamentos!$F:$F,Lançamentos!$A:$A,HR$19,Lançamentos!$C:$C,"Empréstimo Recebido")</f>
        <v>0</v>
      </c>
      <c r="HS32" s="37">
        <f>SUMIFS(Lançamentos!$F:$F,Lançamentos!$A:$A,HS$19,Lançamentos!$C:$C,"Empréstimo Recebido")</f>
        <v>0</v>
      </c>
      <c r="HT32" s="37">
        <f>SUMIFS(Lançamentos!$F:$F,Lançamentos!$A:$A,HT$19,Lançamentos!$C:$C,"Empréstimo Recebido")</f>
        <v>0</v>
      </c>
      <c r="HU32" s="37">
        <f>SUMIFS(Lançamentos!$F:$F,Lançamentos!$A:$A,HU$19,Lançamentos!$C:$C,"Empréstimo Recebido")</f>
        <v>0</v>
      </c>
      <c r="HV32" s="37">
        <f>SUMIFS(Lançamentos!$F:$F,Lançamentos!$A:$A,HV$19,Lançamentos!$C:$C,"Empréstimo Recebido")</f>
        <v>0</v>
      </c>
      <c r="HW32" s="37">
        <f>SUMIFS(Lançamentos!$F:$F,Lançamentos!$A:$A,HW$19,Lançamentos!$C:$C,"Empréstimo Recebido")</f>
        <v>0</v>
      </c>
      <c r="HX32" s="37">
        <f>SUMIFS(Lançamentos!$F:$F,Lançamentos!$A:$A,HX$19,Lançamentos!$C:$C,"Empréstimo Recebido")</f>
        <v>0</v>
      </c>
      <c r="HY32" s="37">
        <f>SUMIFS(Lançamentos!$F:$F,Lançamentos!$A:$A,HY$19,Lançamentos!$C:$C,"Empréstimo Recebido")</f>
        <v>0</v>
      </c>
      <c r="HZ32" s="37">
        <f>SUMIFS(Lançamentos!$F:$F,Lançamentos!$A:$A,HZ$19,Lançamentos!$C:$C,"Empréstimo Recebido")</f>
        <v>0</v>
      </c>
      <c r="IA32" s="37">
        <f>SUMIFS(Lançamentos!$F:$F,Lançamentos!$A:$A,IA$19,Lançamentos!$C:$C,"Empréstimo Recebido")</f>
        <v>0</v>
      </c>
      <c r="IB32" s="37">
        <f>SUMIFS(Lançamentos!$F:$F,Lançamentos!$A:$A,IB$19,Lançamentos!$C:$C,"Empréstimo Recebido")</f>
        <v>0</v>
      </c>
      <c r="IC32" s="37">
        <f>SUMIFS(Lançamentos!$F:$F,Lançamentos!$A:$A,IC$19,Lançamentos!$C:$C,"Empréstimo Recebido")</f>
        <v>0</v>
      </c>
      <c r="ID32" s="37">
        <f>SUMIFS(Lançamentos!$F:$F,Lançamentos!$A:$A,ID$19,Lançamentos!$C:$C,"Empréstimo Recebido")</f>
        <v>0</v>
      </c>
      <c r="IE32" s="37">
        <f>SUMIFS(Lançamentos!$F:$F,Lançamentos!$A:$A,IE$19,Lançamentos!$C:$C,"Empréstimo Recebido")</f>
        <v>0</v>
      </c>
      <c r="IF32" s="37">
        <f>SUMIFS(Lançamentos!$F:$F,Lançamentos!$A:$A,IF$19,Lançamentos!$C:$C,"Empréstimo Recebido")</f>
        <v>0</v>
      </c>
      <c r="IG32" s="37">
        <f>SUMIFS(Lançamentos!$F:$F,Lançamentos!$A:$A,IG$19,Lançamentos!$C:$C,"Empréstimo Recebido")</f>
        <v>0</v>
      </c>
      <c r="IH32" s="37">
        <f>SUMIFS(Lançamentos!$F:$F,Lançamentos!$A:$A,IH$19,Lançamentos!$C:$C,"Empréstimo Recebido")</f>
        <v>0</v>
      </c>
      <c r="II32" s="37">
        <f>SUMIFS(Lançamentos!$F:$F,Lançamentos!$A:$A,II$19,Lançamentos!$C:$C,"Empréstimo Recebido")</f>
        <v>0</v>
      </c>
      <c r="IJ32" s="37">
        <f>SUMIFS(Lançamentos!$F:$F,Lançamentos!$A:$A,IJ$19,Lançamentos!$C:$C,"Empréstimo Recebido")</f>
        <v>0</v>
      </c>
      <c r="IK32" s="37">
        <f>SUMIFS(Lançamentos!$F:$F,Lançamentos!$A:$A,IK$19,Lançamentos!$C:$C,"Empréstimo Recebido")</f>
        <v>0</v>
      </c>
      <c r="IL32" s="37">
        <f>SUMIFS(Lançamentos!$F:$F,Lançamentos!$A:$A,IL$19,Lançamentos!$C:$C,"Empréstimo Recebido")</f>
        <v>0</v>
      </c>
    </row>
    <row r="33" spans="1:246" x14ac:dyDescent="0.3">
      <c r="A33" s="45" t="s">
        <v>119</v>
      </c>
      <c r="B33" s="46">
        <f t="shared" ref="B33:BM33" si="7">SUM(B22:B32)</f>
        <v>0</v>
      </c>
      <c r="C33" s="46">
        <f t="shared" si="7"/>
        <v>0</v>
      </c>
      <c r="D33" s="46">
        <f t="shared" si="7"/>
        <v>0</v>
      </c>
      <c r="E33" s="46">
        <f t="shared" si="7"/>
        <v>0</v>
      </c>
      <c r="F33" s="46">
        <f t="shared" si="7"/>
        <v>0</v>
      </c>
      <c r="G33" s="46">
        <f t="shared" si="7"/>
        <v>0</v>
      </c>
      <c r="H33" s="46">
        <f t="shared" si="7"/>
        <v>0</v>
      </c>
      <c r="I33" s="46">
        <f t="shared" si="7"/>
        <v>0</v>
      </c>
      <c r="J33" s="46">
        <f t="shared" si="7"/>
        <v>0</v>
      </c>
      <c r="K33" s="46">
        <f t="shared" si="7"/>
        <v>0</v>
      </c>
      <c r="L33" s="46">
        <f t="shared" si="7"/>
        <v>0</v>
      </c>
      <c r="M33" s="46">
        <f t="shared" si="7"/>
        <v>0</v>
      </c>
      <c r="N33" s="46">
        <f t="shared" si="7"/>
        <v>0</v>
      </c>
      <c r="O33" s="46">
        <f t="shared" si="7"/>
        <v>0</v>
      </c>
      <c r="P33" s="46">
        <f t="shared" si="7"/>
        <v>0</v>
      </c>
      <c r="Q33" s="46">
        <f t="shared" si="7"/>
        <v>0</v>
      </c>
      <c r="R33" s="46">
        <f t="shared" si="7"/>
        <v>0</v>
      </c>
      <c r="S33" s="46">
        <f t="shared" si="7"/>
        <v>0</v>
      </c>
      <c r="T33" s="46">
        <f t="shared" si="7"/>
        <v>0</v>
      </c>
      <c r="U33" s="46">
        <f t="shared" si="7"/>
        <v>0</v>
      </c>
      <c r="V33" s="46">
        <f t="shared" si="7"/>
        <v>0</v>
      </c>
      <c r="W33" s="46">
        <f t="shared" si="7"/>
        <v>0</v>
      </c>
      <c r="X33" s="46">
        <f t="shared" si="7"/>
        <v>0</v>
      </c>
      <c r="Y33" s="46">
        <f t="shared" si="7"/>
        <v>0</v>
      </c>
      <c r="Z33" s="46">
        <f t="shared" si="7"/>
        <v>0</v>
      </c>
      <c r="AA33" s="46">
        <f t="shared" si="7"/>
        <v>0</v>
      </c>
      <c r="AB33" s="46">
        <f t="shared" si="7"/>
        <v>0</v>
      </c>
      <c r="AC33" s="46">
        <f t="shared" si="7"/>
        <v>0</v>
      </c>
      <c r="AD33" s="46">
        <f t="shared" si="7"/>
        <v>0</v>
      </c>
      <c r="AE33" s="46">
        <f t="shared" si="7"/>
        <v>0</v>
      </c>
      <c r="AF33" s="46">
        <f t="shared" si="7"/>
        <v>0</v>
      </c>
      <c r="AG33" s="46">
        <f t="shared" si="7"/>
        <v>4895.9899999999989</v>
      </c>
      <c r="AH33" s="46">
        <f t="shared" si="7"/>
        <v>2529.3399999999974</v>
      </c>
      <c r="AI33" s="46">
        <f t="shared" si="7"/>
        <v>1749.3500000000004</v>
      </c>
      <c r="AJ33" s="46">
        <f t="shared" si="7"/>
        <v>607.83000000000004</v>
      </c>
      <c r="AK33" s="46">
        <f t="shared" si="7"/>
        <v>4559.3799999999983</v>
      </c>
      <c r="AL33" s="46">
        <f t="shared" si="7"/>
        <v>519.84</v>
      </c>
      <c r="AM33" s="46">
        <f t="shared" si="7"/>
        <v>298.41000000000003</v>
      </c>
      <c r="AN33" s="46">
        <f t="shared" si="7"/>
        <v>5717.9900000000007</v>
      </c>
      <c r="AO33" s="46">
        <f t="shared" si="7"/>
        <v>0</v>
      </c>
      <c r="AP33" s="46">
        <f t="shared" si="7"/>
        <v>0</v>
      </c>
      <c r="AQ33" s="46">
        <f t="shared" si="7"/>
        <v>0</v>
      </c>
      <c r="AR33" s="46">
        <f t="shared" si="7"/>
        <v>0</v>
      </c>
      <c r="AS33" s="46">
        <f t="shared" si="7"/>
        <v>0</v>
      </c>
      <c r="AT33" s="46">
        <f t="shared" si="7"/>
        <v>0</v>
      </c>
      <c r="AU33" s="46">
        <f t="shared" si="7"/>
        <v>0</v>
      </c>
      <c r="AV33" s="46">
        <f t="shared" si="7"/>
        <v>0</v>
      </c>
      <c r="AW33" s="46">
        <f t="shared" si="7"/>
        <v>0</v>
      </c>
      <c r="AX33" s="46">
        <f t="shared" si="7"/>
        <v>0</v>
      </c>
      <c r="AY33" s="46">
        <f t="shared" si="7"/>
        <v>0</v>
      </c>
      <c r="AZ33" s="46">
        <f t="shared" si="7"/>
        <v>0</v>
      </c>
      <c r="BA33" s="46">
        <f t="shared" si="7"/>
        <v>0</v>
      </c>
      <c r="BB33" s="46">
        <f t="shared" si="7"/>
        <v>0</v>
      </c>
      <c r="BC33" s="46">
        <f t="shared" si="7"/>
        <v>0</v>
      </c>
      <c r="BD33" s="46">
        <f t="shared" si="7"/>
        <v>0</v>
      </c>
      <c r="BE33" s="46">
        <f t="shared" si="7"/>
        <v>0</v>
      </c>
      <c r="BF33" s="46">
        <f t="shared" si="7"/>
        <v>0</v>
      </c>
      <c r="BG33" s="46">
        <f t="shared" si="7"/>
        <v>0</v>
      </c>
      <c r="BH33" s="46">
        <f t="shared" si="7"/>
        <v>0</v>
      </c>
      <c r="BI33" s="46">
        <f t="shared" si="7"/>
        <v>0</v>
      </c>
      <c r="BJ33" s="46">
        <f t="shared" si="7"/>
        <v>0</v>
      </c>
      <c r="BK33" s="46">
        <f t="shared" si="7"/>
        <v>0</v>
      </c>
      <c r="BL33" s="46">
        <f t="shared" si="7"/>
        <v>0</v>
      </c>
      <c r="BM33" s="46">
        <f t="shared" si="7"/>
        <v>0</v>
      </c>
      <c r="BN33" s="46">
        <f t="shared" ref="BN33:DY33" si="8">SUM(BN22:BN32)</f>
        <v>0</v>
      </c>
      <c r="BO33" s="46">
        <f t="shared" si="8"/>
        <v>0</v>
      </c>
      <c r="BP33" s="46">
        <f t="shared" si="8"/>
        <v>0</v>
      </c>
      <c r="BQ33" s="46">
        <f t="shared" si="8"/>
        <v>0</v>
      </c>
      <c r="BR33" s="46">
        <f t="shared" si="8"/>
        <v>0</v>
      </c>
      <c r="BS33" s="46">
        <f t="shared" si="8"/>
        <v>0</v>
      </c>
      <c r="BT33" s="46">
        <f t="shared" si="8"/>
        <v>0</v>
      </c>
      <c r="BU33" s="46">
        <f t="shared" si="8"/>
        <v>0</v>
      </c>
      <c r="BV33" s="46">
        <f t="shared" si="8"/>
        <v>0</v>
      </c>
      <c r="BW33" s="46">
        <f t="shared" si="8"/>
        <v>0</v>
      </c>
      <c r="BX33" s="46">
        <f t="shared" si="8"/>
        <v>0</v>
      </c>
      <c r="BY33" s="46">
        <f t="shared" si="8"/>
        <v>0</v>
      </c>
      <c r="BZ33" s="46">
        <f t="shared" si="8"/>
        <v>0</v>
      </c>
      <c r="CA33" s="46">
        <f t="shared" si="8"/>
        <v>0</v>
      </c>
      <c r="CB33" s="46">
        <f t="shared" si="8"/>
        <v>0</v>
      </c>
      <c r="CC33" s="46">
        <f t="shared" si="8"/>
        <v>0</v>
      </c>
      <c r="CD33" s="46">
        <f t="shared" si="8"/>
        <v>0</v>
      </c>
      <c r="CE33" s="46">
        <f t="shared" si="8"/>
        <v>0</v>
      </c>
      <c r="CF33" s="46">
        <f t="shared" si="8"/>
        <v>0</v>
      </c>
      <c r="CG33" s="46">
        <f t="shared" si="8"/>
        <v>0</v>
      </c>
      <c r="CH33" s="46">
        <f t="shared" si="8"/>
        <v>0</v>
      </c>
      <c r="CI33" s="46">
        <f t="shared" si="8"/>
        <v>0</v>
      </c>
      <c r="CJ33" s="46">
        <f t="shared" si="8"/>
        <v>0</v>
      </c>
      <c r="CK33" s="46">
        <f t="shared" si="8"/>
        <v>0</v>
      </c>
      <c r="CL33" s="46">
        <f t="shared" si="8"/>
        <v>0</v>
      </c>
      <c r="CM33" s="46">
        <f t="shared" si="8"/>
        <v>0</v>
      </c>
      <c r="CN33" s="46">
        <f t="shared" si="8"/>
        <v>0</v>
      </c>
      <c r="CO33" s="46">
        <f t="shared" si="8"/>
        <v>0</v>
      </c>
      <c r="CP33" s="46">
        <f t="shared" si="8"/>
        <v>0</v>
      </c>
      <c r="CQ33" s="46">
        <f t="shared" si="8"/>
        <v>0</v>
      </c>
      <c r="CR33" s="46">
        <f t="shared" si="8"/>
        <v>0</v>
      </c>
      <c r="CS33" s="46">
        <f t="shared" si="8"/>
        <v>0</v>
      </c>
      <c r="CT33" s="46">
        <f t="shared" si="8"/>
        <v>0</v>
      </c>
      <c r="CU33" s="46">
        <f t="shared" si="8"/>
        <v>0</v>
      </c>
      <c r="CV33" s="46">
        <f t="shared" si="8"/>
        <v>0</v>
      </c>
      <c r="CW33" s="46">
        <f t="shared" si="8"/>
        <v>0</v>
      </c>
      <c r="CX33" s="46">
        <f t="shared" si="8"/>
        <v>0</v>
      </c>
      <c r="CY33" s="46">
        <f t="shared" si="8"/>
        <v>0</v>
      </c>
      <c r="CZ33" s="46">
        <f t="shared" si="8"/>
        <v>0</v>
      </c>
      <c r="DA33" s="46">
        <f t="shared" si="8"/>
        <v>0</v>
      </c>
      <c r="DB33" s="46">
        <f t="shared" si="8"/>
        <v>0</v>
      </c>
      <c r="DC33" s="46">
        <f t="shared" si="8"/>
        <v>0</v>
      </c>
      <c r="DD33" s="46">
        <f t="shared" si="8"/>
        <v>0</v>
      </c>
      <c r="DE33" s="46">
        <f t="shared" si="8"/>
        <v>0</v>
      </c>
      <c r="DF33" s="46">
        <f t="shared" si="8"/>
        <v>0</v>
      </c>
      <c r="DG33" s="46">
        <f t="shared" si="8"/>
        <v>0</v>
      </c>
      <c r="DH33" s="46">
        <f t="shared" si="8"/>
        <v>0</v>
      </c>
      <c r="DI33" s="46">
        <f t="shared" si="8"/>
        <v>0</v>
      </c>
      <c r="DJ33" s="46">
        <f t="shared" si="8"/>
        <v>0</v>
      </c>
      <c r="DK33" s="46">
        <f t="shared" si="8"/>
        <v>0</v>
      </c>
      <c r="DL33" s="46">
        <f t="shared" si="8"/>
        <v>0</v>
      </c>
      <c r="DM33" s="46">
        <f t="shared" si="8"/>
        <v>0</v>
      </c>
      <c r="DN33" s="46">
        <f t="shared" si="8"/>
        <v>0</v>
      </c>
      <c r="DO33" s="46">
        <f t="shared" si="8"/>
        <v>0</v>
      </c>
      <c r="DP33" s="46">
        <f t="shared" si="8"/>
        <v>0</v>
      </c>
      <c r="DQ33" s="46">
        <f t="shared" si="8"/>
        <v>0</v>
      </c>
      <c r="DR33" s="46">
        <f t="shared" si="8"/>
        <v>0</v>
      </c>
      <c r="DS33" s="46">
        <f t="shared" si="8"/>
        <v>0</v>
      </c>
      <c r="DT33" s="46">
        <f t="shared" si="8"/>
        <v>0</v>
      </c>
      <c r="DU33" s="46">
        <f t="shared" si="8"/>
        <v>0</v>
      </c>
      <c r="DV33" s="46">
        <f t="shared" si="8"/>
        <v>0</v>
      </c>
      <c r="DW33" s="46">
        <f t="shared" si="8"/>
        <v>0</v>
      </c>
      <c r="DX33" s="46">
        <f t="shared" si="8"/>
        <v>0</v>
      </c>
      <c r="DY33" s="46">
        <f t="shared" si="8"/>
        <v>0</v>
      </c>
      <c r="DZ33" s="46">
        <f t="shared" ref="DZ33:GK33" si="9">SUM(DZ22:DZ32)</f>
        <v>0</v>
      </c>
      <c r="EA33" s="46">
        <f t="shared" si="9"/>
        <v>0</v>
      </c>
      <c r="EB33" s="46">
        <f t="shared" si="9"/>
        <v>0</v>
      </c>
      <c r="EC33" s="46">
        <f t="shared" si="9"/>
        <v>0</v>
      </c>
      <c r="ED33" s="46">
        <f t="shared" si="9"/>
        <v>0</v>
      </c>
      <c r="EE33" s="46">
        <f t="shared" si="9"/>
        <v>0</v>
      </c>
      <c r="EF33" s="46">
        <f t="shared" si="9"/>
        <v>0</v>
      </c>
      <c r="EG33" s="46">
        <f t="shared" si="9"/>
        <v>0</v>
      </c>
      <c r="EH33" s="46">
        <f t="shared" si="9"/>
        <v>0</v>
      </c>
      <c r="EI33" s="46">
        <f t="shared" si="9"/>
        <v>0</v>
      </c>
      <c r="EJ33" s="46">
        <f t="shared" si="9"/>
        <v>0</v>
      </c>
      <c r="EK33" s="46">
        <f t="shared" si="9"/>
        <v>0</v>
      </c>
      <c r="EL33" s="46">
        <f t="shared" si="9"/>
        <v>0</v>
      </c>
      <c r="EM33" s="46">
        <f t="shared" si="9"/>
        <v>0</v>
      </c>
      <c r="EN33" s="46">
        <f t="shared" si="9"/>
        <v>0</v>
      </c>
      <c r="EO33" s="46">
        <f t="shared" si="9"/>
        <v>0</v>
      </c>
      <c r="EP33" s="46">
        <f t="shared" si="9"/>
        <v>0</v>
      </c>
      <c r="EQ33" s="46">
        <f t="shared" si="9"/>
        <v>0</v>
      </c>
      <c r="ER33" s="46">
        <f t="shared" si="9"/>
        <v>0</v>
      </c>
      <c r="ES33" s="46">
        <f t="shared" si="9"/>
        <v>0</v>
      </c>
      <c r="ET33" s="46">
        <f t="shared" si="9"/>
        <v>0</v>
      </c>
      <c r="EU33" s="46">
        <f t="shared" si="9"/>
        <v>0</v>
      </c>
      <c r="EV33" s="46">
        <f t="shared" si="9"/>
        <v>0</v>
      </c>
      <c r="EW33" s="46">
        <f t="shared" si="9"/>
        <v>0</v>
      </c>
      <c r="EX33" s="46">
        <f t="shared" si="9"/>
        <v>0</v>
      </c>
      <c r="EY33" s="46">
        <f t="shared" si="9"/>
        <v>0</v>
      </c>
      <c r="EZ33" s="46">
        <f t="shared" si="9"/>
        <v>0</v>
      </c>
      <c r="FA33" s="46">
        <f t="shared" si="9"/>
        <v>0</v>
      </c>
      <c r="FB33" s="46">
        <f t="shared" si="9"/>
        <v>0</v>
      </c>
      <c r="FC33" s="46">
        <f t="shared" si="9"/>
        <v>0</v>
      </c>
      <c r="FD33" s="46">
        <f t="shared" si="9"/>
        <v>0</v>
      </c>
      <c r="FE33" s="46">
        <f t="shared" si="9"/>
        <v>0</v>
      </c>
      <c r="FF33" s="46">
        <f t="shared" si="9"/>
        <v>0</v>
      </c>
      <c r="FG33" s="46">
        <f t="shared" si="9"/>
        <v>0</v>
      </c>
      <c r="FH33" s="46">
        <f t="shared" si="9"/>
        <v>0</v>
      </c>
      <c r="FI33" s="46">
        <f t="shared" si="9"/>
        <v>0</v>
      </c>
      <c r="FJ33" s="46">
        <f t="shared" si="9"/>
        <v>0</v>
      </c>
      <c r="FK33" s="46">
        <f t="shared" si="9"/>
        <v>0</v>
      </c>
      <c r="FL33" s="46">
        <f t="shared" si="9"/>
        <v>0</v>
      </c>
      <c r="FM33" s="46">
        <f t="shared" si="9"/>
        <v>0</v>
      </c>
      <c r="FN33" s="46">
        <f t="shared" si="9"/>
        <v>0</v>
      </c>
      <c r="FO33" s="46">
        <f t="shared" si="9"/>
        <v>0</v>
      </c>
      <c r="FP33" s="46">
        <f t="shared" si="9"/>
        <v>0</v>
      </c>
      <c r="FQ33" s="46">
        <f t="shared" si="9"/>
        <v>0</v>
      </c>
      <c r="FR33" s="46">
        <f t="shared" si="9"/>
        <v>0</v>
      </c>
      <c r="FS33" s="46">
        <f t="shared" si="9"/>
        <v>0</v>
      </c>
      <c r="FT33" s="46">
        <f t="shared" si="9"/>
        <v>0</v>
      </c>
      <c r="FU33" s="46">
        <f t="shared" si="9"/>
        <v>0</v>
      </c>
      <c r="FV33" s="46">
        <f t="shared" si="9"/>
        <v>0</v>
      </c>
      <c r="FW33" s="46">
        <f t="shared" si="9"/>
        <v>0</v>
      </c>
      <c r="FX33" s="46">
        <f t="shared" si="9"/>
        <v>0</v>
      </c>
      <c r="FY33" s="46">
        <f t="shared" si="9"/>
        <v>0</v>
      </c>
      <c r="FZ33" s="46">
        <f t="shared" si="9"/>
        <v>0</v>
      </c>
      <c r="GA33" s="46">
        <f t="shared" si="9"/>
        <v>0</v>
      </c>
      <c r="GB33" s="46">
        <f t="shared" si="9"/>
        <v>0</v>
      </c>
      <c r="GC33" s="46">
        <f t="shared" si="9"/>
        <v>0</v>
      </c>
      <c r="GD33" s="46">
        <f t="shared" si="9"/>
        <v>0</v>
      </c>
      <c r="GE33" s="46">
        <f t="shared" si="9"/>
        <v>0</v>
      </c>
      <c r="GF33" s="46">
        <f t="shared" si="9"/>
        <v>0</v>
      </c>
      <c r="GG33" s="46">
        <f t="shared" si="9"/>
        <v>0</v>
      </c>
      <c r="GH33" s="46">
        <f t="shared" si="9"/>
        <v>0</v>
      </c>
      <c r="GI33" s="46">
        <f t="shared" si="9"/>
        <v>0</v>
      </c>
      <c r="GJ33" s="46">
        <f t="shared" si="9"/>
        <v>0</v>
      </c>
      <c r="GK33" s="46">
        <f t="shared" si="9"/>
        <v>0</v>
      </c>
      <c r="GL33" s="46">
        <f t="shared" ref="GL33:IL33" si="10">SUM(GL22:GL32)</f>
        <v>0</v>
      </c>
      <c r="GM33" s="46">
        <f t="shared" si="10"/>
        <v>0</v>
      </c>
      <c r="GN33" s="46">
        <f t="shared" si="10"/>
        <v>0</v>
      </c>
      <c r="GO33" s="46">
        <f t="shared" si="10"/>
        <v>0</v>
      </c>
      <c r="GP33" s="46">
        <f t="shared" si="10"/>
        <v>0</v>
      </c>
      <c r="GQ33" s="46">
        <f t="shared" si="10"/>
        <v>0</v>
      </c>
      <c r="GR33" s="46">
        <f t="shared" si="10"/>
        <v>0</v>
      </c>
      <c r="GS33" s="46">
        <f t="shared" si="10"/>
        <v>0</v>
      </c>
      <c r="GT33" s="46">
        <f t="shared" si="10"/>
        <v>0</v>
      </c>
      <c r="GU33" s="46">
        <f t="shared" si="10"/>
        <v>0</v>
      </c>
      <c r="GV33" s="46">
        <f t="shared" si="10"/>
        <v>0</v>
      </c>
      <c r="GW33" s="46">
        <f t="shared" si="10"/>
        <v>0</v>
      </c>
      <c r="GX33" s="46">
        <f t="shared" si="10"/>
        <v>0</v>
      </c>
      <c r="GY33" s="46">
        <f t="shared" si="10"/>
        <v>0</v>
      </c>
      <c r="GZ33" s="46">
        <f t="shared" si="10"/>
        <v>0</v>
      </c>
      <c r="HA33" s="46">
        <f t="shared" si="10"/>
        <v>0</v>
      </c>
      <c r="HB33" s="46">
        <f t="shared" si="10"/>
        <v>0</v>
      </c>
      <c r="HC33" s="46">
        <f t="shared" si="10"/>
        <v>0</v>
      </c>
      <c r="HD33" s="46">
        <f t="shared" si="10"/>
        <v>0</v>
      </c>
      <c r="HE33" s="46">
        <f t="shared" si="10"/>
        <v>0</v>
      </c>
      <c r="HF33" s="46">
        <f t="shared" si="10"/>
        <v>0</v>
      </c>
      <c r="HG33" s="46">
        <f t="shared" si="10"/>
        <v>0</v>
      </c>
      <c r="HH33" s="46">
        <f t="shared" si="10"/>
        <v>0</v>
      </c>
      <c r="HI33" s="46">
        <f t="shared" si="10"/>
        <v>0</v>
      </c>
      <c r="HJ33" s="46">
        <f t="shared" si="10"/>
        <v>0</v>
      </c>
      <c r="HK33" s="46">
        <f t="shared" si="10"/>
        <v>0</v>
      </c>
      <c r="HL33" s="46">
        <f t="shared" si="10"/>
        <v>0</v>
      </c>
      <c r="HM33" s="46">
        <f t="shared" si="10"/>
        <v>0</v>
      </c>
      <c r="HN33" s="46">
        <f t="shared" si="10"/>
        <v>0</v>
      </c>
      <c r="HO33" s="46">
        <f t="shared" si="10"/>
        <v>0</v>
      </c>
      <c r="HP33" s="46">
        <f t="shared" si="10"/>
        <v>0</v>
      </c>
      <c r="HQ33" s="46">
        <f t="shared" si="10"/>
        <v>0</v>
      </c>
      <c r="HR33" s="46">
        <f t="shared" si="10"/>
        <v>0</v>
      </c>
      <c r="HS33" s="46">
        <f t="shared" si="10"/>
        <v>0</v>
      </c>
      <c r="HT33" s="46">
        <f t="shared" si="10"/>
        <v>0</v>
      </c>
      <c r="HU33" s="46">
        <f t="shared" si="10"/>
        <v>0</v>
      </c>
      <c r="HV33" s="46">
        <f t="shared" si="10"/>
        <v>0</v>
      </c>
      <c r="HW33" s="46">
        <f t="shared" si="10"/>
        <v>0</v>
      </c>
      <c r="HX33" s="46">
        <f t="shared" si="10"/>
        <v>0</v>
      </c>
      <c r="HY33" s="46">
        <f t="shared" si="10"/>
        <v>0</v>
      </c>
      <c r="HZ33" s="46">
        <f t="shared" si="10"/>
        <v>0</v>
      </c>
      <c r="IA33" s="46">
        <f t="shared" si="10"/>
        <v>0</v>
      </c>
      <c r="IB33" s="46">
        <f t="shared" si="10"/>
        <v>0</v>
      </c>
      <c r="IC33" s="46">
        <f t="shared" si="10"/>
        <v>0</v>
      </c>
      <c r="ID33" s="46">
        <f t="shared" si="10"/>
        <v>0</v>
      </c>
      <c r="IE33" s="46">
        <f t="shared" si="10"/>
        <v>0</v>
      </c>
      <c r="IF33" s="46">
        <f t="shared" si="10"/>
        <v>0</v>
      </c>
      <c r="IG33" s="46">
        <f t="shared" si="10"/>
        <v>0</v>
      </c>
      <c r="IH33" s="46">
        <f t="shared" si="10"/>
        <v>0</v>
      </c>
      <c r="II33" s="46">
        <f t="shared" si="10"/>
        <v>0</v>
      </c>
      <c r="IJ33" s="46">
        <f t="shared" si="10"/>
        <v>0</v>
      </c>
      <c r="IK33" s="46">
        <f t="shared" si="10"/>
        <v>0</v>
      </c>
      <c r="IL33" s="46">
        <f t="shared" si="10"/>
        <v>0</v>
      </c>
    </row>
    <row r="34" spans="1:246" x14ac:dyDescent="0.3">
      <c r="A34" s="25" t="s">
        <v>120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  <c r="GL34" s="47"/>
      <c r="GM34" s="47"/>
      <c r="GN34" s="47"/>
      <c r="GO34" s="47"/>
      <c r="GP34" s="47"/>
      <c r="GQ34" s="47"/>
      <c r="GR34" s="47"/>
      <c r="GS34" s="47"/>
      <c r="GT34" s="47"/>
      <c r="GU34" s="47"/>
      <c r="GV34" s="47"/>
      <c r="GW34" s="47"/>
      <c r="GX34" s="47"/>
      <c r="GY34" s="47"/>
      <c r="GZ34" s="47"/>
      <c r="HA34" s="47"/>
      <c r="HB34" s="47"/>
      <c r="HC34" s="47"/>
      <c r="HD34" s="47"/>
      <c r="HE34" s="47"/>
      <c r="HF34" s="47"/>
      <c r="HG34" s="47"/>
      <c r="HH34" s="47"/>
      <c r="HI34" s="47"/>
      <c r="HJ34" s="47"/>
      <c r="HK34" s="47"/>
      <c r="HL34" s="47"/>
      <c r="HM34" s="47"/>
      <c r="HN34" s="47"/>
      <c r="HO34" s="47"/>
      <c r="HP34" s="47"/>
      <c r="HQ34" s="47"/>
      <c r="HR34" s="47"/>
      <c r="HS34" s="47"/>
      <c r="HT34" s="47"/>
      <c r="HU34" s="47"/>
      <c r="HV34" s="47"/>
      <c r="HW34" s="47"/>
      <c r="HX34" s="47"/>
      <c r="HY34" s="47"/>
      <c r="HZ34" s="47"/>
      <c r="IA34" s="47"/>
      <c r="IB34" s="47"/>
      <c r="IC34" s="47"/>
      <c r="ID34" s="47"/>
      <c r="IE34" s="47"/>
      <c r="IF34" s="47"/>
      <c r="IG34" s="47"/>
      <c r="IH34" s="47"/>
      <c r="II34" s="47"/>
      <c r="IJ34" s="47"/>
      <c r="IK34" s="47"/>
      <c r="IL34" s="47"/>
    </row>
    <row r="35" spans="1:246" x14ac:dyDescent="0.3">
      <c r="A35" t="s">
        <v>7</v>
      </c>
      <c r="B35" s="37">
        <f>SUMIFS(Lançamentos!$F:$F,Lançamentos!$A:$A,B$19,Lançamentos!$C:$C,"Impostos sobre Vendas")</f>
        <v>0</v>
      </c>
      <c r="C35" s="37">
        <f>SUMIFS(Lançamentos!$F:$F,Lançamentos!$A:$A,C$19,Lançamentos!$C:$C,"Impostos sobre Vendas")</f>
        <v>0</v>
      </c>
      <c r="D35" s="37">
        <f>SUMIFS(Lançamentos!$F:$F,Lançamentos!$A:$A,D$19,Lançamentos!$C:$C,"Impostos sobre Vendas")</f>
        <v>0</v>
      </c>
      <c r="E35" s="37">
        <f>SUMIFS(Lançamentos!$F:$F,Lançamentos!$A:$A,E$19,Lançamentos!$C:$C,"Impostos sobre Vendas")</f>
        <v>0</v>
      </c>
      <c r="F35" s="37">
        <f>SUMIFS(Lançamentos!$F:$F,Lançamentos!$A:$A,F$19,Lançamentos!$C:$C,"Impostos sobre Vendas")</f>
        <v>0</v>
      </c>
      <c r="G35" s="37">
        <f>SUMIFS(Lançamentos!$F:$F,Lançamentos!$A:$A,G$19,Lançamentos!$C:$C,"Impostos sobre Vendas")</f>
        <v>0</v>
      </c>
      <c r="H35" s="37">
        <f>SUMIFS(Lançamentos!$F:$F,Lançamentos!$A:$A,H$19,Lançamentos!$C:$C,"Impostos sobre Vendas")</f>
        <v>0</v>
      </c>
      <c r="I35" s="37">
        <f>SUMIFS(Lançamentos!$F:$F,Lançamentos!$A:$A,I$19,Lançamentos!$C:$C,"Impostos sobre Vendas")</f>
        <v>0</v>
      </c>
      <c r="J35" s="37">
        <f>SUMIFS(Lançamentos!$F:$F,Lançamentos!$A:$A,J$19,Lançamentos!$C:$C,"Impostos sobre Vendas")</f>
        <v>0</v>
      </c>
      <c r="K35" s="37">
        <f>SUMIFS(Lançamentos!$F:$F,Lançamentos!$A:$A,K$19,Lançamentos!$C:$C,"Impostos sobre Vendas")</f>
        <v>0</v>
      </c>
      <c r="L35" s="37">
        <f>SUMIFS(Lançamentos!$F:$F,Lançamentos!$A:$A,L$19,Lançamentos!$C:$C,"Impostos sobre Vendas")</f>
        <v>0</v>
      </c>
      <c r="M35" s="37">
        <f>SUMIFS(Lançamentos!$F:$F,Lançamentos!$A:$A,M$19,Lançamentos!$C:$C,"Impostos sobre Vendas")</f>
        <v>0</v>
      </c>
      <c r="N35" s="37">
        <f>SUMIFS(Lançamentos!$F:$F,Lançamentos!$A:$A,N$19,Lançamentos!$C:$C,"Impostos sobre Vendas")</f>
        <v>0</v>
      </c>
      <c r="O35" s="37">
        <f>SUMIFS(Lançamentos!$F:$F,Lançamentos!$A:$A,O$19,Lançamentos!$C:$C,"Impostos sobre Vendas")</f>
        <v>0</v>
      </c>
      <c r="P35" s="37">
        <f>SUMIFS(Lançamentos!$F:$F,Lançamentos!$A:$A,P$19,Lançamentos!$C:$C,"Impostos sobre Vendas")</f>
        <v>0</v>
      </c>
      <c r="Q35" s="37">
        <f>SUMIFS(Lançamentos!$F:$F,Lançamentos!$A:$A,Q$19,Lançamentos!$C:$C,"Impostos sobre Vendas")</f>
        <v>0</v>
      </c>
      <c r="R35" s="37">
        <f>SUMIFS(Lançamentos!$F:$F,Lançamentos!$A:$A,R$19,Lançamentos!$C:$C,"Impostos sobre Vendas")</f>
        <v>0</v>
      </c>
      <c r="S35" s="37">
        <f>SUMIFS(Lançamentos!$F:$F,Lançamentos!$A:$A,S$19,Lançamentos!$C:$C,"Impostos sobre Vendas")</f>
        <v>0</v>
      </c>
      <c r="T35" s="37">
        <f>SUMIFS(Lançamentos!$F:$F,Lançamentos!$A:$A,T$19,Lançamentos!$C:$C,"Impostos sobre Vendas")</f>
        <v>0</v>
      </c>
      <c r="U35" s="37">
        <f>SUMIFS(Lançamentos!$F:$F,Lançamentos!$A:$A,U$19,Lançamentos!$C:$C,"Impostos sobre Vendas")</f>
        <v>0</v>
      </c>
      <c r="V35" s="37">
        <f>SUMIFS(Lançamentos!$F:$F,Lançamentos!$A:$A,V$19,Lançamentos!$C:$C,"Impostos sobre Vendas")</f>
        <v>0</v>
      </c>
      <c r="W35" s="37">
        <f>SUMIFS(Lançamentos!$F:$F,Lançamentos!$A:$A,W$19,Lançamentos!$C:$C,"Impostos sobre Vendas")</f>
        <v>0</v>
      </c>
      <c r="X35" s="37">
        <f>SUMIFS(Lançamentos!$F:$F,Lançamentos!$A:$A,X$19,Lançamentos!$C:$C,"Impostos sobre Vendas")</f>
        <v>0</v>
      </c>
      <c r="Y35" s="37">
        <f>SUMIFS(Lançamentos!$F:$F,Lançamentos!$A:$A,Y$19,Lançamentos!$C:$C,"Impostos sobre Vendas")</f>
        <v>0</v>
      </c>
      <c r="Z35" s="37">
        <f>SUMIFS(Lançamentos!$F:$F,Lançamentos!$A:$A,Z$19,Lançamentos!$C:$C,"Impostos sobre Vendas")</f>
        <v>0</v>
      </c>
      <c r="AA35" s="37">
        <f>SUMIFS(Lançamentos!$F:$F,Lançamentos!$A:$A,AA$19,Lançamentos!$C:$C,"Impostos sobre Vendas")</f>
        <v>0</v>
      </c>
      <c r="AB35" s="37">
        <f>SUMIFS(Lançamentos!$F:$F,Lançamentos!$A:$A,AB$19,Lançamentos!$C:$C,"Impostos sobre Vendas")</f>
        <v>0</v>
      </c>
      <c r="AC35" s="37">
        <f>SUMIFS(Lançamentos!$F:$F,Lançamentos!$A:$A,AC$19,Lançamentos!$C:$C,"Impostos sobre Vendas")</f>
        <v>0</v>
      </c>
      <c r="AD35" s="37">
        <f>SUMIFS(Lançamentos!$F:$F,Lançamentos!$A:$A,AD$19,Lançamentos!$C:$C,"Impostos sobre Vendas")</f>
        <v>0</v>
      </c>
      <c r="AE35" s="37">
        <f>SUMIFS(Lançamentos!$F:$F,Lançamentos!$A:$A,AE$19,Lançamentos!$C:$C,"Impostos sobre Vendas")</f>
        <v>0</v>
      </c>
      <c r="AF35" s="37">
        <f>SUMIFS(Lançamentos!$F:$F,Lançamentos!$A:$A,AF$19,Lançamentos!$C:$C,"Impostos sobre Vendas")</f>
        <v>0</v>
      </c>
      <c r="AG35" s="37">
        <f>SUMIFS(Lançamentos!$F:$F,Lançamentos!$A:$A,AG$19,Lançamentos!$C:$C,"Impostos sobre Vendas")</f>
        <v>0</v>
      </c>
      <c r="AH35" s="37">
        <f>SUMIFS(Lançamentos!$F:$F,Lançamentos!$A:$A,AH$19,Lançamentos!$C:$C,"Impostos sobre Vendas")</f>
        <v>0</v>
      </c>
      <c r="AI35" s="37">
        <f>SUMIFS(Lançamentos!$F:$F,Lançamentos!$A:$A,AI$19,Lançamentos!$C:$C,"Impostos sobre Vendas")</f>
        <v>0</v>
      </c>
      <c r="AJ35" s="37">
        <f>SUMIFS(Lançamentos!$F:$F,Lançamentos!$A:$A,AJ$19,Lançamentos!$C:$C,"Impostos sobre Vendas")</f>
        <v>0</v>
      </c>
      <c r="AK35" s="37">
        <f>SUMIFS(Lançamentos!$F:$F,Lançamentos!$A:$A,AK$19,Lançamentos!$C:$C,"Impostos sobre Vendas")</f>
        <v>0</v>
      </c>
      <c r="AL35" s="37">
        <f>SUMIFS(Lançamentos!$F:$F,Lançamentos!$A:$A,AL$19,Lançamentos!$C:$C,"Impostos sobre Vendas")</f>
        <v>0</v>
      </c>
      <c r="AM35" s="37">
        <f>SUMIFS(Lançamentos!$F:$F,Lançamentos!$A:$A,AM$19,Lançamentos!$C:$C,"Impostos sobre Vendas")</f>
        <v>0</v>
      </c>
      <c r="AN35" s="37">
        <f>SUMIFS(Lançamentos!$F:$F,Lançamentos!$A:$A,AN$19,Lançamentos!$C:$C,"Impostos sobre Vendas")</f>
        <v>0</v>
      </c>
      <c r="AO35" s="37">
        <f>SUMIFS(Lançamentos!$F:$F,Lançamentos!$A:$A,AO$19,Lançamentos!$C:$C,"Impostos sobre Vendas")</f>
        <v>0</v>
      </c>
      <c r="AP35" s="37">
        <f>SUMIFS(Lançamentos!$F:$F,Lançamentos!$A:$A,AP$19,Lançamentos!$C:$C,"Impostos sobre Vendas")</f>
        <v>0</v>
      </c>
      <c r="AQ35" s="37">
        <f>SUMIFS(Lançamentos!$F:$F,Lançamentos!$A:$A,AQ$19,Lançamentos!$C:$C,"Impostos sobre Vendas")</f>
        <v>0</v>
      </c>
      <c r="AR35" s="37">
        <f>SUMIFS(Lançamentos!$F:$F,Lançamentos!$A:$A,AR$19,Lançamentos!$C:$C,"Impostos sobre Vendas")</f>
        <v>0</v>
      </c>
      <c r="AS35" s="37">
        <f>SUMIFS(Lançamentos!$F:$F,Lançamentos!$A:$A,AS$19,Lançamentos!$C:$C,"Impostos sobre Vendas")</f>
        <v>0</v>
      </c>
      <c r="AT35" s="37">
        <f>SUMIFS(Lançamentos!$F:$F,Lançamentos!$A:$A,AT$19,Lançamentos!$C:$C,"Impostos sobre Vendas")</f>
        <v>0</v>
      </c>
      <c r="AU35" s="37">
        <f>SUMIFS(Lançamentos!$F:$F,Lançamentos!$A:$A,AU$19,Lançamentos!$C:$C,"Impostos sobre Vendas")</f>
        <v>0</v>
      </c>
      <c r="AV35" s="37">
        <f>SUMIFS(Lançamentos!$F:$F,Lançamentos!$A:$A,AV$19,Lançamentos!$C:$C,"Impostos sobre Vendas")</f>
        <v>0</v>
      </c>
      <c r="AW35" s="37">
        <f>SUMIFS(Lançamentos!$F:$F,Lançamentos!$A:$A,AW$19,Lançamentos!$C:$C,"Impostos sobre Vendas")</f>
        <v>0</v>
      </c>
      <c r="AX35" s="37">
        <f>SUMIFS(Lançamentos!$F:$F,Lançamentos!$A:$A,AX$19,Lançamentos!$C:$C,"Impostos sobre Vendas")</f>
        <v>0</v>
      </c>
      <c r="AY35" s="37">
        <f>SUMIFS(Lançamentos!$F:$F,Lançamentos!$A:$A,AY$19,Lançamentos!$C:$C,"Impostos sobre Vendas")</f>
        <v>0</v>
      </c>
      <c r="AZ35" s="37">
        <f>SUMIFS(Lançamentos!$F:$F,Lançamentos!$A:$A,AZ$19,Lançamentos!$C:$C,"Impostos sobre Vendas")</f>
        <v>0</v>
      </c>
      <c r="BA35" s="37">
        <f>SUMIFS(Lançamentos!$F:$F,Lançamentos!$A:$A,BA$19,Lançamentos!$C:$C,"Impostos sobre Vendas")</f>
        <v>0</v>
      </c>
      <c r="BB35" s="37">
        <f>SUMIFS(Lançamentos!$F:$F,Lançamentos!$A:$A,BB$19,Lançamentos!$C:$C,"Impostos sobre Vendas")</f>
        <v>0</v>
      </c>
      <c r="BC35" s="37">
        <f>SUMIFS(Lançamentos!$F:$F,Lançamentos!$A:$A,BC$19,Lançamentos!$C:$C,"Impostos sobre Vendas")</f>
        <v>0</v>
      </c>
      <c r="BD35" s="37">
        <f>SUMIFS(Lançamentos!$F:$F,Lançamentos!$A:$A,BD$19,Lançamentos!$C:$C,"Impostos sobre Vendas")</f>
        <v>0</v>
      </c>
      <c r="BE35" s="37">
        <f>SUMIFS(Lançamentos!$F:$F,Lançamentos!$A:$A,BE$19,Lançamentos!$C:$C,"Impostos sobre Vendas")</f>
        <v>0</v>
      </c>
      <c r="BF35" s="37">
        <f>SUMIFS(Lançamentos!$F:$F,Lançamentos!$A:$A,BF$19,Lançamentos!$C:$C,"Impostos sobre Vendas")</f>
        <v>0</v>
      </c>
      <c r="BG35" s="37">
        <f>SUMIFS(Lançamentos!$F:$F,Lançamentos!$A:$A,BG$19,Lançamentos!$C:$C,"Impostos sobre Vendas")</f>
        <v>0</v>
      </c>
      <c r="BH35" s="37">
        <f>SUMIFS(Lançamentos!$F:$F,Lançamentos!$A:$A,BH$19,Lançamentos!$C:$C,"Impostos sobre Vendas")</f>
        <v>0</v>
      </c>
      <c r="BI35" s="37">
        <f>SUMIFS(Lançamentos!$F:$F,Lançamentos!$A:$A,BI$19,Lançamentos!$C:$C,"Impostos sobre Vendas")</f>
        <v>0</v>
      </c>
      <c r="BJ35" s="37">
        <f>SUMIFS(Lançamentos!$F:$F,Lançamentos!$A:$A,BJ$19,Lançamentos!$C:$C,"Impostos sobre Vendas")</f>
        <v>0</v>
      </c>
      <c r="BK35" s="37">
        <f>SUMIFS(Lançamentos!$F:$F,Lançamentos!$A:$A,BK$19,Lançamentos!$C:$C,"Impostos sobre Vendas")</f>
        <v>0</v>
      </c>
      <c r="BL35" s="37">
        <f>SUMIFS(Lançamentos!$F:$F,Lançamentos!$A:$A,BL$19,Lançamentos!$C:$C,"Impostos sobre Vendas")</f>
        <v>0</v>
      </c>
      <c r="BM35" s="37">
        <f>SUMIFS(Lançamentos!$F:$F,Lançamentos!$A:$A,BM$19,Lançamentos!$C:$C,"Impostos sobre Vendas")</f>
        <v>0</v>
      </c>
      <c r="BN35" s="37">
        <f>SUMIFS(Lançamentos!$F:$F,Lançamentos!$A:$A,BN$19,Lançamentos!$C:$C,"Impostos sobre Vendas")</f>
        <v>0</v>
      </c>
      <c r="BO35" s="37">
        <f>SUMIFS(Lançamentos!$F:$F,Lançamentos!$A:$A,BO$19,Lançamentos!$C:$C,"Impostos sobre Vendas")</f>
        <v>0</v>
      </c>
      <c r="BP35" s="37">
        <f>SUMIFS(Lançamentos!$F:$F,Lançamentos!$A:$A,BP$19,Lançamentos!$C:$C,"Impostos sobre Vendas")</f>
        <v>0</v>
      </c>
      <c r="BQ35" s="37">
        <f>SUMIFS(Lançamentos!$F:$F,Lançamentos!$A:$A,BQ$19,Lançamentos!$C:$C,"Impostos sobre Vendas")</f>
        <v>0</v>
      </c>
      <c r="BR35" s="37">
        <f>SUMIFS(Lançamentos!$F:$F,Lançamentos!$A:$A,BR$19,Lançamentos!$C:$C,"Impostos sobre Vendas")</f>
        <v>0</v>
      </c>
      <c r="BS35" s="37">
        <f>SUMIFS(Lançamentos!$F:$F,Lançamentos!$A:$A,BS$19,Lançamentos!$C:$C,"Impostos sobre Vendas")</f>
        <v>0</v>
      </c>
      <c r="BT35" s="37">
        <f>SUMIFS(Lançamentos!$F:$F,Lançamentos!$A:$A,BT$19,Lançamentos!$C:$C,"Impostos sobre Vendas")</f>
        <v>0</v>
      </c>
      <c r="BU35" s="37">
        <f>SUMIFS(Lançamentos!$F:$F,Lançamentos!$A:$A,BU$19,Lançamentos!$C:$C,"Impostos sobre Vendas")</f>
        <v>0</v>
      </c>
      <c r="BV35" s="37">
        <f>SUMIFS(Lançamentos!$F:$F,Lançamentos!$A:$A,BV$19,Lançamentos!$C:$C,"Impostos sobre Vendas")</f>
        <v>0</v>
      </c>
      <c r="BW35" s="37">
        <f>SUMIFS(Lançamentos!$F:$F,Lançamentos!$A:$A,BW$19,Lançamentos!$C:$C,"Impostos sobre Vendas")</f>
        <v>0</v>
      </c>
      <c r="BX35" s="37">
        <f>SUMIFS(Lançamentos!$F:$F,Lançamentos!$A:$A,BX$19,Lançamentos!$C:$C,"Impostos sobre Vendas")</f>
        <v>0</v>
      </c>
      <c r="BY35" s="37">
        <f>SUMIFS(Lançamentos!$F:$F,Lançamentos!$A:$A,BY$19,Lançamentos!$C:$C,"Impostos sobre Vendas")</f>
        <v>0</v>
      </c>
      <c r="BZ35" s="37">
        <f>SUMIFS(Lançamentos!$F:$F,Lançamentos!$A:$A,BZ$19,Lançamentos!$C:$C,"Impostos sobre Vendas")</f>
        <v>0</v>
      </c>
      <c r="CA35" s="37">
        <f>SUMIFS(Lançamentos!$F:$F,Lançamentos!$A:$A,CA$19,Lançamentos!$C:$C,"Impostos sobre Vendas")</f>
        <v>0</v>
      </c>
      <c r="CB35" s="37">
        <f>SUMIFS(Lançamentos!$F:$F,Lançamentos!$A:$A,CB$19,Lançamentos!$C:$C,"Impostos sobre Vendas")</f>
        <v>0</v>
      </c>
      <c r="CC35" s="37">
        <f>SUMIFS(Lançamentos!$F:$F,Lançamentos!$A:$A,CC$19,Lançamentos!$C:$C,"Impostos sobre Vendas")</f>
        <v>0</v>
      </c>
      <c r="CD35" s="37">
        <f>SUMIFS(Lançamentos!$F:$F,Lançamentos!$A:$A,CD$19,Lançamentos!$C:$C,"Impostos sobre Vendas")</f>
        <v>0</v>
      </c>
      <c r="CE35" s="37">
        <f>SUMIFS(Lançamentos!$F:$F,Lançamentos!$A:$A,CE$19,Lançamentos!$C:$C,"Impostos sobre Vendas")</f>
        <v>0</v>
      </c>
      <c r="CF35" s="37">
        <f>SUMIFS(Lançamentos!$F:$F,Lançamentos!$A:$A,CF$19,Lançamentos!$C:$C,"Impostos sobre Vendas")</f>
        <v>0</v>
      </c>
      <c r="CG35" s="37">
        <f>SUMIFS(Lançamentos!$F:$F,Lançamentos!$A:$A,CG$19,Lançamentos!$C:$C,"Impostos sobre Vendas")</f>
        <v>0</v>
      </c>
      <c r="CH35" s="37">
        <f>SUMIFS(Lançamentos!$F:$F,Lançamentos!$A:$A,CH$19,Lançamentos!$C:$C,"Impostos sobre Vendas")</f>
        <v>0</v>
      </c>
      <c r="CI35" s="37">
        <f>SUMIFS(Lançamentos!$F:$F,Lançamentos!$A:$A,CI$19,Lançamentos!$C:$C,"Impostos sobre Vendas")</f>
        <v>0</v>
      </c>
      <c r="CJ35" s="37">
        <f>SUMIFS(Lançamentos!$F:$F,Lançamentos!$A:$A,CJ$19,Lançamentos!$C:$C,"Impostos sobre Vendas")</f>
        <v>0</v>
      </c>
      <c r="CK35" s="37">
        <f>SUMIFS(Lançamentos!$F:$F,Lançamentos!$A:$A,CK$19,Lançamentos!$C:$C,"Impostos sobre Vendas")</f>
        <v>0</v>
      </c>
      <c r="CL35" s="37">
        <f>SUMIFS(Lançamentos!$F:$F,Lançamentos!$A:$A,CL$19,Lançamentos!$C:$C,"Impostos sobre Vendas")</f>
        <v>0</v>
      </c>
      <c r="CM35" s="37">
        <f>SUMIFS(Lançamentos!$F:$F,Lançamentos!$A:$A,CM$19,Lançamentos!$C:$C,"Impostos sobre Vendas")</f>
        <v>0</v>
      </c>
      <c r="CN35" s="37">
        <f>SUMIFS(Lançamentos!$F:$F,Lançamentos!$A:$A,CN$19,Lançamentos!$C:$C,"Impostos sobre Vendas")</f>
        <v>0</v>
      </c>
      <c r="CO35" s="37">
        <f>SUMIFS(Lançamentos!$F:$F,Lançamentos!$A:$A,CO$19,Lançamentos!$C:$C,"Impostos sobre Vendas")</f>
        <v>0</v>
      </c>
      <c r="CP35" s="37">
        <f>SUMIFS(Lançamentos!$F:$F,Lançamentos!$A:$A,CP$19,Lançamentos!$C:$C,"Impostos sobre Vendas")</f>
        <v>0</v>
      </c>
      <c r="CQ35" s="37">
        <f>SUMIFS(Lançamentos!$F:$F,Lançamentos!$A:$A,CQ$19,Lançamentos!$C:$C,"Impostos sobre Vendas")</f>
        <v>0</v>
      </c>
      <c r="CR35" s="37">
        <f>SUMIFS(Lançamentos!$F:$F,Lançamentos!$A:$A,CR$19,Lançamentos!$C:$C,"Impostos sobre Vendas")</f>
        <v>0</v>
      </c>
      <c r="CS35" s="37">
        <f>SUMIFS(Lançamentos!$F:$F,Lançamentos!$A:$A,CS$19,Lançamentos!$C:$C,"Impostos sobre Vendas")</f>
        <v>0</v>
      </c>
      <c r="CT35" s="37">
        <f>SUMIFS(Lançamentos!$F:$F,Lançamentos!$A:$A,CT$19,Lançamentos!$C:$C,"Impostos sobre Vendas")</f>
        <v>0</v>
      </c>
      <c r="CU35" s="37">
        <f>SUMIFS(Lançamentos!$F:$F,Lançamentos!$A:$A,CU$19,Lançamentos!$C:$C,"Impostos sobre Vendas")</f>
        <v>0</v>
      </c>
      <c r="CV35" s="37">
        <f>SUMIFS(Lançamentos!$F:$F,Lançamentos!$A:$A,CV$19,Lançamentos!$C:$C,"Impostos sobre Vendas")</f>
        <v>0</v>
      </c>
      <c r="CW35" s="37">
        <f>SUMIFS(Lançamentos!$F:$F,Lançamentos!$A:$A,CW$19,Lançamentos!$C:$C,"Impostos sobre Vendas")</f>
        <v>0</v>
      </c>
      <c r="CX35" s="37">
        <f>SUMIFS(Lançamentos!$F:$F,Lançamentos!$A:$A,CX$19,Lançamentos!$C:$C,"Impostos sobre Vendas")</f>
        <v>0</v>
      </c>
      <c r="CY35" s="37">
        <f>SUMIFS(Lançamentos!$F:$F,Lançamentos!$A:$A,CY$19,Lançamentos!$C:$C,"Impostos sobre Vendas")</f>
        <v>0</v>
      </c>
      <c r="CZ35" s="37">
        <f>SUMIFS(Lançamentos!$F:$F,Lançamentos!$A:$A,CZ$19,Lançamentos!$C:$C,"Impostos sobre Vendas")</f>
        <v>0</v>
      </c>
      <c r="DA35" s="37">
        <f>SUMIFS(Lançamentos!$F:$F,Lançamentos!$A:$A,DA$19,Lançamentos!$C:$C,"Impostos sobre Vendas")</f>
        <v>0</v>
      </c>
      <c r="DB35" s="37">
        <f>SUMIFS(Lançamentos!$F:$F,Lançamentos!$A:$A,DB$19,Lançamentos!$C:$C,"Impostos sobre Vendas")</f>
        <v>0</v>
      </c>
      <c r="DC35" s="37">
        <f>SUMIFS(Lançamentos!$F:$F,Lançamentos!$A:$A,DC$19,Lançamentos!$C:$C,"Impostos sobre Vendas")</f>
        <v>0</v>
      </c>
      <c r="DD35" s="37">
        <f>SUMIFS(Lançamentos!$F:$F,Lançamentos!$A:$A,DD$19,Lançamentos!$C:$C,"Impostos sobre Vendas")</f>
        <v>0</v>
      </c>
      <c r="DE35" s="37">
        <f>SUMIFS(Lançamentos!$F:$F,Lançamentos!$A:$A,DE$19,Lançamentos!$C:$C,"Impostos sobre Vendas")</f>
        <v>0</v>
      </c>
      <c r="DF35" s="37">
        <f>SUMIFS(Lançamentos!$F:$F,Lançamentos!$A:$A,DF$19,Lançamentos!$C:$C,"Impostos sobre Vendas")</f>
        <v>0</v>
      </c>
      <c r="DG35" s="37">
        <f>SUMIFS(Lançamentos!$F:$F,Lançamentos!$A:$A,DG$19,Lançamentos!$C:$C,"Impostos sobre Vendas")</f>
        <v>0</v>
      </c>
      <c r="DH35" s="37">
        <f>SUMIFS(Lançamentos!$F:$F,Lançamentos!$A:$A,DH$19,Lançamentos!$C:$C,"Impostos sobre Vendas")</f>
        <v>0</v>
      </c>
      <c r="DI35" s="37">
        <f>SUMIFS(Lançamentos!$F:$F,Lançamentos!$A:$A,DI$19,Lançamentos!$C:$C,"Impostos sobre Vendas")</f>
        <v>0</v>
      </c>
      <c r="DJ35" s="37">
        <f>SUMIFS(Lançamentos!$F:$F,Lançamentos!$A:$A,DJ$19,Lançamentos!$C:$C,"Impostos sobre Vendas")</f>
        <v>0</v>
      </c>
      <c r="DK35" s="37">
        <f>SUMIFS(Lançamentos!$F:$F,Lançamentos!$A:$A,DK$19,Lançamentos!$C:$C,"Impostos sobre Vendas")</f>
        <v>0</v>
      </c>
      <c r="DL35" s="37">
        <f>SUMIFS(Lançamentos!$F:$F,Lançamentos!$A:$A,DL$19,Lançamentos!$C:$C,"Impostos sobre Vendas")</f>
        <v>0</v>
      </c>
      <c r="DM35" s="37">
        <f>SUMIFS(Lançamentos!$F:$F,Lançamentos!$A:$A,DM$19,Lançamentos!$C:$C,"Impostos sobre Vendas")</f>
        <v>0</v>
      </c>
      <c r="DN35" s="37">
        <f>SUMIFS(Lançamentos!$F:$F,Lançamentos!$A:$A,DN$19,Lançamentos!$C:$C,"Impostos sobre Vendas")</f>
        <v>0</v>
      </c>
      <c r="DO35" s="37">
        <f>SUMIFS(Lançamentos!$F:$F,Lançamentos!$A:$A,DO$19,Lançamentos!$C:$C,"Impostos sobre Vendas")</f>
        <v>0</v>
      </c>
      <c r="DP35" s="37">
        <f>SUMIFS(Lançamentos!$F:$F,Lançamentos!$A:$A,DP$19,Lançamentos!$C:$C,"Impostos sobre Vendas")</f>
        <v>0</v>
      </c>
      <c r="DQ35" s="37">
        <f>SUMIFS(Lançamentos!$F:$F,Lançamentos!$A:$A,DQ$19,Lançamentos!$C:$C,"Impostos sobre Vendas")</f>
        <v>0</v>
      </c>
      <c r="DR35" s="37">
        <f>SUMIFS(Lançamentos!$F:$F,Lançamentos!$A:$A,DR$19,Lançamentos!$C:$C,"Impostos sobre Vendas")</f>
        <v>0</v>
      </c>
      <c r="DS35" s="37">
        <f>SUMIFS(Lançamentos!$F:$F,Lançamentos!$A:$A,DS$19,Lançamentos!$C:$C,"Impostos sobre Vendas")</f>
        <v>0</v>
      </c>
      <c r="DT35" s="37">
        <f>SUMIFS(Lançamentos!$F:$F,Lançamentos!$A:$A,DT$19,Lançamentos!$C:$C,"Impostos sobre Vendas")</f>
        <v>0</v>
      </c>
      <c r="DU35" s="37">
        <f>SUMIFS(Lançamentos!$F:$F,Lançamentos!$A:$A,DU$19,Lançamentos!$C:$C,"Impostos sobre Vendas")</f>
        <v>0</v>
      </c>
      <c r="DV35" s="37">
        <f>SUMIFS(Lançamentos!$F:$F,Lançamentos!$A:$A,DV$19,Lançamentos!$C:$C,"Impostos sobre Vendas")</f>
        <v>0</v>
      </c>
      <c r="DW35" s="37">
        <f>SUMIFS(Lançamentos!$F:$F,Lançamentos!$A:$A,DW$19,Lançamentos!$C:$C,"Impostos sobre Vendas")</f>
        <v>0</v>
      </c>
      <c r="DX35" s="37">
        <f>SUMIFS(Lançamentos!$F:$F,Lançamentos!$A:$A,DX$19,Lançamentos!$C:$C,"Impostos sobre Vendas")</f>
        <v>0</v>
      </c>
      <c r="DY35" s="37">
        <f>SUMIFS(Lançamentos!$F:$F,Lançamentos!$A:$A,DY$19,Lançamentos!$C:$C,"Impostos sobre Vendas")</f>
        <v>0</v>
      </c>
      <c r="DZ35" s="37">
        <f>SUMIFS(Lançamentos!$F:$F,Lançamentos!$A:$A,DZ$19,Lançamentos!$C:$C,"Impostos sobre Vendas")</f>
        <v>0</v>
      </c>
      <c r="EA35" s="37">
        <f>SUMIFS(Lançamentos!$F:$F,Lançamentos!$A:$A,EA$19,Lançamentos!$C:$C,"Impostos sobre Vendas")</f>
        <v>0</v>
      </c>
      <c r="EB35" s="37">
        <f>SUMIFS(Lançamentos!$F:$F,Lançamentos!$A:$A,EB$19,Lançamentos!$C:$C,"Impostos sobre Vendas")</f>
        <v>0</v>
      </c>
      <c r="EC35" s="37">
        <f>SUMIFS(Lançamentos!$F:$F,Lançamentos!$A:$A,EC$19,Lançamentos!$C:$C,"Impostos sobre Vendas")</f>
        <v>0</v>
      </c>
      <c r="ED35" s="37">
        <f>SUMIFS(Lançamentos!$F:$F,Lançamentos!$A:$A,ED$19,Lançamentos!$C:$C,"Impostos sobre Vendas")</f>
        <v>0</v>
      </c>
      <c r="EE35" s="37">
        <f>SUMIFS(Lançamentos!$F:$F,Lançamentos!$A:$A,EE$19,Lançamentos!$C:$C,"Impostos sobre Vendas")</f>
        <v>0</v>
      </c>
      <c r="EF35" s="37">
        <f>SUMIFS(Lançamentos!$F:$F,Lançamentos!$A:$A,EF$19,Lançamentos!$C:$C,"Impostos sobre Vendas")</f>
        <v>0</v>
      </c>
      <c r="EG35" s="37">
        <f>SUMIFS(Lançamentos!$F:$F,Lançamentos!$A:$A,EG$19,Lançamentos!$C:$C,"Impostos sobre Vendas")</f>
        <v>0</v>
      </c>
      <c r="EH35" s="37">
        <f>SUMIFS(Lançamentos!$F:$F,Lançamentos!$A:$A,EH$19,Lançamentos!$C:$C,"Impostos sobre Vendas")</f>
        <v>0</v>
      </c>
      <c r="EI35" s="37">
        <f>SUMIFS(Lançamentos!$F:$F,Lançamentos!$A:$A,EI$19,Lançamentos!$C:$C,"Impostos sobre Vendas")</f>
        <v>0</v>
      </c>
      <c r="EJ35" s="37">
        <f>SUMIFS(Lançamentos!$F:$F,Lançamentos!$A:$A,EJ$19,Lançamentos!$C:$C,"Impostos sobre Vendas")</f>
        <v>0</v>
      </c>
      <c r="EK35" s="37">
        <f>SUMIFS(Lançamentos!$F:$F,Lançamentos!$A:$A,EK$19,Lançamentos!$C:$C,"Impostos sobre Vendas")</f>
        <v>0</v>
      </c>
      <c r="EL35" s="37">
        <f>SUMIFS(Lançamentos!$F:$F,Lançamentos!$A:$A,EL$19,Lançamentos!$C:$C,"Impostos sobre Vendas")</f>
        <v>0</v>
      </c>
      <c r="EM35" s="37">
        <f>SUMIFS(Lançamentos!$F:$F,Lançamentos!$A:$A,EM$19,Lançamentos!$C:$C,"Impostos sobre Vendas")</f>
        <v>0</v>
      </c>
      <c r="EN35" s="37">
        <f>SUMIFS(Lançamentos!$F:$F,Lançamentos!$A:$A,EN$19,Lançamentos!$C:$C,"Impostos sobre Vendas")</f>
        <v>0</v>
      </c>
      <c r="EO35" s="37">
        <f>SUMIFS(Lançamentos!$F:$F,Lançamentos!$A:$A,EO$19,Lançamentos!$C:$C,"Impostos sobre Vendas")</f>
        <v>0</v>
      </c>
      <c r="EP35" s="37">
        <f>SUMIFS(Lançamentos!$F:$F,Lançamentos!$A:$A,EP$19,Lançamentos!$C:$C,"Impostos sobre Vendas")</f>
        <v>0</v>
      </c>
      <c r="EQ35" s="37">
        <f>SUMIFS(Lançamentos!$F:$F,Lançamentos!$A:$A,EQ$19,Lançamentos!$C:$C,"Impostos sobre Vendas")</f>
        <v>0</v>
      </c>
      <c r="ER35" s="37">
        <f>SUMIFS(Lançamentos!$F:$F,Lançamentos!$A:$A,ER$19,Lançamentos!$C:$C,"Impostos sobre Vendas")</f>
        <v>0</v>
      </c>
      <c r="ES35" s="37">
        <f>SUMIFS(Lançamentos!$F:$F,Lançamentos!$A:$A,ES$19,Lançamentos!$C:$C,"Impostos sobre Vendas")</f>
        <v>0</v>
      </c>
      <c r="ET35" s="37">
        <f>SUMIFS(Lançamentos!$F:$F,Lançamentos!$A:$A,ET$19,Lançamentos!$C:$C,"Impostos sobre Vendas")</f>
        <v>0</v>
      </c>
      <c r="EU35" s="37">
        <f>SUMIFS(Lançamentos!$F:$F,Lançamentos!$A:$A,EU$19,Lançamentos!$C:$C,"Impostos sobre Vendas")</f>
        <v>0</v>
      </c>
      <c r="EV35" s="37">
        <f>SUMIFS(Lançamentos!$F:$F,Lançamentos!$A:$A,EV$19,Lançamentos!$C:$C,"Impostos sobre Vendas")</f>
        <v>0</v>
      </c>
      <c r="EW35" s="37">
        <f>SUMIFS(Lançamentos!$F:$F,Lançamentos!$A:$A,EW$19,Lançamentos!$C:$C,"Impostos sobre Vendas")</f>
        <v>0</v>
      </c>
      <c r="EX35" s="37">
        <f>SUMIFS(Lançamentos!$F:$F,Lançamentos!$A:$A,EX$19,Lançamentos!$C:$C,"Impostos sobre Vendas")</f>
        <v>0</v>
      </c>
      <c r="EY35" s="37">
        <f>SUMIFS(Lançamentos!$F:$F,Lançamentos!$A:$A,EY$19,Lançamentos!$C:$C,"Impostos sobre Vendas")</f>
        <v>0</v>
      </c>
      <c r="EZ35" s="37">
        <f>SUMIFS(Lançamentos!$F:$F,Lançamentos!$A:$A,EZ$19,Lançamentos!$C:$C,"Impostos sobre Vendas")</f>
        <v>0</v>
      </c>
      <c r="FA35" s="37">
        <f>SUMIFS(Lançamentos!$F:$F,Lançamentos!$A:$A,FA$19,Lançamentos!$C:$C,"Impostos sobre Vendas")</f>
        <v>0</v>
      </c>
      <c r="FB35" s="37">
        <f>SUMIFS(Lançamentos!$F:$F,Lançamentos!$A:$A,FB$19,Lançamentos!$C:$C,"Impostos sobre Vendas")</f>
        <v>0</v>
      </c>
      <c r="FC35" s="37">
        <f>SUMIFS(Lançamentos!$F:$F,Lançamentos!$A:$A,FC$19,Lançamentos!$C:$C,"Impostos sobre Vendas")</f>
        <v>0</v>
      </c>
      <c r="FD35" s="37">
        <f>SUMIFS(Lançamentos!$F:$F,Lançamentos!$A:$A,FD$19,Lançamentos!$C:$C,"Impostos sobre Vendas")</f>
        <v>0</v>
      </c>
      <c r="FE35" s="37">
        <f>SUMIFS(Lançamentos!$F:$F,Lançamentos!$A:$A,FE$19,Lançamentos!$C:$C,"Impostos sobre Vendas")</f>
        <v>0</v>
      </c>
      <c r="FF35" s="37">
        <f>SUMIFS(Lançamentos!$F:$F,Lançamentos!$A:$A,FF$19,Lançamentos!$C:$C,"Impostos sobre Vendas")</f>
        <v>0</v>
      </c>
      <c r="FG35" s="37">
        <f>SUMIFS(Lançamentos!$F:$F,Lançamentos!$A:$A,FG$19,Lançamentos!$C:$C,"Impostos sobre Vendas")</f>
        <v>0</v>
      </c>
      <c r="FH35" s="37">
        <f>SUMIFS(Lançamentos!$F:$F,Lançamentos!$A:$A,FH$19,Lançamentos!$C:$C,"Impostos sobre Vendas")</f>
        <v>0</v>
      </c>
      <c r="FI35" s="37">
        <f>SUMIFS(Lançamentos!$F:$F,Lançamentos!$A:$A,FI$19,Lançamentos!$C:$C,"Impostos sobre Vendas")</f>
        <v>0</v>
      </c>
      <c r="FJ35" s="37">
        <f>SUMIFS(Lançamentos!$F:$F,Lançamentos!$A:$A,FJ$19,Lançamentos!$C:$C,"Impostos sobre Vendas")</f>
        <v>0</v>
      </c>
      <c r="FK35" s="37">
        <f>SUMIFS(Lançamentos!$F:$F,Lançamentos!$A:$A,FK$19,Lançamentos!$C:$C,"Impostos sobre Vendas")</f>
        <v>0</v>
      </c>
      <c r="FL35" s="37">
        <f>SUMIFS(Lançamentos!$F:$F,Lançamentos!$A:$A,FL$19,Lançamentos!$C:$C,"Impostos sobre Vendas")</f>
        <v>0</v>
      </c>
      <c r="FM35" s="37">
        <f>SUMIFS(Lançamentos!$F:$F,Lançamentos!$A:$A,FM$19,Lançamentos!$C:$C,"Impostos sobre Vendas")</f>
        <v>0</v>
      </c>
      <c r="FN35" s="37">
        <f>SUMIFS(Lançamentos!$F:$F,Lançamentos!$A:$A,FN$19,Lançamentos!$C:$C,"Impostos sobre Vendas")</f>
        <v>0</v>
      </c>
      <c r="FO35" s="37">
        <f>SUMIFS(Lançamentos!$F:$F,Lançamentos!$A:$A,FO$19,Lançamentos!$C:$C,"Impostos sobre Vendas")</f>
        <v>0</v>
      </c>
      <c r="FP35" s="37">
        <f>SUMIFS(Lançamentos!$F:$F,Lançamentos!$A:$A,FP$19,Lançamentos!$C:$C,"Impostos sobre Vendas")</f>
        <v>0</v>
      </c>
      <c r="FQ35" s="37">
        <f>SUMIFS(Lançamentos!$F:$F,Lançamentos!$A:$A,FQ$19,Lançamentos!$C:$C,"Impostos sobre Vendas")</f>
        <v>0</v>
      </c>
      <c r="FR35" s="37">
        <f>SUMIFS(Lançamentos!$F:$F,Lançamentos!$A:$A,FR$19,Lançamentos!$C:$C,"Impostos sobre Vendas")</f>
        <v>0</v>
      </c>
      <c r="FS35" s="37">
        <f>SUMIFS(Lançamentos!$F:$F,Lançamentos!$A:$A,FS$19,Lançamentos!$C:$C,"Impostos sobre Vendas")</f>
        <v>0</v>
      </c>
      <c r="FT35" s="37">
        <f>SUMIFS(Lançamentos!$F:$F,Lançamentos!$A:$A,FT$19,Lançamentos!$C:$C,"Impostos sobre Vendas")</f>
        <v>0</v>
      </c>
      <c r="FU35" s="37">
        <f>SUMIFS(Lançamentos!$F:$F,Lançamentos!$A:$A,FU$19,Lançamentos!$C:$C,"Impostos sobre Vendas")</f>
        <v>0</v>
      </c>
      <c r="FV35" s="37">
        <f>SUMIFS(Lançamentos!$F:$F,Lançamentos!$A:$A,FV$19,Lançamentos!$C:$C,"Impostos sobre Vendas")</f>
        <v>0</v>
      </c>
      <c r="FW35" s="37">
        <f>SUMIFS(Lançamentos!$F:$F,Lançamentos!$A:$A,FW$19,Lançamentos!$C:$C,"Impostos sobre Vendas")</f>
        <v>0</v>
      </c>
      <c r="FX35" s="37">
        <f>SUMIFS(Lançamentos!$F:$F,Lançamentos!$A:$A,FX$19,Lançamentos!$C:$C,"Impostos sobre Vendas")</f>
        <v>0</v>
      </c>
      <c r="FY35" s="37">
        <f>SUMIFS(Lançamentos!$F:$F,Lançamentos!$A:$A,FY$19,Lançamentos!$C:$C,"Impostos sobre Vendas")</f>
        <v>0</v>
      </c>
      <c r="FZ35" s="37">
        <f>SUMIFS(Lançamentos!$F:$F,Lançamentos!$A:$A,FZ$19,Lançamentos!$C:$C,"Impostos sobre Vendas")</f>
        <v>0</v>
      </c>
      <c r="GA35" s="37">
        <f>SUMIFS(Lançamentos!$F:$F,Lançamentos!$A:$A,GA$19,Lançamentos!$C:$C,"Impostos sobre Vendas")</f>
        <v>0</v>
      </c>
      <c r="GB35" s="37">
        <f>SUMIFS(Lançamentos!$F:$F,Lançamentos!$A:$A,GB$19,Lançamentos!$C:$C,"Impostos sobre Vendas")</f>
        <v>0</v>
      </c>
      <c r="GC35" s="37">
        <f>SUMIFS(Lançamentos!$F:$F,Lançamentos!$A:$A,GC$19,Lançamentos!$C:$C,"Impostos sobre Vendas")</f>
        <v>0</v>
      </c>
      <c r="GD35" s="37">
        <f>SUMIFS(Lançamentos!$F:$F,Lançamentos!$A:$A,GD$19,Lançamentos!$C:$C,"Impostos sobre Vendas")</f>
        <v>0</v>
      </c>
      <c r="GE35" s="37">
        <f>SUMIFS(Lançamentos!$F:$F,Lançamentos!$A:$A,GE$19,Lançamentos!$C:$C,"Impostos sobre Vendas")</f>
        <v>0</v>
      </c>
      <c r="GF35" s="37">
        <f>SUMIFS(Lançamentos!$F:$F,Lançamentos!$A:$A,GF$19,Lançamentos!$C:$C,"Impostos sobre Vendas")</f>
        <v>0</v>
      </c>
      <c r="GG35" s="37">
        <f>SUMIFS(Lançamentos!$F:$F,Lançamentos!$A:$A,GG$19,Lançamentos!$C:$C,"Impostos sobre Vendas")</f>
        <v>0</v>
      </c>
      <c r="GH35" s="37">
        <f>SUMIFS(Lançamentos!$F:$F,Lançamentos!$A:$A,GH$19,Lançamentos!$C:$C,"Impostos sobre Vendas")</f>
        <v>0</v>
      </c>
      <c r="GI35" s="37">
        <f>SUMIFS(Lançamentos!$F:$F,Lançamentos!$A:$A,GI$19,Lançamentos!$C:$C,"Impostos sobre Vendas")</f>
        <v>0</v>
      </c>
      <c r="GJ35" s="37">
        <f>SUMIFS(Lançamentos!$F:$F,Lançamentos!$A:$A,GJ$19,Lançamentos!$C:$C,"Impostos sobre Vendas")</f>
        <v>0</v>
      </c>
      <c r="GK35" s="37">
        <f>SUMIFS(Lançamentos!$F:$F,Lançamentos!$A:$A,GK$19,Lançamentos!$C:$C,"Impostos sobre Vendas")</f>
        <v>0</v>
      </c>
      <c r="GL35" s="37">
        <f>SUMIFS(Lançamentos!$F:$F,Lançamentos!$A:$A,GL$19,Lançamentos!$C:$C,"Impostos sobre Vendas")</f>
        <v>0</v>
      </c>
      <c r="GM35" s="37">
        <f>SUMIFS(Lançamentos!$F:$F,Lançamentos!$A:$A,GM$19,Lançamentos!$C:$C,"Impostos sobre Vendas")</f>
        <v>0</v>
      </c>
      <c r="GN35" s="37">
        <f>SUMIFS(Lançamentos!$F:$F,Lançamentos!$A:$A,GN$19,Lançamentos!$C:$C,"Impostos sobre Vendas")</f>
        <v>0</v>
      </c>
      <c r="GO35" s="37">
        <f>SUMIFS(Lançamentos!$F:$F,Lançamentos!$A:$A,GO$19,Lançamentos!$C:$C,"Impostos sobre Vendas")</f>
        <v>0</v>
      </c>
      <c r="GP35" s="37">
        <f>SUMIFS(Lançamentos!$F:$F,Lançamentos!$A:$A,GP$19,Lançamentos!$C:$C,"Impostos sobre Vendas")</f>
        <v>0</v>
      </c>
      <c r="GQ35" s="37">
        <f>SUMIFS(Lançamentos!$F:$F,Lançamentos!$A:$A,GQ$19,Lançamentos!$C:$C,"Impostos sobre Vendas")</f>
        <v>0</v>
      </c>
      <c r="GR35" s="37">
        <f>SUMIFS(Lançamentos!$F:$F,Lançamentos!$A:$A,GR$19,Lançamentos!$C:$C,"Impostos sobre Vendas")</f>
        <v>0</v>
      </c>
      <c r="GS35" s="37">
        <f>SUMIFS(Lançamentos!$F:$F,Lançamentos!$A:$A,GS$19,Lançamentos!$C:$C,"Impostos sobre Vendas")</f>
        <v>0</v>
      </c>
      <c r="GT35" s="37">
        <f>SUMIFS(Lançamentos!$F:$F,Lançamentos!$A:$A,GT$19,Lançamentos!$C:$C,"Impostos sobre Vendas")</f>
        <v>0</v>
      </c>
      <c r="GU35" s="37">
        <f>SUMIFS(Lançamentos!$F:$F,Lançamentos!$A:$A,GU$19,Lançamentos!$C:$C,"Impostos sobre Vendas")</f>
        <v>0</v>
      </c>
      <c r="GV35" s="37">
        <f>SUMIFS(Lançamentos!$F:$F,Lançamentos!$A:$A,GV$19,Lançamentos!$C:$C,"Impostos sobre Vendas")</f>
        <v>0</v>
      </c>
      <c r="GW35" s="37">
        <f>SUMIFS(Lançamentos!$F:$F,Lançamentos!$A:$A,GW$19,Lançamentos!$C:$C,"Impostos sobre Vendas")</f>
        <v>0</v>
      </c>
      <c r="GX35" s="37">
        <f>SUMIFS(Lançamentos!$F:$F,Lançamentos!$A:$A,GX$19,Lançamentos!$C:$C,"Impostos sobre Vendas")</f>
        <v>0</v>
      </c>
      <c r="GY35" s="37">
        <f>SUMIFS(Lançamentos!$F:$F,Lançamentos!$A:$A,GY$19,Lançamentos!$C:$C,"Impostos sobre Vendas")</f>
        <v>0</v>
      </c>
      <c r="GZ35" s="37">
        <f>SUMIFS(Lançamentos!$F:$F,Lançamentos!$A:$A,GZ$19,Lançamentos!$C:$C,"Impostos sobre Vendas")</f>
        <v>0</v>
      </c>
      <c r="HA35" s="37">
        <f>SUMIFS(Lançamentos!$F:$F,Lançamentos!$A:$A,HA$19,Lançamentos!$C:$C,"Impostos sobre Vendas")</f>
        <v>0</v>
      </c>
      <c r="HB35" s="37">
        <f>SUMIFS(Lançamentos!$F:$F,Lançamentos!$A:$A,HB$19,Lançamentos!$C:$C,"Impostos sobre Vendas")</f>
        <v>0</v>
      </c>
      <c r="HC35" s="37">
        <f>SUMIFS(Lançamentos!$F:$F,Lançamentos!$A:$A,HC$19,Lançamentos!$C:$C,"Impostos sobre Vendas")</f>
        <v>0</v>
      </c>
      <c r="HD35" s="37">
        <f>SUMIFS(Lançamentos!$F:$F,Lançamentos!$A:$A,HD$19,Lançamentos!$C:$C,"Impostos sobre Vendas")</f>
        <v>0</v>
      </c>
      <c r="HE35" s="37">
        <f>SUMIFS(Lançamentos!$F:$F,Lançamentos!$A:$A,HE$19,Lançamentos!$C:$C,"Impostos sobre Vendas")</f>
        <v>0</v>
      </c>
      <c r="HF35" s="37">
        <f>SUMIFS(Lançamentos!$F:$F,Lançamentos!$A:$A,HF$19,Lançamentos!$C:$C,"Impostos sobre Vendas")</f>
        <v>0</v>
      </c>
      <c r="HG35" s="37">
        <f>SUMIFS(Lançamentos!$F:$F,Lançamentos!$A:$A,HG$19,Lançamentos!$C:$C,"Impostos sobre Vendas")</f>
        <v>0</v>
      </c>
      <c r="HH35" s="37">
        <f>SUMIFS(Lançamentos!$F:$F,Lançamentos!$A:$A,HH$19,Lançamentos!$C:$C,"Impostos sobre Vendas")</f>
        <v>0</v>
      </c>
      <c r="HI35" s="37">
        <f>SUMIFS(Lançamentos!$F:$F,Lançamentos!$A:$A,HI$19,Lançamentos!$C:$C,"Impostos sobre Vendas")</f>
        <v>0</v>
      </c>
      <c r="HJ35" s="37">
        <f>SUMIFS(Lançamentos!$F:$F,Lançamentos!$A:$A,HJ$19,Lançamentos!$C:$C,"Impostos sobre Vendas")</f>
        <v>0</v>
      </c>
      <c r="HK35" s="37">
        <f>SUMIFS(Lançamentos!$F:$F,Lançamentos!$A:$A,HK$19,Lançamentos!$C:$C,"Impostos sobre Vendas")</f>
        <v>0</v>
      </c>
      <c r="HL35" s="37">
        <f>SUMIFS(Lançamentos!$F:$F,Lançamentos!$A:$A,HL$19,Lançamentos!$C:$C,"Impostos sobre Vendas")</f>
        <v>0</v>
      </c>
      <c r="HM35" s="37">
        <f>SUMIFS(Lançamentos!$F:$F,Lançamentos!$A:$A,HM$19,Lançamentos!$C:$C,"Impostos sobre Vendas")</f>
        <v>0</v>
      </c>
      <c r="HN35" s="37">
        <f>SUMIFS(Lançamentos!$F:$F,Lançamentos!$A:$A,HN$19,Lançamentos!$C:$C,"Impostos sobre Vendas")</f>
        <v>0</v>
      </c>
      <c r="HO35" s="37">
        <f>SUMIFS(Lançamentos!$F:$F,Lançamentos!$A:$A,HO$19,Lançamentos!$C:$C,"Impostos sobre Vendas")</f>
        <v>0</v>
      </c>
      <c r="HP35" s="37">
        <f>SUMIFS(Lançamentos!$F:$F,Lançamentos!$A:$A,HP$19,Lançamentos!$C:$C,"Impostos sobre Vendas")</f>
        <v>0</v>
      </c>
      <c r="HQ35" s="37">
        <f>SUMIFS(Lançamentos!$F:$F,Lançamentos!$A:$A,HQ$19,Lançamentos!$C:$C,"Impostos sobre Vendas")</f>
        <v>0</v>
      </c>
      <c r="HR35" s="37">
        <f>SUMIFS(Lançamentos!$F:$F,Lançamentos!$A:$A,HR$19,Lançamentos!$C:$C,"Impostos sobre Vendas")</f>
        <v>0</v>
      </c>
      <c r="HS35" s="37">
        <f>SUMIFS(Lançamentos!$F:$F,Lançamentos!$A:$A,HS$19,Lançamentos!$C:$C,"Impostos sobre Vendas")</f>
        <v>0</v>
      </c>
      <c r="HT35" s="37">
        <f>SUMIFS(Lançamentos!$F:$F,Lançamentos!$A:$A,HT$19,Lançamentos!$C:$C,"Impostos sobre Vendas")</f>
        <v>0</v>
      </c>
      <c r="HU35" s="37">
        <f>SUMIFS(Lançamentos!$F:$F,Lançamentos!$A:$A,HU$19,Lançamentos!$C:$C,"Impostos sobre Vendas")</f>
        <v>0</v>
      </c>
      <c r="HV35" s="37">
        <f>SUMIFS(Lançamentos!$F:$F,Lançamentos!$A:$A,HV$19,Lançamentos!$C:$C,"Impostos sobre Vendas")</f>
        <v>0</v>
      </c>
      <c r="HW35" s="37">
        <f>SUMIFS(Lançamentos!$F:$F,Lançamentos!$A:$A,HW$19,Lançamentos!$C:$C,"Impostos sobre Vendas")</f>
        <v>0</v>
      </c>
      <c r="HX35" s="37">
        <f>SUMIFS(Lançamentos!$F:$F,Lançamentos!$A:$A,HX$19,Lançamentos!$C:$C,"Impostos sobre Vendas")</f>
        <v>0</v>
      </c>
      <c r="HY35" s="37">
        <f>SUMIFS(Lançamentos!$F:$F,Lançamentos!$A:$A,HY$19,Lançamentos!$C:$C,"Impostos sobre Vendas")</f>
        <v>0</v>
      </c>
      <c r="HZ35" s="37">
        <f>SUMIFS(Lançamentos!$F:$F,Lançamentos!$A:$A,HZ$19,Lançamentos!$C:$C,"Impostos sobre Vendas")</f>
        <v>0</v>
      </c>
      <c r="IA35" s="37">
        <f>SUMIFS(Lançamentos!$F:$F,Lançamentos!$A:$A,IA$19,Lançamentos!$C:$C,"Impostos sobre Vendas")</f>
        <v>0</v>
      </c>
      <c r="IB35" s="37">
        <f>SUMIFS(Lançamentos!$F:$F,Lançamentos!$A:$A,IB$19,Lançamentos!$C:$C,"Impostos sobre Vendas")</f>
        <v>0</v>
      </c>
      <c r="IC35" s="37">
        <f>SUMIFS(Lançamentos!$F:$F,Lançamentos!$A:$A,IC$19,Lançamentos!$C:$C,"Impostos sobre Vendas")</f>
        <v>0</v>
      </c>
      <c r="ID35" s="37">
        <f>SUMIFS(Lançamentos!$F:$F,Lançamentos!$A:$A,ID$19,Lançamentos!$C:$C,"Impostos sobre Vendas")</f>
        <v>0</v>
      </c>
      <c r="IE35" s="37">
        <f>SUMIFS(Lançamentos!$F:$F,Lançamentos!$A:$A,IE$19,Lançamentos!$C:$C,"Impostos sobre Vendas")</f>
        <v>0</v>
      </c>
      <c r="IF35" s="37">
        <f>SUMIFS(Lançamentos!$F:$F,Lançamentos!$A:$A,IF$19,Lançamentos!$C:$C,"Impostos sobre Vendas")</f>
        <v>0</v>
      </c>
      <c r="IG35" s="37">
        <f>SUMIFS(Lançamentos!$F:$F,Lançamentos!$A:$A,IG$19,Lançamentos!$C:$C,"Impostos sobre Vendas")</f>
        <v>0</v>
      </c>
      <c r="IH35" s="37">
        <f>SUMIFS(Lançamentos!$F:$F,Lançamentos!$A:$A,IH$19,Lançamentos!$C:$C,"Impostos sobre Vendas")</f>
        <v>0</v>
      </c>
      <c r="II35" s="37">
        <f>SUMIFS(Lançamentos!$F:$F,Lançamentos!$A:$A,II$19,Lançamentos!$C:$C,"Impostos sobre Vendas")</f>
        <v>0</v>
      </c>
      <c r="IJ35" s="37">
        <f>SUMIFS(Lançamentos!$F:$F,Lançamentos!$A:$A,IJ$19,Lançamentos!$C:$C,"Impostos sobre Vendas")</f>
        <v>0</v>
      </c>
      <c r="IK35" s="37">
        <f>SUMIFS(Lançamentos!$F:$F,Lançamentos!$A:$A,IK$19,Lançamentos!$C:$C,"Impostos sobre Vendas")</f>
        <v>0</v>
      </c>
      <c r="IL35" s="37">
        <f>SUMIFS(Lançamentos!$F:$F,Lançamentos!$A:$A,IL$19,Lançamentos!$C:$C,"Impostos sobre Vendas")</f>
        <v>0</v>
      </c>
    </row>
    <row r="36" spans="1:246" x14ac:dyDescent="0.3">
      <c r="A36" t="s">
        <v>9</v>
      </c>
      <c r="B36" s="37">
        <f>SUMIFS(Lançamentos!$F:$F,Lançamentos!$A:$A,B$19,Lançamentos!$C:$C,"Devoluções")</f>
        <v>0</v>
      </c>
      <c r="C36" s="37">
        <f>SUMIFS(Lançamentos!$F:$F,Lançamentos!$A:$A,C$19,Lançamentos!$C:$C,"Devoluções")</f>
        <v>0</v>
      </c>
      <c r="D36" s="37">
        <f>SUMIFS(Lançamentos!$F:$F,Lançamentos!$A:$A,D$19,Lançamentos!$C:$C,"Devoluções")</f>
        <v>0</v>
      </c>
      <c r="E36" s="37">
        <f>SUMIFS(Lançamentos!$F:$F,Lançamentos!$A:$A,E$19,Lançamentos!$C:$C,"Devoluções")</f>
        <v>0</v>
      </c>
      <c r="F36" s="37">
        <f>SUMIFS(Lançamentos!$F:$F,Lançamentos!$A:$A,F$19,Lançamentos!$C:$C,"Devoluções")</f>
        <v>0</v>
      </c>
      <c r="G36" s="37">
        <f>SUMIFS(Lançamentos!$F:$F,Lançamentos!$A:$A,G$19,Lançamentos!$C:$C,"Devoluções")</f>
        <v>0</v>
      </c>
      <c r="H36" s="37">
        <f>SUMIFS(Lançamentos!$F:$F,Lançamentos!$A:$A,H$19,Lançamentos!$C:$C,"Devoluções")</f>
        <v>0</v>
      </c>
      <c r="I36" s="37">
        <f>SUMIFS(Lançamentos!$F:$F,Lançamentos!$A:$A,I$19,Lançamentos!$C:$C,"Devoluções")</f>
        <v>0</v>
      </c>
      <c r="J36" s="37">
        <f>SUMIFS(Lançamentos!$F:$F,Lançamentos!$A:$A,J$19,Lançamentos!$C:$C,"Devoluções")</f>
        <v>0</v>
      </c>
      <c r="K36" s="37">
        <f>SUMIFS(Lançamentos!$F:$F,Lançamentos!$A:$A,K$19,Lançamentos!$C:$C,"Devoluções")</f>
        <v>0</v>
      </c>
      <c r="L36" s="37">
        <f>SUMIFS(Lançamentos!$F:$F,Lançamentos!$A:$A,L$19,Lançamentos!$C:$C,"Devoluções")</f>
        <v>0</v>
      </c>
      <c r="M36" s="37">
        <f>SUMIFS(Lançamentos!$F:$F,Lançamentos!$A:$A,M$19,Lançamentos!$C:$C,"Devoluções")</f>
        <v>0</v>
      </c>
      <c r="N36" s="37">
        <f>SUMIFS(Lançamentos!$F:$F,Lançamentos!$A:$A,N$19,Lançamentos!$C:$C,"Devoluções")</f>
        <v>0</v>
      </c>
      <c r="O36" s="37">
        <f>SUMIFS(Lançamentos!$F:$F,Lançamentos!$A:$A,O$19,Lançamentos!$C:$C,"Devoluções")</f>
        <v>0</v>
      </c>
      <c r="P36" s="37">
        <f>SUMIFS(Lançamentos!$F:$F,Lançamentos!$A:$A,P$19,Lançamentos!$C:$C,"Devoluções")</f>
        <v>0</v>
      </c>
      <c r="Q36" s="37">
        <f>SUMIFS(Lançamentos!$F:$F,Lançamentos!$A:$A,Q$19,Lançamentos!$C:$C,"Devoluções")</f>
        <v>0</v>
      </c>
      <c r="R36" s="37">
        <f>SUMIFS(Lançamentos!$F:$F,Lançamentos!$A:$A,R$19,Lançamentos!$C:$C,"Devoluções")</f>
        <v>0</v>
      </c>
      <c r="S36" s="37">
        <f>SUMIFS(Lançamentos!$F:$F,Lançamentos!$A:$A,S$19,Lançamentos!$C:$C,"Devoluções")</f>
        <v>0</v>
      </c>
      <c r="T36" s="37">
        <f>SUMIFS(Lançamentos!$F:$F,Lançamentos!$A:$A,T$19,Lançamentos!$C:$C,"Devoluções")</f>
        <v>0</v>
      </c>
      <c r="U36" s="37">
        <f>SUMIFS(Lançamentos!$F:$F,Lançamentos!$A:$A,U$19,Lançamentos!$C:$C,"Devoluções")</f>
        <v>0</v>
      </c>
      <c r="V36" s="37">
        <f>SUMIFS(Lançamentos!$F:$F,Lançamentos!$A:$A,V$19,Lançamentos!$C:$C,"Devoluções")</f>
        <v>0</v>
      </c>
      <c r="W36" s="37">
        <f>SUMIFS(Lançamentos!$F:$F,Lançamentos!$A:$A,W$19,Lançamentos!$C:$C,"Devoluções")</f>
        <v>0</v>
      </c>
      <c r="X36" s="37">
        <f>SUMIFS(Lançamentos!$F:$F,Lançamentos!$A:$A,X$19,Lançamentos!$C:$C,"Devoluções")</f>
        <v>0</v>
      </c>
      <c r="Y36" s="37">
        <f>SUMIFS(Lançamentos!$F:$F,Lançamentos!$A:$A,Y$19,Lançamentos!$C:$C,"Devoluções")</f>
        <v>0</v>
      </c>
      <c r="Z36" s="37">
        <f>SUMIFS(Lançamentos!$F:$F,Lançamentos!$A:$A,Z$19,Lançamentos!$C:$C,"Devoluções")</f>
        <v>0</v>
      </c>
      <c r="AA36" s="37">
        <f>SUMIFS(Lançamentos!$F:$F,Lançamentos!$A:$A,AA$19,Lançamentos!$C:$C,"Devoluções")</f>
        <v>0</v>
      </c>
      <c r="AB36" s="37">
        <f>SUMIFS(Lançamentos!$F:$F,Lançamentos!$A:$A,AB$19,Lançamentos!$C:$C,"Devoluções")</f>
        <v>0</v>
      </c>
      <c r="AC36" s="37">
        <f>SUMIFS(Lançamentos!$F:$F,Lançamentos!$A:$A,AC$19,Lançamentos!$C:$C,"Devoluções")</f>
        <v>0</v>
      </c>
      <c r="AD36" s="37">
        <f>SUMIFS(Lançamentos!$F:$F,Lançamentos!$A:$A,AD$19,Lançamentos!$C:$C,"Devoluções")</f>
        <v>0</v>
      </c>
      <c r="AE36" s="37">
        <f>SUMIFS(Lançamentos!$F:$F,Lançamentos!$A:$A,AE$19,Lançamentos!$C:$C,"Devoluções")</f>
        <v>0</v>
      </c>
      <c r="AF36" s="37">
        <f>SUMIFS(Lançamentos!$F:$F,Lançamentos!$A:$A,AF$19,Lançamentos!$C:$C,"Devoluções")</f>
        <v>0</v>
      </c>
      <c r="AG36" s="37">
        <f>SUMIFS(Lançamentos!$F:$F,Lançamentos!$A:$A,AG$19,Lançamentos!$C:$C,"Devoluções")</f>
        <v>0</v>
      </c>
      <c r="AH36" s="37">
        <f>SUMIFS(Lançamentos!$F:$F,Lançamentos!$A:$A,AH$19,Lançamentos!$C:$C,"Devoluções")</f>
        <v>0</v>
      </c>
      <c r="AI36" s="37">
        <f>SUMIFS(Lançamentos!$F:$F,Lançamentos!$A:$A,AI$19,Lançamentos!$C:$C,"Devoluções")</f>
        <v>0</v>
      </c>
      <c r="AJ36" s="37">
        <f>SUMIFS(Lançamentos!$F:$F,Lançamentos!$A:$A,AJ$19,Lançamentos!$C:$C,"Devoluções")</f>
        <v>0</v>
      </c>
      <c r="AK36" s="37">
        <f>SUMIFS(Lançamentos!$F:$F,Lançamentos!$A:$A,AK$19,Lançamentos!$C:$C,"Devoluções")</f>
        <v>0</v>
      </c>
      <c r="AL36" s="37">
        <f>SUMIFS(Lançamentos!$F:$F,Lançamentos!$A:$A,AL$19,Lançamentos!$C:$C,"Devoluções")</f>
        <v>0</v>
      </c>
      <c r="AM36" s="37">
        <f>SUMIFS(Lançamentos!$F:$F,Lançamentos!$A:$A,AM$19,Lançamentos!$C:$C,"Devoluções")</f>
        <v>0</v>
      </c>
      <c r="AN36" s="37">
        <f>SUMIFS(Lançamentos!$F:$F,Lançamentos!$A:$A,AN$19,Lançamentos!$C:$C,"Devoluções")</f>
        <v>0</v>
      </c>
      <c r="AO36" s="37">
        <f>SUMIFS(Lançamentos!$F:$F,Lançamentos!$A:$A,AO$19,Lançamentos!$C:$C,"Devoluções")</f>
        <v>0</v>
      </c>
      <c r="AP36" s="37">
        <f>SUMIFS(Lançamentos!$F:$F,Lançamentos!$A:$A,AP$19,Lançamentos!$C:$C,"Devoluções")</f>
        <v>0</v>
      </c>
      <c r="AQ36" s="37">
        <f>SUMIFS(Lançamentos!$F:$F,Lançamentos!$A:$A,AQ$19,Lançamentos!$C:$C,"Devoluções")</f>
        <v>0</v>
      </c>
      <c r="AR36" s="37">
        <f>SUMIFS(Lançamentos!$F:$F,Lançamentos!$A:$A,AR$19,Lançamentos!$C:$C,"Devoluções")</f>
        <v>0</v>
      </c>
      <c r="AS36" s="37">
        <f>SUMIFS(Lançamentos!$F:$F,Lançamentos!$A:$A,AS$19,Lançamentos!$C:$C,"Devoluções")</f>
        <v>0</v>
      </c>
      <c r="AT36" s="37">
        <f>SUMIFS(Lançamentos!$F:$F,Lançamentos!$A:$A,AT$19,Lançamentos!$C:$C,"Devoluções")</f>
        <v>0</v>
      </c>
      <c r="AU36" s="37">
        <f>SUMIFS(Lançamentos!$F:$F,Lançamentos!$A:$A,AU$19,Lançamentos!$C:$C,"Devoluções")</f>
        <v>0</v>
      </c>
      <c r="AV36" s="37">
        <f>SUMIFS(Lançamentos!$F:$F,Lançamentos!$A:$A,AV$19,Lançamentos!$C:$C,"Devoluções")</f>
        <v>0</v>
      </c>
      <c r="AW36" s="37">
        <f>SUMIFS(Lançamentos!$F:$F,Lançamentos!$A:$A,AW$19,Lançamentos!$C:$C,"Devoluções")</f>
        <v>0</v>
      </c>
      <c r="AX36" s="37">
        <f>SUMIFS(Lançamentos!$F:$F,Lançamentos!$A:$A,AX$19,Lançamentos!$C:$C,"Devoluções")</f>
        <v>0</v>
      </c>
      <c r="AY36" s="37">
        <f>SUMIFS(Lançamentos!$F:$F,Lançamentos!$A:$A,AY$19,Lançamentos!$C:$C,"Devoluções")</f>
        <v>0</v>
      </c>
      <c r="AZ36" s="37">
        <f>SUMIFS(Lançamentos!$F:$F,Lançamentos!$A:$A,AZ$19,Lançamentos!$C:$C,"Devoluções")</f>
        <v>0</v>
      </c>
      <c r="BA36" s="37">
        <f>SUMIFS(Lançamentos!$F:$F,Lançamentos!$A:$A,BA$19,Lançamentos!$C:$C,"Devoluções")</f>
        <v>0</v>
      </c>
      <c r="BB36" s="37">
        <f>SUMIFS(Lançamentos!$F:$F,Lançamentos!$A:$A,BB$19,Lançamentos!$C:$C,"Devoluções")</f>
        <v>0</v>
      </c>
      <c r="BC36" s="37">
        <f>SUMIFS(Lançamentos!$F:$F,Lançamentos!$A:$A,BC$19,Lançamentos!$C:$C,"Devoluções")</f>
        <v>0</v>
      </c>
      <c r="BD36" s="37">
        <f>SUMIFS(Lançamentos!$F:$F,Lançamentos!$A:$A,BD$19,Lançamentos!$C:$C,"Devoluções")</f>
        <v>0</v>
      </c>
      <c r="BE36" s="37">
        <f>SUMIFS(Lançamentos!$F:$F,Lançamentos!$A:$A,BE$19,Lançamentos!$C:$C,"Devoluções")</f>
        <v>0</v>
      </c>
      <c r="BF36" s="37">
        <f>SUMIFS(Lançamentos!$F:$F,Lançamentos!$A:$A,BF$19,Lançamentos!$C:$C,"Devoluções")</f>
        <v>0</v>
      </c>
      <c r="BG36" s="37">
        <f>SUMIFS(Lançamentos!$F:$F,Lançamentos!$A:$A,BG$19,Lançamentos!$C:$C,"Devoluções")</f>
        <v>0</v>
      </c>
      <c r="BH36" s="37">
        <f>SUMIFS(Lançamentos!$F:$F,Lançamentos!$A:$A,BH$19,Lançamentos!$C:$C,"Devoluções")</f>
        <v>0</v>
      </c>
      <c r="BI36" s="37">
        <f>SUMIFS(Lançamentos!$F:$F,Lançamentos!$A:$A,BI$19,Lançamentos!$C:$C,"Devoluções")</f>
        <v>0</v>
      </c>
      <c r="BJ36" s="37">
        <f>SUMIFS(Lançamentos!$F:$F,Lançamentos!$A:$A,BJ$19,Lançamentos!$C:$C,"Devoluções")</f>
        <v>0</v>
      </c>
      <c r="BK36" s="37">
        <f>SUMIFS(Lançamentos!$F:$F,Lançamentos!$A:$A,BK$19,Lançamentos!$C:$C,"Devoluções")</f>
        <v>0</v>
      </c>
      <c r="BL36" s="37">
        <f>SUMIFS(Lançamentos!$F:$F,Lançamentos!$A:$A,BL$19,Lançamentos!$C:$C,"Devoluções")</f>
        <v>0</v>
      </c>
      <c r="BM36" s="37">
        <f>SUMIFS(Lançamentos!$F:$F,Lançamentos!$A:$A,BM$19,Lançamentos!$C:$C,"Devoluções")</f>
        <v>0</v>
      </c>
      <c r="BN36" s="37">
        <f>SUMIFS(Lançamentos!$F:$F,Lançamentos!$A:$A,BN$19,Lançamentos!$C:$C,"Devoluções")</f>
        <v>0</v>
      </c>
      <c r="BO36" s="37">
        <f>SUMIFS(Lançamentos!$F:$F,Lançamentos!$A:$A,BO$19,Lançamentos!$C:$C,"Devoluções")</f>
        <v>0</v>
      </c>
      <c r="BP36" s="37">
        <f>SUMIFS(Lançamentos!$F:$F,Lançamentos!$A:$A,BP$19,Lançamentos!$C:$C,"Devoluções")</f>
        <v>0</v>
      </c>
      <c r="BQ36" s="37">
        <f>SUMIFS(Lançamentos!$F:$F,Lançamentos!$A:$A,BQ$19,Lançamentos!$C:$C,"Devoluções")</f>
        <v>0</v>
      </c>
      <c r="BR36" s="37">
        <f>SUMIFS(Lançamentos!$F:$F,Lançamentos!$A:$A,BR$19,Lançamentos!$C:$C,"Devoluções")</f>
        <v>0</v>
      </c>
      <c r="BS36" s="37">
        <f>SUMIFS(Lançamentos!$F:$F,Lançamentos!$A:$A,BS$19,Lançamentos!$C:$C,"Devoluções")</f>
        <v>0</v>
      </c>
      <c r="BT36" s="37">
        <f>SUMIFS(Lançamentos!$F:$F,Lançamentos!$A:$A,BT$19,Lançamentos!$C:$C,"Devoluções")</f>
        <v>0</v>
      </c>
      <c r="BU36" s="37">
        <f>SUMIFS(Lançamentos!$F:$F,Lançamentos!$A:$A,BU$19,Lançamentos!$C:$C,"Devoluções")</f>
        <v>0</v>
      </c>
      <c r="BV36" s="37">
        <f>SUMIFS(Lançamentos!$F:$F,Lançamentos!$A:$A,BV$19,Lançamentos!$C:$C,"Devoluções")</f>
        <v>0</v>
      </c>
      <c r="BW36" s="37">
        <f>SUMIFS(Lançamentos!$F:$F,Lançamentos!$A:$A,BW$19,Lançamentos!$C:$C,"Devoluções")</f>
        <v>0</v>
      </c>
      <c r="BX36" s="37">
        <f>SUMIFS(Lançamentos!$F:$F,Lançamentos!$A:$A,BX$19,Lançamentos!$C:$C,"Devoluções")</f>
        <v>0</v>
      </c>
      <c r="BY36" s="37">
        <f>SUMIFS(Lançamentos!$F:$F,Lançamentos!$A:$A,BY$19,Lançamentos!$C:$C,"Devoluções")</f>
        <v>0</v>
      </c>
      <c r="BZ36" s="37">
        <f>SUMIFS(Lançamentos!$F:$F,Lançamentos!$A:$A,BZ$19,Lançamentos!$C:$C,"Devoluções")</f>
        <v>0</v>
      </c>
      <c r="CA36" s="37">
        <f>SUMIFS(Lançamentos!$F:$F,Lançamentos!$A:$A,CA$19,Lançamentos!$C:$C,"Devoluções")</f>
        <v>0</v>
      </c>
      <c r="CB36" s="37">
        <f>SUMIFS(Lançamentos!$F:$F,Lançamentos!$A:$A,CB$19,Lançamentos!$C:$C,"Devoluções")</f>
        <v>0</v>
      </c>
      <c r="CC36" s="37">
        <f>SUMIFS(Lançamentos!$F:$F,Lançamentos!$A:$A,CC$19,Lançamentos!$C:$C,"Devoluções")</f>
        <v>0</v>
      </c>
      <c r="CD36" s="37">
        <f>SUMIFS(Lançamentos!$F:$F,Lançamentos!$A:$A,CD$19,Lançamentos!$C:$C,"Devoluções")</f>
        <v>0</v>
      </c>
      <c r="CE36" s="37">
        <f>SUMIFS(Lançamentos!$F:$F,Lançamentos!$A:$A,CE$19,Lançamentos!$C:$C,"Devoluções")</f>
        <v>0</v>
      </c>
      <c r="CF36" s="37">
        <f>SUMIFS(Lançamentos!$F:$F,Lançamentos!$A:$A,CF$19,Lançamentos!$C:$C,"Devoluções")</f>
        <v>0</v>
      </c>
      <c r="CG36" s="37">
        <f>SUMIFS(Lançamentos!$F:$F,Lançamentos!$A:$A,CG$19,Lançamentos!$C:$C,"Devoluções")</f>
        <v>0</v>
      </c>
      <c r="CH36" s="37">
        <f>SUMIFS(Lançamentos!$F:$F,Lançamentos!$A:$A,CH$19,Lançamentos!$C:$C,"Devoluções")</f>
        <v>0</v>
      </c>
      <c r="CI36" s="37">
        <f>SUMIFS(Lançamentos!$F:$F,Lançamentos!$A:$A,CI$19,Lançamentos!$C:$C,"Devoluções")</f>
        <v>0</v>
      </c>
      <c r="CJ36" s="37">
        <f>SUMIFS(Lançamentos!$F:$F,Lançamentos!$A:$A,CJ$19,Lançamentos!$C:$C,"Devoluções")</f>
        <v>0</v>
      </c>
      <c r="CK36" s="37">
        <f>SUMIFS(Lançamentos!$F:$F,Lançamentos!$A:$A,CK$19,Lançamentos!$C:$C,"Devoluções")</f>
        <v>0</v>
      </c>
      <c r="CL36" s="37">
        <f>SUMIFS(Lançamentos!$F:$F,Lançamentos!$A:$A,CL$19,Lançamentos!$C:$C,"Devoluções")</f>
        <v>0</v>
      </c>
      <c r="CM36" s="37">
        <f>SUMIFS(Lançamentos!$F:$F,Lançamentos!$A:$A,CM$19,Lançamentos!$C:$C,"Devoluções")</f>
        <v>0</v>
      </c>
      <c r="CN36" s="37">
        <f>SUMIFS(Lançamentos!$F:$F,Lançamentos!$A:$A,CN$19,Lançamentos!$C:$C,"Devoluções")</f>
        <v>0</v>
      </c>
      <c r="CO36" s="37">
        <f>SUMIFS(Lançamentos!$F:$F,Lançamentos!$A:$A,CO$19,Lançamentos!$C:$C,"Devoluções")</f>
        <v>0</v>
      </c>
      <c r="CP36" s="37">
        <f>SUMIFS(Lançamentos!$F:$F,Lançamentos!$A:$A,CP$19,Lançamentos!$C:$C,"Devoluções")</f>
        <v>0</v>
      </c>
      <c r="CQ36" s="37">
        <f>SUMIFS(Lançamentos!$F:$F,Lançamentos!$A:$A,CQ$19,Lançamentos!$C:$C,"Devoluções")</f>
        <v>0</v>
      </c>
      <c r="CR36" s="37">
        <f>SUMIFS(Lançamentos!$F:$F,Lançamentos!$A:$A,CR$19,Lançamentos!$C:$C,"Devoluções")</f>
        <v>0</v>
      </c>
      <c r="CS36" s="37">
        <f>SUMIFS(Lançamentos!$F:$F,Lançamentos!$A:$A,CS$19,Lançamentos!$C:$C,"Devoluções")</f>
        <v>0</v>
      </c>
      <c r="CT36" s="37">
        <f>SUMIFS(Lançamentos!$F:$F,Lançamentos!$A:$A,CT$19,Lançamentos!$C:$C,"Devoluções")</f>
        <v>0</v>
      </c>
      <c r="CU36" s="37">
        <f>SUMIFS(Lançamentos!$F:$F,Lançamentos!$A:$A,CU$19,Lançamentos!$C:$C,"Devoluções")</f>
        <v>0</v>
      </c>
      <c r="CV36" s="37">
        <f>SUMIFS(Lançamentos!$F:$F,Lançamentos!$A:$A,CV$19,Lançamentos!$C:$C,"Devoluções")</f>
        <v>0</v>
      </c>
      <c r="CW36" s="37">
        <f>SUMIFS(Lançamentos!$F:$F,Lançamentos!$A:$A,CW$19,Lançamentos!$C:$C,"Devoluções")</f>
        <v>0</v>
      </c>
      <c r="CX36" s="37">
        <f>SUMIFS(Lançamentos!$F:$F,Lançamentos!$A:$A,CX$19,Lançamentos!$C:$C,"Devoluções")</f>
        <v>0</v>
      </c>
      <c r="CY36" s="37">
        <f>SUMIFS(Lançamentos!$F:$F,Lançamentos!$A:$A,CY$19,Lançamentos!$C:$C,"Devoluções")</f>
        <v>0</v>
      </c>
      <c r="CZ36" s="37">
        <f>SUMIFS(Lançamentos!$F:$F,Lançamentos!$A:$A,CZ$19,Lançamentos!$C:$C,"Devoluções")</f>
        <v>0</v>
      </c>
      <c r="DA36" s="37">
        <f>SUMIFS(Lançamentos!$F:$F,Lançamentos!$A:$A,DA$19,Lançamentos!$C:$C,"Devoluções")</f>
        <v>0</v>
      </c>
      <c r="DB36" s="37">
        <f>SUMIFS(Lançamentos!$F:$F,Lançamentos!$A:$A,DB$19,Lançamentos!$C:$C,"Devoluções")</f>
        <v>0</v>
      </c>
      <c r="DC36" s="37">
        <f>SUMIFS(Lançamentos!$F:$F,Lançamentos!$A:$A,DC$19,Lançamentos!$C:$C,"Devoluções")</f>
        <v>0</v>
      </c>
      <c r="DD36" s="37">
        <f>SUMIFS(Lançamentos!$F:$F,Lançamentos!$A:$A,DD$19,Lançamentos!$C:$C,"Devoluções")</f>
        <v>0</v>
      </c>
      <c r="DE36" s="37">
        <f>SUMIFS(Lançamentos!$F:$F,Lançamentos!$A:$A,DE$19,Lançamentos!$C:$C,"Devoluções")</f>
        <v>0</v>
      </c>
      <c r="DF36" s="37">
        <f>SUMIFS(Lançamentos!$F:$F,Lançamentos!$A:$A,DF$19,Lançamentos!$C:$C,"Devoluções")</f>
        <v>0</v>
      </c>
      <c r="DG36" s="37">
        <f>SUMIFS(Lançamentos!$F:$F,Lançamentos!$A:$A,DG$19,Lançamentos!$C:$C,"Devoluções")</f>
        <v>0</v>
      </c>
      <c r="DH36" s="37">
        <f>SUMIFS(Lançamentos!$F:$F,Lançamentos!$A:$A,DH$19,Lançamentos!$C:$C,"Devoluções")</f>
        <v>0</v>
      </c>
      <c r="DI36" s="37">
        <f>SUMIFS(Lançamentos!$F:$F,Lançamentos!$A:$A,DI$19,Lançamentos!$C:$C,"Devoluções")</f>
        <v>0</v>
      </c>
      <c r="DJ36" s="37">
        <f>SUMIFS(Lançamentos!$F:$F,Lançamentos!$A:$A,DJ$19,Lançamentos!$C:$C,"Devoluções")</f>
        <v>0</v>
      </c>
      <c r="DK36" s="37">
        <f>SUMIFS(Lançamentos!$F:$F,Lançamentos!$A:$A,DK$19,Lançamentos!$C:$C,"Devoluções")</f>
        <v>0</v>
      </c>
      <c r="DL36" s="37">
        <f>SUMIFS(Lançamentos!$F:$F,Lançamentos!$A:$A,DL$19,Lançamentos!$C:$C,"Devoluções")</f>
        <v>0</v>
      </c>
      <c r="DM36" s="37">
        <f>SUMIFS(Lançamentos!$F:$F,Lançamentos!$A:$A,DM$19,Lançamentos!$C:$C,"Devoluções")</f>
        <v>0</v>
      </c>
      <c r="DN36" s="37">
        <f>SUMIFS(Lançamentos!$F:$F,Lançamentos!$A:$A,DN$19,Lançamentos!$C:$C,"Devoluções")</f>
        <v>0</v>
      </c>
      <c r="DO36" s="37">
        <f>SUMIFS(Lançamentos!$F:$F,Lançamentos!$A:$A,DO$19,Lançamentos!$C:$C,"Devoluções")</f>
        <v>0</v>
      </c>
      <c r="DP36" s="37">
        <f>SUMIFS(Lançamentos!$F:$F,Lançamentos!$A:$A,DP$19,Lançamentos!$C:$C,"Devoluções")</f>
        <v>0</v>
      </c>
      <c r="DQ36" s="37">
        <f>SUMIFS(Lançamentos!$F:$F,Lançamentos!$A:$A,DQ$19,Lançamentos!$C:$C,"Devoluções")</f>
        <v>0</v>
      </c>
      <c r="DR36" s="37">
        <f>SUMIFS(Lançamentos!$F:$F,Lançamentos!$A:$A,DR$19,Lançamentos!$C:$C,"Devoluções")</f>
        <v>0</v>
      </c>
      <c r="DS36" s="37">
        <f>SUMIFS(Lançamentos!$F:$F,Lançamentos!$A:$A,DS$19,Lançamentos!$C:$C,"Devoluções")</f>
        <v>0</v>
      </c>
      <c r="DT36" s="37">
        <f>SUMIFS(Lançamentos!$F:$F,Lançamentos!$A:$A,DT$19,Lançamentos!$C:$C,"Devoluções")</f>
        <v>0</v>
      </c>
      <c r="DU36" s="37">
        <f>SUMIFS(Lançamentos!$F:$F,Lançamentos!$A:$A,DU$19,Lançamentos!$C:$C,"Devoluções")</f>
        <v>0</v>
      </c>
      <c r="DV36" s="37">
        <f>SUMIFS(Lançamentos!$F:$F,Lançamentos!$A:$A,DV$19,Lançamentos!$C:$C,"Devoluções")</f>
        <v>0</v>
      </c>
      <c r="DW36" s="37">
        <f>SUMIFS(Lançamentos!$F:$F,Lançamentos!$A:$A,DW$19,Lançamentos!$C:$C,"Devoluções")</f>
        <v>0</v>
      </c>
      <c r="DX36" s="37">
        <f>SUMIFS(Lançamentos!$F:$F,Lançamentos!$A:$A,DX$19,Lançamentos!$C:$C,"Devoluções")</f>
        <v>0</v>
      </c>
      <c r="DY36" s="37">
        <f>SUMIFS(Lançamentos!$F:$F,Lançamentos!$A:$A,DY$19,Lançamentos!$C:$C,"Devoluções")</f>
        <v>0</v>
      </c>
      <c r="DZ36" s="37">
        <f>SUMIFS(Lançamentos!$F:$F,Lançamentos!$A:$A,DZ$19,Lançamentos!$C:$C,"Devoluções")</f>
        <v>0</v>
      </c>
      <c r="EA36" s="37">
        <f>SUMIFS(Lançamentos!$F:$F,Lançamentos!$A:$A,EA$19,Lançamentos!$C:$C,"Devoluções")</f>
        <v>0</v>
      </c>
      <c r="EB36" s="37">
        <f>SUMIFS(Lançamentos!$F:$F,Lançamentos!$A:$A,EB$19,Lançamentos!$C:$C,"Devoluções")</f>
        <v>0</v>
      </c>
      <c r="EC36" s="37">
        <f>SUMIFS(Lançamentos!$F:$F,Lançamentos!$A:$A,EC$19,Lançamentos!$C:$C,"Devoluções")</f>
        <v>0</v>
      </c>
      <c r="ED36" s="37">
        <f>SUMIFS(Lançamentos!$F:$F,Lançamentos!$A:$A,ED$19,Lançamentos!$C:$C,"Devoluções")</f>
        <v>0</v>
      </c>
      <c r="EE36" s="37">
        <f>SUMIFS(Lançamentos!$F:$F,Lançamentos!$A:$A,EE$19,Lançamentos!$C:$C,"Devoluções")</f>
        <v>0</v>
      </c>
      <c r="EF36" s="37">
        <f>SUMIFS(Lançamentos!$F:$F,Lançamentos!$A:$A,EF$19,Lançamentos!$C:$C,"Devoluções")</f>
        <v>0</v>
      </c>
      <c r="EG36" s="37">
        <f>SUMIFS(Lançamentos!$F:$F,Lançamentos!$A:$A,EG$19,Lançamentos!$C:$C,"Devoluções")</f>
        <v>0</v>
      </c>
      <c r="EH36" s="37">
        <f>SUMIFS(Lançamentos!$F:$F,Lançamentos!$A:$A,EH$19,Lançamentos!$C:$C,"Devoluções")</f>
        <v>0</v>
      </c>
      <c r="EI36" s="37">
        <f>SUMIFS(Lançamentos!$F:$F,Lançamentos!$A:$A,EI$19,Lançamentos!$C:$C,"Devoluções")</f>
        <v>0</v>
      </c>
      <c r="EJ36" s="37">
        <f>SUMIFS(Lançamentos!$F:$F,Lançamentos!$A:$A,EJ$19,Lançamentos!$C:$C,"Devoluções")</f>
        <v>0</v>
      </c>
      <c r="EK36" s="37">
        <f>SUMIFS(Lançamentos!$F:$F,Lançamentos!$A:$A,EK$19,Lançamentos!$C:$C,"Devoluções")</f>
        <v>0</v>
      </c>
      <c r="EL36" s="37">
        <f>SUMIFS(Lançamentos!$F:$F,Lançamentos!$A:$A,EL$19,Lançamentos!$C:$C,"Devoluções")</f>
        <v>0</v>
      </c>
      <c r="EM36" s="37">
        <f>SUMIFS(Lançamentos!$F:$F,Lançamentos!$A:$A,EM$19,Lançamentos!$C:$C,"Devoluções")</f>
        <v>0</v>
      </c>
      <c r="EN36" s="37">
        <f>SUMIFS(Lançamentos!$F:$F,Lançamentos!$A:$A,EN$19,Lançamentos!$C:$C,"Devoluções")</f>
        <v>0</v>
      </c>
      <c r="EO36" s="37">
        <f>SUMIFS(Lançamentos!$F:$F,Lançamentos!$A:$A,EO$19,Lançamentos!$C:$C,"Devoluções")</f>
        <v>0</v>
      </c>
      <c r="EP36" s="37">
        <f>SUMIFS(Lançamentos!$F:$F,Lançamentos!$A:$A,EP$19,Lançamentos!$C:$C,"Devoluções")</f>
        <v>0</v>
      </c>
      <c r="EQ36" s="37">
        <f>SUMIFS(Lançamentos!$F:$F,Lançamentos!$A:$A,EQ$19,Lançamentos!$C:$C,"Devoluções")</f>
        <v>0</v>
      </c>
      <c r="ER36" s="37">
        <f>SUMIFS(Lançamentos!$F:$F,Lançamentos!$A:$A,ER$19,Lançamentos!$C:$C,"Devoluções")</f>
        <v>0</v>
      </c>
      <c r="ES36" s="37">
        <f>SUMIFS(Lançamentos!$F:$F,Lançamentos!$A:$A,ES$19,Lançamentos!$C:$C,"Devoluções")</f>
        <v>0</v>
      </c>
      <c r="ET36" s="37">
        <f>SUMIFS(Lançamentos!$F:$F,Lançamentos!$A:$A,ET$19,Lançamentos!$C:$C,"Devoluções")</f>
        <v>0</v>
      </c>
      <c r="EU36" s="37">
        <f>SUMIFS(Lançamentos!$F:$F,Lançamentos!$A:$A,EU$19,Lançamentos!$C:$C,"Devoluções")</f>
        <v>0</v>
      </c>
      <c r="EV36" s="37">
        <f>SUMIFS(Lançamentos!$F:$F,Lançamentos!$A:$A,EV$19,Lançamentos!$C:$C,"Devoluções")</f>
        <v>0</v>
      </c>
      <c r="EW36" s="37">
        <f>SUMIFS(Lançamentos!$F:$F,Lançamentos!$A:$A,EW$19,Lançamentos!$C:$C,"Devoluções")</f>
        <v>0</v>
      </c>
      <c r="EX36" s="37">
        <f>SUMIFS(Lançamentos!$F:$F,Lançamentos!$A:$A,EX$19,Lançamentos!$C:$C,"Devoluções")</f>
        <v>0</v>
      </c>
      <c r="EY36" s="37">
        <f>SUMIFS(Lançamentos!$F:$F,Lançamentos!$A:$A,EY$19,Lançamentos!$C:$C,"Devoluções")</f>
        <v>0</v>
      </c>
      <c r="EZ36" s="37">
        <f>SUMIFS(Lançamentos!$F:$F,Lançamentos!$A:$A,EZ$19,Lançamentos!$C:$C,"Devoluções")</f>
        <v>0</v>
      </c>
      <c r="FA36" s="37">
        <f>SUMIFS(Lançamentos!$F:$F,Lançamentos!$A:$A,FA$19,Lançamentos!$C:$C,"Devoluções")</f>
        <v>0</v>
      </c>
      <c r="FB36" s="37">
        <f>SUMIFS(Lançamentos!$F:$F,Lançamentos!$A:$A,FB$19,Lançamentos!$C:$C,"Devoluções")</f>
        <v>0</v>
      </c>
      <c r="FC36" s="37">
        <f>SUMIFS(Lançamentos!$F:$F,Lançamentos!$A:$A,FC$19,Lançamentos!$C:$C,"Devoluções")</f>
        <v>0</v>
      </c>
      <c r="FD36" s="37">
        <f>SUMIFS(Lançamentos!$F:$F,Lançamentos!$A:$A,FD$19,Lançamentos!$C:$C,"Devoluções")</f>
        <v>0</v>
      </c>
      <c r="FE36" s="37">
        <f>SUMIFS(Lançamentos!$F:$F,Lançamentos!$A:$A,FE$19,Lançamentos!$C:$C,"Devoluções")</f>
        <v>0</v>
      </c>
      <c r="FF36" s="37">
        <f>SUMIFS(Lançamentos!$F:$F,Lançamentos!$A:$A,FF$19,Lançamentos!$C:$C,"Devoluções")</f>
        <v>0</v>
      </c>
      <c r="FG36" s="37">
        <f>SUMIFS(Lançamentos!$F:$F,Lançamentos!$A:$A,FG$19,Lançamentos!$C:$C,"Devoluções")</f>
        <v>0</v>
      </c>
      <c r="FH36" s="37">
        <f>SUMIFS(Lançamentos!$F:$F,Lançamentos!$A:$A,FH$19,Lançamentos!$C:$C,"Devoluções")</f>
        <v>0</v>
      </c>
      <c r="FI36" s="37">
        <f>SUMIFS(Lançamentos!$F:$F,Lançamentos!$A:$A,FI$19,Lançamentos!$C:$C,"Devoluções")</f>
        <v>0</v>
      </c>
      <c r="FJ36" s="37">
        <f>SUMIFS(Lançamentos!$F:$F,Lançamentos!$A:$A,FJ$19,Lançamentos!$C:$C,"Devoluções")</f>
        <v>0</v>
      </c>
      <c r="FK36" s="37">
        <f>SUMIFS(Lançamentos!$F:$F,Lançamentos!$A:$A,FK$19,Lançamentos!$C:$C,"Devoluções")</f>
        <v>0</v>
      </c>
      <c r="FL36" s="37">
        <f>SUMIFS(Lançamentos!$F:$F,Lançamentos!$A:$A,FL$19,Lançamentos!$C:$C,"Devoluções")</f>
        <v>0</v>
      </c>
      <c r="FM36" s="37">
        <f>SUMIFS(Lançamentos!$F:$F,Lançamentos!$A:$A,FM$19,Lançamentos!$C:$C,"Devoluções")</f>
        <v>0</v>
      </c>
      <c r="FN36" s="37">
        <f>SUMIFS(Lançamentos!$F:$F,Lançamentos!$A:$A,FN$19,Lançamentos!$C:$C,"Devoluções")</f>
        <v>0</v>
      </c>
      <c r="FO36" s="37">
        <f>SUMIFS(Lançamentos!$F:$F,Lançamentos!$A:$A,FO$19,Lançamentos!$C:$C,"Devoluções")</f>
        <v>0</v>
      </c>
      <c r="FP36" s="37">
        <f>SUMIFS(Lançamentos!$F:$F,Lançamentos!$A:$A,FP$19,Lançamentos!$C:$C,"Devoluções")</f>
        <v>0</v>
      </c>
      <c r="FQ36" s="37">
        <f>SUMIFS(Lançamentos!$F:$F,Lançamentos!$A:$A,FQ$19,Lançamentos!$C:$C,"Devoluções")</f>
        <v>0</v>
      </c>
      <c r="FR36" s="37">
        <f>SUMIFS(Lançamentos!$F:$F,Lançamentos!$A:$A,FR$19,Lançamentos!$C:$C,"Devoluções")</f>
        <v>0</v>
      </c>
      <c r="FS36" s="37">
        <f>SUMIFS(Lançamentos!$F:$F,Lançamentos!$A:$A,FS$19,Lançamentos!$C:$C,"Devoluções")</f>
        <v>0</v>
      </c>
      <c r="FT36" s="37">
        <f>SUMIFS(Lançamentos!$F:$F,Lançamentos!$A:$A,FT$19,Lançamentos!$C:$C,"Devoluções")</f>
        <v>0</v>
      </c>
      <c r="FU36" s="37">
        <f>SUMIFS(Lançamentos!$F:$F,Lançamentos!$A:$A,FU$19,Lançamentos!$C:$C,"Devoluções")</f>
        <v>0</v>
      </c>
      <c r="FV36" s="37">
        <f>SUMIFS(Lançamentos!$F:$F,Lançamentos!$A:$A,FV$19,Lançamentos!$C:$C,"Devoluções")</f>
        <v>0</v>
      </c>
      <c r="FW36" s="37">
        <f>SUMIFS(Lançamentos!$F:$F,Lançamentos!$A:$A,FW$19,Lançamentos!$C:$C,"Devoluções")</f>
        <v>0</v>
      </c>
      <c r="FX36" s="37">
        <f>SUMIFS(Lançamentos!$F:$F,Lançamentos!$A:$A,FX$19,Lançamentos!$C:$C,"Devoluções")</f>
        <v>0</v>
      </c>
      <c r="FY36" s="37">
        <f>SUMIFS(Lançamentos!$F:$F,Lançamentos!$A:$A,FY$19,Lançamentos!$C:$C,"Devoluções")</f>
        <v>0</v>
      </c>
      <c r="FZ36" s="37">
        <f>SUMIFS(Lançamentos!$F:$F,Lançamentos!$A:$A,FZ$19,Lançamentos!$C:$C,"Devoluções")</f>
        <v>0</v>
      </c>
      <c r="GA36" s="37">
        <f>SUMIFS(Lançamentos!$F:$F,Lançamentos!$A:$A,GA$19,Lançamentos!$C:$C,"Devoluções")</f>
        <v>0</v>
      </c>
      <c r="GB36" s="37">
        <f>SUMIFS(Lançamentos!$F:$F,Lançamentos!$A:$A,GB$19,Lançamentos!$C:$C,"Devoluções")</f>
        <v>0</v>
      </c>
      <c r="GC36" s="37">
        <f>SUMIFS(Lançamentos!$F:$F,Lançamentos!$A:$A,GC$19,Lançamentos!$C:$C,"Devoluções")</f>
        <v>0</v>
      </c>
      <c r="GD36" s="37">
        <f>SUMIFS(Lançamentos!$F:$F,Lançamentos!$A:$A,GD$19,Lançamentos!$C:$C,"Devoluções")</f>
        <v>0</v>
      </c>
      <c r="GE36" s="37">
        <f>SUMIFS(Lançamentos!$F:$F,Lançamentos!$A:$A,GE$19,Lançamentos!$C:$C,"Devoluções")</f>
        <v>0</v>
      </c>
      <c r="GF36" s="37">
        <f>SUMIFS(Lançamentos!$F:$F,Lançamentos!$A:$A,GF$19,Lançamentos!$C:$C,"Devoluções")</f>
        <v>0</v>
      </c>
      <c r="GG36" s="37">
        <f>SUMIFS(Lançamentos!$F:$F,Lançamentos!$A:$A,GG$19,Lançamentos!$C:$C,"Devoluções")</f>
        <v>0</v>
      </c>
      <c r="GH36" s="37">
        <f>SUMIFS(Lançamentos!$F:$F,Lançamentos!$A:$A,GH$19,Lançamentos!$C:$C,"Devoluções")</f>
        <v>0</v>
      </c>
      <c r="GI36" s="37">
        <f>SUMIFS(Lançamentos!$F:$F,Lançamentos!$A:$A,GI$19,Lançamentos!$C:$C,"Devoluções")</f>
        <v>0</v>
      </c>
      <c r="GJ36" s="37">
        <f>SUMIFS(Lançamentos!$F:$F,Lançamentos!$A:$A,GJ$19,Lançamentos!$C:$C,"Devoluções")</f>
        <v>0</v>
      </c>
      <c r="GK36" s="37">
        <f>SUMIFS(Lançamentos!$F:$F,Lançamentos!$A:$A,GK$19,Lançamentos!$C:$C,"Devoluções")</f>
        <v>0</v>
      </c>
      <c r="GL36" s="37">
        <f>SUMIFS(Lançamentos!$F:$F,Lançamentos!$A:$A,GL$19,Lançamentos!$C:$C,"Devoluções")</f>
        <v>0</v>
      </c>
      <c r="GM36" s="37">
        <f>SUMIFS(Lançamentos!$F:$F,Lançamentos!$A:$A,GM$19,Lançamentos!$C:$C,"Devoluções")</f>
        <v>0</v>
      </c>
      <c r="GN36" s="37">
        <f>SUMIFS(Lançamentos!$F:$F,Lançamentos!$A:$A,GN$19,Lançamentos!$C:$C,"Devoluções")</f>
        <v>0</v>
      </c>
      <c r="GO36" s="37">
        <f>SUMIFS(Lançamentos!$F:$F,Lançamentos!$A:$A,GO$19,Lançamentos!$C:$C,"Devoluções")</f>
        <v>0</v>
      </c>
      <c r="GP36" s="37">
        <f>SUMIFS(Lançamentos!$F:$F,Lançamentos!$A:$A,GP$19,Lançamentos!$C:$C,"Devoluções")</f>
        <v>0</v>
      </c>
      <c r="GQ36" s="37">
        <f>SUMIFS(Lançamentos!$F:$F,Lançamentos!$A:$A,GQ$19,Lançamentos!$C:$C,"Devoluções")</f>
        <v>0</v>
      </c>
      <c r="GR36" s="37">
        <f>SUMIFS(Lançamentos!$F:$F,Lançamentos!$A:$A,GR$19,Lançamentos!$C:$C,"Devoluções")</f>
        <v>0</v>
      </c>
      <c r="GS36" s="37">
        <f>SUMIFS(Lançamentos!$F:$F,Lançamentos!$A:$A,GS$19,Lançamentos!$C:$C,"Devoluções")</f>
        <v>0</v>
      </c>
      <c r="GT36" s="37">
        <f>SUMIFS(Lançamentos!$F:$F,Lançamentos!$A:$A,GT$19,Lançamentos!$C:$C,"Devoluções")</f>
        <v>0</v>
      </c>
      <c r="GU36" s="37">
        <f>SUMIFS(Lançamentos!$F:$F,Lançamentos!$A:$A,GU$19,Lançamentos!$C:$C,"Devoluções")</f>
        <v>0</v>
      </c>
      <c r="GV36" s="37">
        <f>SUMIFS(Lançamentos!$F:$F,Lançamentos!$A:$A,GV$19,Lançamentos!$C:$C,"Devoluções")</f>
        <v>0</v>
      </c>
      <c r="GW36" s="37">
        <f>SUMIFS(Lançamentos!$F:$F,Lançamentos!$A:$A,GW$19,Lançamentos!$C:$C,"Devoluções")</f>
        <v>0</v>
      </c>
      <c r="GX36" s="37">
        <f>SUMIFS(Lançamentos!$F:$F,Lançamentos!$A:$A,GX$19,Lançamentos!$C:$C,"Devoluções")</f>
        <v>0</v>
      </c>
      <c r="GY36" s="37">
        <f>SUMIFS(Lançamentos!$F:$F,Lançamentos!$A:$A,GY$19,Lançamentos!$C:$C,"Devoluções")</f>
        <v>0</v>
      </c>
      <c r="GZ36" s="37">
        <f>SUMIFS(Lançamentos!$F:$F,Lançamentos!$A:$A,GZ$19,Lançamentos!$C:$C,"Devoluções")</f>
        <v>0</v>
      </c>
      <c r="HA36" s="37">
        <f>SUMIFS(Lançamentos!$F:$F,Lançamentos!$A:$A,HA$19,Lançamentos!$C:$C,"Devoluções")</f>
        <v>0</v>
      </c>
      <c r="HB36" s="37">
        <f>SUMIFS(Lançamentos!$F:$F,Lançamentos!$A:$A,HB$19,Lançamentos!$C:$C,"Devoluções")</f>
        <v>0</v>
      </c>
      <c r="HC36" s="37">
        <f>SUMIFS(Lançamentos!$F:$F,Lançamentos!$A:$A,HC$19,Lançamentos!$C:$C,"Devoluções")</f>
        <v>0</v>
      </c>
      <c r="HD36" s="37">
        <f>SUMIFS(Lançamentos!$F:$F,Lançamentos!$A:$A,HD$19,Lançamentos!$C:$C,"Devoluções")</f>
        <v>0</v>
      </c>
      <c r="HE36" s="37">
        <f>SUMIFS(Lançamentos!$F:$F,Lançamentos!$A:$A,HE$19,Lançamentos!$C:$C,"Devoluções")</f>
        <v>0</v>
      </c>
      <c r="HF36" s="37">
        <f>SUMIFS(Lançamentos!$F:$F,Lançamentos!$A:$A,HF$19,Lançamentos!$C:$C,"Devoluções")</f>
        <v>0</v>
      </c>
      <c r="HG36" s="37">
        <f>SUMIFS(Lançamentos!$F:$F,Lançamentos!$A:$A,HG$19,Lançamentos!$C:$C,"Devoluções")</f>
        <v>0</v>
      </c>
      <c r="HH36" s="37">
        <f>SUMIFS(Lançamentos!$F:$F,Lançamentos!$A:$A,HH$19,Lançamentos!$C:$C,"Devoluções")</f>
        <v>0</v>
      </c>
      <c r="HI36" s="37">
        <f>SUMIFS(Lançamentos!$F:$F,Lançamentos!$A:$A,HI$19,Lançamentos!$C:$C,"Devoluções")</f>
        <v>0</v>
      </c>
      <c r="HJ36" s="37">
        <f>SUMIFS(Lançamentos!$F:$F,Lançamentos!$A:$A,HJ$19,Lançamentos!$C:$C,"Devoluções")</f>
        <v>0</v>
      </c>
      <c r="HK36" s="37">
        <f>SUMIFS(Lançamentos!$F:$F,Lançamentos!$A:$A,HK$19,Lançamentos!$C:$C,"Devoluções")</f>
        <v>0</v>
      </c>
      <c r="HL36" s="37">
        <f>SUMIFS(Lançamentos!$F:$F,Lançamentos!$A:$A,HL$19,Lançamentos!$C:$C,"Devoluções")</f>
        <v>0</v>
      </c>
      <c r="HM36" s="37">
        <f>SUMIFS(Lançamentos!$F:$F,Lançamentos!$A:$A,HM$19,Lançamentos!$C:$C,"Devoluções")</f>
        <v>0</v>
      </c>
      <c r="HN36" s="37">
        <f>SUMIFS(Lançamentos!$F:$F,Lançamentos!$A:$A,HN$19,Lançamentos!$C:$C,"Devoluções")</f>
        <v>0</v>
      </c>
      <c r="HO36" s="37">
        <f>SUMIFS(Lançamentos!$F:$F,Lançamentos!$A:$A,HO$19,Lançamentos!$C:$C,"Devoluções")</f>
        <v>0</v>
      </c>
      <c r="HP36" s="37">
        <f>SUMIFS(Lançamentos!$F:$F,Lançamentos!$A:$A,HP$19,Lançamentos!$C:$C,"Devoluções")</f>
        <v>0</v>
      </c>
      <c r="HQ36" s="37">
        <f>SUMIFS(Lançamentos!$F:$F,Lançamentos!$A:$A,HQ$19,Lançamentos!$C:$C,"Devoluções")</f>
        <v>0</v>
      </c>
      <c r="HR36" s="37">
        <f>SUMIFS(Lançamentos!$F:$F,Lançamentos!$A:$A,HR$19,Lançamentos!$C:$C,"Devoluções")</f>
        <v>0</v>
      </c>
      <c r="HS36" s="37">
        <f>SUMIFS(Lançamentos!$F:$F,Lançamentos!$A:$A,HS$19,Lançamentos!$C:$C,"Devoluções")</f>
        <v>0</v>
      </c>
      <c r="HT36" s="37">
        <f>SUMIFS(Lançamentos!$F:$F,Lançamentos!$A:$A,HT$19,Lançamentos!$C:$C,"Devoluções")</f>
        <v>0</v>
      </c>
      <c r="HU36" s="37">
        <f>SUMIFS(Lançamentos!$F:$F,Lançamentos!$A:$A,HU$19,Lançamentos!$C:$C,"Devoluções")</f>
        <v>0</v>
      </c>
      <c r="HV36" s="37">
        <f>SUMIFS(Lançamentos!$F:$F,Lançamentos!$A:$A,HV$19,Lançamentos!$C:$C,"Devoluções")</f>
        <v>0</v>
      </c>
      <c r="HW36" s="37">
        <f>SUMIFS(Lançamentos!$F:$F,Lançamentos!$A:$A,HW$19,Lançamentos!$C:$C,"Devoluções")</f>
        <v>0</v>
      </c>
      <c r="HX36" s="37">
        <f>SUMIFS(Lançamentos!$F:$F,Lançamentos!$A:$A,HX$19,Lançamentos!$C:$C,"Devoluções")</f>
        <v>0</v>
      </c>
      <c r="HY36" s="37">
        <f>SUMIFS(Lançamentos!$F:$F,Lançamentos!$A:$A,HY$19,Lançamentos!$C:$C,"Devoluções")</f>
        <v>0</v>
      </c>
      <c r="HZ36" s="37">
        <f>SUMIFS(Lançamentos!$F:$F,Lançamentos!$A:$A,HZ$19,Lançamentos!$C:$C,"Devoluções")</f>
        <v>0</v>
      </c>
      <c r="IA36" s="37">
        <f>SUMIFS(Lançamentos!$F:$F,Lançamentos!$A:$A,IA$19,Lançamentos!$C:$C,"Devoluções")</f>
        <v>0</v>
      </c>
      <c r="IB36" s="37">
        <f>SUMIFS(Lançamentos!$F:$F,Lançamentos!$A:$A,IB$19,Lançamentos!$C:$C,"Devoluções")</f>
        <v>0</v>
      </c>
      <c r="IC36" s="37">
        <f>SUMIFS(Lançamentos!$F:$F,Lançamentos!$A:$A,IC$19,Lançamentos!$C:$C,"Devoluções")</f>
        <v>0</v>
      </c>
      <c r="ID36" s="37">
        <f>SUMIFS(Lançamentos!$F:$F,Lançamentos!$A:$A,ID$19,Lançamentos!$C:$C,"Devoluções")</f>
        <v>0</v>
      </c>
      <c r="IE36" s="37">
        <f>SUMIFS(Lançamentos!$F:$F,Lançamentos!$A:$A,IE$19,Lançamentos!$C:$C,"Devoluções")</f>
        <v>0</v>
      </c>
      <c r="IF36" s="37">
        <f>SUMIFS(Lançamentos!$F:$F,Lançamentos!$A:$A,IF$19,Lançamentos!$C:$C,"Devoluções")</f>
        <v>0</v>
      </c>
      <c r="IG36" s="37">
        <f>SUMIFS(Lançamentos!$F:$F,Lançamentos!$A:$A,IG$19,Lançamentos!$C:$C,"Devoluções")</f>
        <v>0</v>
      </c>
      <c r="IH36" s="37">
        <f>SUMIFS(Lançamentos!$F:$F,Lançamentos!$A:$A,IH$19,Lançamentos!$C:$C,"Devoluções")</f>
        <v>0</v>
      </c>
      <c r="II36" s="37">
        <f>SUMIFS(Lançamentos!$F:$F,Lançamentos!$A:$A,II$19,Lançamentos!$C:$C,"Devoluções")</f>
        <v>0</v>
      </c>
      <c r="IJ36" s="37">
        <f>SUMIFS(Lançamentos!$F:$F,Lançamentos!$A:$A,IJ$19,Lançamentos!$C:$C,"Devoluções")</f>
        <v>0</v>
      </c>
      <c r="IK36" s="37">
        <f>SUMIFS(Lançamentos!$F:$F,Lançamentos!$A:$A,IK$19,Lançamentos!$C:$C,"Devoluções")</f>
        <v>0</v>
      </c>
      <c r="IL36" s="37">
        <f>SUMIFS(Lançamentos!$F:$F,Lançamentos!$A:$A,IL$19,Lançamentos!$C:$C,"Devoluções")</f>
        <v>0</v>
      </c>
    </row>
    <row r="37" spans="1:246" x14ac:dyDescent="0.3">
      <c r="A37" t="s">
        <v>10</v>
      </c>
      <c r="B37" s="37">
        <f>SUMIFS(Lançamentos!$F:$F,Lançamentos!$A:$A,B$19,Lançamentos!$C:$C,"Custo de Mercadoria Vendida")</f>
        <v>0</v>
      </c>
      <c r="C37" s="37">
        <f>SUMIFS(Lançamentos!$F:$F,Lançamentos!$A:$A,C$19,Lançamentos!$C:$C,"Custo de Mercadoria Vendida")</f>
        <v>0</v>
      </c>
      <c r="D37" s="37">
        <f>SUMIFS(Lançamentos!$F:$F,Lançamentos!$A:$A,D$19,Lançamentos!$C:$C,"Custo de Mercadoria Vendida")</f>
        <v>0</v>
      </c>
      <c r="E37" s="37">
        <f>SUMIFS(Lançamentos!$F:$F,Lançamentos!$A:$A,E$19,Lançamentos!$C:$C,"Custo de Mercadoria Vendida")</f>
        <v>0</v>
      </c>
      <c r="F37" s="37">
        <f>SUMIFS(Lançamentos!$F:$F,Lançamentos!$A:$A,F$19,Lançamentos!$C:$C,"Custo de Mercadoria Vendida")</f>
        <v>0</v>
      </c>
      <c r="G37" s="37">
        <f>SUMIFS(Lançamentos!$F:$F,Lançamentos!$A:$A,G$19,Lançamentos!$C:$C,"Custo de Mercadoria Vendida")</f>
        <v>0</v>
      </c>
      <c r="H37" s="37">
        <f>SUMIFS(Lançamentos!$F:$F,Lançamentos!$A:$A,H$19,Lançamentos!$C:$C,"Custo de Mercadoria Vendida")</f>
        <v>0</v>
      </c>
      <c r="I37" s="37">
        <f>SUMIFS(Lançamentos!$F:$F,Lançamentos!$A:$A,I$19,Lançamentos!$C:$C,"Custo de Mercadoria Vendida")</f>
        <v>0</v>
      </c>
      <c r="J37" s="37">
        <f>SUMIFS(Lançamentos!$F:$F,Lançamentos!$A:$A,J$19,Lançamentos!$C:$C,"Custo de Mercadoria Vendida")</f>
        <v>0</v>
      </c>
      <c r="K37" s="37">
        <f>SUMIFS(Lançamentos!$F:$F,Lançamentos!$A:$A,K$19,Lançamentos!$C:$C,"Custo de Mercadoria Vendida")</f>
        <v>0</v>
      </c>
      <c r="L37" s="37">
        <f>SUMIFS(Lançamentos!$F:$F,Lançamentos!$A:$A,L$19,Lançamentos!$C:$C,"Custo de Mercadoria Vendida")</f>
        <v>0</v>
      </c>
      <c r="M37" s="37">
        <f>SUMIFS(Lançamentos!$F:$F,Lançamentos!$A:$A,M$19,Lançamentos!$C:$C,"Custo de Mercadoria Vendida")</f>
        <v>0</v>
      </c>
      <c r="N37" s="37">
        <f>SUMIFS(Lançamentos!$F:$F,Lançamentos!$A:$A,N$19,Lançamentos!$C:$C,"Custo de Mercadoria Vendida")</f>
        <v>0</v>
      </c>
      <c r="O37" s="37">
        <f>SUMIFS(Lançamentos!$F:$F,Lançamentos!$A:$A,O$19,Lançamentos!$C:$C,"Custo de Mercadoria Vendida")</f>
        <v>0</v>
      </c>
      <c r="P37" s="37">
        <f>SUMIFS(Lançamentos!$F:$F,Lançamentos!$A:$A,P$19,Lançamentos!$C:$C,"Custo de Mercadoria Vendida")</f>
        <v>0</v>
      </c>
      <c r="Q37" s="37">
        <f>SUMIFS(Lançamentos!$F:$F,Lançamentos!$A:$A,Q$19,Lançamentos!$C:$C,"Custo de Mercadoria Vendida")</f>
        <v>0</v>
      </c>
      <c r="R37" s="37">
        <f>SUMIFS(Lançamentos!$F:$F,Lançamentos!$A:$A,R$19,Lançamentos!$C:$C,"Custo de Mercadoria Vendida")</f>
        <v>0</v>
      </c>
      <c r="S37" s="37">
        <f>SUMIFS(Lançamentos!$F:$F,Lançamentos!$A:$A,S$19,Lançamentos!$C:$C,"Custo de Mercadoria Vendida")</f>
        <v>0</v>
      </c>
      <c r="T37" s="37">
        <f>SUMIFS(Lançamentos!$F:$F,Lançamentos!$A:$A,T$19,Lançamentos!$C:$C,"Custo de Mercadoria Vendida")</f>
        <v>0</v>
      </c>
      <c r="U37" s="37">
        <f>SUMIFS(Lançamentos!$F:$F,Lançamentos!$A:$A,U$19,Lançamentos!$C:$C,"Custo de Mercadoria Vendida")</f>
        <v>0</v>
      </c>
      <c r="V37" s="37">
        <f>SUMIFS(Lançamentos!$F:$F,Lançamentos!$A:$A,V$19,Lançamentos!$C:$C,"Custo de Mercadoria Vendida")</f>
        <v>0</v>
      </c>
      <c r="W37" s="37">
        <f>SUMIFS(Lançamentos!$F:$F,Lançamentos!$A:$A,W$19,Lançamentos!$C:$C,"Custo de Mercadoria Vendida")</f>
        <v>0</v>
      </c>
      <c r="X37" s="37">
        <f>SUMIFS(Lançamentos!$F:$F,Lançamentos!$A:$A,X$19,Lançamentos!$C:$C,"Custo de Mercadoria Vendida")</f>
        <v>0</v>
      </c>
      <c r="Y37" s="37">
        <f>SUMIFS(Lançamentos!$F:$F,Lançamentos!$A:$A,Y$19,Lançamentos!$C:$C,"Custo de Mercadoria Vendida")</f>
        <v>0</v>
      </c>
      <c r="Z37" s="37">
        <f>SUMIFS(Lançamentos!$F:$F,Lançamentos!$A:$A,Z$19,Lançamentos!$C:$C,"Custo de Mercadoria Vendida")</f>
        <v>0</v>
      </c>
      <c r="AA37" s="37">
        <f>SUMIFS(Lançamentos!$F:$F,Lançamentos!$A:$A,AA$19,Lançamentos!$C:$C,"Custo de Mercadoria Vendida")</f>
        <v>0</v>
      </c>
      <c r="AB37" s="37">
        <f>SUMIFS(Lançamentos!$F:$F,Lançamentos!$A:$A,AB$19,Lançamentos!$C:$C,"Custo de Mercadoria Vendida")</f>
        <v>0</v>
      </c>
      <c r="AC37" s="37">
        <f>SUMIFS(Lançamentos!$F:$F,Lançamentos!$A:$A,AC$19,Lançamentos!$C:$C,"Custo de Mercadoria Vendida")</f>
        <v>0</v>
      </c>
      <c r="AD37" s="37">
        <f>SUMIFS(Lançamentos!$F:$F,Lançamentos!$A:$A,AD$19,Lançamentos!$C:$C,"Custo de Mercadoria Vendida")</f>
        <v>0</v>
      </c>
      <c r="AE37" s="37">
        <f>SUMIFS(Lançamentos!$F:$F,Lançamentos!$A:$A,AE$19,Lançamentos!$C:$C,"Custo de Mercadoria Vendida")</f>
        <v>0</v>
      </c>
      <c r="AF37" s="37">
        <f>SUMIFS(Lançamentos!$F:$F,Lançamentos!$A:$A,AF$19,Lançamentos!$C:$C,"Custo de Mercadoria Vendida")</f>
        <v>0</v>
      </c>
      <c r="AG37" s="37">
        <f>SUMIFS(Lançamentos!$F:$F,Lançamentos!$A:$A,AG$19,Lançamentos!$C:$C,"Custo de Mercadoria Vendida")</f>
        <v>0</v>
      </c>
      <c r="AH37" s="37">
        <f>SUMIFS(Lançamentos!$F:$F,Lançamentos!$A:$A,AH$19,Lançamentos!$C:$C,"Custo de Mercadoria Vendida")</f>
        <v>0</v>
      </c>
      <c r="AI37" s="37">
        <f>SUMIFS(Lançamentos!$F:$F,Lançamentos!$A:$A,AI$19,Lançamentos!$C:$C,"Custo de Mercadoria Vendida")</f>
        <v>0</v>
      </c>
      <c r="AJ37" s="37">
        <f>SUMIFS(Lançamentos!$F:$F,Lançamentos!$A:$A,AJ$19,Lançamentos!$C:$C,"Custo de Mercadoria Vendida")</f>
        <v>0</v>
      </c>
      <c r="AK37" s="37">
        <f>SUMIFS(Lançamentos!$F:$F,Lançamentos!$A:$A,AK$19,Lançamentos!$C:$C,"Custo de Mercadoria Vendida")</f>
        <v>0</v>
      </c>
      <c r="AL37" s="37">
        <f>SUMIFS(Lançamentos!$F:$F,Lançamentos!$A:$A,AL$19,Lançamentos!$C:$C,"Custo de Mercadoria Vendida")</f>
        <v>0</v>
      </c>
      <c r="AM37" s="37">
        <f>SUMIFS(Lançamentos!$F:$F,Lançamentos!$A:$A,AM$19,Lançamentos!$C:$C,"Custo de Mercadoria Vendida")</f>
        <v>0</v>
      </c>
      <c r="AN37" s="37">
        <f>SUMIFS(Lançamentos!$F:$F,Lançamentos!$A:$A,AN$19,Lançamentos!$C:$C,"Custo de Mercadoria Vendida")</f>
        <v>0</v>
      </c>
      <c r="AO37" s="37">
        <f>SUMIFS(Lançamentos!$F:$F,Lançamentos!$A:$A,AO$19,Lançamentos!$C:$C,"Custo de Mercadoria Vendida")</f>
        <v>0</v>
      </c>
      <c r="AP37" s="37">
        <f>SUMIFS(Lançamentos!$F:$F,Lançamentos!$A:$A,AP$19,Lançamentos!$C:$C,"Custo de Mercadoria Vendida")</f>
        <v>0</v>
      </c>
      <c r="AQ37" s="37">
        <f>SUMIFS(Lançamentos!$F:$F,Lançamentos!$A:$A,AQ$19,Lançamentos!$C:$C,"Custo de Mercadoria Vendida")</f>
        <v>0</v>
      </c>
      <c r="AR37" s="37">
        <f>SUMIFS(Lançamentos!$F:$F,Lançamentos!$A:$A,AR$19,Lançamentos!$C:$C,"Custo de Mercadoria Vendida")</f>
        <v>0</v>
      </c>
      <c r="AS37" s="37">
        <f>SUMIFS(Lançamentos!$F:$F,Lançamentos!$A:$A,AS$19,Lançamentos!$C:$C,"Custo de Mercadoria Vendida")</f>
        <v>0</v>
      </c>
      <c r="AT37" s="37">
        <f>SUMIFS(Lançamentos!$F:$F,Lançamentos!$A:$A,AT$19,Lançamentos!$C:$C,"Custo de Mercadoria Vendida")</f>
        <v>0</v>
      </c>
      <c r="AU37" s="37">
        <f>SUMIFS(Lançamentos!$F:$F,Lançamentos!$A:$A,AU$19,Lançamentos!$C:$C,"Custo de Mercadoria Vendida")</f>
        <v>0</v>
      </c>
      <c r="AV37" s="37">
        <f>SUMIFS(Lançamentos!$F:$F,Lançamentos!$A:$A,AV$19,Lançamentos!$C:$C,"Custo de Mercadoria Vendida")</f>
        <v>0</v>
      </c>
      <c r="AW37" s="37">
        <f>SUMIFS(Lançamentos!$F:$F,Lançamentos!$A:$A,AW$19,Lançamentos!$C:$C,"Custo de Mercadoria Vendida")</f>
        <v>0</v>
      </c>
      <c r="AX37" s="37">
        <f>SUMIFS(Lançamentos!$F:$F,Lançamentos!$A:$A,AX$19,Lançamentos!$C:$C,"Custo de Mercadoria Vendida")</f>
        <v>0</v>
      </c>
      <c r="AY37" s="37">
        <f>SUMIFS(Lançamentos!$F:$F,Lançamentos!$A:$A,AY$19,Lançamentos!$C:$C,"Custo de Mercadoria Vendida")</f>
        <v>0</v>
      </c>
      <c r="AZ37" s="37">
        <f>SUMIFS(Lançamentos!$F:$F,Lançamentos!$A:$A,AZ$19,Lançamentos!$C:$C,"Custo de Mercadoria Vendida")</f>
        <v>0</v>
      </c>
      <c r="BA37" s="37">
        <f>SUMIFS(Lançamentos!$F:$F,Lançamentos!$A:$A,BA$19,Lançamentos!$C:$C,"Custo de Mercadoria Vendida")</f>
        <v>0</v>
      </c>
      <c r="BB37" s="37">
        <f>SUMIFS(Lançamentos!$F:$F,Lançamentos!$A:$A,BB$19,Lançamentos!$C:$C,"Custo de Mercadoria Vendida")</f>
        <v>0</v>
      </c>
      <c r="BC37" s="37">
        <f>SUMIFS(Lançamentos!$F:$F,Lançamentos!$A:$A,BC$19,Lançamentos!$C:$C,"Custo de Mercadoria Vendida")</f>
        <v>0</v>
      </c>
      <c r="BD37" s="37">
        <f>SUMIFS(Lançamentos!$F:$F,Lançamentos!$A:$A,BD$19,Lançamentos!$C:$C,"Custo de Mercadoria Vendida")</f>
        <v>0</v>
      </c>
      <c r="BE37" s="37">
        <f>SUMIFS(Lançamentos!$F:$F,Lançamentos!$A:$A,BE$19,Lançamentos!$C:$C,"Custo de Mercadoria Vendida")</f>
        <v>0</v>
      </c>
      <c r="BF37" s="37">
        <f>SUMIFS(Lançamentos!$F:$F,Lançamentos!$A:$A,BF$19,Lançamentos!$C:$C,"Custo de Mercadoria Vendida")</f>
        <v>0</v>
      </c>
      <c r="BG37" s="37">
        <f>SUMIFS(Lançamentos!$F:$F,Lançamentos!$A:$A,BG$19,Lançamentos!$C:$C,"Custo de Mercadoria Vendida")</f>
        <v>0</v>
      </c>
      <c r="BH37" s="37">
        <f>SUMIFS(Lançamentos!$F:$F,Lançamentos!$A:$A,BH$19,Lançamentos!$C:$C,"Custo de Mercadoria Vendida")</f>
        <v>0</v>
      </c>
      <c r="BI37" s="37">
        <f>SUMIFS(Lançamentos!$F:$F,Lançamentos!$A:$A,BI$19,Lançamentos!$C:$C,"Custo de Mercadoria Vendida")</f>
        <v>0</v>
      </c>
      <c r="BJ37" s="37">
        <f>SUMIFS(Lançamentos!$F:$F,Lançamentos!$A:$A,BJ$19,Lançamentos!$C:$C,"Custo de Mercadoria Vendida")</f>
        <v>0</v>
      </c>
      <c r="BK37" s="37">
        <f>SUMIFS(Lançamentos!$F:$F,Lançamentos!$A:$A,BK$19,Lançamentos!$C:$C,"Custo de Mercadoria Vendida")</f>
        <v>0</v>
      </c>
      <c r="BL37" s="37">
        <f>SUMIFS(Lançamentos!$F:$F,Lançamentos!$A:$A,BL$19,Lançamentos!$C:$C,"Custo de Mercadoria Vendida")</f>
        <v>0</v>
      </c>
      <c r="BM37" s="37">
        <f>SUMIFS(Lançamentos!$F:$F,Lançamentos!$A:$A,BM$19,Lançamentos!$C:$C,"Custo de Mercadoria Vendida")</f>
        <v>0</v>
      </c>
      <c r="BN37" s="37">
        <f>SUMIFS(Lançamentos!$F:$F,Lançamentos!$A:$A,BN$19,Lançamentos!$C:$C,"Custo de Mercadoria Vendida")</f>
        <v>0</v>
      </c>
      <c r="BO37" s="37">
        <f>SUMIFS(Lançamentos!$F:$F,Lançamentos!$A:$A,BO$19,Lançamentos!$C:$C,"Custo de Mercadoria Vendida")</f>
        <v>0</v>
      </c>
      <c r="BP37" s="37">
        <f>SUMIFS(Lançamentos!$F:$F,Lançamentos!$A:$A,BP$19,Lançamentos!$C:$C,"Custo de Mercadoria Vendida")</f>
        <v>0</v>
      </c>
      <c r="BQ37" s="37">
        <f>SUMIFS(Lançamentos!$F:$F,Lançamentos!$A:$A,BQ$19,Lançamentos!$C:$C,"Custo de Mercadoria Vendida")</f>
        <v>0</v>
      </c>
      <c r="BR37" s="37">
        <f>SUMIFS(Lançamentos!$F:$F,Lançamentos!$A:$A,BR$19,Lançamentos!$C:$C,"Custo de Mercadoria Vendida")</f>
        <v>0</v>
      </c>
      <c r="BS37" s="37">
        <f>SUMIFS(Lançamentos!$F:$F,Lançamentos!$A:$A,BS$19,Lançamentos!$C:$C,"Custo de Mercadoria Vendida")</f>
        <v>0</v>
      </c>
      <c r="BT37" s="37">
        <f>SUMIFS(Lançamentos!$F:$F,Lançamentos!$A:$A,BT$19,Lançamentos!$C:$C,"Custo de Mercadoria Vendida")</f>
        <v>0</v>
      </c>
      <c r="BU37" s="37">
        <f>SUMIFS(Lançamentos!$F:$F,Lançamentos!$A:$A,BU$19,Lançamentos!$C:$C,"Custo de Mercadoria Vendida")</f>
        <v>0</v>
      </c>
      <c r="BV37" s="37">
        <f>SUMIFS(Lançamentos!$F:$F,Lançamentos!$A:$A,BV$19,Lançamentos!$C:$C,"Custo de Mercadoria Vendida")</f>
        <v>0</v>
      </c>
      <c r="BW37" s="37">
        <f>SUMIFS(Lançamentos!$F:$F,Lançamentos!$A:$A,BW$19,Lançamentos!$C:$C,"Custo de Mercadoria Vendida")</f>
        <v>0</v>
      </c>
      <c r="BX37" s="37">
        <f>SUMIFS(Lançamentos!$F:$F,Lançamentos!$A:$A,BX$19,Lançamentos!$C:$C,"Custo de Mercadoria Vendida")</f>
        <v>0</v>
      </c>
      <c r="BY37" s="37">
        <f>SUMIFS(Lançamentos!$F:$F,Lançamentos!$A:$A,BY$19,Lançamentos!$C:$C,"Custo de Mercadoria Vendida")</f>
        <v>0</v>
      </c>
      <c r="BZ37" s="37">
        <f>SUMIFS(Lançamentos!$F:$F,Lançamentos!$A:$A,BZ$19,Lançamentos!$C:$C,"Custo de Mercadoria Vendida")</f>
        <v>0</v>
      </c>
      <c r="CA37" s="37">
        <f>SUMIFS(Lançamentos!$F:$F,Lançamentos!$A:$A,CA$19,Lançamentos!$C:$C,"Custo de Mercadoria Vendida")</f>
        <v>0</v>
      </c>
      <c r="CB37" s="37">
        <f>SUMIFS(Lançamentos!$F:$F,Lançamentos!$A:$A,CB$19,Lançamentos!$C:$C,"Custo de Mercadoria Vendida")</f>
        <v>0</v>
      </c>
      <c r="CC37" s="37">
        <f>SUMIFS(Lançamentos!$F:$F,Lançamentos!$A:$A,CC$19,Lançamentos!$C:$C,"Custo de Mercadoria Vendida")</f>
        <v>0</v>
      </c>
      <c r="CD37" s="37">
        <f>SUMIFS(Lançamentos!$F:$F,Lançamentos!$A:$A,CD$19,Lançamentos!$C:$C,"Custo de Mercadoria Vendida")</f>
        <v>0</v>
      </c>
      <c r="CE37" s="37">
        <f>SUMIFS(Lançamentos!$F:$F,Lançamentos!$A:$A,CE$19,Lançamentos!$C:$C,"Custo de Mercadoria Vendida")</f>
        <v>0</v>
      </c>
      <c r="CF37" s="37">
        <f>SUMIFS(Lançamentos!$F:$F,Lançamentos!$A:$A,CF$19,Lançamentos!$C:$C,"Custo de Mercadoria Vendida")</f>
        <v>0</v>
      </c>
      <c r="CG37" s="37">
        <f>SUMIFS(Lançamentos!$F:$F,Lançamentos!$A:$A,CG$19,Lançamentos!$C:$C,"Custo de Mercadoria Vendida")</f>
        <v>0</v>
      </c>
      <c r="CH37" s="37">
        <f>SUMIFS(Lançamentos!$F:$F,Lançamentos!$A:$A,CH$19,Lançamentos!$C:$C,"Custo de Mercadoria Vendida")</f>
        <v>0</v>
      </c>
      <c r="CI37" s="37">
        <f>SUMIFS(Lançamentos!$F:$F,Lançamentos!$A:$A,CI$19,Lançamentos!$C:$C,"Custo de Mercadoria Vendida")</f>
        <v>0</v>
      </c>
      <c r="CJ37" s="37">
        <f>SUMIFS(Lançamentos!$F:$F,Lançamentos!$A:$A,CJ$19,Lançamentos!$C:$C,"Custo de Mercadoria Vendida")</f>
        <v>0</v>
      </c>
      <c r="CK37" s="37">
        <f>SUMIFS(Lançamentos!$F:$F,Lançamentos!$A:$A,CK$19,Lançamentos!$C:$C,"Custo de Mercadoria Vendida")</f>
        <v>0</v>
      </c>
      <c r="CL37" s="37">
        <f>SUMIFS(Lançamentos!$F:$F,Lançamentos!$A:$A,CL$19,Lançamentos!$C:$C,"Custo de Mercadoria Vendida")</f>
        <v>0</v>
      </c>
      <c r="CM37" s="37">
        <f>SUMIFS(Lançamentos!$F:$F,Lançamentos!$A:$A,CM$19,Lançamentos!$C:$C,"Custo de Mercadoria Vendida")</f>
        <v>0</v>
      </c>
      <c r="CN37" s="37">
        <f>SUMIFS(Lançamentos!$F:$F,Lançamentos!$A:$A,CN$19,Lançamentos!$C:$C,"Custo de Mercadoria Vendida")</f>
        <v>0</v>
      </c>
      <c r="CO37" s="37">
        <f>SUMIFS(Lançamentos!$F:$F,Lançamentos!$A:$A,CO$19,Lançamentos!$C:$C,"Custo de Mercadoria Vendida")</f>
        <v>0</v>
      </c>
      <c r="CP37" s="37">
        <f>SUMIFS(Lançamentos!$F:$F,Lançamentos!$A:$A,CP$19,Lançamentos!$C:$C,"Custo de Mercadoria Vendida")</f>
        <v>0</v>
      </c>
      <c r="CQ37" s="37">
        <f>SUMIFS(Lançamentos!$F:$F,Lançamentos!$A:$A,CQ$19,Lançamentos!$C:$C,"Custo de Mercadoria Vendida")</f>
        <v>0</v>
      </c>
      <c r="CR37" s="37">
        <f>SUMIFS(Lançamentos!$F:$F,Lançamentos!$A:$A,CR$19,Lançamentos!$C:$C,"Custo de Mercadoria Vendida")</f>
        <v>0</v>
      </c>
      <c r="CS37" s="37">
        <f>SUMIFS(Lançamentos!$F:$F,Lançamentos!$A:$A,CS$19,Lançamentos!$C:$C,"Custo de Mercadoria Vendida")</f>
        <v>0</v>
      </c>
      <c r="CT37" s="37">
        <f>SUMIFS(Lançamentos!$F:$F,Lançamentos!$A:$A,CT$19,Lançamentos!$C:$C,"Custo de Mercadoria Vendida")</f>
        <v>0</v>
      </c>
      <c r="CU37" s="37">
        <f>SUMIFS(Lançamentos!$F:$F,Lançamentos!$A:$A,CU$19,Lançamentos!$C:$C,"Custo de Mercadoria Vendida")</f>
        <v>0</v>
      </c>
      <c r="CV37" s="37">
        <f>SUMIFS(Lançamentos!$F:$F,Lançamentos!$A:$A,CV$19,Lançamentos!$C:$C,"Custo de Mercadoria Vendida")</f>
        <v>0</v>
      </c>
      <c r="CW37" s="37">
        <f>SUMIFS(Lançamentos!$F:$F,Lançamentos!$A:$A,CW$19,Lançamentos!$C:$C,"Custo de Mercadoria Vendida")</f>
        <v>0</v>
      </c>
      <c r="CX37" s="37">
        <f>SUMIFS(Lançamentos!$F:$F,Lançamentos!$A:$A,CX$19,Lançamentos!$C:$C,"Custo de Mercadoria Vendida")</f>
        <v>0</v>
      </c>
      <c r="CY37" s="37">
        <f>SUMIFS(Lançamentos!$F:$F,Lançamentos!$A:$A,CY$19,Lançamentos!$C:$C,"Custo de Mercadoria Vendida")</f>
        <v>0</v>
      </c>
      <c r="CZ37" s="37">
        <f>SUMIFS(Lançamentos!$F:$F,Lançamentos!$A:$A,CZ$19,Lançamentos!$C:$C,"Custo de Mercadoria Vendida")</f>
        <v>0</v>
      </c>
      <c r="DA37" s="37">
        <f>SUMIFS(Lançamentos!$F:$F,Lançamentos!$A:$A,DA$19,Lançamentos!$C:$C,"Custo de Mercadoria Vendida")</f>
        <v>0</v>
      </c>
      <c r="DB37" s="37">
        <f>SUMIFS(Lançamentos!$F:$F,Lançamentos!$A:$A,DB$19,Lançamentos!$C:$C,"Custo de Mercadoria Vendida")</f>
        <v>0</v>
      </c>
      <c r="DC37" s="37">
        <f>SUMIFS(Lançamentos!$F:$F,Lançamentos!$A:$A,DC$19,Lançamentos!$C:$C,"Custo de Mercadoria Vendida")</f>
        <v>0</v>
      </c>
      <c r="DD37" s="37">
        <f>SUMIFS(Lançamentos!$F:$F,Lançamentos!$A:$A,DD$19,Lançamentos!$C:$C,"Custo de Mercadoria Vendida")</f>
        <v>0</v>
      </c>
      <c r="DE37" s="37">
        <f>SUMIFS(Lançamentos!$F:$F,Lançamentos!$A:$A,DE$19,Lançamentos!$C:$C,"Custo de Mercadoria Vendida")</f>
        <v>0</v>
      </c>
      <c r="DF37" s="37">
        <f>SUMIFS(Lançamentos!$F:$F,Lançamentos!$A:$A,DF$19,Lançamentos!$C:$C,"Custo de Mercadoria Vendida")</f>
        <v>0</v>
      </c>
      <c r="DG37" s="37">
        <f>SUMIFS(Lançamentos!$F:$F,Lançamentos!$A:$A,DG$19,Lançamentos!$C:$C,"Custo de Mercadoria Vendida")</f>
        <v>0</v>
      </c>
      <c r="DH37" s="37">
        <f>SUMIFS(Lançamentos!$F:$F,Lançamentos!$A:$A,DH$19,Lançamentos!$C:$C,"Custo de Mercadoria Vendida")</f>
        <v>0</v>
      </c>
      <c r="DI37" s="37">
        <f>SUMIFS(Lançamentos!$F:$F,Lançamentos!$A:$A,DI$19,Lançamentos!$C:$C,"Custo de Mercadoria Vendida")</f>
        <v>0</v>
      </c>
      <c r="DJ37" s="37">
        <f>SUMIFS(Lançamentos!$F:$F,Lançamentos!$A:$A,DJ$19,Lançamentos!$C:$C,"Custo de Mercadoria Vendida")</f>
        <v>0</v>
      </c>
      <c r="DK37" s="37">
        <f>SUMIFS(Lançamentos!$F:$F,Lançamentos!$A:$A,DK$19,Lançamentos!$C:$C,"Custo de Mercadoria Vendida")</f>
        <v>0</v>
      </c>
      <c r="DL37" s="37">
        <f>SUMIFS(Lançamentos!$F:$F,Lançamentos!$A:$A,DL$19,Lançamentos!$C:$C,"Custo de Mercadoria Vendida")</f>
        <v>0</v>
      </c>
      <c r="DM37" s="37">
        <f>SUMIFS(Lançamentos!$F:$F,Lançamentos!$A:$A,DM$19,Lançamentos!$C:$C,"Custo de Mercadoria Vendida")</f>
        <v>0</v>
      </c>
      <c r="DN37" s="37">
        <f>SUMIFS(Lançamentos!$F:$F,Lançamentos!$A:$A,DN$19,Lançamentos!$C:$C,"Custo de Mercadoria Vendida")</f>
        <v>0</v>
      </c>
      <c r="DO37" s="37">
        <f>SUMIFS(Lançamentos!$F:$F,Lançamentos!$A:$A,DO$19,Lançamentos!$C:$C,"Custo de Mercadoria Vendida")</f>
        <v>0</v>
      </c>
      <c r="DP37" s="37">
        <f>SUMIFS(Lançamentos!$F:$F,Lançamentos!$A:$A,DP$19,Lançamentos!$C:$C,"Custo de Mercadoria Vendida")</f>
        <v>0</v>
      </c>
      <c r="DQ37" s="37">
        <f>SUMIFS(Lançamentos!$F:$F,Lançamentos!$A:$A,DQ$19,Lançamentos!$C:$C,"Custo de Mercadoria Vendida")</f>
        <v>0</v>
      </c>
      <c r="DR37" s="37">
        <f>SUMIFS(Lançamentos!$F:$F,Lançamentos!$A:$A,DR$19,Lançamentos!$C:$C,"Custo de Mercadoria Vendida")</f>
        <v>0</v>
      </c>
      <c r="DS37" s="37">
        <f>SUMIFS(Lançamentos!$F:$F,Lançamentos!$A:$A,DS$19,Lançamentos!$C:$C,"Custo de Mercadoria Vendida")</f>
        <v>0</v>
      </c>
      <c r="DT37" s="37">
        <f>SUMIFS(Lançamentos!$F:$F,Lançamentos!$A:$A,DT$19,Lançamentos!$C:$C,"Custo de Mercadoria Vendida")</f>
        <v>0</v>
      </c>
      <c r="DU37" s="37">
        <f>SUMIFS(Lançamentos!$F:$F,Lançamentos!$A:$A,DU$19,Lançamentos!$C:$C,"Custo de Mercadoria Vendida")</f>
        <v>0</v>
      </c>
      <c r="DV37" s="37">
        <f>SUMIFS(Lançamentos!$F:$F,Lançamentos!$A:$A,DV$19,Lançamentos!$C:$C,"Custo de Mercadoria Vendida")</f>
        <v>0</v>
      </c>
      <c r="DW37" s="37">
        <f>SUMIFS(Lançamentos!$F:$F,Lançamentos!$A:$A,DW$19,Lançamentos!$C:$C,"Custo de Mercadoria Vendida")</f>
        <v>0</v>
      </c>
      <c r="DX37" s="37">
        <f>SUMIFS(Lançamentos!$F:$F,Lançamentos!$A:$A,DX$19,Lançamentos!$C:$C,"Custo de Mercadoria Vendida")</f>
        <v>0</v>
      </c>
      <c r="DY37" s="37">
        <f>SUMIFS(Lançamentos!$F:$F,Lançamentos!$A:$A,DY$19,Lançamentos!$C:$C,"Custo de Mercadoria Vendida")</f>
        <v>0</v>
      </c>
      <c r="DZ37" s="37">
        <f>SUMIFS(Lançamentos!$F:$F,Lançamentos!$A:$A,DZ$19,Lançamentos!$C:$C,"Custo de Mercadoria Vendida")</f>
        <v>0</v>
      </c>
      <c r="EA37" s="37">
        <f>SUMIFS(Lançamentos!$F:$F,Lançamentos!$A:$A,EA$19,Lançamentos!$C:$C,"Custo de Mercadoria Vendida")</f>
        <v>0</v>
      </c>
      <c r="EB37" s="37">
        <f>SUMIFS(Lançamentos!$F:$F,Lançamentos!$A:$A,EB$19,Lançamentos!$C:$C,"Custo de Mercadoria Vendida")</f>
        <v>0</v>
      </c>
      <c r="EC37" s="37">
        <f>SUMIFS(Lançamentos!$F:$F,Lançamentos!$A:$A,EC$19,Lançamentos!$C:$C,"Custo de Mercadoria Vendida")</f>
        <v>0</v>
      </c>
      <c r="ED37" s="37">
        <f>SUMIFS(Lançamentos!$F:$F,Lançamentos!$A:$A,ED$19,Lançamentos!$C:$C,"Custo de Mercadoria Vendida")</f>
        <v>0</v>
      </c>
      <c r="EE37" s="37">
        <f>SUMIFS(Lançamentos!$F:$F,Lançamentos!$A:$A,EE$19,Lançamentos!$C:$C,"Custo de Mercadoria Vendida")</f>
        <v>0</v>
      </c>
      <c r="EF37" s="37">
        <f>SUMIFS(Lançamentos!$F:$F,Lançamentos!$A:$A,EF$19,Lançamentos!$C:$C,"Custo de Mercadoria Vendida")</f>
        <v>0</v>
      </c>
      <c r="EG37" s="37">
        <f>SUMIFS(Lançamentos!$F:$F,Lançamentos!$A:$A,EG$19,Lançamentos!$C:$C,"Custo de Mercadoria Vendida")</f>
        <v>0</v>
      </c>
      <c r="EH37" s="37">
        <f>SUMIFS(Lançamentos!$F:$F,Lançamentos!$A:$A,EH$19,Lançamentos!$C:$C,"Custo de Mercadoria Vendida")</f>
        <v>0</v>
      </c>
      <c r="EI37" s="37">
        <f>SUMIFS(Lançamentos!$F:$F,Lançamentos!$A:$A,EI$19,Lançamentos!$C:$C,"Custo de Mercadoria Vendida")</f>
        <v>0</v>
      </c>
      <c r="EJ37" s="37">
        <f>SUMIFS(Lançamentos!$F:$F,Lançamentos!$A:$A,EJ$19,Lançamentos!$C:$C,"Custo de Mercadoria Vendida")</f>
        <v>0</v>
      </c>
      <c r="EK37" s="37">
        <f>SUMIFS(Lançamentos!$F:$F,Lançamentos!$A:$A,EK$19,Lançamentos!$C:$C,"Custo de Mercadoria Vendida")</f>
        <v>0</v>
      </c>
      <c r="EL37" s="37">
        <f>SUMIFS(Lançamentos!$F:$F,Lançamentos!$A:$A,EL$19,Lançamentos!$C:$C,"Custo de Mercadoria Vendida")</f>
        <v>0</v>
      </c>
      <c r="EM37" s="37">
        <f>SUMIFS(Lançamentos!$F:$F,Lançamentos!$A:$A,EM$19,Lançamentos!$C:$C,"Custo de Mercadoria Vendida")</f>
        <v>0</v>
      </c>
      <c r="EN37" s="37">
        <f>SUMIFS(Lançamentos!$F:$F,Lançamentos!$A:$A,EN$19,Lançamentos!$C:$C,"Custo de Mercadoria Vendida")</f>
        <v>0</v>
      </c>
      <c r="EO37" s="37">
        <f>SUMIFS(Lançamentos!$F:$F,Lançamentos!$A:$A,EO$19,Lançamentos!$C:$C,"Custo de Mercadoria Vendida")</f>
        <v>0</v>
      </c>
      <c r="EP37" s="37">
        <f>SUMIFS(Lançamentos!$F:$F,Lançamentos!$A:$A,EP$19,Lançamentos!$C:$C,"Custo de Mercadoria Vendida")</f>
        <v>0</v>
      </c>
      <c r="EQ37" s="37">
        <f>SUMIFS(Lançamentos!$F:$F,Lançamentos!$A:$A,EQ$19,Lançamentos!$C:$C,"Custo de Mercadoria Vendida")</f>
        <v>0</v>
      </c>
      <c r="ER37" s="37">
        <f>SUMIFS(Lançamentos!$F:$F,Lançamentos!$A:$A,ER$19,Lançamentos!$C:$C,"Custo de Mercadoria Vendida")</f>
        <v>0</v>
      </c>
      <c r="ES37" s="37">
        <f>SUMIFS(Lançamentos!$F:$F,Lançamentos!$A:$A,ES$19,Lançamentos!$C:$C,"Custo de Mercadoria Vendida")</f>
        <v>0</v>
      </c>
      <c r="ET37" s="37">
        <f>SUMIFS(Lançamentos!$F:$F,Lançamentos!$A:$A,ET$19,Lançamentos!$C:$C,"Custo de Mercadoria Vendida")</f>
        <v>0</v>
      </c>
      <c r="EU37" s="37">
        <f>SUMIFS(Lançamentos!$F:$F,Lançamentos!$A:$A,EU$19,Lançamentos!$C:$C,"Custo de Mercadoria Vendida")</f>
        <v>0</v>
      </c>
      <c r="EV37" s="37">
        <f>SUMIFS(Lançamentos!$F:$F,Lançamentos!$A:$A,EV$19,Lançamentos!$C:$C,"Custo de Mercadoria Vendida")</f>
        <v>0</v>
      </c>
      <c r="EW37" s="37">
        <f>SUMIFS(Lançamentos!$F:$F,Lançamentos!$A:$A,EW$19,Lançamentos!$C:$C,"Custo de Mercadoria Vendida")</f>
        <v>0</v>
      </c>
      <c r="EX37" s="37">
        <f>SUMIFS(Lançamentos!$F:$F,Lançamentos!$A:$A,EX$19,Lançamentos!$C:$C,"Custo de Mercadoria Vendida")</f>
        <v>0</v>
      </c>
      <c r="EY37" s="37">
        <f>SUMIFS(Lançamentos!$F:$F,Lançamentos!$A:$A,EY$19,Lançamentos!$C:$C,"Custo de Mercadoria Vendida")</f>
        <v>0</v>
      </c>
      <c r="EZ37" s="37">
        <f>SUMIFS(Lançamentos!$F:$F,Lançamentos!$A:$A,EZ$19,Lançamentos!$C:$C,"Custo de Mercadoria Vendida")</f>
        <v>0</v>
      </c>
      <c r="FA37" s="37">
        <f>SUMIFS(Lançamentos!$F:$F,Lançamentos!$A:$A,FA$19,Lançamentos!$C:$C,"Custo de Mercadoria Vendida")</f>
        <v>0</v>
      </c>
      <c r="FB37" s="37">
        <f>SUMIFS(Lançamentos!$F:$F,Lançamentos!$A:$A,FB$19,Lançamentos!$C:$C,"Custo de Mercadoria Vendida")</f>
        <v>0</v>
      </c>
      <c r="FC37" s="37">
        <f>SUMIFS(Lançamentos!$F:$F,Lançamentos!$A:$A,FC$19,Lançamentos!$C:$C,"Custo de Mercadoria Vendida")</f>
        <v>0</v>
      </c>
      <c r="FD37" s="37">
        <f>SUMIFS(Lançamentos!$F:$F,Lançamentos!$A:$A,FD$19,Lançamentos!$C:$C,"Custo de Mercadoria Vendida")</f>
        <v>0</v>
      </c>
      <c r="FE37" s="37">
        <f>SUMIFS(Lançamentos!$F:$F,Lançamentos!$A:$A,FE$19,Lançamentos!$C:$C,"Custo de Mercadoria Vendida")</f>
        <v>0</v>
      </c>
      <c r="FF37" s="37">
        <f>SUMIFS(Lançamentos!$F:$F,Lançamentos!$A:$A,FF$19,Lançamentos!$C:$C,"Custo de Mercadoria Vendida")</f>
        <v>0</v>
      </c>
      <c r="FG37" s="37">
        <f>SUMIFS(Lançamentos!$F:$F,Lançamentos!$A:$A,FG$19,Lançamentos!$C:$C,"Custo de Mercadoria Vendida")</f>
        <v>0</v>
      </c>
      <c r="FH37" s="37">
        <f>SUMIFS(Lançamentos!$F:$F,Lançamentos!$A:$A,FH$19,Lançamentos!$C:$C,"Custo de Mercadoria Vendida")</f>
        <v>0</v>
      </c>
      <c r="FI37" s="37">
        <f>SUMIFS(Lançamentos!$F:$F,Lançamentos!$A:$A,FI$19,Lançamentos!$C:$C,"Custo de Mercadoria Vendida")</f>
        <v>0</v>
      </c>
      <c r="FJ37" s="37">
        <f>SUMIFS(Lançamentos!$F:$F,Lançamentos!$A:$A,FJ$19,Lançamentos!$C:$C,"Custo de Mercadoria Vendida")</f>
        <v>0</v>
      </c>
      <c r="FK37" s="37">
        <f>SUMIFS(Lançamentos!$F:$F,Lançamentos!$A:$A,FK$19,Lançamentos!$C:$C,"Custo de Mercadoria Vendida")</f>
        <v>0</v>
      </c>
      <c r="FL37" s="37">
        <f>SUMIFS(Lançamentos!$F:$F,Lançamentos!$A:$A,FL$19,Lançamentos!$C:$C,"Custo de Mercadoria Vendida")</f>
        <v>0</v>
      </c>
      <c r="FM37" s="37">
        <f>SUMIFS(Lançamentos!$F:$F,Lançamentos!$A:$A,FM$19,Lançamentos!$C:$C,"Custo de Mercadoria Vendida")</f>
        <v>0</v>
      </c>
      <c r="FN37" s="37">
        <f>SUMIFS(Lançamentos!$F:$F,Lançamentos!$A:$A,FN$19,Lançamentos!$C:$C,"Custo de Mercadoria Vendida")</f>
        <v>0</v>
      </c>
      <c r="FO37" s="37">
        <f>SUMIFS(Lançamentos!$F:$F,Lançamentos!$A:$A,FO$19,Lançamentos!$C:$C,"Custo de Mercadoria Vendida")</f>
        <v>0</v>
      </c>
      <c r="FP37" s="37">
        <f>SUMIFS(Lançamentos!$F:$F,Lançamentos!$A:$A,FP$19,Lançamentos!$C:$C,"Custo de Mercadoria Vendida")</f>
        <v>0</v>
      </c>
      <c r="FQ37" s="37">
        <f>SUMIFS(Lançamentos!$F:$F,Lançamentos!$A:$A,FQ$19,Lançamentos!$C:$C,"Custo de Mercadoria Vendida")</f>
        <v>0</v>
      </c>
      <c r="FR37" s="37">
        <f>SUMIFS(Lançamentos!$F:$F,Lançamentos!$A:$A,FR$19,Lançamentos!$C:$C,"Custo de Mercadoria Vendida")</f>
        <v>0</v>
      </c>
      <c r="FS37" s="37">
        <f>SUMIFS(Lançamentos!$F:$F,Lançamentos!$A:$A,FS$19,Lançamentos!$C:$C,"Custo de Mercadoria Vendida")</f>
        <v>0</v>
      </c>
      <c r="FT37" s="37">
        <f>SUMIFS(Lançamentos!$F:$F,Lançamentos!$A:$A,FT$19,Lançamentos!$C:$C,"Custo de Mercadoria Vendida")</f>
        <v>0</v>
      </c>
      <c r="FU37" s="37">
        <f>SUMIFS(Lançamentos!$F:$F,Lançamentos!$A:$A,FU$19,Lançamentos!$C:$C,"Custo de Mercadoria Vendida")</f>
        <v>0</v>
      </c>
      <c r="FV37" s="37">
        <f>SUMIFS(Lançamentos!$F:$F,Lançamentos!$A:$A,FV$19,Lançamentos!$C:$C,"Custo de Mercadoria Vendida")</f>
        <v>0</v>
      </c>
      <c r="FW37" s="37">
        <f>SUMIFS(Lançamentos!$F:$F,Lançamentos!$A:$A,FW$19,Lançamentos!$C:$C,"Custo de Mercadoria Vendida")</f>
        <v>0</v>
      </c>
      <c r="FX37" s="37">
        <f>SUMIFS(Lançamentos!$F:$F,Lançamentos!$A:$A,FX$19,Lançamentos!$C:$C,"Custo de Mercadoria Vendida")</f>
        <v>0</v>
      </c>
      <c r="FY37" s="37">
        <f>SUMIFS(Lançamentos!$F:$F,Lançamentos!$A:$A,FY$19,Lançamentos!$C:$C,"Custo de Mercadoria Vendida")</f>
        <v>0</v>
      </c>
      <c r="FZ37" s="37">
        <f>SUMIFS(Lançamentos!$F:$F,Lançamentos!$A:$A,FZ$19,Lançamentos!$C:$C,"Custo de Mercadoria Vendida")</f>
        <v>0</v>
      </c>
      <c r="GA37" s="37">
        <f>SUMIFS(Lançamentos!$F:$F,Lançamentos!$A:$A,GA$19,Lançamentos!$C:$C,"Custo de Mercadoria Vendida")</f>
        <v>0</v>
      </c>
      <c r="GB37" s="37">
        <f>SUMIFS(Lançamentos!$F:$F,Lançamentos!$A:$A,GB$19,Lançamentos!$C:$C,"Custo de Mercadoria Vendida")</f>
        <v>0</v>
      </c>
      <c r="GC37" s="37">
        <f>SUMIFS(Lançamentos!$F:$F,Lançamentos!$A:$A,GC$19,Lançamentos!$C:$C,"Custo de Mercadoria Vendida")</f>
        <v>0</v>
      </c>
      <c r="GD37" s="37">
        <f>SUMIFS(Lançamentos!$F:$F,Lançamentos!$A:$A,GD$19,Lançamentos!$C:$C,"Custo de Mercadoria Vendida")</f>
        <v>0</v>
      </c>
      <c r="GE37" s="37">
        <f>SUMIFS(Lançamentos!$F:$F,Lançamentos!$A:$A,GE$19,Lançamentos!$C:$C,"Custo de Mercadoria Vendida")</f>
        <v>0</v>
      </c>
      <c r="GF37" s="37">
        <f>SUMIFS(Lançamentos!$F:$F,Lançamentos!$A:$A,GF$19,Lançamentos!$C:$C,"Custo de Mercadoria Vendida")</f>
        <v>0</v>
      </c>
      <c r="GG37" s="37">
        <f>SUMIFS(Lançamentos!$F:$F,Lançamentos!$A:$A,GG$19,Lançamentos!$C:$C,"Custo de Mercadoria Vendida")</f>
        <v>0</v>
      </c>
      <c r="GH37" s="37">
        <f>SUMIFS(Lançamentos!$F:$F,Lançamentos!$A:$A,GH$19,Lançamentos!$C:$C,"Custo de Mercadoria Vendida")</f>
        <v>0</v>
      </c>
      <c r="GI37" s="37">
        <f>SUMIFS(Lançamentos!$F:$F,Lançamentos!$A:$A,GI$19,Lançamentos!$C:$C,"Custo de Mercadoria Vendida")</f>
        <v>0</v>
      </c>
      <c r="GJ37" s="37">
        <f>SUMIFS(Lançamentos!$F:$F,Lançamentos!$A:$A,GJ$19,Lançamentos!$C:$C,"Custo de Mercadoria Vendida")</f>
        <v>0</v>
      </c>
      <c r="GK37" s="37">
        <f>SUMIFS(Lançamentos!$F:$F,Lançamentos!$A:$A,GK$19,Lançamentos!$C:$C,"Custo de Mercadoria Vendida")</f>
        <v>0</v>
      </c>
      <c r="GL37" s="37">
        <f>SUMIFS(Lançamentos!$F:$F,Lançamentos!$A:$A,GL$19,Lançamentos!$C:$C,"Custo de Mercadoria Vendida")</f>
        <v>0</v>
      </c>
      <c r="GM37" s="37">
        <f>SUMIFS(Lançamentos!$F:$F,Lançamentos!$A:$A,GM$19,Lançamentos!$C:$C,"Custo de Mercadoria Vendida")</f>
        <v>0</v>
      </c>
      <c r="GN37" s="37">
        <f>SUMIFS(Lançamentos!$F:$F,Lançamentos!$A:$A,GN$19,Lançamentos!$C:$C,"Custo de Mercadoria Vendida")</f>
        <v>0</v>
      </c>
      <c r="GO37" s="37">
        <f>SUMIFS(Lançamentos!$F:$F,Lançamentos!$A:$A,GO$19,Lançamentos!$C:$C,"Custo de Mercadoria Vendida")</f>
        <v>0</v>
      </c>
      <c r="GP37" s="37">
        <f>SUMIFS(Lançamentos!$F:$F,Lançamentos!$A:$A,GP$19,Lançamentos!$C:$C,"Custo de Mercadoria Vendida")</f>
        <v>0</v>
      </c>
      <c r="GQ37" s="37">
        <f>SUMIFS(Lançamentos!$F:$F,Lançamentos!$A:$A,GQ$19,Lançamentos!$C:$C,"Custo de Mercadoria Vendida")</f>
        <v>0</v>
      </c>
      <c r="GR37" s="37">
        <f>SUMIFS(Lançamentos!$F:$F,Lançamentos!$A:$A,GR$19,Lançamentos!$C:$C,"Custo de Mercadoria Vendida")</f>
        <v>0</v>
      </c>
      <c r="GS37" s="37">
        <f>SUMIFS(Lançamentos!$F:$F,Lançamentos!$A:$A,GS$19,Lançamentos!$C:$C,"Custo de Mercadoria Vendida")</f>
        <v>0</v>
      </c>
      <c r="GT37" s="37">
        <f>SUMIFS(Lançamentos!$F:$F,Lançamentos!$A:$A,GT$19,Lançamentos!$C:$C,"Custo de Mercadoria Vendida")</f>
        <v>0</v>
      </c>
      <c r="GU37" s="37">
        <f>SUMIFS(Lançamentos!$F:$F,Lançamentos!$A:$A,GU$19,Lançamentos!$C:$C,"Custo de Mercadoria Vendida")</f>
        <v>0</v>
      </c>
      <c r="GV37" s="37">
        <f>SUMIFS(Lançamentos!$F:$F,Lançamentos!$A:$A,GV$19,Lançamentos!$C:$C,"Custo de Mercadoria Vendida")</f>
        <v>0</v>
      </c>
      <c r="GW37" s="37">
        <f>SUMIFS(Lançamentos!$F:$F,Lançamentos!$A:$A,GW$19,Lançamentos!$C:$C,"Custo de Mercadoria Vendida")</f>
        <v>0</v>
      </c>
      <c r="GX37" s="37">
        <f>SUMIFS(Lançamentos!$F:$F,Lançamentos!$A:$A,GX$19,Lançamentos!$C:$C,"Custo de Mercadoria Vendida")</f>
        <v>0</v>
      </c>
      <c r="GY37" s="37">
        <f>SUMIFS(Lançamentos!$F:$F,Lançamentos!$A:$A,GY$19,Lançamentos!$C:$C,"Custo de Mercadoria Vendida")</f>
        <v>0</v>
      </c>
      <c r="GZ37" s="37">
        <f>SUMIFS(Lançamentos!$F:$F,Lançamentos!$A:$A,GZ$19,Lançamentos!$C:$C,"Custo de Mercadoria Vendida")</f>
        <v>0</v>
      </c>
      <c r="HA37" s="37">
        <f>SUMIFS(Lançamentos!$F:$F,Lançamentos!$A:$A,HA$19,Lançamentos!$C:$C,"Custo de Mercadoria Vendida")</f>
        <v>0</v>
      </c>
      <c r="HB37" s="37">
        <f>SUMIFS(Lançamentos!$F:$F,Lançamentos!$A:$A,HB$19,Lançamentos!$C:$C,"Custo de Mercadoria Vendida")</f>
        <v>0</v>
      </c>
      <c r="HC37" s="37">
        <f>SUMIFS(Lançamentos!$F:$F,Lançamentos!$A:$A,HC$19,Lançamentos!$C:$C,"Custo de Mercadoria Vendida")</f>
        <v>0</v>
      </c>
      <c r="HD37" s="37">
        <f>SUMIFS(Lançamentos!$F:$F,Lançamentos!$A:$A,HD$19,Lançamentos!$C:$C,"Custo de Mercadoria Vendida")</f>
        <v>0</v>
      </c>
      <c r="HE37" s="37">
        <f>SUMIFS(Lançamentos!$F:$F,Lançamentos!$A:$A,HE$19,Lançamentos!$C:$C,"Custo de Mercadoria Vendida")</f>
        <v>0</v>
      </c>
      <c r="HF37" s="37">
        <f>SUMIFS(Lançamentos!$F:$F,Lançamentos!$A:$A,HF$19,Lançamentos!$C:$C,"Custo de Mercadoria Vendida")</f>
        <v>0</v>
      </c>
      <c r="HG37" s="37">
        <f>SUMIFS(Lançamentos!$F:$F,Lançamentos!$A:$A,HG$19,Lançamentos!$C:$C,"Custo de Mercadoria Vendida")</f>
        <v>0</v>
      </c>
      <c r="HH37" s="37">
        <f>SUMIFS(Lançamentos!$F:$F,Lançamentos!$A:$A,HH$19,Lançamentos!$C:$C,"Custo de Mercadoria Vendida")</f>
        <v>0</v>
      </c>
      <c r="HI37" s="37">
        <f>SUMIFS(Lançamentos!$F:$F,Lançamentos!$A:$A,HI$19,Lançamentos!$C:$C,"Custo de Mercadoria Vendida")</f>
        <v>0</v>
      </c>
      <c r="HJ37" s="37">
        <f>SUMIFS(Lançamentos!$F:$F,Lançamentos!$A:$A,HJ$19,Lançamentos!$C:$C,"Custo de Mercadoria Vendida")</f>
        <v>0</v>
      </c>
      <c r="HK37" s="37">
        <f>SUMIFS(Lançamentos!$F:$F,Lançamentos!$A:$A,HK$19,Lançamentos!$C:$C,"Custo de Mercadoria Vendida")</f>
        <v>0</v>
      </c>
      <c r="HL37" s="37">
        <f>SUMIFS(Lançamentos!$F:$F,Lançamentos!$A:$A,HL$19,Lançamentos!$C:$C,"Custo de Mercadoria Vendida")</f>
        <v>0</v>
      </c>
      <c r="HM37" s="37">
        <f>SUMIFS(Lançamentos!$F:$F,Lançamentos!$A:$A,HM$19,Lançamentos!$C:$C,"Custo de Mercadoria Vendida")</f>
        <v>0</v>
      </c>
      <c r="HN37" s="37">
        <f>SUMIFS(Lançamentos!$F:$F,Lançamentos!$A:$A,HN$19,Lançamentos!$C:$C,"Custo de Mercadoria Vendida")</f>
        <v>0</v>
      </c>
      <c r="HO37" s="37">
        <f>SUMIFS(Lançamentos!$F:$F,Lançamentos!$A:$A,HO$19,Lançamentos!$C:$C,"Custo de Mercadoria Vendida")</f>
        <v>0</v>
      </c>
      <c r="HP37" s="37">
        <f>SUMIFS(Lançamentos!$F:$F,Lançamentos!$A:$A,HP$19,Lançamentos!$C:$C,"Custo de Mercadoria Vendida")</f>
        <v>0</v>
      </c>
      <c r="HQ37" s="37">
        <f>SUMIFS(Lançamentos!$F:$F,Lançamentos!$A:$A,HQ$19,Lançamentos!$C:$C,"Custo de Mercadoria Vendida")</f>
        <v>0</v>
      </c>
      <c r="HR37" s="37">
        <f>SUMIFS(Lançamentos!$F:$F,Lançamentos!$A:$A,HR$19,Lançamentos!$C:$C,"Custo de Mercadoria Vendida")</f>
        <v>0</v>
      </c>
      <c r="HS37" s="37">
        <f>SUMIFS(Lançamentos!$F:$F,Lançamentos!$A:$A,HS$19,Lançamentos!$C:$C,"Custo de Mercadoria Vendida")</f>
        <v>0</v>
      </c>
      <c r="HT37" s="37">
        <f>SUMIFS(Lançamentos!$F:$F,Lançamentos!$A:$A,HT$19,Lançamentos!$C:$C,"Custo de Mercadoria Vendida")</f>
        <v>0</v>
      </c>
      <c r="HU37" s="37">
        <f>SUMIFS(Lançamentos!$F:$F,Lançamentos!$A:$A,HU$19,Lançamentos!$C:$C,"Custo de Mercadoria Vendida")</f>
        <v>0</v>
      </c>
      <c r="HV37" s="37">
        <f>SUMIFS(Lançamentos!$F:$F,Lançamentos!$A:$A,HV$19,Lançamentos!$C:$C,"Custo de Mercadoria Vendida")</f>
        <v>0</v>
      </c>
      <c r="HW37" s="37">
        <f>SUMIFS(Lançamentos!$F:$F,Lançamentos!$A:$A,HW$19,Lançamentos!$C:$C,"Custo de Mercadoria Vendida")</f>
        <v>0</v>
      </c>
      <c r="HX37" s="37">
        <f>SUMIFS(Lançamentos!$F:$F,Lançamentos!$A:$A,HX$19,Lançamentos!$C:$C,"Custo de Mercadoria Vendida")</f>
        <v>0</v>
      </c>
      <c r="HY37" s="37">
        <f>SUMIFS(Lançamentos!$F:$F,Lançamentos!$A:$A,HY$19,Lançamentos!$C:$C,"Custo de Mercadoria Vendida")</f>
        <v>0</v>
      </c>
      <c r="HZ37" s="37">
        <f>SUMIFS(Lançamentos!$F:$F,Lançamentos!$A:$A,HZ$19,Lançamentos!$C:$C,"Custo de Mercadoria Vendida")</f>
        <v>0</v>
      </c>
      <c r="IA37" s="37">
        <f>SUMIFS(Lançamentos!$F:$F,Lançamentos!$A:$A,IA$19,Lançamentos!$C:$C,"Custo de Mercadoria Vendida")</f>
        <v>0</v>
      </c>
      <c r="IB37" s="37">
        <f>SUMIFS(Lançamentos!$F:$F,Lançamentos!$A:$A,IB$19,Lançamentos!$C:$C,"Custo de Mercadoria Vendida")</f>
        <v>0</v>
      </c>
      <c r="IC37" s="37">
        <f>SUMIFS(Lançamentos!$F:$F,Lançamentos!$A:$A,IC$19,Lançamentos!$C:$C,"Custo de Mercadoria Vendida")</f>
        <v>0</v>
      </c>
      <c r="ID37" s="37">
        <f>SUMIFS(Lançamentos!$F:$F,Lançamentos!$A:$A,ID$19,Lançamentos!$C:$C,"Custo de Mercadoria Vendida")</f>
        <v>0</v>
      </c>
      <c r="IE37" s="37">
        <f>SUMIFS(Lançamentos!$F:$F,Lançamentos!$A:$A,IE$19,Lançamentos!$C:$C,"Custo de Mercadoria Vendida")</f>
        <v>0</v>
      </c>
      <c r="IF37" s="37">
        <f>SUMIFS(Lançamentos!$F:$F,Lançamentos!$A:$A,IF$19,Lançamentos!$C:$C,"Custo de Mercadoria Vendida")</f>
        <v>0</v>
      </c>
      <c r="IG37" s="37">
        <f>SUMIFS(Lançamentos!$F:$F,Lançamentos!$A:$A,IG$19,Lançamentos!$C:$C,"Custo de Mercadoria Vendida")</f>
        <v>0</v>
      </c>
      <c r="IH37" s="37">
        <f>SUMIFS(Lançamentos!$F:$F,Lançamentos!$A:$A,IH$19,Lançamentos!$C:$C,"Custo de Mercadoria Vendida")</f>
        <v>0</v>
      </c>
      <c r="II37" s="37">
        <f>SUMIFS(Lançamentos!$F:$F,Lançamentos!$A:$A,II$19,Lançamentos!$C:$C,"Custo de Mercadoria Vendida")</f>
        <v>0</v>
      </c>
      <c r="IJ37" s="37">
        <f>SUMIFS(Lançamentos!$F:$F,Lançamentos!$A:$A,IJ$19,Lançamentos!$C:$C,"Custo de Mercadoria Vendida")</f>
        <v>0</v>
      </c>
      <c r="IK37" s="37">
        <f>SUMIFS(Lançamentos!$F:$F,Lançamentos!$A:$A,IK$19,Lançamentos!$C:$C,"Custo de Mercadoria Vendida")</f>
        <v>0</v>
      </c>
      <c r="IL37" s="37">
        <f>SUMIFS(Lançamentos!$F:$F,Lançamentos!$A:$A,IL$19,Lançamentos!$C:$C,"Custo de Mercadoria Vendida")</f>
        <v>0</v>
      </c>
    </row>
    <row r="38" spans="1:246" x14ac:dyDescent="0.3">
      <c r="A38" t="s">
        <v>12</v>
      </c>
      <c r="B38" s="37">
        <f>SUMIFS(Lançamentos!$F:$F,Lançamentos!$A:$A,B$19,Lançamentos!$C:$C,"Custo de Serviços Prestados")</f>
        <v>0</v>
      </c>
      <c r="C38" s="37">
        <f>SUMIFS(Lançamentos!$F:$F,Lançamentos!$A:$A,C$19,Lançamentos!$C:$C,"Custo de Serviços Prestados")</f>
        <v>0</v>
      </c>
      <c r="D38" s="37">
        <f>SUMIFS(Lançamentos!$F:$F,Lançamentos!$A:$A,D$19,Lançamentos!$C:$C,"Custo de Serviços Prestados")</f>
        <v>0</v>
      </c>
      <c r="E38" s="37">
        <f>SUMIFS(Lançamentos!$F:$F,Lançamentos!$A:$A,E$19,Lançamentos!$C:$C,"Custo de Serviços Prestados")</f>
        <v>0</v>
      </c>
      <c r="F38" s="37">
        <f>SUMIFS(Lançamentos!$F:$F,Lançamentos!$A:$A,F$19,Lançamentos!$C:$C,"Custo de Serviços Prestados")</f>
        <v>0</v>
      </c>
      <c r="G38" s="37">
        <f>SUMIFS(Lançamentos!$F:$F,Lançamentos!$A:$A,G$19,Lançamentos!$C:$C,"Custo de Serviços Prestados")</f>
        <v>0</v>
      </c>
      <c r="H38" s="37">
        <f>SUMIFS(Lançamentos!$F:$F,Lançamentos!$A:$A,H$19,Lançamentos!$C:$C,"Custo de Serviços Prestados")</f>
        <v>0</v>
      </c>
      <c r="I38" s="37">
        <f>SUMIFS(Lançamentos!$F:$F,Lançamentos!$A:$A,I$19,Lançamentos!$C:$C,"Custo de Serviços Prestados")</f>
        <v>0</v>
      </c>
      <c r="J38" s="37">
        <f>SUMIFS(Lançamentos!$F:$F,Lançamentos!$A:$A,J$19,Lançamentos!$C:$C,"Custo de Serviços Prestados")</f>
        <v>0</v>
      </c>
      <c r="K38" s="37">
        <f>SUMIFS(Lançamentos!$F:$F,Lançamentos!$A:$A,K$19,Lançamentos!$C:$C,"Custo de Serviços Prestados")</f>
        <v>0</v>
      </c>
      <c r="L38" s="37">
        <f>SUMIFS(Lançamentos!$F:$F,Lançamentos!$A:$A,L$19,Lançamentos!$C:$C,"Custo de Serviços Prestados")</f>
        <v>0</v>
      </c>
      <c r="M38" s="37">
        <f>SUMIFS(Lançamentos!$F:$F,Lançamentos!$A:$A,M$19,Lançamentos!$C:$C,"Custo de Serviços Prestados")</f>
        <v>0</v>
      </c>
      <c r="N38" s="37">
        <f>SUMIFS(Lançamentos!$F:$F,Lançamentos!$A:$A,N$19,Lançamentos!$C:$C,"Custo de Serviços Prestados")</f>
        <v>0</v>
      </c>
      <c r="O38" s="37">
        <f>SUMIFS(Lançamentos!$F:$F,Lançamentos!$A:$A,O$19,Lançamentos!$C:$C,"Custo de Serviços Prestados")</f>
        <v>0</v>
      </c>
      <c r="P38" s="37">
        <f>SUMIFS(Lançamentos!$F:$F,Lançamentos!$A:$A,P$19,Lançamentos!$C:$C,"Custo de Serviços Prestados")</f>
        <v>0</v>
      </c>
      <c r="Q38" s="37">
        <f>SUMIFS(Lançamentos!$F:$F,Lançamentos!$A:$A,Q$19,Lançamentos!$C:$C,"Custo de Serviços Prestados")</f>
        <v>0</v>
      </c>
      <c r="R38" s="37">
        <f>SUMIFS(Lançamentos!$F:$F,Lançamentos!$A:$A,R$19,Lançamentos!$C:$C,"Custo de Serviços Prestados")</f>
        <v>0</v>
      </c>
      <c r="S38" s="37">
        <f>SUMIFS(Lançamentos!$F:$F,Lançamentos!$A:$A,S$19,Lançamentos!$C:$C,"Custo de Serviços Prestados")</f>
        <v>0</v>
      </c>
      <c r="T38" s="37">
        <f>SUMIFS(Lançamentos!$F:$F,Lançamentos!$A:$A,T$19,Lançamentos!$C:$C,"Custo de Serviços Prestados")</f>
        <v>0</v>
      </c>
      <c r="U38" s="37">
        <f>SUMIFS(Lançamentos!$F:$F,Lançamentos!$A:$A,U$19,Lançamentos!$C:$C,"Custo de Serviços Prestados")</f>
        <v>0</v>
      </c>
      <c r="V38" s="37">
        <f>SUMIFS(Lançamentos!$F:$F,Lançamentos!$A:$A,V$19,Lançamentos!$C:$C,"Custo de Serviços Prestados")</f>
        <v>0</v>
      </c>
      <c r="W38" s="37">
        <f>SUMIFS(Lançamentos!$F:$F,Lançamentos!$A:$A,W$19,Lançamentos!$C:$C,"Custo de Serviços Prestados")</f>
        <v>0</v>
      </c>
      <c r="X38" s="37">
        <f>SUMIFS(Lançamentos!$F:$F,Lançamentos!$A:$A,X$19,Lançamentos!$C:$C,"Custo de Serviços Prestados")</f>
        <v>0</v>
      </c>
      <c r="Y38" s="37">
        <f>SUMIFS(Lançamentos!$F:$F,Lançamentos!$A:$A,Y$19,Lançamentos!$C:$C,"Custo de Serviços Prestados")</f>
        <v>0</v>
      </c>
      <c r="Z38" s="37">
        <f>SUMIFS(Lançamentos!$F:$F,Lançamentos!$A:$A,Z$19,Lançamentos!$C:$C,"Custo de Serviços Prestados")</f>
        <v>0</v>
      </c>
      <c r="AA38" s="37">
        <f>SUMIFS(Lançamentos!$F:$F,Lançamentos!$A:$A,AA$19,Lançamentos!$C:$C,"Custo de Serviços Prestados")</f>
        <v>0</v>
      </c>
      <c r="AB38" s="37">
        <f>SUMIFS(Lançamentos!$F:$F,Lançamentos!$A:$A,AB$19,Lançamentos!$C:$C,"Custo de Serviços Prestados")</f>
        <v>0</v>
      </c>
      <c r="AC38" s="37">
        <f>SUMIFS(Lançamentos!$F:$F,Lançamentos!$A:$A,AC$19,Lançamentos!$C:$C,"Custo de Serviços Prestados")</f>
        <v>0</v>
      </c>
      <c r="AD38" s="37">
        <f>SUMIFS(Lançamentos!$F:$F,Lançamentos!$A:$A,AD$19,Lançamentos!$C:$C,"Custo de Serviços Prestados")</f>
        <v>0</v>
      </c>
      <c r="AE38" s="37">
        <f>SUMIFS(Lançamentos!$F:$F,Lançamentos!$A:$A,AE$19,Lançamentos!$C:$C,"Custo de Serviços Prestados")</f>
        <v>0</v>
      </c>
      <c r="AF38" s="37">
        <f>SUMIFS(Lançamentos!$F:$F,Lançamentos!$A:$A,AF$19,Lançamentos!$C:$C,"Custo de Serviços Prestados")</f>
        <v>0</v>
      </c>
      <c r="AG38" s="37">
        <f>SUMIFS(Lançamentos!$F:$F,Lançamentos!$A:$A,AG$19,Lançamentos!$C:$C,"Custo de Serviços Prestados")</f>
        <v>0</v>
      </c>
      <c r="AH38" s="37">
        <f>SUMIFS(Lançamentos!$F:$F,Lançamentos!$A:$A,AH$19,Lançamentos!$C:$C,"Custo de Serviços Prestados")</f>
        <v>0</v>
      </c>
      <c r="AI38" s="37">
        <f>SUMIFS(Lançamentos!$F:$F,Lançamentos!$A:$A,AI$19,Lançamentos!$C:$C,"Custo de Serviços Prestados")</f>
        <v>0</v>
      </c>
      <c r="AJ38" s="37">
        <f>SUMIFS(Lançamentos!$F:$F,Lançamentos!$A:$A,AJ$19,Lançamentos!$C:$C,"Custo de Serviços Prestados")</f>
        <v>0</v>
      </c>
      <c r="AK38" s="37">
        <f>SUMIFS(Lançamentos!$F:$F,Lançamentos!$A:$A,AK$19,Lançamentos!$C:$C,"Custo de Serviços Prestados")</f>
        <v>0</v>
      </c>
      <c r="AL38" s="37">
        <f>SUMIFS(Lançamentos!$F:$F,Lançamentos!$A:$A,AL$19,Lançamentos!$C:$C,"Custo de Serviços Prestados")</f>
        <v>0</v>
      </c>
      <c r="AM38" s="37">
        <f>SUMIFS(Lançamentos!$F:$F,Lançamentos!$A:$A,AM$19,Lançamentos!$C:$C,"Custo de Serviços Prestados")</f>
        <v>0</v>
      </c>
      <c r="AN38" s="37">
        <f>SUMIFS(Lançamentos!$F:$F,Lançamentos!$A:$A,AN$19,Lançamentos!$C:$C,"Custo de Serviços Prestados")</f>
        <v>0</v>
      </c>
      <c r="AO38" s="37">
        <f>SUMIFS(Lançamentos!$F:$F,Lançamentos!$A:$A,AO$19,Lançamentos!$C:$C,"Custo de Serviços Prestados")</f>
        <v>0</v>
      </c>
      <c r="AP38" s="37">
        <f>SUMIFS(Lançamentos!$F:$F,Lançamentos!$A:$A,AP$19,Lançamentos!$C:$C,"Custo de Serviços Prestados")</f>
        <v>0</v>
      </c>
      <c r="AQ38" s="37">
        <f>SUMIFS(Lançamentos!$F:$F,Lançamentos!$A:$A,AQ$19,Lançamentos!$C:$C,"Custo de Serviços Prestados")</f>
        <v>0</v>
      </c>
      <c r="AR38" s="37">
        <f>SUMIFS(Lançamentos!$F:$F,Lançamentos!$A:$A,AR$19,Lançamentos!$C:$C,"Custo de Serviços Prestados")</f>
        <v>0</v>
      </c>
      <c r="AS38" s="37">
        <f>SUMIFS(Lançamentos!$F:$F,Lançamentos!$A:$A,AS$19,Lançamentos!$C:$C,"Custo de Serviços Prestados")</f>
        <v>0</v>
      </c>
      <c r="AT38" s="37">
        <f>SUMIFS(Lançamentos!$F:$F,Lançamentos!$A:$A,AT$19,Lançamentos!$C:$C,"Custo de Serviços Prestados")</f>
        <v>0</v>
      </c>
      <c r="AU38" s="37">
        <f>SUMIFS(Lançamentos!$F:$F,Lançamentos!$A:$A,AU$19,Lançamentos!$C:$C,"Custo de Serviços Prestados")</f>
        <v>0</v>
      </c>
      <c r="AV38" s="37">
        <f>SUMIFS(Lançamentos!$F:$F,Lançamentos!$A:$A,AV$19,Lançamentos!$C:$C,"Custo de Serviços Prestados")</f>
        <v>0</v>
      </c>
      <c r="AW38" s="37">
        <f>SUMIFS(Lançamentos!$F:$F,Lançamentos!$A:$A,AW$19,Lançamentos!$C:$C,"Custo de Serviços Prestados")</f>
        <v>0</v>
      </c>
      <c r="AX38" s="37">
        <f>SUMIFS(Lançamentos!$F:$F,Lançamentos!$A:$A,AX$19,Lançamentos!$C:$C,"Custo de Serviços Prestados")</f>
        <v>0</v>
      </c>
      <c r="AY38" s="37">
        <f>SUMIFS(Lançamentos!$F:$F,Lançamentos!$A:$A,AY$19,Lançamentos!$C:$C,"Custo de Serviços Prestados")</f>
        <v>0</v>
      </c>
      <c r="AZ38" s="37">
        <f>SUMIFS(Lançamentos!$F:$F,Lançamentos!$A:$A,AZ$19,Lançamentos!$C:$C,"Custo de Serviços Prestados")</f>
        <v>0</v>
      </c>
      <c r="BA38" s="37">
        <f>SUMIFS(Lançamentos!$F:$F,Lançamentos!$A:$A,BA$19,Lançamentos!$C:$C,"Custo de Serviços Prestados")</f>
        <v>0</v>
      </c>
      <c r="BB38" s="37">
        <f>SUMIFS(Lançamentos!$F:$F,Lançamentos!$A:$A,BB$19,Lançamentos!$C:$C,"Custo de Serviços Prestados")</f>
        <v>0</v>
      </c>
      <c r="BC38" s="37">
        <f>SUMIFS(Lançamentos!$F:$F,Lançamentos!$A:$A,BC$19,Lançamentos!$C:$C,"Custo de Serviços Prestados")</f>
        <v>0</v>
      </c>
      <c r="BD38" s="37">
        <f>SUMIFS(Lançamentos!$F:$F,Lançamentos!$A:$A,BD$19,Lançamentos!$C:$C,"Custo de Serviços Prestados")</f>
        <v>0</v>
      </c>
      <c r="BE38" s="37">
        <f>SUMIFS(Lançamentos!$F:$F,Lançamentos!$A:$A,BE$19,Lançamentos!$C:$C,"Custo de Serviços Prestados")</f>
        <v>0</v>
      </c>
      <c r="BF38" s="37">
        <f>SUMIFS(Lançamentos!$F:$F,Lançamentos!$A:$A,BF$19,Lançamentos!$C:$C,"Custo de Serviços Prestados")</f>
        <v>0</v>
      </c>
      <c r="BG38" s="37">
        <f>SUMIFS(Lançamentos!$F:$F,Lançamentos!$A:$A,BG$19,Lançamentos!$C:$C,"Custo de Serviços Prestados")</f>
        <v>0</v>
      </c>
      <c r="BH38" s="37">
        <f>SUMIFS(Lançamentos!$F:$F,Lançamentos!$A:$A,BH$19,Lançamentos!$C:$C,"Custo de Serviços Prestados")</f>
        <v>0</v>
      </c>
      <c r="BI38" s="37">
        <f>SUMIFS(Lançamentos!$F:$F,Lançamentos!$A:$A,BI$19,Lançamentos!$C:$C,"Custo de Serviços Prestados")</f>
        <v>0</v>
      </c>
      <c r="BJ38" s="37">
        <f>SUMIFS(Lançamentos!$F:$F,Lançamentos!$A:$A,BJ$19,Lançamentos!$C:$C,"Custo de Serviços Prestados")</f>
        <v>0</v>
      </c>
      <c r="BK38" s="37">
        <f>SUMIFS(Lançamentos!$F:$F,Lançamentos!$A:$A,BK$19,Lançamentos!$C:$C,"Custo de Serviços Prestados")</f>
        <v>0</v>
      </c>
      <c r="BL38" s="37">
        <f>SUMIFS(Lançamentos!$F:$F,Lançamentos!$A:$A,BL$19,Lançamentos!$C:$C,"Custo de Serviços Prestados")</f>
        <v>0</v>
      </c>
      <c r="BM38" s="37">
        <f>SUMIFS(Lançamentos!$F:$F,Lançamentos!$A:$A,BM$19,Lançamentos!$C:$C,"Custo de Serviços Prestados")</f>
        <v>0</v>
      </c>
      <c r="BN38" s="37">
        <f>SUMIFS(Lançamentos!$F:$F,Lançamentos!$A:$A,BN$19,Lançamentos!$C:$C,"Custo de Serviços Prestados")</f>
        <v>0</v>
      </c>
      <c r="BO38" s="37">
        <f>SUMIFS(Lançamentos!$F:$F,Lançamentos!$A:$A,BO$19,Lançamentos!$C:$C,"Custo de Serviços Prestados")</f>
        <v>0</v>
      </c>
      <c r="BP38" s="37">
        <f>SUMIFS(Lançamentos!$F:$F,Lançamentos!$A:$A,BP$19,Lançamentos!$C:$C,"Custo de Serviços Prestados")</f>
        <v>0</v>
      </c>
      <c r="BQ38" s="37">
        <f>SUMIFS(Lançamentos!$F:$F,Lançamentos!$A:$A,BQ$19,Lançamentos!$C:$C,"Custo de Serviços Prestados")</f>
        <v>0</v>
      </c>
      <c r="BR38" s="37">
        <f>SUMIFS(Lançamentos!$F:$F,Lançamentos!$A:$A,BR$19,Lançamentos!$C:$C,"Custo de Serviços Prestados")</f>
        <v>0</v>
      </c>
      <c r="BS38" s="37">
        <f>SUMIFS(Lançamentos!$F:$F,Lançamentos!$A:$A,BS$19,Lançamentos!$C:$C,"Custo de Serviços Prestados")</f>
        <v>0</v>
      </c>
      <c r="BT38" s="37">
        <f>SUMIFS(Lançamentos!$F:$F,Lançamentos!$A:$A,BT$19,Lançamentos!$C:$C,"Custo de Serviços Prestados")</f>
        <v>0</v>
      </c>
      <c r="BU38" s="37">
        <f>SUMIFS(Lançamentos!$F:$F,Lançamentos!$A:$A,BU$19,Lançamentos!$C:$C,"Custo de Serviços Prestados")</f>
        <v>0</v>
      </c>
      <c r="BV38" s="37">
        <f>SUMIFS(Lançamentos!$F:$F,Lançamentos!$A:$A,BV$19,Lançamentos!$C:$C,"Custo de Serviços Prestados")</f>
        <v>0</v>
      </c>
      <c r="BW38" s="37">
        <f>SUMIFS(Lançamentos!$F:$F,Lançamentos!$A:$A,BW$19,Lançamentos!$C:$C,"Custo de Serviços Prestados")</f>
        <v>0</v>
      </c>
      <c r="BX38" s="37">
        <f>SUMIFS(Lançamentos!$F:$F,Lançamentos!$A:$A,BX$19,Lançamentos!$C:$C,"Custo de Serviços Prestados")</f>
        <v>0</v>
      </c>
      <c r="BY38" s="37">
        <f>SUMIFS(Lançamentos!$F:$F,Lançamentos!$A:$A,BY$19,Lançamentos!$C:$C,"Custo de Serviços Prestados")</f>
        <v>0</v>
      </c>
      <c r="BZ38" s="37">
        <f>SUMIFS(Lançamentos!$F:$F,Lançamentos!$A:$A,BZ$19,Lançamentos!$C:$C,"Custo de Serviços Prestados")</f>
        <v>0</v>
      </c>
      <c r="CA38" s="37">
        <f>SUMIFS(Lançamentos!$F:$F,Lançamentos!$A:$A,CA$19,Lançamentos!$C:$C,"Custo de Serviços Prestados")</f>
        <v>0</v>
      </c>
      <c r="CB38" s="37">
        <f>SUMIFS(Lançamentos!$F:$F,Lançamentos!$A:$A,CB$19,Lançamentos!$C:$C,"Custo de Serviços Prestados")</f>
        <v>0</v>
      </c>
      <c r="CC38" s="37">
        <f>SUMIFS(Lançamentos!$F:$F,Lançamentos!$A:$A,CC$19,Lançamentos!$C:$C,"Custo de Serviços Prestados")</f>
        <v>0</v>
      </c>
      <c r="CD38" s="37">
        <f>SUMIFS(Lançamentos!$F:$F,Lançamentos!$A:$A,CD$19,Lançamentos!$C:$C,"Custo de Serviços Prestados")</f>
        <v>0</v>
      </c>
      <c r="CE38" s="37">
        <f>SUMIFS(Lançamentos!$F:$F,Lançamentos!$A:$A,CE$19,Lançamentos!$C:$C,"Custo de Serviços Prestados")</f>
        <v>0</v>
      </c>
      <c r="CF38" s="37">
        <f>SUMIFS(Lançamentos!$F:$F,Lançamentos!$A:$A,CF$19,Lançamentos!$C:$C,"Custo de Serviços Prestados")</f>
        <v>0</v>
      </c>
      <c r="CG38" s="37">
        <f>SUMIFS(Lançamentos!$F:$F,Lançamentos!$A:$A,CG$19,Lançamentos!$C:$C,"Custo de Serviços Prestados")</f>
        <v>0</v>
      </c>
      <c r="CH38" s="37">
        <f>SUMIFS(Lançamentos!$F:$F,Lançamentos!$A:$A,CH$19,Lançamentos!$C:$C,"Custo de Serviços Prestados")</f>
        <v>0</v>
      </c>
      <c r="CI38" s="37">
        <f>SUMIFS(Lançamentos!$F:$F,Lançamentos!$A:$A,CI$19,Lançamentos!$C:$C,"Custo de Serviços Prestados")</f>
        <v>0</v>
      </c>
      <c r="CJ38" s="37">
        <f>SUMIFS(Lançamentos!$F:$F,Lançamentos!$A:$A,CJ$19,Lançamentos!$C:$C,"Custo de Serviços Prestados")</f>
        <v>0</v>
      </c>
      <c r="CK38" s="37">
        <f>SUMIFS(Lançamentos!$F:$F,Lançamentos!$A:$A,CK$19,Lançamentos!$C:$C,"Custo de Serviços Prestados")</f>
        <v>0</v>
      </c>
      <c r="CL38" s="37">
        <f>SUMIFS(Lançamentos!$F:$F,Lançamentos!$A:$A,CL$19,Lançamentos!$C:$C,"Custo de Serviços Prestados")</f>
        <v>0</v>
      </c>
      <c r="CM38" s="37">
        <f>SUMIFS(Lançamentos!$F:$F,Lançamentos!$A:$A,CM$19,Lançamentos!$C:$C,"Custo de Serviços Prestados")</f>
        <v>0</v>
      </c>
      <c r="CN38" s="37">
        <f>SUMIFS(Lançamentos!$F:$F,Lançamentos!$A:$A,CN$19,Lançamentos!$C:$C,"Custo de Serviços Prestados")</f>
        <v>0</v>
      </c>
      <c r="CO38" s="37">
        <f>SUMIFS(Lançamentos!$F:$F,Lançamentos!$A:$A,CO$19,Lançamentos!$C:$C,"Custo de Serviços Prestados")</f>
        <v>0</v>
      </c>
      <c r="CP38" s="37">
        <f>SUMIFS(Lançamentos!$F:$F,Lançamentos!$A:$A,CP$19,Lançamentos!$C:$C,"Custo de Serviços Prestados")</f>
        <v>0</v>
      </c>
      <c r="CQ38" s="37">
        <f>SUMIFS(Lançamentos!$F:$F,Lançamentos!$A:$A,CQ$19,Lançamentos!$C:$C,"Custo de Serviços Prestados")</f>
        <v>0</v>
      </c>
      <c r="CR38" s="37">
        <f>SUMIFS(Lançamentos!$F:$F,Lançamentos!$A:$A,CR$19,Lançamentos!$C:$C,"Custo de Serviços Prestados")</f>
        <v>0</v>
      </c>
      <c r="CS38" s="37">
        <f>SUMIFS(Lançamentos!$F:$F,Lançamentos!$A:$A,CS$19,Lançamentos!$C:$C,"Custo de Serviços Prestados")</f>
        <v>0</v>
      </c>
      <c r="CT38" s="37">
        <f>SUMIFS(Lançamentos!$F:$F,Lançamentos!$A:$A,CT$19,Lançamentos!$C:$C,"Custo de Serviços Prestados")</f>
        <v>0</v>
      </c>
      <c r="CU38" s="37">
        <f>SUMIFS(Lançamentos!$F:$F,Lançamentos!$A:$A,CU$19,Lançamentos!$C:$C,"Custo de Serviços Prestados")</f>
        <v>0</v>
      </c>
      <c r="CV38" s="37">
        <f>SUMIFS(Lançamentos!$F:$F,Lançamentos!$A:$A,CV$19,Lançamentos!$C:$C,"Custo de Serviços Prestados")</f>
        <v>0</v>
      </c>
      <c r="CW38" s="37">
        <f>SUMIFS(Lançamentos!$F:$F,Lançamentos!$A:$A,CW$19,Lançamentos!$C:$C,"Custo de Serviços Prestados")</f>
        <v>0</v>
      </c>
      <c r="CX38" s="37">
        <f>SUMIFS(Lançamentos!$F:$F,Lançamentos!$A:$A,CX$19,Lançamentos!$C:$C,"Custo de Serviços Prestados")</f>
        <v>0</v>
      </c>
      <c r="CY38" s="37">
        <f>SUMIFS(Lançamentos!$F:$F,Lançamentos!$A:$A,CY$19,Lançamentos!$C:$C,"Custo de Serviços Prestados")</f>
        <v>0</v>
      </c>
      <c r="CZ38" s="37">
        <f>SUMIFS(Lançamentos!$F:$F,Lançamentos!$A:$A,CZ$19,Lançamentos!$C:$C,"Custo de Serviços Prestados")</f>
        <v>0</v>
      </c>
      <c r="DA38" s="37">
        <f>SUMIFS(Lançamentos!$F:$F,Lançamentos!$A:$A,DA$19,Lançamentos!$C:$C,"Custo de Serviços Prestados")</f>
        <v>0</v>
      </c>
      <c r="DB38" s="37">
        <f>SUMIFS(Lançamentos!$F:$F,Lançamentos!$A:$A,DB$19,Lançamentos!$C:$C,"Custo de Serviços Prestados")</f>
        <v>0</v>
      </c>
      <c r="DC38" s="37">
        <f>SUMIFS(Lançamentos!$F:$F,Lançamentos!$A:$A,DC$19,Lançamentos!$C:$C,"Custo de Serviços Prestados")</f>
        <v>0</v>
      </c>
      <c r="DD38" s="37">
        <f>SUMIFS(Lançamentos!$F:$F,Lançamentos!$A:$A,DD$19,Lançamentos!$C:$C,"Custo de Serviços Prestados")</f>
        <v>0</v>
      </c>
      <c r="DE38" s="37">
        <f>SUMIFS(Lançamentos!$F:$F,Lançamentos!$A:$A,DE$19,Lançamentos!$C:$C,"Custo de Serviços Prestados")</f>
        <v>0</v>
      </c>
      <c r="DF38" s="37">
        <f>SUMIFS(Lançamentos!$F:$F,Lançamentos!$A:$A,DF$19,Lançamentos!$C:$C,"Custo de Serviços Prestados")</f>
        <v>0</v>
      </c>
      <c r="DG38" s="37">
        <f>SUMIFS(Lançamentos!$F:$F,Lançamentos!$A:$A,DG$19,Lançamentos!$C:$C,"Custo de Serviços Prestados")</f>
        <v>0</v>
      </c>
      <c r="DH38" s="37">
        <f>SUMIFS(Lançamentos!$F:$F,Lançamentos!$A:$A,DH$19,Lançamentos!$C:$C,"Custo de Serviços Prestados")</f>
        <v>0</v>
      </c>
      <c r="DI38" s="37">
        <f>SUMIFS(Lançamentos!$F:$F,Lançamentos!$A:$A,DI$19,Lançamentos!$C:$C,"Custo de Serviços Prestados")</f>
        <v>0</v>
      </c>
      <c r="DJ38" s="37">
        <f>SUMIFS(Lançamentos!$F:$F,Lançamentos!$A:$A,DJ$19,Lançamentos!$C:$C,"Custo de Serviços Prestados")</f>
        <v>0</v>
      </c>
      <c r="DK38" s="37">
        <f>SUMIFS(Lançamentos!$F:$F,Lançamentos!$A:$A,DK$19,Lançamentos!$C:$C,"Custo de Serviços Prestados")</f>
        <v>0</v>
      </c>
      <c r="DL38" s="37">
        <f>SUMIFS(Lançamentos!$F:$F,Lançamentos!$A:$A,DL$19,Lançamentos!$C:$C,"Custo de Serviços Prestados")</f>
        <v>0</v>
      </c>
      <c r="DM38" s="37">
        <f>SUMIFS(Lançamentos!$F:$F,Lançamentos!$A:$A,DM$19,Lançamentos!$C:$C,"Custo de Serviços Prestados")</f>
        <v>0</v>
      </c>
      <c r="DN38" s="37">
        <f>SUMIFS(Lançamentos!$F:$F,Lançamentos!$A:$A,DN$19,Lançamentos!$C:$C,"Custo de Serviços Prestados")</f>
        <v>0</v>
      </c>
      <c r="DO38" s="37">
        <f>SUMIFS(Lançamentos!$F:$F,Lançamentos!$A:$A,DO$19,Lançamentos!$C:$C,"Custo de Serviços Prestados")</f>
        <v>0</v>
      </c>
      <c r="DP38" s="37">
        <f>SUMIFS(Lançamentos!$F:$F,Lançamentos!$A:$A,DP$19,Lançamentos!$C:$C,"Custo de Serviços Prestados")</f>
        <v>0</v>
      </c>
      <c r="DQ38" s="37">
        <f>SUMIFS(Lançamentos!$F:$F,Lançamentos!$A:$A,DQ$19,Lançamentos!$C:$C,"Custo de Serviços Prestados")</f>
        <v>0</v>
      </c>
      <c r="DR38" s="37">
        <f>SUMIFS(Lançamentos!$F:$F,Lançamentos!$A:$A,DR$19,Lançamentos!$C:$C,"Custo de Serviços Prestados")</f>
        <v>0</v>
      </c>
      <c r="DS38" s="37">
        <f>SUMIFS(Lançamentos!$F:$F,Lançamentos!$A:$A,DS$19,Lançamentos!$C:$C,"Custo de Serviços Prestados")</f>
        <v>0</v>
      </c>
      <c r="DT38" s="37">
        <f>SUMIFS(Lançamentos!$F:$F,Lançamentos!$A:$A,DT$19,Lançamentos!$C:$C,"Custo de Serviços Prestados")</f>
        <v>0</v>
      </c>
      <c r="DU38" s="37">
        <f>SUMIFS(Lançamentos!$F:$F,Lançamentos!$A:$A,DU$19,Lançamentos!$C:$C,"Custo de Serviços Prestados")</f>
        <v>0</v>
      </c>
      <c r="DV38" s="37">
        <f>SUMIFS(Lançamentos!$F:$F,Lançamentos!$A:$A,DV$19,Lançamentos!$C:$C,"Custo de Serviços Prestados")</f>
        <v>0</v>
      </c>
      <c r="DW38" s="37">
        <f>SUMIFS(Lançamentos!$F:$F,Lançamentos!$A:$A,DW$19,Lançamentos!$C:$C,"Custo de Serviços Prestados")</f>
        <v>0</v>
      </c>
      <c r="DX38" s="37">
        <f>SUMIFS(Lançamentos!$F:$F,Lançamentos!$A:$A,DX$19,Lançamentos!$C:$C,"Custo de Serviços Prestados")</f>
        <v>0</v>
      </c>
      <c r="DY38" s="37">
        <f>SUMIFS(Lançamentos!$F:$F,Lançamentos!$A:$A,DY$19,Lançamentos!$C:$C,"Custo de Serviços Prestados")</f>
        <v>0</v>
      </c>
      <c r="DZ38" s="37">
        <f>SUMIFS(Lançamentos!$F:$F,Lançamentos!$A:$A,DZ$19,Lançamentos!$C:$C,"Custo de Serviços Prestados")</f>
        <v>0</v>
      </c>
      <c r="EA38" s="37">
        <f>SUMIFS(Lançamentos!$F:$F,Lançamentos!$A:$A,EA$19,Lançamentos!$C:$C,"Custo de Serviços Prestados")</f>
        <v>0</v>
      </c>
      <c r="EB38" s="37">
        <f>SUMIFS(Lançamentos!$F:$F,Lançamentos!$A:$A,EB$19,Lançamentos!$C:$C,"Custo de Serviços Prestados")</f>
        <v>0</v>
      </c>
      <c r="EC38" s="37">
        <f>SUMIFS(Lançamentos!$F:$F,Lançamentos!$A:$A,EC$19,Lançamentos!$C:$C,"Custo de Serviços Prestados")</f>
        <v>0</v>
      </c>
      <c r="ED38" s="37">
        <f>SUMIFS(Lançamentos!$F:$F,Lançamentos!$A:$A,ED$19,Lançamentos!$C:$C,"Custo de Serviços Prestados")</f>
        <v>0</v>
      </c>
      <c r="EE38" s="37">
        <f>SUMIFS(Lançamentos!$F:$F,Lançamentos!$A:$A,EE$19,Lançamentos!$C:$C,"Custo de Serviços Prestados")</f>
        <v>0</v>
      </c>
      <c r="EF38" s="37">
        <f>SUMIFS(Lançamentos!$F:$F,Lançamentos!$A:$A,EF$19,Lançamentos!$C:$C,"Custo de Serviços Prestados")</f>
        <v>0</v>
      </c>
      <c r="EG38" s="37">
        <f>SUMIFS(Lançamentos!$F:$F,Lançamentos!$A:$A,EG$19,Lançamentos!$C:$C,"Custo de Serviços Prestados")</f>
        <v>0</v>
      </c>
      <c r="EH38" s="37">
        <f>SUMIFS(Lançamentos!$F:$F,Lançamentos!$A:$A,EH$19,Lançamentos!$C:$C,"Custo de Serviços Prestados")</f>
        <v>0</v>
      </c>
      <c r="EI38" s="37">
        <f>SUMIFS(Lançamentos!$F:$F,Lançamentos!$A:$A,EI$19,Lançamentos!$C:$C,"Custo de Serviços Prestados")</f>
        <v>0</v>
      </c>
      <c r="EJ38" s="37">
        <f>SUMIFS(Lançamentos!$F:$F,Lançamentos!$A:$A,EJ$19,Lançamentos!$C:$C,"Custo de Serviços Prestados")</f>
        <v>0</v>
      </c>
      <c r="EK38" s="37">
        <f>SUMIFS(Lançamentos!$F:$F,Lançamentos!$A:$A,EK$19,Lançamentos!$C:$C,"Custo de Serviços Prestados")</f>
        <v>0</v>
      </c>
      <c r="EL38" s="37">
        <f>SUMIFS(Lançamentos!$F:$F,Lançamentos!$A:$A,EL$19,Lançamentos!$C:$C,"Custo de Serviços Prestados")</f>
        <v>0</v>
      </c>
      <c r="EM38" s="37">
        <f>SUMIFS(Lançamentos!$F:$F,Lançamentos!$A:$A,EM$19,Lançamentos!$C:$C,"Custo de Serviços Prestados")</f>
        <v>0</v>
      </c>
      <c r="EN38" s="37">
        <f>SUMIFS(Lançamentos!$F:$F,Lançamentos!$A:$A,EN$19,Lançamentos!$C:$C,"Custo de Serviços Prestados")</f>
        <v>0</v>
      </c>
      <c r="EO38" s="37">
        <f>SUMIFS(Lançamentos!$F:$F,Lançamentos!$A:$A,EO$19,Lançamentos!$C:$C,"Custo de Serviços Prestados")</f>
        <v>0</v>
      </c>
      <c r="EP38" s="37">
        <f>SUMIFS(Lançamentos!$F:$F,Lançamentos!$A:$A,EP$19,Lançamentos!$C:$C,"Custo de Serviços Prestados")</f>
        <v>0</v>
      </c>
      <c r="EQ38" s="37">
        <f>SUMIFS(Lançamentos!$F:$F,Lançamentos!$A:$A,EQ$19,Lançamentos!$C:$C,"Custo de Serviços Prestados")</f>
        <v>0</v>
      </c>
      <c r="ER38" s="37">
        <f>SUMIFS(Lançamentos!$F:$F,Lançamentos!$A:$A,ER$19,Lançamentos!$C:$C,"Custo de Serviços Prestados")</f>
        <v>0</v>
      </c>
      <c r="ES38" s="37">
        <f>SUMIFS(Lançamentos!$F:$F,Lançamentos!$A:$A,ES$19,Lançamentos!$C:$C,"Custo de Serviços Prestados")</f>
        <v>0</v>
      </c>
      <c r="ET38" s="37">
        <f>SUMIFS(Lançamentos!$F:$F,Lançamentos!$A:$A,ET$19,Lançamentos!$C:$C,"Custo de Serviços Prestados")</f>
        <v>0</v>
      </c>
      <c r="EU38" s="37">
        <f>SUMIFS(Lançamentos!$F:$F,Lançamentos!$A:$A,EU$19,Lançamentos!$C:$C,"Custo de Serviços Prestados")</f>
        <v>0</v>
      </c>
      <c r="EV38" s="37">
        <f>SUMIFS(Lançamentos!$F:$F,Lançamentos!$A:$A,EV$19,Lançamentos!$C:$C,"Custo de Serviços Prestados")</f>
        <v>0</v>
      </c>
      <c r="EW38" s="37">
        <f>SUMIFS(Lançamentos!$F:$F,Lançamentos!$A:$A,EW$19,Lançamentos!$C:$C,"Custo de Serviços Prestados")</f>
        <v>0</v>
      </c>
      <c r="EX38" s="37">
        <f>SUMIFS(Lançamentos!$F:$F,Lançamentos!$A:$A,EX$19,Lançamentos!$C:$C,"Custo de Serviços Prestados")</f>
        <v>0</v>
      </c>
      <c r="EY38" s="37">
        <f>SUMIFS(Lançamentos!$F:$F,Lançamentos!$A:$A,EY$19,Lançamentos!$C:$C,"Custo de Serviços Prestados")</f>
        <v>0</v>
      </c>
      <c r="EZ38" s="37">
        <f>SUMIFS(Lançamentos!$F:$F,Lançamentos!$A:$A,EZ$19,Lançamentos!$C:$C,"Custo de Serviços Prestados")</f>
        <v>0</v>
      </c>
      <c r="FA38" s="37">
        <f>SUMIFS(Lançamentos!$F:$F,Lançamentos!$A:$A,FA$19,Lançamentos!$C:$C,"Custo de Serviços Prestados")</f>
        <v>0</v>
      </c>
      <c r="FB38" s="37">
        <f>SUMIFS(Lançamentos!$F:$F,Lançamentos!$A:$A,FB$19,Lançamentos!$C:$C,"Custo de Serviços Prestados")</f>
        <v>0</v>
      </c>
      <c r="FC38" s="37">
        <f>SUMIFS(Lançamentos!$F:$F,Lançamentos!$A:$A,FC$19,Lançamentos!$C:$C,"Custo de Serviços Prestados")</f>
        <v>0</v>
      </c>
      <c r="FD38" s="37">
        <f>SUMIFS(Lançamentos!$F:$F,Lançamentos!$A:$A,FD$19,Lançamentos!$C:$C,"Custo de Serviços Prestados")</f>
        <v>0</v>
      </c>
      <c r="FE38" s="37">
        <f>SUMIFS(Lançamentos!$F:$F,Lançamentos!$A:$A,FE$19,Lançamentos!$C:$C,"Custo de Serviços Prestados")</f>
        <v>0</v>
      </c>
      <c r="FF38" s="37">
        <f>SUMIFS(Lançamentos!$F:$F,Lançamentos!$A:$A,FF$19,Lançamentos!$C:$C,"Custo de Serviços Prestados")</f>
        <v>0</v>
      </c>
      <c r="FG38" s="37">
        <f>SUMIFS(Lançamentos!$F:$F,Lançamentos!$A:$A,FG$19,Lançamentos!$C:$C,"Custo de Serviços Prestados")</f>
        <v>0</v>
      </c>
      <c r="FH38" s="37">
        <f>SUMIFS(Lançamentos!$F:$F,Lançamentos!$A:$A,FH$19,Lançamentos!$C:$C,"Custo de Serviços Prestados")</f>
        <v>0</v>
      </c>
      <c r="FI38" s="37">
        <f>SUMIFS(Lançamentos!$F:$F,Lançamentos!$A:$A,FI$19,Lançamentos!$C:$C,"Custo de Serviços Prestados")</f>
        <v>0</v>
      </c>
      <c r="FJ38" s="37">
        <f>SUMIFS(Lançamentos!$F:$F,Lançamentos!$A:$A,FJ$19,Lançamentos!$C:$C,"Custo de Serviços Prestados")</f>
        <v>0</v>
      </c>
      <c r="FK38" s="37">
        <f>SUMIFS(Lançamentos!$F:$F,Lançamentos!$A:$A,FK$19,Lançamentos!$C:$C,"Custo de Serviços Prestados")</f>
        <v>0</v>
      </c>
      <c r="FL38" s="37">
        <f>SUMIFS(Lançamentos!$F:$F,Lançamentos!$A:$A,FL$19,Lançamentos!$C:$C,"Custo de Serviços Prestados")</f>
        <v>0</v>
      </c>
      <c r="FM38" s="37">
        <f>SUMIFS(Lançamentos!$F:$F,Lançamentos!$A:$A,FM$19,Lançamentos!$C:$C,"Custo de Serviços Prestados")</f>
        <v>0</v>
      </c>
      <c r="FN38" s="37">
        <f>SUMIFS(Lançamentos!$F:$F,Lançamentos!$A:$A,FN$19,Lançamentos!$C:$C,"Custo de Serviços Prestados")</f>
        <v>0</v>
      </c>
      <c r="FO38" s="37">
        <f>SUMIFS(Lançamentos!$F:$F,Lançamentos!$A:$A,FO$19,Lançamentos!$C:$C,"Custo de Serviços Prestados")</f>
        <v>0</v>
      </c>
      <c r="FP38" s="37">
        <f>SUMIFS(Lançamentos!$F:$F,Lançamentos!$A:$A,FP$19,Lançamentos!$C:$C,"Custo de Serviços Prestados")</f>
        <v>0</v>
      </c>
      <c r="FQ38" s="37">
        <f>SUMIFS(Lançamentos!$F:$F,Lançamentos!$A:$A,FQ$19,Lançamentos!$C:$C,"Custo de Serviços Prestados")</f>
        <v>0</v>
      </c>
      <c r="FR38" s="37">
        <f>SUMIFS(Lançamentos!$F:$F,Lançamentos!$A:$A,FR$19,Lançamentos!$C:$C,"Custo de Serviços Prestados")</f>
        <v>0</v>
      </c>
      <c r="FS38" s="37">
        <f>SUMIFS(Lançamentos!$F:$F,Lançamentos!$A:$A,FS$19,Lançamentos!$C:$C,"Custo de Serviços Prestados")</f>
        <v>0</v>
      </c>
      <c r="FT38" s="37">
        <f>SUMIFS(Lançamentos!$F:$F,Lançamentos!$A:$A,FT$19,Lançamentos!$C:$C,"Custo de Serviços Prestados")</f>
        <v>0</v>
      </c>
      <c r="FU38" s="37">
        <f>SUMIFS(Lançamentos!$F:$F,Lançamentos!$A:$A,FU$19,Lançamentos!$C:$C,"Custo de Serviços Prestados")</f>
        <v>0</v>
      </c>
      <c r="FV38" s="37">
        <f>SUMIFS(Lançamentos!$F:$F,Lançamentos!$A:$A,FV$19,Lançamentos!$C:$C,"Custo de Serviços Prestados")</f>
        <v>0</v>
      </c>
      <c r="FW38" s="37">
        <f>SUMIFS(Lançamentos!$F:$F,Lançamentos!$A:$A,FW$19,Lançamentos!$C:$C,"Custo de Serviços Prestados")</f>
        <v>0</v>
      </c>
      <c r="FX38" s="37">
        <f>SUMIFS(Lançamentos!$F:$F,Lançamentos!$A:$A,FX$19,Lançamentos!$C:$C,"Custo de Serviços Prestados")</f>
        <v>0</v>
      </c>
      <c r="FY38" s="37">
        <f>SUMIFS(Lançamentos!$F:$F,Lançamentos!$A:$A,FY$19,Lançamentos!$C:$C,"Custo de Serviços Prestados")</f>
        <v>0</v>
      </c>
      <c r="FZ38" s="37">
        <f>SUMIFS(Lançamentos!$F:$F,Lançamentos!$A:$A,FZ$19,Lançamentos!$C:$C,"Custo de Serviços Prestados")</f>
        <v>0</v>
      </c>
      <c r="GA38" s="37">
        <f>SUMIFS(Lançamentos!$F:$F,Lançamentos!$A:$A,GA$19,Lançamentos!$C:$C,"Custo de Serviços Prestados")</f>
        <v>0</v>
      </c>
      <c r="GB38" s="37">
        <f>SUMIFS(Lançamentos!$F:$F,Lançamentos!$A:$A,GB$19,Lançamentos!$C:$C,"Custo de Serviços Prestados")</f>
        <v>0</v>
      </c>
      <c r="GC38" s="37">
        <f>SUMIFS(Lançamentos!$F:$F,Lançamentos!$A:$A,GC$19,Lançamentos!$C:$C,"Custo de Serviços Prestados")</f>
        <v>0</v>
      </c>
      <c r="GD38" s="37">
        <f>SUMIFS(Lançamentos!$F:$F,Lançamentos!$A:$A,GD$19,Lançamentos!$C:$C,"Custo de Serviços Prestados")</f>
        <v>0</v>
      </c>
      <c r="GE38" s="37">
        <f>SUMIFS(Lançamentos!$F:$F,Lançamentos!$A:$A,GE$19,Lançamentos!$C:$C,"Custo de Serviços Prestados")</f>
        <v>0</v>
      </c>
      <c r="GF38" s="37">
        <f>SUMIFS(Lançamentos!$F:$F,Lançamentos!$A:$A,GF$19,Lançamentos!$C:$C,"Custo de Serviços Prestados")</f>
        <v>0</v>
      </c>
      <c r="GG38" s="37">
        <f>SUMIFS(Lançamentos!$F:$F,Lançamentos!$A:$A,GG$19,Lançamentos!$C:$C,"Custo de Serviços Prestados")</f>
        <v>0</v>
      </c>
      <c r="GH38" s="37">
        <f>SUMIFS(Lançamentos!$F:$F,Lançamentos!$A:$A,GH$19,Lançamentos!$C:$C,"Custo de Serviços Prestados")</f>
        <v>0</v>
      </c>
      <c r="GI38" s="37">
        <f>SUMIFS(Lançamentos!$F:$F,Lançamentos!$A:$A,GI$19,Lançamentos!$C:$C,"Custo de Serviços Prestados")</f>
        <v>0</v>
      </c>
      <c r="GJ38" s="37">
        <f>SUMIFS(Lançamentos!$F:$F,Lançamentos!$A:$A,GJ$19,Lançamentos!$C:$C,"Custo de Serviços Prestados")</f>
        <v>0</v>
      </c>
      <c r="GK38" s="37">
        <f>SUMIFS(Lançamentos!$F:$F,Lançamentos!$A:$A,GK$19,Lançamentos!$C:$C,"Custo de Serviços Prestados")</f>
        <v>0</v>
      </c>
      <c r="GL38" s="37">
        <f>SUMIFS(Lançamentos!$F:$F,Lançamentos!$A:$A,GL$19,Lançamentos!$C:$C,"Custo de Serviços Prestados")</f>
        <v>0</v>
      </c>
      <c r="GM38" s="37">
        <f>SUMIFS(Lançamentos!$F:$F,Lançamentos!$A:$A,GM$19,Lançamentos!$C:$C,"Custo de Serviços Prestados")</f>
        <v>0</v>
      </c>
      <c r="GN38" s="37">
        <f>SUMIFS(Lançamentos!$F:$F,Lançamentos!$A:$A,GN$19,Lançamentos!$C:$C,"Custo de Serviços Prestados")</f>
        <v>0</v>
      </c>
      <c r="GO38" s="37">
        <f>SUMIFS(Lançamentos!$F:$F,Lançamentos!$A:$A,GO$19,Lançamentos!$C:$C,"Custo de Serviços Prestados")</f>
        <v>0</v>
      </c>
      <c r="GP38" s="37">
        <f>SUMIFS(Lançamentos!$F:$F,Lançamentos!$A:$A,GP$19,Lançamentos!$C:$C,"Custo de Serviços Prestados")</f>
        <v>0</v>
      </c>
      <c r="GQ38" s="37">
        <f>SUMIFS(Lançamentos!$F:$F,Lançamentos!$A:$A,GQ$19,Lançamentos!$C:$C,"Custo de Serviços Prestados")</f>
        <v>0</v>
      </c>
      <c r="GR38" s="37">
        <f>SUMIFS(Lançamentos!$F:$F,Lançamentos!$A:$A,GR$19,Lançamentos!$C:$C,"Custo de Serviços Prestados")</f>
        <v>0</v>
      </c>
      <c r="GS38" s="37">
        <f>SUMIFS(Lançamentos!$F:$F,Lançamentos!$A:$A,GS$19,Lançamentos!$C:$C,"Custo de Serviços Prestados")</f>
        <v>0</v>
      </c>
      <c r="GT38" s="37">
        <f>SUMIFS(Lançamentos!$F:$F,Lançamentos!$A:$A,GT$19,Lançamentos!$C:$C,"Custo de Serviços Prestados")</f>
        <v>0</v>
      </c>
      <c r="GU38" s="37">
        <f>SUMIFS(Lançamentos!$F:$F,Lançamentos!$A:$A,GU$19,Lançamentos!$C:$C,"Custo de Serviços Prestados")</f>
        <v>0</v>
      </c>
      <c r="GV38" s="37">
        <f>SUMIFS(Lançamentos!$F:$F,Lançamentos!$A:$A,GV$19,Lançamentos!$C:$C,"Custo de Serviços Prestados")</f>
        <v>0</v>
      </c>
      <c r="GW38" s="37">
        <f>SUMIFS(Lançamentos!$F:$F,Lançamentos!$A:$A,GW$19,Lançamentos!$C:$C,"Custo de Serviços Prestados")</f>
        <v>0</v>
      </c>
      <c r="GX38" s="37">
        <f>SUMIFS(Lançamentos!$F:$F,Lançamentos!$A:$A,GX$19,Lançamentos!$C:$C,"Custo de Serviços Prestados")</f>
        <v>0</v>
      </c>
      <c r="GY38" s="37">
        <f>SUMIFS(Lançamentos!$F:$F,Lançamentos!$A:$A,GY$19,Lançamentos!$C:$C,"Custo de Serviços Prestados")</f>
        <v>0</v>
      </c>
      <c r="GZ38" s="37">
        <f>SUMIFS(Lançamentos!$F:$F,Lançamentos!$A:$A,GZ$19,Lançamentos!$C:$C,"Custo de Serviços Prestados")</f>
        <v>0</v>
      </c>
      <c r="HA38" s="37">
        <f>SUMIFS(Lançamentos!$F:$F,Lançamentos!$A:$A,HA$19,Lançamentos!$C:$C,"Custo de Serviços Prestados")</f>
        <v>0</v>
      </c>
      <c r="HB38" s="37">
        <f>SUMIFS(Lançamentos!$F:$F,Lançamentos!$A:$A,HB$19,Lançamentos!$C:$C,"Custo de Serviços Prestados")</f>
        <v>0</v>
      </c>
      <c r="HC38" s="37">
        <f>SUMIFS(Lançamentos!$F:$F,Lançamentos!$A:$A,HC$19,Lançamentos!$C:$C,"Custo de Serviços Prestados")</f>
        <v>0</v>
      </c>
      <c r="HD38" s="37">
        <f>SUMIFS(Lançamentos!$F:$F,Lançamentos!$A:$A,HD$19,Lançamentos!$C:$C,"Custo de Serviços Prestados")</f>
        <v>0</v>
      </c>
      <c r="HE38" s="37">
        <f>SUMIFS(Lançamentos!$F:$F,Lançamentos!$A:$A,HE$19,Lançamentos!$C:$C,"Custo de Serviços Prestados")</f>
        <v>0</v>
      </c>
      <c r="HF38" s="37">
        <f>SUMIFS(Lançamentos!$F:$F,Lançamentos!$A:$A,HF$19,Lançamentos!$C:$C,"Custo de Serviços Prestados")</f>
        <v>0</v>
      </c>
      <c r="HG38" s="37">
        <f>SUMIFS(Lançamentos!$F:$F,Lançamentos!$A:$A,HG$19,Lançamentos!$C:$C,"Custo de Serviços Prestados")</f>
        <v>0</v>
      </c>
      <c r="HH38" s="37">
        <f>SUMIFS(Lançamentos!$F:$F,Lançamentos!$A:$A,HH$19,Lançamentos!$C:$C,"Custo de Serviços Prestados")</f>
        <v>0</v>
      </c>
      <c r="HI38" s="37">
        <f>SUMIFS(Lançamentos!$F:$F,Lançamentos!$A:$A,HI$19,Lançamentos!$C:$C,"Custo de Serviços Prestados")</f>
        <v>0</v>
      </c>
      <c r="HJ38" s="37">
        <f>SUMIFS(Lançamentos!$F:$F,Lançamentos!$A:$A,HJ$19,Lançamentos!$C:$C,"Custo de Serviços Prestados")</f>
        <v>0</v>
      </c>
      <c r="HK38" s="37">
        <f>SUMIFS(Lançamentos!$F:$F,Lançamentos!$A:$A,HK$19,Lançamentos!$C:$C,"Custo de Serviços Prestados")</f>
        <v>0</v>
      </c>
      <c r="HL38" s="37">
        <f>SUMIFS(Lançamentos!$F:$F,Lançamentos!$A:$A,HL$19,Lançamentos!$C:$C,"Custo de Serviços Prestados")</f>
        <v>0</v>
      </c>
      <c r="HM38" s="37">
        <f>SUMIFS(Lançamentos!$F:$F,Lançamentos!$A:$A,HM$19,Lançamentos!$C:$C,"Custo de Serviços Prestados")</f>
        <v>0</v>
      </c>
      <c r="HN38" s="37">
        <f>SUMIFS(Lançamentos!$F:$F,Lançamentos!$A:$A,HN$19,Lançamentos!$C:$C,"Custo de Serviços Prestados")</f>
        <v>0</v>
      </c>
      <c r="HO38" s="37">
        <f>SUMIFS(Lançamentos!$F:$F,Lançamentos!$A:$A,HO$19,Lançamentos!$C:$C,"Custo de Serviços Prestados")</f>
        <v>0</v>
      </c>
      <c r="HP38" s="37">
        <f>SUMIFS(Lançamentos!$F:$F,Lançamentos!$A:$A,HP$19,Lançamentos!$C:$C,"Custo de Serviços Prestados")</f>
        <v>0</v>
      </c>
      <c r="HQ38" s="37">
        <f>SUMIFS(Lançamentos!$F:$F,Lançamentos!$A:$A,HQ$19,Lançamentos!$C:$C,"Custo de Serviços Prestados")</f>
        <v>0</v>
      </c>
      <c r="HR38" s="37">
        <f>SUMIFS(Lançamentos!$F:$F,Lançamentos!$A:$A,HR$19,Lançamentos!$C:$C,"Custo de Serviços Prestados")</f>
        <v>0</v>
      </c>
      <c r="HS38" s="37">
        <f>SUMIFS(Lançamentos!$F:$F,Lançamentos!$A:$A,HS$19,Lançamentos!$C:$C,"Custo de Serviços Prestados")</f>
        <v>0</v>
      </c>
      <c r="HT38" s="37">
        <f>SUMIFS(Lançamentos!$F:$F,Lançamentos!$A:$A,HT$19,Lançamentos!$C:$C,"Custo de Serviços Prestados")</f>
        <v>0</v>
      </c>
      <c r="HU38" s="37">
        <f>SUMIFS(Lançamentos!$F:$F,Lançamentos!$A:$A,HU$19,Lançamentos!$C:$C,"Custo de Serviços Prestados")</f>
        <v>0</v>
      </c>
      <c r="HV38" s="37">
        <f>SUMIFS(Lançamentos!$F:$F,Lançamentos!$A:$A,HV$19,Lançamentos!$C:$C,"Custo de Serviços Prestados")</f>
        <v>0</v>
      </c>
      <c r="HW38" s="37">
        <f>SUMIFS(Lançamentos!$F:$F,Lançamentos!$A:$A,HW$19,Lançamentos!$C:$C,"Custo de Serviços Prestados")</f>
        <v>0</v>
      </c>
      <c r="HX38" s="37">
        <f>SUMIFS(Lançamentos!$F:$F,Lançamentos!$A:$A,HX$19,Lançamentos!$C:$C,"Custo de Serviços Prestados")</f>
        <v>0</v>
      </c>
      <c r="HY38" s="37">
        <f>SUMIFS(Lançamentos!$F:$F,Lançamentos!$A:$A,HY$19,Lançamentos!$C:$C,"Custo de Serviços Prestados")</f>
        <v>0</v>
      </c>
      <c r="HZ38" s="37">
        <f>SUMIFS(Lançamentos!$F:$F,Lançamentos!$A:$A,HZ$19,Lançamentos!$C:$C,"Custo de Serviços Prestados")</f>
        <v>0</v>
      </c>
      <c r="IA38" s="37">
        <f>SUMIFS(Lançamentos!$F:$F,Lançamentos!$A:$A,IA$19,Lançamentos!$C:$C,"Custo de Serviços Prestados")</f>
        <v>0</v>
      </c>
      <c r="IB38" s="37">
        <f>SUMIFS(Lançamentos!$F:$F,Lançamentos!$A:$A,IB$19,Lançamentos!$C:$C,"Custo de Serviços Prestados")</f>
        <v>0</v>
      </c>
      <c r="IC38" s="37">
        <f>SUMIFS(Lançamentos!$F:$F,Lançamentos!$A:$A,IC$19,Lançamentos!$C:$C,"Custo de Serviços Prestados")</f>
        <v>0</v>
      </c>
      <c r="ID38" s="37">
        <f>SUMIFS(Lançamentos!$F:$F,Lançamentos!$A:$A,ID$19,Lançamentos!$C:$C,"Custo de Serviços Prestados")</f>
        <v>0</v>
      </c>
      <c r="IE38" s="37">
        <f>SUMIFS(Lançamentos!$F:$F,Lançamentos!$A:$A,IE$19,Lançamentos!$C:$C,"Custo de Serviços Prestados")</f>
        <v>0</v>
      </c>
      <c r="IF38" s="37">
        <f>SUMIFS(Lançamentos!$F:$F,Lançamentos!$A:$A,IF$19,Lançamentos!$C:$C,"Custo de Serviços Prestados")</f>
        <v>0</v>
      </c>
      <c r="IG38" s="37">
        <f>SUMIFS(Lançamentos!$F:$F,Lançamentos!$A:$A,IG$19,Lançamentos!$C:$C,"Custo de Serviços Prestados")</f>
        <v>0</v>
      </c>
      <c r="IH38" s="37">
        <f>SUMIFS(Lançamentos!$F:$F,Lançamentos!$A:$A,IH$19,Lançamentos!$C:$C,"Custo de Serviços Prestados")</f>
        <v>0</v>
      </c>
      <c r="II38" s="37">
        <f>SUMIFS(Lançamentos!$F:$F,Lançamentos!$A:$A,II$19,Lançamentos!$C:$C,"Custo de Serviços Prestados")</f>
        <v>0</v>
      </c>
      <c r="IJ38" s="37">
        <f>SUMIFS(Lançamentos!$F:$F,Lançamentos!$A:$A,IJ$19,Lançamentos!$C:$C,"Custo de Serviços Prestados")</f>
        <v>0</v>
      </c>
      <c r="IK38" s="37">
        <f>SUMIFS(Lançamentos!$F:$F,Lançamentos!$A:$A,IK$19,Lançamentos!$C:$C,"Custo de Serviços Prestados")</f>
        <v>0</v>
      </c>
      <c r="IL38" s="37">
        <f>SUMIFS(Lançamentos!$F:$F,Lançamentos!$A:$A,IL$19,Lançamentos!$C:$C,"Custo de Serviços Prestados")</f>
        <v>0</v>
      </c>
    </row>
    <row r="39" spans="1:246" x14ac:dyDescent="0.3">
      <c r="A39" t="s">
        <v>13</v>
      </c>
      <c r="B39" s="37">
        <f>SUMIFS(Lançamentos!$F:$F,Lançamentos!$A:$A,B$19,Lançamentos!$C:$C,"Salários e Encargos")</f>
        <v>0</v>
      </c>
      <c r="C39" s="37">
        <f>SUMIFS(Lançamentos!$F:$F,Lançamentos!$A:$A,C$19,Lançamentos!$C:$C,"Salários e Encargos")</f>
        <v>0</v>
      </c>
      <c r="D39" s="37">
        <f>SUMIFS(Lançamentos!$F:$F,Lançamentos!$A:$A,D$19,Lançamentos!$C:$C,"Salários e Encargos")</f>
        <v>0</v>
      </c>
      <c r="E39" s="37">
        <f>SUMIFS(Lançamentos!$F:$F,Lançamentos!$A:$A,E$19,Lançamentos!$C:$C,"Salários e Encargos")</f>
        <v>0</v>
      </c>
      <c r="F39" s="37">
        <f>SUMIFS(Lançamentos!$F:$F,Lançamentos!$A:$A,F$19,Lançamentos!$C:$C,"Salários e Encargos")</f>
        <v>0</v>
      </c>
      <c r="G39" s="37">
        <f>SUMIFS(Lançamentos!$F:$F,Lançamentos!$A:$A,G$19,Lançamentos!$C:$C,"Salários e Encargos")</f>
        <v>0</v>
      </c>
      <c r="H39" s="37">
        <f>SUMIFS(Lançamentos!$F:$F,Lançamentos!$A:$A,H$19,Lançamentos!$C:$C,"Salários e Encargos")</f>
        <v>0</v>
      </c>
      <c r="I39" s="37">
        <f>SUMIFS(Lançamentos!$F:$F,Lançamentos!$A:$A,I$19,Lançamentos!$C:$C,"Salários e Encargos")</f>
        <v>0</v>
      </c>
      <c r="J39" s="37">
        <f>SUMIFS(Lançamentos!$F:$F,Lançamentos!$A:$A,J$19,Lançamentos!$C:$C,"Salários e Encargos")</f>
        <v>0</v>
      </c>
      <c r="K39" s="37">
        <f>SUMIFS(Lançamentos!$F:$F,Lançamentos!$A:$A,K$19,Lançamentos!$C:$C,"Salários e Encargos")</f>
        <v>0</v>
      </c>
      <c r="L39" s="37">
        <f>SUMIFS(Lançamentos!$F:$F,Lançamentos!$A:$A,L$19,Lançamentos!$C:$C,"Salários e Encargos")</f>
        <v>0</v>
      </c>
      <c r="M39" s="37">
        <f>SUMIFS(Lançamentos!$F:$F,Lançamentos!$A:$A,M$19,Lançamentos!$C:$C,"Salários e Encargos")</f>
        <v>0</v>
      </c>
      <c r="N39" s="37">
        <f>SUMIFS(Lançamentos!$F:$F,Lançamentos!$A:$A,N$19,Lançamentos!$C:$C,"Salários e Encargos")</f>
        <v>0</v>
      </c>
      <c r="O39" s="37">
        <f>SUMIFS(Lançamentos!$F:$F,Lançamentos!$A:$A,O$19,Lançamentos!$C:$C,"Salários e Encargos")</f>
        <v>0</v>
      </c>
      <c r="P39" s="37">
        <f>SUMIFS(Lançamentos!$F:$F,Lançamentos!$A:$A,P$19,Lançamentos!$C:$C,"Salários e Encargos")</f>
        <v>0</v>
      </c>
      <c r="Q39" s="37">
        <f>SUMIFS(Lançamentos!$F:$F,Lançamentos!$A:$A,Q$19,Lançamentos!$C:$C,"Salários e Encargos")</f>
        <v>0</v>
      </c>
      <c r="R39" s="37">
        <f>SUMIFS(Lançamentos!$F:$F,Lançamentos!$A:$A,R$19,Lançamentos!$C:$C,"Salários e Encargos")</f>
        <v>0</v>
      </c>
      <c r="S39" s="37">
        <f>SUMIFS(Lançamentos!$F:$F,Lançamentos!$A:$A,S$19,Lançamentos!$C:$C,"Salários e Encargos")</f>
        <v>0</v>
      </c>
      <c r="T39" s="37">
        <f>SUMIFS(Lançamentos!$F:$F,Lançamentos!$A:$A,T$19,Lançamentos!$C:$C,"Salários e Encargos")</f>
        <v>0</v>
      </c>
      <c r="U39" s="37">
        <f>SUMIFS(Lançamentos!$F:$F,Lançamentos!$A:$A,U$19,Lançamentos!$C:$C,"Salários e Encargos")</f>
        <v>0</v>
      </c>
      <c r="V39" s="37">
        <f>SUMIFS(Lançamentos!$F:$F,Lançamentos!$A:$A,V$19,Lançamentos!$C:$C,"Salários e Encargos")</f>
        <v>0</v>
      </c>
      <c r="W39" s="37">
        <f>SUMIFS(Lançamentos!$F:$F,Lançamentos!$A:$A,W$19,Lançamentos!$C:$C,"Salários e Encargos")</f>
        <v>0</v>
      </c>
      <c r="X39" s="37">
        <f>SUMIFS(Lançamentos!$F:$F,Lançamentos!$A:$A,X$19,Lançamentos!$C:$C,"Salários e Encargos")</f>
        <v>0</v>
      </c>
      <c r="Y39" s="37">
        <f>SUMIFS(Lançamentos!$F:$F,Lançamentos!$A:$A,Y$19,Lançamentos!$C:$C,"Salários e Encargos")</f>
        <v>0</v>
      </c>
      <c r="Z39" s="37">
        <f>SUMIFS(Lançamentos!$F:$F,Lançamentos!$A:$A,Z$19,Lançamentos!$C:$C,"Salários e Encargos")</f>
        <v>0</v>
      </c>
      <c r="AA39" s="37">
        <f>SUMIFS(Lançamentos!$F:$F,Lançamentos!$A:$A,AA$19,Lançamentos!$C:$C,"Salários e Encargos")</f>
        <v>0</v>
      </c>
      <c r="AB39" s="37">
        <f>SUMIFS(Lançamentos!$F:$F,Lançamentos!$A:$A,AB$19,Lançamentos!$C:$C,"Salários e Encargos")</f>
        <v>0</v>
      </c>
      <c r="AC39" s="37">
        <f>SUMIFS(Lançamentos!$F:$F,Lançamentos!$A:$A,AC$19,Lançamentos!$C:$C,"Salários e Encargos")</f>
        <v>0</v>
      </c>
      <c r="AD39" s="37">
        <f>SUMIFS(Lançamentos!$F:$F,Lançamentos!$A:$A,AD$19,Lançamentos!$C:$C,"Salários e Encargos")</f>
        <v>0</v>
      </c>
      <c r="AE39" s="37">
        <f>SUMIFS(Lançamentos!$F:$F,Lançamentos!$A:$A,AE$19,Lançamentos!$C:$C,"Salários e Encargos")</f>
        <v>0</v>
      </c>
      <c r="AF39" s="37">
        <f>SUMIFS(Lançamentos!$F:$F,Lançamentos!$A:$A,AF$19,Lançamentos!$C:$C,"Salários e Encargos")</f>
        <v>0</v>
      </c>
      <c r="AG39" s="37">
        <f>SUMIFS(Lançamentos!$F:$F,Lançamentos!$A:$A,AG$19,Lançamentos!$C:$C,"Salários e Encargos")</f>
        <v>0</v>
      </c>
      <c r="AH39" s="37">
        <f>SUMIFS(Lançamentos!$F:$F,Lançamentos!$A:$A,AH$19,Lançamentos!$C:$C,"Salários e Encargos")</f>
        <v>0</v>
      </c>
      <c r="AI39" s="37">
        <f>SUMIFS(Lançamentos!$F:$F,Lançamentos!$A:$A,AI$19,Lançamentos!$C:$C,"Salários e Encargos")</f>
        <v>0</v>
      </c>
      <c r="AJ39" s="37">
        <f>SUMIFS(Lançamentos!$F:$F,Lançamentos!$A:$A,AJ$19,Lançamentos!$C:$C,"Salários e Encargos")</f>
        <v>0</v>
      </c>
      <c r="AK39" s="37">
        <f>SUMIFS(Lançamentos!$F:$F,Lançamentos!$A:$A,AK$19,Lançamentos!$C:$C,"Salários e Encargos")</f>
        <v>0</v>
      </c>
      <c r="AL39" s="37">
        <f>SUMIFS(Lançamentos!$F:$F,Lançamentos!$A:$A,AL$19,Lançamentos!$C:$C,"Salários e Encargos")</f>
        <v>0</v>
      </c>
      <c r="AM39" s="37">
        <f>SUMIFS(Lançamentos!$F:$F,Lançamentos!$A:$A,AM$19,Lançamentos!$C:$C,"Salários e Encargos")</f>
        <v>0</v>
      </c>
      <c r="AN39" s="37">
        <f>SUMIFS(Lançamentos!$F:$F,Lançamentos!$A:$A,AN$19,Lançamentos!$C:$C,"Salários e Encargos")</f>
        <v>0</v>
      </c>
      <c r="AO39" s="37">
        <f>SUMIFS(Lançamentos!$F:$F,Lançamentos!$A:$A,AO$19,Lançamentos!$C:$C,"Salários e Encargos")</f>
        <v>0</v>
      </c>
      <c r="AP39" s="37">
        <f>SUMIFS(Lançamentos!$F:$F,Lançamentos!$A:$A,AP$19,Lançamentos!$C:$C,"Salários e Encargos")</f>
        <v>0</v>
      </c>
      <c r="AQ39" s="37">
        <f>SUMIFS(Lançamentos!$F:$F,Lançamentos!$A:$A,AQ$19,Lançamentos!$C:$C,"Salários e Encargos")</f>
        <v>0</v>
      </c>
      <c r="AR39" s="37">
        <f>SUMIFS(Lançamentos!$F:$F,Lançamentos!$A:$A,AR$19,Lançamentos!$C:$C,"Salários e Encargos")</f>
        <v>0</v>
      </c>
      <c r="AS39" s="37">
        <f>SUMIFS(Lançamentos!$F:$F,Lançamentos!$A:$A,AS$19,Lançamentos!$C:$C,"Salários e Encargos")</f>
        <v>0</v>
      </c>
      <c r="AT39" s="37">
        <f>SUMIFS(Lançamentos!$F:$F,Lançamentos!$A:$A,AT$19,Lançamentos!$C:$C,"Salários e Encargos")</f>
        <v>0</v>
      </c>
      <c r="AU39" s="37">
        <f>SUMIFS(Lançamentos!$F:$F,Lançamentos!$A:$A,AU$19,Lançamentos!$C:$C,"Salários e Encargos")</f>
        <v>0</v>
      </c>
      <c r="AV39" s="37">
        <f>SUMIFS(Lançamentos!$F:$F,Lançamentos!$A:$A,AV$19,Lançamentos!$C:$C,"Salários e Encargos")</f>
        <v>0</v>
      </c>
      <c r="AW39" s="37">
        <f>SUMIFS(Lançamentos!$F:$F,Lançamentos!$A:$A,AW$19,Lançamentos!$C:$C,"Salários e Encargos")</f>
        <v>0</v>
      </c>
      <c r="AX39" s="37">
        <f>SUMIFS(Lançamentos!$F:$F,Lançamentos!$A:$A,AX$19,Lançamentos!$C:$C,"Salários e Encargos")</f>
        <v>0</v>
      </c>
      <c r="AY39" s="37">
        <f>SUMIFS(Lançamentos!$F:$F,Lançamentos!$A:$A,AY$19,Lançamentos!$C:$C,"Salários e Encargos")</f>
        <v>0</v>
      </c>
      <c r="AZ39" s="37">
        <f>SUMIFS(Lançamentos!$F:$F,Lançamentos!$A:$A,AZ$19,Lançamentos!$C:$C,"Salários e Encargos")</f>
        <v>0</v>
      </c>
      <c r="BA39" s="37">
        <f>SUMIFS(Lançamentos!$F:$F,Lançamentos!$A:$A,BA$19,Lançamentos!$C:$C,"Salários e Encargos")</f>
        <v>0</v>
      </c>
      <c r="BB39" s="37">
        <f>SUMIFS(Lançamentos!$F:$F,Lançamentos!$A:$A,BB$19,Lançamentos!$C:$C,"Salários e Encargos")</f>
        <v>0</v>
      </c>
      <c r="BC39" s="37">
        <f>SUMIFS(Lançamentos!$F:$F,Lançamentos!$A:$A,BC$19,Lançamentos!$C:$C,"Salários e Encargos")</f>
        <v>0</v>
      </c>
      <c r="BD39" s="37">
        <f>SUMIFS(Lançamentos!$F:$F,Lançamentos!$A:$A,BD$19,Lançamentos!$C:$C,"Salários e Encargos")</f>
        <v>0</v>
      </c>
      <c r="BE39" s="37">
        <f>SUMIFS(Lançamentos!$F:$F,Lançamentos!$A:$A,BE$19,Lançamentos!$C:$C,"Salários e Encargos")</f>
        <v>0</v>
      </c>
      <c r="BF39" s="37">
        <f>SUMIFS(Lançamentos!$F:$F,Lançamentos!$A:$A,BF$19,Lançamentos!$C:$C,"Salários e Encargos")</f>
        <v>0</v>
      </c>
      <c r="BG39" s="37">
        <f>SUMIFS(Lançamentos!$F:$F,Lançamentos!$A:$A,BG$19,Lançamentos!$C:$C,"Salários e Encargos")</f>
        <v>0</v>
      </c>
      <c r="BH39" s="37">
        <f>SUMIFS(Lançamentos!$F:$F,Lançamentos!$A:$A,BH$19,Lançamentos!$C:$C,"Salários e Encargos")</f>
        <v>0</v>
      </c>
      <c r="BI39" s="37">
        <f>SUMIFS(Lançamentos!$F:$F,Lançamentos!$A:$A,BI$19,Lançamentos!$C:$C,"Salários e Encargos")</f>
        <v>0</v>
      </c>
      <c r="BJ39" s="37">
        <f>SUMIFS(Lançamentos!$F:$F,Lançamentos!$A:$A,BJ$19,Lançamentos!$C:$C,"Salários e Encargos")</f>
        <v>0</v>
      </c>
      <c r="BK39" s="37">
        <f>SUMIFS(Lançamentos!$F:$F,Lançamentos!$A:$A,BK$19,Lançamentos!$C:$C,"Salários e Encargos")</f>
        <v>0</v>
      </c>
      <c r="BL39" s="37">
        <f>SUMIFS(Lançamentos!$F:$F,Lançamentos!$A:$A,BL$19,Lançamentos!$C:$C,"Salários e Encargos")</f>
        <v>0</v>
      </c>
      <c r="BM39" s="37">
        <f>SUMIFS(Lançamentos!$F:$F,Lançamentos!$A:$A,BM$19,Lançamentos!$C:$C,"Salários e Encargos")</f>
        <v>0</v>
      </c>
      <c r="BN39" s="37">
        <f>SUMIFS(Lançamentos!$F:$F,Lançamentos!$A:$A,BN$19,Lançamentos!$C:$C,"Salários e Encargos")</f>
        <v>0</v>
      </c>
      <c r="BO39" s="37">
        <f>SUMIFS(Lançamentos!$F:$F,Lançamentos!$A:$A,BO$19,Lançamentos!$C:$C,"Salários e Encargos")</f>
        <v>0</v>
      </c>
      <c r="BP39" s="37">
        <f>SUMIFS(Lançamentos!$F:$F,Lançamentos!$A:$A,BP$19,Lançamentos!$C:$C,"Salários e Encargos")</f>
        <v>0</v>
      </c>
      <c r="BQ39" s="37">
        <f>SUMIFS(Lançamentos!$F:$F,Lançamentos!$A:$A,BQ$19,Lançamentos!$C:$C,"Salários e Encargos")</f>
        <v>0</v>
      </c>
      <c r="BR39" s="37">
        <f>SUMIFS(Lançamentos!$F:$F,Lançamentos!$A:$A,BR$19,Lançamentos!$C:$C,"Salários e Encargos")</f>
        <v>0</v>
      </c>
      <c r="BS39" s="37">
        <f>SUMIFS(Lançamentos!$F:$F,Lançamentos!$A:$A,BS$19,Lançamentos!$C:$C,"Salários e Encargos")</f>
        <v>0</v>
      </c>
      <c r="BT39" s="37">
        <f>SUMIFS(Lançamentos!$F:$F,Lançamentos!$A:$A,BT$19,Lançamentos!$C:$C,"Salários e Encargos")</f>
        <v>0</v>
      </c>
      <c r="BU39" s="37">
        <f>SUMIFS(Lançamentos!$F:$F,Lançamentos!$A:$A,BU$19,Lançamentos!$C:$C,"Salários e Encargos")</f>
        <v>0</v>
      </c>
      <c r="BV39" s="37">
        <f>SUMIFS(Lançamentos!$F:$F,Lançamentos!$A:$A,BV$19,Lançamentos!$C:$C,"Salários e Encargos")</f>
        <v>0</v>
      </c>
      <c r="BW39" s="37">
        <f>SUMIFS(Lançamentos!$F:$F,Lançamentos!$A:$A,BW$19,Lançamentos!$C:$C,"Salários e Encargos")</f>
        <v>0</v>
      </c>
      <c r="BX39" s="37">
        <f>SUMIFS(Lançamentos!$F:$F,Lançamentos!$A:$A,BX$19,Lançamentos!$C:$C,"Salários e Encargos")</f>
        <v>0</v>
      </c>
      <c r="BY39" s="37">
        <f>SUMIFS(Lançamentos!$F:$F,Lançamentos!$A:$A,BY$19,Lançamentos!$C:$C,"Salários e Encargos")</f>
        <v>0</v>
      </c>
      <c r="BZ39" s="37">
        <f>SUMIFS(Lançamentos!$F:$F,Lançamentos!$A:$A,BZ$19,Lançamentos!$C:$C,"Salários e Encargos")</f>
        <v>0</v>
      </c>
      <c r="CA39" s="37">
        <f>SUMIFS(Lançamentos!$F:$F,Lançamentos!$A:$A,CA$19,Lançamentos!$C:$C,"Salários e Encargos")</f>
        <v>0</v>
      </c>
      <c r="CB39" s="37">
        <f>SUMIFS(Lançamentos!$F:$F,Lançamentos!$A:$A,CB$19,Lançamentos!$C:$C,"Salários e Encargos")</f>
        <v>0</v>
      </c>
      <c r="CC39" s="37">
        <f>SUMIFS(Lançamentos!$F:$F,Lançamentos!$A:$A,CC$19,Lançamentos!$C:$C,"Salários e Encargos")</f>
        <v>0</v>
      </c>
      <c r="CD39" s="37">
        <f>SUMIFS(Lançamentos!$F:$F,Lançamentos!$A:$A,CD$19,Lançamentos!$C:$C,"Salários e Encargos")</f>
        <v>0</v>
      </c>
      <c r="CE39" s="37">
        <f>SUMIFS(Lançamentos!$F:$F,Lançamentos!$A:$A,CE$19,Lançamentos!$C:$C,"Salários e Encargos")</f>
        <v>0</v>
      </c>
      <c r="CF39" s="37">
        <f>SUMIFS(Lançamentos!$F:$F,Lançamentos!$A:$A,CF$19,Lançamentos!$C:$C,"Salários e Encargos")</f>
        <v>0</v>
      </c>
      <c r="CG39" s="37">
        <f>SUMIFS(Lançamentos!$F:$F,Lançamentos!$A:$A,CG$19,Lançamentos!$C:$C,"Salários e Encargos")</f>
        <v>0</v>
      </c>
      <c r="CH39" s="37">
        <f>SUMIFS(Lançamentos!$F:$F,Lançamentos!$A:$A,CH$19,Lançamentos!$C:$C,"Salários e Encargos")</f>
        <v>0</v>
      </c>
      <c r="CI39" s="37">
        <f>SUMIFS(Lançamentos!$F:$F,Lançamentos!$A:$A,CI$19,Lançamentos!$C:$C,"Salários e Encargos")</f>
        <v>0</v>
      </c>
      <c r="CJ39" s="37">
        <f>SUMIFS(Lançamentos!$F:$F,Lançamentos!$A:$A,CJ$19,Lançamentos!$C:$C,"Salários e Encargos")</f>
        <v>0</v>
      </c>
      <c r="CK39" s="37">
        <f>SUMIFS(Lançamentos!$F:$F,Lançamentos!$A:$A,CK$19,Lançamentos!$C:$C,"Salários e Encargos")</f>
        <v>0</v>
      </c>
      <c r="CL39" s="37">
        <f>SUMIFS(Lançamentos!$F:$F,Lançamentos!$A:$A,CL$19,Lançamentos!$C:$C,"Salários e Encargos")</f>
        <v>0</v>
      </c>
      <c r="CM39" s="37">
        <f>SUMIFS(Lançamentos!$F:$F,Lançamentos!$A:$A,CM$19,Lançamentos!$C:$C,"Salários e Encargos")</f>
        <v>0</v>
      </c>
      <c r="CN39" s="37">
        <f>SUMIFS(Lançamentos!$F:$F,Lançamentos!$A:$A,CN$19,Lançamentos!$C:$C,"Salários e Encargos")</f>
        <v>0</v>
      </c>
      <c r="CO39" s="37">
        <f>SUMIFS(Lançamentos!$F:$F,Lançamentos!$A:$A,CO$19,Lançamentos!$C:$C,"Salários e Encargos")</f>
        <v>0</v>
      </c>
      <c r="CP39" s="37">
        <f>SUMIFS(Lançamentos!$F:$F,Lançamentos!$A:$A,CP$19,Lançamentos!$C:$C,"Salários e Encargos")</f>
        <v>0</v>
      </c>
      <c r="CQ39" s="37">
        <f>SUMIFS(Lançamentos!$F:$F,Lançamentos!$A:$A,CQ$19,Lançamentos!$C:$C,"Salários e Encargos")</f>
        <v>0</v>
      </c>
      <c r="CR39" s="37">
        <f>SUMIFS(Lançamentos!$F:$F,Lançamentos!$A:$A,CR$19,Lançamentos!$C:$C,"Salários e Encargos")</f>
        <v>0</v>
      </c>
      <c r="CS39" s="37">
        <f>SUMIFS(Lançamentos!$F:$F,Lançamentos!$A:$A,CS$19,Lançamentos!$C:$C,"Salários e Encargos")</f>
        <v>0</v>
      </c>
      <c r="CT39" s="37">
        <f>SUMIFS(Lançamentos!$F:$F,Lançamentos!$A:$A,CT$19,Lançamentos!$C:$C,"Salários e Encargos")</f>
        <v>0</v>
      </c>
      <c r="CU39" s="37">
        <f>SUMIFS(Lançamentos!$F:$F,Lançamentos!$A:$A,CU$19,Lançamentos!$C:$C,"Salários e Encargos")</f>
        <v>0</v>
      </c>
      <c r="CV39" s="37">
        <f>SUMIFS(Lançamentos!$F:$F,Lançamentos!$A:$A,CV$19,Lançamentos!$C:$C,"Salários e Encargos")</f>
        <v>0</v>
      </c>
      <c r="CW39" s="37">
        <f>SUMIFS(Lançamentos!$F:$F,Lançamentos!$A:$A,CW$19,Lançamentos!$C:$C,"Salários e Encargos")</f>
        <v>0</v>
      </c>
      <c r="CX39" s="37">
        <f>SUMIFS(Lançamentos!$F:$F,Lançamentos!$A:$A,CX$19,Lançamentos!$C:$C,"Salários e Encargos")</f>
        <v>0</v>
      </c>
      <c r="CY39" s="37">
        <f>SUMIFS(Lançamentos!$F:$F,Lançamentos!$A:$A,CY$19,Lançamentos!$C:$C,"Salários e Encargos")</f>
        <v>0</v>
      </c>
      <c r="CZ39" s="37">
        <f>SUMIFS(Lançamentos!$F:$F,Lançamentos!$A:$A,CZ$19,Lançamentos!$C:$C,"Salários e Encargos")</f>
        <v>0</v>
      </c>
      <c r="DA39" s="37">
        <f>SUMIFS(Lançamentos!$F:$F,Lançamentos!$A:$A,DA$19,Lançamentos!$C:$C,"Salários e Encargos")</f>
        <v>0</v>
      </c>
      <c r="DB39" s="37">
        <f>SUMIFS(Lançamentos!$F:$F,Lançamentos!$A:$A,DB$19,Lançamentos!$C:$C,"Salários e Encargos")</f>
        <v>0</v>
      </c>
      <c r="DC39" s="37">
        <f>SUMIFS(Lançamentos!$F:$F,Lançamentos!$A:$A,DC$19,Lançamentos!$C:$C,"Salários e Encargos")</f>
        <v>0</v>
      </c>
      <c r="DD39" s="37">
        <f>SUMIFS(Lançamentos!$F:$F,Lançamentos!$A:$A,DD$19,Lançamentos!$C:$C,"Salários e Encargos")</f>
        <v>0</v>
      </c>
      <c r="DE39" s="37">
        <f>SUMIFS(Lançamentos!$F:$F,Lançamentos!$A:$A,DE$19,Lançamentos!$C:$C,"Salários e Encargos")</f>
        <v>0</v>
      </c>
      <c r="DF39" s="37">
        <f>SUMIFS(Lançamentos!$F:$F,Lançamentos!$A:$A,DF$19,Lançamentos!$C:$C,"Salários e Encargos")</f>
        <v>0</v>
      </c>
      <c r="DG39" s="37">
        <f>SUMIFS(Lançamentos!$F:$F,Lançamentos!$A:$A,DG$19,Lançamentos!$C:$C,"Salários e Encargos")</f>
        <v>0</v>
      </c>
      <c r="DH39" s="37">
        <f>SUMIFS(Lançamentos!$F:$F,Lançamentos!$A:$A,DH$19,Lançamentos!$C:$C,"Salários e Encargos")</f>
        <v>0</v>
      </c>
      <c r="DI39" s="37">
        <f>SUMIFS(Lançamentos!$F:$F,Lançamentos!$A:$A,DI$19,Lançamentos!$C:$C,"Salários e Encargos")</f>
        <v>0</v>
      </c>
      <c r="DJ39" s="37">
        <f>SUMIFS(Lançamentos!$F:$F,Lançamentos!$A:$A,DJ$19,Lançamentos!$C:$C,"Salários e Encargos")</f>
        <v>0</v>
      </c>
      <c r="DK39" s="37">
        <f>SUMIFS(Lançamentos!$F:$F,Lançamentos!$A:$A,DK$19,Lançamentos!$C:$C,"Salários e Encargos")</f>
        <v>0</v>
      </c>
      <c r="DL39" s="37">
        <f>SUMIFS(Lançamentos!$F:$F,Lançamentos!$A:$A,DL$19,Lançamentos!$C:$C,"Salários e Encargos")</f>
        <v>0</v>
      </c>
      <c r="DM39" s="37">
        <f>SUMIFS(Lançamentos!$F:$F,Lançamentos!$A:$A,DM$19,Lançamentos!$C:$C,"Salários e Encargos")</f>
        <v>0</v>
      </c>
      <c r="DN39" s="37">
        <f>SUMIFS(Lançamentos!$F:$F,Lançamentos!$A:$A,DN$19,Lançamentos!$C:$C,"Salários e Encargos")</f>
        <v>0</v>
      </c>
      <c r="DO39" s="37">
        <f>SUMIFS(Lançamentos!$F:$F,Lançamentos!$A:$A,DO$19,Lançamentos!$C:$C,"Salários e Encargos")</f>
        <v>0</v>
      </c>
      <c r="DP39" s="37">
        <f>SUMIFS(Lançamentos!$F:$F,Lançamentos!$A:$A,DP$19,Lançamentos!$C:$C,"Salários e Encargos")</f>
        <v>0</v>
      </c>
      <c r="DQ39" s="37">
        <f>SUMIFS(Lançamentos!$F:$F,Lançamentos!$A:$A,DQ$19,Lançamentos!$C:$C,"Salários e Encargos")</f>
        <v>0</v>
      </c>
      <c r="DR39" s="37">
        <f>SUMIFS(Lançamentos!$F:$F,Lançamentos!$A:$A,DR$19,Lançamentos!$C:$C,"Salários e Encargos")</f>
        <v>0</v>
      </c>
      <c r="DS39" s="37">
        <f>SUMIFS(Lançamentos!$F:$F,Lançamentos!$A:$A,DS$19,Lançamentos!$C:$C,"Salários e Encargos")</f>
        <v>0</v>
      </c>
      <c r="DT39" s="37">
        <f>SUMIFS(Lançamentos!$F:$F,Lançamentos!$A:$A,DT$19,Lançamentos!$C:$C,"Salários e Encargos")</f>
        <v>0</v>
      </c>
      <c r="DU39" s="37">
        <f>SUMIFS(Lançamentos!$F:$F,Lançamentos!$A:$A,DU$19,Lançamentos!$C:$C,"Salários e Encargos")</f>
        <v>0</v>
      </c>
      <c r="DV39" s="37">
        <f>SUMIFS(Lançamentos!$F:$F,Lançamentos!$A:$A,DV$19,Lançamentos!$C:$C,"Salários e Encargos")</f>
        <v>0</v>
      </c>
      <c r="DW39" s="37">
        <f>SUMIFS(Lançamentos!$F:$F,Lançamentos!$A:$A,DW$19,Lançamentos!$C:$C,"Salários e Encargos")</f>
        <v>0</v>
      </c>
      <c r="DX39" s="37">
        <f>SUMIFS(Lançamentos!$F:$F,Lançamentos!$A:$A,DX$19,Lançamentos!$C:$C,"Salários e Encargos")</f>
        <v>0</v>
      </c>
      <c r="DY39" s="37">
        <f>SUMIFS(Lançamentos!$F:$F,Lançamentos!$A:$A,DY$19,Lançamentos!$C:$C,"Salários e Encargos")</f>
        <v>0</v>
      </c>
      <c r="DZ39" s="37">
        <f>SUMIFS(Lançamentos!$F:$F,Lançamentos!$A:$A,DZ$19,Lançamentos!$C:$C,"Salários e Encargos")</f>
        <v>0</v>
      </c>
      <c r="EA39" s="37">
        <f>SUMIFS(Lançamentos!$F:$F,Lançamentos!$A:$A,EA$19,Lançamentos!$C:$C,"Salários e Encargos")</f>
        <v>0</v>
      </c>
      <c r="EB39" s="37">
        <f>SUMIFS(Lançamentos!$F:$F,Lançamentos!$A:$A,EB$19,Lançamentos!$C:$C,"Salários e Encargos")</f>
        <v>0</v>
      </c>
      <c r="EC39" s="37">
        <f>SUMIFS(Lançamentos!$F:$F,Lançamentos!$A:$A,EC$19,Lançamentos!$C:$C,"Salários e Encargos")</f>
        <v>0</v>
      </c>
      <c r="ED39" s="37">
        <f>SUMIFS(Lançamentos!$F:$F,Lançamentos!$A:$A,ED$19,Lançamentos!$C:$C,"Salários e Encargos")</f>
        <v>0</v>
      </c>
      <c r="EE39" s="37">
        <f>SUMIFS(Lançamentos!$F:$F,Lançamentos!$A:$A,EE$19,Lançamentos!$C:$C,"Salários e Encargos")</f>
        <v>0</v>
      </c>
      <c r="EF39" s="37">
        <f>SUMIFS(Lançamentos!$F:$F,Lançamentos!$A:$A,EF$19,Lançamentos!$C:$C,"Salários e Encargos")</f>
        <v>0</v>
      </c>
      <c r="EG39" s="37">
        <f>SUMIFS(Lançamentos!$F:$F,Lançamentos!$A:$A,EG$19,Lançamentos!$C:$C,"Salários e Encargos")</f>
        <v>0</v>
      </c>
      <c r="EH39" s="37">
        <f>SUMIFS(Lançamentos!$F:$F,Lançamentos!$A:$A,EH$19,Lançamentos!$C:$C,"Salários e Encargos")</f>
        <v>0</v>
      </c>
      <c r="EI39" s="37">
        <f>SUMIFS(Lançamentos!$F:$F,Lançamentos!$A:$A,EI$19,Lançamentos!$C:$C,"Salários e Encargos")</f>
        <v>0</v>
      </c>
      <c r="EJ39" s="37">
        <f>SUMIFS(Lançamentos!$F:$F,Lançamentos!$A:$A,EJ$19,Lançamentos!$C:$C,"Salários e Encargos")</f>
        <v>0</v>
      </c>
      <c r="EK39" s="37">
        <f>SUMIFS(Lançamentos!$F:$F,Lançamentos!$A:$A,EK$19,Lançamentos!$C:$C,"Salários e Encargos")</f>
        <v>0</v>
      </c>
      <c r="EL39" s="37">
        <f>SUMIFS(Lançamentos!$F:$F,Lançamentos!$A:$A,EL$19,Lançamentos!$C:$C,"Salários e Encargos")</f>
        <v>0</v>
      </c>
      <c r="EM39" s="37">
        <f>SUMIFS(Lançamentos!$F:$F,Lançamentos!$A:$A,EM$19,Lançamentos!$C:$C,"Salários e Encargos")</f>
        <v>0</v>
      </c>
      <c r="EN39" s="37">
        <f>SUMIFS(Lançamentos!$F:$F,Lançamentos!$A:$A,EN$19,Lançamentos!$C:$C,"Salários e Encargos")</f>
        <v>0</v>
      </c>
      <c r="EO39" s="37">
        <f>SUMIFS(Lançamentos!$F:$F,Lançamentos!$A:$A,EO$19,Lançamentos!$C:$C,"Salários e Encargos")</f>
        <v>0</v>
      </c>
      <c r="EP39" s="37">
        <f>SUMIFS(Lançamentos!$F:$F,Lançamentos!$A:$A,EP$19,Lançamentos!$C:$C,"Salários e Encargos")</f>
        <v>0</v>
      </c>
      <c r="EQ39" s="37">
        <f>SUMIFS(Lançamentos!$F:$F,Lançamentos!$A:$A,EQ$19,Lançamentos!$C:$C,"Salários e Encargos")</f>
        <v>0</v>
      </c>
      <c r="ER39" s="37">
        <f>SUMIFS(Lançamentos!$F:$F,Lançamentos!$A:$A,ER$19,Lançamentos!$C:$C,"Salários e Encargos")</f>
        <v>0</v>
      </c>
      <c r="ES39" s="37">
        <f>SUMIFS(Lançamentos!$F:$F,Lançamentos!$A:$A,ES$19,Lançamentos!$C:$C,"Salários e Encargos")</f>
        <v>0</v>
      </c>
      <c r="ET39" s="37">
        <f>SUMIFS(Lançamentos!$F:$F,Lançamentos!$A:$A,ET$19,Lançamentos!$C:$C,"Salários e Encargos")</f>
        <v>0</v>
      </c>
      <c r="EU39" s="37">
        <f>SUMIFS(Lançamentos!$F:$F,Lançamentos!$A:$A,EU$19,Lançamentos!$C:$C,"Salários e Encargos")</f>
        <v>0</v>
      </c>
      <c r="EV39" s="37">
        <f>SUMIFS(Lançamentos!$F:$F,Lançamentos!$A:$A,EV$19,Lançamentos!$C:$C,"Salários e Encargos")</f>
        <v>0</v>
      </c>
      <c r="EW39" s="37">
        <f>SUMIFS(Lançamentos!$F:$F,Lançamentos!$A:$A,EW$19,Lançamentos!$C:$C,"Salários e Encargos")</f>
        <v>0</v>
      </c>
      <c r="EX39" s="37">
        <f>SUMIFS(Lançamentos!$F:$F,Lançamentos!$A:$A,EX$19,Lançamentos!$C:$C,"Salários e Encargos")</f>
        <v>0</v>
      </c>
      <c r="EY39" s="37">
        <f>SUMIFS(Lançamentos!$F:$F,Lançamentos!$A:$A,EY$19,Lançamentos!$C:$C,"Salários e Encargos")</f>
        <v>0</v>
      </c>
      <c r="EZ39" s="37">
        <f>SUMIFS(Lançamentos!$F:$F,Lançamentos!$A:$A,EZ$19,Lançamentos!$C:$C,"Salários e Encargos")</f>
        <v>0</v>
      </c>
      <c r="FA39" s="37">
        <f>SUMIFS(Lançamentos!$F:$F,Lançamentos!$A:$A,FA$19,Lançamentos!$C:$C,"Salários e Encargos")</f>
        <v>0</v>
      </c>
      <c r="FB39" s="37">
        <f>SUMIFS(Lançamentos!$F:$F,Lançamentos!$A:$A,FB$19,Lançamentos!$C:$C,"Salários e Encargos")</f>
        <v>0</v>
      </c>
      <c r="FC39" s="37">
        <f>SUMIFS(Lançamentos!$F:$F,Lançamentos!$A:$A,FC$19,Lançamentos!$C:$C,"Salários e Encargos")</f>
        <v>0</v>
      </c>
      <c r="FD39" s="37">
        <f>SUMIFS(Lançamentos!$F:$F,Lançamentos!$A:$A,FD$19,Lançamentos!$C:$C,"Salários e Encargos")</f>
        <v>0</v>
      </c>
      <c r="FE39" s="37">
        <f>SUMIFS(Lançamentos!$F:$F,Lançamentos!$A:$A,FE$19,Lançamentos!$C:$C,"Salários e Encargos")</f>
        <v>0</v>
      </c>
      <c r="FF39" s="37">
        <f>SUMIFS(Lançamentos!$F:$F,Lançamentos!$A:$A,FF$19,Lançamentos!$C:$C,"Salários e Encargos")</f>
        <v>0</v>
      </c>
      <c r="FG39" s="37">
        <f>SUMIFS(Lançamentos!$F:$F,Lançamentos!$A:$A,FG$19,Lançamentos!$C:$C,"Salários e Encargos")</f>
        <v>0</v>
      </c>
      <c r="FH39" s="37">
        <f>SUMIFS(Lançamentos!$F:$F,Lançamentos!$A:$A,FH$19,Lançamentos!$C:$C,"Salários e Encargos")</f>
        <v>0</v>
      </c>
      <c r="FI39" s="37">
        <f>SUMIFS(Lançamentos!$F:$F,Lançamentos!$A:$A,FI$19,Lançamentos!$C:$C,"Salários e Encargos")</f>
        <v>0</v>
      </c>
      <c r="FJ39" s="37">
        <f>SUMIFS(Lançamentos!$F:$F,Lançamentos!$A:$A,FJ$19,Lançamentos!$C:$C,"Salários e Encargos")</f>
        <v>0</v>
      </c>
      <c r="FK39" s="37">
        <f>SUMIFS(Lançamentos!$F:$F,Lançamentos!$A:$A,FK$19,Lançamentos!$C:$C,"Salários e Encargos")</f>
        <v>0</v>
      </c>
      <c r="FL39" s="37">
        <f>SUMIFS(Lançamentos!$F:$F,Lançamentos!$A:$A,FL$19,Lançamentos!$C:$C,"Salários e Encargos")</f>
        <v>0</v>
      </c>
      <c r="FM39" s="37">
        <f>SUMIFS(Lançamentos!$F:$F,Lançamentos!$A:$A,FM$19,Lançamentos!$C:$C,"Salários e Encargos")</f>
        <v>0</v>
      </c>
      <c r="FN39" s="37">
        <f>SUMIFS(Lançamentos!$F:$F,Lançamentos!$A:$A,FN$19,Lançamentos!$C:$C,"Salários e Encargos")</f>
        <v>0</v>
      </c>
      <c r="FO39" s="37">
        <f>SUMIFS(Lançamentos!$F:$F,Lançamentos!$A:$A,FO$19,Lançamentos!$C:$C,"Salários e Encargos")</f>
        <v>0</v>
      </c>
      <c r="FP39" s="37">
        <f>SUMIFS(Lançamentos!$F:$F,Lançamentos!$A:$A,FP$19,Lançamentos!$C:$C,"Salários e Encargos")</f>
        <v>0</v>
      </c>
      <c r="FQ39" s="37">
        <f>SUMIFS(Lançamentos!$F:$F,Lançamentos!$A:$A,FQ$19,Lançamentos!$C:$C,"Salários e Encargos")</f>
        <v>0</v>
      </c>
      <c r="FR39" s="37">
        <f>SUMIFS(Lançamentos!$F:$F,Lançamentos!$A:$A,FR$19,Lançamentos!$C:$C,"Salários e Encargos")</f>
        <v>0</v>
      </c>
      <c r="FS39" s="37">
        <f>SUMIFS(Lançamentos!$F:$F,Lançamentos!$A:$A,FS$19,Lançamentos!$C:$C,"Salários e Encargos")</f>
        <v>0</v>
      </c>
      <c r="FT39" s="37">
        <f>SUMIFS(Lançamentos!$F:$F,Lançamentos!$A:$A,FT$19,Lançamentos!$C:$C,"Salários e Encargos")</f>
        <v>0</v>
      </c>
      <c r="FU39" s="37">
        <f>SUMIFS(Lançamentos!$F:$F,Lançamentos!$A:$A,FU$19,Lançamentos!$C:$C,"Salários e Encargos")</f>
        <v>0</v>
      </c>
      <c r="FV39" s="37">
        <f>SUMIFS(Lançamentos!$F:$F,Lançamentos!$A:$A,FV$19,Lançamentos!$C:$C,"Salários e Encargos")</f>
        <v>0</v>
      </c>
      <c r="FW39" s="37">
        <f>SUMIFS(Lançamentos!$F:$F,Lançamentos!$A:$A,FW$19,Lançamentos!$C:$C,"Salários e Encargos")</f>
        <v>0</v>
      </c>
      <c r="FX39" s="37">
        <f>SUMIFS(Lançamentos!$F:$F,Lançamentos!$A:$A,FX$19,Lançamentos!$C:$C,"Salários e Encargos")</f>
        <v>0</v>
      </c>
      <c r="FY39" s="37">
        <f>SUMIFS(Lançamentos!$F:$F,Lançamentos!$A:$A,FY$19,Lançamentos!$C:$C,"Salários e Encargos")</f>
        <v>0</v>
      </c>
      <c r="FZ39" s="37">
        <f>SUMIFS(Lançamentos!$F:$F,Lançamentos!$A:$A,FZ$19,Lançamentos!$C:$C,"Salários e Encargos")</f>
        <v>0</v>
      </c>
      <c r="GA39" s="37">
        <f>SUMIFS(Lançamentos!$F:$F,Lançamentos!$A:$A,GA$19,Lançamentos!$C:$C,"Salários e Encargos")</f>
        <v>0</v>
      </c>
      <c r="GB39" s="37">
        <f>SUMIFS(Lançamentos!$F:$F,Lançamentos!$A:$A,GB$19,Lançamentos!$C:$C,"Salários e Encargos")</f>
        <v>0</v>
      </c>
      <c r="GC39" s="37">
        <f>SUMIFS(Lançamentos!$F:$F,Lançamentos!$A:$A,GC$19,Lançamentos!$C:$C,"Salários e Encargos")</f>
        <v>0</v>
      </c>
      <c r="GD39" s="37">
        <f>SUMIFS(Lançamentos!$F:$F,Lançamentos!$A:$A,GD$19,Lançamentos!$C:$C,"Salários e Encargos")</f>
        <v>0</v>
      </c>
      <c r="GE39" s="37">
        <f>SUMIFS(Lançamentos!$F:$F,Lançamentos!$A:$A,GE$19,Lançamentos!$C:$C,"Salários e Encargos")</f>
        <v>0</v>
      </c>
      <c r="GF39" s="37">
        <f>SUMIFS(Lançamentos!$F:$F,Lançamentos!$A:$A,GF$19,Lançamentos!$C:$C,"Salários e Encargos")</f>
        <v>0</v>
      </c>
      <c r="GG39" s="37">
        <f>SUMIFS(Lançamentos!$F:$F,Lançamentos!$A:$A,GG$19,Lançamentos!$C:$C,"Salários e Encargos")</f>
        <v>0</v>
      </c>
      <c r="GH39" s="37">
        <f>SUMIFS(Lançamentos!$F:$F,Lançamentos!$A:$A,GH$19,Lançamentos!$C:$C,"Salários e Encargos")</f>
        <v>0</v>
      </c>
      <c r="GI39" s="37">
        <f>SUMIFS(Lançamentos!$F:$F,Lançamentos!$A:$A,GI$19,Lançamentos!$C:$C,"Salários e Encargos")</f>
        <v>0</v>
      </c>
      <c r="GJ39" s="37">
        <f>SUMIFS(Lançamentos!$F:$F,Lançamentos!$A:$A,GJ$19,Lançamentos!$C:$C,"Salários e Encargos")</f>
        <v>0</v>
      </c>
      <c r="GK39" s="37">
        <f>SUMIFS(Lançamentos!$F:$F,Lançamentos!$A:$A,GK$19,Lançamentos!$C:$C,"Salários e Encargos")</f>
        <v>0</v>
      </c>
      <c r="GL39" s="37">
        <f>SUMIFS(Lançamentos!$F:$F,Lançamentos!$A:$A,GL$19,Lançamentos!$C:$C,"Salários e Encargos")</f>
        <v>0</v>
      </c>
      <c r="GM39" s="37">
        <f>SUMIFS(Lançamentos!$F:$F,Lançamentos!$A:$A,GM$19,Lançamentos!$C:$C,"Salários e Encargos")</f>
        <v>0</v>
      </c>
      <c r="GN39" s="37">
        <f>SUMIFS(Lançamentos!$F:$F,Lançamentos!$A:$A,GN$19,Lançamentos!$C:$C,"Salários e Encargos")</f>
        <v>0</v>
      </c>
      <c r="GO39" s="37">
        <f>SUMIFS(Lançamentos!$F:$F,Lançamentos!$A:$A,GO$19,Lançamentos!$C:$C,"Salários e Encargos")</f>
        <v>0</v>
      </c>
      <c r="GP39" s="37">
        <f>SUMIFS(Lançamentos!$F:$F,Lançamentos!$A:$A,GP$19,Lançamentos!$C:$C,"Salários e Encargos")</f>
        <v>0</v>
      </c>
      <c r="GQ39" s="37">
        <f>SUMIFS(Lançamentos!$F:$F,Lançamentos!$A:$A,GQ$19,Lançamentos!$C:$C,"Salários e Encargos")</f>
        <v>0</v>
      </c>
      <c r="GR39" s="37">
        <f>SUMIFS(Lançamentos!$F:$F,Lançamentos!$A:$A,GR$19,Lançamentos!$C:$C,"Salários e Encargos")</f>
        <v>0</v>
      </c>
      <c r="GS39" s="37">
        <f>SUMIFS(Lançamentos!$F:$F,Lançamentos!$A:$A,GS$19,Lançamentos!$C:$C,"Salários e Encargos")</f>
        <v>0</v>
      </c>
      <c r="GT39" s="37">
        <f>SUMIFS(Lançamentos!$F:$F,Lançamentos!$A:$A,GT$19,Lançamentos!$C:$C,"Salários e Encargos")</f>
        <v>0</v>
      </c>
      <c r="GU39" s="37">
        <f>SUMIFS(Lançamentos!$F:$F,Lançamentos!$A:$A,GU$19,Lançamentos!$C:$C,"Salários e Encargos")</f>
        <v>0</v>
      </c>
      <c r="GV39" s="37">
        <f>SUMIFS(Lançamentos!$F:$F,Lançamentos!$A:$A,GV$19,Lançamentos!$C:$C,"Salários e Encargos")</f>
        <v>0</v>
      </c>
      <c r="GW39" s="37">
        <f>SUMIFS(Lançamentos!$F:$F,Lançamentos!$A:$A,GW$19,Lançamentos!$C:$C,"Salários e Encargos")</f>
        <v>0</v>
      </c>
      <c r="GX39" s="37">
        <f>SUMIFS(Lançamentos!$F:$F,Lançamentos!$A:$A,GX$19,Lançamentos!$C:$C,"Salários e Encargos")</f>
        <v>0</v>
      </c>
      <c r="GY39" s="37">
        <f>SUMIFS(Lançamentos!$F:$F,Lançamentos!$A:$A,GY$19,Lançamentos!$C:$C,"Salários e Encargos")</f>
        <v>0</v>
      </c>
      <c r="GZ39" s="37">
        <f>SUMIFS(Lançamentos!$F:$F,Lançamentos!$A:$A,GZ$19,Lançamentos!$C:$C,"Salários e Encargos")</f>
        <v>0</v>
      </c>
      <c r="HA39" s="37">
        <f>SUMIFS(Lançamentos!$F:$F,Lançamentos!$A:$A,HA$19,Lançamentos!$C:$C,"Salários e Encargos")</f>
        <v>0</v>
      </c>
      <c r="HB39" s="37">
        <f>SUMIFS(Lançamentos!$F:$F,Lançamentos!$A:$A,HB$19,Lançamentos!$C:$C,"Salários e Encargos")</f>
        <v>0</v>
      </c>
      <c r="HC39" s="37">
        <f>SUMIFS(Lançamentos!$F:$F,Lançamentos!$A:$A,HC$19,Lançamentos!$C:$C,"Salários e Encargos")</f>
        <v>0</v>
      </c>
      <c r="HD39" s="37">
        <f>SUMIFS(Lançamentos!$F:$F,Lançamentos!$A:$A,HD$19,Lançamentos!$C:$C,"Salários e Encargos")</f>
        <v>0</v>
      </c>
      <c r="HE39" s="37">
        <f>SUMIFS(Lançamentos!$F:$F,Lançamentos!$A:$A,HE$19,Lançamentos!$C:$C,"Salários e Encargos")</f>
        <v>0</v>
      </c>
      <c r="HF39" s="37">
        <f>SUMIFS(Lançamentos!$F:$F,Lançamentos!$A:$A,HF$19,Lançamentos!$C:$C,"Salários e Encargos")</f>
        <v>0</v>
      </c>
      <c r="HG39" s="37">
        <f>SUMIFS(Lançamentos!$F:$F,Lançamentos!$A:$A,HG$19,Lançamentos!$C:$C,"Salários e Encargos")</f>
        <v>0</v>
      </c>
      <c r="HH39" s="37">
        <f>SUMIFS(Lançamentos!$F:$F,Lançamentos!$A:$A,HH$19,Lançamentos!$C:$C,"Salários e Encargos")</f>
        <v>0</v>
      </c>
      <c r="HI39" s="37">
        <f>SUMIFS(Lançamentos!$F:$F,Lançamentos!$A:$A,HI$19,Lançamentos!$C:$C,"Salários e Encargos")</f>
        <v>0</v>
      </c>
      <c r="HJ39" s="37">
        <f>SUMIFS(Lançamentos!$F:$F,Lançamentos!$A:$A,HJ$19,Lançamentos!$C:$C,"Salários e Encargos")</f>
        <v>0</v>
      </c>
      <c r="HK39" s="37">
        <f>SUMIFS(Lançamentos!$F:$F,Lançamentos!$A:$A,HK$19,Lançamentos!$C:$C,"Salários e Encargos")</f>
        <v>0</v>
      </c>
      <c r="HL39" s="37">
        <f>SUMIFS(Lançamentos!$F:$F,Lançamentos!$A:$A,HL$19,Lançamentos!$C:$C,"Salários e Encargos")</f>
        <v>0</v>
      </c>
      <c r="HM39" s="37">
        <f>SUMIFS(Lançamentos!$F:$F,Lançamentos!$A:$A,HM$19,Lançamentos!$C:$C,"Salários e Encargos")</f>
        <v>0</v>
      </c>
      <c r="HN39" s="37">
        <f>SUMIFS(Lançamentos!$F:$F,Lançamentos!$A:$A,HN$19,Lançamentos!$C:$C,"Salários e Encargos")</f>
        <v>0</v>
      </c>
      <c r="HO39" s="37">
        <f>SUMIFS(Lançamentos!$F:$F,Lançamentos!$A:$A,HO$19,Lançamentos!$C:$C,"Salários e Encargos")</f>
        <v>0</v>
      </c>
      <c r="HP39" s="37">
        <f>SUMIFS(Lançamentos!$F:$F,Lançamentos!$A:$A,HP$19,Lançamentos!$C:$C,"Salários e Encargos")</f>
        <v>0</v>
      </c>
      <c r="HQ39" s="37">
        <f>SUMIFS(Lançamentos!$F:$F,Lançamentos!$A:$A,HQ$19,Lançamentos!$C:$C,"Salários e Encargos")</f>
        <v>0</v>
      </c>
      <c r="HR39" s="37">
        <f>SUMIFS(Lançamentos!$F:$F,Lançamentos!$A:$A,HR$19,Lançamentos!$C:$C,"Salários e Encargos")</f>
        <v>0</v>
      </c>
      <c r="HS39" s="37">
        <f>SUMIFS(Lançamentos!$F:$F,Lançamentos!$A:$A,HS$19,Lançamentos!$C:$C,"Salários e Encargos")</f>
        <v>0</v>
      </c>
      <c r="HT39" s="37">
        <f>SUMIFS(Lançamentos!$F:$F,Lançamentos!$A:$A,HT$19,Lançamentos!$C:$C,"Salários e Encargos")</f>
        <v>0</v>
      </c>
      <c r="HU39" s="37">
        <f>SUMIFS(Lançamentos!$F:$F,Lançamentos!$A:$A,HU$19,Lançamentos!$C:$C,"Salários e Encargos")</f>
        <v>0</v>
      </c>
      <c r="HV39" s="37">
        <f>SUMIFS(Lançamentos!$F:$F,Lançamentos!$A:$A,HV$19,Lançamentos!$C:$C,"Salários e Encargos")</f>
        <v>0</v>
      </c>
      <c r="HW39" s="37">
        <f>SUMIFS(Lançamentos!$F:$F,Lançamentos!$A:$A,HW$19,Lançamentos!$C:$C,"Salários e Encargos")</f>
        <v>0</v>
      </c>
      <c r="HX39" s="37">
        <f>SUMIFS(Lançamentos!$F:$F,Lançamentos!$A:$A,HX$19,Lançamentos!$C:$C,"Salários e Encargos")</f>
        <v>0</v>
      </c>
      <c r="HY39" s="37">
        <f>SUMIFS(Lançamentos!$F:$F,Lançamentos!$A:$A,HY$19,Lançamentos!$C:$C,"Salários e Encargos")</f>
        <v>0</v>
      </c>
      <c r="HZ39" s="37">
        <f>SUMIFS(Lançamentos!$F:$F,Lançamentos!$A:$A,HZ$19,Lançamentos!$C:$C,"Salários e Encargos")</f>
        <v>0</v>
      </c>
      <c r="IA39" s="37">
        <f>SUMIFS(Lançamentos!$F:$F,Lançamentos!$A:$A,IA$19,Lançamentos!$C:$C,"Salários e Encargos")</f>
        <v>0</v>
      </c>
      <c r="IB39" s="37">
        <f>SUMIFS(Lançamentos!$F:$F,Lançamentos!$A:$A,IB$19,Lançamentos!$C:$C,"Salários e Encargos")</f>
        <v>0</v>
      </c>
      <c r="IC39" s="37">
        <f>SUMIFS(Lançamentos!$F:$F,Lançamentos!$A:$A,IC$19,Lançamentos!$C:$C,"Salários e Encargos")</f>
        <v>0</v>
      </c>
      <c r="ID39" s="37">
        <f>SUMIFS(Lançamentos!$F:$F,Lançamentos!$A:$A,ID$19,Lançamentos!$C:$C,"Salários e Encargos")</f>
        <v>0</v>
      </c>
      <c r="IE39" s="37">
        <f>SUMIFS(Lançamentos!$F:$F,Lançamentos!$A:$A,IE$19,Lançamentos!$C:$C,"Salários e Encargos")</f>
        <v>0</v>
      </c>
      <c r="IF39" s="37">
        <f>SUMIFS(Lançamentos!$F:$F,Lançamentos!$A:$A,IF$19,Lançamentos!$C:$C,"Salários e Encargos")</f>
        <v>0</v>
      </c>
      <c r="IG39" s="37">
        <f>SUMIFS(Lançamentos!$F:$F,Lançamentos!$A:$A,IG$19,Lançamentos!$C:$C,"Salários e Encargos")</f>
        <v>0</v>
      </c>
      <c r="IH39" s="37">
        <f>SUMIFS(Lançamentos!$F:$F,Lançamentos!$A:$A,IH$19,Lançamentos!$C:$C,"Salários e Encargos")</f>
        <v>0</v>
      </c>
      <c r="II39" s="37">
        <f>SUMIFS(Lançamentos!$F:$F,Lançamentos!$A:$A,II$19,Lançamentos!$C:$C,"Salários e Encargos")</f>
        <v>0</v>
      </c>
      <c r="IJ39" s="37">
        <f>SUMIFS(Lançamentos!$F:$F,Lançamentos!$A:$A,IJ$19,Lançamentos!$C:$C,"Salários e Encargos")</f>
        <v>0</v>
      </c>
      <c r="IK39" s="37">
        <f>SUMIFS(Lançamentos!$F:$F,Lançamentos!$A:$A,IK$19,Lançamentos!$C:$C,"Salários e Encargos")</f>
        <v>0</v>
      </c>
      <c r="IL39" s="37">
        <f>SUMIFS(Lançamentos!$F:$F,Lançamentos!$A:$A,IL$19,Lançamentos!$C:$C,"Salários e Encargos")</f>
        <v>0</v>
      </c>
    </row>
    <row r="40" spans="1:246" x14ac:dyDescent="0.3">
      <c r="A40" t="s">
        <v>15</v>
      </c>
      <c r="B40" s="37">
        <f>SUMIFS(Lançamentos!$F:$F,Lançamentos!$A:$A,B$19,Lançamentos!$C:$C,"Aluguel")</f>
        <v>0</v>
      </c>
      <c r="C40" s="37">
        <f>SUMIFS(Lançamentos!$F:$F,Lançamentos!$A:$A,C$19,Lançamentos!$C:$C,"Aluguel")</f>
        <v>0</v>
      </c>
      <c r="D40" s="37">
        <f>SUMIFS(Lançamentos!$F:$F,Lançamentos!$A:$A,D$19,Lançamentos!$C:$C,"Aluguel")</f>
        <v>0</v>
      </c>
      <c r="E40" s="37">
        <f>SUMIFS(Lançamentos!$F:$F,Lançamentos!$A:$A,E$19,Lançamentos!$C:$C,"Aluguel")</f>
        <v>0</v>
      </c>
      <c r="F40" s="37">
        <f>SUMIFS(Lançamentos!$F:$F,Lançamentos!$A:$A,F$19,Lançamentos!$C:$C,"Aluguel")</f>
        <v>0</v>
      </c>
      <c r="G40" s="37">
        <f>SUMIFS(Lançamentos!$F:$F,Lançamentos!$A:$A,G$19,Lançamentos!$C:$C,"Aluguel")</f>
        <v>0</v>
      </c>
      <c r="H40" s="37">
        <f>SUMIFS(Lançamentos!$F:$F,Lançamentos!$A:$A,H$19,Lançamentos!$C:$C,"Aluguel")</f>
        <v>0</v>
      </c>
      <c r="I40" s="37">
        <f>SUMIFS(Lançamentos!$F:$F,Lançamentos!$A:$A,I$19,Lançamentos!$C:$C,"Aluguel")</f>
        <v>0</v>
      </c>
      <c r="J40" s="37">
        <f>SUMIFS(Lançamentos!$F:$F,Lançamentos!$A:$A,J$19,Lançamentos!$C:$C,"Aluguel")</f>
        <v>0</v>
      </c>
      <c r="K40" s="37">
        <f>SUMIFS(Lançamentos!$F:$F,Lançamentos!$A:$A,K$19,Lançamentos!$C:$C,"Aluguel")</f>
        <v>0</v>
      </c>
      <c r="L40" s="37">
        <f>SUMIFS(Lançamentos!$F:$F,Lançamentos!$A:$A,L$19,Lançamentos!$C:$C,"Aluguel")</f>
        <v>0</v>
      </c>
      <c r="M40" s="37">
        <f>SUMIFS(Lançamentos!$F:$F,Lançamentos!$A:$A,M$19,Lançamentos!$C:$C,"Aluguel")</f>
        <v>0</v>
      </c>
      <c r="N40" s="37">
        <f>SUMIFS(Lançamentos!$F:$F,Lançamentos!$A:$A,N$19,Lançamentos!$C:$C,"Aluguel")</f>
        <v>0</v>
      </c>
      <c r="O40" s="37">
        <f>SUMIFS(Lançamentos!$F:$F,Lançamentos!$A:$A,O$19,Lançamentos!$C:$C,"Aluguel")</f>
        <v>0</v>
      </c>
      <c r="P40" s="37">
        <f>SUMIFS(Lançamentos!$F:$F,Lançamentos!$A:$A,P$19,Lançamentos!$C:$C,"Aluguel")</f>
        <v>0</v>
      </c>
      <c r="Q40" s="37">
        <f>SUMIFS(Lançamentos!$F:$F,Lançamentos!$A:$A,Q$19,Lançamentos!$C:$C,"Aluguel")</f>
        <v>0</v>
      </c>
      <c r="R40" s="37">
        <f>SUMIFS(Lançamentos!$F:$F,Lançamentos!$A:$A,R$19,Lançamentos!$C:$C,"Aluguel")</f>
        <v>0</v>
      </c>
      <c r="S40" s="37">
        <f>SUMIFS(Lançamentos!$F:$F,Lançamentos!$A:$A,S$19,Lançamentos!$C:$C,"Aluguel")</f>
        <v>0</v>
      </c>
      <c r="T40" s="37">
        <f>SUMIFS(Lançamentos!$F:$F,Lançamentos!$A:$A,T$19,Lançamentos!$C:$C,"Aluguel")</f>
        <v>0</v>
      </c>
      <c r="U40" s="37">
        <f>SUMIFS(Lançamentos!$F:$F,Lançamentos!$A:$A,U$19,Lançamentos!$C:$C,"Aluguel")</f>
        <v>0</v>
      </c>
      <c r="V40" s="37">
        <f>SUMIFS(Lançamentos!$F:$F,Lançamentos!$A:$A,V$19,Lançamentos!$C:$C,"Aluguel")</f>
        <v>0</v>
      </c>
      <c r="W40" s="37">
        <f>SUMIFS(Lançamentos!$F:$F,Lançamentos!$A:$A,W$19,Lançamentos!$C:$C,"Aluguel")</f>
        <v>0</v>
      </c>
      <c r="X40" s="37">
        <f>SUMIFS(Lançamentos!$F:$F,Lançamentos!$A:$A,X$19,Lançamentos!$C:$C,"Aluguel")</f>
        <v>0</v>
      </c>
      <c r="Y40" s="37">
        <f>SUMIFS(Lançamentos!$F:$F,Lançamentos!$A:$A,Y$19,Lançamentos!$C:$C,"Aluguel")</f>
        <v>0</v>
      </c>
      <c r="Z40" s="37">
        <f>SUMIFS(Lançamentos!$F:$F,Lançamentos!$A:$A,Z$19,Lançamentos!$C:$C,"Aluguel")</f>
        <v>0</v>
      </c>
      <c r="AA40" s="37">
        <f>SUMIFS(Lançamentos!$F:$F,Lançamentos!$A:$A,AA$19,Lançamentos!$C:$C,"Aluguel")</f>
        <v>0</v>
      </c>
      <c r="AB40" s="37">
        <f>SUMIFS(Lançamentos!$F:$F,Lançamentos!$A:$A,AB$19,Lançamentos!$C:$C,"Aluguel")</f>
        <v>0</v>
      </c>
      <c r="AC40" s="37">
        <f>SUMIFS(Lançamentos!$F:$F,Lançamentos!$A:$A,AC$19,Lançamentos!$C:$C,"Aluguel")</f>
        <v>0</v>
      </c>
      <c r="AD40" s="37">
        <f>SUMIFS(Lançamentos!$F:$F,Lançamentos!$A:$A,AD$19,Lançamentos!$C:$C,"Aluguel")</f>
        <v>0</v>
      </c>
      <c r="AE40" s="37">
        <f>SUMIFS(Lançamentos!$F:$F,Lançamentos!$A:$A,AE$19,Lançamentos!$C:$C,"Aluguel")</f>
        <v>0</v>
      </c>
      <c r="AF40" s="37">
        <f>SUMIFS(Lançamentos!$F:$F,Lançamentos!$A:$A,AF$19,Lançamentos!$C:$C,"Aluguel")</f>
        <v>0</v>
      </c>
      <c r="AG40" s="37">
        <f>SUMIFS(Lançamentos!$F:$F,Lançamentos!$A:$A,AG$19,Lançamentos!$C:$C,"Aluguel")</f>
        <v>-1532.31</v>
      </c>
      <c r="AH40" s="37">
        <f>SUMIFS(Lançamentos!$F:$F,Lançamentos!$A:$A,AH$19,Lançamentos!$C:$C,"Aluguel")</f>
        <v>-358.03</v>
      </c>
      <c r="AI40" s="37">
        <f>SUMIFS(Lançamentos!$F:$F,Lançamentos!$A:$A,AI$19,Lançamentos!$C:$C,"Aluguel")</f>
        <v>-583.84</v>
      </c>
      <c r="AJ40" s="37">
        <f>SUMIFS(Lançamentos!$F:$F,Lançamentos!$A:$A,AJ$19,Lançamentos!$C:$C,"Aluguel")</f>
        <v>0</v>
      </c>
      <c r="AK40" s="37">
        <f>SUMIFS(Lançamentos!$F:$F,Lançamentos!$A:$A,AK$19,Lançamentos!$C:$C,"Aluguel")</f>
        <v>0</v>
      </c>
      <c r="AL40" s="37">
        <f>SUMIFS(Lançamentos!$F:$F,Lançamentos!$A:$A,AL$19,Lançamentos!$C:$C,"Aluguel")</f>
        <v>0</v>
      </c>
      <c r="AM40" s="37">
        <f>SUMIFS(Lançamentos!$F:$F,Lançamentos!$A:$A,AM$19,Lançamentos!$C:$C,"Aluguel")</f>
        <v>0</v>
      </c>
      <c r="AN40" s="37">
        <f>SUMIFS(Lançamentos!$F:$F,Lançamentos!$A:$A,AN$19,Lançamentos!$C:$C,"Aluguel")</f>
        <v>0</v>
      </c>
      <c r="AO40" s="37">
        <f>SUMIFS(Lançamentos!$F:$F,Lançamentos!$A:$A,AO$19,Lançamentos!$C:$C,"Aluguel")</f>
        <v>0</v>
      </c>
      <c r="AP40" s="37">
        <f>SUMIFS(Lançamentos!$F:$F,Lançamentos!$A:$A,AP$19,Lançamentos!$C:$C,"Aluguel")</f>
        <v>0</v>
      </c>
      <c r="AQ40" s="37">
        <f>SUMIFS(Lançamentos!$F:$F,Lançamentos!$A:$A,AQ$19,Lançamentos!$C:$C,"Aluguel")</f>
        <v>0</v>
      </c>
      <c r="AR40" s="37">
        <f>SUMIFS(Lançamentos!$F:$F,Lançamentos!$A:$A,AR$19,Lançamentos!$C:$C,"Aluguel")</f>
        <v>0</v>
      </c>
      <c r="AS40" s="37">
        <f>SUMIFS(Lançamentos!$F:$F,Lançamentos!$A:$A,AS$19,Lançamentos!$C:$C,"Aluguel")</f>
        <v>0</v>
      </c>
      <c r="AT40" s="37">
        <f>SUMIFS(Lançamentos!$F:$F,Lançamentos!$A:$A,AT$19,Lançamentos!$C:$C,"Aluguel")</f>
        <v>0</v>
      </c>
      <c r="AU40" s="37">
        <f>SUMIFS(Lançamentos!$F:$F,Lançamentos!$A:$A,AU$19,Lançamentos!$C:$C,"Aluguel")</f>
        <v>0</v>
      </c>
      <c r="AV40" s="37">
        <f>SUMIFS(Lançamentos!$F:$F,Lançamentos!$A:$A,AV$19,Lançamentos!$C:$C,"Aluguel")</f>
        <v>0</v>
      </c>
      <c r="AW40" s="37">
        <f>SUMIFS(Lançamentos!$F:$F,Lançamentos!$A:$A,AW$19,Lançamentos!$C:$C,"Aluguel")</f>
        <v>0</v>
      </c>
      <c r="AX40" s="37">
        <f>SUMIFS(Lançamentos!$F:$F,Lançamentos!$A:$A,AX$19,Lançamentos!$C:$C,"Aluguel")</f>
        <v>0</v>
      </c>
      <c r="AY40" s="37">
        <f>SUMIFS(Lançamentos!$F:$F,Lançamentos!$A:$A,AY$19,Lançamentos!$C:$C,"Aluguel")</f>
        <v>0</v>
      </c>
      <c r="AZ40" s="37">
        <f>SUMIFS(Lançamentos!$F:$F,Lançamentos!$A:$A,AZ$19,Lançamentos!$C:$C,"Aluguel")</f>
        <v>0</v>
      </c>
      <c r="BA40" s="37">
        <f>SUMIFS(Lançamentos!$F:$F,Lançamentos!$A:$A,BA$19,Lançamentos!$C:$C,"Aluguel")</f>
        <v>0</v>
      </c>
      <c r="BB40" s="37">
        <f>SUMIFS(Lançamentos!$F:$F,Lançamentos!$A:$A,BB$19,Lançamentos!$C:$C,"Aluguel")</f>
        <v>0</v>
      </c>
      <c r="BC40" s="37">
        <f>SUMIFS(Lançamentos!$F:$F,Lançamentos!$A:$A,BC$19,Lançamentos!$C:$C,"Aluguel")</f>
        <v>0</v>
      </c>
      <c r="BD40" s="37">
        <f>SUMIFS(Lançamentos!$F:$F,Lançamentos!$A:$A,BD$19,Lançamentos!$C:$C,"Aluguel")</f>
        <v>0</v>
      </c>
      <c r="BE40" s="37">
        <f>SUMIFS(Lançamentos!$F:$F,Lançamentos!$A:$A,BE$19,Lançamentos!$C:$C,"Aluguel")</f>
        <v>0</v>
      </c>
      <c r="BF40" s="37">
        <f>SUMIFS(Lançamentos!$F:$F,Lançamentos!$A:$A,BF$19,Lançamentos!$C:$C,"Aluguel")</f>
        <v>0</v>
      </c>
      <c r="BG40" s="37">
        <f>SUMIFS(Lançamentos!$F:$F,Lançamentos!$A:$A,BG$19,Lançamentos!$C:$C,"Aluguel")</f>
        <v>0</v>
      </c>
      <c r="BH40" s="37">
        <f>SUMIFS(Lançamentos!$F:$F,Lançamentos!$A:$A,BH$19,Lançamentos!$C:$C,"Aluguel")</f>
        <v>0</v>
      </c>
      <c r="BI40" s="37">
        <f>SUMIFS(Lançamentos!$F:$F,Lançamentos!$A:$A,BI$19,Lançamentos!$C:$C,"Aluguel")</f>
        <v>0</v>
      </c>
      <c r="BJ40" s="37">
        <f>SUMIFS(Lançamentos!$F:$F,Lançamentos!$A:$A,BJ$19,Lançamentos!$C:$C,"Aluguel")</f>
        <v>0</v>
      </c>
      <c r="BK40" s="37">
        <f>SUMIFS(Lançamentos!$F:$F,Lançamentos!$A:$A,BK$19,Lançamentos!$C:$C,"Aluguel")</f>
        <v>0</v>
      </c>
      <c r="BL40" s="37">
        <f>SUMIFS(Lançamentos!$F:$F,Lançamentos!$A:$A,BL$19,Lançamentos!$C:$C,"Aluguel")</f>
        <v>0</v>
      </c>
      <c r="BM40" s="37">
        <f>SUMIFS(Lançamentos!$F:$F,Lançamentos!$A:$A,BM$19,Lançamentos!$C:$C,"Aluguel")</f>
        <v>0</v>
      </c>
      <c r="BN40" s="37">
        <f>SUMIFS(Lançamentos!$F:$F,Lançamentos!$A:$A,BN$19,Lançamentos!$C:$C,"Aluguel")</f>
        <v>0</v>
      </c>
      <c r="BO40" s="37">
        <f>SUMIFS(Lançamentos!$F:$F,Lançamentos!$A:$A,BO$19,Lançamentos!$C:$C,"Aluguel")</f>
        <v>0</v>
      </c>
      <c r="BP40" s="37">
        <f>SUMIFS(Lançamentos!$F:$F,Lançamentos!$A:$A,BP$19,Lançamentos!$C:$C,"Aluguel")</f>
        <v>0</v>
      </c>
      <c r="BQ40" s="37">
        <f>SUMIFS(Lançamentos!$F:$F,Lançamentos!$A:$A,BQ$19,Lançamentos!$C:$C,"Aluguel")</f>
        <v>0</v>
      </c>
      <c r="BR40" s="37">
        <f>SUMIFS(Lançamentos!$F:$F,Lançamentos!$A:$A,BR$19,Lançamentos!$C:$C,"Aluguel")</f>
        <v>0</v>
      </c>
      <c r="BS40" s="37">
        <f>SUMIFS(Lançamentos!$F:$F,Lançamentos!$A:$A,BS$19,Lançamentos!$C:$C,"Aluguel")</f>
        <v>0</v>
      </c>
      <c r="BT40" s="37">
        <f>SUMIFS(Lançamentos!$F:$F,Lançamentos!$A:$A,BT$19,Lançamentos!$C:$C,"Aluguel")</f>
        <v>0</v>
      </c>
      <c r="BU40" s="37">
        <f>SUMIFS(Lançamentos!$F:$F,Lançamentos!$A:$A,BU$19,Lançamentos!$C:$C,"Aluguel")</f>
        <v>0</v>
      </c>
      <c r="BV40" s="37">
        <f>SUMIFS(Lançamentos!$F:$F,Lançamentos!$A:$A,BV$19,Lançamentos!$C:$C,"Aluguel")</f>
        <v>0</v>
      </c>
      <c r="BW40" s="37">
        <f>SUMIFS(Lançamentos!$F:$F,Lançamentos!$A:$A,BW$19,Lançamentos!$C:$C,"Aluguel")</f>
        <v>0</v>
      </c>
      <c r="BX40" s="37">
        <f>SUMIFS(Lançamentos!$F:$F,Lançamentos!$A:$A,BX$19,Lançamentos!$C:$C,"Aluguel")</f>
        <v>0</v>
      </c>
      <c r="BY40" s="37">
        <f>SUMIFS(Lançamentos!$F:$F,Lançamentos!$A:$A,BY$19,Lançamentos!$C:$C,"Aluguel")</f>
        <v>0</v>
      </c>
      <c r="BZ40" s="37">
        <f>SUMIFS(Lançamentos!$F:$F,Lançamentos!$A:$A,BZ$19,Lançamentos!$C:$C,"Aluguel")</f>
        <v>0</v>
      </c>
      <c r="CA40" s="37">
        <f>SUMIFS(Lançamentos!$F:$F,Lançamentos!$A:$A,CA$19,Lançamentos!$C:$C,"Aluguel")</f>
        <v>0</v>
      </c>
      <c r="CB40" s="37">
        <f>SUMIFS(Lançamentos!$F:$F,Lançamentos!$A:$A,CB$19,Lançamentos!$C:$C,"Aluguel")</f>
        <v>0</v>
      </c>
      <c r="CC40" s="37">
        <f>SUMIFS(Lançamentos!$F:$F,Lançamentos!$A:$A,CC$19,Lançamentos!$C:$C,"Aluguel")</f>
        <v>0</v>
      </c>
      <c r="CD40" s="37">
        <f>SUMIFS(Lançamentos!$F:$F,Lançamentos!$A:$A,CD$19,Lançamentos!$C:$C,"Aluguel")</f>
        <v>0</v>
      </c>
      <c r="CE40" s="37">
        <f>SUMIFS(Lançamentos!$F:$F,Lançamentos!$A:$A,CE$19,Lançamentos!$C:$C,"Aluguel")</f>
        <v>0</v>
      </c>
      <c r="CF40" s="37">
        <f>SUMIFS(Lançamentos!$F:$F,Lançamentos!$A:$A,CF$19,Lançamentos!$C:$C,"Aluguel")</f>
        <v>0</v>
      </c>
      <c r="CG40" s="37">
        <f>SUMIFS(Lançamentos!$F:$F,Lançamentos!$A:$A,CG$19,Lançamentos!$C:$C,"Aluguel")</f>
        <v>0</v>
      </c>
      <c r="CH40" s="37">
        <f>SUMIFS(Lançamentos!$F:$F,Lançamentos!$A:$A,CH$19,Lançamentos!$C:$C,"Aluguel")</f>
        <v>0</v>
      </c>
      <c r="CI40" s="37">
        <f>SUMIFS(Lançamentos!$F:$F,Lançamentos!$A:$A,CI$19,Lançamentos!$C:$C,"Aluguel")</f>
        <v>0</v>
      </c>
      <c r="CJ40" s="37">
        <f>SUMIFS(Lançamentos!$F:$F,Lançamentos!$A:$A,CJ$19,Lançamentos!$C:$C,"Aluguel")</f>
        <v>0</v>
      </c>
      <c r="CK40" s="37">
        <f>SUMIFS(Lançamentos!$F:$F,Lançamentos!$A:$A,CK$19,Lançamentos!$C:$C,"Aluguel")</f>
        <v>0</v>
      </c>
      <c r="CL40" s="37">
        <f>SUMIFS(Lançamentos!$F:$F,Lançamentos!$A:$A,CL$19,Lançamentos!$C:$C,"Aluguel")</f>
        <v>0</v>
      </c>
      <c r="CM40" s="37">
        <f>SUMIFS(Lançamentos!$F:$F,Lançamentos!$A:$A,CM$19,Lançamentos!$C:$C,"Aluguel")</f>
        <v>0</v>
      </c>
      <c r="CN40" s="37">
        <f>SUMIFS(Lançamentos!$F:$F,Lançamentos!$A:$A,CN$19,Lançamentos!$C:$C,"Aluguel")</f>
        <v>0</v>
      </c>
      <c r="CO40" s="37">
        <f>SUMIFS(Lançamentos!$F:$F,Lançamentos!$A:$A,CO$19,Lançamentos!$C:$C,"Aluguel")</f>
        <v>0</v>
      </c>
      <c r="CP40" s="37">
        <f>SUMIFS(Lançamentos!$F:$F,Lançamentos!$A:$A,CP$19,Lançamentos!$C:$C,"Aluguel")</f>
        <v>0</v>
      </c>
      <c r="CQ40" s="37">
        <f>SUMIFS(Lançamentos!$F:$F,Lançamentos!$A:$A,CQ$19,Lançamentos!$C:$C,"Aluguel")</f>
        <v>0</v>
      </c>
      <c r="CR40" s="37">
        <f>SUMIFS(Lançamentos!$F:$F,Lançamentos!$A:$A,CR$19,Lançamentos!$C:$C,"Aluguel")</f>
        <v>0</v>
      </c>
      <c r="CS40" s="37">
        <f>SUMIFS(Lançamentos!$F:$F,Lançamentos!$A:$A,CS$19,Lançamentos!$C:$C,"Aluguel")</f>
        <v>0</v>
      </c>
      <c r="CT40" s="37">
        <f>SUMIFS(Lançamentos!$F:$F,Lançamentos!$A:$A,CT$19,Lançamentos!$C:$C,"Aluguel")</f>
        <v>0</v>
      </c>
      <c r="CU40" s="37">
        <f>SUMIFS(Lançamentos!$F:$F,Lançamentos!$A:$A,CU$19,Lançamentos!$C:$C,"Aluguel")</f>
        <v>0</v>
      </c>
      <c r="CV40" s="37">
        <f>SUMIFS(Lançamentos!$F:$F,Lançamentos!$A:$A,CV$19,Lançamentos!$C:$C,"Aluguel")</f>
        <v>0</v>
      </c>
      <c r="CW40" s="37">
        <f>SUMIFS(Lançamentos!$F:$F,Lançamentos!$A:$A,CW$19,Lançamentos!$C:$C,"Aluguel")</f>
        <v>0</v>
      </c>
      <c r="CX40" s="37">
        <f>SUMIFS(Lançamentos!$F:$F,Lançamentos!$A:$A,CX$19,Lançamentos!$C:$C,"Aluguel")</f>
        <v>0</v>
      </c>
      <c r="CY40" s="37">
        <f>SUMIFS(Lançamentos!$F:$F,Lançamentos!$A:$A,CY$19,Lançamentos!$C:$C,"Aluguel")</f>
        <v>0</v>
      </c>
      <c r="CZ40" s="37">
        <f>SUMIFS(Lançamentos!$F:$F,Lançamentos!$A:$A,CZ$19,Lançamentos!$C:$C,"Aluguel")</f>
        <v>0</v>
      </c>
      <c r="DA40" s="37">
        <f>SUMIFS(Lançamentos!$F:$F,Lançamentos!$A:$A,DA$19,Lançamentos!$C:$C,"Aluguel")</f>
        <v>0</v>
      </c>
      <c r="DB40" s="37">
        <f>SUMIFS(Lançamentos!$F:$F,Lançamentos!$A:$A,DB$19,Lançamentos!$C:$C,"Aluguel")</f>
        <v>0</v>
      </c>
      <c r="DC40" s="37">
        <f>SUMIFS(Lançamentos!$F:$F,Lançamentos!$A:$A,DC$19,Lançamentos!$C:$C,"Aluguel")</f>
        <v>0</v>
      </c>
      <c r="DD40" s="37">
        <f>SUMIFS(Lançamentos!$F:$F,Lançamentos!$A:$A,DD$19,Lançamentos!$C:$C,"Aluguel")</f>
        <v>0</v>
      </c>
      <c r="DE40" s="37">
        <f>SUMIFS(Lançamentos!$F:$F,Lançamentos!$A:$A,DE$19,Lançamentos!$C:$C,"Aluguel")</f>
        <v>0</v>
      </c>
      <c r="DF40" s="37">
        <f>SUMIFS(Lançamentos!$F:$F,Lançamentos!$A:$A,DF$19,Lançamentos!$C:$C,"Aluguel")</f>
        <v>0</v>
      </c>
      <c r="DG40" s="37">
        <f>SUMIFS(Lançamentos!$F:$F,Lançamentos!$A:$A,DG$19,Lançamentos!$C:$C,"Aluguel")</f>
        <v>0</v>
      </c>
      <c r="DH40" s="37">
        <f>SUMIFS(Lançamentos!$F:$F,Lançamentos!$A:$A,DH$19,Lançamentos!$C:$C,"Aluguel")</f>
        <v>0</v>
      </c>
      <c r="DI40" s="37">
        <f>SUMIFS(Lançamentos!$F:$F,Lançamentos!$A:$A,DI$19,Lançamentos!$C:$C,"Aluguel")</f>
        <v>0</v>
      </c>
      <c r="DJ40" s="37">
        <f>SUMIFS(Lançamentos!$F:$F,Lançamentos!$A:$A,DJ$19,Lançamentos!$C:$C,"Aluguel")</f>
        <v>0</v>
      </c>
      <c r="DK40" s="37">
        <f>SUMIFS(Lançamentos!$F:$F,Lançamentos!$A:$A,DK$19,Lançamentos!$C:$C,"Aluguel")</f>
        <v>0</v>
      </c>
      <c r="DL40" s="37">
        <f>SUMIFS(Lançamentos!$F:$F,Lançamentos!$A:$A,DL$19,Lançamentos!$C:$C,"Aluguel")</f>
        <v>0</v>
      </c>
      <c r="DM40" s="37">
        <f>SUMIFS(Lançamentos!$F:$F,Lançamentos!$A:$A,DM$19,Lançamentos!$C:$C,"Aluguel")</f>
        <v>0</v>
      </c>
      <c r="DN40" s="37">
        <f>SUMIFS(Lançamentos!$F:$F,Lançamentos!$A:$A,DN$19,Lançamentos!$C:$C,"Aluguel")</f>
        <v>0</v>
      </c>
      <c r="DO40" s="37">
        <f>SUMIFS(Lançamentos!$F:$F,Lançamentos!$A:$A,DO$19,Lançamentos!$C:$C,"Aluguel")</f>
        <v>0</v>
      </c>
      <c r="DP40" s="37">
        <f>SUMIFS(Lançamentos!$F:$F,Lançamentos!$A:$A,DP$19,Lançamentos!$C:$C,"Aluguel")</f>
        <v>0</v>
      </c>
      <c r="DQ40" s="37">
        <f>SUMIFS(Lançamentos!$F:$F,Lançamentos!$A:$A,DQ$19,Lançamentos!$C:$C,"Aluguel")</f>
        <v>0</v>
      </c>
      <c r="DR40" s="37">
        <f>SUMIFS(Lançamentos!$F:$F,Lançamentos!$A:$A,DR$19,Lançamentos!$C:$C,"Aluguel")</f>
        <v>0</v>
      </c>
      <c r="DS40" s="37">
        <f>SUMIFS(Lançamentos!$F:$F,Lançamentos!$A:$A,DS$19,Lançamentos!$C:$C,"Aluguel")</f>
        <v>0</v>
      </c>
      <c r="DT40" s="37">
        <f>SUMIFS(Lançamentos!$F:$F,Lançamentos!$A:$A,DT$19,Lançamentos!$C:$C,"Aluguel")</f>
        <v>0</v>
      </c>
      <c r="DU40" s="37">
        <f>SUMIFS(Lançamentos!$F:$F,Lançamentos!$A:$A,DU$19,Lançamentos!$C:$C,"Aluguel")</f>
        <v>0</v>
      </c>
      <c r="DV40" s="37">
        <f>SUMIFS(Lançamentos!$F:$F,Lançamentos!$A:$A,DV$19,Lançamentos!$C:$C,"Aluguel")</f>
        <v>0</v>
      </c>
      <c r="DW40" s="37">
        <f>SUMIFS(Lançamentos!$F:$F,Lançamentos!$A:$A,DW$19,Lançamentos!$C:$C,"Aluguel")</f>
        <v>0</v>
      </c>
      <c r="DX40" s="37">
        <f>SUMIFS(Lançamentos!$F:$F,Lançamentos!$A:$A,DX$19,Lançamentos!$C:$C,"Aluguel")</f>
        <v>0</v>
      </c>
      <c r="DY40" s="37">
        <f>SUMIFS(Lançamentos!$F:$F,Lançamentos!$A:$A,DY$19,Lançamentos!$C:$C,"Aluguel")</f>
        <v>0</v>
      </c>
      <c r="DZ40" s="37">
        <f>SUMIFS(Lançamentos!$F:$F,Lançamentos!$A:$A,DZ$19,Lançamentos!$C:$C,"Aluguel")</f>
        <v>0</v>
      </c>
      <c r="EA40" s="37">
        <f>SUMIFS(Lançamentos!$F:$F,Lançamentos!$A:$A,EA$19,Lançamentos!$C:$C,"Aluguel")</f>
        <v>0</v>
      </c>
      <c r="EB40" s="37">
        <f>SUMIFS(Lançamentos!$F:$F,Lançamentos!$A:$A,EB$19,Lançamentos!$C:$C,"Aluguel")</f>
        <v>0</v>
      </c>
      <c r="EC40" s="37">
        <f>SUMIFS(Lançamentos!$F:$F,Lançamentos!$A:$A,EC$19,Lançamentos!$C:$C,"Aluguel")</f>
        <v>0</v>
      </c>
      <c r="ED40" s="37">
        <f>SUMIFS(Lançamentos!$F:$F,Lançamentos!$A:$A,ED$19,Lançamentos!$C:$C,"Aluguel")</f>
        <v>0</v>
      </c>
      <c r="EE40" s="37">
        <f>SUMIFS(Lançamentos!$F:$F,Lançamentos!$A:$A,EE$19,Lançamentos!$C:$C,"Aluguel")</f>
        <v>0</v>
      </c>
      <c r="EF40" s="37">
        <f>SUMIFS(Lançamentos!$F:$F,Lançamentos!$A:$A,EF$19,Lançamentos!$C:$C,"Aluguel")</f>
        <v>0</v>
      </c>
      <c r="EG40" s="37">
        <f>SUMIFS(Lançamentos!$F:$F,Lançamentos!$A:$A,EG$19,Lançamentos!$C:$C,"Aluguel")</f>
        <v>0</v>
      </c>
      <c r="EH40" s="37">
        <f>SUMIFS(Lançamentos!$F:$F,Lançamentos!$A:$A,EH$19,Lançamentos!$C:$C,"Aluguel")</f>
        <v>0</v>
      </c>
      <c r="EI40" s="37">
        <f>SUMIFS(Lançamentos!$F:$F,Lançamentos!$A:$A,EI$19,Lançamentos!$C:$C,"Aluguel")</f>
        <v>0</v>
      </c>
      <c r="EJ40" s="37">
        <f>SUMIFS(Lançamentos!$F:$F,Lançamentos!$A:$A,EJ$19,Lançamentos!$C:$C,"Aluguel")</f>
        <v>0</v>
      </c>
      <c r="EK40" s="37">
        <f>SUMIFS(Lançamentos!$F:$F,Lançamentos!$A:$A,EK$19,Lançamentos!$C:$C,"Aluguel")</f>
        <v>0</v>
      </c>
      <c r="EL40" s="37">
        <f>SUMIFS(Lançamentos!$F:$F,Lançamentos!$A:$A,EL$19,Lançamentos!$C:$C,"Aluguel")</f>
        <v>0</v>
      </c>
      <c r="EM40" s="37">
        <f>SUMIFS(Lançamentos!$F:$F,Lançamentos!$A:$A,EM$19,Lançamentos!$C:$C,"Aluguel")</f>
        <v>0</v>
      </c>
      <c r="EN40" s="37">
        <f>SUMIFS(Lançamentos!$F:$F,Lançamentos!$A:$A,EN$19,Lançamentos!$C:$C,"Aluguel")</f>
        <v>0</v>
      </c>
      <c r="EO40" s="37">
        <f>SUMIFS(Lançamentos!$F:$F,Lançamentos!$A:$A,EO$19,Lançamentos!$C:$C,"Aluguel")</f>
        <v>0</v>
      </c>
      <c r="EP40" s="37">
        <f>SUMIFS(Lançamentos!$F:$F,Lançamentos!$A:$A,EP$19,Lançamentos!$C:$C,"Aluguel")</f>
        <v>0</v>
      </c>
      <c r="EQ40" s="37">
        <f>SUMIFS(Lançamentos!$F:$F,Lançamentos!$A:$A,EQ$19,Lançamentos!$C:$C,"Aluguel")</f>
        <v>0</v>
      </c>
      <c r="ER40" s="37">
        <f>SUMIFS(Lançamentos!$F:$F,Lançamentos!$A:$A,ER$19,Lançamentos!$C:$C,"Aluguel")</f>
        <v>0</v>
      </c>
      <c r="ES40" s="37">
        <f>SUMIFS(Lançamentos!$F:$F,Lançamentos!$A:$A,ES$19,Lançamentos!$C:$C,"Aluguel")</f>
        <v>0</v>
      </c>
      <c r="ET40" s="37">
        <f>SUMIFS(Lançamentos!$F:$F,Lançamentos!$A:$A,ET$19,Lançamentos!$C:$C,"Aluguel")</f>
        <v>0</v>
      </c>
      <c r="EU40" s="37">
        <f>SUMIFS(Lançamentos!$F:$F,Lançamentos!$A:$A,EU$19,Lançamentos!$C:$C,"Aluguel")</f>
        <v>0</v>
      </c>
      <c r="EV40" s="37">
        <f>SUMIFS(Lançamentos!$F:$F,Lançamentos!$A:$A,EV$19,Lançamentos!$C:$C,"Aluguel")</f>
        <v>0</v>
      </c>
      <c r="EW40" s="37">
        <f>SUMIFS(Lançamentos!$F:$F,Lançamentos!$A:$A,EW$19,Lançamentos!$C:$C,"Aluguel")</f>
        <v>0</v>
      </c>
      <c r="EX40" s="37">
        <f>SUMIFS(Lançamentos!$F:$F,Lançamentos!$A:$A,EX$19,Lançamentos!$C:$C,"Aluguel")</f>
        <v>0</v>
      </c>
      <c r="EY40" s="37">
        <f>SUMIFS(Lançamentos!$F:$F,Lançamentos!$A:$A,EY$19,Lançamentos!$C:$C,"Aluguel")</f>
        <v>0</v>
      </c>
      <c r="EZ40" s="37">
        <f>SUMIFS(Lançamentos!$F:$F,Lançamentos!$A:$A,EZ$19,Lançamentos!$C:$C,"Aluguel")</f>
        <v>0</v>
      </c>
      <c r="FA40" s="37">
        <f>SUMIFS(Lançamentos!$F:$F,Lançamentos!$A:$A,FA$19,Lançamentos!$C:$C,"Aluguel")</f>
        <v>0</v>
      </c>
      <c r="FB40" s="37">
        <f>SUMIFS(Lançamentos!$F:$F,Lançamentos!$A:$A,FB$19,Lançamentos!$C:$C,"Aluguel")</f>
        <v>0</v>
      </c>
      <c r="FC40" s="37">
        <f>SUMIFS(Lançamentos!$F:$F,Lançamentos!$A:$A,FC$19,Lançamentos!$C:$C,"Aluguel")</f>
        <v>0</v>
      </c>
      <c r="FD40" s="37">
        <f>SUMIFS(Lançamentos!$F:$F,Lançamentos!$A:$A,FD$19,Lançamentos!$C:$C,"Aluguel")</f>
        <v>0</v>
      </c>
      <c r="FE40" s="37">
        <f>SUMIFS(Lançamentos!$F:$F,Lançamentos!$A:$A,FE$19,Lançamentos!$C:$C,"Aluguel")</f>
        <v>0</v>
      </c>
      <c r="FF40" s="37">
        <f>SUMIFS(Lançamentos!$F:$F,Lançamentos!$A:$A,FF$19,Lançamentos!$C:$C,"Aluguel")</f>
        <v>0</v>
      </c>
      <c r="FG40" s="37">
        <f>SUMIFS(Lançamentos!$F:$F,Lançamentos!$A:$A,FG$19,Lançamentos!$C:$C,"Aluguel")</f>
        <v>0</v>
      </c>
      <c r="FH40" s="37">
        <f>SUMIFS(Lançamentos!$F:$F,Lançamentos!$A:$A,FH$19,Lançamentos!$C:$C,"Aluguel")</f>
        <v>0</v>
      </c>
      <c r="FI40" s="37">
        <f>SUMIFS(Lançamentos!$F:$F,Lançamentos!$A:$A,FI$19,Lançamentos!$C:$C,"Aluguel")</f>
        <v>0</v>
      </c>
      <c r="FJ40" s="37">
        <f>SUMIFS(Lançamentos!$F:$F,Lançamentos!$A:$A,FJ$19,Lançamentos!$C:$C,"Aluguel")</f>
        <v>0</v>
      </c>
      <c r="FK40" s="37">
        <f>SUMIFS(Lançamentos!$F:$F,Lançamentos!$A:$A,FK$19,Lançamentos!$C:$C,"Aluguel")</f>
        <v>0</v>
      </c>
      <c r="FL40" s="37">
        <f>SUMIFS(Lançamentos!$F:$F,Lançamentos!$A:$A,FL$19,Lançamentos!$C:$C,"Aluguel")</f>
        <v>0</v>
      </c>
      <c r="FM40" s="37">
        <f>SUMIFS(Lançamentos!$F:$F,Lançamentos!$A:$A,FM$19,Lançamentos!$C:$C,"Aluguel")</f>
        <v>0</v>
      </c>
      <c r="FN40" s="37">
        <f>SUMIFS(Lançamentos!$F:$F,Lançamentos!$A:$A,FN$19,Lançamentos!$C:$C,"Aluguel")</f>
        <v>0</v>
      </c>
      <c r="FO40" s="37">
        <f>SUMIFS(Lançamentos!$F:$F,Lançamentos!$A:$A,FO$19,Lançamentos!$C:$C,"Aluguel")</f>
        <v>0</v>
      </c>
      <c r="FP40" s="37">
        <f>SUMIFS(Lançamentos!$F:$F,Lançamentos!$A:$A,FP$19,Lançamentos!$C:$C,"Aluguel")</f>
        <v>0</v>
      </c>
      <c r="FQ40" s="37">
        <f>SUMIFS(Lançamentos!$F:$F,Lançamentos!$A:$A,FQ$19,Lançamentos!$C:$C,"Aluguel")</f>
        <v>0</v>
      </c>
      <c r="FR40" s="37">
        <f>SUMIFS(Lançamentos!$F:$F,Lançamentos!$A:$A,FR$19,Lançamentos!$C:$C,"Aluguel")</f>
        <v>0</v>
      </c>
      <c r="FS40" s="37">
        <f>SUMIFS(Lançamentos!$F:$F,Lançamentos!$A:$A,FS$19,Lançamentos!$C:$C,"Aluguel")</f>
        <v>0</v>
      </c>
      <c r="FT40" s="37">
        <f>SUMIFS(Lançamentos!$F:$F,Lançamentos!$A:$A,FT$19,Lançamentos!$C:$C,"Aluguel")</f>
        <v>0</v>
      </c>
      <c r="FU40" s="37">
        <f>SUMIFS(Lançamentos!$F:$F,Lançamentos!$A:$A,FU$19,Lançamentos!$C:$C,"Aluguel")</f>
        <v>0</v>
      </c>
      <c r="FV40" s="37">
        <f>SUMIFS(Lançamentos!$F:$F,Lançamentos!$A:$A,FV$19,Lançamentos!$C:$C,"Aluguel")</f>
        <v>0</v>
      </c>
      <c r="FW40" s="37">
        <f>SUMIFS(Lançamentos!$F:$F,Lançamentos!$A:$A,FW$19,Lançamentos!$C:$C,"Aluguel")</f>
        <v>0</v>
      </c>
      <c r="FX40" s="37">
        <f>SUMIFS(Lançamentos!$F:$F,Lançamentos!$A:$A,FX$19,Lançamentos!$C:$C,"Aluguel")</f>
        <v>0</v>
      </c>
      <c r="FY40" s="37">
        <f>SUMIFS(Lançamentos!$F:$F,Lançamentos!$A:$A,FY$19,Lançamentos!$C:$C,"Aluguel")</f>
        <v>0</v>
      </c>
      <c r="FZ40" s="37">
        <f>SUMIFS(Lançamentos!$F:$F,Lançamentos!$A:$A,FZ$19,Lançamentos!$C:$C,"Aluguel")</f>
        <v>0</v>
      </c>
      <c r="GA40" s="37">
        <f>SUMIFS(Lançamentos!$F:$F,Lançamentos!$A:$A,GA$19,Lançamentos!$C:$C,"Aluguel")</f>
        <v>0</v>
      </c>
      <c r="GB40" s="37">
        <f>SUMIFS(Lançamentos!$F:$F,Lançamentos!$A:$A,GB$19,Lançamentos!$C:$C,"Aluguel")</f>
        <v>0</v>
      </c>
      <c r="GC40" s="37">
        <f>SUMIFS(Lançamentos!$F:$F,Lançamentos!$A:$A,GC$19,Lançamentos!$C:$C,"Aluguel")</f>
        <v>0</v>
      </c>
      <c r="GD40" s="37">
        <f>SUMIFS(Lançamentos!$F:$F,Lançamentos!$A:$A,GD$19,Lançamentos!$C:$C,"Aluguel")</f>
        <v>0</v>
      </c>
      <c r="GE40" s="37">
        <f>SUMIFS(Lançamentos!$F:$F,Lançamentos!$A:$A,GE$19,Lançamentos!$C:$C,"Aluguel")</f>
        <v>0</v>
      </c>
      <c r="GF40" s="37">
        <f>SUMIFS(Lançamentos!$F:$F,Lançamentos!$A:$A,GF$19,Lançamentos!$C:$C,"Aluguel")</f>
        <v>0</v>
      </c>
      <c r="GG40" s="37">
        <f>SUMIFS(Lançamentos!$F:$F,Lançamentos!$A:$A,GG$19,Lançamentos!$C:$C,"Aluguel")</f>
        <v>0</v>
      </c>
      <c r="GH40" s="37">
        <f>SUMIFS(Lançamentos!$F:$F,Lançamentos!$A:$A,GH$19,Lançamentos!$C:$C,"Aluguel")</f>
        <v>0</v>
      </c>
      <c r="GI40" s="37">
        <f>SUMIFS(Lançamentos!$F:$F,Lançamentos!$A:$A,GI$19,Lançamentos!$C:$C,"Aluguel")</f>
        <v>0</v>
      </c>
      <c r="GJ40" s="37">
        <f>SUMIFS(Lançamentos!$F:$F,Lançamentos!$A:$A,GJ$19,Lançamentos!$C:$C,"Aluguel")</f>
        <v>0</v>
      </c>
      <c r="GK40" s="37">
        <f>SUMIFS(Lançamentos!$F:$F,Lançamentos!$A:$A,GK$19,Lançamentos!$C:$C,"Aluguel")</f>
        <v>0</v>
      </c>
      <c r="GL40" s="37">
        <f>SUMIFS(Lançamentos!$F:$F,Lançamentos!$A:$A,GL$19,Lançamentos!$C:$C,"Aluguel")</f>
        <v>0</v>
      </c>
      <c r="GM40" s="37">
        <f>SUMIFS(Lançamentos!$F:$F,Lançamentos!$A:$A,GM$19,Lançamentos!$C:$C,"Aluguel")</f>
        <v>0</v>
      </c>
      <c r="GN40" s="37">
        <f>SUMIFS(Lançamentos!$F:$F,Lançamentos!$A:$A,GN$19,Lançamentos!$C:$C,"Aluguel")</f>
        <v>0</v>
      </c>
      <c r="GO40" s="37">
        <f>SUMIFS(Lançamentos!$F:$F,Lançamentos!$A:$A,GO$19,Lançamentos!$C:$C,"Aluguel")</f>
        <v>0</v>
      </c>
      <c r="GP40" s="37">
        <f>SUMIFS(Lançamentos!$F:$F,Lançamentos!$A:$A,GP$19,Lançamentos!$C:$C,"Aluguel")</f>
        <v>0</v>
      </c>
      <c r="GQ40" s="37">
        <f>SUMIFS(Lançamentos!$F:$F,Lançamentos!$A:$A,GQ$19,Lançamentos!$C:$C,"Aluguel")</f>
        <v>0</v>
      </c>
      <c r="GR40" s="37">
        <f>SUMIFS(Lançamentos!$F:$F,Lançamentos!$A:$A,GR$19,Lançamentos!$C:$C,"Aluguel")</f>
        <v>0</v>
      </c>
      <c r="GS40" s="37">
        <f>SUMIFS(Lançamentos!$F:$F,Lançamentos!$A:$A,GS$19,Lançamentos!$C:$C,"Aluguel")</f>
        <v>0</v>
      </c>
      <c r="GT40" s="37">
        <f>SUMIFS(Lançamentos!$F:$F,Lançamentos!$A:$A,GT$19,Lançamentos!$C:$C,"Aluguel")</f>
        <v>0</v>
      </c>
      <c r="GU40" s="37">
        <f>SUMIFS(Lançamentos!$F:$F,Lançamentos!$A:$A,GU$19,Lançamentos!$C:$C,"Aluguel")</f>
        <v>0</v>
      </c>
      <c r="GV40" s="37">
        <f>SUMIFS(Lançamentos!$F:$F,Lançamentos!$A:$A,GV$19,Lançamentos!$C:$C,"Aluguel")</f>
        <v>0</v>
      </c>
      <c r="GW40" s="37">
        <f>SUMIFS(Lançamentos!$F:$F,Lançamentos!$A:$A,GW$19,Lançamentos!$C:$C,"Aluguel")</f>
        <v>0</v>
      </c>
      <c r="GX40" s="37">
        <f>SUMIFS(Lançamentos!$F:$F,Lançamentos!$A:$A,GX$19,Lançamentos!$C:$C,"Aluguel")</f>
        <v>0</v>
      </c>
      <c r="GY40" s="37">
        <f>SUMIFS(Lançamentos!$F:$F,Lançamentos!$A:$A,GY$19,Lançamentos!$C:$C,"Aluguel")</f>
        <v>0</v>
      </c>
      <c r="GZ40" s="37">
        <f>SUMIFS(Lançamentos!$F:$F,Lançamentos!$A:$A,GZ$19,Lançamentos!$C:$C,"Aluguel")</f>
        <v>0</v>
      </c>
      <c r="HA40" s="37">
        <f>SUMIFS(Lançamentos!$F:$F,Lançamentos!$A:$A,HA$19,Lançamentos!$C:$C,"Aluguel")</f>
        <v>0</v>
      </c>
      <c r="HB40" s="37">
        <f>SUMIFS(Lançamentos!$F:$F,Lançamentos!$A:$A,HB$19,Lançamentos!$C:$C,"Aluguel")</f>
        <v>0</v>
      </c>
      <c r="HC40" s="37">
        <f>SUMIFS(Lançamentos!$F:$F,Lançamentos!$A:$A,HC$19,Lançamentos!$C:$C,"Aluguel")</f>
        <v>0</v>
      </c>
      <c r="HD40" s="37">
        <f>SUMIFS(Lançamentos!$F:$F,Lançamentos!$A:$A,HD$19,Lançamentos!$C:$C,"Aluguel")</f>
        <v>0</v>
      </c>
      <c r="HE40" s="37">
        <f>SUMIFS(Lançamentos!$F:$F,Lançamentos!$A:$A,HE$19,Lançamentos!$C:$C,"Aluguel")</f>
        <v>0</v>
      </c>
      <c r="HF40" s="37">
        <f>SUMIFS(Lançamentos!$F:$F,Lançamentos!$A:$A,HF$19,Lançamentos!$C:$C,"Aluguel")</f>
        <v>0</v>
      </c>
      <c r="HG40" s="37">
        <f>SUMIFS(Lançamentos!$F:$F,Lançamentos!$A:$A,HG$19,Lançamentos!$C:$C,"Aluguel")</f>
        <v>0</v>
      </c>
      <c r="HH40" s="37">
        <f>SUMIFS(Lançamentos!$F:$F,Lançamentos!$A:$A,HH$19,Lançamentos!$C:$C,"Aluguel")</f>
        <v>0</v>
      </c>
      <c r="HI40" s="37">
        <f>SUMIFS(Lançamentos!$F:$F,Lançamentos!$A:$A,HI$19,Lançamentos!$C:$C,"Aluguel")</f>
        <v>0</v>
      </c>
      <c r="HJ40" s="37">
        <f>SUMIFS(Lançamentos!$F:$F,Lançamentos!$A:$A,HJ$19,Lançamentos!$C:$C,"Aluguel")</f>
        <v>0</v>
      </c>
      <c r="HK40" s="37">
        <f>SUMIFS(Lançamentos!$F:$F,Lançamentos!$A:$A,HK$19,Lançamentos!$C:$C,"Aluguel")</f>
        <v>0</v>
      </c>
      <c r="HL40" s="37">
        <f>SUMIFS(Lançamentos!$F:$F,Lançamentos!$A:$A,HL$19,Lançamentos!$C:$C,"Aluguel")</f>
        <v>0</v>
      </c>
      <c r="HM40" s="37">
        <f>SUMIFS(Lançamentos!$F:$F,Lançamentos!$A:$A,HM$19,Lançamentos!$C:$C,"Aluguel")</f>
        <v>0</v>
      </c>
      <c r="HN40" s="37">
        <f>SUMIFS(Lançamentos!$F:$F,Lançamentos!$A:$A,HN$19,Lançamentos!$C:$C,"Aluguel")</f>
        <v>0</v>
      </c>
      <c r="HO40" s="37">
        <f>SUMIFS(Lançamentos!$F:$F,Lançamentos!$A:$A,HO$19,Lançamentos!$C:$C,"Aluguel")</f>
        <v>0</v>
      </c>
      <c r="HP40" s="37">
        <f>SUMIFS(Lançamentos!$F:$F,Lançamentos!$A:$A,HP$19,Lançamentos!$C:$C,"Aluguel")</f>
        <v>0</v>
      </c>
      <c r="HQ40" s="37">
        <f>SUMIFS(Lançamentos!$F:$F,Lançamentos!$A:$A,HQ$19,Lançamentos!$C:$C,"Aluguel")</f>
        <v>0</v>
      </c>
      <c r="HR40" s="37">
        <f>SUMIFS(Lançamentos!$F:$F,Lançamentos!$A:$A,HR$19,Lançamentos!$C:$C,"Aluguel")</f>
        <v>0</v>
      </c>
      <c r="HS40" s="37">
        <f>SUMIFS(Lançamentos!$F:$F,Lançamentos!$A:$A,HS$19,Lançamentos!$C:$C,"Aluguel")</f>
        <v>0</v>
      </c>
      <c r="HT40" s="37">
        <f>SUMIFS(Lançamentos!$F:$F,Lançamentos!$A:$A,HT$19,Lançamentos!$C:$C,"Aluguel")</f>
        <v>0</v>
      </c>
      <c r="HU40" s="37">
        <f>SUMIFS(Lançamentos!$F:$F,Lançamentos!$A:$A,HU$19,Lançamentos!$C:$C,"Aluguel")</f>
        <v>0</v>
      </c>
      <c r="HV40" s="37">
        <f>SUMIFS(Lançamentos!$F:$F,Lançamentos!$A:$A,HV$19,Lançamentos!$C:$C,"Aluguel")</f>
        <v>0</v>
      </c>
      <c r="HW40" s="37">
        <f>SUMIFS(Lançamentos!$F:$F,Lançamentos!$A:$A,HW$19,Lançamentos!$C:$C,"Aluguel")</f>
        <v>0</v>
      </c>
      <c r="HX40" s="37">
        <f>SUMIFS(Lançamentos!$F:$F,Lançamentos!$A:$A,HX$19,Lançamentos!$C:$C,"Aluguel")</f>
        <v>0</v>
      </c>
      <c r="HY40" s="37">
        <f>SUMIFS(Lançamentos!$F:$F,Lançamentos!$A:$A,HY$19,Lançamentos!$C:$C,"Aluguel")</f>
        <v>0</v>
      </c>
      <c r="HZ40" s="37">
        <f>SUMIFS(Lançamentos!$F:$F,Lançamentos!$A:$A,HZ$19,Lançamentos!$C:$C,"Aluguel")</f>
        <v>0</v>
      </c>
      <c r="IA40" s="37">
        <f>SUMIFS(Lançamentos!$F:$F,Lançamentos!$A:$A,IA$19,Lançamentos!$C:$C,"Aluguel")</f>
        <v>0</v>
      </c>
      <c r="IB40" s="37">
        <f>SUMIFS(Lançamentos!$F:$F,Lançamentos!$A:$A,IB$19,Lançamentos!$C:$C,"Aluguel")</f>
        <v>0</v>
      </c>
      <c r="IC40" s="37">
        <f>SUMIFS(Lançamentos!$F:$F,Lançamentos!$A:$A,IC$19,Lançamentos!$C:$C,"Aluguel")</f>
        <v>0</v>
      </c>
      <c r="ID40" s="37">
        <f>SUMIFS(Lançamentos!$F:$F,Lançamentos!$A:$A,ID$19,Lançamentos!$C:$C,"Aluguel")</f>
        <v>0</v>
      </c>
      <c r="IE40" s="37">
        <f>SUMIFS(Lançamentos!$F:$F,Lançamentos!$A:$A,IE$19,Lançamentos!$C:$C,"Aluguel")</f>
        <v>0</v>
      </c>
      <c r="IF40" s="37">
        <f>SUMIFS(Lançamentos!$F:$F,Lançamentos!$A:$A,IF$19,Lançamentos!$C:$C,"Aluguel")</f>
        <v>0</v>
      </c>
      <c r="IG40" s="37">
        <f>SUMIFS(Lançamentos!$F:$F,Lançamentos!$A:$A,IG$19,Lançamentos!$C:$C,"Aluguel")</f>
        <v>0</v>
      </c>
      <c r="IH40" s="37">
        <f>SUMIFS(Lançamentos!$F:$F,Lançamentos!$A:$A,IH$19,Lançamentos!$C:$C,"Aluguel")</f>
        <v>0</v>
      </c>
      <c r="II40" s="37">
        <f>SUMIFS(Lançamentos!$F:$F,Lançamentos!$A:$A,II$19,Lançamentos!$C:$C,"Aluguel")</f>
        <v>0</v>
      </c>
      <c r="IJ40" s="37">
        <f>SUMIFS(Lançamentos!$F:$F,Lançamentos!$A:$A,IJ$19,Lançamentos!$C:$C,"Aluguel")</f>
        <v>0</v>
      </c>
      <c r="IK40" s="37">
        <f>SUMIFS(Lançamentos!$F:$F,Lançamentos!$A:$A,IK$19,Lançamentos!$C:$C,"Aluguel")</f>
        <v>0</v>
      </c>
      <c r="IL40" s="37">
        <f>SUMIFS(Lançamentos!$F:$F,Lançamentos!$A:$A,IL$19,Lançamentos!$C:$C,"Aluguel")</f>
        <v>0</v>
      </c>
    </row>
    <row r="41" spans="1:246" x14ac:dyDescent="0.3">
      <c r="A41" t="s">
        <v>16</v>
      </c>
      <c r="B41" s="37">
        <f>SUMIFS(Lançamentos!$F:$F,Lançamentos!$A:$A,B$19,Lançamentos!$C:$C,"Água, Luz e Internet")</f>
        <v>0</v>
      </c>
      <c r="C41" s="37">
        <f>SUMIFS(Lançamentos!$F:$F,Lançamentos!$A:$A,C$19,Lançamentos!$C:$C,"Água, Luz e Internet")</f>
        <v>0</v>
      </c>
      <c r="D41" s="37">
        <f>SUMIFS(Lançamentos!$F:$F,Lançamentos!$A:$A,D$19,Lançamentos!$C:$C,"Água, Luz e Internet")</f>
        <v>0</v>
      </c>
      <c r="E41" s="37">
        <f>SUMIFS(Lançamentos!$F:$F,Lançamentos!$A:$A,E$19,Lançamentos!$C:$C,"Água, Luz e Internet")</f>
        <v>0</v>
      </c>
      <c r="F41" s="37">
        <f>SUMIFS(Lançamentos!$F:$F,Lançamentos!$A:$A,F$19,Lançamentos!$C:$C,"Água, Luz e Internet")</f>
        <v>0</v>
      </c>
      <c r="G41" s="37">
        <f>SUMIFS(Lançamentos!$F:$F,Lançamentos!$A:$A,G$19,Lançamentos!$C:$C,"Água, Luz e Internet")</f>
        <v>0</v>
      </c>
      <c r="H41" s="37">
        <f>SUMIFS(Lançamentos!$F:$F,Lançamentos!$A:$A,H$19,Lançamentos!$C:$C,"Água, Luz e Internet")</f>
        <v>0</v>
      </c>
      <c r="I41" s="37">
        <f>SUMIFS(Lançamentos!$F:$F,Lançamentos!$A:$A,I$19,Lançamentos!$C:$C,"Água, Luz e Internet")</f>
        <v>0</v>
      </c>
      <c r="J41" s="37">
        <f>SUMIFS(Lançamentos!$F:$F,Lançamentos!$A:$A,J$19,Lançamentos!$C:$C,"Água, Luz e Internet")</f>
        <v>0</v>
      </c>
      <c r="K41" s="37">
        <f>SUMIFS(Lançamentos!$F:$F,Lançamentos!$A:$A,K$19,Lançamentos!$C:$C,"Água, Luz e Internet")</f>
        <v>0</v>
      </c>
      <c r="L41" s="37">
        <f>SUMIFS(Lançamentos!$F:$F,Lançamentos!$A:$A,L$19,Lançamentos!$C:$C,"Água, Luz e Internet")</f>
        <v>0</v>
      </c>
      <c r="M41" s="37">
        <f>SUMIFS(Lançamentos!$F:$F,Lançamentos!$A:$A,M$19,Lançamentos!$C:$C,"Água, Luz e Internet")</f>
        <v>0</v>
      </c>
      <c r="N41" s="37">
        <f>SUMIFS(Lançamentos!$F:$F,Lançamentos!$A:$A,N$19,Lançamentos!$C:$C,"Água, Luz e Internet")</f>
        <v>0</v>
      </c>
      <c r="O41" s="37">
        <f>SUMIFS(Lançamentos!$F:$F,Lançamentos!$A:$A,O$19,Lançamentos!$C:$C,"Água, Luz e Internet")</f>
        <v>0</v>
      </c>
      <c r="P41" s="37">
        <f>SUMIFS(Lançamentos!$F:$F,Lançamentos!$A:$A,P$19,Lançamentos!$C:$C,"Água, Luz e Internet")</f>
        <v>0</v>
      </c>
      <c r="Q41" s="37">
        <f>SUMIFS(Lançamentos!$F:$F,Lançamentos!$A:$A,Q$19,Lançamentos!$C:$C,"Água, Luz e Internet")</f>
        <v>0</v>
      </c>
      <c r="R41" s="37">
        <f>SUMIFS(Lançamentos!$F:$F,Lançamentos!$A:$A,R$19,Lançamentos!$C:$C,"Água, Luz e Internet")</f>
        <v>0</v>
      </c>
      <c r="S41" s="37">
        <f>SUMIFS(Lançamentos!$F:$F,Lançamentos!$A:$A,S$19,Lançamentos!$C:$C,"Água, Luz e Internet")</f>
        <v>0</v>
      </c>
      <c r="T41" s="37">
        <f>SUMIFS(Lançamentos!$F:$F,Lançamentos!$A:$A,T$19,Lançamentos!$C:$C,"Água, Luz e Internet")</f>
        <v>0</v>
      </c>
      <c r="U41" s="37">
        <f>SUMIFS(Lançamentos!$F:$F,Lançamentos!$A:$A,U$19,Lançamentos!$C:$C,"Água, Luz e Internet")</f>
        <v>0</v>
      </c>
      <c r="V41" s="37">
        <f>SUMIFS(Lançamentos!$F:$F,Lançamentos!$A:$A,V$19,Lançamentos!$C:$C,"Água, Luz e Internet")</f>
        <v>0</v>
      </c>
      <c r="W41" s="37">
        <f>SUMIFS(Lançamentos!$F:$F,Lançamentos!$A:$A,W$19,Lançamentos!$C:$C,"Água, Luz e Internet")</f>
        <v>0</v>
      </c>
      <c r="X41" s="37">
        <f>SUMIFS(Lançamentos!$F:$F,Lançamentos!$A:$A,X$19,Lançamentos!$C:$C,"Água, Luz e Internet")</f>
        <v>0</v>
      </c>
      <c r="Y41" s="37">
        <f>SUMIFS(Lançamentos!$F:$F,Lançamentos!$A:$A,Y$19,Lançamentos!$C:$C,"Água, Luz e Internet")</f>
        <v>0</v>
      </c>
      <c r="Z41" s="37">
        <f>SUMIFS(Lançamentos!$F:$F,Lançamentos!$A:$A,Z$19,Lançamentos!$C:$C,"Água, Luz e Internet")</f>
        <v>0</v>
      </c>
      <c r="AA41" s="37">
        <f>SUMIFS(Lançamentos!$F:$F,Lançamentos!$A:$A,AA$19,Lançamentos!$C:$C,"Água, Luz e Internet")</f>
        <v>0</v>
      </c>
      <c r="AB41" s="37">
        <f>SUMIFS(Lançamentos!$F:$F,Lançamentos!$A:$A,AB$19,Lançamentos!$C:$C,"Água, Luz e Internet")</f>
        <v>0</v>
      </c>
      <c r="AC41" s="37">
        <f>SUMIFS(Lançamentos!$F:$F,Lançamentos!$A:$A,AC$19,Lançamentos!$C:$C,"Água, Luz e Internet")</f>
        <v>0</v>
      </c>
      <c r="AD41" s="37">
        <f>SUMIFS(Lançamentos!$F:$F,Lançamentos!$A:$A,AD$19,Lançamentos!$C:$C,"Água, Luz e Internet")</f>
        <v>0</v>
      </c>
      <c r="AE41" s="37">
        <f>SUMIFS(Lançamentos!$F:$F,Lançamentos!$A:$A,AE$19,Lançamentos!$C:$C,"Água, Luz e Internet")</f>
        <v>0</v>
      </c>
      <c r="AF41" s="37">
        <f>SUMIFS(Lançamentos!$F:$F,Lançamentos!$A:$A,AF$19,Lançamentos!$C:$C,"Água, Luz e Internet")</f>
        <v>0</v>
      </c>
      <c r="AG41" s="37">
        <f>SUMIFS(Lançamentos!$F:$F,Lançamentos!$A:$A,AG$19,Lançamentos!$C:$C,"Água, Luz e Internet")</f>
        <v>0</v>
      </c>
      <c r="AH41" s="37">
        <f>SUMIFS(Lançamentos!$F:$F,Lançamentos!$A:$A,AH$19,Lançamentos!$C:$C,"Água, Luz e Internet")</f>
        <v>0</v>
      </c>
      <c r="AI41" s="37">
        <f>SUMIFS(Lançamentos!$F:$F,Lançamentos!$A:$A,AI$19,Lançamentos!$C:$C,"Água, Luz e Internet")</f>
        <v>0</v>
      </c>
      <c r="AJ41" s="37">
        <f>SUMIFS(Lançamentos!$F:$F,Lançamentos!$A:$A,AJ$19,Lançamentos!$C:$C,"Água, Luz e Internet")</f>
        <v>0</v>
      </c>
      <c r="AK41" s="37">
        <f>SUMIFS(Lançamentos!$F:$F,Lançamentos!$A:$A,AK$19,Lançamentos!$C:$C,"Água, Luz e Internet")</f>
        <v>0</v>
      </c>
      <c r="AL41" s="37">
        <f>SUMIFS(Lançamentos!$F:$F,Lançamentos!$A:$A,AL$19,Lançamentos!$C:$C,"Água, Luz e Internet")</f>
        <v>0</v>
      </c>
      <c r="AM41" s="37">
        <f>SUMIFS(Lançamentos!$F:$F,Lançamentos!$A:$A,AM$19,Lançamentos!$C:$C,"Água, Luz e Internet")</f>
        <v>0</v>
      </c>
      <c r="AN41" s="37">
        <f>SUMIFS(Lançamentos!$F:$F,Lançamentos!$A:$A,AN$19,Lançamentos!$C:$C,"Água, Luz e Internet")</f>
        <v>0</v>
      </c>
      <c r="AO41" s="37">
        <f>SUMIFS(Lançamentos!$F:$F,Lançamentos!$A:$A,AO$19,Lançamentos!$C:$C,"Água, Luz e Internet")</f>
        <v>0</v>
      </c>
      <c r="AP41" s="37">
        <f>SUMIFS(Lançamentos!$F:$F,Lançamentos!$A:$A,AP$19,Lançamentos!$C:$C,"Água, Luz e Internet")</f>
        <v>0</v>
      </c>
      <c r="AQ41" s="37">
        <f>SUMIFS(Lançamentos!$F:$F,Lançamentos!$A:$A,AQ$19,Lançamentos!$C:$C,"Água, Luz e Internet")</f>
        <v>0</v>
      </c>
      <c r="AR41" s="37">
        <f>SUMIFS(Lançamentos!$F:$F,Lançamentos!$A:$A,AR$19,Lançamentos!$C:$C,"Água, Luz e Internet")</f>
        <v>0</v>
      </c>
      <c r="AS41" s="37">
        <f>SUMIFS(Lançamentos!$F:$F,Lançamentos!$A:$A,AS$19,Lançamentos!$C:$C,"Água, Luz e Internet")</f>
        <v>0</v>
      </c>
      <c r="AT41" s="37">
        <f>SUMIFS(Lançamentos!$F:$F,Lançamentos!$A:$A,AT$19,Lançamentos!$C:$C,"Água, Luz e Internet")</f>
        <v>0</v>
      </c>
      <c r="AU41" s="37">
        <f>SUMIFS(Lançamentos!$F:$F,Lançamentos!$A:$A,AU$19,Lançamentos!$C:$C,"Água, Luz e Internet")</f>
        <v>0</v>
      </c>
      <c r="AV41" s="37">
        <f>SUMIFS(Lançamentos!$F:$F,Lançamentos!$A:$A,AV$19,Lançamentos!$C:$C,"Água, Luz e Internet")</f>
        <v>0</v>
      </c>
      <c r="AW41" s="37">
        <f>SUMIFS(Lançamentos!$F:$F,Lançamentos!$A:$A,AW$19,Lançamentos!$C:$C,"Água, Luz e Internet")</f>
        <v>0</v>
      </c>
      <c r="AX41" s="37">
        <f>SUMIFS(Lançamentos!$F:$F,Lançamentos!$A:$A,AX$19,Lançamentos!$C:$C,"Água, Luz e Internet")</f>
        <v>0</v>
      </c>
      <c r="AY41" s="37">
        <f>SUMIFS(Lançamentos!$F:$F,Lançamentos!$A:$A,AY$19,Lançamentos!$C:$C,"Água, Luz e Internet")</f>
        <v>0</v>
      </c>
      <c r="AZ41" s="37">
        <f>SUMIFS(Lançamentos!$F:$F,Lançamentos!$A:$A,AZ$19,Lançamentos!$C:$C,"Água, Luz e Internet")</f>
        <v>0</v>
      </c>
      <c r="BA41" s="37">
        <f>SUMIFS(Lançamentos!$F:$F,Lançamentos!$A:$A,BA$19,Lançamentos!$C:$C,"Água, Luz e Internet")</f>
        <v>0</v>
      </c>
      <c r="BB41" s="37">
        <f>SUMIFS(Lançamentos!$F:$F,Lançamentos!$A:$A,BB$19,Lançamentos!$C:$C,"Água, Luz e Internet")</f>
        <v>0</v>
      </c>
      <c r="BC41" s="37">
        <f>SUMIFS(Lançamentos!$F:$F,Lançamentos!$A:$A,BC$19,Lançamentos!$C:$C,"Água, Luz e Internet")</f>
        <v>0</v>
      </c>
      <c r="BD41" s="37">
        <f>SUMIFS(Lançamentos!$F:$F,Lançamentos!$A:$A,BD$19,Lançamentos!$C:$C,"Água, Luz e Internet")</f>
        <v>0</v>
      </c>
      <c r="BE41" s="37">
        <f>SUMIFS(Lançamentos!$F:$F,Lançamentos!$A:$A,BE$19,Lançamentos!$C:$C,"Água, Luz e Internet")</f>
        <v>0</v>
      </c>
      <c r="BF41" s="37">
        <f>SUMIFS(Lançamentos!$F:$F,Lançamentos!$A:$A,BF$19,Lançamentos!$C:$C,"Água, Luz e Internet")</f>
        <v>0</v>
      </c>
      <c r="BG41" s="37">
        <f>SUMIFS(Lançamentos!$F:$F,Lançamentos!$A:$A,BG$19,Lançamentos!$C:$C,"Água, Luz e Internet")</f>
        <v>0</v>
      </c>
      <c r="BH41" s="37">
        <f>SUMIFS(Lançamentos!$F:$F,Lançamentos!$A:$A,BH$19,Lançamentos!$C:$C,"Água, Luz e Internet")</f>
        <v>0</v>
      </c>
      <c r="BI41" s="37">
        <f>SUMIFS(Lançamentos!$F:$F,Lançamentos!$A:$A,BI$19,Lançamentos!$C:$C,"Água, Luz e Internet")</f>
        <v>0</v>
      </c>
      <c r="BJ41" s="37">
        <f>SUMIFS(Lançamentos!$F:$F,Lançamentos!$A:$A,BJ$19,Lançamentos!$C:$C,"Água, Luz e Internet")</f>
        <v>0</v>
      </c>
      <c r="BK41" s="37">
        <f>SUMIFS(Lançamentos!$F:$F,Lançamentos!$A:$A,BK$19,Lançamentos!$C:$C,"Água, Luz e Internet")</f>
        <v>0</v>
      </c>
      <c r="BL41" s="37">
        <f>SUMIFS(Lançamentos!$F:$F,Lançamentos!$A:$A,BL$19,Lançamentos!$C:$C,"Água, Luz e Internet")</f>
        <v>0</v>
      </c>
      <c r="BM41" s="37">
        <f>SUMIFS(Lançamentos!$F:$F,Lançamentos!$A:$A,BM$19,Lançamentos!$C:$C,"Água, Luz e Internet")</f>
        <v>0</v>
      </c>
      <c r="BN41" s="37">
        <f>SUMIFS(Lançamentos!$F:$F,Lançamentos!$A:$A,BN$19,Lançamentos!$C:$C,"Água, Luz e Internet")</f>
        <v>0</v>
      </c>
      <c r="BO41" s="37">
        <f>SUMIFS(Lançamentos!$F:$F,Lançamentos!$A:$A,BO$19,Lançamentos!$C:$C,"Água, Luz e Internet")</f>
        <v>0</v>
      </c>
      <c r="BP41" s="37">
        <f>SUMIFS(Lançamentos!$F:$F,Lançamentos!$A:$A,BP$19,Lançamentos!$C:$C,"Água, Luz e Internet")</f>
        <v>0</v>
      </c>
      <c r="BQ41" s="37">
        <f>SUMIFS(Lançamentos!$F:$F,Lançamentos!$A:$A,BQ$19,Lançamentos!$C:$C,"Água, Luz e Internet")</f>
        <v>0</v>
      </c>
      <c r="BR41" s="37">
        <f>SUMIFS(Lançamentos!$F:$F,Lançamentos!$A:$A,BR$19,Lançamentos!$C:$C,"Água, Luz e Internet")</f>
        <v>0</v>
      </c>
      <c r="BS41" s="37">
        <f>SUMIFS(Lançamentos!$F:$F,Lançamentos!$A:$A,BS$19,Lançamentos!$C:$C,"Água, Luz e Internet")</f>
        <v>0</v>
      </c>
      <c r="BT41" s="37">
        <f>SUMIFS(Lançamentos!$F:$F,Lançamentos!$A:$A,BT$19,Lançamentos!$C:$C,"Água, Luz e Internet")</f>
        <v>0</v>
      </c>
      <c r="BU41" s="37">
        <f>SUMIFS(Lançamentos!$F:$F,Lançamentos!$A:$A,BU$19,Lançamentos!$C:$C,"Água, Luz e Internet")</f>
        <v>0</v>
      </c>
      <c r="BV41" s="37">
        <f>SUMIFS(Lançamentos!$F:$F,Lançamentos!$A:$A,BV$19,Lançamentos!$C:$C,"Água, Luz e Internet")</f>
        <v>0</v>
      </c>
      <c r="BW41" s="37">
        <f>SUMIFS(Lançamentos!$F:$F,Lançamentos!$A:$A,BW$19,Lançamentos!$C:$C,"Água, Luz e Internet")</f>
        <v>0</v>
      </c>
      <c r="BX41" s="37">
        <f>SUMIFS(Lançamentos!$F:$F,Lançamentos!$A:$A,BX$19,Lançamentos!$C:$C,"Água, Luz e Internet")</f>
        <v>0</v>
      </c>
      <c r="BY41" s="37">
        <f>SUMIFS(Lançamentos!$F:$F,Lançamentos!$A:$A,BY$19,Lançamentos!$C:$C,"Água, Luz e Internet")</f>
        <v>0</v>
      </c>
      <c r="BZ41" s="37">
        <f>SUMIFS(Lançamentos!$F:$F,Lançamentos!$A:$A,BZ$19,Lançamentos!$C:$C,"Água, Luz e Internet")</f>
        <v>0</v>
      </c>
      <c r="CA41" s="37">
        <f>SUMIFS(Lançamentos!$F:$F,Lançamentos!$A:$A,CA$19,Lançamentos!$C:$C,"Água, Luz e Internet")</f>
        <v>0</v>
      </c>
      <c r="CB41" s="37">
        <f>SUMIFS(Lançamentos!$F:$F,Lançamentos!$A:$A,CB$19,Lançamentos!$C:$C,"Água, Luz e Internet")</f>
        <v>0</v>
      </c>
      <c r="CC41" s="37">
        <f>SUMIFS(Lançamentos!$F:$F,Lançamentos!$A:$A,CC$19,Lançamentos!$C:$C,"Água, Luz e Internet")</f>
        <v>0</v>
      </c>
      <c r="CD41" s="37">
        <f>SUMIFS(Lançamentos!$F:$F,Lançamentos!$A:$A,CD$19,Lançamentos!$C:$C,"Água, Luz e Internet")</f>
        <v>0</v>
      </c>
      <c r="CE41" s="37">
        <f>SUMIFS(Lançamentos!$F:$F,Lançamentos!$A:$A,CE$19,Lançamentos!$C:$C,"Água, Luz e Internet")</f>
        <v>0</v>
      </c>
      <c r="CF41" s="37">
        <f>SUMIFS(Lançamentos!$F:$F,Lançamentos!$A:$A,CF$19,Lançamentos!$C:$C,"Água, Luz e Internet")</f>
        <v>0</v>
      </c>
      <c r="CG41" s="37">
        <f>SUMIFS(Lançamentos!$F:$F,Lançamentos!$A:$A,CG$19,Lançamentos!$C:$C,"Água, Luz e Internet")</f>
        <v>0</v>
      </c>
      <c r="CH41" s="37">
        <f>SUMIFS(Lançamentos!$F:$F,Lançamentos!$A:$A,CH$19,Lançamentos!$C:$C,"Água, Luz e Internet")</f>
        <v>0</v>
      </c>
      <c r="CI41" s="37">
        <f>SUMIFS(Lançamentos!$F:$F,Lançamentos!$A:$A,CI$19,Lançamentos!$C:$C,"Água, Luz e Internet")</f>
        <v>0</v>
      </c>
      <c r="CJ41" s="37">
        <f>SUMIFS(Lançamentos!$F:$F,Lançamentos!$A:$A,CJ$19,Lançamentos!$C:$C,"Água, Luz e Internet")</f>
        <v>0</v>
      </c>
      <c r="CK41" s="37">
        <f>SUMIFS(Lançamentos!$F:$F,Lançamentos!$A:$A,CK$19,Lançamentos!$C:$C,"Água, Luz e Internet")</f>
        <v>0</v>
      </c>
      <c r="CL41" s="37">
        <f>SUMIFS(Lançamentos!$F:$F,Lançamentos!$A:$A,CL$19,Lançamentos!$C:$C,"Água, Luz e Internet")</f>
        <v>0</v>
      </c>
      <c r="CM41" s="37">
        <f>SUMIFS(Lançamentos!$F:$F,Lançamentos!$A:$A,CM$19,Lançamentos!$C:$C,"Água, Luz e Internet")</f>
        <v>0</v>
      </c>
      <c r="CN41" s="37">
        <f>SUMIFS(Lançamentos!$F:$F,Lançamentos!$A:$A,CN$19,Lançamentos!$C:$C,"Água, Luz e Internet")</f>
        <v>0</v>
      </c>
      <c r="CO41" s="37">
        <f>SUMIFS(Lançamentos!$F:$F,Lançamentos!$A:$A,CO$19,Lançamentos!$C:$C,"Água, Luz e Internet")</f>
        <v>0</v>
      </c>
      <c r="CP41" s="37">
        <f>SUMIFS(Lançamentos!$F:$F,Lançamentos!$A:$A,CP$19,Lançamentos!$C:$C,"Água, Luz e Internet")</f>
        <v>0</v>
      </c>
      <c r="CQ41" s="37">
        <f>SUMIFS(Lançamentos!$F:$F,Lançamentos!$A:$A,CQ$19,Lançamentos!$C:$C,"Água, Luz e Internet")</f>
        <v>0</v>
      </c>
      <c r="CR41" s="37">
        <f>SUMIFS(Lançamentos!$F:$F,Lançamentos!$A:$A,CR$19,Lançamentos!$C:$C,"Água, Luz e Internet")</f>
        <v>0</v>
      </c>
      <c r="CS41" s="37">
        <f>SUMIFS(Lançamentos!$F:$F,Lançamentos!$A:$A,CS$19,Lançamentos!$C:$C,"Água, Luz e Internet")</f>
        <v>0</v>
      </c>
      <c r="CT41" s="37">
        <f>SUMIFS(Lançamentos!$F:$F,Lançamentos!$A:$A,CT$19,Lançamentos!$C:$C,"Água, Luz e Internet")</f>
        <v>0</v>
      </c>
      <c r="CU41" s="37">
        <f>SUMIFS(Lançamentos!$F:$F,Lançamentos!$A:$A,CU$19,Lançamentos!$C:$C,"Água, Luz e Internet")</f>
        <v>0</v>
      </c>
      <c r="CV41" s="37">
        <f>SUMIFS(Lançamentos!$F:$F,Lançamentos!$A:$A,CV$19,Lançamentos!$C:$C,"Água, Luz e Internet")</f>
        <v>0</v>
      </c>
      <c r="CW41" s="37">
        <f>SUMIFS(Lançamentos!$F:$F,Lançamentos!$A:$A,CW$19,Lançamentos!$C:$C,"Água, Luz e Internet")</f>
        <v>0</v>
      </c>
      <c r="CX41" s="37">
        <f>SUMIFS(Lançamentos!$F:$F,Lançamentos!$A:$A,CX$19,Lançamentos!$C:$C,"Água, Luz e Internet")</f>
        <v>0</v>
      </c>
      <c r="CY41" s="37">
        <f>SUMIFS(Lançamentos!$F:$F,Lançamentos!$A:$A,CY$19,Lançamentos!$C:$C,"Água, Luz e Internet")</f>
        <v>0</v>
      </c>
      <c r="CZ41" s="37">
        <f>SUMIFS(Lançamentos!$F:$F,Lançamentos!$A:$A,CZ$19,Lançamentos!$C:$C,"Água, Luz e Internet")</f>
        <v>0</v>
      </c>
      <c r="DA41" s="37">
        <f>SUMIFS(Lançamentos!$F:$F,Lançamentos!$A:$A,DA$19,Lançamentos!$C:$C,"Água, Luz e Internet")</f>
        <v>0</v>
      </c>
      <c r="DB41" s="37">
        <f>SUMIFS(Lançamentos!$F:$F,Lançamentos!$A:$A,DB$19,Lançamentos!$C:$C,"Água, Luz e Internet")</f>
        <v>0</v>
      </c>
      <c r="DC41" s="37">
        <f>SUMIFS(Lançamentos!$F:$F,Lançamentos!$A:$A,DC$19,Lançamentos!$C:$C,"Água, Luz e Internet")</f>
        <v>0</v>
      </c>
      <c r="DD41" s="37">
        <f>SUMIFS(Lançamentos!$F:$F,Lançamentos!$A:$A,DD$19,Lançamentos!$C:$C,"Água, Luz e Internet")</f>
        <v>0</v>
      </c>
      <c r="DE41" s="37">
        <f>SUMIFS(Lançamentos!$F:$F,Lançamentos!$A:$A,DE$19,Lançamentos!$C:$C,"Água, Luz e Internet")</f>
        <v>0</v>
      </c>
      <c r="DF41" s="37">
        <f>SUMIFS(Lançamentos!$F:$F,Lançamentos!$A:$A,DF$19,Lançamentos!$C:$C,"Água, Luz e Internet")</f>
        <v>0</v>
      </c>
      <c r="DG41" s="37">
        <f>SUMIFS(Lançamentos!$F:$F,Lançamentos!$A:$A,DG$19,Lançamentos!$C:$C,"Água, Luz e Internet")</f>
        <v>0</v>
      </c>
      <c r="DH41" s="37">
        <f>SUMIFS(Lançamentos!$F:$F,Lançamentos!$A:$A,DH$19,Lançamentos!$C:$C,"Água, Luz e Internet")</f>
        <v>0</v>
      </c>
      <c r="DI41" s="37">
        <f>SUMIFS(Lançamentos!$F:$F,Lançamentos!$A:$A,DI$19,Lançamentos!$C:$C,"Água, Luz e Internet")</f>
        <v>0</v>
      </c>
      <c r="DJ41" s="37">
        <f>SUMIFS(Lançamentos!$F:$F,Lançamentos!$A:$A,DJ$19,Lançamentos!$C:$C,"Água, Luz e Internet")</f>
        <v>0</v>
      </c>
      <c r="DK41" s="37">
        <f>SUMIFS(Lançamentos!$F:$F,Lançamentos!$A:$A,DK$19,Lançamentos!$C:$C,"Água, Luz e Internet")</f>
        <v>0</v>
      </c>
      <c r="DL41" s="37">
        <f>SUMIFS(Lançamentos!$F:$F,Lançamentos!$A:$A,DL$19,Lançamentos!$C:$C,"Água, Luz e Internet")</f>
        <v>0</v>
      </c>
      <c r="DM41" s="37">
        <f>SUMIFS(Lançamentos!$F:$F,Lançamentos!$A:$A,DM$19,Lançamentos!$C:$C,"Água, Luz e Internet")</f>
        <v>0</v>
      </c>
      <c r="DN41" s="37">
        <f>SUMIFS(Lançamentos!$F:$F,Lançamentos!$A:$A,DN$19,Lançamentos!$C:$C,"Água, Luz e Internet")</f>
        <v>0</v>
      </c>
      <c r="DO41" s="37">
        <f>SUMIFS(Lançamentos!$F:$F,Lançamentos!$A:$A,DO$19,Lançamentos!$C:$C,"Água, Luz e Internet")</f>
        <v>0</v>
      </c>
      <c r="DP41" s="37">
        <f>SUMIFS(Lançamentos!$F:$F,Lançamentos!$A:$A,DP$19,Lançamentos!$C:$C,"Água, Luz e Internet")</f>
        <v>0</v>
      </c>
      <c r="DQ41" s="37">
        <f>SUMIFS(Lançamentos!$F:$F,Lançamentos!$A:$A,DQ$19,Lançamentos!$C:$C,"Água, Luz e Internet")</f>
        <v>0</v>
      </c>
      <c r="DR41" s="37">
        <f>SUMIFS(Lançamentos!$F:$F,Lançamentos!$A:$A,DR$19,Lançamentos!$C:$C,"Água, Luz e Internet")</f>
        <v>0</v>
      </c>
      <c r="DS41" s="37">
        <f>SUMIFS(Lançamentos!$F:$F,Lançamentos!$A:$A,DS$19,Lançamentos!$C:$C,"Água, Luz e Internet")</f>
        <v>0</v>
      </c>
      <c r="DT41" s="37">
        <f>SUMIFS(Lançamentos!$F:$F,Lançamentos!$A:$A,DT$19,Lançamentos!$C:$C,"Água, Luz e Internet")</f>
        <v>0</v>
      </c>
      <c r="DU41" s="37">
        <f>SUMIFS(Lançamentos!$F:$F,Lançamentos!$A:$A,DU$19,Lançamentos!$C:$C,"Água, Luz e Internet")</f>
        <v>0</v>
      </c>
      <c r="DV41" s="37">
        <f>SUMIFS(Lançamentos!$F:$F,Lançamentos!$A:$A,DV$19,Lançamentos!$C:$C,"Água, Luz e Internet")</f>
        <v>0</v>
      </c>
      <c r="DW41" s="37">
        <f>SUMIFS(Lançamentos!$F:$F,Lançamentos!$A:$A,DW$19,Lançamentos!$C:$C,"Água, Luz e Internet")</f>
        <v>0</v>
      </c>
      <c r="DX41" s="37">
        <f>SUMIFS(Lançamentos!$F:$F,Lançamentos!$A:$A,DX$19,Lançamentos!$C:$C,"Água, Luz e Internet")</f>
        <v>0</v>
      </c>
      <c r="DY41" s="37">
        <f>SUMIFS(Lançamentos!$F:$F,Lançamentos!$A:$A,DY$19,Lançamentos!$C:$C,"Água, Luz e Internet")</f>
        <v>0</v>
      </c>
      <c r="DZ41" s="37">
        <f>SUMIFS(Lançamentos!$F:$F,Lançamentos!$A:$A,DZ$19,Lançamentos!$C:$C,"Água, Luz e Internet")</f>
        <v>0</v>
      </c>
      <c r="EA41" s="37">
        <f>SUMIFS(Lançamentos!$F:$F,Lançamentos!$A:$A,EA$19,Lançamentos!$C:$C,"Água, Luz e Internet")</f>
        <v>0</v>
      </c>
      <c r="EB41" s="37">
        <f>SUMIFS(Lançamentos!$F:$F,Lançamentos!$A:$A,EB$19,Lançamentos!$C:$C,"Água, Luz e Internet")</f>
        <v>0</v>
      </c>
      <c r="EC41" s="37">
        <f>SUMIFS(Lançamentos!$F:$F,Lançamentos!$A:$A,EC$19,Lançamentos!$C:$C,"Água, Luz e Internet")</f>
        <v>0</v>
      </c>
      <c r="ED41" s="37">
        <f>SUMIFS(Lançamentos!$F:$F,Lançamentos!$A:$A,ED$19,Lançamentos!$C:$C,"Água, Luz e Internet")</f>
        <v>0</v>
      </c>
      <c r="EE41" s="37">
        <f>SUMIFS(Lançamentos!$F:$F,Lançamentos!$A:$A,EE$19,Lançamentos!$C:$C,"Água, Luz e Internet")</f>
        <v>0</v>
      </c>
      <c r="EF41" s="37">
        <f>SUMIFS(Lançamentos!$F:$F,Lançamentos!$A:$A,EF$19,Lançamentos!$C:$C,"Água, Luz e Internet")</f>
        <v>0</v>
      </c>
      <c r="EG41" s="37">
        <f>SUMIFS(Lançamentos!$F:$F,Lançamentos!$A:$A,EG$19,Lançamentos!$C:$C,"Água, Luz e Internet")</f>
        <v>0</v>
      </c>
      <c r="EH41" s="37">
        <f>SUMIFS(Lançamentos!$F:$F,Lançamentos!$A:$A,EH$19,Lançamentos!$C:$C,"Água, Luz e Internet")</f>
        <v>0</v>
      </c>
      <c r="EI41" s="37">
        <f>SUMIFS(Lançamentos!$F:$F,Lançamentos!$A:$A,EI$19,Lançamentos!$C:$C,"Água, Luz e Internet")</f>
        <v>0</v>
      </c>
      <c r="EJ41" s="37">
        <f>SUMIFS(Lançamentos!$F:$F,Lançamentos!$A:$A,EJ$19,Lançamentos!$C:$C,"Água, Luz e Internet")</f>
        <v>0</v>
      </c>
      <c r="EK41" s="37">
        <f>SUMIFS(Lançamentos!$F:$F,Lançamentos!$A:$A,EK$19,Lançamentos!$C:$C,"Água, Luz e Internet")</f>
        <v>0</v>
      </c>
      <c r="EL41" s="37">
        <f>SUMIFS(Lançamentos!$F:$F,Lançamentos!$A:$A,EL$19,Lançamentos!$C:$C,"Água, Luz e Internet")</f>
        <v>0</v>
      </c>
      <c r="EM41" s="37">
        <f>SUMIFS(Lançamentos!$F:$F,Lançamentos!$A:$A,EM$19,Lançamentos!$C:$C,"Água, Luz e Internet")</f>
        <v>0</v>
      </c>
      <c r="EN41" s="37">
        <f>SUMIFS(Lançamentos!$F:$F,Lançamentos!$A:$A,EN$19,Lançamentos!$C:$C,"Água, Luz e Internet")</f>
        <v>0</v>
      </c>
      <c r="EO41" s="37">
        <f>SUMIFS(Lançamentos!$F:$F,Lançamentos!$A:$A,EO$19,Lançamentos!$C:$C,"Água, Luz e Internet")</f>
        <v>0</v>
      </c>
      <c r="EP41" s="37">
        <f>SUMIFS(Lançamentos!$F:$F,Lançamentos!$A:$A,EP$19,Lançamentos!$C:$C,"Água, Luz e Internet")</f>
        <v>0</v>
      </c>
      <c r="EQ41" s="37">
        <f>SUMIFS(Lançamentos!$F:$F,Lançamentos!$A:$A,EQ$19,Lançamentos!$C:$C,"Água, Luz e Internet")</f>
        <v>0</v>
      </c>
      <c r="ER41" s="37">
        <f>SUMIFS(Lançamentos!$F:$F,Lançamentos!$A:$A,ER$19,Lançamentos!$C:$C,"Água, Luz e Internet")</f>
        <v>0</v>
      </c>
      <c r="ES41" s="37">
        <f>SUMIFS(Lançamentos!$F:$F,Lançamentos!$A:$A,ES$19,Lançamentos!$C:$C,"Água, Luz e Internet")</f>
        <v>0</v>
      </c>
      <c r="ET41" s="37">
        <f>SUMIFS(Lançamentos!$F:$F,Lançamentos!$A:$A,ET$19,Lançamentos!$C:$C,"Água, Luz e Internet")</f>
        <v>0</v>
      </c>
      <c r="EU41" s="37">
        <f>SUMIFS(Lançamentos!$F:$F,Lançamentos!$A:$A,EU$19,Lançamentos!$C:$C,"Água, Luz e Internet")</f>
        <v>0</v>
      </c>
      <c r="EV41" s="37">
        <f>SUMIFS(Lançamentos!$F:$F,Lançamentos!$A:$A,EV$19,Lançamentos!$C:$C,"Água, Luz e Internet")</f>
        <v>0</v>
      </c>
      <c r="EW41" s="37">
        <f>SUMIFS(Lançamentos!$F:$F,Lançamentos!$A:$A,EW$19,Lançamentos!$C:$C,"Água, Luz e Internet")</f>
        <v>0</v>
      </c>
      <c r="EX41" s="37">
        <f>SUMIFS(Lançamentos!$F:$F,Lançamentos!$A:$A,EX$19,Lançamentos!$C:$C,"Água, Luz e Internet")</f>
        <v>0</v>
      </c>
      <c r="EY41" s="37">
        <f>SUMIFS(Lançamentos!$F:$F,Lançamentos!$A:$A,EY$19,Lançamentos!$C:$C,"Água, Luz e Internet")</f>
        <v>0</v>
      </c>
      <c r="EZ41" s="37">
        <f>SUMIFS(Lançamentos!$F:$F,Lançamentos!$A:$A,EZ$19,Lançamentos!$C:$C,"Água, Luz e Internet")</f>
        <v>0</v>
      </c>
      <c r="FA41" s="37">
        <f>SUMIFS(Lançamentos!$F:$F,Lançamentos!$A:$A,FA$19,Lançamentos!$C:$C,"Água, Luz e Internet")</f>
        <v>0</v>
      </c>
      <c r="FB41" s="37">
        <f>SUMIFS(Lançamentos!$F:$F,Lançamentos!$A:$A,FB$19,Lançamentos!$C:$C,"Água, Luz e Internet")</f>
        <v>0</v>
      </c>
      <c r="FC41" s="37">
        <f>SUMIFS(Lançamentos!$F:$F,Lançamentos!$A:$A,FC$19,Lançamentos!$C:$C,"Água, Luz e Internet")</f>
        <v>0</v>
      </c>
      <c r="FD41" s="37">
        <f>SUMIFS(Lançamentos!$F:$F,Lançamentos!$A:$A,FD$19,Lançamentos!$C:$C,"Água, Luz e Internet")</f>
        <v>0</v>
      </c>
      <c r="FE41" s="37">
        <f>SUMIFS(Lançamentos!$F:$F,Lançamentos!$A:$A,FE$19,Lançamentos!$C:$C,"Água, Luz e Internet")</f>
        <v>0</v>
      </c>
      <c r="FF41" s="37">
        <f>SUMIFS(Lançamentos!$F:$F,Lançamentos!$A:$A,FF$19,Lançamentos!$C:$C,"Água, Luz e Internet")</f>
        <v>0</v>
      </c>
      <c r="FG41" s="37">
        <f>SUMIFS(Lançamentos!$F:$F,Lançamentos!$A:$A,FG$19,Lançamentos!$C:$C,"Água, Luz e Internet")</f>
        <v>0</v>
      </c>
      <c r="FH41" s="37">
        <f>SUMIFS(Lançamentos!$F:$F,Lançamentos!$A:$A,FH$19,Lançamentos!$C:$C,"Água, Luz e Internet")</f>
        <v>0</v>
      </c>
      <c r="FI41" s="37">
        <f>SUMIFS(Lançamentos!$F:$F,Lançamentos!$A:$A,FI$19,Lançamentos!$C:$C,"Água, Luz e Internet")</f>
        <v>0</v>
      </c>
      <c r="FJ41" s="37">
        <f>SUMIFS(Lançamentos!$F:$F,Lançamentos!$A:$A,FJ$19,Lançamentos!$C:$C,"Água, Luz e Internet")</f>
        <v>0</v>
      </c>
      <c r="FK41" s="37">
        <f>SUMIFS(Lançamentos!$F:$F,Lançamentos!$A:$A,FK$19,Lançamentos!$C:$C,"Água, Luz e Internet")</f>
        <v>0</v>
      </c>
      <c r="FL41" s="37">
        <f>SUMIFS(Lançamentos!$F:$F,Lançamentos!$A:$A,FL$19,Lançamentos!$C:$C,"Água, Luz e Internet")</f>
        <v>0</v>
      </c>
      <c r="FM41" s="37">
        <f>SUMIFS(Lançamentos!$F:$F,Lançamentos!$A:$A,FM$19,Lançamentos!$C:$C,"Água, Luz e Internet")</f>
        <v>0</v>
      </c>
      <c r="FN41" s="37">
        <f>SUMIFS(Lançamentos!$F:$F,Lançamentos!$A:$A,FN$19,Lançamentos!$C:$C,"Água, Luz e Internet")</f>
        <v>0</v>
      </c>
      <c r="FO41" s="37">
        <f>SUMIFS(Lançamentos!$F:$F,Lançamentos!$A:$A,FO$19,Lançamentos!$C:$C,"Água, Luz e Internet")</f>
        <v>0</v>
      </c>
      <c r="FP41" s="37">
        <f>SUMIFS(Lançamentos!$F:$F,Lançamentos!$A:$A,FP$19,Lançamentos!$C:$C,"Água, Luz e Internet")</f>
        <v>0</v>
      </c>
      <c r="FQ41" s="37">
        <f>SUMIFS(Lançamentos!$F:$F,Lançamentos!$A:$A,FQ$19,Lançamentos!$C:$C,"Água, Luz e Internet")</f>
        <v>0</v>
      </c>
      <c r="FR41" s="37">
        <f>SUMIFS(Lançamentos!$F:$F,Lançamentos!$A:$A,FR$19,Lançamentos!$C:$C,"Água, Luz e Internet")</f>
        <v>0</v>
      </c>
      <c r="FS41" s="37">
        <f>SUMIFS(Lançamentos!$F:$F,Lançamentos!$A:$A,FS$19,Lançamentos!$C:$C,"Água, Luz e Internet")</f>
        <v>0</v>
      </c>
      <c r="FT41" s="37">
        <f>SUMIFS(Lançamentos!$F:$F,Lançamentos!$A:$A,FT$19,Lançamentos!$C:$C,"Água, Luz e Internet")</f>
        <v>0</v>
      </c>
      <c r="FU41" s="37">
        <f>SUMIFS(Lançamentos!$F:$F,Lançamentos!$A:$A,FU$19,Lançamentos!$C:$C,"Água, Luz e Internet")</f>
        <v>0</v>
      </c>
      <c r="FV41" s="37">
        <f>SUMIFS(Lançamentos!$F:$F,Lançamentos!$A:$A,FV$19,Lançamentos!$C:$C,"Água, Luz e Internet")</f>
        <v>0</v>
      </c>
      <c r="FW41" s="37">
        <f>SUMIFS(Lançamentos!$F:$F,Lançamentos!$A:$A,FW$19,Lançamentos!$C:$C,"Água, Luz e Internet")</f>
        <v>0</v>
      </c>
      <c r="FX41" s="37">
        <f>SUMIFS(Lançamentos!$F:$F,Lançamentos!$A:$A,FX$19,Lançamentos!$C:$C,"Água, Luz e Internet")</f>
        <v>0</v>
      </c>
      <c r="FY41" s="37">
        <f>SUMIFS(Lançamentos!$F:$F,Lançamentos!$A:$A,FY$19,Lançamentos!$C:$C,"Água, Luz e Internet")</f>
        <v>0</v>
      </c>
      <c r="FZ41" s="37">
        <f>SUMIFS(Lançamentos!$F:$F,Lançamentos!$A:$A,FZ$19,Lançamentos!$C:$C,"Água, Luz e Internet")</f>
        <v>0</v>
      </c>
      <c r="GA41" s="37">
        <f>SUMIFS(Lançamentos!$F:$F,Lançamentos!$A:$A,GA$19,Lançamentos!$C:$C,"Água, Luz e Internet")</f>
        <v>0</v>
      </c>
      <c r="GB41" s="37">
        <f>SUMIFS(Lançamentos!$F:$F,Lançamentos!$A:$A,GB$19,Lançamentos!$C:$C,"Água, Luz e Internet")</f>
        <v>0</v>
      </c>
      <c r="GC41" s="37">
        <f>SUMIFS(Lançamentos!$F:$F,Lançamentos!$A:$A,GC$19,Lançamentos!$C:$C,"Água, Luz e Internet")</f>
        <v>0</v>
      </c>
      <c r="GD41" s="37">
        <f>SUMIFS(Lançamentos!$F:$F,Lançamentos!$A:$A,GD$19,Lançamentos!$C:$C,"Água, Luz e Internet")</f>
        <v>0</v>
      </c>
      <c r="GE41" s="37">
        <f>SUMIFS(Lançamentos!$F:$F,Lançamentos!$A:$A,GE$19,Lançamentos!$C:$C,"Água, Luz e Internet")</f>
        <v>0</v>
      </c>
      <c r="GF41" s="37">
        <f>SUMIFS(Lançamentos!$F:$F,Lançamentos!$A:$A,GF$19,Lançamentos!$C:$C,"Água, Luz e Internet")</f>
        <v>0</v>
      </c>
      <c r="GG41" s="37">
        <f>SUMIFS(Lançamentos!$F:$F,Lançamentos!$A:$A,GG$19,Lançamentos!$C:$C,"Água, Luz e Internet")</f>
        <v>0</v>
      </c>
      <c r="GH41" s="37">
        <f>SUMIFS(Lançamentos!$F:$F,Lançamentos!$A:$A,GH$19,Lançamentos!$C:$C,"Água, Luz e Internet")</f>
        <v>0</v>
      </c>
      <c r="GI41" s="37">
        <f>SUMIFS(Lançamentos!$F:$F,Lançamentos!$A:$A,GI$19,Lançamentos!$C:$C,"Água, Luz e Internet")</f>
        <v>0</v>
      </c>
      <c r="GJ41" s="37">
        <f>SUMIFS(Lançamentos!$F:$F,Lançamentos!$A:$A,GJ$19,Lançamentos!$C:$C,"Água, Luz e Internet")</f>
        <v>0</v>
      </c>
      <c r="GK41" s="37">
        <f>SUMIFS(Lançamentos!$F:$F,Lançamentos!$A:$A,GK$19,Lançamentos!$C:$C,"Água, Luz e Internet")</f>
        <v>0</v>
      </c>
      <c r="GL41" s="37">
        <f>SUMIFS(Lançamentos!$F:$F,Lançamentos!$A:$A,GL$19,Lançamentos!$C:$C,"Água, Luz e Internet")</f>
        <v>0</v>
      </c>
      <c r="GM41" s="37">
        <f>SUMIFS(Lançamentos!$F:$F,Lançamentos!$A:$A,GM$19,Lançamentos!$C:$C,"Água, Luz e Internet")</f>
        <v>0</v>
      </c>
      <c r="GN41" s="37">
        <f>SUMIFS(Lançamentos!$F:$F,Lançamentos!$A:$A,GN$19,Lançamentos!$C:$C,"Água, Luz e Internet")</f>
        <v>0</v>
      </c>
      <c r="GO41" s="37">
        <f>SUMIFS(Lançamentos!$F:$F,Lançamentos!$A:$A,GO$19,Lançamentos!$C:$C,"Água, Luz e Internet")</f>
        <v>0</v>
      </c>
      <c r="GP41" s="37">
        <f>SUMIFS(Lançamentos!$F:$F,Lançamentos!$A:$A,GP$19,Lançamentos!$C:$C,"Água, Luz e Internet")</f>
        <v>0</v>
      </c>
      <c r="GQ41" s="37">
        <f>SUMIFS(Lançamentos!$F:$F,Lançamentos!$A:$A,GQ$19,Lançamentos!$C:$C,"Água, Luz e Internet")</f>
        <v>0</v>
      </c>
      <c r="GR41" s="37">
        <f>SUMIFS(Lançamentos!$F:$F,Lançamentos!$A:$A,GR$19,Lançamentos!$C:$C,"Água, Luz e Internet")</f>
        <v>0</v>
      </c>
      <c r="GS41" s="37">
        <f>SUMIFS(Lançamentos!$F:$F,Lançamentos!$A:$A,GS$19,Lançamentos!$C:$C,"Água, Luz e Internet")</f>
        <v>0</v>
      </c>
      <c r="GT41" s="37">
        <f>SUMIFS(Lançamentos!$F:$F,Lançamentos!$A:$A,GT$19,Lançamentos!$C:$C,"Água, Luz e Internet")</f>
        <v>0</v>
      </c>
      <c r="GU41" s="37">
        <f>SUMIFS(Lançamentos!$F:$F,Lançamentos!$A:$A,GU$19,Lançamentos!$C:$C,"Água, Luz e Internet")</f>
        <v>0</v>
      </c>
      <c r="GV41" s="37">
        <f>SUMIFS(Lançamentos!$F:$F,Lançamentos!$A:$A,GV$19,Lançamentos!$C:$C,"Água, Luz e Internet")</f>
        <v>0</v>
      </c>
      <c r="GW41" s="37">
        <f>SUMIFS(Lançamentos!$F:$F,Lançamentos!$A:$A,GW$19,Lançamentos!$C:$C,"Água, Luz e Internet")</f>
        <v>0</v>
      </c>
      <c r="GX41" s="37">
        <f>SUMIFS(Lançamentos!$F:$F,Lançamentos!$A:$A,GX$19,Lançamentos!$C:$C,"Água, Luz e Internet")</f>
        <v>0</v>
      </c>
      <c r="GY41" s="37">
        <f>SUMIFS(Lançamentos!$F:$F,Lançamentos!$A:$A,GY$19,Lançamentos!$C:$C,"Água, Luz e Internet")</f>
        <v>0</v>
      </c>
      <c r="GZ41" s="37">
        <f>SUMIFS(Lançamentos!$F:$F,Lançamentos!$A:$A,GZ$19,Lançamentos!$C:$C,"Água, Luz e Internet")</f>
        <v>0</v>
      </c>
      <c r="HA41" s="37">
        <f>SUMIFS(Lançamentos!$F:$F,Lançamentos!$A:$A,HA$19,Lançamentos!$C:$C,"Água, Luz e Internet")</f>
        <v>0</v>
      </c>
      <c r="HB41" s="37">
        <f>SUMIFS(Lançamentos!$F:$F,Lançamentos!$A:$A,HB$19,Lançamentos!$C:$C,"Água, Luz e Internet")</f>
        <v>0</v>
      </c>
      <c r="HC41" s="37">
        <f>SUMIFS(Lançamentos!$F:$F,Lançamentos!$A:$A,HC$19,Lançamentos!$C:$C,"Água, Luz e Internet")</f>
        <v>0</v>
      </c>
      <c r="HD41" s="37">
        <f>SUMIFS(Lançamentos!$F:$F,Lançamentos!$A:$A,HD$19,Lançamentos!$C:$C,"Água, Luz e Internet")</f>
        <v>0</v>
      </c>
      <c r="HE41" s="37">
        <f>SUMIFS(Lançamentos!$F:$F,Lançamentos!$A:$A,HE$19,Lançamentos!$C:$C,"Água, Luz e Internet")</f>
        <v>0</v>
      </c>
      <c r="HF41" s="37">
        <f>SUMIFS(Lançamentos!$F:$F,Lançamentos!$A:$A,HF$19,Lançamentos!$C:$C,"Água, Luz e Internet")</f>
        <v>0</v>
      </c>
      <c r="HG41" s="37">
        <f>SUMIFS(Lançamentos!$F:$F,Lançamentos!$A:$A,HG$19,Lançamentos!$C:$C,"Água, Luz e Internet")</f>
        <v>0</v>
      </c>
      <c r="HH41" s="37">
        <f>SUMIFS(Lançamentos!$F:$F,Lançamentos!$A:$A,HH$19,Lançamentos!$C:$C,"Água, Luz e Internet")</f>
        <v>0</v>
      </c>
      <c r="HI41" s="37">
        <f>SUMIFS(Lançamentos!$F:$F,Lançamentos!$A:$A,HI$19,Lançamentos!$C:$C,"Água, Luz e Internet")</f>
        <v>0</v>
      </c>
      <c r="HJ41" s="37">
        <f>SUMIFS(Lançamentos!$F:$F,Lançamentos!$A:$A,HJ$19,Lançamentos!$C:$C,"Água, Luz e Internet")</f>
        <v>0</v>
      </c>
      <c r="HK41" s="37">
        <f>SUMIFS(Lançamentos!$F:$F,Lançamentos!$A:$A,HK$19,Lançamentos!$C:$C,"Água, Luz e Internet")</f>
        <v>0</v>
      </c>
      <c r="HL41" s="37">
        <f>SUMIFS(Lançamentos!$F:$F,Lançamentos!$A:$A,HL$19,Lançamentos!$C:$C,"Água, Luz e Internet")</f>
        <v>0</v>
      </c>
      <c r="HM41" s="37">
        <f>SUMIFS(Lançamentos!$F:$F,Lançamentos!$A:$A,HM$19,Lançamentos!$C:$C,"Água, Luz e Internet")</f>
        <v>0</v>
      </c>
      <c r="HN41" s="37">
        <f>SUMIFS(Lançamentos!$F:$F,Lançamentos!$A:$A,HN$19,Lançamentos!$C:$C,"Água, Luz e Internet")</f>
        <v>0</v>
      </c>
      <c r="HO41" s="37">
        <f>SUMIFS(Lançamentos!$F:$F,Lançamentos!$A:$A,HO$19,Lançamentos!$C:$C,"Água, Luz e Internet")</f>
        <v>0</v>
      </c>
      <c r="HP41" s="37">
        <f>SUMIFS(Lançamentos!$F:$F,Lançamentos!$A:$A,HP$19,Lançamentos!$C:$C,"Água, Luz e Internet")</f>
        <v>0</v>
      </c>
      <c r="HQ41" s="37">
        <f>SUMIFS(Lançamentos!$F:$F,Lançamentos!$A:$A,HQ$19,Lançamentos!$C:$C,"Água, Luz e Internet")</f>
        <v>0</v>
      </c>
      <c r="HR41" s="37">
        <f>SUMIFS(Lançamentos!$F:$F,Lançamentos!$A:$A,HR$19,Lançamentos!$C:$C,"Água, Luz e Internet")</f>
        <v>0</v>
      </c>
      <c r="HS41" s="37">
        <f>SUMIFS(Lançamentos!$F:$F,Lançamentos!$A:$A,HS$19,Lançamentos!$C:$C,"Água, Luz e Internet")</f>
        <v>0</v>
      </c>
      <c r="HT41" s="37">
        <f>SUMIFS(Lançamentos!$F:$F,Lançamentos!$A:$A,HT$19,Lançamentos!$C:$C,"Água, Luz e Internet")</f>
        <v>0</v>
      </c>
      <c r="HU41" s="37">
        <f>SUMIFS(Lançamentos!$F:$F,Lançamentos!$A:$A,HU$19,Lançamentos!$C:$C,"Água, Luz e Internet")</f>
        <v>0</v>
      </c>
      <c r="HV41" s="37">
        <f>SUMIFS(Lançamentos!$F:$F,Lançamentos!$A:$A,HV$19,Lançamentos!$C:$C,"Água, Luz e Internet")</f>
        <v>0</v>
      </c>
      <c r="HW41" s="37">
        <f>SUMIFS(Lançamentos!$F:$F,Lançamentos!$A:$A,HW$19,Lançamentos!$C:$C,"Água, Luz e Internet")</f>
        <v>0</v>
      </c>
      <c r="HX41" s="37">
        <f>SUMIFS(Lançamentos!$F:$F,Lançamentos!$A:$A,HX$19,Lançamentos!$C:$C,"Água, Luz e Internet")</f>
        <v>0</v>
      </c>
      <c r="HY41" s="37">
        <f>SUMIFS(Lançamentos!$F:$F,Lançamentos!$A:$A,HY$19,Lançamentos!$C:$C,"Água, Luz e Internet")</f>
        <v>0</v>
      </c>
      <c r="HZ41" s="37">
        <f>SUMIFS(Lançamentos!$F:$F,Lançamentos!$A:$A,HZ$19,Lançamentos!$C:$C,"Água, Luz e Internet")</f>
        <v>0</v>
      </c>
      <c r="IA41" s="37">
        <f>SUMIFS(Lançamentos!$F:$F,Lançamentos!$A:$A,IA$19,Lançamentos!$C:$C,"Água, Luz e Internet")</f>
        <v>0</v>
      </c>
      <c r="IB41" s="37">
        <f>SUMIFS(Lançamentos!$F:$F,Lançamentos!$A:$A,IB$19,Lançamentos!$C:$C,"Água, Luz e Internet")</f>
        <v>0</v>
      </c>
      <c r="IC41" s="37">
        <f>SUMIFS(Lançamentos!$F:$F,Lançamentos!$A:$A,IC$19,Lançamentos!$C:$C,"Água, Luz e Internet")</f>
        <v>0</v>
      </c>
      <c r="ID41" s="37">
        <f>SUMIFS(Lançamentos!$F:$F,Lançamentos!$A:$A,ID$19,Lançamentos!$C:$C,"Água, Luz e Internet")</f>
        <v>0</v>
      </c>
      <c r="IE41" s="37">
        <f>SUMIFS(Lançamentos!$F:$F,Lançamentos!$A:$A,IE$19,Lançamentos!$C:$C,"Água, Luz e Internet")</f>
        <v>0</v>
      </c>
      <c r="IF41" s="37">
        <f>SUMIFS(Lançamentos!$F:$F,Lançamentos!$A:$A,IF$19,Lançamentos!$C:$C,"Água, Luz e Internet")</f>
        <v>0</v>
      </c>
      <c r="IG41" s="37">
        <f>SUMIFS(Lançamentos!$F:$F,Lançamentos!$A:$A,IG$19,Lançamentos!$C:$C,"Água, Luz e Internet")</f>
        <v>0</v>
      </c>
      <c r="IH41" s="37">
        <f>SUMIFS(Lançamentos!$F:$F,Lançamentos!$A:$A,IH$19,Lançamentos!$C:$C,"Água, Luz e Internet")</f>
        <v>0</v>
      </c>
      <c r="II41" s="37">
        <f>SUMIFS(Lançamentos!$F:$F,Lançamentos!$A:$A,II$19,Lançamentos!$C:$C,"Água, Luz e Internet")</f>
        <v>0</v>
      </c>
      <c r="IJ41" s="37">
        <f>SUMIFS(Lançamentos!$F:$F,Lançamentos!$A:$A,IJ$19,Lançamentos!$C:$C,"Água, Luz e Internet")</f>
        <v>0</v>
      </c>
      <c r="IK41" s="37">
        <f>SUMIFS(Lançamentos!$F:$F,Lançamentos!$A:$A,IK$19,Lançamentos!$C:$C,"Água, Luz e Internet")</f>
        <v>0</v>
      </c>
      <c r="IL41" s="37">
        <f>SUMIFS(Lançamentos!$F:$F,Lançamentos!$A:$A,IL$19,Lançamentos!$C:$C,"Água, Luz e Internet")</f>
        <v>0</v>
      </c>
    </row>
    <row r="42" spans="1:246" x14ac:dyDescent="0.3">
      <c r="A42" t="s">
        <v>17</v>
      </c>
      <c r="B42" s="37">
        <f>SUMIFS(Lançamentos!$F:$F,Lançamentos!$A:$A,B$19,Lançamentos!$C:$C,"Material de Escritório")</f>
        <v>0</v>
      </c>
      <c r="C42" s="37">
        <f>SUMIFS(Lançamentos!$F:$F,Lançamentos!$A:$A,C$19,Lançamentos!$C:$C,"Material de Escritório")</f>
        <v>0</v>
      </c>
      <c r="D42" s="37">
        <f>SUMIFS(Lançamentos!$F:$F,Lançamentos!$A:$A,D$19,Lançamentos!$C:$C,"Material de Escritório")</f>
        <v>0</v>
      </c>
      <c r="E42" s="37">
        <f>SUMIFS(Lançamentos!$F:$F,Lançamentos!$A:$A,E$19,Lançamentos!$C:$C,"Material de Escritório")</f>
        <v>0</v>
      </c>
      <c r="F42" s="37">
        <f>SUMIFS(Lançamentos!$F:$F,Lançamentos!$A:$A,F$19,Lançamentos!$C:$C,"Material de Escritório")</f>
        <v>0</v>
      </c>
      <c r="G42" s="37">
        <f>SUMIFS(Lançamentos!$F:$F,Lançamentos!$A:$A,G$19,Lançamentos!$C:$C,"Material de Escritório")</f>
        <v>0</v>
      </c>
      <c r="H42" s="37">
        <f>SUMIFS(Lançamentos!$F:$F,Lançamentos!$A:$A,H$19,Lançamentos!$C:$C,"Material de Escritório")</f>
        <v>0</v>
      </c>
      <c r="I42" s="37">
        <f>SUMIFS(Lançamentos!$F:$F,Lançamentos!$A:$A,I$19,Lançamentos!$C:$C,"Material de Escritório")</f>
        <v>0</v>
      </c>
      <c r="J42" s="37">
        <f>SUMIFS(Lançamentos!$F:$F,Lançamentos!$A:$A,J$19,Lançamentos!$C:$C,"Material de Escritório")</f>
        <v>0</v>
      </c>
      <c r="K42" s="37">
        <f>SUMIFS(Lançamentos!$F:$F,Lançamentos!$A:$A,K$19,Lançamentos!$C:$C,"Material de Escritório")</f>
        <v>0</v>
      </c>
      <c r="L42" s="37">
        <f>SUMIFS(Lançamentos!$F:$F,Lançamentos!$A:$A,L$19,Lançamentos!$C:$C,"Material de Escritório")</f>
        <v>0</v>
      </c>
      <c r="M42" s="37">
        <f>SUMIFS(Lançamentos!$F:$F,Lançamentos!$A:$A,M$19,Lançamentos!$C:$C,"Material de Escritório")</f>
        <v>0</v>
      </c>
      <c r="N42" s="37">
        <f>SUMIFS(Lançamentos!$F:$F,Lançamentos!$A:$A,N$19,Lançamentos!$C:$C,"Material de Escritório")</f>
        <v>0</v>
      </c>
      <c r="O42" s="37">
        <f>SUMIFS(Lançamentos!$F:$F,Lançamentos!$A:$A,O$19,Lançamentos!$C:$C,"Material de Escritório")</f>
        <v>0</v>
      </c>
      <c r="P42" s="37">
        <f>SUMIFS(Lançamentos!$F:$F,Lançamentos!$A:$A,P$19,Lançamentos!$C:$C,"Material de Escritório")</f>
        <v>0</v>
      </c>
      <c r="Q42" s="37">
        <f>SUMIFS(Lançamentos!$F:$F,Lançamentos!$A:$A,Q$19,Lançamentos!$C:$C,"Material de Escritório")</f>
        <v>0</v>
      </c>
      <c r="R42" s="37">
        <f>SUMIFS(Lançamentos!$F:$F,Lançamentos!$A:$A,R$19,Lançamentos!$C:$C,"Material de Escritório")</f>
        <v>0</v>
      </c>
      <c r="S42" s="37">
        <f>SUMIFS(Lançamentos!$F:$F,Lançamentos!$A:$A,S$19,Lançamentos!$C:$C,"Material de Escritório")</f>
        <v>0</v>
      </c>
      <c r="T42" s="37">
        <f>SUMIFS(Lançamentos!$F:$F,Lançamentos!$A:$A,T$19,Lançamentos!$C:$C,"Material de Escritório")</f>
        <v>0</v>
      </c>
      <c r="U42" s="37">
        <f>SUMIFS(Lançamentos!$F:$F,Lançamentos!$A:$A,U$19,Lançamentos!$C:$C,"Material de Escritório")</f>
        <v>0</v>
      </c>
      <c r="V42" s="37">
        <f>SUMIFS(Lançamentos!$F:$F,Lançamentos!$A:$A,V$19,Lançamentos!$C:$C,"Material de Escritório")</f>
        <v>0</v>
      </c>
      <c r="W42" s="37">
        <f>SUMIFS(Lançamentos!$F:$F,Lançamentos!$A:$A,W$19,Lançamentos!$C:$C,"Material de Escritório")</f>
        <v>0</v>
      </c>
      <c r="X42" s="37">
        <f>SUMIFS(Lançamentos!$F:$F,Lançamentos!$A:$A,X$19,Lançamentos!$C:$C,"Material de Escritório")</f>
        <v>0</v>
      </c>
      <c r="Y42" s="37">
        <f>SUMIFS(Lançamentos!$F:$F,Lançamentos!$A:$A,Y$19,Lançamentos!$C:$C,"Material de Escritório")</f>
        <v>0</v>
      </c>
      <c r="Z42" s="37">
        <f>SUMIFS(Lançamentos!$F:$F,Lançamentos!$A:$A,Z$19,Lançamentos!$C:$C,"Material de Escritório")</f>
        <v>0</v>
      </c>
      <c r="AA42" s="37">
        <f>SUMIFS(Lançamentos!$F:$F,Lançamentos!$A:$A,AA$19,Lançamentos!$C:$C,"Material de Escritório")</f>
        <v>0</v>
      </c>
      <c r="AB42" s="37">
        <f>SUMIFS(Lançamentos!$F:$F,Lançamentos!$A:$A,AB$19,Lançamentos!$C:$C,"Material de Escritório")</f>
        <v>0</v>
      </c>
      <c r="AC42" s="37">
        <f>SUMIFS(Lançamentos!$F:$F,Lançamentos!$A:$A,AC$19,Lançamentos!$C:$C,"Material de Escritório")</f>
        <v>0</v>
      </c>
      <c r="AD42" s="37">
        <f>SUMIFS(Lançamentos!$F:$F,Lançamentos!$A:$A,AD$19,Lançamentos!$C:$C,"Material de Escritório")</f>
        <v>0</v>
      </c>
      <c r="AE42" s="37">
        <f>SUMIFS(Lançamentos!$F:$F,Lançamentos!$A:$A,AE$19,Lançamentos!$C:$C,"Material de Escritório")</f>
        <v>0</v>
      </c>
      <c r="AF42" s="37">
        <f>SUMIFS(Lançamentos!$F:$F,Lançamentos!$A:$A,AF$19,Lançamentos!$C:$C,"Material de Escritório")</f>
        <v>0</v>
      </c>
      <c r="AG42" s="37">
        <f>SUMIFS(Lançamentos!$F:$F,Lançamentos!$A:$A,AG$19,Lançamentos!$C:$C,"Material de Escritório")</f>
        <v>0</v>
      </c>
      <c r="AH42" s="37">
        <f>SUMIFS(Lançamentos!$F:$F,Lançamentos!$A:$A,AH$19,Lançamentos!$C:$C,"Material de Escritório")</f>
        <v>0</v>
      </c>
      <c r="AI42" s="37">
        <f>SUMIFS(Lançamentos!$F:$F,Lançamentos!$A:$A,AI$19,Lançamentos!$C:$C,"Material de Escritório")</f>
        <v>0</v>
      </c>
      <c r="AJ42" s="37">
        <f>SUMIFS(Lançamentos!$F:$F,Lançamentos!$A:$A,AJ$19,Lançamentos!$C:$C,"Material de Escritório")</f>
        <v>0</v>
      </c>
      <c r="AK42" s="37">
        <f>SUMIFS(Lançamentos!$F:$F,Lançamentos!$A:$A,AK$19,Lançamentos!$C:$C,"Material de Escritório")</f>
        <v>0</v>
      </c>
      <c r="AL42" s="37">
        <f>SUMIFS(Lançamentos!$F:$F,Lançamentos!$A:$A,AL$19,Lançamentos!$C:$C,"Material de Escritório")</f>
        <v>0</v>
      </c>
      <c r="AM42" s="37">
        <f>SUMIFS(Lançamentos!$F:$F,Lançamentos!$A:$A,AM$19,Lançamentos!$C:$C,"Material de Escritório")</f>
        <v>0</v>
      </c>
      <c r="AN42" s="37">
        <f>SUMIFS(Lançamentos!$F:$F,Lançamentos!$A:$A,AN$19,Lançamentos!$C:$C,"Material de Escritório")</f>
        <v>0</v>
      </c>
      <c r="AO42" s="37">
        <f>SUMIFS(Lançamentos!$F:$F,Lançamentos!$A:$A,AO$19,Lançamentos!$C:$C,"Material de Escritório")</f>
        <v>0</v>
      </c>
      <c r="AP42" s="37">
        <f>SUMIFS(Lançamentos!$F:$F,Lançamentos!$A:$A,AP$19,Lançamentos!$C:$C,"Material de Escritório")</f>
        <v>0</v>
      </c>
      <c r="AQ42" s="37">
        <f>SUMIFS(Lançamentos!$F:$F,Lançamentos!$A:$A,AQ$19,Lançamentos!$C:$C,"Material de Escritório")</f>
        <v>0</v>
      </c>
      <c r="AR42" s="37">
        <f>SUMIFS(Lançamentos!$F:$F,Lançamentos!$A:$A,AR$19,Lançamentos!$C:$C,"Material de Escritório")</f>
        <v>0</v>
      </c>
      <c r="AS42" s="37">
        <f>SUMIFS(Lançamentos!$F:$F,Lançamentos!$A:$A,AS$19,Lançamentos!$C:$C,"Material de Escritório")</f>
        <v>0</v>
      </c>
      <c r="AT42" s="37">
        <f>SUMIFS(Lançamentos!$F:$F,Lançamentos!$A:$A,AT$19,Lançamentos!$C:$C,"Material de Escritório")</f>
        <v>0</v>
      </c>
      <c r="AU42" s="37">
        <f>SUMIFS(Lançamentos!$F:$F,Lançamentos!$A:$A,AU$19,Lançamentos!$C:$C,"Material de Escritório")</f>
        <v>0</v>
      </c>
      <c r="AV42" s="37">
        <f>SUMIFS(Lançamentos!$F:$F,Lançamentos!$A:$A,AV$19,Lançamentos!$C:$C,"Material de Escritório")</f>
        <v>0</v>
      </c>
      <c r="AW42" s="37">
        <f>SUMIFS(Lançamentos!$F:$F,Lançamentos!$A:$A,AW$19,Lançamentos!$C:$C,"Material de Escritório")</f>
        <v>0</v>
      </c>
      <c r="AX42" s="37">
        <f>SUMIFS(Lançamentos!$F:$F,Lançamentos!$A:$A,AX$19,Lançamentos!$C:$C,"Material de Escritório")</f>
        <v>0</v>
      </c>
      <c r="AY42" s="37">
        <f>SUMIFS(Lançamentos!$F:$F,Lançamentos!$A:$A,AY$19,Lançamentos!$C:$C,"Material de Escritório")</f>
        <v>0</v>
      </c>
      <c r="AZ42" s="37">
        <f>SUMIFS(Lançamentos!$F:$F,Lançamentos!$A:$A,AZ$19,Lançamentos!$C:$C,"Material de Escritório")</f>
        <v>0</v>
      </c>
      <c r="BA42" s="37">
        <f>SUMIFS(Lançamentos!$F:$F,Lançamentos!$A:$A,BA$19,Lançamentos!$C:$C,"Material de Escritório")</f>
        <v>0</v>
      </c>
      <c r="BB42" s="37">
        <f>SUMIFS(Lançamentos!$F:$F,Lançamentos!$A:$A,BB$19,Lançamentos!$C:$C,"Material de Escritório")</f>
        <v>0</v>
      </c>
      <c r="BC42" s="37">
        <f>SUMIFS(Lançamentos!$F:$F,Lançamentos!$A:$A,BC$19,Lançamentos!$C:$C,"Material de Escritório")</f>
        <v>0</v>
      </c>
      <c r="BD42" s="37">
        <f>SUMIFS(Lançamentos!$F:$F,Lançamentos!$A:$A,BD$19,Lançamentos!$C:$C,"Material de Escritório")</f>
        <v>0</v>
      </c>
      <c r="BE42" s="37">
        <f>SUMIFS(Lançamentos!$F:$F,Lançamentos!$A:$A,BE$19,Lançamentos!$C:$C,"Material de Escritório")</f>
        <v>0</v>
      </c>
      <c r="BF42" s="37">
        <f>SUMIFS(Lançamentos!$F:$F,Lançamentos!$A:$A,BF$19,Lançamentos!$C:$C,"Material de Escritório")</f>
        <v>0</v>
      </c>
      <c r="BG42" s="37">
        <f>SUMIFS(Lançamentos!$F:$F,Lançamentos!$A:$A,BG$19,Lançamentos!$C:$C,"Material de Escritório")</f>
        <v>0</v>
      </c>
      <c r="BH42" s="37">
        <f>SUMIFS(Lançamentos!$F:$F,Lançamentos!$A:$A,BH$19,Lançamentos!$C:$C,"Material de Escritório")</f>
        <v>0</v>
      </c>
      <c r="BI42" s="37">
        <f>SUMIFS(Lançamentos!$F:$F,Lançamentos!$A:$A,BI$19,Lançamentos!$C:$C,"Material de Escritório")</f>
        <v>0</v>
      </c>
      <c r="BJ42" s="37">
        <f>SUMIFS(Lançamentos!$F:$F,Lançamentos!$A:$A,BJ$19,Lançamentos!$C:$C,"Material de Escritório")</f>
        <v>0</v>
      </c>
      <c r="BK42" s="37">
        <f>SUMIFS(Lançamentos!$F:$F,Lançamentos!$A:$A,BK$19,Lançamentos!$C:$C,"Material de Escritório")</f>
        <v>0</v>
      </c>
      <c r="BL42" s="37">
        <f>SUMIFS(Lançamentos!$F:$F,Lançamentos!$A:$A,BL$19,Lançamentos!$C:$C,"Material de Escritório")</f>
        <v>0</v>
      </c>
      <c r="BM42" s="37">
        <f>SUMIFS(Lançamentos!$F:$F,Lançamentos!$A:$A,BM$19,Lançamentos!$C:$C,"Material de Escritório")</f>
        <v>0</v>
      </c>
      <c r="BN42" s="37">
        <f>SUMIFS(Lançamentos!$F:$F,Lançamentos!$A:$A,BN$19,Lançamentos!$C:$C,"Material de Escritório")</f>
        <v>0</v>
      </c>
      <c r="BO42" s="37">
        <f>SUMIFS(Lançamentos!$F:$F,Lançamentos!$A:$A,BO$19,Lançamentos!$C:$C,"Material de Escritório")</f>
        <v>0</v>
      </c>
      <c r="BP42" s="37">
        <f>SUMIFS(Lançamentos!$F:$F,Lançamentos!$A:$A,BP$19,Lançamentos!$C:$C,"Material de Escritório")</f>
        <v>0</v>
      </c>
      <c r="BQ42" s="37">
        <f>SUMIFS(Lançamentos!$F:$F,Lançamentos!$A:$A,BQ$19,Lançamentos!$C:$C,"Material de Escritório")</f>
        <v>0</v>
      </c>
      <c r="BR42" s="37">
        <f>SUMIFS(Lançamentos!$F:$F,Lançamentos!$A:$A,BR$19,Lançamentos!$C:$C,"Material de Escritório")</f>
        <v>0</v>
      </c>
      <c r="BS42" s="37">
        <f>SUMIFS(Lançamentos!$F:$F,Lançamentos!$A:$A,BS$19,Lançamentos!$C:$C,"Material de Escritório")</f>
        <v>0</v>
      </c>
      <c r="BT42" s="37">
        <f>SUMIFS(Lançamentos!$F:$F,Lançamentos!$A:$A,BT$19,Lançamentos!$C:$C,"Material de Escritório")</f>
        <v>0</v>
      </c>
      <c r="BU42" s="37">
        <f>SUMIFS(Lançamentos!$F:$F,Lançamentos!$A:$A,BU$19,Lançamentos!$C:$C,"Material de Escritório")</f>
        <v>0</v>
      </c>
      <c r="BV42" s="37">
        <f>SUMIFS(Lançamentos!$F:$F,Lançamentos!$A:$A,BV$19,Lançamentos!$C:$C,"Material de Escritório")</f>
        <v>0</v>
      </c>
      <c r="BW42" s="37">
        <f>SUMIFS(Lançamentos!$F:$F,Lançamentos!$A:$A,BW$19,Lançamentos!$C:$C,"Material de Escritório")</f>
        <v>0</v>
      </c>
      <c r="BX42" s="37">
        <f>SUMIFS(Lançamentos!$F:$F,Lançamentos!$A:$A,BX$19,Lançamentos!$C:$C,"Material de Escritório")</f>
        <v>0</v>
      </c>
      <c r="BY42" s="37">
        <f>SUMIFS(Lançamentos!$F:$F,Lançamentos!$A:$A,BY$19,Lançamentos!$C:$C,"Material de Escritório")</f>
        <v>0</v>
      </c>
      <c r="BZ42" s="37">
        <f>SUMIFS(Lançamentos!$F:$F,Lançamentos!$A:$A,BZ$19,Lançamentos!$C:$C,"Material de Escritório")</f>
        <v>0</v>
      </c>
      <c r="CA42" s="37">
        <f>SUMIFS(Lançamentos!$F:$F,Lançamentos!$A:$A,CA$19,Lançamentos!$C:$C,"Material de Escritório")</f>
        <v>0</v>
      </c>
      <c r="CB42" s="37">
        <f>SUMIFS(Lançamentos!$F:$F,Lançamentos!$A:$A,CB$19,Lançamentos!$C:$C,"Material de Escritório")</f>
        <v>0</v>
      </c>
      <c r="CC42" s="37">
        <f>SUMIFS(Lançamentos!$F:$F,Lançamentos!$A:$A,CC$19,Lançamentos!$C:$C,"Material de Escritório")</f>
        <v>0</v>
      </c>
      <c r="CD42" s="37">
        <f>SUMIFS(Lançamentos!$F:$F,Lançamentos!$A:$A,CD$19,Lançamentos!$C:$C,"Material de Escritório")</f>
        <v>0</v>
      </c>
      <c r="CE42" s="37">
        <f>SUMIFS(Lançamentos!$F:$F,Lançamentos!$A:$A,CE$19,Lançamentos!$C:$C,"Material de Escritório")</f>
        <v>0</v>
      </c>
      <c r="CF42" s="37">
        <f>SUMIFS(Lançamentos!$F:$F,Lançamentos!$A:$A,CF$19,Lançamentos!$C:$C,"Material de Escritório")</f>
        <v>0</v>
      </c>
      <c r="CG42" s="37">
        <f>SUMIFS(Lançamentos!$F:$F,Lançamentos!$A:$A,CG$19,Lançamentos!$C:$C,"Material de Escritório")</f>
        <v>0</v>
      </c>
      <c r="CH42" s="37">
        <f>SUMIFS(Lançamentos!$F:$F,Lançamentos!$A:$A,CH$19,Lançamentos!$C:$C,"Material de Escritório")</f>
        <v>0</v>
      </c>
      <c r="CI42" s="37">
        <f>SUMIFS(Lançamentos!$F:$F,Lançamentos!$A:$A,CI$19,Lançamentos!$C:$C,"Material de Escritório")</f>
        <v>0</v>
      </c>
      <c r="CJ42" s="37">
        <f>SUMIFS(Lançamentos!$F:$F,Lançamentos!$A:$A,CJ$19,Lançamentos!$C:$C,"Material de Escritório")</f>
        <v>0</v>
      </c>
      <c r="CK42" s="37">
        <f>SUMIFS(Lançamentos!$F:$F,Lançamentos!$A:$A,CK$19,Lançamentos!$C:$C,"Material de Escritório")</f>
        <v>0</v>
      </c>
      <c r="CL42" s="37">
        <f>SUMIFS(Lançamentos!$F:$F,Lançamentos!$A:$A,CL$19,Lançamentos!$C:$C,"Material de Escritório")</f>
        <v>0</v>
      </c>
      <c r="CM42" s="37">
        <f>SUMIFS(Lançamentos!$F:$F,Lançamentos!$A:$A,CM$19,Lançamentos!$C:$C,"Material de Escritório")</f>
        <v>0</v>
      </c>
      <c r="CN42" s="37">
        <f>SUMIFS(Lançamentos!$F:$F,Lançamentos!$A:$A,CN$19,Lançamentos!$C:$C,"Material de Escritório")</f>
        <v>0</v>
      </c>
      <c r="CO42" s="37">
        <f>SUMIFS(Lançamentos!$F:$F,Lançamentos!$A:$A,CO$19,Lançamentos!$C:$C,"Material de Escritório")</f>
        <v>0</v>
      </c>
      <c r="CP42" s="37">
        <f>SUMIFS(Lançamentos!$F:$F,Lançamentos!$A:$A,CP$19,Lançamentos!$C:$C,"Material de Escritório")</f>
        <v>0</v>
      </c>
      <c r="CQ42" s="37">
        <f>SUMIFS(Lançamentos!$F:$F,Lançamentos!$A:$A,CQ$19,Lançamentos!$C:$C,"Material de Escritório")</f>
        <v>0</v>
      </c>
      <c r="CR42" s="37">
        <f>SUMIFS(Lançamentos!$F:$F,Lançamentos!$A:$A,CR$19,Lançamentos!$C:$C,"Material de Escritório")</f>
        <v>0</v>
      </c>
      <c r="CS42" s="37">
        <f>SUMIFS(Lançamentos!$F:$F,Lançamentos!$A:$A,CS$19,Lançamentos!$C:$C,"Material de Escritório")</f>
        <v>0</v>
      </c>
      <c r="CT42" s="37">
        <f>SUMIFS(Lançamentos!$F:$F,Lançamentos!$A:$A,CT$19,Lançamentos!$C:$C,"Material de Escritório")</f>
        <v>0</v>
      </c>
      <c r="CU42" s="37">
        <f>SUMIFS(Lançamentos!$F:$F,Lançamentos!$A:$A,CU$19,Lançamentos!$C:$C,"Material de Escritório")</f>
        <v>0</v>
      </c>
      <c r="CV42" s="37">
        <f>SUMIFS(Lançamentos!$F:$F,Lançamentos!$A:$A,CV$19,Lançamentos!$C:$C,"Material de Escritório")</f>
        <v>0</v>
      </c>
      <c r="CW42" s="37">
        <f>SUMIFS(Lançamentos!$F:$F,Lançamentos!$A:$A,CW$19,Lançamentos!$C:$C,"Material de Escritório")</f>
        <v>0</v>
      </c>
      <c r="CX42" s="37">
        <f>SUMIFS(Lançamentos!$F:$F,Lançamentos!$A:$A,CX$19,Lançamentos!$C:$C,"Material de Escritório")</f>
        <v>0</v>
      </c>
      <c r="CY42" s="37">
        <f>SUMIFS(Lançamentos!$F:$F,Lançamentos!$A:$A,CY$19,Lançamentos!$C:$C,"Material de Escritório")</f>
        <v>0</v>
      </c>
      <c r="CZ42" s="37">
        <f>SUMIFS(Lançamentos!$F:$F,Lançamentos!$A:$A,CZ$19,Lançamentos!$C:$C,"Material de Escritório")</f>
        <v>0</v>
      </c>
      <c r="DA42" s="37">
        <f>SUMIFS(Lançamentos!$F:$F,Lançamentos!$A:$A,DA$19,Lançamentos!$C:$C,"Material de Escritório")</f>
        <v>0</v>
      </c>
      <c r="DB42" s="37">
        <f>SUMIFS(Lançamentos!$F:$F,Lançamentos!$A:$A,DB$19,Lançamentos!$C:$C,"Material de Escritório")</f>
        <v>0</v>
      </c>
      <c r="DC42" s="37">
        <f>SUMIFS(Lançamentos!$F:$F,Lançamentos!$A:$A,DC$19,Lançamentos!$C:$C,"Material de Escritório")</f>
        <v>0</v>
      </c>
      <c r="DD42" s="37">
        <f>SUMIFS(Lançamentos!$F:$F,Lançamentos!$A:$A,DD$19,Lançamentos!$C:$C,"Material de Escritório")</f>
        <v>0</v>
      </c>
      <c r="DE42" s="37">
        <f>SUMIFS(Lançamentos!$F:$F,Lançamentos!$A:$A,DE$19,Lançamentos!$C:$C,"Material de Escritório")</f>
        <v>0</v>
      </c>
      <c r="DF42" s="37">
        <f>SUMIFS(Lançamentos!$F:$F,Lançamentos!$A:$A,DF$19,Lançamentos!$C:$C,"Material de Escritório")</f>
        <v>0</v>
      </c>
      <c r="DG42" s="37">
        <f>SUMIFS(Lançamentos!$F:$F,Lançamentos!$A:$A,DG$19,Lançamentos!$C:$C,"Material de Escritório")</f>
        <v>0</v>
      </c>
      <c r="DH42" s="37">
        <f>SUMIFS(Lançamentos!$F:$F,Lançamentos!$A:$A,DH$19,Lançamentos!$C:$C,"Material de Escritório")</f>
        <v>0</v>
      </c>
      <c r="DI42" s="37">
        <f>SUMIFS(Lançamentos!$F:$F,Lançamentos!$A:$A,DI$19,Lançamentos!$C:$C,"Material de Escritório")</f>
        <v>0</v>
      </c>
      <c r="DJ42" s="37">
        <f>SUMIFS(Lançamentos!$F:$F,Lançamentos!$A:$A,DJ$19,Lançamentos!$C:$C,"Material de Escritório")</f>
        <v>0</v>
      </c>
      <c r="DK42" s="37">
        <f>SUMIFS(Lançamentos!$F:$F,Lançamentos!$A:$A,DK$19,Lançamentos!$C:$C,"Material de Escritório")</f>
        <v>0</v>
      </c>
      <c r="DL42" s="37">
        <f>SUMIFS(Lançamentos!$F:$F,Lançamentos!$A:$A,DL$19,Lançamentos!$C:$C,"Material de Escritório")</f>
        <v>0</v>
      </c>
      <c r="DM42" s="37">
        <f>SUMIFS(Lançamentos!$F:$F,Lançamentos!$A:$A,DM$19,Lançamentos!$C:$C,"Material de Escritório")</f>
        <v>0</v>
      </c>
      <c r="DN42" s="37">
        <f>SUMIFS(Lançamentos!$F:$F,Lançamentos!$A:$A,DN$19,Lançamentos!$C:$C,"Material de Escritório")</f>
        <v>0</v>
      </c>
      <c r="DO42" s="37">
        <f>SUMIFS(Lançamentos!$F:$F,Lançamentos!$A:$A,DO$19,Lançamentos!$C:$C,"Material de Escritório")</f>
        <v>0</v>
      </c>
      <c r="DP42" s="37">
        <f>SUMIFS(Lançamentos!$F:$F,Lançamentos!$A:$A,DP$19,Lançamentos!$C:$C,"Material de Escritório")</f>
        <v>0</v>
      </c>
      <c r="DQ42" s="37">
        <f>SUMIFS(Lançamentos!$F:$F,Lançamentos!$A:$A,DQ$19,Lançamentos!$C:$C,"Material de Escritório")</f>
        <v>0</v>
      </c>
      <c r="DR42" s="37">
        <f>SUMIFS(Lançamentos!$F:$F,Lançamentos!$A:$A,DR$19,Lançamentos!$C:$C,"Material de Escritório")</f>
        <v>0</v>
      </c>
      <c r="DS42" s="37">
        <f>SUMIFS(Lançamentos!$F:$F,Lançamentos!$A:$A,DS$19,Lançamentos!$C:$C,"Material de Escritório")</f>
        <v>0</v>
      </c>
      <c r="DT42" s="37">
        <f>SUMIFS(Lançamentos!$F:$F,Lançamentos!$A:$A,DT$19,Lançamentos!$C:$C,"Material de Escritório")</f>
        <v>0</v>
      </c>
      <c r="DU42" s="37">
        <f>SUMIFS(Lançamentos!$F:$F,Lançamentos!$A:$A,DU$19,Lançamentos!$C:$C,"Material de Escritório")</f>
        <v>0</v>
      </c>
      <c r="DV42" s="37">
        <f>SUMIFS(Lançamentos!$F:$F,Lançamentos!$A:$A,DV$19,Lançamentos!$C:$C,"Material de Escritório")</f>
        <v>0</v>
      </c>
      <c r="DW42" s="37">
        <f>SUMIFS(Lançamentos!$F:$F,Lançamentos!$A:$A,DW$19,Lançamentos!$C:$C,"Material de Escritório")</f>
        <v>0</v>
      </c>
      <c r="DX42" s="37">
        <f>SUMIFS(Lançamentos!$F:$F,Lançamentos!$A:$A,DX$19,Lançamentos!$C:$C,"Material de Escritório")</f>
        <v>0</v>
      </c>
      <c r="DY42" s="37">
        <f>SUMIFS(Lançamentos!$F:$F,Lançamentos!$A:$A,DY$19,Lançamentos!$C:$C,"Material de Escritório")</f>
        <v>0</v>
      </c>
      <c r="DZ42" s="37">
        <f>SUMIFS(Lançamentos!$F:$F,Lançamentos!$A:$A,DZ$19,Lançamentos!$C:$C,"Material de Escritório")</f>
        <v>0</v>
      </c>
      <c r="EA42" s="37">
        <f>SUMIFS(Lançamentos!$F:$F,Lançamentos!$A:$A,EA$19,Lançamentos!$C:$C,"Material de Escritório")</f>
        <v>0</v>
      </c>
      <c r="EB42" s="37">
        <f>SUMIFS(Lançamentos!$F:$F,Lançamentos!$A:$A,EB$19,Lançamentos!$C:$C,"Material de Escritório")</f>
        <v>0</v>
      </c>
      <c r="EC42" s="37">
        <f>SUMIFS(Lançamentos!$F:$F,Lançamentos!$A:$A,EC$19,Lançamentos!$C:$C,"Material de Escritório")</f>
        <v>0</v>
      </c>
      <c r="ED42" s="37">
        <f>SUMIFS(Lançamentos!$F:$F,Lançamentos!$A:$A,ED$19,Lançamentos!$C:$C,"Material de Escritório")</f>
        <v>0</v>
      </c>
      <c r="EE42" s="37">
        <f>SUMIFS(Lançamentos!$F:$F,Lançamentos!$A:$A,EE$19,Lançamentos!$C:$C,"Material de Escritório")</f>
        <v>0</v>
      </c>
      <c r="EF42" s="37">
        <f>SUMIFS(Lançamentos!$F:$F,Lançamentos!$A:$A,EF$19,Lançamentos!$C:$C,"Material de Escritório")</f>
        <v>0</v>
      </c>
      <c r="EG42" s="37">
        <f>SUMIFS(Lançamentos!$F:$F,Lançamentos!$A:$A,EG$19,Lançamentos!$C:$C,"Material de Escritório")</f>
        <v>0</v>
      </c>
      <c r="EH42" s="37">
        <f>SUMIFS(Lançamentos!$F:$F,Lançamentos!$A:$A,EH$19,Lançamentos!$C:$C,"Material de Escritório")</f>
        <v>0</v>
      </c>
      <c r="EI42" s="37">
        <f>SUMIFS(Lançamentos!$F:$F,Lançamentos!$A:$A,EI$19,Lançamentos!$C:$C,"Material de Escritório")</f>
        <v>0</v>
      </c>
      <c r="EJ42" s="37">
        <f>SUMIFS(Lançamentos!$F:$F,Lançamentos!$A:$A,EJ$19,Lançamentos!$C:$C,"Material de Escritório")</f>
        <v>0</v>
      </c>
      <c r="EK42" s="37">
        <f>SUMIFS(Lançamentos!$F:$F,Lançamentos!$A:$A,EK$19,Lançamentos!$C:$C,"Material de Escritório")</f>
        <v>0</v>
      </c>
      <c r="EL42" s="37">
        <f>SUMIFS(Lançamentos!$F:$F,Lançamentos!$A:$A,EL$19,Lançamentos!$C:$C,"Material de Escritório")</f>
        <v>0</v>
      </c>
      <c r="EM42" s="37">
        <f>SUMIFS(Lançamentos!$F:$F,Lançamentos!$A:$A,EM$19,Lançamentos!$C:$C,"Material de Escritório")</f>
        <v>0</v>
      </c>
      <c r="EN42" s="37">
        <f>SUMIFS(Lançamentos!$F:$F,Lançamentos!$A:$A,EN$19,Lançamentos!$C:$C,"Material de Escritório")</f>
        <v>0</v>
      </c>
      <c r="EO42" s="37">
        <f>SUMIFS(Lançamentos!$F:$F,Lançamentos!$A:$A,EO$19,Lançamentos!$C:$C,"Material de Escritório")</f>
        <v>0</v>
      </c>
      <c r="EP42" s="37">
        <f>SUMIFS(Lançamentos!$F:$F,Lançamentos!$A:$A,EP$19,Lançamentos!$C:$C,"Material de Escritório")</f>
        <v>0</v>
      </c>
      <c r="EQ42" s="37">
        <f>SUMIFS(Lançamentos!$F:$F,Lançamentos!$A:$A,EQ$19,Lançamentos!$C:$C,"Material de Escritório")</f>
        <v>0</v>
      </c>
      <c r="ER42" s="37">
        <f>SUMIFS(Lançamentos!$F:$F,Lançamentos!$A:$A,ER$19,Lançamentos!$C:$C,"Material de Escritório")</f>
        <v>0</v>
      </c>
      <c r="ES42" s="37">
        <f>SUMIFS(Lançamentos!$F:$F,Lançamentos!$A:$A,ES$19,Lançamentos!$C:$C,"Material de Escritório")</f>
        <v>0</v>
      </c>
      <c r="ET42" s="37">
        <f>SUMIFS(Lançamentos!$F:$F,Lançamentos!$A:$A,ET$19,Lançamentos!$C:$C,"Material de Escritório")</f>
        <v>0</v>
      </c>
      <c r="EU42" s="37">
        <f>SUMIFS(Lançamentos!$F:$F,Lançamentos!$A:$A,EU$19,Lançamentos!$C:$C,"Material de Escritório")</f>
        <v>0</v>
      </c>
      <c r="EV42" s="37">
        <f>SUMIFS(Lançamentos!$F:$F,Lançamentos!$A:$A,EV$19,Lançamentos!$C:$C,"Material de Escritório")</f>
        <v>0</v>
      </c>
      <c r="EW42" s="37">
        <f>SUMIFS(Lançamentos!$F:$F,Lançamentos!$A:$A,EW$19,Lançamentos!$C:$C,"Material de Escritório")</f>
        <v>0</v>
      </c>
      <c r="EX42" s="37">
        <f>SUMIFS(Lançamentos!$F:$F,Lançamentos!$A:$A,EX$19,Lançamentos!$C:$C,"Material de Escritório")</f>
        <v>0</v>
      </c>
      <c r="EY42" s="37">
        <f>SUMIFS(Lançamentos!$F:$F,Lançamentos!$A:$A,EY$19,Lançamentos!$C:$C,"Material de Escritório")</f>
        <v>0</v>
      </c>
      <c r="EZ42" s="37">
        <f>SUMIFS(Lançamentos!$F:$F,Lançamentos!$A:$A,EZ$19,Lançamentos!$C:$C,"Material de Escritório")</f>
        <v>0</v>
      </c>
      <c r="FA42" s="37">
        <f>SUMIFS(Lançamentos!$F:$F,Lançamentos!$A:$A,FA$19,Lançamentos!$C:$C,"Material de Escritório")</f>
        <v>0</v>
      </c>
      <c r="FB42" s="37">
        <f>SUMIFS(Lançamentos!$F:$F,Lançamentos!$A:$A,FB$19,Lançamentos!$C:$C,"Material de Escritório")</f>
        <v>0</v>
      </c>
      <c r="FC42" s="37">
        <f>SUMIFS(Lançamentos!$F:$F,Lançamentos!$A:$A,FC$19,Lançamentos!$C:$C,"Material de Escritório")</f>
        <v>0</v>
      </c>
      <c r="FD42" s="37">
        <f>SUMIFS(Lançamentos!$F:$F,Lançamentos!$A:$A,FD$19,Lançamentos!$C:$C,"Material de Escritório")</f>
        <v>0</v>
      </c>
      <c r="FE42" s="37">
        <f>SUMIFS(Lançamentos!$F:$F,Lançamentos!$A:$A,FE$19,Lançamentos!$C:$C,"Material de Escritório")</f>
        <v>0</v>
      </c>
      <c r="FF42" s="37">
        <f>SUMIFS(Lançamentos!$F:$F,Lançamentos!$A:$A,FF$19,Lançamentos!$C:$C,"Material de Escritório")</f>
        <v>0</v>
      </c>
      <c r="FG42" s="37">
        <f>SUMIFS(Lançamentos!$F:$F,Lançamentos!$A:$A,FG$19,Lançamentos!$C:$C,"Material de Escritório")</f>
        <v>0</v>
      </c>
      <c r="FH42" s="37">
        <f>SUMIFS(Lançamentos!$F:$F,Lançamentos!$A:$A,FH$19,Lançamentos!$C:$C,"Material de Escritório")</f>
        <v>0</v>
      </c>
      <c r="FI42" s="37">
        <f>SUMIFS(Lançamentos!$F:$F,Lançamentos!$A:$A,FI$19,Lançamentos!$C:$C,"Material de Escritório")</f>
        <v>0</v>
      </c>
      <c r="FJ42" s="37">
        <f>SUMIFS(Lançamentos!$F:$F,Lançamentos!$A:$A,FJ$19,Lançamentos!$C:$C,"Material de Escritório")</f>
        <v>0</v>
      </c>
      <c r="FK42" s="37">
        <f>SUMIFS(Lançamentos!$F:$F,Lançamentos!$A:$A,FK$19,Lançamentos!$C:$C,"Material de Escritório")</f>
        <v>0</v>
      </c>
      <c r="FL42" s="37">
        <f>SUMIFS(Lançamentos!$F:$F,Lançamentos!$A:$A,FL$19,Lançamentos!$C:$C,"Material de Escritório")</f>
        <v>0</v>
      </c>
      <c r="FM42" s="37">
        <f>SUMIFS(Lançamentos!$F:$F,Lançamentos!$A:$A,FM$19,Lançamentos!$C:$C,"Material de Escritório")</f>
        <v>0</v>
      </c>
      <c r="FN42" s="37">
        <f>SUMIFS(Lançamentos!$F:$F,Lançamentos!$A:$A,FN$19,Lançamentos!$C:$C,"Material de Escritório")</f>
        <v>0</v>
      </c>
      <c r="FO42" s="37">
        <f>SUMIFS(Lançamentos!$F:$F,Lançamentos!$A:$A,FO$19,Lançamentos!$C:$C,"Material de Escritório")</f>
        <v>0</v>
      </c>
      <c r="FP42" s="37">
        <f>SUMIFS(Lançamentos!$F:$F,Lançamentos!$A:$A,FP$19,Lançamentos!$C:$C,"Material de Escritório")</f>
        <v>0</v>
      </c>
      <c r="FQ42" s="37">
        <f>SUMIFS(Lançamentos!$F:$F,Lançamentos!$A:$A,FQ$19,Lançamentos!$C:$C,"Material de Escritório")</f>
        <v>0</v>
      </c>
      <c r="FR42" s="37">
        <f>SUMIFS(Lançamentos!$F:$F,Lançamentos!$A:$A,FR$19,Lançamentos!$C:$C,"Material de Escritório")</f>
        <v>0</v>
      </c>
      <c r="FS42" s="37">
        <f>SUMIFS(Lançamentos!$F:$F,Lançamentos!$A:$A,FS$19,Lançamentos!$C:$C,"Material de Escritório")</f>
        <v>0</v>
      </c>
      <c r="FT42" s="37">
        <f>SUMIFS(Lançamentos!$F:$F,Lançamentos!$A:$A,FT$19,Lançamentos!$C:$C,"Material de Escritório")</f>
        <v>0</v>
      </c>
      <c r="FU42" s="37">
        <f>SUMIFS(Lançamentos!$F:$F,Lançamentos!$A:$A,FU$19,Lançamentos!$C:$C,"Material de Escritório")</f>
        <v>0</v>
      </c>
      <c r="FV42" s="37">
        <f>SUMIFS(Lançamentos!$F:$F,Lançamentos!$A:$A,FV$19,Lançamentos!$C:$C,"Material de Escritório")</f>
        <v>0</v>
      </c>
      <c r="FW42" s="37">
        <f>SUMIFS(Lançamentos!$F:$F,Lançamentos!$A:$A,FW$19,Lançamentos!$C:$C,"Material de Escritório")</f>
        <v>0</v>
      </c>
      <c r="FX42" s="37">
        <f>SUMIFS(Lançamentos!$F:$F,Lançamentos!$A:$A,FX$19,Lançamentos!$C:$C,"Material de Escritório")</f>
        <v>0</v>
      </c>
      <c r="FY42" s="37">
        <f>SUMIFS(Lançamentos!$F:$F,Lançamentos!$A:$A,FY$19,Lançamentos!$C:$C,"Material de Escritório")</f>
        <v>0</v>
      </c>
      <c r="FZ42" s="37">
        <f>SUMIFS(Lançamentos!$F:$F,Lançamentos!$A:$A,FZ$19,Lançamentos!$C:$C,"Material de Escritório")</f>
        <v>0</v>
      </c>
      <c r="GA42" s="37">
        <f>SUMIFS(Lançamentos!$F:$F,Lançamentos!$A:$A,GA$19,Lançamentos!$C:$C,"Material de Escritório")</f>
        <v>0</v>
      </c>
      <c r="GB42" s="37">
        <f>SUMIFS(Lançamentos!$F:$F,Lançamentos!$A:$A,GB$19,Lançamentos!$C:$C,"Material de Escritório")</f>
        <v>0</v>
      </c>
      <c r="GC42" s="37">
        <f>SUMIFS(Lançamentos!$F:$F,Lançamentos!$A:$A,GC$19,Lançamentos!$C:$C,"Material de Escritório")</f>
        <v>0</v>
      </c>
      <c r="GD42" s="37">
        <f>SUMIFS(Lançamentos!$F:$F,Lançamentos!$A:$A,GD$19,Lançamentos!$C:$C,"Material de Escritório")</f>
        <v>0</v>
      </c>
      <c r="GE42" s="37">
        <f>SUMIFS(Lançamentos!$F:$F,Lançamentos!$A:$A,GE$19,Lançamentos!$C:$C,"Material de Escritório")</f>
        <v>0</v>
      </c>
      <c r="GF42" s="37">
        <f>SUMIFS(Lançamentos!$F:$F,Lançamentos!$A:$A,GF$19,Lançamentos!$C:$C,"Material de Escritório")</f>
        <v>0</v>
      </c>
      <c r="GG42" s="37">
        <f>SUMIFS(Lançamentos!$F:$F,Lançamentos!$A:$A,GG$19,Lançamentos!$C:$C,"Material de Escritório")</f>
        <v>0</v>
      </c>
      <c r="GH42" s="37">
        <f>SUMIFS(Lançamentos!$F:$F,Lançamentos!$A:$A,GH$19,Lançamentos!$C:$C,"Material de Escritório")</f>
        <v>0</v>
      </c>
      <c r="GI42" s="37">
        <f>SUMIFS(Lançamentos!$F:$F,Lançamentos!$A:$A,GI$19,Lançamentos!$C:$C,"Material de Escritório")</f>
        <v>0</v>
      </c>
      <c r="GJ42" s="37">
        <f>SUMIFS(Lançamentos!$F:$F,Lançamentos!$A:$A,GJ$19,Lançamentos!$C:$C,"Material de Escritório")</f>
        <v>0</v>
      </c>
      <c r="GK42" s="37">
        <f>SUMIFS(Lançamentos!$F:$F,Lançamentos!$A:$A,GK$19,Lançamentos!$C:$C,"Material de Escritório")</f>
        <v>0</v>
      </c>
      <c r="GL42" s="37">
        <f>SUMIFS(Lançamentos!$F:$F,Lançamentos!$A:$A,GL$19,Lançamentos!$C:$C,"Material de Escritório")</f>
        <v>0</v>
      </c>
      <c r="GM42" s="37">
        <f>SUMIFS(Lançamentos!$F:$F,Lançamentos!$A:$A,GM$19,Lançamentos!$C:$C,"Material de Escritório")</f>
        <v>0</v>
      </c>
      <c r="GN42" s="37">
        <f>SUMIFS(Lançamentos!$F:$F,Lançamentos!$A:$A,GN$19,Lançamentos!$C:$C,"Material de Escritório")</f>
        <v>0</v>
      </c>
      <c r="GO42" s="37">
        <f>SUMIFS(Lançamentos!$F:$F,Lançamentos!$A:$A,GO$19,Lançamentos!$C:$C,"Material de Escritório")</f>
        <v>0</v>
      </c>
      <c r="GP42" s="37">
        <f>SUMIFS(Lançamentos!$F:$F,Lançamentos!$A:$A,GP$19,Lançamentos!$C:$C,"Material de Escritório")</f>
        <v>0</v>
      </c>
      <c r="GQ42" s="37">
        <f>SUMIFS(Lançamentos!$F:$F,Lançamentos!$A:$A,GQ$19,Lançamentos!$C:$C,"Material de Escritório")</f>
        <v>0</v>
      </c>
      <c r="GR42" s="37">
        <f>SUMIFS(Lançamentos!$F:$F,Lançamentos!$A:$A,GR$19,Lançamentos!$C:$C,"Material de Escritório")</f>
        <v>0</v>
      </c>
      <c r="GS42" s="37">
        <f>SUMIFS(Lançamentos!$F:$F,Lançamentos!$A:$A,GS$19,Lançamentos!$C:$C,"Material de Escritório")</f>
        <v>0</v>
      </c>
      <c r="GT42" s="37">
        <f>SUMIFS(Lançamentos!$F:$F,Lançamentos!$A:$A,GT$19,Lançamentos!$C:$C,"Material de Escritório")</f>
        <v>0</v>
      </c>
      <c r="GU42" s="37">
        <f>SUMIFS(Lançamentos!$F:$F,Lançamentos!$A:$A,GU$19,Lançamentos!$C:$C,"Material de Escritório")</f>
        <v>0</v>
      </c>
      <c r="GV42" s="37">
        <f>SUMIFS(Lançamentos!$F:$F,Lançamentos!$A:$A,GV$19,Lançamentos!$C:$C,"Material de Escritório")</f>
        <v>0</v>
      </c>
      <c r="GW42" s="37">
        <f>SUMIFS(Lançamentos!$F:$F,Lançamentos!$A:$A,GW$19,Lançamentos!$C:$C,"Material de Escritório")</f>
        <v>0</v>
      </c>
      <c r="GX42" s="37">
        <f>SUMIFS(Lançamentos!$F:$F,Lançamentos!$A:$A,GX$19,Lançamentos!$C:$C,"Material de Escritório")</f>
        <v>0</v>
      </c>
      <c r="GY42" s="37">
        <f>SUMIFS(Lançamentos!$F:$F,Lançamentos!$A:$A,GY$19,Lançamentos!$C:$C,"Material de Escritório")</f>
        <v>0</v>
      </c>
      <c r="GZ42" s="37">
        <f>SUMIFS(Lançamentos!$F:$F,Lançamentos!$A:$A,GZ$19,Lançamentos!$C:$C,"Material de Escritório")</f>
        <v>0</v>
      </c>
      <c r="HA42" s="37">
        <f>SUMIFS(Lançamentos!$F:$F,Lançamentos!$A:$A,HA$19,Lançamentos!$C:$C,"Material de Escritório")</f>
        <v>0</v>
      </c>
      <c r="HB42" s="37">
        <f>SUMIFS(Lançamentos!$F:$F,Lançamentos!$A:$A,HB$19,Lançamentos!$C:$C,"Material de Escritório")</f>
        <v>0</v>
      </c>
      <c r="HC42" s="37">
        <f>SUMIFS(Lançamentos!$F:$F,Lançamentos!$A:$A,HC$19,Lançamentos!$C:$C,"Material de Escritório")</f>
        <v>0</v>
      </c>
      <c r="HD42" s="37">
        <f>SUMIFS(Lançamentos!$F:$F,Lançamentos!$A:$A,HD$19,Lançamentos!$C:$C,"Material de Escritório")</f>
        <v>0</v>
      </c>
      <c r="HE42" s="37">
        <f>SUMIFS(Lançamentos!$F:$F,Lançamentos!$A:$A,HE$19,Lançamentos!$C:$C,"Material de Escritório")</f>
        <v>0</v>
      </c>
      <c r="HF42" s="37">
        <f>SUMIFS(Lançamentos!$F:$F,Lançamentos!$A:$A,HF$19,Lançamentos!$C:$C,"Material de Escritório")</f>
        <v>0</v>
      </c>
      <c r="HG42" s="37">
        <f>SUMIFS(Lançamentos!$F:$F,Lançamentos!$A:$A,HG$19,Lançamentos!$C:$C,"Material de Escritório")</f>
        <v>0</v>
      </c>
      <c r="HH42" s="37">
        <f>SUMIFS(Lançamentos!$F:$F,Lançamentos!$A:$A,HH$19,Lançamentos!$C:$C,"Material de Escritório")</f>
        <v>0</v>
      </c>
      <c r="HI42" s="37">
        <f>SUMIFS(Lançamentos!$F:$F,Lançamentos!$A:$A,HI$19,Lançamentos!$C:$C,"Material de Escritório")</f>
        <v>0</v>
      </c>
      <c r="HJ42" s="37">
        <f>SUMIFS(Lançamentos!$F:$F,Lançamentos!$A:$A,HJ$19,Lançamentos!$C:$C,"Material de Escritório")</f>
        <v>0</v>
      </c>
      <c r="HK42" s="37">
        <f>SUMIFS(Lançamentos!$F:$F,Lançamentos!$A:$A,HK$19,Lançamentos!$C:$C,"Material de Escritório")</f>
        <v>0</v>
      </c>
      <c r="HL42" s="37">
        <f>SUMIFS(Lançamentos!$F:$F,Lançamentos!$A:$A,HL$19,Lançamentos!$C:$C,"Material de Escritório")</f>
        <v>0</v>
      </c>
      <c r="HM42" s="37">
        <f>SUMIFS(Lançamentos!$F:$F,Lançamentos!$A:$A,HM$19,Lançamentos!$C:$C,"Material de Escritório")</f>
        <v>0</v>
      </c>
      <c r="HN42" s="37">
        <f>SUMIFS(Lançamentos!$F:$F,Lançamentos!$A:$A,HN$19,Lançamentos!$C:$C,"Material de Escritório")</f>
        <v>0</v>
      </c>
      <c r="HO42" s="37">
        <f>SUMIFS(Lançamentos!$F:$F,Lançamentos!$A:$A,HO$19,Lançamentos!$C:$C,"Material de Escritório")</f>
        <v>0</v>
      </c>
      <c r="HP42" s="37">
        <f>SUMIFS(Lançamentos!$F:$F,Lançamentos!$A:$A,HP$19,Lançamentos!$C:$C,"Material de Escritório")</f>
        <v>0</v>
      </c>
      <c r="HQ42" s="37">
        <f>SUMIFS(Lançamentos!$F:$F,Lançamentos!$A:$A,HQ$19,Lançamentos!$C:$C,"Material de Escritório")</f>
        <v>0</v>
      </c>
      <c r="HR42" s="37">
        <f>SUMIFS(Lançamentos!$F:$F,Lançamentos!$A:$A,HR$19,Lançamentos!$C:$C,"Material de Escritório")</f>
        <v>0</v>
      </c>
      <c r="HS42" s="37">
        <f>SUMIFS(Lançamentos!$F:$F,Lançamentos!$A:$A,HS$19,Lançamentos!$C:$C,"Material de Escritório")</f>
        <v>0</v>
      </c>
      <c r="HT42" s="37">
        <f>SUMIFS(Lançamentos!$F:$F,Lançamentos!$A:$A,HT$19,Lançamentos!$C:$C,"Material de Escritório")</f>
        <v>0</v>
      </c>
      <c r="HU42" s="37">
        <f>SUMIFS(Lançamentos!$F:$F,Lançamentos!$A:$A,HU$19,Lançamentos!$C:$C,"Material de Escritório")</f>
        <v>0</v>
      </c>
      <c r="HV42" s="37">
        <f>SUMIFS(Lançamentos!$F:$F,Lançamentos!$A:$A,HV$19,Lançamentos!$C:$C,"Material de Escritório")</f>
        <v>0</v>
      </c>
      <c r="HW42" s="37">
        <f>SUMIFS(Lançamentos!$F:$F,Lançamentos!$A:$A,HW$19,Lançamentos!$C:$C,"Material de Escritório")</f>
        <v>0</v>
      </c>
      <c r="HX42" s="37">
        <f>SUMIFS(Lançamentos!$F:$F,Lançamentos!$A:$A,HX$19,Lançamentos!$C:$C,"Material de Escritório")</f>
        <v>0</v>
      </c>
      <c r="HY42" s="37">
        <f>SUMIFS(Lançamentos!$F:$F,Lançamentos!$A:$A,HY$19,Lançamentos!$C:$C,"Material de Escritório")</f>
        <v>0</v>
      </c>
      <c r="HZ42" s="37">
        <f>SUMIFS(Lançamentos!$F:$F,Lançamentos!$A:$A,HZ$19,Lançamentos!$C:$C,"Material de Escritório")</f>
        <v>0</v>
      </c>
      <c r="IA42" s="37">
        <f>SUMIFS(Lançamentos!$F:$F,Lançamentos!$A:$A,IA$19,Lançamentos!$C:$C,"Material de Escritório")</f>
        <v>0</v>
      </c>
      <c r="IB42" s="37">
        <f>SUMIFS(Lançamentos!$F:$F,Lançamentos!$A:$A,IB$19,Lançamentos!$C:$C,"Material de Escritório")</f>
        <v>0</v>
      </c>
      <c r="IC42" s="37">
        <f>SUMIFS(Lançamentos!$F:$F,Lançamentos!$A:$A,IC$19,Lançamentos!$C:$C,"Material de Escritório")</f>
        <v>0</v>
      </c>
      <c r="ID42" s="37">
        <f>SUMIFS(Lançamentos!$F:$F,Lançamentos!$A:$A,ID$19,Lançamentos!$C:$C,"Material de Escritório")</f>
        <v>0</v>
      </c>
      <c r="IE42" s="37">
        <f>SUMIFS(Lançamentos!$F:$F,Lançamentos!$A:$A,IE$19,Lançamentos!$C:$C,"Material de Escritório")</f>
        <v>0</v>
      </c>
      <c r="IF42" s="37">
        <f>SUMIFS(Lançamentos!$F:$F,Lançamentos!$A:$A,IF$19,Lançamentos!$C:$C,"Material de Escritório")</f>
        <v>0</v>
      </c>
      <c r="IG42" s="37">
        <f>SUMIFS(Lançamentos!$F:$F,Lançamentos!$A:$A,IG$19,Lançamentos!$C:$C,"Material de Escritório")</f>
        <v>0</v>
      </c>
      <c r="IH42" s="37">
        <f>SUMIFS(Lançamentos!$F:$F,Lançamentos!$A:$A,IH$19,Lançamentos!$C:$C,"Material de Escritório")</f>
        <v>0</v>
      </c>
      <c r="II42" s="37">
        <f>SUMIFS(Lançamentos!$F:$F,Lançamentos!$A:$A,II$19,Lançamentos!$C:$C,"Material de Escritório")</f>
        <v>0</v>
      </c>
      <c r="IJ42" s="37">
        <f>SUMIFS(Lançamentos!$F:$F,Lançamentos!$A:$A,IJ$19,Lançamentos!$C:$C,"Material de Escritório")</f>
        <v>0</v>
      </c>
      <c r="IK42" s="37">
        <f>SUMIFS(Lançamentos!$F:$F,Lançamentos!$A:$A,IK$19,Lançamentos!$C:$C,"Material de Escritório")</f>
        <v>0</v>
      </c>
      <c r="IL42" s="37">
        <f>SUMIFS(Lançamentos!$F:$F,Lançamentos!$A:$A,IL$19,Lançamentos!$C:$C,"Material de Escritório")</f>
        <v>0</v>
      </c>
    </row>
    <row r="43" spans="1:246" x14ac:dyDescent="0.3">
      <c r="A43" t="s">
        <v>18</v>
      </c>
      <c r="B43" s="37">
        <f>SUMIFS(Lançamentos!$F:$F,Lançamentos!$A:$A,B$19,Lançamentos!$C:$C,"Marketing e Publicidade")</f>
        <v>0</v>
      </c>
      <c r="C43" s="37">
        <f>SUMIFS(Lançamentos!$F:$F,Lançamentos!$A:$A,C$19,Lançamentos!$C:$C,"Marketing e Publicidade")</f>
        <v>0</v>
      </c>
      <c r="D43" s="37">
        <f>SUMIFS(Lançamentos!$F:$F,Lançamentos!$A:$A,D$19,Lançamentos!$C:$C,"Marketing e Publicidade")</f>
        <v>0</v>
      </c>
      <c r="E43" s="37">
        <f>SUMIFS(Lançamentos!$F:$F,Lançamentos!$A:$A,E$19,Lançamentos!$C:$C,"Marketing e Publicidade")</f>
        <v>0</v>
      </c>
      <c r="F43" s="37">
        <f>SUMIFS(Lançamentos!$F:$F,Lançamentos!$A:$A,F$19,Lançamentos!$C:$C,"Marketing e Publicidade")</f>
        <v>0</v>
      </c>
      <c r="G43" s="37">
        <f>SUMIFS(Lançamentos!$F:$F,Lançamentos!$A:$A,G$19,Lançamentos!$C:$C,"Marketing e Publicidade")</f>
        <v>0</v>
      </c>
      <c r="H43" s="37">
        <f>SUMIFS(Lançamentos!$F:$F,Lançamentos!$A:$A,H$19,Lançamentos!$C:$C,"Marketing e Publicidade")</f>
        <v>0</v>
      </c>
      <c r="I43" s="37">
        <f>SUMIFS(Lançamentos!$F:$F,Lançamentos!$A:$A,I$19,Lançamentos!$C:$C,"Marketing e Publicidade")</f>
        <v>0</v>
      </c>
      <c r="J43" s="37">
        <f>SUMIFS(Lançamentos!$F:$F,Lançamentos!$A:$A,J$19,Lançamentos!$C:$C,"Marketing e Publicidade")</f>
        <v>0</v>
      </c>
      <c r="K43" s="37">
        <f>SUMIFS(Lançamentos!$F:$F,Lançamentos!$A:$A,K$19,Lançamentos!$C:$C,"Marketing e Publicidade")</f>
        <v>0</v>
      </c>
      <c r="L43" s="37">
        <f>SUMIFS(Lançamentos!$F:$F,Lançamentos!$A:$A,L$19,Lançamentos!$C:$C,"Marketing e Publicidade")</f>
        <v>0</v>
      </c>
      <c r="M43" s="37">
        <f>SUMIFS(Lançamentos!$F:$F,Lançamentos!$A:$A,M$19,Lançamentos!$C:$C,"Marketing e Publicidade")</f>
        <v>0</v>
      </c>
      <c r="N43" s="37">
        <f>SUMIFS(Lançamentos!$F:$F,Lançamentos!$A:$A,N$19,Lançamentos!$C:$C,"Marketing e Publicidade")</f>
        <v>0</v>
      </c>
      <c r="O43" s="37">
        <f>SUMIFS(Lançamentos!$F:$F,Lançamentos!$A:$A,O$19,Lançamentos!$C:$C,"Marketing e Publicidade")</f>
        <v>0</v>
      </c>
      <c r="P43" s="37">
        <f>SUMIFS(Lançamentos!$F:$F,Lançamentos!$A:$A,P$19,Lançamentos!$C:$C,"Marketing e Publicidade")</f>
        <v>0</v>
      </c>
      <c r="Q43" s="37">
        <f>SUMIFS(Lançamentos!$F:$F,Lançamentos!$A:$A,Q$19,Lançamentos!$C:$C,"Marketing e Publicidade")</f>
        <v>0</v>
      </c>
      <c r="R43" s="37">
        <f>SUMIFS(Lançamentos!$F:$F,Lançamentos!$A:$A,R$19,Lançamentos!$C:$C,"Marketing e Publicidade")</f>
        <v>0</v>
      </c>
      <c r="S43" s="37">
        <f>SUMIFS(Lançamentos!$F:$F,Lançamentos!$A:$A,S$19,Lançamentos!$C:$C,"Marketing e Publicidade")</f>
        <v>0</v>
      </c>
      <c r="T43" s="37">
        <f>SUMIFS(Lançamentos!$F:$F,Lançamentos!$A:$A,T$19,Lançamentos!$C:$C,"Marketing e Publicidade")</f>
        <v>0</v>
      </c>
      <c r="U43" s="37">
        <f>SUMIFS(Lançamentos!$F:$F,Lançamentos!$A:$A,U$19,Lançamentos!$C:$C,"Marketing e Publicidade")</f>
        <v>0</v>
      </c>
      <c r="V43" s="37">
        <f>SUMIFS(Lançamentos!$F:$F,Lançamentos!$A:$A,V$19,Lançamentos!$C:$C,"Marketing e Publicidade")</f>
        <v>0</v>
      </c>
      <c r="W43" s="37">
        <f>SUMIFS(Lançamentos!$F:$F,Lançamentos!$A:$A,W$19,Lançamentos!$C:$C,"Marketing e Publicidade")</f>
        <v>0</v>
      </c>
      <c r="X43" s="37">
        <f>SUMIFS(Lançamentos!$F:$F,Lançamentos!$A:$A,X$19,Lançamentos!$C:$C,"Marketing e Publicidade")</f>
        <v>0</v>
      </c>
      <c r="Y43" s="37">
        <f>SUMIFS(Lançamentos!$F:$F,Lançamentos!$A:$A,Y$19,Lançamentos!$C:$C,"Marketing e Publicidade")</f>
        <v>0</v>
      </c>
      <c r="Z43" s="37">
        <f>SUMIFS(Lançamentos!$F:$F,Lançamentos!$A:$A,Z$19,Lançamentos!$C:$C,"Marketing e Publicidade")</f>
        <v>0</v>
      </c>
      <c r="AA43" s="37">
        <f>SUMIFS(Lançamentos!$F:$F,Lançamentos!$A:$A,AA$19,Lançamentos!$C:$C,"Marketing e Publicidade")</f>
        <v>0</v>
      </c>
      <c r="AB43" s="37">
        <f>SUMIFS(Lançamentos!$F:$F,Lançamentos!$A:$A,AB$19,Lançamentos!$C:$C,"Marketing e Publicidade")</f>
        <v>0</v>
      </c>
      <c r="AC43" s="37">
        <f>SUMIFS(Lançamentos!$F:$F,Lançamentos!$A:$A,AC$19,Lançamentos!$C:$C,"Marketing e Publicidade")</f>
        <v>0</v>
      </c>
      <c r="AD43" s="37">
        <f>SUMIFS(Lançamentos!$F:$F,Lançamentos!$A:$A,AD$19,Lançamentos!$C:$C,"Marketing e Publicidade")</f>
        <v>0</v>
      </c>
      <c r="AE43" s="37">
        <f>SUMIFS(Lançamentos!$F:$F,Lançamentos!$A:$A,AE$19,Lançamentos!$C:$C,"Marketing e Publicidade")</f>
        <v>0</v>
      </c>
      <c r="AF43" s="37">
        <f>SUMIFS(Lançamentos!$F:$F,Lançamentos!$A:$A,AF$19,Lançamentos!$C:$C,"Marketing e Publicidade")</f>
        <v>0</v>
      </c>
      <c r="AG43" s="37">
        <f>SUMIFS(Lançamentos!$F:$F,Lançamentos!$A:$A,AG$19,Lançamentos!$C:$C,"Marketing e Publicidade")</f>
        <v>0</v>
      </c>
      <c r="AH43" s="37">
        <f>SUMIFS(Lançamentos!$F:$F,Lançamentos!$A:$A,AH$19,Lançamentos!$C:$C,"Marketing e Publicidade")</f>
        <v>0</v>
      </c>
      <c r="AI43" s="37">
        <f>SUMIFS(Lançamentos!$F:$F,Lançamentos!$A:$A,AI$19,Lançamentos!$C:$C,"Marketing e Publicidade")</f>
        <v>0</v>
      </c>
      <c r="AJ43" s="37">
        <f>SUMIFS(Lançamentos!$F:$F,Lançamentos!$A:$A,AJ$19,Lançamentos!$C:$C,"Marketing e Publicidade")</f>
        <v>0</v>
      </c>
      <c r="AK43" s="37">
        <f>SUMIFS(Lançamentos!$F:$F,Lançamentos!$A:$A,AK$19,Lançamentos!$C:$C,"Marketing e Publicidade")</f>
        <v>0</v>
      </c>
      <c r="AL43" s="37">
        <f>SUMIFS(Lançamentos!$F:$F,Lançamentos!$A:$A,AL$19,Lançamentos!$C:$C,"Marketing e Publicidade")</f>
        <v>0</v>
      </c>
      <c r="AM43" s="37">
        <f>SUMIFS(Lançamentos!$F:$F,Lançamentos!$A:$A,AM$19,Lançamentos!$C:$C,"Marketing e Publicidade")</f>
        <v>0</v>
      </c>
      <c r="AN43" s="37">
        <f>SUMIFS(Lançamentos!$F:$F,Lançamentos!$A:$A,AN$19,Lançamentos!$C:$C,"Marketing e Publicidade")</f>
        <v>0</v>
      </c>
      <c r="AO43" s="37">
        <f>SUMIFS(Lançamentos!$F:$F,Lançamentos!$A:$A,AO$19,Lançamentos!$C:$C,"Marketing e Publicidade")</f>
        <v>0</v>
      </c>
      <c r="AP43" s="37">
        <f>SUMIFS(Lançamentos!$F:$F,Lançamentos!$A:$A,AP$19,Lançamentos!$C:$C,"Marketing e Publicidade")</f>
        <v>0</v>
      </c>
      <c r="AQ43" s="37">
        <f>SUMIFS(Lançamentos!$F:$F,Lançamentos!$A:$A,AQ$19,Lançamentos!$C:$C,"Marketing e Publicidade")</f>
        <v>0</v>
      </c>
      <c r="AR43" s="37">
        <f>SUMIFS(Lançamentos!$F:$F,Lançamentos!$A:$A,AR$19,Lançamentos!$C:$C,"Marketing e Publicidade")</f>
        <v>0</v>
      </c>
      <c r="AS43" s="37">
        <f>SUMIFS(Lançamentos!$F:$F,Lançamentos!$A:$A,AS$19,Lançamentos!$C:$C,"Marketing e Publicidade")</f>
        <v>0</v>
      </c>
      <c r="AT43" s="37">
        <f>SUMIFS(Lançamentos!$F:$F,Lançamentos!$A:$A,AT$19,Lançamentos!$C:$C,"Marketing e Publicidade")</f>
        <v>0</v>
      </c>
      <c r="AU43" s="37">
        <f>SUMIFS(Lançamentos!$F:$F,Lançamentos!$A:$A,AU$19,Lançamentos!$C:$C,"Marketing e Publicidade")</f>
        <v>0</v>
      </c>
      <c r="AV43" s="37">
        <f>SUMIFS(Lançamentos!$F:$F,Lançamentos!$A:$A,AV$19,Lançamentos!$C:$C,"Marketing e Publicidade")</f>
        <v>0</v>
      </c>
      <c r="AW43" s="37">
        <f>SUMIFS(Lançamentos!$F:$F,Lançamentos!$A:$A,AW$19,Lançamentos!$C:$C,"Marketing e Publicidade")</f>
        <v>0</v>
      </c>
      <c r="AX43" s="37">
        <f>SUMIFS(Lançamentos!$F:$F,Lançamentos!$A:$A,AX$19,Lançamentos!$C:$C,"Marketing e Publicidade")</f>
        <v>0</v>
      </c>
      <c r="AY43" s="37">
        <f>SUMIFS(Lançamentos!$F:$F,Lançamentos!$A:$A,AY$19,Lançamentos!$C:$C,"Marketing e Publicidade")</f>
        <v>0</v>
      </c>
      <c r="AZ43" s="37">
        <f>SUMIFS(Lançamentos!$F:$F,Lançamentos!$A:$A,AZ$19,Lançamentos!$C:$C,"Marketing e Publicidade")</f>
        <v>0</v>
      </c>
      <c r="BA43" s="37">
        <f>SUMIFS(Lançamentos!$F:$F,Lançamentos!$A:$A,BA$19,Lançamentos!$C:$C,"Marketing e Publicidade")</f>
        <v>0</v>
      </c>
      <c r="BB43" s="37">
        <f>SUMIFS(Lançamentos!$F:$F,Lançamentos!$A:$A,BB$19,Lançamentos!$C:$C,"Marketing e Publicidade")</f>
        <v>0</v>
      </c>
      <c r="BC43" s="37">
        <f>SUMIFS(Lançamentos!$F:$F,Lançamentos!$A:$A,BC$19,Lançamentos!$C:$C,"Marketing e Publicidade")</f>
        <v>0</v>
      </c>
      <c r="BD43" s="37">
        <f>SUMIFS(Lançamentos!$F:$F,Lançamentos!$A:$A,BD$19,Lançamentos!$C:$C,"Marketing e Publicidade")</f>
        <v>0</v>
      </c>
      <c r="BE43" s="37">
        <f>SUMIFS(Lançamentos!$F:$F,Lançamentos!$A:$A,BE$19,Lançamentos!$C:$C,"Marketing e Publicidade")</f>
        <v>0</v>
      </c>
      <c r="BF43" s="37">
        <f>SUMIFS(Lançamentos!$F:$F,Lançamentos!$A:$A,BF$19,Lançamentos!$C:$C,"Marketing e Publicidade")</f>
        <v>0</v>
      </c>
      <c r="BG43" s="37">
        <f>SUMIFS(Lançamentos!$F:$F,Lançamentos!$A:$A,BG$19,Lançamentos!$C:$C,"Marketing e Publicidade")</f>
        <v>0</v>
      </c>
      <c r="BH43" s="37">
        <f>SUMIFS(Lançamentos!$F:$F,Lançamentos!$A:$A,BH$19,Lançamentos!$C:$C,"Marketing e Publicidade")</f>
        <v>0</v>
      </c>
      <c r="BI43" s="37">
        <f>SUMIFS(Lançamentos!$F:$F,Lançamentos!$A:$A,BI$19,Lançamentos!$C:$C,"Marketing e Publicidade")</f>
        <v>0</v>
      </c>
      <c r="BJ43" s="37">
        <f>SUMIFS(Lançamentos!$F:$F,Lançamentos!$A:$A,BJ$19,Lançamentos!$C:$C,"Marketing e Publicidade")</f>
        <v>0</v>
      </c>
      <c r="BK43" s="37">
        <f>SUMIFS(Lançamentos!$F:$F,Lançamentos!$A:$A,BK$19,Lançamentos!$C:$C,"Marketing e Publicidade")</f>
        <v>0</v>
      </c>
      <c r="BL43" s="37">
        <f>SUMIFS(Lançamentos!$F:$F,Lançamentos!$A:$A,BL$19,Lançamentos!$C:$C,"Marketing e Publicidade")</f>
        <v>0</v>
      </c>
      <c r="BM43" s="37">
        <f>SUMIFS(Lançamentos!$F:$F,Lançamentos!$A:$A,BM$19,Lançamentos!$C:$C,"Marketing e Publicidade")</f>
        <v>0</v>
      </c>
      <c r="BN43" s="37">
        <f>SUMIFS(Lançamentos!$F:$F,Lançamentos!$A:$A,BN$19,Lançamentos!$C:$C,"Marketing e Publicidade")</f>
        <v>0</v>
      </c>
      <c r="BO43" s="37">
        <f>SUMIFS(Lançamentos!$F:$F,Lançamentos!$A:$A,BO$19,Lançamentos!$C:$C,"Marketing e Publicidade")</f>
        <v>0</v>
      </c>
      <c r="BP43" s="37">
        <f>SUMIFS(Lançamentos!$F:$F,Lançamentos!$A:$A,BP$19,Lançamentos!$C:$C,"Marketing e Publicidade")</f>
        <v>0</v>
      </c>
      <c r="BQ43" s="37">
        <f>SUMIFS(Lançamentos!$F:$F,Lançamentos!$A:$A,BQ$19,Lançamentos!$C:$C,"Marketing e Publicidade")</f>
        <v>0</v>
      </c>
      <c r="BR43" s="37">
        <f>SUMIFS(Lançamentos!$F:$F,Lançamentos!$A:$A,BR$19,Lançamentos!$C:$C,"Marketing e Publicidade")</f>
        <v>0</v>
      </c>
      <c r="BS43" s="37">
        <f>SUMIFS(Lançamentos!$F:$F,Lançamentos!$A:$A,BS$19,Lançamentos!$C:$C,"Marketing e Publicidade")</f>
        <v>0</v>
      </c>
      <c r="BT43" s="37">
        <f>SUMIFS(Lançamentos!$F:$F,Lançamentos!$A:$A,BT$19,Lançamentos!$C:$C,"Marketing e Publicidade")</f>
        <v>0</v>
      </c>
      <c r="BU43" s="37">
        <f>SUMIFS(Lançamentos!$F:$F,Lançamentos!$A:$A,BU$19,Lançamentos!$C:$C,"Marketing e Publicidade")</f>
        <v>0</v>
      </c>
      <c r="BV43" s="37">
        <f>SUMIFS(Lançamentos!$F:$F,Lançamentos!$A:$A,BV$19,Lançamentos!$C:$C,"Marketing e Publicidade")</f>
        <v>0</v>
      </c>
      <c r="BW43" s="37">
        <f>SUMIFS(Lançamentos!$F:$F,Lançamentos!$A:$A,BW$19,Lançamentos!$C:$C,"Marketing e Publicidade")</f>
        <v>0</v>
      </c>
      <c r="BX43" s="37">
        <f>SUMIFS(Lançamentos!$F:$F,Lançamentos!$A:$A,BX$19,Lançamentos!$C:$C,"Marketing e Publicidade")</f>
        <v>0</v>
      </c>
      <c r="BY43" s="37">
        <f>SUMIFS(Lançamentos!$F:$F,Lançamentos!$A:$A,BY$19,Lançamentos!$C:$C,"Marketing e Publicidade")</f>
        <v>0</v>
      </c>
      <c r="BZ43" s="37">
        <f>SUMIFS(Lançamentos!$F:$F,Lançamentos!$A:$A,BZ$19,Lançamentos!$C:$C,"Marketing e Publicidade")</f>
        <v>0</v>
      </c>
      <c r="CA43" s="37">
        <f>SUMIFS(Lançamentos!$F:$F,Lançamentos!$A:$A,CA$19,Lançamentos!$C:$C,"Marketing e Publicidade")</f>
        <v>0</v>
      </c>
      <c r="CB43" s="37">
        <f>SUMIFS(Lançamentos!$F:$F,Lançamentos!$A:$A,CB$19,Lançamentos!$C:$C,"Marketing e Publicidade")</f>
        <v>0</v>
      </c>
      <c r="CC43" s="37">
        <f>SUMIFS(Lançamentos!$F:$F,Lançamentos!$A:$A,CC$19,Lançamentos!$C:$C,"Marketing e Publicidade")</f>
        <v>0</v>
      </c>
      <c r="CD43" s="37">
        <f>SUMIFS(Lançamentos!$F:$F,Lançamentos!$A:$A,CD$19,Lançamentos!$C:$C,"Marketing e Publicidade")</f>
        <v>0</v>
      </c>
      <c r="CE43" s="37">
        <f>SUMIFS(Lançamentos!$F:$F,Lançamentos!$A:$A,CE$19,Lançamentos!$C:$C,"Marketing e Publicidade")</f>
        <v>0</v>
      </c>
      <c r="CF43" s="37">
        <f>SUMIFS(Lançamentos!$F:$F,Lançamentos!$A:$A,CF$19,Lançamentos!$C:$C,"Marketing e Publicidade")</f>
        <v>0</v>
      </c>
      <c r="CG43" s="37">
        <f>SUMIFS(Lançamentos!$F:$F,Lançamentos!$A:$A,CG$19,Lançamentos!$C:$C,"Marketing e Publicidade")</f>
        <v>0</v>
      </c>
      <c r="CH43" s="37">
        <f>SUMIFS(Lançamentos!$F:$F,Lançamentos!$A:$A,CH$19,Lançamentos!$C:$C,"Marketing e Publicidade")</f>
        <v>0</v>
      </c>
      <c r="CI43" s="37">
        <f>SUMIFS(Lançamentos!$F:$F,Lançamentos!$A:$A,CI$19,Lançamentos!$C:$C,"Marketing e Publicidade")</f>
        <v>0</v>
      </c>
      <c r="CJ43" s="37">
        <f>SUMIFS(Lançamentos!$F:$F,Lançamentos!$A:$A,CJ$19,Lançamentos!$C:$C,"Marketing e Publicidade")</f>
        <v>0</v>
      </c>
      <c r="CK43" s="37">
        <f>SUMIFS(Lançamentos!$F:$F,Lançamentos!$A:$A,CK$19,Lançamentos!$C:$C,"Marketing e Publicidade")</f>
        <v>0</v>
      </c>
      <c r="CL43" s="37">
        <f>SUMIFS(Lançamentos!$F:$F,Lançamentos!$A:$A,CL$19,Lançamentos!$C:$C,"Marketing e Publicidade")</f>
        <v>0</v>
      </c>
      <c r="CM43" s="37">
        <f>SUMIFS(Lançamentos!$F:$F,Lançamentos!$A:$A,CM$19,Lançamentos!$C:$C,"Marketing e Publicidade")</f>
        <v>0</v>
      </c>
      <c r="CN43" s="37">
        <f>SUMIFS(Lançamentos!$F:$F,Lançamentos!$A:$A,CN$19,Lançamentos!$C:$C,"Marketing e Publicidade")</f>
        <v>0</v>
      </c>
      <c r="CO43" s="37">
        <f>SUMIFS(Lançamentos!$F:$F,Lançamentos!$A:$A,CO$19,Lançamentos!$C:$C,"Marketing e Publicidade")</f>
        <v>0</v>
      </c>
      <c r="CP43" s="37">
        <f>SUMIFS(Lançamentos!$F:$F,Lançamentos!$A:$A,CP$19,Lançamentos!$C:$C,"Marketing e Publicidade")</f>
        <v>0</v>
      </c>
      <c r="CQ43" s="37">
        <f>SUMIFS(Lançamentos!$F:$F,Lançamentos!$A:$A,CQ$19,Lançamentos!$C:$C,"Marketing e Publicidade")</f>
        <v>0</v>
      </c>
      <c r="CR43" s="37">
        <f>SUMIFS(Lançamentos!$F:$F,Lançamentos!$A:$A,CR$19,Lançamentos!$C:$C,"Marketing e Publicidade")</f>
        <v>0</v>
      </c>
      <c r="CS43" s="37">
        <f>SUMIFS(Lançamentos!$F:$F,Lançamentos!$A:$A,CS$19,Lançamentos!$C:$C,"Marketing e Publicidade")</f>
        <v>0</v>
      </c>
      <c r="CT43" s="37">
        <f>SUMIFS(Lançamentos!$F:$F,Lançamentos!$A:$A,CT$19,Lançamentos!$C:$C,"Marketing e Publicidade")</f>
        <v>0</v>
      </c>
      <c r="CU43" s="37">
        <f>SUMIFS(Lançamentos!$F:$F,Lançamentos!$A:$A,CU$19,Lançamentos!$C:$C,"Marketing e Publicidade")</f>
        <v>0</v>
      </c>
      <c r="CV43" s="37">
        <f>SUMIFS(Lançamentos!$F:$F,Lançamentos!$A:$A,CV$19,Lançamentos!$C:$C,"Marketing e Publicidade")</f>
        <v>0</v>
      </c>
      <c r="CW43" s="37">
        <f>SUMIFS(Lançamentos!$F:$F,Lançamentos!$A:$A,CW$19,Lançamentos!$C:$C,"Marketing e Publicidade")</f>
        <v>0</v>
      </c>
      <c r="CX43" s="37">
        <f>SUMIFS(Lançamentos!$F:$F,Lançamentos!$A:$A,CX$19,Lançamentos!$C:$C,"Marketing e Publicidade")</f>
        <v>0</v>
      </c>
      <c r="CY43" s="37">
        <f>SUMIFS(Lançamentos!$F:$F,Lançamentos!$A:$A,CY$19,Lançamentos!$C:$C,"Marketing e Publicidade")</f>
        <v>0</v>
      </c>
      <c r="CZ43" s="37">
        <f>SUMIFS(Lançamentos!$F:$F,Lançamentos!$A:$A,CZ$19,Lançamentos!$C:$C,"Marketing e Publicidade")</f>
        <v>0</v>
      </c>
      <c r="DA43" s="37">
        <f>SUMIFS(Lançamentos!$F:$F,Lançamentos!$A:$A,DA$19,Lançamentos!$C:$C,"Marketing e Publicidade")</f>
        <v>0</v>
      </c>
      <c r="DB43" s="37">
        <f>SUMIFS(Lançamentos!$F:$F,Lançamentos!$A:$A,DB$19,Lançamentos!$C:$C,"Marketing e Publicidade")</f>
        <v>0</v>
      </c>
      <c r="DC43" s="37">
        <f>SUMIFS(Lançamentos!$F:$F,Lançamentos!$A:$A,DC$19,Lançamentos!$C:$C,"Marketing e Publicidade")</f>
        <v>0</v>
      </c>
      <c r="DD43" s="37">
        <f>SUMIFS(Lançamentos!$F:$F,Lançamentos!$A:$A,DD$19,Lançamentos!$C:$C,"Marketing e Publicidade")</f>
        <v>0</v>
      </c>
      <c r="DE43" s="37">
        <f>SUMIFS(Lançamentos!$F:$F,Lançamentos!$A:$A,DE$19,Lançamentos!$C:$C,"Marketing e Publicidade")</f>
        <v>0</v>
      </c>
      <c r="DF43" s="37">
        <f>SUMIFS(Lançamentos!$F:$F,Lançamentos!$A:$A,DF$19,Lançamentos!$C:$C,"Marketing e Publicidade")</f>
        <v>0</v>
      </c>
      <c r="DG43" s="37">
        <f>SUMIFS(Lançamentos!$F:$F,Lançamentos!$A:$A,DG$19,Lançamentos!$C:$C,"Marketing e Publicidade")</f>
        <v>0</v>
      </c>
      <c r="DH43" s="37">
        <f>SUMIFS(Lançamentos!$F:$F,Lançamentos!$A:$A,DH$19,Lançamentos!$C:$C,"Marketing e Publicidade")</f>
        <v>0</v>
      </c>
      <c r="DI43" s="37">
        <f>SUMIFS(Lançamentos!$F:$F,Lançamentos!$A:$A,DI$19,Lançamentos!$C:$C,"Marketing e Publicidade")</f>
        <v>0</v>
      </c>
      <c r="DJ43" s="37">
        <f>SUMIFS(Lançamentos!$F:$F,Lançamentos!$A:$A,DJ$19,Lançamentos!$C:$C,"Marketing e Publicidade")</f>
        <v>0</v>
      </c>
      <c r="DK43" s="37">
        <f>SUMIFS(Lançamentos!$F:$F,Lançamentos!$A:$A,DK$19,Lançamentos!$C:$C,"Marketing e Publicidade")</f>
        <v>0</v>
      </c>
      <c r="DL43" s="37">
        <f>SUMIFS(Lançamentos!$F:$F,Lançamentos!$A:$A,DL$19,Lançamentos!$C:$C,"Marketing e Publicidade")</f>
        <v>0</v>
      </c>
      <c r="DM43" s="37">
        <f>SUMIFS(Lançamentos!$F:$F,Lançamentos!$A:$A,DM$19,Lançamentos!$C:$C,"Marketing e Publicidade")</f>
        <v>0</v>
      </c>
      <c r="DN43" s="37">
        <f>SUMIFS(Lançamentos!$F:$F,Lançamentos!$A:$A,DN$19,Lançamentos!$C:$C,"Marketing e Publicidade")</f>
        <v>0</v>
      </c>
      <c r="DO43" s="37">
        <f>SUMIFS(Lançamentos!$F:$F,Lançamentos!$A:$A,DO$19,Lançamentos!$C:$C,"Marketing e Publicidade")</f>
        <v>0</v>
      </c>
      <c r="DP43" s="37">
        <f>SUMIFS(Lançamentos!$F:$F,Lançamentos!$A:$A,DP$19,Lançamentos!$C:$C,"Marketing e Publicidade")</f>
        <v>0</v>
      </c>
      <c r="DQ43" s="37">
        <f>SUMIFS(Lançamentos!$F:$F,Lançamentos!$A:$A,DQ$19,Lançamentos!$C:$C,"Marketing e Publicidade")</f>
        <v>0</v>
      </c>
      <c r="DR43" s="37">
        <f>SUMIFS(Lançamentos!$F:$F,Lançamentos!$A:$A,DR$19,Lançamentos!$C:$C,"Marketing e Publicidade")</f>
        <v>0</v>
      </c>
      <c r="DS43" s="37">
        <f>SUMIFS(Lançamentos!$F:$F,Lançamentos!$A:$A,DS$19,Lançamentos!$C:$C,"Marketing e Publicidade")</f>
        <v>0</v>
      </c>
      <c r="DT43" s="37">
        <f>SUMIFS(Lançamentos!$F:$F,Lançamentos!$A:$A,DT$19,Lançamentos!$C:$C,"Marketing e Publicidade")</f>
        <v>0</v>
      </c>
      <c r="DU43" s="37">
        <f>SUMIFS(Lançamentos!$F:$F,Lançamentos!$A:$A,DU$19,Lançamentos!$C:$C,"Marketing e Publicidade")</f>
        <v>0</v>
      </c>
      <c r="DV43" s="37">
        <f>SUMIFS(Lançamentos!$F:$F,Lançamentos!$A:$A,DV$19,Lançamentos!$C:$C,"Marketing e Publicidade")</f>
        <v>0</v>
      </c>
      <c r="DW43" s="37">
        <f>SUMIFS(Lançamentos!$F:$F,Lançamentos!$A:$A,DW$19,Lançamentos!$C:$C,"Marketing e Publicidade")</f>
        <v>0</v>
      </c>
      <c r="DX43" s="37">
        <f>SUMIFS(Lançamentos!$F:$F,Lançamentos!$A:$A,DX$19,Lançamentos!$C:$C,"Marketing e Publicidade")</f>
        <v>0</v>
      </c>
      <c r="DY43" s="37">
        <f>SUMIFS(Lançamentos!$F:$F,Lançamentos!$A:$A,DY$19,Lançamentos!$C:$C,"Marketing e Publicidade")</f>
        <v>0</v>
      </c>
      <c r="DZ43" s="37">
        <f>SUMIFS(Lançamentos!$F:$F,Lançamentos!$A:$A,DZ$19,Lançamentos!$C:$C,"Marketing e Publicidade")</f>
        <v>0</v>
      </c>
      <c r="EA43" s="37">
        <f>SUMIFS(Lançamentos!$F:$F,Lançamentos!$A:$A,EA$19,Lançamentos!$C:$C,"Marketing e Publicidade")</f>
        <v>0</v>
      </c>
      <c r="EB43" s="37">
        <f>SUMIFS(Lançamentos!$F:$F,Lançamentos!$A:$A,EB$19,Lançamentos!$C:$C,"Marketing e Publicidade")</f>
        <v>0</v>
      </c>
      <c r="EC43" s="37">
        <f>SUMIFS(Lançamentos!$F:$F,Lançamentos!$A:$A,EC$19,Lançamentos!$C:$C,"Marketing e Publicidade")</f>
        <v>0</v>
      </c>
      <c r="ED43" s="37">
        <f>SUMIFS(Lançamentos!$F:$F,Lançamentos!$A:$A,ED$19,Lançamentos!$C:$C,"Marketing e Publicidade")</f>
        <v>0</v>
      </c>
      <c r="EE43" s="37">
        <f>SUMIFS(Lançamentos!$F:$F,Lançamentos!$A:$A,EE$19,Lançamentos!$C:$C,"Marketing e Publicidade")</f>
        <v>0</v>
      </c>
      <c r="EF43" s="37">
        <f>SUMIFS(Lançamentos!$F:$F,Lançamentos!$A:$A,EF$19,Lançamentos!$C:$C,"Marketing e Publicidade")</f>
        <v>0</v>
      </c>
      <c r="EG43" s="37">
        <f>SUMIFS(Lançamentos!$F:$F,Lançamentos!$A:$A,EG$19,Lançamentos!$C:$C,"Marketing e Publicidade")</f>
        <v>0</v>
      </c>
      <c r="EH43" s="37">
        <f>SUMIFS(Lançamentos!$F:$F,Lançamentos!$A:$A,EH$19,Lançamentos!$C:$C,"Marketing e Publicidade")</f>
        <v>0</v>
      </c>
      <c r="EI43" s="37">
        <f>SUMIFS(Lançamentos!$F:$F,Lançamentos!$A:$A,EI$19,Lançamentos!$C:$C,"Marketing e Publicidade")</f>
        <v>0</v>
      </c>
      <c r="EJ43" s="37">
        <f>SUMIFS(Lançamentos!$F:$F,Lançamentos!$A:$A,EJ$19,Lançamentos!$C:$C,"Marketing e Publicidade")</f>
        <v>0</v>
      </c>
      <c r="EK43" s="37">
        <f>SUMIFS(Lançamentos!$F:$F,Lançamentos!$A:$A,EK$19,Lançamentos!$C:$C,"Marketing e Publicidade")</f>
        <v>0</v>
      </c>
      <c r="EL43" s="37">
        <f>SUMIFS(Lançamentos!$F:$F,Lançamentos!$A:$A,EL$19,Lançamentos!$C:$C,"Marketing e Publicidade")</f>
        <v>0</v>
      </c>
      <c r="EM43" s="37">
        <f>SUMIFS(Lançamentos!$F:$F,Lançamentos!$A:$A,EM$19,Lançamentos!$C:$C,"Marketing e Publicidade")</f>
        <v>0</v>
      </c>
      <c r="EN43" s="37">
        <f>SUMIFS(Lançamentos!$F:$F,Lançamentos!$A:$A,EN$19,Lançamentos!$C:$C,"Marketing e Publicidade")</f>
        <v>0</v>
      </c>
      <c r="EO43" s="37">
        <f>SUMIFS(Lançamentos!$F:$F,Lançamentos!$A:$A,EO$19,Lançamentos!$C:$C,"Marketing e Publicidade")</f>
        <v>0</v>
      </c>
      <c r="EP43" s="37">
        <f>SUMIFS(Lançamentos!$F:$F,Lançamentos!$A:$A,EP$19,Lançamentos!$C:$C,"Marketing e Publicidade")</f>
        <v>0</v>
      </c>
      <c r="EQ43" s="37">
        <f>SUMIFS(Lançamentos!$F:$F,Lançamentos!$A:$A,EQ$19,Lançamentos!$C:$C,"Marketing e Publicidade")</f>
        <v>0</v>
      </c>
      <c r="ER43" s="37">
        <f>SUMIFS(Lançamentos!$F:$F,Lançamentos!$A:$A,ER$19,Lançamentos!$C:$C,"Marketing e Publicidade")</f>
        <v>0</v>
      </c>
      <c r="ES43" s="37">
        <f>SUMIFS(Lançamentos!$F:$F,Lançamentos!$A:$A,ES$19,Lançamentos!$C:$C,"Marketing e Publicidade")</f>
        <v>0</v>
      </c>
      <c r="ET43" s="37">
        <f>SUMIFS(Lançamentos!$F:$F,Lançamentos!$A:$A,ET$19,Lançamentos!$C:$C,"Marketing e Publicidade")</f>
        <v>0</v>
      </c>
      <c r="EU43" s="37">
        <f>SUMIFS(Lançamentos!$F:$F,Lançamentos!$A:$A,EU$19,Lançamentos!$C:$C,"Marketing e Publicidade")</f>
        <v>0</v>
      </c>
      <c r="EV43" s="37">
        <f>SUMIFS(Lançamentos!$F:$F,Lançamentos!$A:$A,EV$19,Lançamentos!$C:$C,"Marketing e Publicidade")</f>
        <v>0</v>
      </c>
      <c r="EW43" s="37">
        <f>SUMIFS(Lançamentos!$F:$F,Lançamentos!$A:$A,EW$19,Lançamentos!$C:$C,"Marketing e Publicidade")</f>
        <v>0</v>
      </c>
      <c r="EX43" s="37">
        <f>SUMIFS(Lançamentos!$F:$F,Lançamentos!$A:$A,EX$19,Lançamentos!$C:$C,"Marketing e Publicidade")</f>
        <v>0</v>
      </c>
      <c r="EY43" s="37">
        <f>SUMIFS(Lançamentos!$F:$F,Lançamentos!$A:$A,EY$19,Lançamentos!$C:$C,"Marketing e Publicidade")</f>
        <v>0</v>
      </c>
      <c r="EZ43" s="37">
        <f>SUMIFS(Lançamentos!$F:$F,Lançamentos!$A:$A,EZ$19,Lançamentos!$C:$C,"Marketing e Publicidade")</f>
        <v>0</v>
      </c>
      <c r="FA43" s="37">
        <f>SUMIFS(Lançamentos!$F:$F,Lançamentos!$A:$A,FA$19,Lançamentos!$C:$C,"Marketing e Publicidade")</f>
        <v>0</v>
      </c>
      <c r="FB43" s="37">
        <f>SUMIFS(Lançamentos!$F:$F,Lançamentos!$A:$A,FB$19,Lançamentos!$C:$C,"Marketing e Publicidade")</f>
        <v>0</v>
      </c>
      <c r="FC43" s="37">
        <f>SUMIFS(Lançamentos!$F:$F,Lançamentos!$A:$A,FC$19,Lançamentos!$C:$C,"Marketing e Publicidade")</f>
        <v>0</v>
      </c>
      <c r="FD43" s="37">
        <f>SUMIFS(Lançamentos!$F:$F,Lançamentos!$A:$A,FD$19,Lançamentos!$C:$C,"Marketing e Publicidade")</f>
        <v>0</v>
      </c>
      <c r="FE43" s="37">
        <f>SUMIFS(Lançamentos!$F:$F,Lançamentos!$A:$A,FE$19,Lançamentos!$C:$C,"Marketing e Publicidade")</f>
        <v>0</v>
      </c>
      <c r="FF43" s="37">
        <f>SUMIFS(Lançamentos!$F:$F,Lançamentos!$A:$A,FF$19,Lançamentos!$C:$C,"Marketing e Publicidade")</f>
        <v>0</v>
      </c>
      <c r="FG43" s="37">
        <f>SUMIFS(Lançamentos!$F:$F,Lançamentos!$A:$A,FG$19,Lançamentos!$C:$C,"Marketing e Publicidade")</f>
        <v>0</v>
      </c>
      <c r="FH43" s="37">
        <f>SUMIFS(Lançamentos!$F:$F,Lançamentos!$A:$A,FH$19,Lançamentos!$C:$C,"Marketing e Publicidade")</f>
        <v>0</v>
      </c>
      <c r="FI43" s="37">
        <f>SUMIFS(Lançamentos!$F:$F,Lançamentos!$A:$A,FI$19,Lançamentos!$C:$C,"Marketing e Publicidade")</f>
        <v>0</v>
      </c>
      <c r="FJ43" s="37">
        <f>SUMIFS(Lançamentos!$F:$F,Lançamentos!$A:$A,FJ$19,Lançamentos!$C:$C,"Marketing e Publicidade")</f>
        <v>0</v>
      </c>
      <c r="FK43" s="37">
        <f>SUMIFS(Lançamentos!$F:$F,Lançamentos!$A:$A,FK$19,Lançamentos!$C:$C,"Marketing e Publicidade")</f>
        <v>0</v>
      </c>
      <c r="FL43" s="37">
        <f>SUMIFS(Lançamentos!$F:$F,Lançamentos!$A:$A,FL$19,Lançamentos!$C:$C,"Marketing e Publicidade")</f>
        <v>0</v>
      </c>
      <c r="FM43" s="37">
        <f>SUMIFS(Lançamentos!$F:$F,Lançamentos!$A:$A,FM$19,Lançamentos!$C:$C,"Marketing e Publicidade")</f>
        <v>0</v>
      </c>
      <c r="FN43" s="37">
        <f>SUMIFS(Lançamentos!$F:$F,Lançamentos!$A:$A,FN$19,Lançamentos!$C:$C,"Marketing e Publicidade")</f>
        <v>0</v>
      </c>
      <c r="FO43" s="37">
        <f>SUMIFS(Lançamentos!$F:$F,Lançamentos!$A:$A,FO$19,Lançamentos!$C:$C,"Marketing e Publicidade")</f>
        <v>0</v>
      </c>
      <c r="FP43" s="37">
        <f>SUMIFS(Lançamentos!$F:$F,Lançamentos!$A:$A,FP$19,Lançamentos!$C:$C,"Marketing e Publicidade")</f>
        <v>0</v>
      </c>
      <c r="FQ43" s="37">
        <f>SUMIFS(Lançamentos!$F:$F,Lançamentos!$A:$A,FQ$19,Lançamentos!$C:$C,"Marketing e Publicidade")</f>
        <v>0</v>
      </c>
      <c r="FR43" s="37">
        <f>SUMIFS(Lançamentos!$F:$F,Lançamentos!$A:$A,FR$19,Lançamentos!$C:$C,"Marketing e Publicidade")</f>
        <v>0</v>
      </c>
      <c r="FS43" s="37">
        <f>SUMIFS(Lançamentos!$F:$F,Lançamentos!$A:$A,FS$19,Lançamentos!$C:$C,"Marketing e Publicidade")</f>
        <v>0</v>
      </c>
      <c r="FT43" s="37">
        <f>SUMIFS(Lançamentos!$F:$F,Lançamentos!$A:$A,FT$19,Lançamentos!$C:$C,"Marketing e Publicidade")</f>
        <v>0</v>
      </c>
      <c r="FU43" s="37">
        <f>SUMIFS(Lançamentos!$F:$F,Lançamentos!$A:$A,FU$19,Lançamentos!$C:$C,"Marketing e Publicidade")</f>
        <v>0</v>
      </c>
      <c r="FV43" s="37">
        <f>SUMIFS(Lançamentos!$F:$F,Lançamentos!$A:$A,FV$19,Lançamentos!$C:$C,"Marketing e Publicidade")</f>
        <v>0</v>
      </c>
      <c r="FW43" s="37">
        <f>SUMIFS(Lançamentos!$F:$F,Lançamentos!$A:$A,FW$19,Lançamentos!$C:$C,"Marketing e Publicidade")</f>
        <v>0</v>
      </c>
      <c r="FX43" s="37">
        <f>SUMIFS(Lançamentos!$F:$F,Lançamentos!$A:$A,FX$19,Lançamentos!$C:$C,"Marketing e Publicidade")</f>
        <v>0</v>
      </c>
      <c r="FY43" s="37">
        <f>SUMIFS(Lançamentos!$F:$F,Lançamentos!$A:$A,FY$19,Lançamentos!$C:$C,"Marketing e Publicidade")</f>
        <v>0</v>
      </c>
      <c r="FZ43" s="37">
        <f>SUMIFS(Lançamentos!$F:$F,Lançamentos!$A:$A,FZ$19,Lançamentos!$C:$C,"Marketing e Publicidade")</f>
        <v>0</v>
      </c>
      <c r="GA43" s="37">
        <f>SUMIFS(Lançamentos!$F:$F,Lançamentos!$A:$A,GA$19,Lançamentos!$C:$C,"Marketing e Publicidade")</f>
        <v>0</v>
      </c>
      <c r="GB43" s="37">
        <f>SUMIFS(Lançamentos!$F:$F,Lançamentos!$A:$A,GB$19,Lançamentos!$C:$C,"Marketing e Publicidade")</f>
        <v>0</v>
      </c>
      <c r="GC43" s="37">
        <f>SUMIFS(Lançamentos!$F:$F,Lançamentos!$A:$A,GC$19,Lançamentos!$C:$C,"Marketing e Publicidade")</f>
        <v>0</v>
      </c>
      <c r="GD43" s="37">
        <f>SUMIFS(Lançamentos!$F:$F,Lançamentos!$A:$A,GD$19,Lançamentos!$C:$C,"Marketing e Publicidade")</f>
        <v>0</v>
      </c>
      <c r="GE43" s="37">
        <f>SUMIFS(Lançamentos!$F:$F,Lançamentos!$A:$A,GE$19,Lançamentos!$C:$C,"Marketing e Publicidade")</f>
        <v>0</v>
      </c>
      <c r="GF43" s="37">
        <f>SUMIFS(Lançamentos!$F:$F,Lançamentos!$A:$A,GF$19,Lançamentos!$C:$C,"Marketing e Publicidade")</f>
        <v>0</v>
      </c>
      <c r="GG43" s="37">
        <f>SUMIFS(Lançamentos!$F:$F,Lançamentos!$A:$A,GG$19,Lançamentos!$C:$C,"Marketing e Publicidade")</f>
        <v>0</v>
      </c>
      <c r="GH43" s="37">
        <f>SUMIFS(Lançamentos!$F:$F,Lançamentos!$A:$A,GH$19,Lançamentos!$C:$C,"Marketing e Publicidade")</f>
        <v>0</v>
      </c>
      <c r="GI43" s="37">
        <f>SUMIFS(Lançamentos!$F:$F,Lançamentos!$A:$A,GI$19,Lançamentos!$C:$C,"Marketing e Publicidade")</f>
        <v>0</v>
      </c>
      <c r="GJ43" s="37">
        <f>SUMIFS(Lançamentos!$F:$F,Lançamentos!$A:$A,GJ$19,Lançamentos!$C:$C,"Marketing e Publicidade")</f>
        <v>0</v>
      </c>
      <c r="GK43" s="37">
        <f>SUMIFS(Lançamentos!$F:$F,Lançamentos!$A:$A,GK$19,Lançamentos!$C:$C,"Marketing e Publicidade")</f>
        <v>0</v>
      </c>
      <c r="GL43" s="37">
        <f>SUMIFS(Lançamentos!$F:$F,Lançamentos!$A:$A,GL$19,Lançamentos!$C:$C,"Marketing e Publicidade")</f>
        <v>0</v>
      </c>
      <c r="GM43" s="37">
        <f>SUMIFS(Lançamentos!$F:$F,Lançamentos!$A:$A,GM$19,Lançamentos!$C:$C,"Marketing e Publicidade")</f>
        <v>0</v>
      </c>
      <c r="GN43" s="37">
        <f>SUMIFS(Lançamentos!$F:$F,Lançamentos!$A:$A,GN$19,Lançamentos!$C:$C,"Marketing e Publicidade")</f>
        <v>0</v>
      </c>
      <c r="GO43" s="37">
        <f>SUMIFS(Lançamentos!$F:$F,Lançamentos!$A:$A,GO$19,Lançamentos!$C:$C,"Marketing e Publicidade")</f>
        <v>0</v>
      </c>
      <c r="GP43" s="37">
        <f>SUMIFS(Lançamentos!$F:$F,Lançamentos!$A:$A,GP$19,Lançamentos!$C:$C,"Marketing e Publicidade")</f>
        <v>0</v>
      </c>
      <c r="GQ43" s="37">
        <f>SUMIFS(Lançamentos!$F:$F,Lançamentos!$A:$A,GQ$19,Lançamentos!$C:$C,"Marketing e Publicidade")</f>
        <v>0</v>
      </c>
      <c r="GR43" s="37">
        <f>SUMIFS(Lançamentos!$F:$F,Lançamentos!$A:$A,GR$19,Lançamentos!$C:$C,"Marketing e Publicidade")</f>
        <v>0</v>
      </c>
      <c r="GS43" s="37">
        <f>SUMIFS(Lançamentos!$F:$F,Lançamentos!$A:$A,GS$19,Lançamentos!$C:$C,"Marketing e Publicidade")</f>
        <v>0</v>
      </c>
      <c r="GT43" s="37">
        <f>SUMIFS(Lançamentos!$F:$F,Lançamentos!$A:$A,GT$19,Lançamentos!$C:$C,"Marketing e Publicidade")</f>
        <v>0</v>
      </c>
      <c r="GU43" s="37">
        <f>SUMIFS(Lançamentos!$F:$F,Lançamentos!$A:$A,GU$19,Lançamentos!$C:$C,"Marketing e Publicidade")</f>
        <v>0</v>
      </c>
      <c r="GV43" s="37">
        <f>SUMIFS(Lançamentos!$F:$F,Lançamentos!$A:$A,GV$19,Lançamentos!$C:$C,"Marketing e Publicidade")</f>
        <v>0</v>
      </c>
      <c r="GW43" s="37">
        <f>SUMIFS(Lançamentos!$F:$F,Lançamentos!$A:$A,GW$19,Lançamentos!$C:$C,"Marketing e Publicidade")</f>
        <v>0</v>
      </c>
      <c r="GX43" s="37">
        <f>SUMIFS(Lançamentos!$F:$F,Lançamentos!$A:$A,GX$19,Lançamentos!$C:$C,"Marketing e Publicidade")</f>
        <v>0</v>
      </c>
      <c r="GY43" s="37">
        <f>SUMIFS(Lançamentos!$F:$F,Lançamentos!$A:$A,GY$19,Lançamentos!$C:$C,"Marketing e Publicidade")</f>
        <v>0</v>
      </c>
      <c r="GZ43" s="37">
        <f>SUMIFS(Lançamentos!$F:$F,Lançamentos!$A:$A,GZ$19,Lançamentos!$C:$C,"Marketing e Publicidade")</f>
        <v>0</v>
      </c>
      <c r="HA43" s="37">
        <f>SUMIFS(Lançamentos!$F:$F,Lançamentos!$A:$A,HA$19,Lançamentos!$C:$C,"Marketing e Publicidade")</f>
        <v>0</v>
      </c>
      <c r="HB43" s="37">
        <f>SUMIFS(Lançamentos!$F:$F,Lançamentos!$A:$A,HB$19,Lançamentos!$C:$C,"Marketing e Publicidade")</f>
        <v>0</v>
      </c>
      <c r="HC43" s="37">
        <f>SUMIFS(Lançamentos!$F:$F,Lançamentos!$A:$A,HC$19,Lançamentos!$C:$C,"Marketing e Publicidade")</f>
        <v>0</v>
      </c>
      <c r="HD43" s="37">
        <f>SUMIFS(Lançamentos!$F:$F,Lançamentos!$A:$A,HD$19,Lançamentos!$C:$C,"Marketing e Publicidade")</f>
        <v>0</v>
      </c>
      <c r="HE43" s="37">
        <f>SUMIFS(Lançamentos!$F:$F,Lançamentos!$A:$A,HE$19,Lançamentos!$C:$C,"Marketing e Publicidade")</f>
        <v>0</v>
      </c>
      <c r="HF43" s="37">
        <f>SUMIFS(Lançamentos!$F:$F,Lançamentos!$A:$A,HF$19,Lançamentos!$C:$C,"Marketing e Publicidade")</f>
        <v>0</v>
      </c>
      <c r="HG43" s="37">
        <f>SUMIFS(Lançamentos!$F:$F,Lançamentos!$A:$A,HG$19,Lançamentos!$C:$C,"Marketing e Publicidade")</f>
        <v>0</v>
      </c>
      <c r="HH43" s="37">
        <f>SUMIFS(Lançamentos!$F:$F,Lançamentos!$A:$A,HH$19,Lançamentos!$C:$C,"Marketing e Publicidade")</f>
        <v>0</v>
      </c>
      <c r="HI43" s="37">
        <f>SUMIFS(Lançamentos!$F:$F,Lançamentos!$A:$A,HI$19,Lançamentos!$C:$C,"Marketing e Publicidade")</f>
        <v>0</v>
      </c>
      <c r="HJ43" s="37">
        <f>SUMIFS(Lançamentos!$F:$F,Lançamentos!$A:$A,HJ$19,Lançamentos!$C:$C,"Marketing e Publicidade")</f>
        <v>0</v>
      </c>
      <c r="HK43" s="37">
        <f>SUMIFS(Lançamentos!$F:$F,Lançamentos!$A:$A,HK$19,Lançamentos!$C:$C,"Marketing e Publicidade")</f>
        <v>0</v>
      </c>
      <c r="HL43" s="37">
        <f>SUMIFS(Lançamentos!$F:$F,Lançamentos!$A:$A,HL$19,Lançamentos!$C:$C,"Marketing e Publicidade")</f>
        <v>0</v>
      </c>
      <c r="HM43" s="37">
        <f>SUMIFS(Lançamentos!$F:$F,Lançamentos!$A:$A,HM$19,Lançamentos!$C:$C,"Marketing e Publicidade")</f>
        <v>0</v>
      </c>
      <c r="HN43" s="37">
        <f>SUMIFS(Lançamentos!$F:$F,Lançamentos!$A:$A,HN$19,Lançamentos!$C:$C,"Marketing e Publicidade")</f>
        <v>0</v>
      </c>
      <c r="HO43" s="37">
        <f>SUMIFS(Lançamentos!$F:$F,Lançamentos!$A:$A,HO$19,Lançamentos!$C:$C,"Marketing e Publicidade")</f>
        <v>0</v>
      </c>
      <c r="HP43" s="37">
        <f>SUMIFS(Lançamentos!$F:$F,Lançamentos!$A:$A,HP$19,Lançamentos!$C:$C,"Marketing e Publicidade")</f>
        <v>0</v>
      </c>
      <c r="HQ43" s="37">
        <f>SUMIFS(Lançamentos!$F:$F,Lançamentos!$A:$A,HQ$19,Lançamentos!$C:$C,"Marketing e Publicidade")</f>
        <v>0</v>
      </c>
      <c r="HR43" s="37">
        <f>SUMIFS(Lançamentos!$F:$F,Lançamentos!$A:$A,HR$19,Lançamentos!$C:$C,"Marketing e Publicidade")</f>
        <v>0</v>
      </c>
      <c r="HS43" s="37">
        <f>SUMIFS(Lançamentos!$F:$F,Lançamentos!$A:$A,HS$19,Lançamentos!$C:$C,"Marketing e Publicidade")</f>
        <v>0</v>
      </c>
      <c r="HT43" s="37">
        <f>SUMIFS(Lançamentos!$F:$F,Lançamentos!$A:$A,HT$19,Lançamentos!$C:$C,"Marketing e Publicidade")</f>
        <v>0</v>
      </c>
      <c r="HU43" s="37">
        <f>SUMIFS(Lançamentos!$F:$F,Lançamentos!$A:$A,HU$19,Lançamentos!$C:$C,"Marketing e Publicidade")</f>
        <v>0</v>
      </c>
      <c r="HV43" s="37">
        <f>SUMIFS(Lançamentos!$F:$F,Lançamentos!$A:$A,HV$19,Lançamentos!$C:$C,"Marketing e Publicidade")</f>
        <v>0</v>
      </c>
      <c r="HW43" s="37">
        <f>SUMIFS(Lançamentos!$F:$F,Lançamentos!$A:$A,HW$19,Lançamentos!$C:$C,"Marketing e Publicidade")</f>
        <v>0</v>
      </c>
      <c r="HX43" s="37">
        <f>SUMIFS(Lançamentos!$F:$F,Lançamentos!$A:$A,HX$19,Lançamentos!$C:$C,"Marketing e Publicidade")</f>
        <v>0</v>
      </c>
      <c r="HY43" s="37">
        <f>SUMIFS(Lançamentos!$F:$F,Lançamentos!$A:$A,HY$19,Lançamentos!$C:$C,"Marketing e Publicidade")</f>
        <v>0</v>
      </c>
      <c r="HZ43" s="37">
        <f>SUMIFS(Lançamentos!$F:$F,Lançamentos!$A:$A,HZ$19,Lançamentos!$C:$C,"Marketing e Publicidade")</f>
        <v>0</v>
      </c>
      <c r="IA43" s="37">
        <f>SUMIFS(Lançamentos!$F:$F,Lançamentos!$A:$A,IA$19,Lançamentos!$C:$C,"Marketing e Publicidade")</f>
        <v>0</v>
      </c>
      <c r="IB43" s="37">
        <f>SUMIFS(Lançamentos!$F:$F,Lançamentos!$A:$A,IB$19,Lançamentos!$C:$C,"Marketing e Publicidade")</f>
        <v>0</v>
      </c>
      <c r="IC43" s="37">
        <f>SUMIFS(Lançamentos!$F:$F,Lançamentos!$A:$A,IC$19,Lançamentos!$C:$C,"Marketing e Publicidade")</f>
        <v>0</v>
      </c>
      <c r="ID43" s="37">
        <f>SUMIFS(Lançamentos!$F:$F,Lançamentos!$A:$A,ID$19,Lançamentos!$C:$C,"Marketing e Publicidade")</f>
        <v>0</v>
      </c>
      <c r="IE43" s="37">
        <f>SUMIFS(Lançamentos!$F:$F,Lançamentos!$A:$A,IE$19,Lançamentos!$C:$C,"Marketing e Publicidade")</f>
        <v>0</v>
      </c>
      <c r="IF43" s="37">
        <f>SUMIFS(Lançamentos!$F:$F,Lançamentos!$A:$A,IF$19,Lançamentos!$C:$C,"Marketing e Publicidade")</f>
        <v>0</v>
      </c>
      <c r="IG43" s="37">
        <f>SUMIFS(Lançamentos!$F:$F,Lançamentos!$A:$A,IG$19,Lançamentos!$C:$C,"Marketing e Publicidade")</f>
        <v>0</v>
      </c>
      <c r="IH43" s="37">
        <f>SUMIFS(Lançamentos!$F:$F,Lançamentos!$A:$A,IH$19,Lançamentos!$C:$C,"Marketing e Publicidade")</f>
        <v>0</v>
      </c>
      <c r="II43" s="37">
        <f>SUMIFS(Lançamentos!$F:$F,Lançamentos!$A:$A,II$19,Lançamentos!$C:$C,"Marketing e Publicidade")</f>
        <v>0</v>
      </c>
      <c r="IJ43" s="37">
        <f>SUMIFS(Lançamentos!$F:$F,Lançamentos!$A:$A,IJ$19,Lançamentos!$C:$C,"Marketing e Publicidade")</f>
        <v>0</v>
      </c>
      <c r="IK43" s="37">
        <f>SUMIFS(Lançamentos!$F:$F,Lançamentos!$A:$A,IK$19,Lançamentos!$C:$C,"Marketing e Publicidade")</f>
        <v>0</v>
      </c>
      <c r="IL43" s="37">
        <f>SUMIFS(Lançamentos!$F:$F,Lançamentos!$A:$A,IL$19,Lançamentos!$C:$C,"Marketing e Publicidade")</f>
        <v>0</v>
      </c>
    </row>
    <row r="44" spans="1:246" x14ac:dyDescent="0.3">
      <c r="A44" t="s">
        <v>19</v>
      </c>
      <c r="B44" s="37">
        <f>SUMIFS(Lançamentos!$F:$F,Lançamentos!$A:$A,B$19,Lançamentos!$C:$C,"Manutenção")</f>
        <v>0</v>
      </c>
      <c r="C44" s="37">
        <f>SUMIFS(Lançamentos!$F:$F,Lançamentos!$A:$A,C$19,Lançamentos!$C:$C,"Manutenção")</f>
        <v>0</v>
      </c>
      <c r="D44" s="37">
        <f>SUMIFS(Lançamentos!$F:$F,Lançamentos!$A:$A,D$19,Lançamentos!$C:$C,"Manutenção")</f>
        <v>0</v>
      </c>
      <c r="E44" s="37">
        <f>SUMIFS(Lançamentos!$F:$F,Lançamentos!$A:$A,E$19,Lançamentos!$C:$C,"Manutenção")</f>
        <v>0</v>
      </c>
      <c r="F44" s="37">
        <f>SUMIFS(Lançamentos!$F:$F,Lançamentos!$A:$A,F$19,Lançamentos!$C:$C,"Manutenção")</f>
        <v>0</v>
      </c>
      <c r="G44" s="37">
        <f>SUMIFS(Lançamentos!$F:$F,Lançamentos!$A:$A,G$19,Lançamentos!$C:$C,"Manutenção")</f>
        <v>0</v>
      </c>
      <c r="H44" s="37">
        <f>SUMIFS(Lançamentos!$F:$F,Lançamentos!$A:$A,H$19,Lançamentos!$C:$C,"Manutenção")</f>
        <v>0</v>
      </c>
      <c r="I44" s="37">
        <f>SUMIFS(Lançamentos!$F:$F,Lançamentos!$A:$A,I$19,Lançamentos!$C:$C,"Manutenção")</f>
        <v>0</v>
      </c>
      <c r="J44" s="37">
        <f>SUMIFS(Lançamentos!$F:$F,Lançamentos!$A:$A,J$19,Lançamentos!$C:$C,"Manutenção")</f>
        <v>0</v>
      </c>
      <c r="K44" s="37">
        <f>SUMIFS(Lançamentos!$F:$F,Lançamentos!$A:$A,K$19,Lançamentos!$C:$C,"Manutenção")</f>
        <v>0</v>
      </c>
      <c r="L44" s="37">
        <f>SUMIFS(Lançamentos!$F:$F,Lançamentos!$A:$A,L$19,Lançamentos!$C:$C,"Manutenção")</f>
        <v>0</v>
      </c>
      <c r="M44" s="37">
        <f>SUMIFS(Lançamentos!$F:$F,Lançamentos!$A:$A,M$19,Lançamentos!$C:$C,"Manutenção")</f>
        <v>0</v>
      </c>
      <c r="N44" s="37">
        <f>SUMIFS(Lançamentos!$F:$F,Lançamentos!$A:$A,N$19,Lançamentos!$C:$C,"Manutenção")</f>
        <v>0</v>
      </c>
      <c r="O44" s="37">
        <f>SUMIFS(Lançamentos!$F:$F,Lançamentos!$A:$A,O$19,Lançamentos!$C:$C,"Manutenção")</f>
        <v>0</v>
      </c>
      <c r="P44" s="37">
        <f>SUMIFS(Lançamentos!$F:$F,Lançamentos!$A:$A,P$19,Lançamentos!$C:$C,"Manutenção")</f>
        <v>0</v>
      </c>
      <c r="Q44" s="37">
        <f>SUMIFS(Lançamentos!$F:$F,Lançamentos!$A:$A,Q$19,Lançamentos!$C:$C,"Manutenção")</f>
        <v>0</v>
      </c>
      <c r="R44" s="37">
        <f>SUMIFS(Lançamentos!$F:$F,Lançamentos!$A:$A,R$19,Lançamentos!$C:$C,"Manutenção")</f>
        <v>0</v>
      </c>
      <c r="S44" s="37">
        <f>SUMIFS(Lançamentos!$F:$F,Lançamentos!$A:$A,S$19,Lançamentos!$C:$C,"Manutenção")</f>
        <v>0</v>
      </c>
      <c r="T44" s="37">
        <f>SUMIFS(Lançamentos!$F:$F,Lançamentos!$A:$A,T$19,Lançamentos!$C:$C,"Manutenção")</f>
        <v>0</v>
      </c>
      <c r="U44" s="37">
        <f>SUMIFS(Lançamentos!$F:$F,Lançamentos!$A:$A,U$19,Lançamentos!$C:$C,"Manutenção")</f>
        <v>0</v>
      </c>
      <c r="V44" s="37">
        <f>SUMIFS(Lançamentos!$F:$F,Lançamentos!$A:$A,V$19,Lançamentos!$C:$C,"Manutenção")</f>
        <v>0</v>
      </c>
      <c r="W44" s="37">
        <f>SUMIFS(Lançamentos!$F:$F,Lançamentos!$A:$A,W$19,Lançamentos!$C:$C,"Manutenção")</f>
        <v>0</v>
      </c>
      <c r="X44" s="37">
        <f>SUMIFS(Lançamentos!$F:$F,Lançamentos!$A:$A,X$19,Lançamentos!$C:$C,"Manutenção")</f>
        <v>0</v>
      </c>
      <c r="Y44" s="37">
        <f>SUMIFS(Lançamentos!$F:$F,Lançamentos!$A:$A,Y$19,Lançamentos!$C:$C,"Manutenção")</f>
        <v>0</v>
      </c>
      <c r="Z44" s="37">
        <f>SUMIFS(Lançamentos!$F:$F,Lançamentos!$A:$A,Z$19,Lançamentos!$C:$C,"Manutenção")</f>
        <v>0</v>
      </c>
      <c r="AA44" s="37">
        <f>SUMIFS(Lançamentos!$F:$F,Lançamentos!$A:$A,AA$19,Lançamentos!$C:$C,"Manutenção")</f>
        <v>0</v>
      </c>
      <c r="AB44" s="37">
        <f>SUMIFS(Lançamentos!$F:$F,Lançamentos!$A:$A,AB$19,Lançamentos!$C:$C,"Manutenção")</f>
        <v>0</v>
      </c>
      <c r="AC44" s="37">
        <f>SUMIFS(Lançamentos!$F:$F,Lançamentos!$A:$A,AC$19,Lançamentos!$C:$C,"Manutenção")</f>
        <v>0</v>
      </c>
      <c r="AD44" s="37">
        <f>SUMIFS(Lançamentos!$F:$F,Lançamentos!$A:$A,AD$19,Lançamentos!$C:$C,"Manutenção")</f>
        <v>0</v>
      </c>
      <c r="AE44" s="37">
        <f>SUMIFS(Lançamentos!$F:$F,Lançamentos!$A:$A,AE$19,Lançamentos!$C:$C,"Manutenção")</f>
        <v>0</v>
      </c>
      <c r="AF44" s="37">
        <f>SUMIFS(Lançamentos!$F:$F,Lançamentos!$A:$A,AF$19,Lançamentos!$C:$C,"Manutenção")</f>
        <v>0</v>
      </c>
      <c r="AG44" s="37">
        <f>SUMIFS(Lançamentos!$F:$F,Lançamentos!$A:$A,AG$19,Lançamentos!$C:$C,"Manutenção")</f>
        <v>0</v>
      </c>
      <c r="AH44" s="37">
        <f>SUMIFS(Lançamentos!$F:$F,Lançamentos!$A:$A,AH$19,Lançamentos!$C:$C,"Manutenção")</f>
        <v>0</v>
      </c>
      <c r="AI44" s="37">
        <f>SUMIFS(Lançamentos!$F:$F,Lançamentos!$A:$A,AI$19,Lançamentos!$C:$C,"Manutenção")</f>
        <v>0</v>
      </c>
      <c r="AJ44" s="37">
        <f>SUMIFS(Lançamentos!$F:$F,Lançamentos!$A:$A,AJ$19,Lançamentos!$C:$C,"Manutenção")</f>
        <v>0</v>
      </c>
      <c r="AK44" s="37">
        <f>SUMIFS(Lançamentos!$F:$F,Lançamentos!$A:$A,AK$19,Lançamentos!$C:$C,"Manutenção")</f>
        <v>0</v>
      </c>
      <c r="AL44" s="37">
        <f>SUMIFS(Lançamentos!$F:$F,Lançamentos!$A:$A,AL$19,Lançamentos!$C:$C,"Manutenção")</f>
        <v>0</v>
      </c>
      <c r="AM44" s="37">
        <f>SUMIFS(Lançamentos!$F:$F,Lançamentos!$A:$A,AM$19,Lançamentos!$C:$C,"Manutenção")</f>
        <v>0</v>
      </c>
      <c r="AN44" s="37">
        <f>SUMIFS(Lançamentos!$F:$F,Lançamentos!$A:$A,AN$19,Lançamentos!$C:$C,"Manutenção")</f>
        <v>0</v>
      </c>
      <c r="AO44" s="37">
        <f>SUMIFS(Lançamentos!$F:$F,Lançamentos!$A:$A,AO$19,Lançamentos!$C:$C,"Manutenção")</f>
        <v>0</v>
      </c>
      <c r="AP44" s="37">
        <f>SUMIFS(Lançamentos!$F:$F,Lançamentos!$A:$A,AP$19,Lançamentos!$C:$C,"Manutenção")</f>
        <v>0</v>
      </c>
      <c r="AQ44" s="37">
        <f>SUMIFS(Lançamentos!$F:$F,Lançamentos!$A:$A,AQ$19,Lançamentos!$C:$C,"Manutenção")</f>
        <v>0</v>
      </c>
      <c r="AR44" s="37">
        <f>SUMIFS(Lançamentos!$F:$F,Lançamentos!$A:$A,AR$19,Lançamentos!$C:$C,"Manutenção")</f>
        <v>0</v>
      </c>
      <c r="AS44" s="37">
        <f>SUMIFS(Lançamentos!$F:$F,Lançamentos!$A:$A,AS$19,Lançamentos!$C:$C,"Manutenção")</f>
        <v>0</v>
      </c>
      <c r="AT44" s="37">
        <f>SUMIFS(Lançamentos!$F:$F,Lançamentos!$A:$A,AT$19,Lançamentos!$C:$C,"Manutenção")</f>
        <v>0</v>
      </c>
      <c r="AU44" s="37">
        <f>SUMIFS(Lançamentos!$F:$F,Lançamentos!$A:$A,AU$19,Lançamentos!$C:$C,"Manutenção")</f>
        <v>0</v>
      </c>
      <c r="AV44" s="37">
        <f>SUMIFS(Lançamentos!$F:$F,Lançamentos!$A:$A,AV$19,Lançamentos!$C:$C,"Manutenção")</f>
        <v>0</v>
      </c>
      <c r="AW44" s="37">
        <f>SUMIFS(Lançamentos!$F:$F,Lançamentos!$A:$A,AW$19,Lançamentos!$C:$C,"Manutenção")</f>
        <v>0</v>
      </c>
      <c r="AX44" s="37">
        <f>SUMIFS(Lançamentos!$F:$F,Lançamentos!$A:$A,AX$19,Lançamentos!$C:$C,"Manutenção")</f>
        <v>0</v>
      </c>
      <c r="AY44" s="37">
        <f>SUMIFS(Lançamentos!$F:$F,Lançamentos!$A:$A,AY$19,Lançamentos!$C:$C,"Manutenção")</f>
        <v>0</v>
      </c>
      <c r="AZ44" s="37">
        <f>SUMIFS(Lançamentos!$F:$F,Lançamentos!$A:$A,AZ$19,Lançamentos!$C:$C,"Manutenção")</f>
        <v>0</v>
      </c>
      <c r="BA44" s="37">
        <f>SUMIFS(Lançamentos!$F:$F,Lançamentos!$A:$A,BA$19,Lançamentos!$C:$C,"Manutenção")</f>
        <v>0</v>
      </c>
      <c r="BB44" s="37">
        <f>SUMIFS(Lançamentos!$F:$F,Lançamentos!$A:$A,BB$19,Lançamentos!$C:$C,"Manutenção")</f>
        <v>0</v>
      </c>
      <c r="BC44" s="37">
        <f>SUMIFS(Lançamentos!$F:$F,Lançamentos!$A:$A,BC$19,Lançamentos!$C:$C,"Manutenção")</f>
        <v>0</v>
      </c>
      <c r="BD44" s="37">
        <f>SUMIFS(Lançamentos!$F:$F,Lançamentos!$A:$A,BD$19,Lançamentos!$C:$C,"Manutenção")</f>
        <v>0</v>
      </c>
      <c r="BE44" s="37">
        <f>SUMIFS(Lançamentos!$F:$F,Lançamentos!$A:$A,BE$19,Lançamentos!$C:$C,"Manutenção")</f>
        <v>0</v>
      </c>
      <c r="BF44" s="37">
        <f>SUMIFS(Lançamentos!$F:$F,Lançamentos!$A:$A,BF$19,Lançamentos!$C:$C,"Manutenção")</f>
        <v>0</v>
      </c>
      <c r="BG44" s="37">
        <f>SUMIFS(Lançamentos!$F:$F,Lançamentos!$A:$A,BG$19,Lançamentos!$C:$C,"Manutenção")</f>
        <v>0</v>
      </c>
      <c r="BH44" s="37">
        <f>SUMIFS(Lançamentos!$F:$F,Lançamentos!$A:$A,BH$19,Lançamentos!$C:$C,"Manutenção")</f>
        <v>0</v>
      </c>
      <c r="BI44" s="37">
        <f>SUMIFS(Lançamentos!$F:$F,Lançamentos!$A:$A,BI$19,Lançamentos!$C:$C,"Manutenção")</f>
        <v>0</v>
      </c>
      <c r="BJ44" s="37">
        <f>SUMIFS(Lançamentos!$F:$F,Lançamentos!$A:$A,BJ$19,Lançamentos!$C:$C,"Manutenção")</f>
        <v>0</v>
      </c>
      <c r="BK44" s="37">
        <f>SUMIFS(Lançamentos!$F:$F,Lançamentos!$A:$A,BK$19,Lançamentos!$C:$C,"Manutenção")</f>
        <v>0</v>
      </c>
      <c r="BL44" s="37">
        <f>SUMIFS(Lançamentos!$F:$F,Lançamentos!$A:$A,BL$19,Lançamentos!$C:$C,"Manutenção")</f>
        <v>0</v>
      </c>
      <c r="BM44" s="37">
        <f>SUMIFS(Lançamentos!$F:$F,Lançamentos!$A:$A,BM$19,Lançamentos!$C:$C,"Manutenção")</f>
        <v>0</v>
      </c>
      <c r="BN44" s="37">
        <f>SUMIFS(Lançamentos!$F:$F,Lançamentos!$A:$A,BN$19,Lançamentos!$C:$C,"Manutenção")</f>
        <v>0</v>
      </c>
      <c r="BO44" s="37">
        <f>SUMIFS(Lançamentos!$F:$F,Lançamentos!$A:$A,BO$19,Lançamentos!$C:$C,"Manutenção")</f>
        <v>0</v>
      </c>
      <c r="BP44" s="37">
        <f>SUMIFS(Lançamentos!$F:$F,Lançamentos!$A:$A,BP$19,Lançamentos!$C:$C,"Manutenção")</f>
        <v>0</v>
      </c>
      <c r="BQ44" s="37">
        <f>SUMIFS(Lançamentos!$F:$F,Lançamentos!$A:$A,BQ$19,Lançamentos!$C:$C,"Manutenção")</f>
        <v>0</v>
      </c>
      <c r="BR44" s="37">
        <f>SUMIFS(Lançamentos!$F:$F,Lançamentos!$A:$A,BR$19,Lançamentos!$C:$C,"Manutenção")</f>
        <v>0</v>
      </c>
      <c r="BS44" s="37">
        <f>SUMIFS(Lançamentos!$F:$F,Lançamentos!$A:$A,BS$19,Lançamentos!$C:$C,"Manutenção")</f>
        <v>0</v>
      </c>
      <c r="BT44" s="37">
        <f>SUMIFS(Lançamentos!$F:$F,Lançamentos!$A:$A,BT$19,Lançamentos!$C:$C,"Manutenção")</f>
        <v>0</v>
      </c>
      <c r="BU44" s="37">
        <f>SUMIFS(Lançamentos!$F:$F,Lançamentos!$A:$A,BU$19,Lançamentos!$C:$C,"Manutenção")</f>
        <v>0</v>
      </c>
      <c r="BV44" s="37">
        <f>SUMIFS(Lançamentos!$F:$F,Lançamentos!$A:$A,BV$19,Lançamentos!$C:$C,"Manutenção")</f>
        <v>0</v>
      </c>
      <c r="BW44" s="37">
        <f>SUMIFS(Lançamentos!$F:$F,Lançamentos!$A:$A,BW$19,Lançamentos!$C:$C,"Manutenção")</f>
        <v>0</v>
      </c>
      <c r="BX44" s="37">
        <f>SUMIFS(Lançamentos!$F:$F,Lançamentos!$A:$A,BX$19,Lançamentos!$C:$C,"Manutenção")</f>
        <v>0</v>
      </c>
      <c r="BY44" s="37">
        <f>SUMIFS(Lançamentos!$F:$F,Lançamentos!$A:$A,BY$19,Lançamentos!$C:$C,"Manutenção")</f>
        <v>0</v>
      </c>
      <c r="BZ44" s="37">
        <f>SUMIFS(Lançamentos!$F:$F,Lançamentos!$A:$A,BZ$19,Lançamentos!$C:$C,"Manutenção")</f>
        <v>0</v>
      </c>
      <c r="CA44" s="37">
        <f>SUMIFS(Lançamentos!$F:$F,Lançamentos!$A:$A,CA$19,Lançamentos!$C:$C,"Manutenção")</f>
        <v>0</v>
      </c>
      <c r="CB44" s="37">
        <f>SUMIFS(Lançamentos!$F:$F,Lançamentos!$A:$A,CB$19,Lançamentos!$C:$C,"Manutenção")</f>
        <v>0</v>
      </c>
      <c r="CC44" s="37">
        <f>SUMIFS(Lançamentos!$F:$F,Lançamentos!$A:$A,CC$19,Lançamentos!$C:$C,"Manutenção")</f>
        <v>0</v>
      </c>
      <c r="CD44" s="37">
        <f>SUMIFS(Lançamentos!$F:$F,Lançamentos!$A:$A,CD$19,Lançamentos!$C:$C,"Manutenção")</f>
        <v>0</v>
      </c>
      <c r="CE44" s="37">
        <f>SUMIFS(Lançamentos!$F:$F,Lançamentos!$A:$A,CE$19,Lançamentos!$C:$C,"Manutenção")</f>
        <v>0</v>
      </c>
      <c r="CF44" s="37">
        <f>SUMIFS(Lançamentos!$F:$F,Lançamentos!$A:$A,CF$19,Lançamentos!$C:$C,"Manutenção")</f>
        <v>0</v>
      </c>
      <c r="CG44" s="37">
        <f>SUMIFS(Lançamentos!$F:$F,Lançamentos!$A:$A,CG$19,Lançamentos!$C:$C,"Manutenção")</f>
        <v>0</v>
      </c>
      <c r="CH44" s="37">
        <f>SUMIFS(Lançamentos!$F:$F,Lançamentos!$A:$A,CH$19,Lançamentos!$C:$C,"Manutenção")</f>
        <v>0</v>
      </c>
      <c r="CI44" s="37">
        <f>SUMIFS(Lançamentos!$F:$F,Lançamentos!$A:$A,CI$19,Lançamentos!$C:$C,"Manutenção")</f>
        <v>0</v>
      </c>
      <c r="CJ44" s="37">
        <f>SUMIFS(Lançamentos!$F:$F,Lançamentos!$A:$A,CJ$19,Lançamentos!$C:$C,"Manutenção")</f>
        <v>0</v>
      </c>
      <c r="CK44" s="37">
        <f>SUMIFS(Lançamentos!$F:$F,Lançamentos!$A:$A,CK$19,Lançamentos!$C:$C,"Manutenção")</f>
        <v>0</v>
      </c>
      <c r="CL44" s="37">
        <f>SUMIFS(Lançamentos!$F:$F,Lançamentos!$A:$A,CL$19,Lançamentos!$C:$C,"Manutenção")</f>
        <v>0</v>
      </c>
      <c r="CM44" s="37">
        <f>SUMIFS(Lançamentos!$F:$F,Lançamentos!$A:$A,CM$19,Lançamentos!$C:$C,"Manutenção")</f>
        <v>0</v>
      </c>
      <c r="CN44" s="37">
        <f>SUMIFS(Lançamentos!$F:$F,Lançamentos!$A:$A,CN$19,Lançamentos!$C:$C,"Manutenção")</f>
        <v>0</v>
      </c>
      <c r="CO44" s="37">
        <f>SUMIFS(Lançamentos!$F:$F,Lançamentos!$A:$A,CO$19,Lançamentos!$C:$C,"Manutenção")</f>
        <v>0</v>
      </c>
      <c r="CP44" s="37">
        <f>SUMIFS(Lançamentos!$F:$F,Lançamentos!$A:$A,CP$19,Lançamentos!$C:$C,"Manutenção")</f>
        <v>0</v>
      </c>
      <c r="CQ44" s="37">
        <f>SUMIFS(Lançamentos!$F:$F,Lançamentos!$A:$A,CQ$19,Lançamentos!$C:$C,"Manutenção")</f>
        <v>0</v>
      </c>
      <c r="CR44" s="37">
        <f>SUMIFS(Lançamentos!$F:$F,Lançamentos!$A:$A,CR$19,Lançamentos!$C:$C,"Manutenção")</f>
        <v>0</v>
      </c>
      <c r="CS44" s="37">
        <f>SUMIFS(Lançamentos!$F:$F,Lançamentos!$A:$A,CS$19,Lançamentos!$C:$C,"Manutenção")</f>
        <v>0</v>
      </c>
      <c r="CT44" s="37">
        <f>SUMIFS(Lançamentos!$F:$F,Lançamentos!$A:$A,CT$19,Lançamentos!$C:$C,"Manutenção")</f>
        <v>0</v>
      </c>
      <c r="CU44" s="37">
        <f>SUMIFS(Lançamentos!$F:$F,Lançamentos!$A:$A,CU$19,Lançamentos!$C:$C,"Manutenção")</f>
        <v>0</v>
      </c>
      <c r="CV44" s="37">
        <f>SUMIFS(Lançamentos!$F:$F,Lançamentos!$A:$A,CV$19,Lançamentos!$C:$C,"Manutenção")</f>
        <v>0</v>
      </c>
      <c r="CW44" s="37">
        <f>SUMIFS(Lançamentos!$F:$F,Lançamentos!$A:$A,CW$19,Lançamentos!$C:$C,"Manutenção")</f>
        <v>0</v>
      </c>
      <c r="CX44" s="37">
        <f>SUMIFS(Lançamentos!$F:$F,Lançamentos!$A:$A,CX$19,Lançamentos!$C:$C,"Manutenção")</f>
        <v>0</v>
      </c>
      <c r="CY44" s="37">
        <f>SUMIFS(Lançamentos!$F:$F,Lançamentos!$A:$A,CY$19,Lançamentos!$C:$C,"Manutenção")</f>
        <v>0</v>
      </c>
      <c r="CZ44" s="37">
        <f>SUMIFS(Lançamentos!$F:$F,Lançamentos!$A:$A,CZ$19,Lançamentos!$C:$C,"Manutenção")</f>
        <v>0</v>
      </c>
      <c r="DA44" s="37">
        <f>SUMIFS(Lançamentos!$F:$F,Lançamentos!$A:$A,DA$19,Lançamentos!$C:$C,"Manutenção")</f>
        <v>0</v>
      </c>
      <c r="DB44" s="37">
        <f>SUMIFS(Lançamentos!$F:$F,Lançamentos!$A:$A,DB$19,Lançamentos!$C:$C,"Manutenção")</f>
        <v>0</v>
      </c>
      <c r="DC44" s="37">
        <f>SUMIFS(Lançamentos!$F:$F,Lançamentos!$A:$A,DC$19,Lançamentos!$C:$C,"Manutenção")</f>
        <v>0</v>
      </c>
      <c r="DD44" s="37">
        <f>SUMIFS(Lançamentos!$F:$F,Lançamentos!$A:$A,DD$19,Lançamentos!$C:$C,"Manutenção")</f>
        <v>0</v>
      </c>
      <c r="DE44" s="37">
        <f>SUMIFS(Lançamentos!$F:$F,Lançamentos!$A:$A,DE$19,Lançamentos!$C:$C,"Manutenção")</f>
        <v>0</v>
      </c>
      <c r="DF44" s="37">
        <f>SUMIFS(Lançamentos!$F:$F,Lançamentos!$A:$A,DF$19,Lançamentos!$C:$C,"Manutenção")</f>
        <v>0</v>
      </c>
      <c r="DG44" s="37">
        <f>SUMIFS(Lançamentos!$F:$F,Lançamentos!$A:$A,DG$19,Lançamentos!$C:$C,"Manutenção")</f>
        <v>0</v>
      </c>
      <c r="DH44" s="37">
        <f>SUMIFS(Lançamentos!$F:$F,Lançamentos!$A:$A,DH$19,Lançamentos!$C:$C,"Manutenção")</f>
        <v>0</v>
      </c>
      <c r="DI44" s="37">
        <f>SUMIFS(Lançamentos!$F:$F,Lançamentos!$A:$A,DI$19,Lançamentos!$C:$C,"Manutenção")</f>
        <v>0</v>
      </c>
      <c r="DJ44" s="37">
        <f>SUMIFS(Lançamentos!$F:$F,Lançamentos!$A:$A,DJ$19,Lançamentos!$C:$C,"Manutenção")</f>
        <v>0</v>
      </c>
      <c r="DK44" s="37">
        <f>SUMIFS(Lançamentos!$F:$F,Lançamentos!$A:$A,DK$19,Lançamentos!$C:$C,"Manutenção")</f>
        <v>0</v>
      </c>
      <c r="DL44" s="37">
        <f>SUMIFS(Lançamentos!$F:$F,Lançamentos!$A:$A,DL$19,Lançamentos!$C:$C,"Manutenção")</f>
        <v>0</v>
      </c>
      <c r="DM44" s="37">
        <f>SUMIFS(Lançamentos!$F:$F,Lançamentos!$A:$A,DM$19,Lançamentos!$C:$C,"Manutenção")</f>
        <v>0</v>
      </c>
      <c r="DN44" s="37">
        <f>SUMIFS(Lançamentos!$F:$F,Lançamentos!$A:$A,DN$19,Lançamentos!$C:$C,"Manutenção")</f>
        <v>0</v>
      </c>
      <c r="DO44" s="37">
        <f>SUMIFS(Lançamentos!$F:$F,Lançamentos!$A:$A,DO$19,Lançamentos!$C:$C,"Manutenção")</f>
        <v>0</v>
      </c>
      <c r="DP44" s="37">
        <f>SUMIFS(Lançamentos!$F:$F,Lançamentos!$A:$A,DP$19,Lançamentos!$C:$C,"Manutenção")</f>
        <v>0</v>
      </c>
      <c r="DQ44" s="37">
        <f>SUMIFS(Lançamentos!$F:$F,Lançamentos!$A:$A,DQ$19,Lançamentos!$C:$C,"Manutenção")</f>
        <v>0</v>
      </c>
      <c r="DR44" s="37">
        <f>SUMIFS(Lançamentos!$F:$F,Lançamentos!$A:$A,DR$19,Lançamentos!$C:$C,"Manutenção")</f>
        <v>0</v>
      </c>
      <c r="DS44" s="37">
        <f>SUMIFS(Lançamentos!$F:$F,Lançamentos!$A:$A,DS$19,Lançamentos!$C:$C,"Manutenção")</f>
        <v>0</v>
      </c>
      <c r="DT44" s="37">
        <f>SUMIFS(Lançamentos!$F:$F,Lançamentos!$A:$A,DT$19,Lançamentos!$C:$C,"Manutenção")</f>
        <v>0</v>
      </c>
      <c r="DU44" s="37">
        <f>SUMIFS(Lançamentos!$F:$F,Lançamentos!$A:$A,DU$19,Lançamentos!$C:$C,"Manutenção")</f>
        <v>0</v>
      </c>
      <c r="DV44" s="37">
        <f>SUMIFS(Lançamentos!$F:$F,Lançamentos!$A:$A,DV$19,Lançamentos!$C:$C,"Manutenção")</f>
        <v>0</v>
      </c>
      <c r="DW44" s="37">
        <f>SUMIFS(Lançamentos!$F:$F,Lançamentos!$A:$A,DW$19,Lançamentos!$C:$C,"Manutenção")</f>
        <v>0</v>
      </c>
      <c r="DX44" s="37">
        <f>SUMIFS(Lançamentos!$F:$F,Lançamentos!$A:$A,DX$19,Lançamentos!$C:$C,"Manutenção")</f>
        <v>0</v>
      </c>
      <c r="DY44" s="37">
        <f>SUMIFS(Lançamentos!$F:$F,Lançamentos!$A:$A,DY$19,Lançamentos!$C:$C,"Manutenção")</f>
        <v>0</v>
      </c>
      <c r="DZ44" s="37">
        <f>SUMIFS(Lançamentos!$F:$F,Lançamentos!$A:$A,DZ$19,Lançamentos!$C:$C,"Manutenção")</f>
        <v>0</v>
      </c>
      <c r="EA44" s="37">
        <f>SUMIFS(Lançamentos!$F:$F,Lançamentos!$A:$A,EA$19,Lançamentos!$C:$C,"Manutenção")</f>
        <v>0</v>
      </c>
      <c r="EB44" s="37">
        <f>SUMIFS(Lançamentos!$F:$F,Lançamentos!$A:$A,EB$19,Lançamentos!$C:$C,"Manutenção")</f>
        <v>0</v>
      </c>
      <c r="EC44" s="37">
        <f>SUMIFS(Lançamentos!$F:$F,Lançamentos!$A:$A,EC$19,Lançamentos!$C:$C,"Manutenção")</f>
        <v>0</v>
      </c>
      <c r="ED44" s="37">
        <f>SUMIFS(Lançamentos!$F:$F,Lançamentos!$A:$A,ED$19,Lançamentos!$C:$C,"Manutenção")</f>
        <v>0</v>
      </c>
      <c r="EE44" s="37">
        <f>SUMIFS(Lançamentos!$F:$F,Lançamentos!$A:$A,EE$19,Lançamentos!$C:$C,"Manutenção")</f>
        <v>0</v>
      </c>
      <c r="EF44" s="37">
        <f>SUMIFS(Lançamentos!$F:$F,Lançamentos!$A:$A,EF$19,Lançamentos!$C:$C,"Manutenção")</f>
        <v>0</v>
      </c>
      <c r="EG44" s="37">
        <f>SUMIFS(Lançamentos!$F:$F,Lançamentos!$A:$A,EG$19,Lançamentos!$C:$C,"Manutenção")</f>
        <v>0</v>
      </c>
      <c r="EH44" s="37">
        <f>SUMIFS(Lançamentos!$F:$F,Lançamentos!$A:$A,EH$19,Lançamentos!$C:$C,"Manutenção")</f>
        <v>0</v>
      </c>
      <c r="EI44" s="37">
        <f>SUMIFS(Lançamentos!$F:$F,Lançamentos!$A:$A,EI$19,Lançamentos!$C:$C,"Manutenção")</f>
        <v>0</v>
      </c>
      <c r="EJ44" s="37">
        <f>SUMIFS(Lançamentos!$F:$F,Lançamentos!$A:$A,EJ$19,Lançamentos!$C:$C,"Manutenção")</f>
        <v>0</v>
      </c>
      <c r="EK44" s="37">
        <f>SUMIFS(Lançamentos!$F:$F,Lançamentos!$A:$A,EK$19,Lançamentos!$C:$C,"Manutenção")</f>
        <v>0</v>
      </c>
      <c r="EL44" s="37">
        <f>SUMIFS(Lançamentos!$F:$F,Lançamentos!$A:$A,EL$19,Lançamentos!$C:$C,"Manutenção")</f>
        <v>0</v>
      </c>
      <c r="EM44" s="37">
        <f>SUMIFS(Lançamentos!$F:$F,Lançamentos!$A:$A,EM$19,Lançamentos!$C:$C,"Manutenção")</f>
        <v>0</v>
      </c>
      <c r="EN44" s="37">
        <f>SUMIFS(Lançamentos!$F:$F,Lançamentos!$A:$A,EN$19,Lançamentos!$C:$C,"Manutenção")</f>
        <v>0</v>
      </c>
      <c r="EO44" s="37">
        <f>SUMIFS(Lançamentos!$F:$F,Lançamentos!$A:$A,EO$19,Lançamentos!$C:$C,"Manutenção")</f>
        <v>0</v>
      </c>
      <c r="EP44" s="37">
        <f>SUMIFS(Lançamentos!$F:$F,Lançamentos!$A:$A,EP$19,Lançamentos!$C:$C,"Manutenção")</f>
        <v>0</v>
      </c>
      <c r="EQ44" s="37">
        <f>SUMIFS(Lançamentos!$F:$F,Lançamentos!$A:$A,EQ$19,Lançamentos!$C:$C,"Manutenção")</f>
        <v>0</v>
      </c>
      <c r="ER44" s="37">
        <f>SUMIFS(Lançamentos!$F:$F,Lançamentos!$A:$A,ER$19,Lançamentos!$C:$C,"Manutenção")</f>
        <v>0</v>
      </c>
      <c r="ES44" s="37">
        <f>SUMIFS(Lançamentos!$F:$F,Lançamentos!$A:$A,ES$19,Lançamentos!$C:$C,"Manutenção")</f>
        <v>0</v>
      </c>
      <c r="ET44" s="37">
        <f>SUMIFS(Lançamentos!$F:$F,Lançamentos!$A:$A,ET$19,Lançamentos!$C:$C,"Manutenção")</f>
        <v>0</v>
      </c>
      <c r="EU44" s="37">
        <f>SUMIFS(Lançamentos!$F:$F,Lançamentos!$A:$A,EU$19,Lançamentos!$C:$C,"Manutenção")</f>
        <v>0</v>
      </c>
      <c r="EV44" s="37">
        <f>SUMIFS(Lançamentos!$F:$F,Lançamentos!$A:$A,EV$19,Lançamentos!$C:$C,"Manutenção")</f>
        <v>0</v>
      </c>
      <c r="EW44" s="37">
        <f>SUMIFS(Lançamentos!$F:$F,Lançamentos!$A:$A,EW$19,Lançamentos!$C:$C,"Manutenção")</f>
        <v>0</v>
      </c>
      <c r="EX44" s="37">
        <f>SUMIFS(Lançamentos!$F:$F,Lançamentos!$A:$A,EX$19,Lançamentos!$C:$C,"Manutenção")</f>
        <v>0</v>
      </c>
      <c r="EY44" s="37">
        <f>SUMIFS(Lançamentos!$F:$F,Lançamentos!$A:$A,EY$19,Lançamentos!$C:$C,"Manutenção")</f>
        <v>0</v>
      </c>
      <c r="EZ44" s="37">
        <f>SUMIFS(Lançamentos!$F:$F,Lançamentos!$A:$A,EZ$19,Lançamentos!$C:$C,"Manutenção")</f>
        <v>0</v>
      </c>
      <c r="FA44" s="37">
        <f>SUMIFS(Lançamentos!$F:$F,Lançamentos!$A:$A,FA$19,Lançamentos!$C:$C,"Manutenção")</f>
        <v>0</v>
      </c>
      <c r="FB44" s="37">
        <f>SUMIFS(Lançamentos!$F:$F,Lançamentos!$A:$A,FB$19,Lançamentos!$C:$C,"Manutenção")</f>
        <v>0</v>
      </c>
      <c r="FC44" s="37">
        <f>SUMIFS(Lançamentos!$F:$F,Lançamentos!$A:$A,FC$19,Lançamentos!$C:$C,"Manutenção")</f>
        <v>0</v>
      </c>
      <c r="FD44" s="37">
        <f>SUMIFS(Lançamentos!$F:$F,Lançamentos!$A:$A,FD$19,Lançamentos!$C:$C,"Manutenção")</f>
        <v>0</v>
      </c>
      <c r="FE44" s="37">
        <f>SUMIFS(Lançamentos!$F:$F,Lançamentos!$A:$A,FE$19,Lançamentos!$C:$C,"Manutenção")</f>
        <v>0</v>
      </c>
      <c r="FF44" s="37">
        <f>SUMIFS(Lançamentos!$F:$F,Lançamentos!$A:$A,FF$19,Lançamentos!$C:$C,"Manutenção")</f>
        <v>0</v>
      </c>
      <c r="FG44" s="37">
        <f>SUMIFS(Lançamentos!$F:$F,Lançamentos!$A:$A,FG$19,Lançamentos!$C:$C,"Manutenção")</f>
        <v>0</v>
      </c>
      <c r="FH44" s="37">
        <f>SUMIFS(Lançamentos!$F:$F,Lançamentos!$A:$A,FH$19,Lançamentos!$C:$C,"Manutenção")</f>
        <v>0</v>
      </c>
      <c r="FI44" s="37">
        <f>SUMIFS(Lançamentos!$F:$F,Lançamentos!$A:$A,FI$19,Lançamentos!$C:$C,"Manutenção")</f>
        <v>0</v>
      </c>
      <c r="FJ44" s="37">
        <f>SUMIFS(Lançamentos!$F:$F,Lançamentos!$A:$A,FJ$19,Lançamentos!$C:$C,"Manutenção")</f>
        <v>0</v>
      </c>
      <c r="FK44" s="37">
        <f>SUMIFS(Lançamentos!$F:$F,Lançamentos!$A:$A,FK$19,Lançamentos!$C:$C,"Manutenção")</f>
        <v>0</v>
      </c>
      <c r="FL44" s="37">
        <f>SUMIFS(Lançamentos!$F:$F,Lançamentos!$A:$A,FL$19,Lançamentos!$C:$C,"Manutenção")</f>
        <v>0</v>
      </c>
      <c r="FM44" s="37">
        <f>SUMIFS(Lançamentos!$F:$F,Lançamentos!$A:$A,FM$19,Lançamentos!$C:$C,"Manutenção")</f>
        <v>0</v>
      </c>
      <c r="FN44" s="37">
        <f>SUMIFS(Lançamentos!$F:$F,Lançamentos!$A:$A,FN$19,Lançamentos!$C:$C,"Manutenção")</f>
        <v>0</v>
      </c>
      <c r="FO44" s="37">
        <f>SUMIFS(Lançamentos!$F:$F,Lançamentos!$A:$A,FO$19,Lançamentos!$C:$C,"Manutenção")</f>
        <v>0</v>
      </c>
      <c r="FP44" s="37">
        <f>SUMIFS(Lançamentos!$F:$F,Lançamentos!$A:$A,FP$19,Lançamentos!$C:$C,"Manutenção")</f>
        <v>0</v>
      </c>
      <c r="FQ44" s="37">
        <f>SUMIFS(Lançamentos!$F:$F,Lançamentos!$A:$A,FQ$19,Lançamentos!$C:$C,"Manutenção")</f>
        <v>0</v>
      </c>
      <c r="FR44" s="37">
        <f>SUMIFS(Lançamentos!$F:$F,Lançamentos!$A:$A,FR$19,Lançamentos!$C:$C,"Manutenção")</f>
        <v>0</v>
      </c>
      <c r="FS44" s="37">
        <f>SUMIFS(Lançamentos!$F:$F,Lançamentos!$A:$A,FS$19,Lançamentos!$C:$C,"Manutenção")</f>
        <v>0</v>
      </c>
      <c r="FT44" s="37">
        <f>SUMIFS(Lançamentos!$F:$F,Lançamentos!$A:$A,FT$19,Lançamentos!$C:$C,"Manutenção")</f>
        <v>0</v>
      </c>
      <c r="FU44" s="37">
        <f>SUMIFS(Lançamentos!$F:$F,Lançamentos!$A:$A,FU$19,Lançamentos!$C:$C,"Manutenção")</f>
        <v>0</v>
      </c>
      <c r="FV44" s="37">
        <f>SUMIFS(Lançamentos!$F:$F,Lançamentos!$A:$A,FV$19,Lançamentos!$C:$C,"Manutenção")</f>
        <v>0</v>
      </c>
      <c r="FW44" s="37">
        <f>SUMIFS(Lançamentos!$F:$F,Lançamentos!$A:$A,FW$19,Lançamentos!$C:$C,"Manutenção")</f>
        <v>0</v>
      </c>
      <c r="FX44" s="37">
        <f>SUMIFS(Lançamentos!$F:$F,Lançamentos!$A:$A,FX$19,Lançamentos!$C:$C,"Manutenção")</f>
        <v>0</v>
      </c>
      <c r="FY44" s="37">
        <f>SUMIFS(Lançamentos!$F:$F,Lançamentos!$A:$A,FY$19,Lançamentos!$C:$C,"Manutenção")</f>
        <v>0</v>
      </c>
      <c r="FZ44" s="37">
        <f>SUMIFS(Lançamentos!$F:$F,Lançamentos!$A:$A,FZ$19,Lançamentos!$C:$C,"Manutenção")</f>
        <v>0</v>
      </c>
      <c r="GA44" s="37">
        <f>SUMIFS(Lançamentos!$F:$F,Lançamentos!$A:$A,GA$19,Lançamentos!$C:$C,"Manutenção")</f>
        <v>0</v>
      </c>
      <c r="GB44" s="37">
        <f>SUMIFS(Lançamentos!$F:$F,Lançamentos!$A:$A,GB$19,Lançamentos!$C:$C,"Manutenção")</f>
        <v>0</v>
      </c>
      <c r="GC44" s="37">
        <f>SUMIFS(Lançamentos!$F:$F,Lançamentos!$A:$A,GC$19,Lançamentos!$C:$C,"Manutenção")</f>
        <v>0</v>
      </c>
      <c r="GD44" s="37">
        <f>SUMIFS(Lançamentos!$F:$F,Lançamentos!$A:$A,GD$19,Lançamentos!$C:$C,"Manutenção")</f>
        <v>0</v>
      </c>
      <c r="GE44" s="37">
        <f>SUMIFS(Lançamentos!$F:$F,Lançamentos!$A:$A,GE$19,Lançamentos!$C:$C,"Manutenção")</f>
        <v>0</v>
      </c>
      <c r="GF44" s="37">
        <f>SUMIFS(Lançamentos!$F:$F,Lançamentos!$A:$A,GF$19,Lançamentos!$C:$C,"Manutenção")</f>
        <v>0</v>
      </c>
      <c r="GG44" s="37">
        <f>SUMIFS(Lançamentos!$F:$F,Lançamentos!$A:$A,GG$19,Lançamentos!$C:$C,"Manutenção")</f>
        <v>0</v>
      </c>
      <c r="GH44" s="37">
        <f>SUMIFS(Lançamentos!$F:$F,Lançamentos!$A:$A,GH$19,Lançamentos!$C:$C,"Manutenção")</f>
        <v>0</v>
      </c>
      <c r="GI44" s="37">
        <f>SUMIFS(Lançamentos!$F:$F,Lançamentos!$A:$A,GI$19,Lançamentos!$C:$C,"Manutenção")</f>
        <v>0</v>
      </c>
      <c r="GJ44" s="37">
        <f>SUMIFS(Lançamentos!$F:$F,Lançamentos!$A:$A,GJ$19,Lançamentos!$C:$C,"Manutenção")</f>
        <v>0</v>
      </c>
      <c r="GK44" s="37">
        <f>SUMIFS(Lançamentos!$F:$F,Lançamentos!$A:$A,GK$19,Lançamentos!$C:$C,"Manutenção")</f>
        <v>0</v>
      </c>
      <c r="GL44" s="37">
        <f>SUMIFS(Lançamentos!$F:$F,Lançamentos!$A:$A,GL$19,Lançamentos!$C:$C,"Manutenção")</f>
        <v>0</v>
      </c>
      <c r="GM44" s="37">
        <f>SUMIFS(Lançamentos!$F:$F,Lançamentos!$A:$A,GM$19,Lançamentos!$C:$C,"Manutenção")</f>
        <v>0</v>
      </c>
      <c r="GN44" s="37">
        <f>SUMIFS(Lançamentos!$F:$F,Lançamentos!$A:$A,GN$19,Lançamentos!$C:$C,"Manutenção")</f>
        <v>0</v>
      </c>
      <c r="GO44" s="37">
        <f>SUMIFS(Lançamentos!$F:$F,Lançamentos!$A:$A,GO$19,Lançamentos!$C:$C,"Manutenção")</f>
        <v>0</v>
      </c>
      <c r="GP44" s="37">
        <f>SUMIFS(Lançamentos!$F:$F,Lançamentos!$A:$A,GP$19,Lançamentos!$C:$C,"Manutenção")</f>
        <v>0</v>
      </c>
      <c r="GQ44" s="37">
        <f>SUMIFS(Lançamentos!$F:$F,Lançamentos!$A:$A,GQ$19,Lançamentos!$C:$C,"Manutenção")</f>
        <v>0</v>
      </c>
      <c r="GR44" s="37">
        <f>SUMIFS(Lançamentos!$F:$F,Lançamentos!$A:$A,GR$19,Lançamentos!$C:$C,"Manutenção")</f>
        <v>0</v>
      </c>
      <c r="GS44" s="37">
        <f>SUMIFS(Lançamentos!$F:$F,Lançamentos!$A:$A,GS$19,Lançamentos!$C:$C,"Manutenção")</f>
        <v>0</v>
      </c>
      <c r="GT44" s="37">
        <f>SUMIFS(Lançamentos!$F:$F,Lançamentos!$A:$A,GT$19,Lançamentos!$C:$C,"Manutenção")</f>
        <v>0</v>
      </c>
      <c r="GU44" s="37">
        <f>SUMIFS(Lançamentos!$F:$F,Lançamentos!$A:$A,GU$19,Lançamentos!$C:$C,"Manutenção")</f>
        <v>0</v>
      </c>
      <c r="GV44" s="37">
        <f>SUMIFS(Lançamentos!$F:$F,Lançamentos!$A:$A,GV$19,Lançamentos!$C:$C,"Manutenção")</f>
        <v>0</v>
      </c>
      <c r="GW44" s="37">
        <f>SUMIFS(Lançamentos!$F:$F,Lançamentos!$A:$A,GW$19,Lançamentos!$C:$C,"Manutenção")</f>
        <v>0</v>
      </c>
      <c r="GX44" s="37">
        <f>SUMIFS(Lançamentos!$F:$F,Lançamentos!$A:$A,GX$19,Lançamentos!$C:$C,"Manutenção")</f>
        <v>0</v>
      </c>
      <c r="GY44" s="37">
        <f>SUMIFS(Lançamentos!$F:$F,Lançamentos!$A:$A,GY$19,Lançamentos!$C:$C,"Manutenção")</f>
        <v>0</v>
      </c>
      <c r="GZ44" s="37">
        <f>SUMIFS(Lançamentos!$F:$F,Lançamentos!$A:$A,GZ$19,Lançamentos!$C:$C,"Manutenção")</f>
        <v>0</v>
      </c>
      <c r="HA44" s="37">
        <f>SUMIFS(Lançamentos!$F:$F,Lançamentos!$A:$A,HA$19,Lançamentos!$C:$C,"Manutenção")</f>
        <v>0</v>
      </c>
      <c r="HB44" s="37">
        <f>SUMIFS(Lançamentos!$F:$F,Lançamentos!$A:$A,HB$19,Lançamentos!$C:$C,"Manutenção")</f>
        <v>0</v>
      </c>
      <c r="HC44" s="37">
        <f>SUMIFS(Lançamentos!$F:$F,Lançamentos!$A:$A,HC$19,Lançamentos!$C:$C,"Manutenção")</f>
        <v>0</v>
      </c>
      <c r="HD44" s="37">
        <f>SUMIFS(Lançamentos!$F:$F,Lançamentos!$A:$A,HD$19,Lançamentos!$C:$C,"Manutenção")</f>
        <v>0</v>
      </c>
      <c r="HE44" s="37">
        <f>SUMIFS(Lançamentos!$F:$F,Lançamentos!$A:$A,HE$19,Lançamentos!$C:$C,"Manutenção")</f>
        <v>0</v>
      </c>
      <c r="HF44" s="37">
        <f>SUMIFS(Lançamentos!$F:$F,Lançamentos!$A:$A,HF$19,Lançamentos!$C:$C,"Manutenção")</f>
        <v>0</v>
      </c>
      <c r="HG44" s="37">
        <f>SUMIFS(Lançamentos!$F:$F,Lançamentos!$A:$A,HG$19,Lançamentos!$C:$C,"Manutenção")</f>
        <v>0</v>
      </c>
      <c r="HH44" s="37">
        <f>SUMIFS(Lançamentos!$F:$F,Lançamentos!$A:$A,HH$19,Lançamentos!$C:$C,"Manutenção")</f>
        <v>0</v>
      </c>
      <c r="HI44" s="37">
        <f>SUMIFS(Lançamentos!$F:$F,Lançamentos!$A:$A,HI$19,Lançamentos!$C:$C,"Manutenção")</f>
        <v>0</v>
      </c>
      <c r="HJ44" s="37">
        <f>SUMIFS(Lançamentos!$F:$F,Lançamentos!$A:$A,HJ$19,Lançamentos!$C:$C,"Manutenção")</f>
        <v>0</v>
      </c>
      <c r="HK44" s="37">
        <f>SUMIFS(Lançamentos!$F:$F,Lançamentos!$A:$A,HK$19,Lançamentos!$C:$C,"Manutenção")</f>
        <v>0</v>
      </c>
      <c r="HL44" s="37">
        <f>SUMIFS(Lançamentos!$F:$F,Lançamentos!$A:$A,HL$19,Lançamentos!$C:$C,"Manutenção")</f>
        <v>0</v>
      </c>
      <c r="HM44" s="37">
        <f>SUMIFS(Lançamentos!$F:$F,Lançamentos!$A:$A,HM$19,Lançamentos!$C:$C,"Manutenção")</f>
        <v>0</v>
      </c>
      <c r="HN44" s="37">
        <f>SUMIFS(Lançamentos!$F:$F,Lançamentos!$A:$A,HN$19,Lançamentos!$C:$C,"Manutenção")</f>
        <v>0</v>
      </c>
      <c r="HO44" s="37">
        <f>SUMIFS(Lançamentos!$F:$F,Lançamentos!$A:$A,HO$19,Lançamentos!$C:$C,"Manutenção")</f>
        <v>0</v>
      </c>
      <c r="HP44" s="37">
        <f>SUMIFS(Lançamentos!$F:$F,Lançamentos!$A:$A,HP$19,Lançamentos!$C:$C,"Manutenção")</f>
        <v>0</v>
      </c>
      <c r="HQ44" s="37">
        <f>SUMIFS(Lançamentos!$F:$F,Lançamentos!$A:$A,HQ$19,Lançamentos!$C:$C,"Manutenção")</f>
        <v>0</v>
      </c>
      <c r="HR44" s="37">
        <f>SUMIFS(Lançamentos!$F:$F,Lançamentos!$A:$A,HR$19,Lançamentos!$C:$C,"Manutenção")</f>
        <v>0</v>
      </c>
      <c r="HS44" s="37">
        <f>SUMIFS(Lançamentos!$F:$F,Lançamentos!$A:$A,HS$19,Lançamentos!$C:$C,"Manutenção")</f>
        <v>0</v>
      </c>
      <c r="HT44" s="37">
        <f>SUMIFS(Lançamentos!$F:$F,Lançamentos!$A:$A,HT$19,Lançamentos!$C:$C,"Manutenção")</f>
        <v>0</v>
      </c>
      <c r="HU44" s="37">
        <f>SUMIFS(Lançamentos!$F:$F,Lançamentos!$A:$A,HU$19,Lançamentos!$C:$C,"Manutenção")</f>
        <v>0</v>
      </c>
      <c r="HV44" s="37">
        <f>SUMIFS(Lançamentos!$F:$F,Lançamentos!$A:$A,HV$19,Lançamentos!$C:$C,"Manutenção")</f>
        <v>0</v>
      </c>
      <c r="HW44" s="37">
        <f>SUMIFS(Lançamentos!$F:$F,Lançamentos!$A:$A,HW$19,Lançamentos!$C:$C,"Manutenção")</f>
        <v>0</v>
      </c>
      <c r="HX44" s="37">
        <f>SUMIFS(Lançamentos!$F:$F,Lançamentos!$A:$A,HX$19,Lançamentos!$C:$C,"Manutenção")</f>
        <v>0</v>
      </c>
      <c r="HY44" s="37">
        <f>SUMIFS(Lançamentos!$F:$F,Lançamentos!$A:$A,HY$19,Lançamentos!$C:$C,"Manutenção")</f>
        <v>0</v>
      </c>
      <c r="HZ44" s="37">
        <f>SUMIFS(Lançamentos!$F:$F,Lançamentos!$A:$A,HZ$19,Lançamentos!$C:$C,"Manutenção")</f>
        <v>0</v>
      </c>
      <c r="IA44" s="37">
        <f>SUMIFS(Lançamentos!$F:$F,Lançamentos!$A:$A,IA$19,Lançamentos!$C:$C,"Manutenção")</f>
        <v>0</v>
      </c>
      <c r="IB44" s="37">
        <f>SUMIFS(Lançamentos!$F:$F,Lançamentos!$A:$A,IB$19,Lançamentos!$C:$C,"Manutenção")</f>
        <v>0</v>
      </c>
      <c r="IC44" s="37">
        <f>SUMIFS(Lançamentos!$F:$F,Lançamentos!$A:$A,IC$19,Lançamentos!$C:$C,"Manutenção")</f>
        <v>0</v>
      </c>
      <c r="ID44" s="37">
        <f>SUMIFS(Lançamentos!$F:$F,Lançamentos!$A:$A,ID$19,Lançamentos!$C:$C,"Manutenção")</f>
        <v>0</v>
      </c>
      <c r="IE44" s="37">
        <f>SUMIFS(Lançamentos!$F:$F,Lançamentos!$A:$A,IE$19,Lançamentos!$C:$C,"Manutenção")</f>
        <v>0</v>
      </c>
      <c r="IF44" s="37">
        <f>SUMIFS(Lançamentos!$F:$F,Lançamentos!$A:$A,IF$19,Lançamentos!$C:$C,"Manutenção")</f>
        <v>0</v>
      </c>
      <c r="IG44" s="37">
        <f>SUMIFS(Lançamentos!$F:$F,Lançamentos!$A:$A,IG$19,Lançamentos!$C:$C,"Manutenção")</f>
        <v>0</v>
      </c>
      <c r="IH44" s="37">
        <f>SUMIFS(Lançamentos!$F:$F,Lançamentos!$A:$A,IH$19,Lançamentos!$C:$C,"Manutenção")</f>
        <v>0</v>
      </c>
      <c r="II44" s="37">
        <f>SUMIFS(Lançamentos!$F:$F,Lançamentos!$A:$A,II$19,Lançamentos!$C:$C,"Manutenção")</f>
        <v>0</v>
      </c>
      <c r="IJ44" s="37">
        <f>SUMIFS(Lançamentos!$F:$F,Lançamentos!$A:$A,IJ$19,Lançamentos!$C:$C,"Manutenção")</f>
        <v>0</v>
      </c>
      <c r="IK44" s="37">
        <f>SUMIFS(Lançamentos!$F:$F,Lançamentos!$A:$A,IK$19,Lançamentos!$C:$C,"Manutenção")</f>
        <v>0</v>
      </c>
      <c r="IL44" s="37">
        <f>SUMIFS(Lançamentos!$F:$F,Lançamentos!$A:$A,IL$19,Lançamentos!$C:$C,"Manutenção")</f>
        <v>0</v>
      </c>
    </row>
    <row r="45" spans="1:246" x14ac:dyDescent="0.3">
      <c r="A45" t="s">
        <v>20</v>
      </c>
      <c r="B45" s="37">
        <f>SUMIFS(Lançamentos!$F:$F,Lançamentos!$A:$A,B$19,Lançamentos!$C:$C,"Transporte e Viagens")</f>
        <v>0</v>
      </c>
      <c r="C45" s="37">
        <f>SUMIFS(Lançamentos!$F:$F,Lançamentos!$A:$A,C$19,Lançamentos!$C:$C,"Transporte e Viagens")</f>
        <v>0</v>
      </c>
      <c r="D45" s="37">
        <f>SUMIFS(Lançamentos!$F:$F,Lançamentos!$A:$A,D$19,Lançamentos!$C:$C,"Transporte e Viagens")</f>
        <v>0</v>
      </c>
      <c r="E45" s="37">
        <f>SUMIFS(Lançamentos!$F:$F,Lançamentos!$A:$A,E$19,Lançamentos!$C:$C,"Transporte e Viagens")</f>
        <v>0</v>
      </c>
      <c r="F45" s="37">
        <f>SUMIFS(Lançamentos!$F:$F,Lançamentos!$A:$A,F$19,Lançamentos!$C:$C,"Transporte e Viagens")</f>
        <v>0</v>
      </c>
      <c r="G45" s="37">
        <f>SUMIFS(Lançamentos!$F:$F,Lançamentos!$A:$A,G$19,Lançamentos!$C:$C,"Transporte e Viagens")</f>
        <v>0</v>
      </c>
      <c r="H45" s="37">
        <f>SUMIFS(Lançamentos!$F:$F,Lançamentos!$A:$A,H$19,Lançamentos!$C:$C,"Transporte e Viagens")</f>
        <v>0</v>
      </c>
      <c r="I45" s="37">
        <f>SUMIFS(Lançamentos!$F:$F,Lançamentos!$A:$A,I$19,Lançamentos!$C:$C,"Transporte e Viagens")</f>
        <v>0</v>
      </c>
      <c r="J45" s="37">
        <f>SUMIFS(Lançamentos!$F:$F,Lançamentos!$A:$A,J$19,Lançamentos!$C:$C,"Transporte e Viagens")</f>
        <v>0</v>
      </c>
      <c r="K45" s="37">
        <f>SUMIFS(Lançamentos!$F:$F,Lançamentos!$A:$A,K$19,Lançamentos!$C:$C,"Transporte e Viagens")</f>
        <v>0</v>
      </c>
      <c r="L45" s="37">
        <f>SUMIFS(Lançamentos!$F:$F,Lançamentos!$A:$A,L$19,Lançamentos!$C:$C,"Transporte e Viagens")</f>
        <v>0</v>
      </c>
      <c r="M45" s="37">
        <f>SUMIFS(Lançamentos!$F:$F,Lançamentos!$A:$A,M$19,Lançamentos!$C:$C,"Transporte e Viagens")</f>
        <v>0</v>
      </c>
      <c r="N45" s="37">
        <f>SUMIFS(Lançamentos!$F:$F,Lançamentos!$A:$A,N$19,Lançamentos!$C:$C,"Transporte e Viagens")</f>
        <v>0</v>
      </c>
      <c r="O45" s="37">
        <f>SUMIFS(Lançamentos!$F:$F,Lançamentos!$A:$A,O$19,Lançamentos!$C:$C,"Transporte e Viagens")</f>
        <v>0</v>
      </c>
      <c r="P45" s="37">
        <f>SUMIFS(Lançamentos!$F:$F,Lançamentos!$A:$A,P$19,Lançamentos!$C:$C,"Transporte e Viagens")</f>
        <v>0</v>
      </c>
      <c r="Q45" s="37">
        <f>SUMIFS(Lançamentos!$F:$F,Lançamentos!$A:$A,Q$19,Lançamentos!$C:$C,"Transporte e Viagens")</f>
        <v>0</v>
      </c>
      <c r="R45" s="37">
        <f>SUMIFS(Lançamentos!$F:$F,Lançamentos!$A:$A,R$19,Lançamentos!$C:$C,"Transporte e Viagens")</f>
        <v>0</v>
      </c>
      <c r="S45" s="37">
        <f>SUMIFS(Lançamentos!$F:$F,Lançamentos!$A:$A,S$19,Lançamentos!$C:$C,"Transporte e Viagens")</f>
        <v>0</v>
      </c>
      <c r="T45" s="37">
        <f>SUMIFS(Lançamentos!$F:$F,Lançamentos!$A:$A,T$19,Lançamentos!$C:$C,"Transporte e Viagens")</f>
        <v>0</v>
      </c>
      <c r="U45" s="37">
        <f>SUMIFS(Lançamentos!$F:$F,Lançamentos!$A:$A,U$19,Lançamentos!$C:$C,"Transporte e Viagens")</f>
        <v>0</v>
      </c>
      <c r="V45" s="37">
        <f>SUMIFS(Lançamentos!$F:$F,Lançamentos!$A:$A,V$19,Lançamentos!$C:$C,"Transporte e Viagens")</f>
        <v>0</v>
      </c>
      <c r="W45" s="37">
        <f>SUMIFS(Lançamentos!$F:$F,Lançamentos!$A:$A,W$19,Lançamentos!$C:$C,"Transporte e Viagens")</f>
        <v>0</v>
      </c>
      <c r="X45" s="37">
        <f>SUMIFS(Lançamentos!$F:$F,Lançamentos!$A:$A,X$19,Lançamentos!$C:$C,"Transporte e Viagens")</f>
        <v>0</v>
      </c>
      <c r="Y45" s="37">
        <f>SUMIFS(Lançamentos!$F:$F,Lançamentos!$A:$A,Y$19,Lançamentos!$C:$C,"Transporte e Viagens")</f>
        <v>0</v>
      </c>
      <c r="Z45" s="37">
        <f>SUMIFS(Lançamentos!$F:$F,Lançamentos!$A:$A,Z$19,Lançamentos!$C:$C,"Transporte e Viagens")</f>
        <v>0</v>
      </c>
      <c r="AA45" s="37">
        <f>SUMIFS(Lançamentos!$F:$F,Lançamentos!$A:$A,AA$19,Lançamentos!$C:$C,"Transporte e Viagens")</f>
        <v>0</v>
      </c>
      <c r="AB45" s="37">
        <f>SUMIFS(Lançamentos!$F:$F,Lançamentos!$A:$A,AB$19,Lançamentos!$C:$C,"Transporte e Viagens")</f>
        <v>0</v>
      </c>
      <c r="AC45" s="37">
        <f>SUMIFS(Lançamentos!$F:$F,Lançamentos!$A:$A,AC$19,Lançamentos!$C:$C,"Transporte e Viagens")</f>
        <v>0</v>
      </c>
      <c r="AD45" s="37">
        <f>SUMIFS(Lançamentos!$F:$F,Lançamentos!$A:$A,AD$19,Lançamentos!$C:$C,"Transporte e Viagens")</f>
        <v>0</v>
      </c>
      <c r="AE45" s="37">
        <f>SUMIFS(Lançamentos!$F:$F,Lançamentos!$A:$A,AE$19,Lançamentos!$C:$C,"Transporte e Viagens")</f>
        <v>0</v>
      </c>
      <c r="AF45" s="37">
        <f>SUMIFS(Lançamentos!$F:$F,Lançamentos!$A:$A,AF$19,Lançamentos!$C:$C,"Transporte e Viagens")</f>
        <v>0</v>
      </c>
      <c r="AG45" s="37">
        <f>SUMIFS(Lançamentos!$F:$F,Lançamentos!$A:$A,AG$19,Lançamentos!$C:$C,"Transporte e Viagens")</f>
        <v>0</v>
      </c>
      <c r="AH45" s="37">
        <f>SUMIFS(Lançamentos!$F:$F,Lançamentos!$A:$A,AH$19,Lançamentos!$C:$C,"Transporte e Viagens")</f>
        <v>0</v>
      </c>
      <c r="AI45" s="37">
        <f>SUMIFS(Lançamentos!$F:$F,Lançamentos!$A:$A,AI$19,Lançamentos!$C:$C,"Transporte e Viagens")</f>
        <v>0</v>
      </c>
      <c r="AJ45" s="37">
        <f>SUMIFS(Lançamentos!$F:$F,Lançamentos!$A:$A,AJ$19,Lançamentos!$C:$C,"Transporte e Viagens")</f>
        <v>0</v>
      </c>
      <c r="AK45" s="37">
        <f>SUMIFS(Lançamentos!$F:$F,Lançamentos!$A:$A,AK$19,Lançamentos!$C:$C,"Transporte e Viagens")</f>
        <v>0</v>
      </c>
      <c r="AL45" s="37">
        <f>SUMIFS(Lançamentos!$F:$F,Lançamentos!$A:$A,AL$19,Lançamentos!$C:$C,"Transporte e Viagens")</f>
        <v>0</v>
      </c>
      <c r="AM45" s="37">
        <f>SUMIFS(Lançamentos!$F:$F,Lançamentos!$A:$A,AM$19,Lançamentos!$C:$C,"Transporte e Viagens")</f>
        <v>0</v>
      </c>
      <c r="AN45" s="37">
        <f>SUMIFS(Lançamentos!$F:$F,Lançamentos!$A:$A,AN$19,Lançamentos!$C:$C,"Transporte e Viagens")</f>
        <v>0</v>
      </c>
      <c r="AO45" s="37">
        <f>SUMIFS(Lançamentos!$F:$F,Lançamentos!$A:$A,AO$19,Lançamentos!$C:$C,"Transporte e Viagens")</f>
        <v>0</v>
      </c>
      <c r="AP45" s="37">
        <f>SUMIFS(Lançamentos!$F:$F,Lançamentos!$A:$A,AP$19,Lançamentos!$C:$C,"Transporte e Viagens")</f>
        <v>0</v>
      </c>
      <c r="AQ45" s="37">
        <f>SUMIFS(Lançamentos!$F:$F,Lançamentos!$A:$A,AQ$19,Lançamentos!$C:$C,"Transporte e Viagens")</f>
        <v>0</v>
      </c>
      <c r="AR45" s="37">
        <f>SUMIFS(Lançamentos!$F:$F,Lançamentos!$A:$A,AR$19,Lançamentos!$C:$C,"Transporte e Viagens")</f>
        <v>0</v>
      </c>
      <c r="AS45" s="37">
        <f>SUMIFS(Lançamentos!$F:$F,Lançamentos!$A:$A,AS$19,Lançamentos!$C:$C,"Transporte e Viagens")</f>
        <v>0</v>
      </c>
      <c r="AT45" s="37">
        <f>SUMIFS(Lançamentos!$F:$F,Lançamentos!$A:$A,AT$19,Lançamentos!$C:$C,"Transporte e Viagens")</f>
        <v>0</v>
      </c>
      <c r="AU45" s="37">
        <f>SUMIFS(Lançamentos!$F:$F,Lançamentos!$A:$A,AU$19,Lançamentos!$C:$C,"Transporte e Viagens")</f>
        <v>0</v>
      </c>
      <c r="AV45" s="37">
        <f>SUMIFS(Lançamentos!$F:$F,Lançamentos!$A:$A,AV$19,Lançamentos!$C:$C,"Transporte e Viagens")</f>
        <v>0</v>
      </c>
      <c r="AW45" s="37">
        <f>SUMIFS(Lançamentos!$F:$F,Lançamentos!$A:$A,AW$19,Lançamentos!$C:$C,"Transporte e Viagens")</f>
        <v>0</v>
      </c>
      <c r="AX45" s="37">
        <f>SUMIFS(Lançamentos!$F:$F,Lançamentos!$A:$A,AX$19,Lançamentos!$C:$C,"Transporte e Viagens")</f>
        <v>0</v>
      </c>
      <c r="AY45" s="37">
        <f>SUMIFS(Lançamentos!$F:$F,Lançamentos!$A:$A,AY$19,Lançamentos!$C:$C,"Transporte e Viagens")</f>
        <v>0</v>
      </c>
      <c r="AZ45" s="37">
        <f>SUMIFS(Lançamentos!$F:$F,Lançamentos!$A:$A,AZ$19,Lançamentos!$C:$C,"Transporte e Viagens")</f>
        <v>0</v>
      </c>
      <c r="BA45" s="37">
        <f>SUMIFS(Lançamentos!$F:$F,Lançamentos!$A:$A,BA$19,Lançamentos!$C:$C,"Transporte e Viagens")</f>
        <v>0</v>
      </c>
      <c r="BB45" s="37">
        <f>SUMIFS(Lançamentos!$F:$F,Lançamentos!$A:$A,BB$19,Lançamentos!$C:$C,"Transporte e Viagens")</f>
        <v>0</v>
      </c>
      <c r="BC45" s="37">
        <f>SUMIFS(Lançamentos!$F:$F,Lançamentos!$A:$A,BC$19,Lançamentos!$C:$C,"Transporte e Viagens")</f>
        <v>0</v>
      </c>
      <c r="BD45" s="37">
        <f>SUMIFS(Lançamentos!$F:$F,Lançamentos!$A:$A,BD$19,Lançamentos!$C:$C,"Transporte e Viagens")</f>
        <v>0</v>
      </c>
      <c r="BE45" s="37">
        <f>SUMIFS(Lançamentos!$F:$F,Lançamentos!$A:$A,BE$19,Lançamentos!$C:$C,"Transporte e Viagens")</f>
        <v>0</v>
      </c>
      <c r="BF45" s="37">
        <f>SUMIFS(Lançamentos!$F:$F,Lançamentos!$A:$A,BF$19,Lançamentos!$C:$C,"Transporte e Viagens")</f>
        <v>0</v>
      </c>
      <c r="BG45" s="37">
        <f>SUMIFS(Lançamentos!$F:$F,Lançamentos!$A:$A,BG$19,Lançamentos!$C:$C,"Transporte e Viagens")</f>
        <v>0</v>
      </c>
      <c r="BH45" s="37">
        <f>SUMIFS(Lançamentos!$F:$F,Lançamentos!$A:$A,BH$19,Lançamentos!$C:$C,"Transporte e Viagens")</f>
        <v>0</v>
      </c>
      <c r="BI45" s="37">
        <f>SUMIFS(Lançamentos!$F:$F,Lançamentos!$A:$A,BI$19,Lançamentos!$C:$C,"Transporte e Viagens")</f>
        <v>0</v>
      </c>
      <c r="BJ45" s="37">
        <f>SUMIFS(Lançamentos!$F:$F,Lançamentos!$A:$A,BJ$19,Lançamentos!$C:$C,"Transporte e Viagens")</f>
        <v>0</v>
      </c>
      <c r="BK45" s="37">
        <f>SUMIFS(Lançamentos!$F:$F,Lançamentos!$A:$A,BK$19,Lançamentos!$C:$C,"Transporte e Viagens")</f>
        <v>0</v>
      </c>
      <c r="BL45" s="37">
        <f>SUMIFS(Lançamentos!$F:$F,Lançamentos!$A:$A,BL$19,Lançamentos!$C:$C,"Transporte e Viagens")</f>
        <v>0</v>
      </c>
      <c r="BM45" s="37">
        <f>SUMIFS(Lançamentos!$F:$F,Lançamentos!$A:$A,BM$19,Lançamentos!$C:$C,"Transporte e Viagens")</f>
        <v>0</v>
      </c>
      <c r="BN45" s="37">
        <f>SUMIFS(Lançamentos!$F:$F,Lançamentos!$A:$A,BN$19,Lançamentos!$C:$C,"Transporte e Viagens")</f>
        <v>0</v>
      </c>
      <c r="BO45" s="37">
        <f>SUMIFS(Lançamentos!$F:$F,Lançamentos!$A:$A,BO$19,Lançamentos!$C:$C,"Transporte e Viagens")</f>
        <v>0</v>
      </c>
      <c r="BP45" s="37">
        <f>SUMIFS(Lançamentos!$F:$F,Lançamentos!$A:$A,BP$19,Lançamentos!$C:$C,"Transporte e Viagens")</f>
        <v>0</v>
      </c>
      <c r="BQ45" s="37">
        <f>SUMIFS(Lançamentos!$F:$F,Lançamentos!$A:$A,BQ$19,Lançamentos!$C:$C,"Transporte e Viagens")</f>
        <v>0</v>
      </c>
      <c r="BR45" s="37">
        <f>SUMIFS(Lançamentos!$F:$F,Lançamentos!$A:$A,BR$19,Lançamentos!$C:$C,"Transporte e Viagens")</f>
        <v>0</v>
      </c>
      <c r="BS45" s="37">
        <f>SUMIFS(Lançamentos!$F:$F,Lançamentos!$A:$A,BS$19,Lançamentos!$C:$C,"Transporte e Viagens")</f>
        <v>0</v>
      </c>
      <c r="BT45" s="37">
        <f>SUMIFS(Lançamentos!$F:$F,Lançamentos!$A:$A,BT$19,Lançamentos!$C:$C,"Transporte e Viagens")</f>
        <v>0</v>
      </c>
      <c r="BU45" s="37">
        <f>SUMIFS(Lançamentos!$F:$F,Lançamentos!$A:$A,BU$19,Lançamentos!$C:$C,"Transporte e Viagens")</f>
        <v>0</v>
      </c>
      <c r="BV45" s="37">
        <f>SUMIFS(Lançamentos!$F:$F,Lançamentos!$A:$A,BV$19,Lançamentos!$C:$C,"Transporte e Viagens")</f>
        <v>0</v>
      </c>
      <c r="BW45" s="37">
        <f>SUMIFS(Lançamentos!$F:$F,Lançamentos!$A:$A,BW$19,Lançamentos!$C:$C,"Transporte e Viagens")</f>
        <v>0</v>
      </c>
      <c r="BX45" s="37">
        <f>SUMIFS(Lançamentos!$F:$F,Lançamentos!$A:$A,BX$19,Lançamentos!$C:$C,"Transporte e Viagens")</f>
        <v>0</v>
      </c>
      <c r="BY45" s="37">
        <f>SUMIFS(Lançamentos!$F:$F,Lançamentos!$A:$A,BY$19,Lançamentos!$C:$C,"Transporte e Viagens")</f>
        <v>0</v>
      </c>
      <c r="BZ45" s="37">
        <f>SUMIFS(Lançamentos!$F:$F,Lançamentos!$A:$A,BZ$19,Lançamentos!$C:$C,"Transporte e Viagens")</f>
        <v>0</v>
      </c>
      <c r="CA45" s="37">
        <f>SUMIFS(Lançamentos!$F:$F,Lançamentos!$A:$A,CA$19,Lançamentos!$C:$C,"Transporte e Viagens")</f>
        <v>0</v>
      </c>
      <c r="CB45" s="37">
        <f>SUMIFS(Lançamentos!$F:$F,Lançamentos!$A:$A,CB$19,Lançamentos!$C:$C,"Transporte e Viagens")</f>
        <v>0</v>
      </c>
      <c r="CC45" s="37">
        <f>SUMIFS(Lançamentos!$F:$F,Lançamentos!$A:$A,CC$19,Lançamentos!$C:$C,"Transporte e Viagens")</f>
        <v>0</v>
      </c>
      <c r="CD45" s="37">
        <f>SUMIFS(Lançamentos!$F:$F,Lançamentos!$A:$A,CD$19,Lançamentos!$C:$C,"Transporte e Viagens")</f>
        <v>0</v>
      </c>
      <c r="CE45" s="37">
        <f>SUMIFS(Lançamentos!$F:$F,Lançamentos!$A:$A,CE$19,Lançamentos!$C:$C,"Transporte e Viagens")</f>
        <v>0</v>
      </c>
      <c r="CF45" s="37">
        <f>SUMIFS(Lançamentos!$F:$F,Lançamentos!$A:$A,CF$19,Lançamentos!$C:$C,"Transporte e Viagens")</f>
        <v>0</v>
      </c>
      <c r="CG45" s="37">
        <f>SUMIFS(Lançamentos!$F:$F,Lançamentos!$A:$A,CG$19,Lançamentos!$C:$C,"Transporte e Viagens")</f>
        <v>0</v>
      </c>
      <c r="CH45" s="37">
        <f>SUMIFS(Lançamentos!$F:$F,Lançamentos!$A:$A,CH$19,Lançamentos!$C:$C,"Transporte e Viagens")</f>
        <v>0</v>
      </c>
      <c r="CI45" s="37">
        <f>SUMIFS(Lançamentos!$F:$F,Lançamentos!$A:$A,CI$19,Lançamentos!$C:$C,"Transporte e Viagens")</f>
        <v>0</v>
      </c>
      <c r="CJ45" s="37">
        <f>SUMIFS(Lançamentos!$F:$F,Lançamentos!$A:$A,CJ$19,Lançamentos!$C:$C,"Transporte e Viagens")</f>
        <v>0</v>
      </c>
      <c r="CK45" s="37">
        <f>SUMIFS(Lançamentos!$F:$F,Lançamentos!$A:$A,CK$19,Lançamentos!$C:$C,"Transporte e Viagens")</f>
        <v>0</v>
      </c>
      <c r="CL45" s="37">
        <f>SUMIFS(Lançamentos!$F:$F,Lançamentos!$A:$A,CL$19,Lançamentos!$C:$C,"Transporte e Viagens")</f>
        <v>0</v>
      </c>
      <c r="CM45" s="37">
        <f>SUMIFS(Lançamentos!$F:$F,Lançamentos!$A:$A,CM$19,Lançamentos!$C:$C,"Transporte e Viagens")</f>
        <v>0</v>
      </c>
      <c r="CN45" s="37">
        <f>SUMIFS(Lançamentos!$F:$F,Lançamentos!$A:$A,CN$19,Lançamentos!$C:$C,"Transporte e Viagens")</f>
        <v>0</v>
      </c>
      <c r="CO45" s="37">
        <f>SUMIFS(Lançamentos!$F:$F,Lançamentos!$A:$A,CO$19,Lançamentos!$C:$C,"Transporte e Viagens")</f>
        <v>0</v>
      </c>
      <c r="CP45" s="37">
        <f>SUMIFS(Lançamentos!$F:$F,Lançamentos!$A:$A,CP$19,Lançamentos!$C:$C,"Transporte e Viagens")</f>
        <v>0</v>
      </c>
      <c r="CQ45" s="37">
        <f>SUMIFS(Lançamentos!$F:$F,Lançamentos!$A:$A,CQ$19,Lançamentos!$C:$C,"Transporte e Viagens")</f>
        <v>0</v>
      </c>
      <c r="CR45" s="37">
        <f>SUMIFS(Lançamentos!$F:$F,Lançamentos!$A:$A,CR$19,Lançamentos!$C:$C,"Transporte e Viagens")</f>
        <v>0</v>
      </c>
      <c r="CS45" s="37">
        <f>SUMIFS(Lançamentos!$F:$F,Lançamentos!$A:$A,CS$19,Lançamentos!$C:$C,"Transporte e Viagens")</f>
        <v>0</v>
      </c>
      <c r="CT45" s="37">
        <f>SUMIFS(Lançamentos!$F:$F,Lançamentos!$A:$A,CT$19,Lançamentos!$C:$C,"Transporte e Viagens")</f>
        <v>0</v>
      </c>
      <c r="CU45" s="37">
        <f>SUMIFS(Lançamentos!$F:$F,Lançamentos!$A:$A,CU$19,Lançamentos!$C:$C,"Transporte e Viagens")</f>
        <v>0</v>
      </c>
      <c r="CV45" s="37">
        <f>SUMIFS(Lançamentos!$F:$F,Lançamentos!$A:$A,CV$19,Lançamentos!$C:$C,"Transporte e Viagens")</f>
        <v>0</v>
      </c>
      <c r="CW45" s="37">
        <f>SUMIFS(Lançamentos!$F:$F,Lançamentos!$A:$A,CW$19,Lançamentos!$C:$C,"Transporte e Viagens")</f>
        <v>0</v>
      </c>
      <c r="CX45" s="37">
        <f>SUMIFS(Lançamentos!$F:$F,Lançamentos!$A:$A,CX$19,Lançamentos!$C:$C,"Transporte e Viagens")</f>
        <v>0</v>
      </c>
      <c r="CY45" s="37">
        <f>SUMIFS(Lançamentos!$F:$F,Lançamentos!$A:$A,CY$19,Lançamentos!$C:$C,"Transporte e Viagens")</f>
        <v>0</v>
      </c>
      <c r="CZ45" s="37">
        <f>SUMIFS(Lançamentos!$F:$F,Lançamentos!$A:$A,CZ$19,Lançamentos!$C:$C,"Transporte e Viagens")</f>
        <v>0</v>
      </c>
      <c r="DA45" s="37">
        <f>SUMIFS(Lançamentos!$F:$F,Lançamentos!$A:$A,DA$19,Lançamentos!$C:$C,"Transporte e Viagens")</f>
        <v>0</v>
      </c>
      <c r="DB45" s="37">
        <f>SUMIFS(Lançamentos!$F:$F,Lançamentos!$A:$A,DB$19,Lançamentos!$C:$C,"Transporte e Viagens")</f>
        <v>0</v>
      </c>
      <c r="DC45" s="37">
        <f>SUMIFS(Lançamentos!$F:$F,Lançamentos!$A:$A,DC$19,Lançamentos!$C:$C,"Transporte e Viagens")</f>
        <v>0</v>
      </c>
      <c r="DD45" s="37">
        <f>SUMIFS(Lançamentos!$F:$F,Lançamentos!$A:$A,DD$19,Lançamentos!$C:$C,"Transporte e Viagens")</f>
        <v>0</v>
      </c>
      <c r="DE45" s="37">
        <f>SUMIFS(Lançamentos!$F:$F,Lançamentos!$A:$A,DE$19,Lançamentos!$C:$C,"Transporte e Viagens")</f>
        <v>0</v>
      </c>
      <c r="DF45" s="37">
        <f>SUMIFS(Lançamentos!$F:$F,Lançamentos!$A:$A,DF$19,Lançamentos!$C:$C,"Transporte e Viagens")</f>
        <v>0</v>
      </c>
      <c r="DG45" s="37">
        <f>SUMIFS(Lançamentos!$F:$F,Lançamentos!$A:$A,DG$19,Lançamentos!$C:$C,"Transporte e Viagens")</f>
        <v>0</v>
      </c>
      <c r="DH45" s="37">
        <f>SUMIFS(Lançamentos!$F:$F,Lançamentos!$A:$A,DH$19,Lançamentos!$C:$C,"Transporte e Viagens")</f>
        <v>0</v>
      </c>
      <c r="DI45" s="37">
        <f>SUMIFS(Lançamentos!$F:$F,Lançamentos!$A:$A,DI$19,Lançamentos!$C:$C,"Transporte e Viagens")</f>
        <v>0</v>
      </c>
      <c r="DJ45" s="37">
        <f>SUMIFS(Lançamentos!$F:$F,Lançamentos!$A:$A,DJ$19,Lançamentos!$C:$C,"Transporte e Viagens")</f>
        <v>0</v>
      </c>
      <c r="DK45" s="37">
        <f>SUMIFS(Lançamentos!$F:$F,Lançamentos!$A:$A,DK$19,Lançamentos!$C:$C,"Transporte e Viagens")</f>
        <v>0</v>
      </c>
      <c r="DL45" s="37">
        <f>SUMIFS(Lançamentos!$F:$F,Lançamentos!$A:$A,DL$19,Lançamentos!$C:$C,"Transporte e Viagens")</f>
        <v>0</v>
      </c>
      <c r="DM45" s="37">
        <f>SUMIFS(Lançamentos!$F:$F,Lançamentos!$A:$A,DM$19,Lançamentos!$C:$C,"Transporte e Viagens")</f>
        <v>0</v>
      </c>
      <c r="DN45" s="37">
        <f>SUMIFS(Lançamentos!$F:$F,Lançamentos!$A:$A,DN$19,Lançamentos!$C:$C,"Transporte e Viagens")</f>
        <v>0</v>
      </c>
      <c r="DO45" s="37">
        <f>SUMIFS(Lançamentos!$F:$F,Lançamentos!$A:$A,DO$19,Lançamentos!$C:$C,"Transporte e Viagens")</f>
        <v>0</v>
      </c>
      <c r="DP45" s="37">
        <f>SUMIFS(Lançamentos!$F:$F,Lançamentos!$A:$A,DP$19,Lançamentos!$C:$C,"Transporte e Viagens")</f>
        <v>0</v>
      </c>
      <c r="DQ45" s="37">
        <f>SUMIFS(Lançamentos!$F:$F,Lançamentos!$A:$A,DQ$19,Lançamentos!$C:$C,"Transporte e Viagens")</f>
        <v>0</v>
      </c>
      <c r="DR45" s="37">
        <f>SUMIFS(Lançamentos!$F:$F,Lançamentos!$A:$A,DR$19,Lançamentos!$C:$C,"Transporte e Viagens")</f>
        <v>0</v>
      </c>
      <c r="DS45" s="37">
        <f>SUMIFS(Lançamentos!$F:$F,Lançamentos!$A:$A,DS$19,Lançamentos!$C:$C,"Transporte e Viagens")</f>
        <v>0</v>
      </c>
      <c r="DT45" s="37">
        <f>SUMIFS(Lançamentos!$F:$F,Lançamentos!$A:$A,DT$19,Lançamentos!$C:$C,"Transporte e Viagens")</f>
        <v>0</v>
      </c>
      <c r="DU45" s="37">
        <f>SUMIFS(Lançamentos!$F:$F,Lançamentos!$A:$A,DU$19,Lançamentos!$C:$C,"Transporte e Viagens")</f>
        <v>0</v>
      </c>
      <c r="DV45" s="37">
        <f>SUMIFS(Lançamentos!$F:$F,Lançamentos!$A:$A,DV$19,Lançamentos!$C:$C,"Transporte e Viagens")</f>
        <v>0</v>
      </c>
      <c r="DW45" s="37">
        <f>SUMIFS(Lançamentos!$F:$F,Lançamentos!$A:$A,DW$19,Lançamentos!$C:$C,"Transporte e Viagens")</f>
        <v>0</v>
      </c>
      <c r="DX45" s="37">
        <f>SUMIFS(Lançamentos!$F:$F,Lançamentos!$A:$A,DX$19,Lançamentos!$C:$C,"Transporte e Viagens")</f>
        <v>0</v>
      </c>
      <c r="DY45" s="37">
        <f>SUMIFS(Lançamentos!$F:$F,Lançamentos!$A:$A,DY$19,Lançamentos!$C:$C,"Transporte e Viagens")</f>
        <v>0</v>
      </c>
      <c r="DZ45" s="37">
        <f>SUMIFS(Lançamentos!$F:$F,Lançamentos!$A:$A,DZ$19,Lançamentos!$C:$C,"Transporte e Viagens")</f>
        <v>0</v>
      </c>
      <c r="EA45" s="37">
        <f>SUMIFS(Lançamentos!$F:$F,Lançamentos!$A:$A,EA$19,Lançamentos!$C:$C,"Transporte e Viagens")</f>
        <v>0</v>
      </c>
      <c r="EB45" s="37">
        <f>SUMIFS(Lançamentos!$F:$F,Lançamentos!$A:$A,EB$19,Lançamentos!$C:$C,"Transporte e Viagens")</f>
        <v>0</v>
      </c>
      <c r="EC45" s="37">
        <f>SUMIFS(Lançamentos!$F:$F,Lançamentos!$A:$A,EC$19,Lançamentos!$C:$C,"Transporte e Viagens")</f>
        <v>0</v>
      </c>
      <c r="ED45" s="37">
        <f>SUMIFS(Lançamentos!$F:$F,Lançamentos!$A:$A,ED$19,Lançamentos!$C:$C,"Transporte e Viagens")</f>
        <v>0</v>
      </c>
      <c r="EE45" s="37">
        <f>SUMIFS(Lançamentos!$F:$F,Lançamentos!$A:$A,EE$19,Lançamentos!$C:$C,"Transporte e Viagens")</f>
        <v>0</v>
      </c>
      <c r="EF45" s="37">
        <f>SUMIFS(Lançamentos!$F:$F,Lançamentos!$A:$A,EF$19,Lançamentos!$C:$C,"Transporte e Viagens")</f>
        <v>0</v>
      </c>
      <c r="EG45" s="37">
        <f>SUMIFS(Lançamentos!$F:$F,Lançamentos!$A:$A,EG$19,Lançamentos!$C:$C,"Transporte e Viagens")</f>
        <v>0</v>
      </c>
      <c r="EH45" s="37">
        <f>SUMIFS(Lançamentos!$F:$F,Lançamentos!$A:$A,EH$19,Lançamentos!$C:$C,"Transporte e Viagens")</f>
        <v>0</v>
      </c>
      <c r="EI45" s="37">
        <f>SUMIFS(Lançamentos!$F:$F,Lançamentos!$A:$A,EI$19,Lançamentos!$C:$C,"Transporte e Viagens")</f>
        <v>0</v>
      </c>
      <c r="EJ45" s="37">
        <f>SUMIFS(Lançamentos!$F:$F,Lançamentos!$A:$A,EJ$19,Lançamentos!$C:$C,"Transporte e Viagens")</f>
        <v>0</v>
      </c>
      <c r="EK45" s="37">
        <f>SUMIFS(Lançamentos!$F:$F,Lançamentos!$A:$A,EK$19,Lançamentos!$C:$C,"Transporte e Viagens")</f>
        <v>0</v>
      </c>
      <c r="EL45" s="37">
        <f>SUMIFS(Lançamentos!$F:$F,Lançamentos!$A:$A,EL$19,Lançamentos!$C:$C,"Transporte e Viagens")</f>
        <v>0</v>
      </c>
      <c r="EM45" s="37">
        <f>SUMIFS(Lançamentos!$F:$F,Lançamentos!$A:$A,EM$19,Lançamentos!$C:$C,"Transporte e Viagens")</f>
        <v>0</v>
      </c>
      <c r="EN45" s="37">
        <f>SUMIFS(Lançamentos!$F:$F,Lançamentos!$A:$A,EN$19,Lançamentos!$C:$C,"Transporte e Viagens")</f>
        <v>0</v>
      </c>
      <c r="EO45" s="37">
        <f>SUMIFS(Lançamentos!$F:$F,Lançamentos!$A:$A,EO$19,Lançamentos!$C:$C,"Transporte e Viagens")</f>
        <v>0</v>
      </c>
      <c r="EP45" s="37">
        <f>SUMIFS(Lançamentos!$F:$F,Lançamentos!$A:$A,EP$19,Lançamentos!$C:$C,"Transporte e Viagens")</f>
        <v>0</v>
      </c>
      <c r="EQ45" s="37">
        <f>SUMIFS(Lançamentos!$F:$F,Lançamentos!$A:$A,EQ$19,Lançamentos!$C:$C,"Transporte e Viagens")</f>
        <v>0</v>
      </c>
      <c r="ER45" s="37">
        <f>SUMIFS(Lançamentos!$F:$F,Lançamentos!$A:$A,ER$19,Lançamentos!$C:$C,"Transporte e Viagens")</f>
        <v>0</v>
      </c>
      <c r="ES45" s="37">
        <f>SUMIFS(Lançamentos!$F:$F,Lançamentos!$A:$A,ES$19,Lançamentos!$C:$C,"Transporte e Viagens")</f>
        <v>0</v>
      </c>
      <c r="ET45" s="37">
        <f>SUMIFS(Lançamentos!$F:$F,Lançamentos!$A:$A,ET$19,Lançamentos!$C:$C,"Transporte e Viagens")</f>
        <v>0</v>
      </c>
      <c r="EU45" s="37">
        <f>SUMIFS(Lançamentos!$F:$F,Lançamentos!$A:$A,EU$19,Lançamentos!$C:$C,"Transporte e Viagens")</f>
        <v>0</v>
      </c>
      <c r="EV45" s="37">
        <f>SUMIFS(Lançamentos!$F:$F,Lançamentos!$A:$A,EV$19,Lançamentos!$C:$C,"Transporte e Viagens")</f>
        <v>0</v>
      </c>
      <c r="EW45" s="37">
        <f>SUMIFS(Lançamentos!$F:$F,Lançamentos!$A:$A,EW$19,Lançamentos!$C:$C,"Transporte e Viagens")</f>
        <v>0</v>
      </c>
      <c r="EX45" s="37">
        <f>SUMIFS(Lançamentos!$F:$F,Lançamentos!$A:$A,EX$19,Lançamentos!$C:$C,"Transporte e Viagens")</f>
        <v>0</v>
      </c>
      <c r="EY45" s="37">
        <f>SUMIFS(Lançamentos!$F:$F,Lançamentos!$A:$A,EY$19,Lançamentos!$C:$C,"Transporte e Viagens")</f>
        <v>0</v>
      </c>
      <c r="EZ45" s="37">
        <f>SUMIFS(Lançamentos!$F:$F,Lançamentos!$A:$A,EZ$19,Lançamentos!$C:$C,"Transporte e Viagens")</f>
        <v>0</v>
      </c>
      <c r="FA45" s="37">
        <f>SUMIFS(Lançamentos!$F:$F,Lançamentos!$A:$A,FA$19,Lançamentos!$C:$C,"Transporte e Viagens")</f>
        <v>0</v>
      </c>
      <c r="FB45" s="37">
        <f>SUMIFS(Lançamentos!$F:$F,Lançamentos!$A:$A,FB$19,Lançamentos!$C:$C,"Transporte e Viagens")</f>
        <v>0</v>
      </c>
      <c r="FC45" s="37">
        <f>SUMIFS(Lançamentos!$F:$F,Lançamentos!$A:$A,FC$19,Lançamentos!$C:$C,"Transporte e Viagens")</f>
        <v>0</v>
      </c>
      <c r="FD45" s="37">
        <f>SUMIFS(Lançamentos!$F:$F,Lançamentos!$A:$A,FD$19,Lançamentos!$C:$C,"Transporte e Viagens")</f>
        <v>0</v>
      </c>
      <c r="FE45" s="37">
        <f>SUMIFS(Lançamentos!$F:$F,Lançamentos!$A:$A,FE$19,Lançamentos!$C:$C,"Transporte e Viagens")</f>
        <v>0</v>
      </c>
      <c r="FF45" s="37">
        <f>SUMIFS(Lançamentos!$F:$F,Lançamentos!$A:$A,FF$19,Lançamentos!$C:$C,"Transporte e Viagens")</f>
        <v>0</v>
      </c>
      <c r="FG45" s="37">
        <f>SUMIFS(Lançamentos!$F:$F,Lançamentos!$A:$A,FG$19,Lançamentos!$C:$C,"Transporte e Viagens")</f>
        <v>0</v>
      </c>
      <c r="FH45" s="37">
        <f>SUMIFS(Lançamentos!$F:$F,Lançamentos!$A:$A,FH$19,Lançamentos!$C:$C,"Transporte e Viagens")</f>
        <v>0</v>
      </c>
      <c r="FI45" s="37">
        <f>SUMIFS(Lançamentos!$F:$F,Lançamentos!$A:$A,FI$19,Lançamentos!$C:$C,"Transporte e Viagens")</f>
        <v>0</v>
      </c>
      <c r="FJ45" s="37">
        <f>SUMIFS(Lançamentos!$F:$F,Lançamentos!$A:$A,FJ$19,Lançamentos!$C:$C,"Transporte e Viagens")</f>
        <v>0</v>
      </c>
      <c r="FK45" s="37">
        <f>SUMIFS(Lançamentos!$F:$F,Lançamentos!$A:$A,FK$19,Lançamentos!$C:$C,"Transporte e Viagens")</f>
        <v>0</v>
      </c>
      <c r="FL45" s="37">
        <f>SUMIFS(Lançamentos!$F:$F,Lançamentos!$A:$A,FL$19,Lançamentos!$C:$C,"Transporte e Viagens")</f>
        <v>0</v>
      </c>
      <c r="FM45" s="37">
        <f>SUMIFS(Lançamentos!$F:$F,Lançamentos!$A:$A,FM$19,Lançamentos!$C:$C,"Transporte e Viagens")</f>
        <v>0</v>
      </c>
      <c r="FN45" s="37">
        <f>SUMIFS(Lançamentos!$F:$F,Lançamentos!$A:$A,FN$19,Lançamentos!$C:$C,"Transporte e Viagens")</f>
        <v>0</v>
      </c>
      <c r="FO45" s="37">
        <f>SUMIFS(Lançamentos!$F:$F,Lançamentos!$A:$A,FO$19,Lançamentos!$C:$C,"Transporte e Viagens")</f>
        <v>0</v>
      </c>
      <c r="FP45" s="37">
        <f>SUMIFS(Lançamentos!$F:$F,Lançamentos!$A:$A,FP$19,Lançamentos!$C:$C,"Transporte e Viagens")</f>
        <v>0</v>
      </c>
      <c r="FQ45" s="37">
        <f>SUMIFS(Lançamentos!$F:$F,Lançamentos!$A:$A,FQ$19,Lançamentos!$C:$C,"Transporte e Viagens")</f>
        <v>0</v>
      </c>
      <c r="FR45" s="37">
        <f>SUMIFS(Lançamentos!$F:$F,Lançamentos!$A:$A,FR$19,Lançamentos!$C:$C,"Transporte e Viagens")</f>
        <v>0</v>
      </c>
      <c r="FS45" s="37">
        <f>SUMIFS(Lançamentos!$F:$F,Lançamentos!$A:$A,FS$19,Lançamentos!$C:$C,"Transporte e Viagens")</f>
        <v>0</v>
      </c>
      <c r="FT45" s="37">
        <f>SUMIFS(Lançamentos!$F:$F,Lançamentos!$A:$A,FT$19,Lançamentos!$C:$C,"Transporte e Viagens")</f>
        <v>0</v>
      </c>
      <c r="FU45" s="37">
        <f>SUMIFS(Lançamentos!$F:$F,Lançamentos!$A:$A,FU$19,Lançamentos!$C:$C,"Transporte e Viagens")</f>
        <v>0</v>
      </c>
      <c r="FV45" s="37">
        <f>SUMIFS(Lançamentos!$F:$F,Lançamentos!$A:$A,FV$19,Lançamentos!$C:$C,"Transporte e Viagens")</f>
        <v>0</v>
      </c>
      <c r="FW45" s="37">
        <f>SUMIFS(Lançamentos!$F:$F,Lançamentos!$A:$A,FW$19,Lançamentos!$C:$C,"Transporte e Viagens")</f>
        <v>0</v>
      </c>
      <c r="FX45" s="37">
        <f>SUMIFS(Lançamentos!$F:$F,Lançamentos!$A:$A,FX$19,Lançamentos!$C:$C,"Transporte e Viagens")</f>
        <v>0</v>
      </c>
      <c r="FY45" s="37">
        <f>SUMIFS(Lançamentos!$F:$F,Lançamentos!$A:$A,FY$19,Lançamentos!$C:$C,"Transporte e Viagens")</f>
        <v>0</v>
      </c>
      <c r="FZ45" s="37">
        <f>SUMIFS(Lançamentos!$F:$F,Lançamentos!$A:$A,FZ$19,Lançamentos!$C:$C,"Transporte e Viagens")</f>
        <v>0</v>
      </c>
      <c r="GA45" s="37">
        <f>SUMIFS(Lançamentos!$F:$F,Lançamentos!$A:$A,GA$19,Lançamentos!$C:$C,"Transporte e Viagens")</f>
        <v>0</v>
      </c>
      <c r="GB45" s="37">
        <f>SUMIFS(Lançamentos!$F:$F,Lançamentos!$A:$A,GB$19,Lançamentos!$C:$C,"Transporte e Viagens")</f>
        <v>0</v>
      </c>
      <c r="GC45" s="37">
        <f>SUMIFS(Lançamentos!$F:$F,Lançamentos!$A:$A,GC$19,Lançamentos!$C:$C,"Transporte e Viagens")</f>
        <v>0</v>
      </c>
      <c r="GD45" s="37">
        <f>SUMIFS(Lançamentos!$F:$F,Lançamentos!$A:$A,GD$19,Lançamentos!$C:$C,"Transporte e Viagens")</f>
        <v>0</v>
      </c>
      <c r="GE45" s="37">
        <f>SUMIFS(Lançamentos!$F:$F,Lançamentos!$A:$A,GE$19,Lançamentos!$C:$C,"Transporte e Viagens")</f>
        <v>0</v>
      </c>
      <c r="GF45" s="37">
        <f>SUMIFS(Lançamentos!$F:$F,Lançamentos!$A:$A,GF$19,Lançamentos!$C:$C,"Transporte e Viagens")</f>
        <v>0</v>
      </c>
      <c r="GG45" s="37">
        <f>SUMIFS(Lançamentos!$F:$F,Lançamentos!$A:$A,GG$19,Lançamentos!$C:$C,"Transporte e Viagens")</f>
        <v>0</v>
      </c>
      <c r="GH45" s="37">
        <f>SUMIFS(Lançamentos!$F:$F,Lançamentos!$A:$A,GH$19,Lançamentos!$C:$C,"Transporte e Viagens")</f>
        <v>0</v>
      </c>
      <c r="GI45" s="37">
        <f>SUMIFS(Lançamentos!$F:$F,Lançamentos!$A:$A,GI$19,Lançamentos!$C:$C,"Transporte e Viagens")</f>
        <v>0</v>
      </c>
      <c r="GJ45" s="37">
        <f>SUMIFS(Lançamentos!$F:$F,Lançamentos!$A:$A,GJ$19,Lançamentos!$C:$C,"Transporte e Viagens")</f>
        <v>0</v>
      </c>
      <c r="GK45" s="37">
        <f>SUMIFS(Lançamentos!$F:$F,Lançamentos!$A:$A,GK$19,Lançamentos!$C:$C,"Transporte e Viagens")</f>
        <v>0</v>
      </c>
      <c r="GL45" s="37">
        <f>SUMIFS(Lançamentos!$F:$F,Lançamentos!$A:$A,GL$19,Lançamentos!$C:$C,"Transporte e Viagens")</f>
        <v>0</v>
      </c>
      <c r="GM45" s="37">
        <f>SUMIFS(Lançamentos!$F:$F,Lançamentos!$A:$A,GM$19,Lançamentos!$C:$C,"Transporte e Viagens")</f>
        <v>0</v>
      </c>
      <c r="GN45" s="37">
        <f>SUMIFS(Lançamentos!$F:$F,Lançamentos!$A:$A,GN$19,Lançamentos!$C:$C,"Transporte e Viagens")</f>
        <v>0</v>
      </c>
      <c r="GO45" s="37">
        <f>SUMIFS(Lançamentos!$F:$F,Lançamentos!$A:$A,GO$19,Lançamentos!$C:$C,"Transporte e Viagens")</f>
        <v>0</v>
      </c>
      <c r="GP45" s="37">
        <f>SUMIFS(Lançamentos!$F:$F,Lançamentos!$A:$A,GP$19,Lançamentos!$C:$C,"Transporte e Viagens")</f>
        <v>0</v>
      </c>
      <c r="GQ45" s="37">
        <f>SUMIFS(Lançamentos!$F:$F,Lançamentos!$A:$A,GQ$19,Lançamentos!$C:$C,"Transporte e Viagens")</f>
        <v>0</v>
      </c>
      <c r="GR45" s="37">
        <f>SUMIFS(Lançamentos!$F:$F,Lançamentos!$A:$A,GR$19,Lançamentos!$C:$C,"Transporte e Viagens")</f>
        <v>0</v>
      </c>
      <c r="GS45" s="37">
        <f>SUMIFS(Lançamentos!$F:$F,Lançamentos!$A:$A,GS$19,Lançamentos!$C:$C,"Transporte e Viagens")</f>
        <v>0</v>
      </c>
      <c r="GT45" s="37">
        <f>SUMIFS(Lançamentos!$F:$F,Lançamentos!$A:$A,GT$19,Lançamentos!$C:$C,"Transporte e Viagens")</f>
        <v>0</v>
      </c>
      <c r="GU45" s="37">
        <f>SUMIFS(Lançamentos!$F:$F,Lançamentos!$A:$A,GU$19,Lançamentos!$C:$C,"Transporte e Viagens")</f>
        <v>0</v>
      </c>
      <c r="GV45" s="37">
        <f>SUMIFS(Lançamentos!$F:$F,Lançamentos!$A:$A,GV$19,Lançamentos!$C:$C,"Transporte e Viagens")</f>
        <v>0</v>
      </c>
      <c r="GW45" s="37">
        <f>SUMIFS(Lançamentos!$F:$F,Lançamentos!$A:$A,GW$19,Lançamentos!$C:$C,"Transporte e Viagens")</f>
        <v>0</v>
      </c>
      <c r="GX45" s="37">
        <f>SUMIFS(Lançamentos!$F:$F,Lançamentos!$A:$A,GX$19,Lançamentos!$C:$C,"Transporte e Viagens")</f>
        <v>0</v>
      </c>
      <c r="GY45" s="37">
        <f>SUMIFS(Lançamentos!$F:$F,Lançamentos!$A:$A,GY$19,Lançamentos!$C:$C,"Transporte e Viagens")</f>
        <v>0</v>
      </c>
      <c r="GZ45" s="37">
        <f>SUMIFS(Lançamentos!$F:$F,Lançamentos!$A:$A,GZ$19,Lançamentos!$C:$C,"Transporte e Viagens")</f>
        <v>0</v>
      </c>
      <c r="HA45" s="37">
        <f>SUMIFS(Lançamentos!$F:$F,Lançamentos!$A:$A,HA$19,Lançamentos!$C:$C,"Transporte e Viagens")</f>
        <v>0</v>
      </c>
      <c r="HB45" s="37">
        <f>SUMIFS(Lançamentos!$F:$F,Lançamentos!$A:$A,HB$19,Lançamentos!$C:$C,"Transporte e Viagens")</f>
        <v>0</v>
      </c>
      <c r="HC45" s="37">
        <f>SUMIFS(Lançamentos!$F:$F,Lançamentos!$A:$A,HC$19,Lançamentos!$C:$C,"Transporte e Viagens")</f>
        <v>0</v>
      </c>
      <c r="HD45" s="37">
        <f>SUMIFS(Lançamentos!$F:$F,Lançamentos!$A:$A,HD$19,Lançamentos!$C:$C,"Transporte e Viagens")</f>
        <v>0</v>
      </c>
      <c r="HE45" s="37">
        <f>SUMIFS(Lançamentos!$F:$F,Lançamentos!$A:$A,HE$19,Lançamentos!$C:$C,"Transporte e Viagens")</f>
        <v>0</v>
      </c>
      <c r="HF45" s="37">
        <f>SUMIFS(Lançamentos!$F:$F,Lançamentos!$A:$A,HF$19,Lançamentos!$C:$C,"Transporte e Viagens")</f>
        <v>0</v>
      </c>
      <c r="HG45" s="37">
        <f>SUMIFS(Lançamentos!$F:$F,Lançamentos!$A:$A,HG$19,Lançamentos!$C:$C,"Transporte e Viagens")</f>
        <v>0</v>
      </c>
      <c r="HH45" s="37">
        <f>SUMIFS(Lançamentos!$F:$F,Lançamentos!$A:$A,HH$19,Lançamentos!$C:$C,"Transporte e Viagens")</f>
        <v>0</v>
      </c>
      <c r="HI45" s="37">
        <f>SUMIFS(Lançamentos!$F:$F,Lançamentos!$A:$A,HI$19,Lançamentos!$C:$C,"Transporte e Viagens")</f>
        <v>0</v>
      </c>
      <c r="HJ45" s="37">
        <f>SUMIFS(Lançamentos!$F:$F,Lançamentos!$A:$A,HJ$19,Lançamentos!$C:$C,"Transporte e Viagens")</f>
        <v>0</v>
      </c>
      <c r="HK45" s="37">
        <f>SUMIFS(Lançamentos!$F:$F,Lançamentos!$A:$A,HK$19,Lançamentos!$C:$C,"Transporte e Viagens")</f>
        <v>0</v>
      </c>
      <c r="HL45" s="37">
        <f>SUMIFS(Lançamentos!$F:$F,Lançamentos!$A:$A,HL$19,Lançamentos!$C:$C,"Transporte e Viagens")</f>
        <v>0</v>
      </c>
      <c r="HM45" s="37">
        <f>SUMIFS(Lançamentos!$F:$F,Lançamentos!$A:$A,HM$19,Lançamentos!$C:$C,"Transporte e Viagens")</f>
        <v>0</v>
      </c>
      <c r="HN45" s="37">
        <f>SUMIFS(Lançamentos!$F:$F,Lançamentos!$A:$A,HN$19,Lançamentos!$C:$C,"Transporte e Viagens")</f>
        <v>0</v>
      </c>
      <c r="HO45" s="37">
        <f>SUMIFS(Lançamentos!$F:$F,Lançamentos!$A:$A,HO$19,Lançamentos!$C:$C,"Transporte e Viagens")</f>
        <v>0</v>
      </c>
      <c r="HP45" s="37">
        <f>SUMIFS(Lançamentos!$F:$F,Lançamentos!$A:$A,HP$19,Lançamentos!$C:$C,"Transporte e Viagens")</f>
        <v>0</v>
      </c>
      <c r="HQ45" s="37">
        <f>SUMIFS(Lançamentos!$F:$F,Lançamentos!$A:$A,HQ$19,Lançamentos!$C:$C,"Transporte e Viagens")</f>
        <v>0</v>
      </c>
      <c r="HR45" s="37">
        <f>SUMIFS(Lançamentos!$F:$F,Lançamentos!$A:$A,HR$19,Lançamentos!$C:$C,"Transporte e Viagens")</f>
        <v>0</v>
      </c>
      <c r="HS45" s="37">
        <f>SUMIFS(Lançamentos!$F:$F,Lançamentos!$A:$A,HS$19,Lançamentos!$C:$C,"Transporte e Viagens")</f>
        <v>0</v>
      </c>
      <c r="HT45" s="37">
        <f>SUMIFS(Lançamentos!$F:$F,Lançamentos!$A:$A,HT$19,Lançamentos!$C:$C,"Transporte e Viagens")</f>
        <v>0</v>
      </c>
      <c r="HU45" s="37">
        <f>SUMIFS(Lançamentos!$F:$F,Lançamentos!$A:$A,HU$19,Lançamentos!$C:$C,"Transporte e Viagens")</f>
        <v>0</v>
      </c>
      <c r="HV45" s="37">
        <f>SUMIFS(Lançamentos!$F:$F,Lançamentos!$A:$A,HV$19,Lançamentos!$C:$C,"Transporte e Viagens")</f>
        <v>0</v>
      </c>
      <c r="HW45" s="37">
        <f>SUMIFS(Lançamentos!$F:$F,Lançamentos!$A:$A,HW$19,Lançamentos!$C:$C,"Transporte e Viagens")</f>
        <v>0</v>
      </c>
      <c r="HX45" s="37">
        <f>SUMIFS(Lançamentos!$F:$F,Lançamentos!$A:$A,HX$19,Lançamentos!$C:$C,"Transporte e Viagens")</f>
        <v>0</v>
      </c>
      <c r="HY45" s="37">
        <f>SUMIFS(Lançamentos!$F:$F,Lançamentos!$A:$A,HY$19,Lançamentos!$C:$C,"Transporte e Viagens")</f>
        <v>0</v>
      </c>
      <c r="HZ45" s="37">
        <f>SUMIFS(Lançamentos!$F:$F,Lançamentos!$A:$A,HZ$19,Lançamentos!$C:$C,"Transporte e Viagens")</f>
        <v>0</v>
      </c>
      <c r="IA45" s="37">
        <f>SUMIFS(Lançamentos!$F:$F,Lançamentos!$A:$A,IA$19,Lançamentos!$C:$C,"Transporte e Viagens")</f>
        <v>0</v>
      </c>
      <c r="IB45" s="37">
        <f>SUMIFS(Lançamentos!$F:$F,Lançamentos!$A:$A,IB$19,Lançamentos!$C:$C,"Transporte e Viagens")</f>
        <v>0</v>
      </c>
      <c r="IC45" s="37">
        <f>SUMIFS(Lançamentos!$F:$F,Lançamentos!$A:$A,IC$19,Lançamentos!$C:$C,"Transporte e Viagens")</f>
        <v>0</v>
      </c>
      <c r="ID45" s="37">
        <f>SUMIFS(Lançamentos!$F:$F,Lançamentos!$A:$A,ID$19,Lançamentos!$C:$C,"Transporte e Viagens")</f>
        <v>0</v>
      </c>
      <c r="IE45" s="37">
        <f>SUMIFS(Lançamentos!$F:$F,Lançamentos!$A:$A,IE$19,Lançamentos!$C:$C,"Transporte e Viagens")</f>
        <v>0</v>
      </c>
      <c r="IF45" s="37">
        <f>SUMIFS(Lançamentos!$F:$F,Lançamentos!$A:$A,IF$19,Lançamentos!$C:$C,"Transporte e Viagens")</f>
        <v>0</v>
      </c>
      <c r="IG45" s="37">
        <f>SUMIFS(Lançamentos!$F:$F,Lançamentos!$A:$A,IG$19,Lançamentos!$C:$C,"Transporte e Viagens")</f>
        <v>0</v>
      </c>
      <c r="IH45" s="37">
        <f>SUMIFS(Lançamentos!$F:$F,Lançamentos!$A:$A,IH$19,Lançamentos!$C:$C,"Transporte e Viagens")</f>
        <v>0</v>
      </c>
      <c r="II45" s="37">
        <f>SUMIFS(Lançamentos!$F:$F,Lançamentos!$A:$A,II$19,Lançamentos!$C:$C,"Transporte e Viagens")</f>
        <v>0</v>
      </c>
      <c r="IJ45" s="37">
        <f>SUMIFS(Lançamentos!$F:$F,Lançamentos!$A:$A,IJ$19,Lançamentos!$C:$C,"Transporte e Viagens")</f>
        <v>0</v>
      </c>
      <c r="IK45" s="37">
        <f>SUMIFS(Lançamentos!$F:$F,Lançamentos!$A:$A,IK$19,Lançamentos!$C:$C,"Transporte e Viagens")</f>
        <v>0</v>
      </c>
      <c r="IL45" s="37">
        <f>SUMIFS(Lançamentos!$F:$F,Lançamentos!$A:$A,IL$19,Lançamentos!$C:$C,"Transporte e Viagens")</f>
        <v>0</v>
      </c>
    </row>
    <row r="46" spans="1:246" x14ac:dyDescent="0.3">
      <c r="A46" t="s">
        <v>21</v>
      </c>
      <c r="B46" s="37">
        <f>SUMIFS(Lançamentos!$F:$F,Lançamentos!$A:$A,B$19,Lançamentos!$C:$C,"Serviços de Terceiros")</f>
        <v>0</v>
      </c>
      <c r="C46" s="37">
        <f>SUMIFS(Lançamentos!$F:$F,Lançamentos!$A:$A,C$19,Lançamentos!$C:$C,"Serviços de Terceiros")</f>
        <v>0</v>
      </c>
      <c r="D46" s="37">
        <f>SUMIFS(Lançamentos!$F:$F,Lançamentos!$A:$A,D$19,Lançamentos!$C:$C,"Serviços de Terceiros")</f>
        <v>0</v>
      </c>
      <c r="E46" s="37">
        <f>SUMIFS(Lançamentos!$F:$F,Lançamentos!$A:$A,E$19,Lançamentos!$C:$C,"Serviços de Terceiros")</f>
        <v>0</v>
      </c>
      <c r="F46" s="37">
        <f>SUMIFS(Lançamentos!$F:$F,Lançamentos!$A:$A,F$19,Lançamentos!$C:$C,"Serviços de Terceiros")</f>
        <v>0</v>
      </c>
      <c r="G46" s="37">
        <f>SUMIFS(Lançamentos!$F:$F,Lançamentos!$A:$A,G$19,Lançamentos!$C:$C,"Serviços de Terceiros")</f>
        <v>0</v>
      </c>
      <c r="H46" s="37">
        <f>SUMIFS(Lançamentos!$F:$F,Lançamentos!$A:$A,H$19,Lançamentos!$C:$C,"Serviços de Terceiros")</f>
        <v>0</v>
      </c>
      <c r="I46" s="37">
        <f>SUMIFS(Lançamentos!$F:$F,Lançamentos!$A:$A,I$19,Lançamentos!$C:$C,"Serviços de Terceiros")</f>
        <v>0</v>
      </c>
      <c r="J46" s="37">
        <f>SUMIFS(Lançamentos!$F:$F,Lançamentos!$A:$A,J$19,Lançamentos!$C:$C,"Serviços de Terceiros")</f>
        <v>0</v>
      </c>
      <c r="K46" s="37">
        <f>SUMIFS(Lançamentos!$F:$F,Lançamentos!$A:$A,K$19,Lançamentos!$C:$C,"Serviços de Terceiros")</f>
        <v>0</v>
      </c>
      <c r="L46" s="37">
        <f>SUMIFS(Lançamentos!$F:$F,Lançamentos!$A:$A,L$19,Lançamentos!$C:$C,"Serviços de Terceiros")</f>
        <v>0</v>
      </c>
      <c r="M46" s="37">
        <f>SUMIFS(Lançamentos!$F:$F,Lançamentos!$A:$A,M$19,Lançamentos!$C:$C,"Serviços de Terceiros")</f>
        <v>0</v>
      </c>
      <c r="N46" s="37">
        <f>SUMIFS(Lançamentos!$F:$F,Lançamentos!$A:$A,N$19,Lançamentos!$C:$C,"Serviços de Terceiros")</f>
        <v>0</v>
      </c>
      <c r="O46" s="37">
        <f>SUMIFS(Lançamentos!$F:$F,Lançamentos!$A:$A,O$19,Lançamentos!$C:$C,"Serviços de Terceiros")</f>
        <v>0</v>
      </c>
      <c r="P46" s="37">
        <f>SUMIFS(Lançamentos!$F:$F,Lançamentos!$A:$A,P$19,Lançamentos!$C:$C,"Serviços de Terceiros")</f>
        <v>0</v>
      </c>
      <c r="Q46" s="37">
        <f>SUMIFS(Lançamentos!$F:$F,Lançamentos!$A:$A,Q$19,Lançamentos!$C:$C,"Serviços de Terceiros")</f>
        <v>0</v>
      </c>
      <c r="R46" s="37">
        <f>SUMIFS(Lançamentos!$F:$F,Lançamentos!$A:$A,R$19,Lançamentos!$C:$C,"Serviços de Terceiros")</f>
        <v>0</v>
      </c>
      <c r="S46" s="37">
        <f>SUMIFS(Lançamentos!$F:$F,Lançamentos!$A:$A,S$19,Lançamentos!$C:$C,"Serviços de Terceiros")</f>
        <v>0</v>
      </c>
      <c r="T46" s="37">
        <f>SUMIFS(Lançamentos!$F:$F,Lançamentos!$A:$A,T$19,Lançamentos!$C:$C,"Serviços de Terceiros")</f>
        <v>0</v>
      </c>
      <c r="U46" s="37">
        <f>SUMIFS(Lançamentos!$F:$F,Lançamentos!$A:$A,U$19,Lançamentos!$C:$C,"Serviços de Terceiros")</f>
        <v>0</v>
      </c>
      <c r="V46" s="37">
        <f>SUMIFS(Lançamentos!$F:$F,Lançamentos!$A:$A,V$19,Lançamentos!$C:$C,"Serviços de Terceiros")</f>
        <v>0</v>
      </c>
      <c r="W46" s="37">
        <f>SUMIFS(Lançamentos!$F:$F,Lançamentos!$A:$A,W$19,Lançamentos!$C:$C,"Serviços de Terceiros")</f>
        <v>0</v>
      </c>
      <c r="X46" s="37">
        <f>SUMIFS(Lançamentos!$F:$F,Lançamentos!$A:$A,X$19,Lançamentos!$C:$C,"Serviços de Terceiros")</f>
        <v>0</v>
      </c>
      <c r="Y46" s="37">
        <f>SUMIFS(Lançamentos!$F:$F,Lançamentos!$A:$A,Y$19,Lançamentos!$C:$C,"Serviços de Terceiros")</f>
        <v>0</v>
      </c>
      <c r="Z46" s="37">
        <f>SUMIFS(Lançamentos!$F:$F,Lançamentos!$A:$A,Z$19,Lançamentos!$C:$C,"Serviços de Terceiros")</f>
        <v>0</v>
      </c>
      <c r="AA46" s="37">
        <f>SUMIFS(Lançamentos!$F:$F,Lançamentos!$A:$A,AA$19,Lançamentos!$C:$C,"Serviços de Terceiros")</f>
        <v>0</v>
      </c>
      <c r="AB46" s="37">
        <f>SUMIFS(Lançamentos!$F:$F,Lançamentos!$A:$A,AB$19,Lançamentos!$C:$C,"Serviços de Terceiros")</f>
        <v>0</v>
      </c>
      <c r="AC46" s="37">
        <f>SUMIFS(Lançamentos!$F:$F,Lançamentos!$A:$A,AC$19,Lançamentos!$C:$C,"Serviços de Terceiros")</f>
        <v>0</v>
      </c>
      <c r="AD46" s="37">
        <f>SUMIFS(Lançamentos!$F:$F,Lançamentos!$A:$A,AD$19,Lançamentos!$C:$C,"Serviços de Terceiros")</f>
        <v>0</v>
      </c>
      <c r="AE46" s="37">
        <f>SUMIFS(Lançamentos!$F:$F,Lançamentos!$A:$A,AE$19,Lançamentos!$C:$C,"Serviços de Terceiros")</f>
        <v>0</v>
      </c>
      <c r="AF46" s="37">
        <f>SUMIFS(Lançamentos!$F:$F,Lançamentos!$A:$A,AF$19,Lançamentos!$C:$C,"Serviços de Terceiros")</f>
        <v>0</v>
      </c>
      <c r="AG46" s="37">
        <f>SUMIFS(Lançamentos!$F:$F,Lançamentos!$A:$A,AG$19,Lançamentos!$C:$C,"Serviços de Terceiros")</f>
        <v>0</v>
      </c>
      <c r="AH46" s="37">
        <f>SUMIFS(Lançamentos!$F:$F,Lançamentos!$A:$A,AH$19,Lançamentos!$C:$C,"Serviços de Terceiros")</f>
        <v>0</v>
      </c>
      <c r="AI46" s="37">
        <f>SUMIFS(Lançamentos!$F:$F,Lançamentos!$A:$A,AI$19,Lançamentos!$C:$C,"Serviços de Terceiros")</f>
        <v>0</v>
      </c>
      <c r="AJ46" s="37">
        <f>SUMIFS(Lançamentos!$F:$F,Lançamentos!$A:$A,AJ$19,Lançamentos!$C:$C,"Serviços de Terceiros")</f>
        <v>0</v>
      </c>
      <c r="AK46" s="37">
        <f>SUMIFS(Lançamentos!$F:$F,Lançamentos!$A:$A,AK$19,Lançamentos!$C:$C,"Serviços de Terceiros")</f>
        <v>0</v>
      </c>
      <c r="AL46" s="37">
        <f>SUMIFS(Lançamentos!$F:$F,Lançamentos!$A:$A,AL$19,Lançamentos!$C:$C,"Serviços de Terceiros")</f>
        <v>0</v>
      </c>
      <c r="AM46" s="37">
        <f>SUMIFS(Lançamentos!$F:$F,Lançamentos!$A:$A,AM$19,Lançamentos!$C:$C,"Serviços de Terceiros")</f>
        <v>0</v>
      </c>
      <c r="AN46" s="37">
        <f>SUMIFS(Lançamentos!$F:$F,Lançamentos!$A:$A,AN$19,Lançamentos!$C:$C,"Serviços de Terceiros")</f>
        <v>0</v>
      </c>
      <c r="AO46" s="37">
        <f>SUMIFS(Lançamentos!$F:$F,Lançamentos!$A:$A,AO$19,Lançamentos!$C:$C,"Serviços de Terceiros")</f>
        <v>0</v>
      </c>
      <c r="AP46" s="37">
        <f>SUMIFS(Lançamentos!$F:$F,Lançamentos!$A:$A,AP$19,Lançamentos!$C:$C,"Serviços de Terceiros")</f>
        <v>0</v>
      </c>
      <c r="AQ46" s="37">
        <f>SUMIFS(Lançamentos!$F:$F,Lançamentos!$A:$A,AQ$19,Lançamentos!$C:$C,"Serviços de Terceiros")</f>
        <v>0</v>
      </c>
      <c r="AR46" s="37">
        <f>SUMIFS(Lançamentos!$F:$F,Lançamentos!$A:$A,AR$19,Lançamentos!$C:$C,"Serviços de Terceiros")</f>
        <v>0</v>
      </c>
      <c r="AS46" s="37">
        <f>SUMIFS(Lançamentos!$F:$F,Lançamentos!$A:$A,AS$19,Lançamentos!$C:$C,"Serviços de Terceiros")</f>
        <v>0</v>
      </c>
      <c r="AT46" s="37">
        <f>SUMIFS(Lançamentos!$F:$F,Lançamentos!$A:$A,AT$19,Lançamentos!$C:$C,"Serviços de Terceiros")</f>
        <v>0</v>
      </c>
      <c r="AU46" s="37">
        <f>SUMIFS(Lançamentos!$F:$F,Lançamentos!$A:$A,AU$19,Lançamentos!$C:$C,"Serviços de Terceiros")</f>
        <v>0</v>
      </c>
      <c r="AV46" s="37">
        <f>SUMIFS(Lançamentos!$F:$F,Lançamentos!$A:$A,AV$19,Lançamentos!$C:$C,"Serviços de Terceiros")</f>
        <v>0</v>
      </c>
      <c r="AW46" s="37">
        <f>SUMIFS(Lançamentos!$F:$F,Lançamentos!$A:$A,AW$19,Lançamentos!$C:$C,"Serviços de Terceiros")</f>
        <v>0</v>
      </c>
      <c r="AX46" s="37">
        <f>SUMIFS(Lançamentos!$F:$F,Lançamentos!$A:$A,AX$19,Lançamentos!$C:$C,"Serviços de Terceiros")</f>
        <v>0</v>
      </c>
      <c r="AY46" s="37">
        <f>SUMIFS(Lançamentos!$F:$F,Lançamentos!$A:$A,AY$19,Lançamentos!$C:$C,"Serviços de Terceiros")</f>
        <v>0</v>
      </c>
      <c r="AZ46" s="37">
        <f>SUMIFS(Lançamentos!$F:$F,Lançamentos!$A:$A,AZ$19,Lançamentos!$C:$C,"Serviços de Terceiros")</f>
        <v>0</v>
      </c>
      <c r="BA46" s="37">
        <f>SUMIFS(Lançamentos!$F:$F,Lançamentos!$A:$A,BA$19,Lançamentos!$C:$C,"Serviços de Terceiros")</f>
        <v>0</v>
      </c>
      <c r="BB46" s="37">
        <f>SUMIFS(Lançamentos!$F:$F,Lançamentos!$A:$A,BB$19,Lançamentos!$C:$C,"Serviços de Terceiros")</f>
        <v>0</v>
      </c>
      <c r="BC46" s="37">
        <f>SUMIFS(Lançamentos!$F:$F,Lançamentos!$A:$A,BC$19,Lançamentos!$C:$C,"Serviços de Terceiros")</f>
        <v>0</v>
      </c>
      <c r="BD46" s="37">
        <f>SUMIFS(Lançamentos!$F:$F,Lançamentos!$A:$A,BD$19,Lançamentos!$C:$C,"Serviços de Terceiros")</f>
        <v>0</v>
      </c>
      <c r="BE46" s="37">
        <f>SUMIFS(Lançamentos!$F:$F,Lançamentos!$A:$A,BE$19,Lançamentos!$C:$C,"Serviços de Terceiros")</f>
        <v>0</v>
      </c>
      <c r="BF46" s="37">
        <f>SUMIFS(Lançamentos!$F:$F,Lançamentos!$A:$A,BF$19,Lançamentos!$C:$C,"Serviços de Terceiros")</f>
        <v>0</v>
      </c>
      <c r="BG46" s="37">
        <f>SUMIFS(Lançamentos!$F:$F,Lançamentos!$A:$A,BG$19,Lançamentos!$C:$C,"Serviços de Terceiros")</f>
        <v>0</v>
      </c>
      <c r="BH46" s="37">
        <f>SUMIFS(Lançamentos!$F:$F,Lançamentos!$A:$A,BH$19,Lançamentos!$C:$C,"Serviços de Terceiros")</f>
        <v>0</v>
      </c>
      <c r="BI46" s="37">
        <f>SUMIFS(Lançamentos!$F:$F,Lançamentos!$A:$A,BI$19,Lançamentos!$C:$C,"Serviços de Terceiros")</f>
        <v>0</v>
      </c>
      <c r="BJ46" s="37">
        <f>SUMIFS(Lançamentos!$F:$F,Lançamentos!$A:$A,BJ$19,Lançamentos!$C:$C,"Serviços de Terceiros")</f>
        <v>0</v>
      </c>
      <c r="BK46" s="37">
        <f>SUMIFS(Lançamentos!$F:$F,Lançamentos!$A:$A,BK$19,Lançamentos!$C:$C,"Serviços de Terceiros")</f>
        <v>0</v>
      </c>
      <c r="BL46" s="37">
        <f>SUMIFS(Lançamentos!$F:$F,Lançamentos!$A:$A,BL$19,Lançamentos!$C:$C,"Serviços de Terceiros")</f>
        <v>0</v>
      </c>
      <c r="BM46" s="37">
        <f>SUMIFS(Lançamentos!$F:$F,Lançamentos!$A:$A,BM$19,Lançamentos!$C:$C,"Serviços de Terceiros")</f>
        <v>0</v>
      </c>
      <c r="BN46" s="37">
        <f>SUMIFS(Lançamentos!$F:$F,Lançamentos!$A:$A,BN$19,Lançamentos!$C:$C,"Serviços de Terceiros")</f>
        <v>0</v>
      </c>
      <c r="BO46" s="37">
        <f>SUMIFS(Lançamentos!$F:$F,Lançamentos!$A:$A,BO$19,Lançamentos!$C:$C,"Serviços de Terceiros")</f>
        <v>0</v>
      </c>
      <c r="BP46" s="37">
        <f>SUMIFS(Lançamentos!$F:$F,Lançamentos!$A:$A,BP$19,Lançamentos!$C:$C,"Serviços de Terceiros")</f>
        <v>0</v>
      </c>
      <c r="BQ46" s="37">
        <f>SUMIFS(Lançamentos!$F:$F,Lançamentos!$A:$A,BQ$19,Lançamentos!$C:$C,"Serviços de Terceiros")</f>
        <v>0</v>
      </c>
      <c r="BR46" s="37">
        <f>SUMIFS(Lançamentos!$F:$F,Lançamentos!$A:$A,BR$19,Lançamentos!$C:$C,"Serviços de Terceiros")</f>
        <v>0</v>
      </c>
      <c r="BS46" s="37">
        <f>SUMIFS(Lançamentos!$F:$F,Lançamentos!$A:$A,BS$19,Lançamentos!$C:$C,"Serviços de Terceiros")</f>
        <v>0</v>
      </c>
      <c r="BT46" s="37">
        <f>SUMIFS(Lançamentos!$F:$F,Lançamentos!$A:$A,BT$19,Lançamentos!$C:$C,"Serviços de Terceiros")</f>
        <v>0</v>
      </c>
      <c r="BU46" s="37">
        <f>SUMIFS(Lançamentos!$F:$F,Lançamentos!$A:$A,BU$19,Lançamentos!$C:$C,"Serviços de Terceiros")</f>
        <v>0</v>
      </c>
      <c r="BV46" s="37">
        <f>SUMIFS(Lançamentos!$F:$F,Lançamentos!$A:$A,BV$19,Lançamentos!$C:$C,"Serviços de Terceiros")</f>
        <v>0</v>
      </c>
      <c r="BW46" s="37">
        <f>SUMIFS(Lançamentos!$F:$F,Lançamentos!$A:$A,BW$19,Lançamentos!$C:$C,"Serviços de Terceiros")</f>
        <v>0</v>
      </c>
      <c r="BX46" s="37">
        <f>SUMIFS(Lançamentos!$F:$F,Lançamentos!$A:$A,BX$19,Lançamentos!$C:$C,"Serviços de Terceiros")</f>
        <v>0</v>
      </c>
      <c r="BY46" s="37">
        <f>SUMIFS(Lançamentos!$F:$F,Lançamentos!$A:$A,BY$19,Lançamentos!$C:$C,"Serviços de Terceiros")</f>
        <v>0</v>
      </c>
      <c r="BZ46" s="37">
        <f>SUMIFS(Lançamentos!$F:$F,Lançamentos!$A:$A,BZ$19,Lançamentos!$C:$C,"Serviços de Terceiros")</f>
        <v>0</v>
      </c>
      <c r="CA46" s="37">
        <f>SUMIFS(Lançamentos!$F:$F,Lançamentos!$A:$A,CA$19,Lançamentos!$C:$C,"Serviços de Terceiros")</f>
        <v>0</v>
      </c>
      <c r="CB46" s="37">
        <f>SUMIFS(Lançamentos!$F:$F,Lançamentos!$A:$A,CB$19,Lançamentos!$C:$C,"Serviços de Terceiros")</f>
        <v>0</v>
      </c>
      <c r="CC46" s="37">
        <f>SUMIFS(Lançamentos!$F:$F,Lançamentos!$A:$A,CC$19,Lançamentos!$C:$C,"Serviços de Terceiros")</f>
        <v>0</v>
      </c>
      <c r="CD46" s="37">
        <f>SUMIFS(Lançamentos!$F:$F,Lançamentos!$A:$A,CD$19,Lançamentos!$C:$C,"Serviços de Terceiros")</f>
        <v>0</v>
      </c>
      <c r="CE46" s="37">
        <f>SUMIFS(Lançamentos!$F:$F,Lançamentos!$A:$A,CE$19,Lançamentos!$C:$C,"Serviços de Terceiros")</f>
        <v>0</v>
      </c>
      <c r="CF46" s="37">
        <f>SUMIFS(Lançamentos!$F:$F,Lançamentos!$A:$A,CF$19,Lançamentos!$C:$C,"Serviços de Terceiros")</f>
        <v>0</v>
      </c>
      <c r="CG46" s="37">
        <f>SUMIFS(Lançamentos!$F:$F,Lançamentos!$A:$A,CG$19,Lançamentos!$C:$C,"Serviços de Terceiros")</f>
        <v>0</v>
      </c>
      <c r="CH46" s="37">
        <f>SUMIFS(Lançamentos!$F:$F,Lançamentos!$A:$A,CH$19,Lançamentos!$C:$C,"Serviços de Terceiros")</f>
        <v>0</v>
      </c>
      <c r="CI46" s="37">
        <f>SUMIFS(Lançamentos!$F:$F,Lançamentos!$A:$A,CI$19,Lançamentos!$C:$C,"Serviços de Terceiros")</f>
        <v>0</v>
      </c>
      <c r="CJ46" s="37">
        <f>SUMIFS(Lançamentos!$F:$F,Lançamentos!$A:$A,CJ$19,Lançamentos!$C:$C,"Serviços de Terceiros")</f>
        <v>0</v>
      </c>
      <c r="CK46" s="37">
        <f>SUMIFS(Lançamentos!$F:$F,Lançamentos!$A:$A,CK$19,Lançamentos!$C:$C,"Serviços de Terceiros")</f>
        <v>0</v>
      </c>
      <c r="CL46" s="37">
        <f>SUMIFS(Lançamentos!$F:$F,Lançamentos!$A:$A,CL$19,Lançamentos!$C:$C,"Serviços de Terceiros")</f>
        <v>0</v>
      </c>
      <c r="CM46" s="37">
        <f>SUMIFS(Lançamentos!$F:$F,Lançamentos!$A:$A,CM$19,Lançamentos!$C:$C,"Serviços de Terceiros")</f>
        <v>0</v>
      </c>
      <c r="CN46" s="37">
        <f>SUMIFS(Lançamentos!$F:$F,Lançamentos!$A:$A,CN$19,Lançamentos!$C:$C,"Serviços de Terceiros")</f>
        <v>0</v>
      </c>
      <c r="CO46" s="37">
        <f>SUMIFS(Lançamentos!$F:$F,Lançamentos!$A:$A,CO$19,Lançamentos!$C:$C,"Serviços de Terceiros")</f>
        <v>0</v>
      </c>
      <c r="CP46" s="37">
        <f>SUMIFS(Lançamentos!$F:$F,Lançamentos!$A:$A,CP$19,Lançamentos!$C:$C,"Serviços de Terceiros")</f>
        <v>0</v>
      </c>
      <c r="CQ46" s="37">
        <f>SUMIFS(Lançamentos!$F:$F,Lançamentos!$A:$A,CQ$19,Lançamentos!$C:$C,"Serviços de Terceiros")</f>
        <v>0</v>
      </c>
      <c r="CR46" s="37">
        <f>SUMIFS(Lançamentos!$F:$F,Lançamentos!$A:$A,CR$19,Lançamentos!$C:$C,"Serviços de Terceiros")</f>
        <v>0</v>
      </c>
      <c r="CS46" s="37">
        <f>SUMIFS(Lançamentos!$F:$F,Lançamentos!$A:$A,CS$19,Lançamentos!$C:$C,"Serviços de Terceiros")</f>
        <v>0</v>
      </c>
      <c r="CT46" s="37">
        <f>SUMIFS(Lançamentos!$F:$F,Lançamentos!$A:$A,CT$19,Lançamentos!$C:$C,"Serviços de Terceiros")</f>
        <v>0</v>
      </c>
      <c r="CU46" s="37">
        <f>SUMIFS(Lançamentos!$F:$F,Lançamentos!$A:$A,CU$19,Lançamentos!$C:$C,"Serviços de Terceiros")</f>
        <v>0</v>
      </c>
      <c r="CV46" s="37">
        <f>SUMIFS(Lançamentos!$F:$F,Lançamentos!$A:$A,CV$19,Lançamentos!$C:$C,"Serviços de Terceiros")</f>
        <v>0</v>
      </c>
      <c r="CW46" s="37">
        <f>SUMIFS(Lançamentos!$F:$F,Lançamentos!$A:$A,CW$19,Lançamentos!$C:$C,"Serviços de Terceiros")</f>
        <v>0</v>
      </c>
      <c r="CX46" s="37">
        <f>SUMIFS(Lançamentos!$F:$F,Lançamentos!$A:$A,CX$19,Lançamentos!$C:$C,"Serviços de Terceiros")</f>
        <v>0</v>
      </c>
      <c r="CY46" s="37">
        <f>SUMIFS(Lançamentos!$F:$F,Lançamentos!$A:$A,CY$19,Lançamentos!$C:$C,"Serviços de Terceiros")</f>
        <v>0</v>
      </c>
      <c r="CZ46" s="37">
        <f>SUMIFS(Lançamentos!$F:$F,Lançamentos!$A:$A,CZ$19,Lançamentos!$C:$C,"Serviços de Terceiros")</f>
        <v>0</v>
      </c>
      <c r="DA46" s="37">
        <f>SUMIFS(Lançamentos!$F:$F,Lançamentos!$A:$A,DA$19,Lançamentos!$C:$C,"Serviços de Terceiros")</f>
        <v>0</v>
      </c>
      <c r="DB46" s="37">
        <f>SUMIFS(Lançamentos!$F:$F,Lançamentos!$A:$A,DB$19,Lançamentos!$C:$C,"Serviços de Terceiros")</f>
        <v>0</v>
      </c>
      <c r="DC46" s="37">
        <f>SUMIFS(Lançamentos!$F:$F,Lançamentos!$A:$A,DC$19,Lançamentos!$C:$C,"Serviços de Terceiros")</f>
        <v>0</v>
      </c>
      <c r="DD46" s="37">
        <f>SUMIFS(Lançamentos!$F:$F,Lançamentos!$A:$A,DD$19,Lançamentos!$C:$C,"Serviços de Terceiros")</f>
        <v>0</v>
      </c>
      <c r="DE46" s="37">
        <f>SUMIFS(Lançamentos!$F:$F,Lançamentos!$A:$A,DE$19,Lançamentos!$C:$C,"Serviços de Terceiros")</f>
        <v>0</v>
      </c>
      <c r="DF46" s="37">
        <f>SUMIFS(Lançamentos!$F:$F,Lançamentos!$A:$A,DF$19,Lançamentos!$C:$C,"Serviços de Terceiros")</f>
        <v>0</v>
      </c>
      <c r="DG46" s="37">
        <f>SUMIFS(Lançamentos!$F:$F,Lançamentos!$A:$A,DG$19,Lançamentos!$C:$C,"Serviços de Terceiros")</f>
        <v>0</v>
      </c>
      <c r="DH46" s="37">
        <f>SUMIFS(Lançamentos!$F:$F,Lançamentos!$A:$A,DH$19,Lançamentos!$C:$C,"Serviços de Terceiros")</f>
        <v>0</v>
      </c>
      <c r="DI46" s="37">
        <f>SUMIFS(Lançamentos!$F:$F,Lançamentos!$A:$A,DI$19,Lançamentos!$C:$C,"Serviços de Terceiros")</f>
        <v>0</v>
      </c>
      <c r="DJ46" s="37">
        <f>SUMIFS(Lançamentos!$F:$F,Lançamentos!$A:$A,DJ$19,Lançamentos!$C:$C,"Serviços de Terceiros")</f>
        <v>0</v>
      </c>
      <c r="DK46" s="37">
        <f>SUMIFS(Lançamentos!$F:$F,Lançamentos!$A:$A,DK$19,Lançamentos!$C:$C,"Serviços de Terceiros")</f>
        <v>0</v>
      </c>
      <c r="DL46" s="37">
        <f>SUMIFS(Lançamentos!$F:$F,Lançamentos!$A:$A,DL$19,Lançamentos!$C:$C,"Serviços de Terceiros")</f>
        <v>0</v>
      </c>
      <c r="DM46" s="37">
        <f>SUMIFS(Lançamentos!$F:$F,Lançamentos!$A:$A,DM$19,Lançamentos!$C:$C,"Serviços de Terceiros")</f>
        <v>0</v>
      </c>
      <c r="DN46" s="37">
        <f>SUMIFS(Lançamentos!$F:$F,Lançamentos!$A:$A,DN$19,Lançamentos!$C:$C,"Serviços de Terceiros")</f>
        <v>0</v>
      </c>
      <c r="DO46" s="37">
        <f>SUMIFS(Lançamentos!$F:$F,Lançamentos!$A:$A,DO$19,Lançamentos!$C:$C,"Serviços de Terceiros")</f>
        <v>0</v>
      </c>
      <c r="DP46" s="37">
        <f>SUMIFS(Lançamentos!$F:$F,Lançamentos!$A:$A,DP$19,Lançamentos!$C:$C,"Serviços de Terceiros")</f>
        <v>0</v>
      </c>
      <c r="DQ46" s="37">
        <f>SUMIFS(Lançamentos!$F:$F,Lançamentos!$A:$A,DQ$19,Lançamentos!$C:$C,"Serviços de Terceiros")</f>
        <v>0</v>
      </c>
      <c r="DR46" s="37">
        <f>SUMIFS(Lançamentos!$F:$F,Lançamentos!$A:$A,DR$19,Lançamentos!$C:$C,"Serviços de Terceiros")</f>
        <v>0</v>
      </c>
      <c r="DS46" s="37">
        <f>SUMIFS(Lançamentos!$F:$F,Lançamentos!$A:$A,DS$19,Lançamentos!$C:$C,"Serviços de Terceiros")</f>
        <v>0</v>
      </c>
      <c r="DT46" s="37">
        <f>SUMIFS(Lançamentos!$F:$F,Lançamentos!$A:$A,DT$19,Lançamentos!$C:$C,"Serviços de Terceiros")</f>
        <v>0</v>
      </c>
      <c r="DU46" s="37">
        <f>SUMIFS(Lançamentos!$F:$F,Lançamentos!$A:$A,DU$19,Lançamentos!$C:$C,"Serviços de Terceiros")</f>
        <v>0</v>
      </c>
      <c r="DV46" s="37">
        <f>SUMIFS(Lançamentos!$F:$F,Lançamentos!$A:$A,DV$19,Lançamentos!$C:$C,"Serviços de Terceiros")</f>
        <v>0</v>
      </c>
      <c r="DW46" s="37">
        <f>SUMIFS(Lançamentos!$F:$F,Lançamentos!$A:$A,DW$19,Lançamentos!$C:$C,"Serviços de Terceiros")</f>
        <v>0</v>
      </c>
      <c r="DX46" s="37">
        <f>SUMIFS(Lançamentos!$F:$F,Lançamentos!$A:$A,DX$19,Lançamentos!$C:$C,"Serviços de Terceiros")</f>
        <v>0</v>
      </c>
      <c r="DY46" s="37">
        <f>SUMIFS(Lançamentos!$F:$F,Lançamentos!$A:$A,DY$19,Lançamentos!$C:$C,"Serviços de Terceiros")</f>
        <v>0</v>
      </c>
      <c r="DZ46" s="37">
        <f>SUMIFS(Lançamentos!$F:$F,Lançamentos!$A:$A,DZ$19,Lançamentos!$C:$C,"Serviços de Terceiros")</f>
        <v>0</v>
      </c>
      <c r="EA46" s="37">
        <f>SUMIFS(Lançamentos!$F:$F,Lançamentos!$A:$A,EA$19,Lançamentos!$C:$C,"Serviços de Terceiros")</f>
        <v>0</v>
      </c>
      <c r="EB46" s="37">
        <f>SUMIFS(Lançamentos!$F:$F,Lançamentos!$A:$A,EB$19,Lançamentos!$C:$C,"Serviços de Terceiros")</f>
        <v>0</v>
      </c>
      <c r="EC46" s="37">
        <f>SUMIFS(Lançamentos!$F:$F,Lançamentos!$A:$A,EC$19,Lançamentos!$C:$C,"Serviços de Terceiros")</f>
        <v>0</v>
      </c>
      <c r="ED46" s="37">
        <f>SUMIFS(Lançamentos!$F:$F,Lançamentos!$A:$A,ED$19,Lançamentos!$C:$C,"Serviços de Terceiros")</f>
        <v>0</v>
      </c>
      <c r="EE46" s="37">
        <f>SUMIFS(Lançamentos!$F:$F,Lançamentos!$A:$A,EE$19,Lançamentos!$C:$C,"Serviços de Terceiros")</f>
        <v>0</v>
      </c>
      <c r="EF46" s="37">
        <f>SUMIFS(Lançamentos!$F:$F,Lançamentos!$A:$A,EF$19,Lançamentos!$C:$C,"Serviços de Terceiros")</f>
        <v>0</v>
      </c>
      <c r="EG46" s="37">
        <f>SUMIFS(Lançamentos!$F:$F,Lançamentos!$A:$A,EG$19,Lançamentos!$C:$C,"Serviços de Terceiros")</f>
        <v>0</v>
      </c>
      <c r="EH46" s="37">
        <f>SUMIFS(Lançamentos!$F:$F,Lançamentos!$A:$A,EH$19,Lançamentos!$C:$C,"Serviços de Terceiros")</f>
        <v>0</v>
      </c>
      <c r="EI46" s="37">
        <f>SUMIFS(Lançamentos!$F:$F,Lançamentos!$A:$A,EI$19,Lançamentos!$C:$C,"Serviços de Terceiros")</f>
        <v>0</v>
      </c>
      <c r="EJ46" s="37">
        <f>SUMIFS(Lançamentos!$F:$F,Lançamentos!$A:$A,EJ$19,Lançamentos!$C:$C,"Serviços de Terceiros")</f>
        <v>0</v>
      </c>
      <c r="EK46" s="37">
        <f>SUMIFS(Lançamentos!$F:$F,Lançamentos!$A:$A,EK$19,Lançamentos!$C:$C,"Serviços de Terceiros")</f>
        <v>0</v>
      </c>
      <c r="EL46" s="37">
        <f>SUMIFS(Lançamentos!$F:$F,Lançamentos!$A:$A,EL$19,Lançamentos!$C:$C,"Serviços de Terceiros")</f>
        <v>0</v>
      </c>
      <c r="EM46" s="37">
        <f>SUMIFS(Lançamentos!$F:$F,Lançamentos!$A:$A,EM$19,Lançamentos!$C:$C,"Serviços de Terceiros")</f>
        <v>0</v>
      </c>
      <c r="EN46" s="37">
        <f>SUMIFS(Lançamentos!$F:$F,Lançamentos!$A:$A,EN$19,Lançamentos!$C:$C,"Serviços de Terceiros")</f>
        <v>0</v>
      </c>
      <c r="EO46" s="37">
        <f>SUMIFS(Lançamentos!$F:$F,Lançamentos!$A:$A,EO$19,Lançamentos!$C:$C,"Serviços de Terceiros")</f>
        <v>0</v>
      </c>
      <c r="EP46" s="37">
        <f>SUMIFS(Lançamentos!$F:$F,Lançamentos!$A:$A,EP$19,Lançamentos!$C:$C,"Serviços de Terceiros")</f>
        <v>0</v>
      </c>
      <c r="EQ46" s="37">
        <f>SUMIFS(Lançamentos!$F:$F,Lançamentos!$A:$A,EQ$19,Lançamentos!$C:$C,"Serviços de Terceiros")</f>
        <v>0</v>
      </c>
      <c r="ER46" s="37">
        <f>SUMIFS(Lançamentos!$F:$F,Lançamentos!$A:$A,ER$19,Lançamentos!$C:$C,"Serviços de Terceiros")</f>
        <v>0</v>
      </c>
      <c r="ES46" s="37">
        <f>SUMIFS(Lançamentos!$F:$F,Lançamentos!$A:$A,ES$19,Lançamentos!$C:$C,"Serviços de Terceiros")</f>
        <v>0</v>
      </c>
      <c r="ET46" s="37">
        <f>SUMIFS(Lançamentos!$F:$F,Lançamentos!$A:$A,ET$19,Lançamentos!$C:$C,"Serviços de Terceiros")</f>
        <v>0</v>
      </c>
      <c r="EU46" s="37">
        <f>SUMIFS(Lançamentos!$F:$F,Lançamentos!$A:$A,EU$19,Lançamentos!$C:$C,"Serviços de Terceiros")</f>
        <v>0</v>
      </c>
      <c r="EV46" s="37">
        <f>SUMIFS(Lançamentos!$F:$F,Lançamentos!$A:$A,EV$19,Lançamentos!$C:$C,"Serviços de Terceiros")</f>
        <v>0</v>
      </c>
      <c r="EW46" s="37">
        <f>SUMIFS(Lançamentos!$F:$F,Lançamentos!$A:$A,EW$19,Lançamentos!$C:$C,"Serviços de Terceiros")</f>
        <v>0</v>
      </c>
      <c r="EX46" s="37">
        <f>SUMIFS(Lançamentos!$F:$F,Lançamentos!$A:$A,EX$19,Lançamentos!$C:$C,"Serviços de Terceiros")</f>
        <v>0</v>
      </c>
      <c r="EY46" s="37">
        <f>SUMIFS(Lançamentos!$F:$F,Lançamentos!$A:$A,EY$19,Lançamentos!$C:$C,"Serviços de Terceiros")</f>
        <v>0</v>
      </c>
      <c r="EZ46" s="37">
        <f>SUMIFS(Lançamentos!$F:$F,Lançamentos!$A:$A,EZ$19,Lançamentos!$C:$C,"Serviços de Terceiros")</f>
        <v>0</v>
      </c>
      <c r="FA46" s="37">
        <f>SUMIFS(Lançamentos!$F:$F,Lançamentos!$A:$A,FA$19,Lançamentos!$C:$C,"Serviços de Terceiros")</f>
        <v>0</v>
      </c>
      <c r="FB46" s="37">
        <f>SUMIFS(Lançamentos!$F:$F,Lançamentos!$A:$A,FB$19,Lançamentos!$C:$C,"Serviços de Terceiros")</f>
        <v>0</v>
      </c>
      <c r="FC46" s="37">
        <f>SUMIFS(Lançamentos!$F:$F,Lançamentos!$A:$A,FC$19,Lançamentos!$C:$C,"Serviços de Terceiros")</f>
        <v>0</v>
      </c>
      <c r="FD46" s="37">
        <f>SUMIFS(Lançamentos!$F:$F,Lançamentos!$A:$A,FD$19,Lançamentos!$C:$C,"Serviços de Terceiros")</f>
        <v>0</v>
      </c>
      <c r="FE46" s="37">
        <f>SUMIFS(Lançamentos!$F:$F,Lançamentos!$A:$A,FE$19,Lançamentos!$C:$C,"Serviços de Terceiros")</f>
        <v>0</v>
      </c>
      <c r="FF46" s="37">
        <f>SUMIFS(Lançamentos!$F:$F,Lançamentos!$A:$A,FF$19,Lançamentos!$C:$C,"Serviços de Terceiros")</f>
        <v>0</v>
      </c>
      <c r="FG46" s="37">
        <f>SUMIFS(Lançamentos!$F:$F,Lançamentos!$A:$A,FG$19,Lançamentos!$C:$C,"Serviços de Terceiros")</f>
        <v>0</v>
      </c>
      <c r="FH46" s="37">
        <f>SUMIFS(Lançamentos!$F:$F,Lançamentos!$A:$A,FH$19,Lançamentos!$C:$C,"Serviços de Terceiros")</f>
        <v>0</v>
      </c>
      <c r="FI46" s="37">
        <f>SUMIFS(Lançamentos!$F:$F,Lançamentos!$A:$A,FI$19,Lançamentos!$C:$C,"Serviços de Terceiros")</f>
        <v>0</v>
      </c>
      <c r="FJ46" s="37">
        <f>SUMIFS(Lançamentos!$F:$F,Lançamentos!$A:$A,FJ$19,Lançamentos!$C:$C,"Serviços de Terceiros")</f>
        <v>0</v>
      </c>
      <c r="FK46" s="37">
        <f>SUMIFS(Lançamentos!$F:$F,Lançamentos!$A:$A,FK$19,Lançamentos!$C:$C,"Serviços de Terceiros")</f>
        <v>0</v>
      </c>
      <c r="FL46" s="37">
        <f>SUMIFS(Lançamentos!$F:$F,Lançamentos!$A:$A,FL$19,Lançamentos!$C:$C,"Serviços de Terceiros")</f>
        <v>0</v>
      </c>
      <c r="FM46" s="37">
        <f>SUMIFS(Lançamentos!$F:$F,Lançamentos!$A:$A,FM$19,Lançamentos!$C:$C,"Serviços de Terceiros")</f>
        <v>0</v>
      </c>
      <c r="FN46" s="37">
        <f>SUMIFS(Lançamentos!$F:$F,Lançamentos!$A:$A,FN$19,Lançamentos!$C:$C,"Serviços de Terceiros")</f>
        <v>0</v>
      </c>
      <c r="FO46" s="37">
        <f>SUMIFS(Lançamentos!$F:$F,Lançamentos!$A:$A,FO$19,Lançamentos!$C:$C,"Serviços de Terceiros")</f>
        <v>0</v>
      </c>
      <c r="FP46" s="37">
        <f>SUMIFS(Lançamentos!$F:$F,Lançamentos!$A:$A,FP$19,Lançamentos!$C:$C,"Serviços de Terceiros")</f>
        <v>0</v>
      </c>
      <c r="FQ46" s="37">
        <f>SUMIFS(Lançamentos!$F:$F,Lançamentos!$A:$A,FQ$19,Lançamentos!$C:$C,"Serviços de Terceiros")</f>
        <v>0</v>
      </c>
      <c r="FR46" s="37">
        <f>SUMIFS(Lançamentos!$F:$F,Lançamentos!$A:$A,FR$19,Lançamentos!$C:$C,"Serviços de Terceiros")</f>
        <v>0</v>
      </c>
      <c r="FS46" s="37">
        <f>SUMIFS(Lançamentos!$F:$F,Lançamentos!$A:$A,FS$19,Lançamentos!$C:$C,"Serviços de Terceiros")</f>
        <v>0</v>
      </c>
      <c r="FT46" s="37">
        <f>SUMIFS(Lançamentos!$F:$F,Lançamentos!$A:$A,FT$19,Lançamentos!$C:$C,"Serviços de Terceiros")</f>
        <v>0</v>
      </c>
      <c r="FU46" s="37">
        <f>SUMIFS(Lançamentos!$F:$F,Lançamentos!$A:$A,FU$19,Lançamentos!$C:$C,"Serviços de Terceiros")</f>
        <v>0</v>
      </c>
      <c r="FV46" s="37">
        <f>SUMIFS(Lançamentos!$F:$F,Lançamentos!$A:$A,FV$19,Lançamentos!$C:$C,"Serviços de Terceiros")</f>
        <v>0</v>
      </c>
      <c r="FW46" s="37">
        <f>SUMIFS(Lançamentos!$F:$F,Lançamentos!$A:$A,FW$19,Lançamentos!$C:$C,"Serviços de Terceiros")</f>
        <v>0</v>
      </c>
      <c r="FX46" s="37">
        <f>SUMIFS(Lançamentos!$F:$F,Lançamentos!$A:$A,FX$19,Lançamentos!$C:$C,"Serviços de Terceiros")</f>
        <v>0</v>
      </c>
      <c r="FY46" s="37">
        <f>SUMIFS(Lançamentos!$F:$F,Lançamentos!$A:$A,FY$19,Lançamentos!$C:$C,"Serviços de Terceiros")</f>
        <v>0</v>
      </c>
      <c r="FZ46" s="37">
        <f>SUMIFS(Lançamentos!$F:$F,Lançamentos!$A:$A,FZ$19,Lançamentos!$C:$C,"Serviços de Terceiros")</f>
        <v>0</v>
      </c>
      <c r="GA46" s="37">
        <f>SUMIFS(Lançamentos!$F:$F,Lançamentos!$A:$A,GA$19,Lançamentos!$C:$C,"Serviços de Terceiros")</f>
        <v>0</v>
      </c>
      <c r="GB46" s="37">
        <f>SUMIFS(Lançamentos!$F:$F,Lançamentos!$A:$A,GB$19,Lançamentos!$C:$C,"Serviços de Terceiros")</f>
        <v>0</v>
      </c>
      <c r="GC46" s="37">
        <f>SUMIFS(Lançamentos!$F:$F,Lançamentos!$A:$A,GC$19,Lançamentos!$C:$C,"Serviços de Terceiros")</f>
        <v>0</v>
      </c>
      <c r="GD46" s="37">
        <f>SUMIFS(Lançamentos!$F:$F,Lançamentos!$A:$A,GD$19,Lançamentos!$C:$C,"Serviços de Terceiros")</f>
        <v>0</v>
      </c>
      <c r="GE46" s="37">
        <f>SUMIFS(Lançamentos!$F:$F,Lançamentos!$A:$A,GE$19,Lançamentos!$C:$C,"Serviços de Terceiros")</f>
        <v>0</v>
      </c>
      <c r="GF46" s="37">
        <f>SUMIFS(Lançamentos!$F:$F,Lançamentos!$A:$A,GF$19,Lançamentos!$C:$C,"Serviços de Terceiros")</f>
        <v>0</v>
      </c>
      <c r="GG46" s="37">
        <f>SUMIFS(Lançamentos!$F:$F,Lançamentos!$A:$A,GG$19,Lançamentos!$C:$C,"Serviços de Terceiros")</f>
        <v>0</v>
      </c>
      <c r="GH46" s="37">
        <f>SUMIFS(Lançamentos!$F:$F,Lançamentos!$A:$A,GH$19,Lançamentos!$C:$C,"Serviços de Terceiros")</f>
        <v>0</v>
      </c>
      <c r="GI46" s="37">
        <f>SUMIFS(Lançamentos!$F:$F,Lançamentos!$A:$A,GI$19,Lançamentos!$C:$C,"Serviços de Terceiros")</f>
        <v>0</v>
      </c>
      <c r="GJ46" s="37">
        <f>SUMIFS(Lançamentos!$F:$F,Lançamentos!$A:$A,GJ$19,Lançamentos!$C:$C,"Serviços de Terceiros")</f>
        <v>0</v>
      </c>
      <c r="GK46" s="37">
        <f>SUMIFS(Lançamentos!$F:$F,Lançamentos!$A:$A,GK$19,Lançamentos!$C:$C,"Serviços de Terceiros")</f>
        <v>0</v>
      </c>
      <c r="GL46" s="37">
        <f>SUMIFS(Lançamentos!$F:$F,Lançamentos!$A:$A,GL$19,Lançamentos!$C:$C,"Serviços de Terceiros")</f>
        <v>0</v>
      </c>
      <c r="GM46" s="37">
        <f>SUMIFS(Lançamentos!$F:$F,Lançamentos!$A:$A,GM$19,Lançamentos!$C:$C,"Serviços de Terceiros")</f>
        <v>0</v>
      </c>
      <c r="GN46" s="37">
        <f>SUMIFS(Lançamentos!$F:$F,Lançamentos!$A:$A,GN$19,Lançamentos!$C:$C,"Serviços de Terceiros")</f>
        <v>0</v>
      </c>
      <c r="GO46" s="37">
        <f>SUMIFS(Lançamentos!$F:$F,Lançamentos!$A:$A,GO$19,Lançamentos!$C:$C,"Serviços de Terceiros")</f>
        <v>0</v>
      </c>
      <c r="GP46" s="37">
        <f>SUMIFS(Lançamentos!$F:$F,Lançamentos!$A:$A,GP$19,Lançamentos!$C:$C,"Serviços de Terceiros")</f>
        <v>0</v>
      </c>
      <c r="GQ46" s="37">
        <f>SUMIFS(Lançamentos!$F:$F,Lançamentos!$A:$A,GQ$19,Lançamentos!$C:$C,"Serviços de Terceiros")</f>
        <v>0</v>
      </c>
      <c r="GR46" s="37">
        <f>SUMIFS(Lançamentos!$F:$F,Lançamentos!$A:$A,GR$19,Lançamentos!$C:$C,"Serviços de Terceiros")</f>
        <v>0</v>
      </c>
      <c r="GS46" s="37">
        <f>SUMIFS(Lançamentos!$F:$F,Lançamentos!$A:$A,GS$19,Lançamentos!$C:$C,"Serviços de Terceiros")</f>
        <v>0</v>
      </c>
      <c r="GT46" s="37">
        <f>SUMIFS(Lançamentos!$F:$F,Lançamentos!$A:$A,GT$19,Lançamentos!$C:$C,"Serviços de Terceiros")</f>
        <v>0</v>
      </c>
      <c r="GU46" s="37">
        <f>SUMIFS(Lançamentos!$F:$F,Lançamentos!$A:$A,GU$19,Lançamentos!$C:$C,"Serviços de Terceiros")</f>
        <v>0</v>
      </c>
      <c r="GV46" s="37">
        <f>SUMIFS(Lançamentos!$F:$F,Lançamentos!$A:$A,GV$19,Lançamentos!$C:$C,"Serviços de Terceiros")</f>
        <v>0</v>
      </c>
      <c r="GW46" s="37">
        <f>SUMIFS(Lançamentos!$F:$F,Lançamentos!$A:$A,GW$19,Lançamentos!$C:$C,"Serviços de Terceiros")</f>
        <v>0</v>
      </c>
      <c r="GX46" s="37">
        <f>SUMIFS(Lançamentos!$F:$F,Lançamentos!$A:$A,GX$19,Lançamentos!$C:$C,"Serviços de Terceiros")</f>
        <v>0</v>
      </c>
      <c r="GY46" s="37">
        <f>SUMIFS(Lançamentos!$F:$F,Lançamentos!$A:$A,GY$19,Lançamentos!$C:$C,"Serviços de Terceiros")</f>
        <v>0</v>
      </c>
      <c r="GZ46" s="37">
        <f>SUMIFS(Lançamentos!$F:$F,Lançamentos!$A:$A,GZ$19,Lançamentos!$C:$C,"Serviços de Terceiros")</f>
        <v>0</v>
      </c>
      <c r="HA46" s="37">
        <f>SUMIFS(Lançamentos!$F:$F,Lançamentos!$A:$A,HA$19,Lançamentos!$C:$C,"Serviços de Terceiros")</f>
        <v>0</v>
      </c>
      <c r="HB46" s="37">
        <f>SUMIFS(Lançamentos!$F:$F,Lançamentos!$A:$A,HB$19,Lançamentos!$C:$C,"Serviços de Terceiros")</f>
        <v>0</v>
      </c>
      <c r="HC46" s="37">
        <f>SUMIFS(Lançamentos!$F:$F,Lançamentos!$A:$A,HC$19,Lançamentos!$C:$C,"Serviços de Terceiros")</f>
        <v>0</v>
      </c>
      <c r="HD46" s="37">
        <f>SUMIFS(Lançamentos!$F:$F,Lançamentos!$A:$A,HD$19,Lançamentos!$C:$C,"Serviços de Terceiros")</f>
        <v>0</v>
      </c>
      <c r="HE46" s="37">
        <f>SUMIFS(Lançamentos!$F:$F,Lançamentos!$A:$A,HE$19,Lançamentos!$C:$C,"Serviços de Terceiros")</f>
        <v>0</v>
      </c>
      <c r="HF46" s="37">
        <f>SUMIFS(Lançamentos!$F:$F,Lançamentos!$A:$A,HF$19,Lançamentos!$C:$C,"Serviços de Terceiros")</f>
        <v>0</v>
      </c>
      <c r="HG46" s="37">
        <f>SUMIFS(Lançamentos!$F:$F,Lançamentos!$A:$A,HG$19,Lançamentos!$C:$C,"Serviços de Terceiros")</f>
        <v>0</v>
      </c>
      <c r="HH46" s="37">
        <f>SUMIFS(Lançamentos!$F:$F,Lançamentos!$A:$A,HH$19,Lançamentos!$C:$C,"Serviços de Terceiros")</f>
        <v>0</v>
      </c>
      <c r="HI46" s="37">
        <f>SUMIFS(Lançamentos!$F:$F,Lançamentos!$A:$A,HI$19,Lançamentos!$C:$C,"Serviços de Terceiros")</f>
        <v>0</v>
      </c>
      <c r="HJ46" s="37">
        <f>SUMIFS(Lançamentos!$F:$F,Lançamentos!$A:$A,HJ$19,Lançamentos!$C:$C,"Serviços de Terceiros")</f>
        <v>0</v>
      </c>
      <c r="HK46" s="37">
        <f>SUMIFS(Lançamentos!$F:$F,Lançamentos!$A:$A,HK$19,Lançamentos!$C:$C,"Serviços de Terceiros")</f>
        <v>0</v>
      </c>
      <c r="HL46" s="37">
        <f>SUMIFS(Lançamentos!$F:$F,Lançamentos!$A:$A,HL$19,Lançamentos!$C:$C,"Serviços de Terceiros")</f>
        <v>0</v>
      </c>
      <c r="HM46" s="37">
        <f>SUMIFS(Lançamentos!$F:$F,Lançamentos!$A:$A,HM$19,Lançamentos!$C:$C,"Serviços de Terceiros")</f>
        <v>0</v>
      </c>
      <c r="HN46" s="37">
        <f>SUMIFS(Lançamentos!$F:$F,Lançamentos!$A:$A,HN$19,Lançamentos!$C:$C,"Serviços de Terceiros")</f>
        <v>0</v>
      </c>
      <c r="HO46" s="37">
        <f>SUMIFS(Lançamentos!$F:$F,Lançamentos!$A:$A,HO$19,Lançamentos!$C:$C,"Serviços de Terceiros")</f>
        <v>0</v>
      </c>
      <c r="HP46" s="37">
        <f>SUMIFS(Lançamentos!$F:$F,Lançamentos!$A:$A,HP$19,Lançamentos!$C:$C,"Serviços de Terceiros")</f>
        <v>0</v>
      </c>
      <c r="HQ46" s="37">
        <f>SUMIFS(Lançamentos!$F:$F,Lançamentos!$A:$A,HQ$19,Lançamentos!$C:$C,"Serviços de Terceiros")</f>
        <v>0</v>
      </c>
      <c r="HR46" s="37">
        <f>SUMIFS(Lançamentos!$F:$F,Lançamentos!$A:$A,HR$19,Lançamentos!$C:$C,"Serviços de Terceiros")</f>
        <v>0</v>
      </c>
      <c r="HS46" s="37">
        <f>SUMIFS(Lançamentos!$F:$F,Lançamentos!$A:$A,HS$19,Lançamentos!$C:$C,"Serviços de Terceiros")</f>
        <v>0</v>
      </c>
      <c r="HT46" s="37">
        <f>SUMIFS(Lançamentos!$F:$F,Lançamentos!$A:$A,HT$19,Lançamentos!$C:$C,"Serviços de Terceiros")</f>
        <v>0</v>
      </c>
      <c r="HU46" s="37">
        <f>SUMIFS(Lançamentos!$F:$F,Lançamentos!$A:$A,HU$19,Lançamentos!$C:$C,"Serviços de Terceiros")</f>
        <v>0</v>
      </c>
      <c r="HV46" s="37">
        <f>SUMIFS(Lançamentos!$F:$F,Lançamentos!$A:$A,HV$19,Lançamentos!$C:$C,"Serviços de Terceiros")</f>
        <v>0</v>
      </c>
      <c r="HW46" s="37">
        <f>SUMIFS(Lançamentos!$F:$F,Lançamentos!$A:$A,HW$19,Lançamentos!$C:$C,"Serviços de Terceiros")</f>
        <v>0</v>
      </c>
      <c r="HX46" s="37">
        <f>SUMIFS(Lançamentos!$F:$F,Lançamentos!$A:$A,HX$19,Lançamentos!$C:$C,"Serviços de Terceiros")</f>
        <v>0</v>
      </c>
      <c r="HY46" s="37">
        <f>SUMIFS(Lançamentos!$F:$F,Lançamentos!$A:$A,HY$19,Lançamentos!$C:$C,"Serviços de Terceiros")</f>
        <v>0</v>
      </c>
      <c r="HZ46" s="37">
        <f>SUMIFS(Lançamentos!$F:$F,Lançamentos!$A:$A,HZ$19,Lançamentos!$C:$C,"Serviços de Terceiros")</f>
        <v>0</v>
      </c>
      <c r="IA46" s="37">
        <f>SUMIFS(Lançamentos!$F:$F,Lançamentos!$A:$A,IA$19,Lançamentos!$C:$C,"Serviços de Terceiros")</f>
        <v>0</v>
      </c>
      <c r="IB46" s="37">
        <f>SUMIFS(Lançamentos!$F:$F,Lançamentos!$A:$A,IB$19,Lançamentos!$C:$C,"Serviços de Terceiros")</f>
        <v>0</v>
      </c>
      <c r="IC46" s="37">
        <f>SUMIFS(Lançamentos!$F:$F,Lançamentos!$A:$A,IC$19,Lançamentos!$C:$C,"Serviços de Terceiros")</f>
        <v>0</v>
      </c>
      <c r="ID46" s="37">
        <f>SUMIFS(Lançamentos!$F:$F,Lançamentos!$A:$A,ID$19,Lançamentos!$C:$C,"Serviços de Terceiros")</f>
        <v>0</v>
      </c>
      <c r="IE46" s="37">
        <f>SUMIFS(Lançamentos!$F:$F,Lançamentos!$A:$A,IE$19,Lançamentos!$C:$C,"Serviços de Terceiros")</f>
        <v>0</v>
      </c>
      <c r="IF46" s="37">
        <f>SUMIFS(Lançamentos!$F:$F,Lançamentos!$A:$A,IF$19,Lançamentos!$C:$C,"Serviços de Terceiros")</f>
        <v>0</v>
      </c>
      <c r="IG46" s="37">
        <f>SUMIFS(Lançamentos!$F:$F,Lançamentos!$A:$A,IG$19,Lançamentos!$C:$C,"Serviços de Terceiros")</f>
        <v>0</v>
      </c>
      <c r="IH46" s="37">
        <f>SUMIFS(Lançamentos!$F:$F,Lançamentos!$A:$A,IH$19,Lançamentos!$C:$C,"Serviços de Terceiros")</f>
        <v>0</v>
      </c>
      <c r="II46" s="37">
        <f>SUMIFS(Lançamentos!$F:$F,Lançamentos!$A:$A,II$19,Lançamentos!$C:$C,"Serviços de Terceiros")</f>
        <v>0</v>
      </c>
      <c r="IJ46" s="37">
        <f>SUMIFS(Lançamentos!$F:$F,Lançamentos!$A:$A,IJ$19,Lançamentos!$C:$C,"Serviços de Terceiros")</f>
        <v>0</v>
      </c>
      <c r="IK46" s="37">
        <f>SUMIFS(Lançamentos!$F:$F,Lançamentos!$A:$A,IK$19,Lançamentos!$C:$C,"Serviços de Terceiros")</f>
        <v>0</v>
      </c>
      <c r="IL46" s="37">
        <f>SUMIFS(Lançamentos!$F:$F,Lançamentos!$A:$A,IL$19,Lançamentos!$C:$C,"Serviços de Terceiros")</f>
        <v>0</v>
      </c>
    </row>
    <row r="47" spans="1:246" x14ac:dyDescent="0.3">
      <c r="A47" t="s">
        <v>22</v>
      </c>
      <c r="B47" s="37">
        <f>SUMIFS(Lançamentos!$F:$F,Lançamentos!$A:$A,B$19,Lançamentos!$C:$C,"Juros e Tarifas Bancárias")</f>
        <v>0</v>
      </c>
      <c r="C47" s="37">
        <f>SUMIFS(Lançamentos!$F:$F,Lançamentos!$A:$A,C$19,Lançamentos!$C:$C,"Juros e Tarifas Bancárias")</f>
        <v>0</v>
      </c>
      <c r="D47" s="37">
        <f>SUMIFS(Lançamentos!$F:$F,Lançamentos!$A:$A,D$19,Lançamentos!$C:$C,"Juros e Tarifas Bancárias")</f>
        <v>0</v>
      </c>
      <c r="E47" s="37">
        <f>SUMIFS(Lançamentos!$F:$F,Lançamentos!$A:$A,E$19,Lançamentos!$C:$C,"Juros e Tarifas Bancárias")</f>
        <v>0</v>
      </c>
      <c r="F47" s="37">
        <f>SUMIFS(Lançamentos!$F:$F,Lançamentos!$A:$A,F$19,Lançamentos!$C:$C,"Juros e Tarifas Bancárias")</f>
        <v>0</v>
      </c>
      <c r="G47" s="37">
        <f>SUMIFS(Lançamentos!$F:$F,Lançamentos!$A:$A,G$19,Lançamentos!$C:$C,"Juros e Tarifas Bancárias")</f>
        <v>0</v>
      </c>
      <c r="H47" s="37">
        <f>SUMIFS(Lançamentos!$F:$F,Lançamentos!$A:$A,H$19,Lançamentos!$C:$C,"Juros e Tarifas Bancárias")</f>
        <v>0</v>
      </c>
      <c r="I47" s="37">
        <f>SUMIFS(Lançamentos!$F:$F,Lançamentos!$A:$A,I$19,Lançamentos!$C:$C,"Juros e Tarifas Bancárias")</f>
        <v>0</v>
      </c>
      <c r="J47" s="37">
        <f>SUMIFS(Lançamentos!$F:$F,Lançamentos!$A:$A,J$19,Lançamentos!$C:$C,"Juros e Tarifas Bancárias")</f>
        <v>0</v>
      </c>
      <c r="K47" s="37">
        <f>SUMIFS(Lançamentos!$F:$F,Lançamentos!$A:$A,K$19,Lançamentos!$C:$C,"Juros e Tarifas Bancárias")</f>
        <v>0</v>
      </c>
      <c r="L47" s="37">
        <f>SUMIFS(Lançamentos!$F:$F,Lançamentos!$A:$A,L$19,Lançamentos!$C:$C,"Juros e Tarifas Bancárias")</f>
        <v>0</v>
      </c>
      <c r="M47" s="37">
        <f>SUMIFS(Lançamentos!$F:$F,Lançamentos!$A:$A,M$19,Lançamentos!$C:$C,"Juros e Tarifas Bancárias")</f>
        <v>0</v>
      </c>
      <c r="N47" s="37">
        <f>SUMIFS(Lançamentos!$F:$F,Lançamentos!$A:$A,N$19,Lançamentos!$C:$C,"Juros e Tarifas Bancárias")</f>
        <v>0</v>
      </c>
      <c r="O47" s="37">
        <f>SUMIFS(Lançamentos!$F:$F,Lançamentos!$A:$A,O$19,Lançamentos!$C:$C,"Juros e Tarifas Bancárias")</f>
        <v>0</v>
      </c>
      <c r="P47" s="37">
        <f>SUMIFS(Lançamentos!$F:$F,Lançamentos!$A:$A,P$19,Lançamentos!$C:$C,"Juros e Tarifas Bancárias")</f>
        <v>0</v>
      </c>
      <c r="Q47" s="37">
        <f>SUMIFS(Lançamentos!$F:$F,Lançamentos!$A:$A,Q$19,Lançamentos!$C:$C,"Juros e Tarifas Bancárias")</f>
        <v>0</v>
      </c>
      <c r="R47" s="37">
        <f>SUMIFS(Lançamentos!$F:$F,Lançamentos!$A:$A,R$19,Lançamentos!$C:$C,"Juros e Tarifas Bancárias")</f>
        <v>0</v>
      </c>
      <c r="S47" s="37">
        <f>SUMIFS(Lançamentos!$F:$F,Lançamentos!$A:$A,S$19,Lançamentos!$C:$C,"Juros e Tarifas Bancárias")</f>
        <v>0</v>
      </c>
      <c r="T47" s="37">
        <f>SUMIFS(Lançamentos!$F:$F,Lançamentos!$A:$A,T$19,Lançamentos!$C:$C,"Juros e Tarifas Bancárias")</f>
        <v>0</v>
      </c>
      <c r="U47" s="37">
        <f>SUMIFS(Lançamentos!$F:$F,Lançamentos!$A:$A,U$19,Lançamentos!$C:$C,"Juros e Tarifas Bancárias")</f>
        <v>0</v>
      </c>
      <c r="V47" s="37">
        <f>SUMIFS(Lançamentos!$F:$F,Lançamentos!$A:$A,V$19,Lançamentos!$C:$C,"Juros e Tarifas Bancárias")</f>
        <v>0</v>
      </c>
      <c r="W47" s="37">
        <f>SUMIFS(Lançamentos!$F:$F,Lançamentos!$A:$A,W$19,Lançamentos!$C:$C,"Juros e Tarifas Bancárias")</f>
        <v>0</v>
      </c>
      <c r="X47" s="37">
        <f>SUMIFS(Lançamentos!$F:$F,Lançamentos!$A:$A,X$19,Lançamentos!$C:$C,"Juros e Tarifas Bancárias")</f>
        <v>0</v>
      </c>
      <c r="Y47" s="37">
        <f>SUMIFS(Lançamentos!$F:$F,Lançamentos!$A:$A,Y$19,Lançamentos!$C:$C,"Juros e Tarifas Bancárias")</f>
        <v>0</v>
      </c>
      <c r="Z47" s="37">
        <f>SUMIFS(Lançamentos!$F:$F,Lançamentos!$A:$A,Z$19,Lançamentos!$C:$C,"Juros e Tarifas Bancárias")</f>
        <v>0</v>
      </c>
      <c r="AA47" s="37">
        <f>SUMIFS(Lançamentos!$F:$F,Lançamentos!$A:$A,AA$19,Lançamentos!$C:$C,"Juros e Tarifas Bancárias")</f>
        <v>0</v>
      </c>
      <c r="AB47" s="37">
        <f>SUMIFS(Lançamentos!$F:$F,Lançamentos!$A:$A,AB$19,Lançamentos!$C:$C,"Juros e Tarifas Bancárias")</f>
        <v>0</v>
      </c>
      <c r="AC47" s="37">
        <f>SUMIFS(Lançamentos!$F:$F,Lançamentos!$A:$A,AC$19,Lançamentos!$C:$C,"Juros e Tarifas Bancárias")</f>
        <v>0</v>
      </c>
      <c r="AD47" s="37">
        <f>SUMIFS(Lançamentos!$F:$F,Lançamentos!$A:$A,AD$19,Lançamentos!$C:$C,"Juros e Tarifas Bancárias")</f>
        <v>0</v>
      </c>
      <c r="AE47" s="37">
        <f>SUMIFS(Lançamentos!$F:$F,Lançamentos!$A:$A,AE$19,Lançamentos!$C:$C,"Juros e Tarifas Bancárias")</f>
        <v>0</v>
      </c>
      <c r="AF47" s="37">
        <f>SUMIFS(Lançamentos!$F:$F,Lançamentos!$A:$A,AF$19,Lançamentos!$C:$C,"Juros e Tarifas Bancárias")</f>
        <v>0</v>
      </c>
      <c r="AG47" s="37">
        <f>SUMIFS(Lançamentos!$F:$F,Lançamentos!$A:$A,AG$19,Lançamentos!$C:$C,"Juros e Tarifas Bancárias")</f>
        <v>-0.75000000000000011</v>
      </c>
      <c r="AH47" s="37">
        <f>SUMIFS(Lançamentos!$F:$F,Lançamentos!$A:$A,AH$19,Lançamentos!$C:$C,"Juros e Tarifas Bancárias")</f>
        <v>-1.5100000000000005</v>
      </c>
      <c r="AI47" s="37">
        <f>SUMIFS(Lançamentos!$F:$F,Lançamentos!$A:$A,AI$19,Lançamentos!$C:$C,"Juros e Tarifas Bancárias")</f>
        <v>-1.02</v>
      </c>
      <c r="AJ47" s="37">
        <f>SUMIFS(Lançamentos!$F:$F,Lançamentos!$A:$A,AJ$19,Lançamentos!$C:$C,"Juros e Tarifas Bancárias")</f>
        <v>-2.8499999999999996</v>
      </c>
      <c r="AK47" s="37">
        <f>SUMIFS(Lançamentos!$F:$F,Lançamentos!$A:$A,AK$19,Lançamentos!$C:$C,"Juros e Tarifas Bancárias")</f>
        <v>-4.16</v>
      </c>
      <c r="AL47" s="37">
        <f>SUMIFS(Lançamentos!$F:$F,Lançamentos!$A:$A,AL$19,Lançamentos!$C:$C,"Juros e Tarifas Bancárias")</f>
        <v>-2.4900000000000002</v>
      </c>
      <c r="AM47" s="37">
        <f>SUMIFS(Lançamentos!$F:$F,Lançamentos!$A:$A,AM$19,Lançamentos!$C:$C,"Juros e Tarifas Bancárias")</f>
        <v>-1.3800000000000001</v>
      </c>
      <c r="AN47" s="37">
        <f>SUMIFS(Lançamentos!$F:$F,Lançamentos!$A:$A,AN$19,Lançamentos!$C:$C,"Juros e Tarifas Bancárias")</f>
        <v>-0.41000000000000003</v>
      </c>
      <c r="AO47" s="37">
        <f>SUMIFS(Lançamentos!$F:$F,Lançamentos!$A:$A,AO$19,Lançamentos!$C:$C,"Juros e Tarifas Bancárias")</f>
        <v>0</v>
      </c>
      <c r="AP47" s="37">
        <f>SUMIFS(Lançamentos!$F:$F,Lançamentos!$A:$A,AP$19,Lançamentos!$C:$C,"Juros e Tarifas Bancárias")</f>
        <v>0</v>
      </c>
      <c r="AQ47" s="37">
        <f>SUMIFS(Lançamentos!$F:$F,Lançamentos!$A:$A,AQ$19,Lançamentos!$C:$C,"Juros e Tarifas Bancárias")</f>
        <v>0</v>
      </c>
      <c r="AR47" s="37">
        <f>SUMIFS(Lançamentos!$F:$F,Lançamentos!$A:$A,AR$19,Lançamentos!$C:$C,"Juros e Tarifas Bancárias")</f>
        <v>0</v>
      </c>
      <c r="AS47" s="37">
        <f>SUMIFS(Lançamentos!$F:$F,Lançamentos!$A:$A,AS$19,Lançamentos!$C:$C,"Juros e Tarifas Bancárias")</f>
        <v>0</v>
      </c>
      <c r="AT47" s="37">
        <f>SUMIFS(Lançamentos!$F:$F,Lançamentos!$A:$A,AT$19,Lançamentos!$C:$C,"Juros e Tarifas Bancárias")</f>
        <v>0</v>
      </c>
      <c r="AU47" s="37">
        <f>SUMIFS(Lançamentos!$F:$F,Lançamentos!$A:$A,AU$19,Lançamentos!$C:$C,"Juros e Tarifas Bancárias")</f>
        <v>0</v>
      </c>
      <c r="AV47" s="37">
        <f>SUMIFS(Lançamentos!$F:$F,Lançamentos!$A:$A,AV$19,Lançamentos!$C:$C,"Juros e Tarifas Bancárias")</f>
        <v>0</v>
      </c>
      <c r="AW47" s="37">
        <f>SUMIFS(Lançamentos!$F:$F,Lançamentos!$A:$A,AW$19,Lançamentos!$C:$C,"Juros e Tarifas Bancárias")</f>
        <v>0</v>
      </c>
      <c r="AX47" s="37">
        <f>SUMIFS(Lançamentos!$F:$F,Lançamentos!$A:$A,AX$19,Lançamentos!$C:$C,"Juros e Tarifas Bancárias")</f>
        <v>0</v>
      </c>
      <c r="AY47" s="37">
        <f>SUMIFS(Lançamentos!$F:$F,Lançamentos!$A:$A,AY$19,Lançamentos!$C:$C,"Juros e Tarifas Bancárias")</f>
        <v>0</v>
      </c>
      <c r="AZ47" s="37">
        <f>SUMIFS(Lançamentos!$F:$F,Lançamentos!$A:$A,AZ$19,Lançamentos!$C:$C,"Juros e Tarifas Bancárias")</f>
        <v>0</v>
      </c>
      <c r="BA47" s="37">
        <f>SUMIFS(Lançamentos!$F:$F,Lançamentos!$A:$A,BA$19,Lançamentos!$C:$C,"Juros e Tarifas Bancárias")</f>
        <v>0</v>
      </c>
      <c r="BB47" s="37">
        <f>SUMIFS(Lançamentos!$F:$F,Lançamentos!$A:$A,BB$19,Lançamentos!$C:$C,"Juros e Tarifas Bancárias")</f>
        <v>0</v>
      </c>
      <c r="BC47" s="37">
        <f>SUMIFS(Lançamentos!$F:$F,Lançamentos!$A:$A,BC$19,Lançamentos!$C:$C,"Juros e Tarifas Bancárias")</f>
        <v>0</v>
      </c>
      <c r="BD47" s="37">
        <f>SUMIFS(Lançamentos!$F:$F,Lançamentos!$A:$A,BD$19,Lançamentos!$C:$C,"Juros e Tarifas Bancárias")</f>
        <v>0</v>
      </c>
      <c r="BE47" s="37">
        <f>SUMIFS(Lançamentos!$F:$F,Lançamentos!$A:$A,BE$19,Lançamentos!$C:$C,"Juros e Tarifas Bancárias")</f>
        <v>0</v>
      </c>
      <c r="BF47" s="37">
        <f>SUMIFS(Lançamentos!$F:$F,Lançamentos!$A:$A,BF$19,Lançamentos!$C:$C,"Juros e Tarifas Bancárias")</f>
        <v>0</v>
      </c>
      <c r="BG47" s="37">
        <f>SUMIFS(Lançamentos!$F:$F,Lançamentos!$A:$A,BG$19,Lançamentos!$C:$C,"Juros e Tarifas Bancárias")</f>
        <v>0</v>
      </c>
      <c r="BH47" s="37">
        <f>SUMIFS(Lançamentos!$F:$F,Lançamentos!$A:$A,BH$19,Lançamentos!$C:$C,"Juros e Tarifas Bancárias")</f>
        <v>0</v>
      </c>
      <c r="BI47" s="37">
        <f>SUMIFS(Lançamentos!$F:$F,Lançamentos!$A:$A,BI$19,Lançamentos!$C:$C,"Juros e Tarifas Bancárias")</f>
        <v>0</v>
      </c>
      <c r="BJ47" s="37">
        <f>SUMIFS(Lançamentos!$F:$F,Lançamentos!$A:$A,BJ$19,Lançamentos!$C:$C,"Juros e Tarifas Bancárias")</f>
        <v>0</v>
      </c>
      <c r="BK47" s="37">
        <f>SUMIFS(Lançamentos!$F:$F,Lançamentos!$A:$A,BK$19,Lançamentos!$C:$C,"Juros e Tarifas Bancárias")</f>
        <v>0</v>
      </c>
      <c r="BL47" s="37">
        <f>SUMIFS(Lançamentos!$F:$F,Lançamentos!$A:$A,BL$19,Lançamentos!$C:$C,"Juros e Tarifas Bancárias")</f>
        <v>0</v>
      </c>
      <c r="BM47" s="37">
        <f>SUMIFS(Lançamentos!$F:$F,Lançamentos!$A:$A,BM$19,Lançamentos!$C:$C,"Juros e Tarifas Bancárias")</f>
        <v>0</v>
      </c>
      <c r="BN47" s="37">
        <f>SUMIFS(Lançamentos!$F:$F,Lançamentos!$A:$A,BN$19,Lançamentos!$C:$C,"Juros e Tarifas Bancárias")</f>
        <v>0</v>
      </c>
      <c r="BO47" s="37">
        <f>SUMIFS(Lançamentos!$F:$F,Lançamentos!$A:$A,BO$19,Lançamentos!$C:$C,"Juros e Tarifas Bancárias")</f>
        <v>0</v>
      </c>
      <c r="BP47" s="37">
        <f>SUMIFS(Lançamentos!$F:$F,Lançamentos!$A:$A,BP$19,Lançamentos!$C:$C,"Juros e Tarifas Bancárias")</f>
        <v>0</v>
      </c>
      <c r="BQ47" s="37">
        <f>SUMIFS(Lançamentos!$F:$F,Lançamentos!$A:$A,BQ$19,Lançamentos!$C:$C,"Juros e Tarifas Bancárias")</f>
        <v>0</v>
      </c>
      <c r="BR47" s="37">
        <f>SUMIFS(Lançamentos!$F:$F,Lançamentos!$A:$A,BR$19,Lançamentos!$C:$C,"Juros e Tarifas Bancárias")</f>
        <v>0</v>
      </c>
      <c r="BS47" s="37">
        <f>SUMIFS(Lançamentos!$F:$F,Lançamentos!$A:$A,BS$19,Lançamentos!$C:$C,"Juros e Tarifas Bancárias")</f>
        <v>0</v>
      </c>
      <c r="BT47" s="37">
        <f>SUMIFS(Lançamentos!$F:$F,Lançamentos!$A:$A,BT$19,Lançamentos!$C:$C,"Juros e Tarifas Bancárias")</f>
        <v>0</v>
      </c>
      <c r="BU47" s="37">
        <f>SUMIFS(Lançamentos!$F:$F,Lançamentos!$A:$A,BU$19,Lançamentos!$C:$C,"Juros e Tarifas Bancárias")</f>
        <v>0</v>
      </c>
      <c r="BV47" s="37">
        <f>SUMIFS(Lançamentos!$F:$F,Lançamentos!$A:$A,BV$19,Lançamentos!$C:$C,"Juros e Tarifas Bancárias")</f>
        <v>0</v>
      </c>
      <c r="BW47" s="37">
        <f>SUMIFS(Lançamentos!$F:$F,Lançamentos!$A:$A,BW$19,Lançamentos!$C:$C,"Juros e Tarifas Bancárias")</f>
        <v>0</v>
      </c>
      <c r="BX47" s="37">
        <f>SUMIFS(Lançamentos!$F:$F,Lançamentos!$A:$A,BX$19,Lançamentos!$C:$C,"Juros e Tarifas Bancárias")</f>
        <v>0</v>
      </c>
      <c r="BY47" s="37">
        <f>SUMIFS(Lançamentos!$F:$F,Lançamentos!$A:$A,BY$19,Lançamentos!$C:$C,"Juros e Tarifas Bancárias")</f>
        <v>0</v>
      </c>
      <c r="BZ47" s="37">
        <f>SUMIFS(Lançamentos!$F:$F,Lançamentos!$A:$A,BZ$19,Lançamentos!$C:$C,"Juros e Tarifas Bancárias")</f>
        <v>0</v>
      </c>
      <c r="CA47" s="37">
        <f>SUMIFS(Lançamentos!$F:$F,Lançamentos!$A:$A,CA$19,Lançamentos!$C:$C,"Juros e Tarifas Bancárias")</f>
        <v>0</v>
      </c>
      <c r="CB47" s="37">
        <f>SUMIFS(Lançamentos!$F:$F,Lançamentos!$A:$A,CB$19,Lançamentos!$C:$C,"Juros e Tarifas Bancárias")</f>
        <v>0</v>
      </c>
      <c r="CC47" s="37">
        <f>SUMIFS(Lançamentos!$F:$F,Lançamentos!$A:$A,CC$19,Lançamentos!$C:$C,"Juros e Tarifas Bancárias")</f>
        <v>0</v>
      </c>
      <c r="CD47" s="37">
        <f>SUMIFS(Lançamentos!$F:$F,Lançamentos!$A:$A,CD$19,Lançamentos!$C:$C,"Juros e Tarifas Bancárias")</f>
        <v>0</v>
      </c>
      <c r="CE47" s="37">
        <f>SUMIFS(Lançamentos!$F:$F,Lançamentos!$A:$A,CE$19,Lançamentos!$C:$C,"Juros e Tarifas Bancárias")</f>
        <v>0</v>
      </c>
      <c r="CF47" s="37">
        <f>SUMIFS(Lançamentos!$F:$F,Lançamentos!$A:$A,CF$19,Lançamentos!$C:$C,"Juros e Tarifas Bancárias")</f>
        <v>0</v>
      </c>
      <c r="CG47" s="37">
        <f>SUMIFS(Lançamentos!$F:$F,Lançamentos!$A:$A,CG$19,Lançamentos!$C:$C,"Juros e Tarifas Bancárias")</f>
        <v>0</v>
      </c>
      <c r="CH47" s="37">
        <f>SUMIFS(Lançamentos!$F:$F,Lançamentos!$A:$A,CH$19,Lançamentos!$C:$C,"Juros e Tarifas Bancárias")</f>
        <v>0</v>
      </c>
      <c r="CI47" s="37">
        <f>SUMIFS(Lançamentos!$F:$F,Lançamentos!$A:$A,CI$19,Lançamentos!$C:$C,"Juros e Tarifas Bancárias")</f>
        <v>0</v>
      </c>
      <c r="CJ47" s="37">
        <f>SUMIFS(Lançamentos!$F:$F,Lançamentos!$A:$A,CJ$19,Lançamentos!$C:$C,"Juros e Tarifas Bancárias")</f>
        <v>0</v>
      </c>
      <c r="CK47" s="37">
        <f>SUMIFS(Lançamentos!$F:$F,Lançamentos!$A:$A,CK$19,Lançamentos!$C:$C,"Juros e Tarifas Bancárias")</f>
        <v>0</v>
      </c>
      <c r="CL47" s="37">
        <f>SUMIFS(Lançamentos!$F:$F,Lançamentos!$A:$A,CL$19,Lançamentos!$C:$C,"Juros e Tarifas Bancárias")</f>
        <v>0</v>
      </c>
      <c r="CM47" s="37">
        <f>SUMIFS(Lançamentos!$F:$F,Lançamentos!$A:$A,CM$19,Lançamentos!$C:$C,"Juros e Tarifas Bancárias")</f>
        <v>0</v>
      </c>
      <c r="CN47" s="37">
        <f>SUMIFS(Lançamentos!$F:$F,Lançamentos!$A:$A,CN$19,Lançamentos!$C:$C,"Juros e Tarifas Bancárias")</f>
        <v>0</v>
      </c>
      <c r="CO47" s="37">
        <f>SUMIFS(Lançamentos!$F:$F,Lançamentos!$A:$A,CO$19,Lançamentos!$C:$C,"Juros e Tarifas Bancárias")</f>
        <v>0</v>
      </c>
      <c r="CP47" s="37">
        <f>SUMIFS(Lançamentos!$F:$F,Lançamentos!$A:$A,CP$19,Lançamentos!$C:$C,"Juros e Tarifas Bancárias")</f>
        <v>0</v>
      </c>
      <c r="CQ47" s="37">
        <f>SUMIFS(Lançamentos!$F:$F,Lançamentos!$A:$A,CQ$19,Lançamentos!$C:$C,"Juros e Tarifas Bancárias")</f>
        <v>0</v>
      </c>
      <c r="CR47" s="37">
        <f>SUMIFS(Lançamentos!$F:$F,Lançamentos!$A:$A,CR$19,Lançamentos!$C:$C,"Juros e Tarifas Bancárias")</f>
        <v>0</v>
      </c>
      <c r="CS47" s="37">
        <f>SUMIFS(Lançamentos!$F:$F,Lançamentos!$A:$A,CS$19,Lançamentos!$C:$C,"Juros e Tarifas Bancárias")</f>
        <v>0</v>
      </c>
      <c r="CT47" s="37">
        <f>SUMIFS(Lançamentos!$F:$F,Lançamentos!$A:$A,CT$19,Lançamentos!$C:$C,"Juros e Tarifas Bancárias")</f>
        <v>0</v>
      </c>
      <c r="CU47" s="37">
        <f>SUMIFS(Lançamentos!$F:$F,Lançamentos!$A:$A,CU$19,Lançamentos!$C:$C,"Juros e Tarifas Bancárias")</f>
        <v>0</v>
      </c>
      <c r="CV47" s="37">
        <f>SUMIFS(Lançamentos!$F:$F,Lançamentos!$A:$A,CV$19,Lançamentos!$C:$C,"Juros e Tarifas Bancárias")</f>
        <v>0</v>
      </c>
      <c r="CW47" s="37">
        <f>SUMIFS(Lançamentos!$F:$F,Lançamentos!$A:$A,CW$19,Lançamentos!$C:$C,"Juros e Tarifas Bancárias")</f>
        <v>0</v>
      </c>
      <c r="CX47" s="37">
        <f>SUMIFS(Lançamentos!$F:$F,Lançamentos!$A:$A,CX$19,Lançamentos!$C:$C,"Juros e Tarifas Bancárias")</f>
        <v>0</v>
      </c>
      <c r="CY47" s="37">
        <f>SUMIFS(Lançamentos!$F:$F,Lançamentos!$A:$A,CY$19,Lançamentos!$C:$C,"Juros e Tarifas Bancárias")</f>
        <v>0</v>
      </c>
      <c r="CZ47" s="37">
        <f>SUMIFS(Lançamentos!$F:$F,Lançamentos!$A:$A,CZ$19,Lançamentos!$C:$C,"Juros e Tarifas Bancárias")</f>
        <v>0</v>
      </c>
      <c r="DA47" s="37">
        <f>SUMIFS(Lançamentos!$F:$F,Lançamentos!$A:$A,DA$19,Lançamentos!$C:$C,"Juros e Tarifas Bancárias")</f>
        <v>0</v>
      </c>
      <c r="DB47" s="37">
        <f>SUMIFS(Lançamentos!$F:$F,Lançamentos!$A:$A,DB$19,Lançamentos!$C:$C,"Juros e Tarifas Bancárias")</f>
        <v>0</v>
      </c>
      <c r="DC47" s="37">
        <f>SUMIFS(Lançamentos!$F:$F,Lançamentos!$A:$A,DC$19,Lançamentos!$C:$C,"Juros e Tarifas Bancárias")</f>
        <v>0</v>
      </c>
      <c r="DD47" s="37">
        <f>SUMIFS(Lançamentos!$F:$F,Lançamentos!$A:$A,DD$19,Lançamentos!$C:$C,"Juros e Tarifas Bancárias")</f>
        <v>0</v>
      </c>
      <c r="DE47" s="37">
        <f>SUMIFS(Lançamentos!$F:$F,Lançamentos!$A:$A,DE$19,Lançamentos!$C:$C,"Juros e Tarifas Bancárias")</f>
        <v>0</v>
      </c>
      <c r="DF47" s="37">
        <f>SUMIFS(Lançamentos!$F:$F,Lançamentos!$A:$A,DF$19,Lançamentos!$C:$C,"Juros e Tarifas Bancárias")</f>
        <v>0</v>
      </c>
      <c r="DG47" s="37">
        <f>SUMIFS(Lançamentos!$F:$F,Lançamentos!$A:$A,DG$19,Lançamentos!$C:$C,"Juros e Tarifas Bancárias")</f>
        <v>0</v>
      </c>
      <c r="DH47" s="37">
        <f>SUMIFS(Lançamentos!$F:$F,Lançamentos!$A:$A,DH$19,Lançamentos!$C:$C,"Juros e Tarifas Bancárias")</f>
        <v>0</v>
      </c>
      <c r="DI47" s="37">
        <f>SUMIFS(Lançamentos!$F:$F,Lançamentos!$A:$A,DI$19,Lançamentos!$C:$C,"Juros e Tarifas Bancárias")</f>
        <v>0</v>
      </c>
      <c r="DJ47" s="37">
        <f>SUMIFS(Lançamentos!$F:$F,Lançamentos!$A:$A,DJ$19,Lançamentos!$C:$C,"Juros e Tarifas Bancárias")</f>
        <v>0</v>
      </c>
      <c r="DK47" s="37">
        <f>SUMIFS(Lançamentos!$F:$F,Lançamentos!$A:$A,DK$19,Lançamentos!$C:$C,"Juros e Tarifas Bancárias")</f>
        <v>0</v>
      </c>
      <c r="DL47" s="37">
        <f>SUMIFS(Lançamentos!$F:$F,Lançamentos!$A:$A,DL$19,Lançamentos!$C:$C,"Juros e Tarifas Bancárias")</f>
        <v>0</v>
      </c>
      <c r="DM47" s="37">
        <f>SUMIFS(Lançamentos!$F:$F,Lançamentos!$A:$A,DM$19,Lançamentos!$C:$C,"Juros e Tarifas Bancárias")</f>
        <v>0</v>
      </c>
      <c r="DN47" s="37">
        <f>SUMIFS(Lançamentos!$F:$F,Lançamentos!$A:$A,DN$19,Lançamentos!$C:$C,"Juros e Tarifas Bancárias")</f>
        <v>0</v>
      </c>
      <c r="DO47" s="37">
        <f>SUMIFS(Lançamentos!$F:$F,Lançamentos!$A:$A,DO$19,Lançamentos!$C:$C,"Juros e Tarifas Bancárias")</f>
        <v>0</v>
      </c>
      <c r="DP47" s="37">
        <f>SUMIFS(Lançamentos!$F:$F,Lançamentos!$A:$A,DP$19,Lançamentos!$C:$C,"Juros e Tarifas Bancárias")</f>
        <v>0</v>
      </c>
      <c r="DQ47" s="37">
        <f>SUMIFS(Lançamentos!$F:$F,Lançamentos!$A:$A,DQ$19,Lançamentos!$C:$C,"Juros e Tarifas Bancárias")</f>
        <v>0</v>
      </c>
      <c r="DR47" s="37">
        <f>SUMIFS(Lançamentos!$F:$F,Lançamentos!$A:$A,DR$19,Lançamentos!$C:$C,"Juros e Tarifas Bancárias")</f>
        <v>0</v>
      </c>
      <c r="DS47" s="37">
        <f>SUMIFS(Lançamentos!$F:$F,Lançamentos!$A:$A,DS$19,Lançamentos!$C:$C,"Juros e Tarifas Bancárias")</f>
        <v>0</v>
      </c>
      <c r="DT47" s="37">
        <f>SUMIFS(Lançamentos!$F:$F,Lançamentos!$A:$A,DT$19,Lançamentos!$C:$C,"Juros e Tarifas Bancárias")</f>
        <v>0</v>
      </c>
      <c r="DU47" s="37">
        <f>SUMIFS(Lançamentos!$F:$F,Lançamentos!$A:$A,DU$19,Lançamentos!$C:$C,"Juros e Tarifas Bancárias")</f>
        <v>0</v>
      </c>
      <c r="DV47" s="37">
        <f>SUMIFS(Lançamentos!$F:$F,Lançamentos!$A:$A,DV$19,Lançamentos!$C:$C,"Juros e Tarifas Bancárias")</f>
        <v>0</v>
      </c>
      <c r="DW47" s="37">
        <f>SUMIFS(Lançamentos!$F:$F,Lançamentos!$A:$A,DW$19,Lançamentos!$C:$C,"Juros e Tarifas Bancárias")</f>
        <v>0</v>
      </c>
      <c r="DX47" s="37">
        <f>SUMIFS(Lançamentos!$F:$F,Lançamentos!$A:$A,DX$19,Lançamentos!$C:$C,"Juros e Tarifas Bancárias")</f>
        <v>0</v>
      </c>
      <c r="DY47" s="37">
        <f>SUMIFS(Lançamentos!$F:$F,Lançamentos!$A:$A,DY$19,Lançamentos!$C:$C,"Juros e Tarifas Bancárias")</f>
        <v>0</v>
      </c>
      <c r="DZ47" s="37">
        <f>SUMIFS(Lançamentos!$F:$F,Lançamentos!$A:$A,DZ$19,Lançamentos!$C:$C,"Juros e Tarifas Bancárias")</f>
        <v>0</v>
      </c>
      <c r="EA47" s="37">
        <f>SUMIFS(Lançamentos!$F:$F,Lançamentos!$A:$A,EA$19,Lançamentos!$C:$C,"Juros e Tarifas Bancárias")</f>
        <v>0</v>
      </c>
      <c r="EB47" s="37">
        <f>SUMIFS(Lançamentos!$F:$F,Lançamentos!$A:$A,EB$19,Lançamentos!$C:$C,"Juros e Tarifas Bancárias")</f>
        <v>0</v>
      </c>
      <c r="EC47" s="37">
        <f>SUMIFS(Lançamentos!$F:$F,Lançamentos!$A:$A,EC$19,Lançamentos!$C:$C,"Juros e Tarifas Bancárias")</f>
        <v>0</v>
      </c>
      <c r="ED47" s="37">
        <f>SUMIFS(Lançamentos!$F:$F,Lançamentos!$A:$A,ED$19,Lançamentos!$C:$C,"Juros e Tarifas Bancárias")</f>
        <v>0</v>
      </c>
      <c r="EE47" s="37">
        <f>SUMIFS(Lançamentos!$F:$F,Lançamentos!$A:$A,EE$19,Lançamentos!$C:$C,"Juros e Tarifas Bancárias")</f>
        <v>0</v>
      </c>
      <c r="EF47" s="37">
        <f>SUMIFS(Lançamentos!$F:$F,Lançamentos!$A:$A,EF$19,Lançamentos!$C:$C,"Juros e Tarifas Bancárias")</f>
        <v>0</v>
      </c>
      <c r="EG47" s="37">
        <f>SUMIFS(Lançamentos!$F:$F,Lançamentos!$A:$A,EG$19,Lançamentos!$C:$C,"Juros e Tarifas Bancárias")</f>
        <v>0</v>
      </c>
      <c r="EH47" s="37">
        <f>SUMIFS(Lançamentos!$F:$F,Lançamentos!$A:$A,EH$19,Lançamentos!$C:$C,"Juros e Tarifas Bancárias")</f>
        <v>0</v>
      </c>
      <c r="EI47" s="37">
        <f>SUMIFS(Lançamentos!$F:$F,Lançamentos!$A:$A,EI$19,Lançamentos!$C:$C,"Juros e Tarifas Bancárias")</f>
        <v>0</v>
      </c>
      <c r="EJ47" s="37">
        <f>SUMIFS(Lançamentos!$F:$F,Lançamentos!$A:$A,EJ$19,Lançamentos!$C:$C,"Juros e Tarifas Bancárias")</f>
        <v>0</v>
      </c>
      <c r="EK47" s="37">
        <f>SUMIFS(Lançamentos!$F:$F,Lançamentos!$A:$A,EK$19,Lançamentos!$C:$C,"Juros e Tarifas Bancárias")</f>
        <v>0</v>
      </c>
      <c r="EL47" s="37">
        <f>SUMIFS(Lançamentos!$F:$F,Lançamentos!$A:$A,EL$19,Lançamentos!$C:$C,"Juros e Tarifas Bancárias")</f>
        <v>0</v>
      </c>
      <c r="EM47" s="37">
        <f>SUMIFS(Lançamentos!$F:$F,Lançamentos!$A:$A,EM$19,Lançamentos!$C:$C,"Juros e Tarifas Bancárias")</f>
        <v>0</v>
      </c>
      <c r="EN47" s="37">
        <f>SUMIFS(Lançamentos!$F:$F,Lançamentos!$A:$A,EN$19,Lançamentos!$C:$C,"Juros e Tarifas Bancárias")</f>
        <v>0</v>
      </c>
      <c r="EO47" s="37">
        <f>SUMIFS(Lançamentos!$F:$F,Lançamentos!$A:$A,EO$19,Lançamentos!$C:$C,"Juros e Tarifas Bancárias")</f>
        <v>0</v>
      </c>
      <c r="EP47" s="37">
        <f>SUMIFS(Lançamentos!$F:$F,Lançamentos!$A:$A,EP$19,Lançamentos!$C:$C,"Juros e Tarifas Bancárias")</f>
        <v>0</v>
      </c>
      <c r="EQ47" s="37">
        <f>SUMIFS(Lançamentos!$F:$F,Lançamentos!$A:$A,EQ$19,Lançamentos!$C:$C,"Juros e Tarifas Bancárias")</f>
        <v>0</v>
      </c>
      <c r="ER47" s="37">
        <f>SUMIFS(Lançamentos!$F:$F,Lançamentos!$A:$A,ER$19,Lançamentos!$C:$C,"Juros e Tarifas Bancárias")</f>
        <v>0</v>
      </c>
      <c r="ES47" s="37">
        <f>SUMIFS(Lançamentos!$F:$F,Lançamentos!$A:$A,ES$19,Lançamentos!$C:$C,"Juros e Tarifas Bancárias")</f>
        <v>0</v>
      </c>
      <c r="ET47" s="37">
        <f>SUMIFS(Lançamentos!$F:$F,Lançamentos!$A:$A,ET$19,Lançamentos!$C:$C,"Juros e Tarifas Bancárias")</f>
        <v>0</v>
      </c>
      <c r="EU47" s="37">
        <f>SUMIFS(Lançamentos!$F:$F,Lançamentos!$A:$A,EU$19,Lançamentos!$C:$C,"Juros e Tarifas Bancárias")</f>
        <v>0</v>
      </c>
      <c r="EV47" s="37">
        <f>SUMIFS(Lançamentos!$F:$F,Lançamentos!$A:$A,EV$19,Lançamentos!$C:$C,"Juros e Tarifas Bancárias")</f>
        <v>0</v>
      </c>
      <c r="EW47" s="37">
        <f>SUMIFS(Lançamentos!$F:$F,Lançamentos!$A:$A,EW$19,Lançamentos!$C:$C,"Juros e Tarifas Bancárias")</f>
        <v>0</v>
      </c>
      <c r="EX47" s="37">
        <f>SUMIFS(Lançamentos!$F:$F,Lançamentos!$A:$A,EX$19,Lançamentos!$C:$C,"Juros e Tarifas Bancárias")</f>
        <v>0</v>
      </c>
      <c r="EY47" s="37">
        <f>SUMIFS(Lançamentos!$F:$F,Lançamentos!$A:$A,EY$19,Lançamentos!$C:$C,"Juros e Tarifas Bancárias")</f>
        <v>0</v>
      </c>
      <c r="EZ47" s="37">
        <f>SUMIFS(Lançamentos!$F:$F,Lançamentos!$A:$A,EZ$19,Lançamentos!$C:$C,"Juros e Tarifas Bancárias")</f>
        <v>0</v>
      </c>
      <c r="FA47" s="37">
        <f>SUMIFS(Lançamentos!$F:$F,Lançamentos!$A:$A,FA$19,Lançamentos!$C:$C,"Juros e Tarifas Bancárias")</f>
        <v>0</v>
      </c>
      <c r="FB47" s="37">
        <f>SUMIFS(Lançamentos!$F:$F,Lançamentos!$A:$A,FB$19,Lançamentos!$C:$C,"Juros e Tarifas Bancárias")</f>
        <v>0</v>
      </c>
      <c r="FC47" s="37">
        <f>SUMIFS(Lançamentos!$F:$F,Lançamentos!$A:$A,FC$19,Lançamentos!$C:$C,"Juros e Tarifas Bancárias")</f>
        <v>0</v>
      </c>
      <c r="FD47" s="37">
        <f>SUMIFS(Lançamentos!$F:$F,Lançamentos!$A:$A,FD$19,Lançamentos!$C:$C,"Juros e Tarifas Bancárias")</f>
        <v>0</v>
      </c>
      <c r="FE47" s="37">
        <f>SUMIFS(Lançamentos!$F:$F,Lançamentos!$A:$A,FE$19,Lançamentos!$C:$C,"Juros e Tarifas Bancárias")</f>
        <v>0</v>
      </c>
      <c r="FF47" s="37">
        <f>SUMIFS(Lançamentos!$F:$F,Lançamentos!$A:$A,FF$19,Lançamentos!$C:$C,"Juros e Tarifas Bancárias")</f>
        <v>0</v>
      </c>
      <c r="FG47" s="37">
        <f>SUMIFS(Lançamentos!$F:$F,Lançamentos!$A:$A,FG$19,Lançamentos!$C:$C,"Juros e Tarifas Bancárias")</f>
        <v>0</v>
      </c>
      <c r="FH47" s="37">
        <f>SUMIFS(Lançamentos!$F:$F,Lançamentos!$A:$A,FH$19,Lançamentos!$C:$C,"Juros e Tarifas Bancárias")</f>
        <v>0</v>
      </c>
      <c r="FI47" s="37">
        <f>SUMIFS(Lançamentos!$F:$F,Lançamentos!$A:$A,FI$19,Lançamentos!$C:$C,"Juros e Tarifas Bancárias")</f>
        <v>0</v>
      </c>
      <c r="FJ47" s="37">
        <f>SUMIFS(Lançamentos!$F:$F,Lançamentos!$A:$A,FJ$19,Lançamentos!$C:$C,"Juros e Tarifas Bancárias")</f>
        <v>0</v>
      </c>
      <c r="FK47" s="37">
        <f>SUMIFS(Lançamentos!$F:$F,Lançamentos!$A:$A,FK$19,Lançamentos!$C:$C,"Juros e Tarifas Bancárias")</f>
        <v>0</v>
      </c>
      <c r="FL47" s="37">
        <f>SUMIFS(Lançamentos!$F:$F,Lançamentos!$A:$A,FL$19,Lançamentos!$C:$C,"Juros e Tarifas Bancárias")</f>
        <v>0</v>
      </c>
      <c r="FM47" s="37">
        <f>SUMIFS(Lançamentos!$F:$F,Lançamentos!$A:$A,FM$19,Lançamentos!$C:$C,"Juros e Tarifas Bancárias")</f>
        <v>0</v>
      </c>
      <c r="FN47" s="37">
        <f>SUMIFS(Lançamentos!$F:$F,Lançamentos!$A:$A,FN$19,Lançamentos!$C:$C,"Juros e Tarifas Bancárias")</f>
        <v>0</v>
      </c>
      <c r="FO47" s="37">
        <f>SUMIFS(Lançamentos!$F:$F,Lançamentos!$A:$A,FO$19,Lançamentos!$C:$C,"Juros e Tarifas Bancárias")</f>
        <v>0</v>
      </c>
      <c r="FP47" s="37">
        <f>SUMIFS(Lançamentos!$F:$F,Lançamentos!$A:$A,FP$19,Lançamentos!$C:$C,"Juros e Tarifas Bancárias")</f>
        <v>0</v>
      </c>
      <c r="FQ47" s="37">
        <f>SUMIFS(Lançamentos!$F:$F,Lançamentos!$A:$A,FQ$19,Lançamentos!$C:$C,"Juros e Tarifas Bancárias")</f>
        <v>0</v>
      </c>
      <c r="FR47" s="37">
        <f>SUMIFS(Lançamentos!$F:$F,Lançamentos!$A:$A,FR$19,Lançamentos!$C:$C,"Juros e Tarifas Bancárias")</f>
        <v>0</v>
      </c>
      <c r="FS47" s="37">
        <f>SUMIFS(Lançamentos!$F:$F,Lançamentos!$A:$A,FS$19,Lançamentos!$C:$C,"Juros e Tarifas Bancárias")</f>
        <v>0</v>
      </c>
      <c r="FT47" s="37">
        <f>SUMIFS(Lançamentos!$F:$F,Lançamentos!$A:$A,FT$19,Lançamentos!$C:$C,"Juros e Tarifas Bancárias")</f>
        <v>0</v>
      </c>
      <c r="FU47" s="37">
        <f>SUMIFS(Lançamentos!$F:$F,Lançamentos!$A:$A,FU$19,Lançamentos!$C:$C,"Juros e Tarifas Bancárias")</f>
        <v>0</v>
      </c>
      <c r="FV47" s="37">
        <f>SUMIFS(Lançamentos!$F:$F,Lançamentos!$A:$A,FV$19,Lançamentos!$C:$C,"Juros e Tarifas Bancárias")</f>
        <v>0</v>
      </c>
      <c r="FW47" s="37">
        <f>SUMIFS(Lançamentos!$F:$F,Lançamentos!$A:$A,FW$19,Lançamentos!$C:$C,"Juros e Tarifas Bancárias")</f>
        <v>0</v>
      </c>
      <c r="FX47" s="37">
        <f>SUMIFS(Lançamentos!$F:$F,Lançamentos!$A:$A,FX$19,Lançamentos!$C:$C,"Juros e Tarifas Bancárias")</f>
        <v>0</v>
      </c>
      <c r="FY47" s="37">
        <f>SUMIFS(Lançamentos!$F:$F,Lançamentos!$A:$A,FY$19,Lançamentos!$C:$C,"Juros e Tarifas Bancárias")</f>
        <v>0</v>
      </c>
      <c r="FZ47" s="37">
        <f>SUMIFS(Lançamentos!$F:$F,Lançamentos!$A:$A,FZ$19,Lançamentos!$C:$C,"Juros e Tarifas Bancárias")</f>
        <v>0</v>
      </c>
      <c r="GA47" s="37">
        <f>SUMIFS(Lançamentos!$F:$F,Lançamentos!$A:$A,GA$19,Lançamentos!$C:$C,"Juros e Tarifas Bancárias")</f>
        <v>0</v>
      </c>
      <c r="GB47" s="37">
        <f>SUMIFS(Lançamentos!$F:$F,Lançamentos!$A:$A,GB$19,Lançamentos!$C:$C,"Juros e Tarifas Bancárias")</f>
        <v>0</v>
      </c>
      <c r="GC47" s="37">
        <f>SUMIFS(Lançamentos!$F:$F,Lançamentos!$A:$A,GC$19,Lançamentos!$C:$C,"Juros e Tarifas Bancárias")</f>
        <v>0</v>
      </c>
      <c r="GD47" s="37">
        <f>SUMIFS(Lançamentos!$F:$F,Lançamentos!$A:$A,GD$19,Lançamentos!$C:$C,"Juros e Tarifas Bancárias")</f>
        <v>0</v>
      </c>
      <c r="GE47" s="37">
        <f>SUMIFS(Lançamentos!$F:$F,Lançamentos!$A:$A,GE$19,Lançamentos!$C:$C,"Juros e Tarifas Bancárias")</f>
        <v>0</v>
      </c>
      <c r="GF47" s="37">
        <f>SUMIFS(Lançamentos!$F:$F,Lançamentos!$A:$A,GF$19,Lançamentos!$C:$C,"Juros e Tarifas Bancárias")</f>
        <v>0</v>
      </c>
      <c r="GG47" s="37">
        <f>SUMIFS(Lançamentos!$F:$F,Lançamentos!$A:$A,GG$19,Lançamentos!$C:$C,"Juros e Tarifas Bancárias")</f>
        <v>0</v>
      </c>
      <c r="GH47" s="37">
        <f>SUMIFS(Lançamentos!$F:$F,Lançamentos!$A:$A,GH$19,Lançamentos!$C:$C,"Juros e Tarifas Bancárias")</f>
        <v>0</v>
      </c>
      <c r="GI47" s="37">
        <f>SUMIFS(Lançamentos!$F:$F,Lançamentos!$A:$A,GI$19,Lançamentos!$C:$C,"Juros e Tarifas Bancárias")</f>
        <v>0</v>
      </c>
      <c r="GJ47" s="37">
        <f>SUMIFS(Lançamentos!$F:$F,Lançamentos!$A:$A,GJ$19,Lançamentos!$C:$C,"Juros e Tarifas Bancárias")</f>
        <v>0</v>
      </c>
      <c r="GK47" s="37">
        <f>SUMIFS(Lançamentos!$F:$F,Lançamentos!$A:$A,GK$19,Lançamentos!$C:$C,"Juros e Tarifas Bancárias")</f>
        <v>0</v>
      </c>
      <c r="GL47" s="37">
        <f>SUMIFS(Lançamentos!$F:$F,Lançamentos!$A:$A,GL$19,Lançamentos!$C:$C,"Juros e Tarifas Bancárias")</f>
        <v>0</v>
      </c>
      <c r="GM47" s="37">
        <f>SUMIFS(Lançamentos!$F:$F,Lançamentos!$A:$A,GM$19,Lançamentos!$C:$C,"Juros e Tarifas Bancárias")</f>
        <v>0</v>
      </c>
      <c r="GN47" s="37">
        <f>SUMIFS(Lançamentos!$F:$F,Lançamentos!$A:$A,GN$19,Lançamentos!$C:$C,"Juros e Tarifas Bancárias")</f>
        <v>0</v>
      </c>
      <c r="GO47" s="37">
        <f>SUMIFS(Lançamentos!$F:$F,Lançamentos!$A:$A,GO$19,Lançamentos!$C:$C,"Juros e Tarifas Bancárias")</f>
        <v>0</v>
      </c>
      <c r="GP47" s="37">
        <f>SUMIFS(Lançamentos!$F:$F,Lançamentos!$A:$A,GP$19,Lançamentos!$C:$C,"Juros e Tarifas Bancárias")</f>
        <v>0</v>
      </c>
      <c r="GQ47" s="37">
        <f>SUMIFS(Lançamentos!$F:$F,Lançamentos!$A:$A,GQ$19,Lançamentos!$C:$C,"Juros e Tarifas Bancárias")</f>
        <v>0</v>
      </c>
      <c r="GR47" s="37">
        <f>SUMIFS(Lançamentos!$F:$F,Lançamentos!$A:$A,GR$19,Lançamentos!$C:$C,"Juros e Tarifas Bancárias")</f>
        <v>0</v>
      </c>
      <c r="GS47" s="37">
        <f>SUMIFS(Lançamentos!$F:$F,Lançamentos!$A:$A,GS$19,Lançamentos!$C:$C,"Juros e Tarifas Bancárias")</f>
        <v>0</v>
      </c>
      <c r="GT47" s="37">
        <f>SUMIFS(Lançamentos!$F:$F,Lançamentos!$A:$A,GT$19,Lançamentos!$C:$C,"Juros e Tarifas Bancárias")</f>
        <v>0</v>
      </c>
      <c r="GU47" s="37">
        <f>SUMIFS(Lançamentos!$F:$F,Lançamentos!$A:$A,GU$19,Lançamentos!$C:$C,"Juros e Tarifas Bancárias")</f>
        <v>0</v>
      </c>
      <c r="GV47" s="37">
        <f>SUMIFS(Lançamentos!$F:$F,Lançamentos!$A:$A,GV$19,Lançamentos!$C:$C,"Juros e Tarifas Bancárias")</f>
        <v>0</v>
      </c>
      <c r="GW47" s="37">
        <f>SUMIFS(Lançamentos!$F:$F,Lançamentos!$A:$A,GW$19,Lançamentos!$C:$C,"Juros e Tarifas Bancárias")</f>
        <v>0</v>
      </c>
      <c r="GX47" s="37">
        <f>SUMIFS(Lançamentos!$F:$F,Lançamentos!$A:$A,GX$19,Lançamentos!$C:$C,"Juros e Tarifas Bancárias")</f>
        <v>0</v>
      </c>
      <c r="GY47" s="37">
        <f>SUMIFS(Lançamentos!$F:$F,Lançamentos!$A:$A,GY$19,Lançamentos!$C:$C,"Juros e Tarifas Bancárias")</f>
        <v>0</v>
      </c>
      <c r="GZ47" s="37">
        <f>SUMIFS(Lançamentos!$F:$F,Lançamentos!$A:$A,GZ$19,Lançamentos!$C:$C,"Juros e Tarifas Bancárias")</f>
        <v>0</v>
      </c>
      <c r="HA47" s="37">
        <f>SUMIFS(Lançamentos!$F:$F,Lançamentos!$A:$A,HA$19,Lançamentos!$C:$C,"Juros e Tarifas Bancárias")</f>
        <v>0</v>
      </c>
      <c r="HB47" s="37">
        <f>SUMIFS(Lançamentos!$F:$F,Lançamentos!$A:$A,HB$19,Lançamentos!$C:$C,"Juros e Tarifas Bancárias")</f>
        <v>0</v>
      </c>
      <c r="HC47" s="37">
        <f>SUMIFS(Lançamentos!$F:$F,Lançamentos!$A:$A,HC$19,Lançamentos!$C:$C,"Juros e Tarifas Bancárias")</f>
        <v>0</v>
      </c>
      <c r="HD47" s="37">
        <f>SUMIFS(Lançamentos!$F:$F,Lançamentos!$A:$A,HD$19,Lançamentos!$C:$C,"Juros e Tarifas Bancárias")</f>
        <v>0</v>
      </c>
      <c r="HE47" s="37">
        <f>SUMIFS(Lançamentos!$F:$F,Lançamentos!$A:$A,HE$19,Lançamentos!$C:$C,"Juros e Tarifas Bancárias")</f>
        <v>0</v>
      </c>
      <c r="HF47" s="37">
        <f>SUMIFS(Lançamentos!$F:$F,Lançamentos!$A:$A,HF$19,Lançamentos!$C:$C,"Juros e Tarifas Bancárias")</f>
        <v>0</v>
      </c>
      <c r="HG47" s="37">
        <f>SUMIFS(Lançamentos!$F:$F,Lançamentos!$A:$A,HG$19,Lançamentos!$C:$C,"Juros e Tarifas Bancárias")</f>
        <v>0</v>
      </c>
      <c r="HH47" s="37">
        <f>SUMIFS(Lançamentos!$F:$F,Lançamentos!$A:$A,HH$19,Lançamentos!$C:$C,"Juros e Tarifas Bancárias")</f>
        <v>0</v>
      </c>
      <c r="HI47" s="37">
        <f>SUMIFS(Lançamentos!$F:$F,Lançamentos!$A:$A,HI$19,Lançamentos!$C:$C,"Juros e Tarifas Bancárias")</f>
        <v>0</v>
      </c>
      <c r="HJ47" s="37">
        <f>SUMIFS(Lançamentos!$F:$F,Lançamentos!$A:$A,HJ$19,Lançamentos!$C:$C,"Juros e Tarifas Bancárias")</f>
        <v>0</v>
      </c>
      <c r="HK47" s="37">
        <f>SUMIFS(Lançamentos!$F:$F,Lançamentos!$A:$A,HK$19,Lançamentos!$C:$C,"Juros e Tarifas Bancárias")</f>
        <v>0</v>
      </c>
      <c r="HL47" s="37">
        <f>SUMIFS(Lançamentos!$F:$F,Lançamentos!$A:$A,HL$19,Lançamentos!$C:$C,"Juros e Tarifas Bancárias")</f>
        <v>0</v>
      </c>
      <c r="HM47" s="37">
        <f>SUMIFS(Lançamentos!$F:$F,Lançamentos!$A:$A,HM$19,Lançamentos!$C:$C,"Juros e Tarifas Bancárias")</f>
        <v>0</v>
      </c>
      <c r="HN47" s="37">
        <f>SUMIFS(Lançamentos!$F:$F,Lançamentos!$A:$A,HN$19,Lançamentos!$C:$C,"Juros e Tarifas Bancárias")</f>
        <v>0</v>
      </c>
      <c r="HO47" s="37">
        <f>SUMIFS(Lançamentos!$F:$F,Lançamentos!$A:$A,HO$19,Lançamentos!$C:$C,"Juros e Tarifas Bancárias")</f>
        <v>0</v>
      </c>
      <c r="HP47" s="37">
        <f>SUMIFS(Lançamentos!$F:$F,Lançamentos!$A:$A,HP$19,Lançamentos!$C:$C,"Juros e Tarifas Bancárias")</f>
        <v>0</v>
      </c>
      <c r="HQ47" s="37">
        <f>SUMIFS(Lançamentos!$F:$F,Lançamentos!$A:$A,HQ$19,Lançamentos!$C:$C,"Juros e Tarifas Bancárias")</f>
        <v>0</v>
      </c>
      <c r="HR47" s="37">
        <f>SUMIFS(Lançamentos!$F:$F,Lançamentos!$A:$A,HR$19,Lançamentos!$C:$C,"Juros e Tarifas Bancárias")</f>
        <v>0</v>
      </c>
      <c r="HS47" s="37">
        <f>SUMIFS(Lançamentos!$F:$F,Lançamentos!$A:$A,HS$19,Lançamentos!$C:$C,"Juros e Tarifas Bancárias")</f>
        <v>0</v>
      </c>
      <c r="HT47" s="37">
        <f>SUMIFS(Lançamentos!$F:$F,Lançamentos!$A:$A,HT$19,Lançamentos!$C:$C,"Juros e Tarifas Bancárias")</f>
        <v>0</v>
      </c>
      <c r="HU47" s="37">
        <f>SUMIFS(Lançamentos!$F:$F,Lançamentos!$A:$A,HU$19,Lançamentos!$C:$C,"Juros e Tarifas Bancárias")</f>
        <v>0</v>
      </c>
      <c r="HV47" s="37">
        <f>SUMIFS(Lançamentos!$F:$F,Lançamentos!$A:$A,HV$19,Lançamentos!$C:$C,"Juros e Tarifas Bancárias")</f>
        <v>0</v>
      </c>
      <c r="HW47" s="37">
        <f>SUMIFS(Lançamentos!$F:$F,Lançamentos!$A:$A,HW$19,Lançamentos!$C:$C,"Juros e Tarifas Bancárias")</f>
        <v>0</v>
      </c>
      <c r="HX47" s="37">
        <f>SUMIFS(Lançamentos!$F:$F,Lançamentos!$A:$A,HX$19,Lançamentos!$C:$C,"Juros e Tarifas Bancárias")</f>
        <v>0</v>
      </c>
      <c r="HY47" s="37">
        <f>SUMIFS(Lançamentos!$F:$F,Lançamentos!$A:$A,HY$19,Lançamentos!$C:$C,"Juros e Tarifas Bancárias")</f>
        <v>0</v>
      </c>
      <c r="HZ47" s="37">
        <f>SUMIFS(Lançamentos!$F:$F,Lançamentos!$A:$A,HZ$19,Lançamentos!$C:$C,"Juros e Tarifas Bancárias")</f>
        <v>0</v>
      </c>
      <c r="IA47" s="37">
        <f>SUMIFS(Lançamentos!$F:$F,Lançamentos!$A:$A,IA$19,Lançamentos!$C:$C,"Juros e Tarifas Bancárias")</f>
        <v>0</v>
      </c>
      <c r="IB47" s="37">
        <f>SUMIFS(Lançamentos!$F:$F,Lançamentos!$A:$A,IB$19,Lançamentos!$C:$C,"Juros e Tarifas Bancárias")</f>
        <v>0</v>
      </c>
      <c r="IC47" s="37">
        <f>SUMIFS(Lançamentos!$F:$F,Lançamentos!$A:$A,IC$19,Lançamentos!$C:$C,"Juros e Tarifas Bancárias")</f>
        <v>0</v>
      </c>
      <c r="ID47" s="37">
        <f>SUMIFS(Lançamentos!$F:$F,Lançamentos!$A:$A,ID$19,Lançamentos!$C:$C,"Juros e Tarifas Bancárias")</f>
        <v>0</v>
      </c>
      <c r="IE47" s="37">
        <f>SUMIFS(Lançamentos!$F:$F,Lançamentos!$A:$A,IE$19,Lançamentos!$C:$C,"Juros e Tarifas Bancárias")</f>
        <v>0</v>
      </c>
      <c r="IF47" s="37">
        <f>SUMIFS(Lançamentos!$F:$F,Lançamentos!$A:$A,IF$19,Lançamentos!$C:$C,"Juros e Tarifas Bancárias")</f>
        <v>0</v>
      </c>
      <c r="IG47" s="37">
        <f>SUMIFS(Lançamentos!$F:$F,Lançamentos!$A:$A,IG$19,Lançamentos!$C:$C,"Juros e Tarifas Bancárias")</f>
        <v>0</v>
      </c>
      <c r="IH47" s="37">
        <f>SUMIFS(Lançamentos!$F:$F,Lançamentos!$A:$A,IH$19,Lançamentos!$C:$C,"Juros e Tarifas Bancárias")</f>
        <v>0</v>
      </c>
      <c r="II47" s="37">
        <f>SUMIFS(Lançamentos!$F:$F,Lançamentos!$A:$A,II$19,Lançamentos!$C:$C,"Juros e Tarifas Bancárias")</f>
        <v>0</v>
      </c>
      <c r="IJ47" s="37">
        <f>SUMIFS(Lançamentos!$F:$F,Lançamentos!$A:$A,IJ$19,Lançamentos!$C:$C,"Juros e Tarifas Bancárias")</f>
        <v>0</v>
      </c>
      <c r="IK47" s="37">
        <f>SUMIFS(Lançamentos!$F:$F,Lançamentos!$A:$A,IK$19,Lançamentos!$C:$C,"Juros e Tarifas Bancárias")</f>
        <v>0</v>
      </c>
      <c r="IL47" s="37">
        <f>SUMIFS(Lançamentos!$F:$F,Lançamentos!$A:$A,IL$19,Lançamentos!$C:$C,"Juros e Tarifas Bancárias")</f>
        <v>0</v>
      </c>
    </row>
    <row r="48" spans="1:246" x14ac:dyDescent="0.3">
      <c r="A48" t="s">
        <v>24</v>
      </c>
      <c r="B48" s="37">
        <f>SUMIFS(Lançamentos!$F:$F,Lançamentos!$A:$A,B$19,Lançamentos!$C:$C,"Empréstimos e Financiamentos")</f>
        <v>0</v>
      </c>
      <c r="C48" s="37">
        <f>SUMIFS(Lançamentos!$F:$F,Lançamentos!$A:$A,C$19,Lançamentos!$C:$C,"Empréstimos e Financiamentos")</f>
        <v>0</v>
      </c>
      <c r="D48" s="37">
        <f>SUMIFS(Lançamentos!$F:$F,Lançamentos!$A:$A,D$19,Lançamentos!$C:$C,"Empréstimos e Financiamentos")</f>
        <v>0</v>
      </c>
      <c r="E48" s="37">
        <f>SUMIFS(Lançamentos!$F:$F,Lançamentos!$A:$A,E$19,Lançamentos!$C:$C,"Empréstimos e Financiamentos")</f>
        <v>0</v>
      </c>
      <c r="F48" s="37">
        <f>SUMIFS(Lançamentos!$F:$F,Lançamentos!$A:$A,F$19,Lançamentos!$C:$C,"Empréstimos e Financiamentos")</f>
        <v>0</v>
      </c>
      <c r="G48" s="37">
        <f>SUMIFS(Lançamentos!$F:$F,Lançamentos!$A:$A,G$19,Lançamentos!$C:$C,"Empréstimos e Financiamentos")</f>
        <v>0</v>
      </c>
      <c r="H48" s="37">
        <f>SUMIFS(Lançamentos!$F:$F,Lançamentos!$A:$A,H$19,Lançamentos!$C:$C,"Empréstimos e Financiamentos")</f>
        <v>0</v>
      </c>
      <c r="I48" s="37">
        <f>SUMIFS(Lançamentos!$F:$F,Lançamentos!$A:$A,I$19,Lançamentos!$C:$C,"Empréstimos e Financiamentos")</f>
        <v>0</v>
      </c>
      <c r="J48" s="37">
        <f>SUMIFS(Lançamentos!$F:$F,Lançamentos!$A:$A,J$19,Lançamentos!$C:$C,"Empréstimos e Financiamentos")</f>
        <v>0</v>
      </c>
      <c r="K48" s="37">
        <f>SUMIFS(Lançamentos!$F:$F,Lançamentos!$A:$A,K$19,Lançamentos!$C:$C,"Empréstimos e Financiamentos")</f>
        <v>0</v>
      </c>
      <c r="L48" s="37">
        <f>SUMIFS(Lançamentos!$F:$F,Lançamentos!$A:$A,L$19,Lançamentos!$C:$C,"Empréstimos e Financiamentos")</f>
        <v>0</v>
      </c>
      <c r="M48" s="37">
        <f>SUMIFS(Lançamentos!$F:$F,Lançamentos!$A:$A,M$19,Lançamentos!$C:$C,"Empréstimos e Financiamentos")</f>
        <v>0</v>
      </c>
      <c r="N48" s="37">
        <f>SUMIFS(Lançamentos!$F:$F,Lançamentos!$A:$A,N$19,Lançamentos!$C:$C,"Empréstimos e Financiamentos")</f>
        <v>0</v>
      </c>
      <c r="O48" s="37">
        <f>SUMIFS(Lançamentos!$F:$F,Lançamentos!$A:$A,O$19,Lançamentos!$C:$C,"Empréstimos e Financiamentos")</f>
        <v>0</v>
      </c>
      <c r="P48" s="37">
        <f>SUMIFS(Lançamentos!$F:$F,Lançamentos!$A:$A,P$19,Lançamentos!$C:$C,"Empréstimos e Financiamentos")</f>
        <v>0</v>
      </c>
      <c r="Q48" s="37">
        <f>SUMIFS(Lançamentos!$F:$F,Lançamentos!$A:$A,Q$19,Lançamentos!$C:$C,"Empréstimos e Financiamentos")</f>
        <v>0</v>
      </c>
      <c r="R48" s="37">
        <f>SUMIFS(Lançamentos!$F:$F,Lançamentos!$A:$A,R$19,Lançamentos!$C:$C,"Empréstimos e Financiamentos")</f>
        <v>0</v>
      </c>
      <c r="S48" s="37">
        <f>SUMIFS(Lançamentos!$F:$F,Lançamentos!$A:$A,S$19,Lançamentos!$C:$C,"Empréstimos e Financiamentos")</f>
        <v>0</v>
      </c>
      <c r="T48" s="37">
        <f>SUMIFS(Lançamentos!$F:$F,Lançamentos!$A:$A,T$19,Lançamentos!$C:$C,"Empréstimos e Financiamentos")</f>
        <v>0</v>
      </c>
      <c r="U48" s="37">
        <f>SUMIFS(Lançamentos!$F:$F,Lançamentos!$A:$A,U$19,Lançamentos!$C:$C,"Empréstimos e Financiamentos")</f>
        <v>0</v>
      </c>
      <c r="V48" s="37">
        <f>SUMIFS(Lançamentos!$F:$F,Lançamentos!$A:$A,V$19,Lançamentos!$C:$C,"Empréstimos e Financiamentos")</f>
        <v>0</v>
      </c>
      <c r="W48" s="37">
        <f>SUMIFS(Lançamentos!$F:$F,Lançamentos!$A:$A,W$19,Lançamentos!$C:$C,"Empréstimos e Financiamentos")</f>
        <v>0</v>
      </c>
      <c r="X48" s="37">
        <f>SUMIFS(Lançamentos!$F:$F,Lançamentos!$A:$A,X$19,Lançamentos!$C:$C,"Empréstimos e Financiamentos")</f>
        <v>0</v>
      </c>
      <c r="Y48" s="37">
        <f>SUMIFS(Lançamentos!$F:$F,Lançamentos!$A:$A,Y$19,Lançamentos!$C:$C,"Empréstimos e Financiamentos")</f>
        <v>0</v>
      </c>
      <c r="Z48" s="37">
        <f>SUMIFS(Lançamentos!$F:$F,Lançamentos!$A:$A,Z$19,Lançamentos!$C:$C,"Empréstimos e Financiamentos")</f>
        <v>0</v>
      </c>
      <c r="AA48" s="37">
        <f>SUMIFS(Lançamentos!$F:$F,Lançamentos!$A:$A,AA$19,Lançamentos!$C:$C,"Empréstimos e Financiamentos")</f>
        <v>0</v>
      </c>
      <c r="AB48" s="37">
        <f>SUMIFS(Lançamentos!$F:$F,Lançamentos!$A:$A,AB$19,Lançamentos!$C:$C,"Empréstimos e Financiamentos")</f>
        <v>0</v>
      </c>
      <c r="AC48" s="37">
        <f>SUMIFS(Lançamentos!$F:$F,Lançamentos!$A:$A,AC$19,Lançamentos!$C:$C,"Empréstimos e Financiamentos")</f>
        <v>0</v>
      </c>
      <c r="AD48" s="37">
        <f>SUMIFS(Lançamentos!$F:$F,Lançamentos!$A:$A,AD$19,Lançamentos!$C:$C,"Empréstimos e Financiamentos")</f>
        <v>0</v>
      </c>
      <c r="AE48" s="37">
        <f>SUMIFS(Lançamentos!$F:$F,Lançamentos!$A:$A,AE$19,Lançamentos!$C:$C,"Empréstimos e Financiamentos")</f>
        <v>0</v>
      </c>
      <c r="AF48" s="37">
        <f>SUMIFS(Lançamentos!$F:$F,Lançamentos!$A:$A,AF$19,Lançamentos!$C:$C,"Empréstimos e Financiamentos")</f>
        <v>0</v>
      </c>
      <c r="AG48" s="37">
        <f>SUMIFS(Lançamentos!$F:$F,Lançamentos!$A:$A,AG$19,Lançamentos!$C:$C,"Empréstimos e Financiamentos")</f>
        <v>0</v>
      </c>
      <c r="AH48" s="37">
        <f>SUMIFS(Lançamentos!$F:$F,Lançamentos!$A:$A,AH$19,Lançamentos!$C:$C,"Empréstimos e Financiamentos")</f>
        <v>0</v>
      </c>
      <c r="AI48" s="37">
        <f>SUMIFS(Lançamentos!$F:$F,Lançamentos!$A:$A,AI$19,Lançamentos!$C:$C,"Empréstimos e Financiamentos")</f>
        <v>0</v>
      </c>
      <c r="AJ48" s="37">
        <f>SUMIFS(Lançamentos!$F:$F,Lançamentos!$A:$A,AJ$19,Lançamentos!$C:$C,"Empréstimos e Financiamentos")</f>
        <v>0</v>
      </c>
      <c r="AK48" s="37">
        <f>SUMIFS(Lançamentos!$F:$F,Lançamentos!$A:$A,AK$19,Lançamentos!$C:$C,"Empréstimos e Financiamentos")</f>
        <v>0</v>
      </c>
      <c r="AL48" s="37">
        <f>SUMIFS(Lançamentos!$F:$F,Lançamentos!$A:$A,AL$19,Lançamentos!$C:$C,"Empréstimos e Financiamentos")</f>
        <v>0</v>
      </c>
      <c r="AM48" s="37">
        <f>SUMIFS(Lançamentos!$F:$F,Lançamentos!$A:$A,AM$19,Lançamentos!$C:$C,"Empréstimos e Financiamentos")</f>
        <v>0</v>
      </c>
      <c r="AN48" s="37">
        <f>SUMIFS(Lançamentos!$F:$F,Lançamentos!$A:$A,AN$19,Lançamentos!$C:$C,"Empréstimos e Financiamentos")</f>
        <v>0</v>
      </c>
      <c r="AO48" s="37">
        <f>SUMIFS(Lançamentos!$F:$F,Lançamentos!$A:$A,AO$19,Lançamentos!$C:$C,"Empréstimos e Financiamentos")</f>
        <v>0</v>
      </c>
      <c r="AP48" s="37">
        <f>SUMIFS(Lançamentos!$F:$F,Lançamentos!$A:$A,AP$19,Lançamentos!$C:$C,"Empréstimos e Financiamentos")</f>
        <v>0</v>
      </c>
      <c r="AQ48" s="37">
        <f>SUMIFS(Lançamentos!$F:$F,Lançamentos!$A:$A,AQ$19,Lançamentos!$C:$C,"Empréstimos e Financiamentos")</f>
        <v>0</v>
      </c>
      <c r="AR48" s="37">
        <f>SUMIFS(Lançamentos!$F:$F,Lançamentos!$A:$A,AR$19,Lançamentos!$C:$C,"Empréstimos e Financiamentos")</f>
        <v>0</v>
      </c>
      <c r="AS48" s="37">
        <f>SUMIFS(Lançamentos!$F:$F,Lançamentos!$A:$A,AS$19,Lançamentos!$C:$C,"Empréstimos e Financiamentos")</f>
        <v>0</v>
      </c>
      <c r="AT48" s="37">
        <f>SUMIFS(Lançamentos!$F:$F,Lançamentos!$A:$A,AT$19,Lançamentos!$C:$C,"Empréstimos e Financiamentos")</f>
        <v>0</v>
      </c>
      <c r="AU48" s="37">
        <f>SUMIFS(Lançamentos!$F:$F,Lançamentos!$A:$A,AU$19,Lançamentos!$C:$C,"Empréstimos e Financiamentos")</f>
        <v>0</v>
      </c>
      <c r="AV48" s="37">
        <f>SUMIFS(Lançamentos!$F:$F,Lançamentos!$A:$A,AV$19,Lançamentos!$C:$C,"Empréstimos e Financiamentos")</f>
        <v>0</v>
      </c>
      <c r="AW48" s="37">
        <f>SUMIFS(Lançamentos!$F:$F,Lançamentos!$A:$A,AW$19,Lançamentos!$C:$C,"Empréstimos e Financiamentos")</f>
        <v>0</v>
      </c>
      <c r="AX48" s="37">
        <f>SUMIFS(Lançamentos!$F:$F,Lançamentos!$A:$A,AX$19,Lançamentos!$C:$C,"Empréstimos e Financiamentos")</f>
        <v>0</v>
      </c>
      <c r="AY48" s="37">
        <f>SUMIFS(Lançamentos!$F:$F,Lançamentos!$A:$A,AY$19,Lançamentos!$C:$C,"Empréstimos e Financiamentos")</f>
        <v>0</v>
      </c>
      <c r="AZ48" s="37">
        <f>SUMIFS(Lançamentos!$F:$F,Lançamentos!$A:$A,AZ$19,Lançamentos!$C:$C,"Empréstimos e Financiamentos")</f>
        <v>0</v>
      </c>
      <c r="BA48" s="37">
        <f>SUMIFS(Lançamentos!$F:$F,Lançamentos!$A:$A,BA$19,Lançamentos!$C:$C,"Empréstimos e Financiamentos")</f>
        <v>0</v>
      </c>
      <c r="BB48" s="37">
        <f>SUMIFS(Lançamentos!$F:$F,Lançamentos!$A:$A,BB$19,Lançamentos!$C:$C,"Empréstimos e Financiamentos")</f>
        <v>0</v>
      </c>
      <c r="BC48" s="37">
        <f>SUMIFS(Lançamentos!$F:$F,Lançamentos!$A:$A,BC$19,Lançamentos!$C:$C,"Empréstimos e Financiamentos")</f>
        <v>0</v>
      </c>
      <c r="BD48" s="37">
        <f>SUMIFS(Lançamentos!$F:$F,Lançamentos!$A:$A,BD$19,Lançamentos!$C:$C,"Empréstimos e Financiamentos")</f>
        <v>0</v>
      </c>
      <c r="BE48" s="37">
        <f>SUMIFS(Lançamentos!$F:$F,Lançamentos!$A:$A,BE$19,Lançamentos!$C:$C,"Empréstimos e Financiamentos")</f>
        <v>0</v>
      </c>
      <c r="BF48" s="37">
        <f>SUMIFS(Lançamentos!$F:$F,Lançamentos!$A:$A,BF$19,Lançamentos!$C:$C,"Empréstimos e Financiamentos")</f>
        <v>0</v>
      </c>
      <c r="BG48" s="37">
        <f>SUMIFS(Lançamentos!$F:$F,Lançamentos!$A:$A,BG$19,Lançamentos!$C:$C,"Empréstimos e Financiamentos")</f>
        <v>0</v>
      </c>
      <c r="BH48" s="37">
        <f>SUMIFS(Lançamentos!$F:$F,Lançamentos!$A:$A,BH$19,Lançamentos!$C:$C,"Empréstimos e Financiamentos")</f>
        <v>0</v>
      </c>
      <c r="BI48" s="37">
        <f>SUMIFS(Lançamentos!$F:$F,Lançamentos!$A:$A,BI$19,Lançamentos!$C:$C,"Empréstimos e Financiamentos")</f>
        <v>0</v>
      </c>
      <c r="BJ48" s="37">
        <f>SUMIFS(Lançamentos!$F:$F,Lançamentos!$A:$A,BJ$19,Lançamentos!$C:$C,"Empréstimos e Financiamentos")</f>
        <v>0</v>
      </c>
      <c r="BK48" s="37">
        <f>SUMIFS(Lançamentos!$F:$F,Lançamentos!$A:$A,BK$19,Lançamentos!$C:$C,"Empréstimos e Financiamentos")</f>
        <v>0</v>
      </c>
      <c r="BL48" s="37">
        <f>SUMIFS(Lançamentos!$F:$F,Lançamentos!$A:$A,BL$19,Lançamentos!$C:$C,"Empréstimos e Financiamentos")</f>
        <v>0</v>
      </c>
      <c r="BM48" s="37">
        <f>SUMIFS(Lançamentos!$F:$F,Lançamentos!$A:$A,BM$19,Lançamentos!$C:$C,"Empréstimos e Financiamentos")</f>
        <v>0</v>
      </c>
      <c r="BN48" s="37">
        <f>SUMIFS(Lançamentos!$F:$F,Lançamentos!$A:$A,BN$19,Lançamentos!$C:$C,"Empréstimos e Financiamentos")</f>
        <v>0</v>
      </c>
      <c r="BO48" s="37">
        <f>SUMIFS(Lançamentos!$F:$F,Lançamentos!$A:$A,BO$19,Lançamentos!$C:$C,"Empréstimos e Financiamentos")</f>
        <v>0</v>
      </c>
      <c r="BP48" s="37">
        <f>SUMIFS(Lançamentos!$F:$F,Lançamentos!$A:$A,BP$19,Lançamentos!$C:$C,"Empréstimos e Financiamentos")</f>
        <v>0</v>
      </c>
      <c r="BQ48" s="37">
        <f>SUMIFS(Lançamentos!$F:$F,Lançamentos!$A:$A,BQ$19,Lançamentos!$C:$C,"Empréstimos e Financiamentos")</f>
        <v>0</v>
      </c>
      <c r="BR48" s="37">
        <f>SUMIFS(Lançamentos!$F:$F,Lançamentos!$A:$A,BR$19,Lançamentos!$C:$C,"Empréstimos e Financiamentos")</f>
        <v>0</v>
      </c>
      <c r="BS48" s="37">
        <f>SUMIFS(Lançamentos!$F:$F,Lançamentos!$A:$A,BS$19,Lançamentos!$C:$C,"Empréstimos e Financiamentos")</f>
        <v>0</v>
      </c>
      <c r="BT48" s="37">
        <f>SUMIFS(Lançamentos!$F:$F,Lançamentos!$A:$A,BT$19,Lançamentos!$C:$C,"Empréstimos e Financiamentos")</f>
        <v>0</v>
      </c>
      <c r="BU48" s="37">
        <f>SUMIFS(Lançamentos!$F:$F,Lançamentos!$A:$A,BU$19,Lançamentos!$C:$C,"Empréstimos e Financiamentos")</f>
        <v>0</v>
      </c>
      <c r="BV48" s="37">
        <f>SUMIFS(Lançamentos!$F:$F,Lançamentos!$A:$A,BV$19,Lançamentos!$C:$C,"Empréstimos e Financiamentos")</f>
        <v>0</v>
      </c>
      <c r="BW48" s="37">
        <f>SUMIFS(Lançamentos!$F:$F,Lançamentos!$A:$A,BW$19,Lançamentos!$C:$C,"Empréstimos e Financiamentos")</f>
        <v>0</v>
      </c>
      <c r="BX48" s="37">
        <f>SUMIFS(Lançamentos!$F:$F,Lançamentos!$A:$A,BX$19,Lançamentos!$C:$C,"Empréstimos e Financiamentos")</f>
        <v>0</v>
      </c>
      <c r="BY48" s="37">
        <f>SUMIFS(Lançamentos!$F:$F,Lançamentos!$A:$A,BY$19,Lançamentos!$C:$C,"Empréstimos e Financiamentos")</f>
        <v>0</v>
      </c>
      <c r="BZ48" s="37">
        <f>SUMIFS(Lançamentos!$F:$F,Lançamentos!$A:$A,BZ$19,Lançamentos!$C:$C,"Empréstimos e Financiamentos")</f>
        <v>0</v>
      </c>
      <c r="CA48" s="37">
        <f>SUMIFS(Lançamentos!$F:$F,Lançamentos!$A:$A,CA$19,Lançamentos!$C:$C,"Empréstimos e Financiamentos")</f>
        <v>0</v>
      </c>
      <c r="CB48" s="37">
        <f>SUMIFS(Lançamentos!$F:$F,Lançamentos!$A:$A,CB$19,Lançamentos!$C:$C,"Empréstimos e Financiamentos")</f>
        <v>0</v>
      </c>
      <c r="CC48" s="37">
        <f>SUMIFS(Lançamentos!$F:$F,Lançamentos!$A:$A,CC$19,Lançamentos!$C:$C,"Empréstimos e Financiamentos")</f>
        <v>0</v>
      </c>
      <c r="CD48" s="37">
        <f>SUMIFS(Lançamentos!$F:$F,Lançamentos!$A:$A,CD$19,Lançamentos!$C:$C,"Empréstimos e Financiamentos")</f>
        <v>0</v>
      </c>
      <c r="CE48" s="37">
        <f>SUMIFS(Lançamentos!$F:$F,Lançamentos!$A:$A,CE$19,Lançamentos!$C:$C,"Empréstimos e Financiamentos")</f>
        <v>0</v>
      </c>
      <c r="CF48" s="37">
        <f>SUMIFS(Lançamentos!$F:$F,Lançamentos!$A:$A,CF$19,Lançamentos!$C:$C,"Empréstimos e Financiamentos")</f>
        <v>0</v>
      </c>
      <c r="CG48" s="37">
        <f>SUMIFS(Lançamentos!$F:$F,Lançamentos!$A:$A,CG$19,Lançamentos!$C:$C,"Empréstimos e Financiamentos")</f>
        <v>0</v>
      </c>
      <c r="CH48" s="37">
        <f>SUMIFS(Lançamentos!$F:$F,Lançamentos!$A:$A,CH$19,Lançamentos!$C:$C,"Empréstimos e Financiamentos")</f>
        <v>0</v>
      </c>
      <c r="CI48" s="37">
        <f>SUMIFS(Lançamentos!$F:$F,Lançamentos!$A:$A,CI$19,Lançamentos!$C:$C,"Empréstimos e Financiamentos")</f>
        <v>0</v>
      </c>
      <c r="CJ48" s="37">
        <f>SUMIFS(Lançamentos!$F:$F,Lançamentos!$A:$A,CJ$19,Lançamentos!$C:$C,"Empréstimos e Financiamentos")</f>
        <v>0</v>
      </c>
      <c r="CK48" s="37">
        <f>SUMIFS(Lançamentos!$F:$F,Lançamentos!$A:$A,CK$19,Lançamentos!$C:$C,"Empréstimos e Financiamentos")</f>
        <v>0</v>
      </c>
      <c r="CL48" s="37">
        <f>SUMIFS(Lançamentos!$F:$F,Lançamentos!$A:$A,CL$19,Lançamentos!$C:$C,"Empréstimos e Financiamentos")</f>
        <v>0</v>
      </c>
      <c r="CM48" s="37">
        <f>SUMIFS(Lançamentos!$F:$F,Lançamentos!$A:$A,CM$19,Lançamentos!$C:$C,"Empréstimos e Financiamentos")</f>
        <v>0</v>
      </c>
      <c r="CN48" s="37">
        <f>SUMIFS(Lançamentos!$F:$F,Lançamentos!$A:$A,CN$19,Lançamentos!$C:$C,"Empréstimos e Financiamentos")</f>
        <v>0</v>
      </c>
      <c r="CO48" s="37">
        <f>SUMIFS(Lançamentos!$F:$F,Lançamentos!$A:$A,CO$19,Lançamentos!$C:$C,"Empréstimos e Financiamentos")</f>
        <v>0</v>
      </c>
      <c r="CP48" s="37">
        <f>SUMIFS(Lançamentos!$F:$F,Lançamentos!$A:$A,CP$19,Lançamentos!$C:$C,"Empréstimos e Financiamentos")</f>
        <v>0</v>
      </c>
      <c r="CQ48" s="37">
        <f>SUMIFS(Lançamentos!$F:$F,Lançamentos!$A:$A,CQ$19,Lançamentos!$C:$C,"Empréstimos e Financiamentos")</f>
        <v>0</v>
      </c>
      <c r="CR48" s="37">
        <f>SUMIFS(Lançamentos!$F:$F,Lançamentos!$A:$A,CR$19,Lançamentos!$C:$C,"Empréstimos e Financiamentos")</f>
        <v>0</v>
      </c>
      <c r="CS48" s="37">
        <f>SUMIFS(Lançamentos!$F:$F,Lançamentos!$A:$A,CS$19,Lançamentos!$C:$C,"Empréstimos e Financiamentos")</f>
        <v>0</v>
      </c>
      <c r="CT48" s="37">
        <f>SUMIFS(Lançamentos!$F:$F,Lançamentos!$A:$A,CT$19,Lançamentos!$C:$C,"Empréstimos e Financiamentos")</f>
        <v>0</v>
      </c>
      <c r="CU48" s="37">
        <f>SUMIFS(Lançamentos!$F:$F,Lançamentos!$A:$A,CU$19,Lançamentos!$C:$C,"Empréstimos e Financiamentos")</f>
        <v>0</v>
      </c>
      <c r="CV48" s="37">
        <f>SUMIFS(Lançamentos!$F:$F,Lançamentos!$A:$A,CV$19,Lançamentos!$C:$C,"Empréstimos e Financiamentos")</f>
        <v>0</v>
      </c>
      <c r="CW48" s="37">
        <f>SUMIFS(Lançamentos!$F:$F,Lançamentos!$A:$A,CW$19,Lançamentos!$C:$C,"Empréstimos e Financiamentos")</f>
        <v>0</v>
      </c>
      <c r="CX48" s="37">
        <f>SUMIFS(Lançamentos!$F:$F,Lançamentos!$A:$A,CX$19,Lançamentos!$C:$C,"Empréstimos e Financiamentos")</f>
        <v>0</v>
      </c>
      <c r="CY48" s="37">
        <f>SUMIFS(Lançamentos!$F:$F,Lançamentos!$A:$A,CY$19,Lançamentos!$C:$C,"Empréstimos e Financiamentos")</f>
        <v>0</v>
      </c>
      <c r="CZ48" s="37">
        <f>SUMIFS(Lançamentos!$F:$F,Lançamentos!$A:$A,CZ$19,Lançamentos!$C:$C,"Empréstimos e Financiamentos")</f>
        <v>0</v>
      </c>
      <c r="DA48" s="37">
        <f>SUMIFS(Lançamentos!$F:$F,Lançamentos!$A:$A,DA$19,Lançamentos!$C:$C,"Empréstimos e Financiamentos")</f>
        <v>0</v>
      </c>
      <c r="DB48" s="37">
        <f>SUMIFS(Lançamentos!$F:$F,Lançamentos!$A:$A,DB$19,Lançamentos!$C:$C,"Empréstimos e Financiamentos")</f>
        <v>0</v>
      </c>
      <c r="DC48" s="37">
        <f>SUMIFS(Lançamentos!$F:$F,Lançamentos!$A:$A,DC$19,Lançamentos!$C:$C,"Empréstimos e Financiamentos")</f>
        <v>0</v>
      </c>
      <c r="DD48" s="37">
        <f>SUMIFS(Lançamentos!$F:$F,Lançamentos!$A:$A,DD$19,Lançamentos!$C:$C,"Empréstimos e Financiamentos")</f>
        <v>0</v>
      </c>
      <c r="DE48" s="37">
        <f>SUMIFS(Lançamentos!$F:$F,Lançamentos!$A:$A,DE$19,Lançamentos!$C:$C,"Empréstimos e Financiamentos")</f>
        <v>0</v>
      </c>
      <c r="DF48" s="37">
        <f>SUMIFS(Lançamentos!$F:$F,Lançamentos!$A:$A,DF$19,Lançamentos!$C:$C,"Empréstimos e Financiamentos")</f>
        <v>0</v>
      </c>
      <c r="DG48" s="37">
        <f>SUMIFS(Lançamentos!$F:$F,Lançamentos!$A:$A,DG$19,Lançamentos!$C:$C,"Empréstimos e Financiamentos")</f>
        <v>0</v>
      </c>
      <c r="DH48" s="37">
        <f>SUMIFS(Lançamentos!$F:$F,Lançamentos!$A:$A,DH$19,Lançamentos!$C:$C,"Empréstimos e Financiamentos")</f>
        <v>0</v>
      </c>
      <c r="DI48" s="37">
        <f>SUMIFS(Lançamentos!$F:$F,Lançamentos!$A:$A,DI$19,Lançamentos!$C:$C,"Empréstimos e Financiamentos")</f>
        <v>0</v>
      </c>
      <c r="DJ48" s="37">
        <f>SUMIFS(Lançamentos!$F:$F,Lançamentos!$A:$A,DJ$19,Lançamentos!$C:$C,"Empréstimos e Financiamentos")</f>
        <v>0</v>
      </c>
      <c r="DK48" s="37">
        <f>SUMIFS(Lançamentos!$F:$F,Lançamentos!$A:$A,DK$19,Lançamentos!$C:$C,"Empréstimos e Financiamentos")</f>
        <v>0</v>
      </c>
      <c r="DL48" s="37">
        <f>SUMIFS(Lançamentos!$F:$F,Lançamentos!$A:$A,DL$19,Lançamentos!$C:$C,"Empréstimos e Financiamentos")</f>
        <v>0</v>
      </c>
      <c r="DM48" s="37">
        <f>SUMIFS(Lançamentos!$F:$F,Lançamentos!$A:$A,DM$19,Lançamentos!$C:$C,"Empréstimos e Financiamentos")</f>
        <v>0</v>
      </c>
      <c r="DN48" s="37">
        <f>SUMIFS(Lançamentos!$F:$F,Lançamentos!$A:$A,DN$19,Lançamentos!$C:$C,"Empréstimos e Financiamentos")</f>
        <v>0</v>
      </c>
      <c r="DO48" s="37">
        <f>SUMIFS(Lançamentos!$F:$F,Lançamentos!$A:$A,DO$19,Lançamentos!$C:$C,"Empréstimos e Financiamentos")</f>
        <v>0</v>
      </c>
      <c r="DP48" s="37">
        <f>SUMIFS(Lançamentos!$F:$F,Lançamentos!$A:$A,DP$19,Lançamentos!$C:$C,"Empréstimos e Financiamentos")</f>
        <v>0</v>
      </c>
      <c r="DQ48" s="37">
        <f>SUMIFS(Lançamentos!$F:$F,Lançamentos!$A:$A,DQ$19,Lançamentos!$C:$C,"Empréstimos e Financiamentos")</f>
        <v>0</v>
      </c>
      <c r="DR48" s="37">
        <f>SUMIFS(Lançamentos!$F:$F,Lançamentos!$A:$A,DR$19,Lançamentos!$C:$C,"Empréstimos e Financiamentos")</f>
        <v>0</v>
      </c>
      <c r="DS48" s="37">
        <f>SUMIFS(Lançamentos!$F:$F,Lançamentos!$A:$A,DS$19,Lançamentos!$C:$C,"Empréstimos e Financiamentos")</f>
        <v>0</v>
      </c>
      <c r="DT48" s="37">
        <f>SUMIFS(Lançamentos!$F:$F,Lançamentos!$A:$A,DT$19,Lançamentos!$C:$C,"Empréstimos e Financiamentos")</f>
        <v>0</v>
      </c>
      <c r="DU48" s="37">
        <f>SUMIFS(Lançamentos!$F:$F,Lançamentos!$A:$A,DU$19,Lançamentos!$C:$C,"Empréstimos e Financiamentos")</f>
        <v>0</v>
      </c>
      <c r="DV48" s="37">
        <f>SUMIFS(Lançamentos!$F:$F,Lançamentos!$A:$A,DV$19,Lançamentos!$C:$C,"Empréstimos e Financiamentos")</f>
        <v>0</v>
      </c>
      <c r="DW48" s="37">
        <f>SUMIFS(Lançamentos!$F:$F,Lançamentos!$A:$A,DW$19,Lançamentos!$C:$C,"Empréstimos e Financiamentos")</f>
        <v>0</v>
      </c>
      <c r="DX48" s="37">
        <f>SUMIFS(Lançamentos!$F:$F,Lançamentos!$A:$A,DX$19,Lançamentos!$C:$C,"Empréstimos e Financiamentos")</f>
        <v>0</v>
      </c>
      <c r="DY48" s="37">
        <f>SUMIFS(Lançamentos!$F:$F,Lançamentos!$A:$A,DY$19,Lançamentos!$C:$C,"Empréstimos e Financiamentos")</f>
        <v>0</v>
      </c>
      <c r="DZ48" s="37">
        <f>SUMIFS(Lançamentos!$F:$F,Lançamentos!$A:$A,DZ$19,Lançamentos!$C:$C,"Empréstimos e Financiamentos")</f>
        <v>0</v>
      </c>
      <c r="EA48" s="37">
        <f>SUMIFS(Lançamentos!$F:$F,Lançamentos!$A:$A,EA$19,Lançamentos!$C:$C,"Empréstimos e Financiamentos")</f>
        <v>0</v>
      </c>
      <c r="EB48" s="37">
        <f>SUMIFS(Lançamentos!$F:$F,Lançamentos!$A:$A,EB$19,Lançamentos!$C:$C,"Empréstimos e Financiamentos")</f>
        <v>0</v>
      </c>
      <c r="EC48" s="37">
        <f>SUMIFS(Lançamentos!$F:$F,Lançamentos!$A:$A,EC$19,Lançamentos!$C:$C,"Empréstimos e Financiamentos")</f>
        <v>0</v>
      </c>
      <c r="ED48" s="37">
        <f>SUMIFS(Lançamentos!$F:$F,Lançamentos!$A:$A,ED$19,Lançamentos!$C:$C,"Empréstimos e Financiamentos")</f>
        <v>0</v>
      </c>
      <c r="EE48" s="37">
        <f>SUMIFS(Lançamentos!$F:$F,Lançamentos!$A:$A,EE$19,Lançamentos!$C:$C,"Empréstimos e Financiamentos")</f>
        <v>0</v>
      </c>
      <c r="EF48" s="37">
        <f>SUMIFS(Lançamentos!$F:$F,Lançamentos!$A:$A,EF$19,Lançamentos!$C:$C,"Empréstimos e Financiamentos")</f>
        <v>0</v>
      </c>
      <c r="EG48" s="37">
        <f>SUMIFS(Lançamentos!$F:$F,Lançamentos!$A:$A,EG$19,Lançamentos!$C:$C,"Empréstimos e Financiamentos")</f>
        <v>0</v>
      </c>
      <c r="EH48" s="37">
        <f>SUMIFS(Lançamentos!$F:$F,Lançamentos!$A:$A,EH$19,Lançamentos!$C:$C,"Empréstimos e Financiamentos")</f>
        <v>0</v>
      </c>
      <c r="EI48" s="37">
        <f>SUMIFS(Lançamentos!$F:$F,Lançamentos!$A:$A,EI$19,Lançamentos!$C:$C,"Empréstimos e Financiamentos")</f>
        <v>0</v>
      </c>
      <c r="EJ48" s="37">
        <f>SUMIFS(Lançamentos!$F:$F,Lançamentos!$A:$A,EJ$19,Lançamentos!$C:$C,"Empréstimos e Financiamentos")</f>
        <v>0</v>
      </c>
      <c r="EK48" s="37">
        <f>SUMIFS(Lançamentos!$F:$F,Lançamentos!$A:$A,EK$19,Lançamentos!$C:$C,"Empréstimos e Financiamentos")</f>
        <v>0</v>
      </c>
      <c r="EL48" s="37">
        <f>SUMIFS(Lançamentos!$F:$F,Lançamentos!$A:$A,EL$19,Lançamentos!$C:$C,"Empréstimos e Financiamentos")</f>
        <v>0</v>
      </c>
      <c r="EM48" s="37">
        <f>SUMIFS(Lançamentos!$F:$F,Lançamentos!$A:$A,EM$19,Lançamentos!$C:$C,"Empréstimos e Financiamentos")</f>
        <v>0</v>
      </c>
      <c r="EN48" s="37">
        <f>SUMIFS(Lançamentos!$F:$F,Lançamentos!$A:$A,EN$19,Lançamentos!$C:$C,"Empréstimos e Financiamentos")</f>
        <v>0</v>
      </c>
      <c r="EO48" s="37">
        <f>SUMIFS(Lançamentos!$F:$F,Lançamentos!$A:$A,EO$19,Lançamentos!$C:$C,"Empréstimos e Financiamentos")</f>
        <v>0</v>
      </c>
      <c r="EP48" s="37">
        <f>SUMIFS(Lançamentos!$F:$F,Lançamentos!$A:$A,EP$19,Lançamentos!$C:$C,"Empréstimos e Financiamentos")</f>
        <v>0</v>
      </c>
      <c r="EQ48" s="37">
        <f>SUMIFS(Lançamentos!$F:$F,Lançamentos!$A:$A,EQ$19,Lançamentos!$C:$C,"Empréstimos e Financiamentos")</f>
        <v>0</v>
      </c>
      <c r="ER48" s="37">
        <f>SUMIFS(Lançamentos!$F:$F,Lançamentos!$A:$A,ER$19,Lançamentos!$C:$C,"Empréstimos e Financiamentos")</f>
        <v>0</v>
      </c>
      <c r="ES48" s="37">
        <f>SUMIFS(Lançamentos!$F:$F,Lançamentos!$A:$A,ES$19,Lançamentos!$C:$C,"Empréstimos e Financiamentos")</f>
        <v>0</v>
      </c>
      <c r="ET48" s="37">
        <f>SUMIFS(Lançamentos!$F:$F,Lançamentos!$A:$A,ET$19,Lançamentos!$C:$C,"Empréstimos e Financiamentos")</f>
        <v>0</v>
      </c>
      <c r="EU48" s="37">
        <f>SUMIFS(Lançamentos!$F:$F,Lançamentos!$A:$A,EU$19,Lançamentos!$C:$C,"Empréstimos e Financiamentos")</f>
        <v>0</v>
      </c>
      <c r="EV48" s="37">
        <f>SUMIFS(Lançamentos!$F:$F,Lançamentos!$A:$A,EV$19,Lançamentos!$C:$C,"Empréstimos e Financiamentos")</f>
        <v>0</v>
      </c>
      <c r="EW48" s="37">
        <f>SUMIFS(Lançamentos!$F:$F,Lançamentos!$A:$A,EW$19,Lançamentos!$C:$C,"Empréstimos e Financiamentos")</f>
        <v>0</v>
      </c>
      <c r="EX48" s="37">
        <f>SUMIFS(Lançamentos!$F:$F,Lançamentos!$A:$A,EX$19,Lançamentos!$C:$C,"Empréstimos e Financiamentos")</f>
        <v>0</v>
      </c>
      <c r="EY48" s="37">
        <f>SUMIFS(Lançamentos!$F:$F,Lançamentos!$A:$A,EY$19,Lançamentos!$C:$C,"Empréstimos e Financiamentos")</f>
        <v>0</v>
      </c>
      <c r="EZ48" s="37">
        <f>SUMIFS(Lançamentos!$F:$F,Lançamentos!$A:$A,EZ$19,Lançamentos!$C:$C,"Empréstimos e Financiamentos")</f>
        <v>0</v>
      </c>
      <c r="FA48" s="37">
        <f>SUMIFS(Lançamentos!$F:$F,Lançamentos!$A:$A,FA$19,Lançamentos!$C:$C,"Empréstimos e Financiamentos")</f>
        <v>0</v>
      </c>
      <c r="FB48" s="37">
        <f>SUMIFS(Lançamentos!$F:$F,Lançamentos!$A:$A,FB$19,Lançamentos!$C:$C,"Empréstimos e Financiamentos")</f>
        <v>0</v>
      </c>
      <c r="FC48" s="37">
        <f>SUMIFS(Lançamentos!$F:$F,Lançamentos!$A:$A,FC$19,Lançamentos!$C:$C,"Empréstimos e Financiamentos")</f>
        <v>0</v>
      </c>
      <c r="FD48" s="37">
        <f>SUMIFS(Lançamentos!$F:$F,Lançamentos!$A:$A,FD$19,Lançamentos!$C:$C,"Empréstimos e Financiamentos")</f>
        <v>0</v>
      </c>
      <c r="FE48" s="37">
        <f>SUMIFS(Lançamentos!$F:$F,Lançamentos!$A:$A,FE$19,Lançamentos!$C:$C,"Empréstimos e Financiamentos")</f>
        <v>0</v>
      </c>
      <c r="FF48" s="37">
        <f>SUMIFS(Lançamentos!$F:$F,Lançamentos!$A:$A,FF$19,Lançamentos!$C:$C,"Empréstimos e Financiamentos")</f>
        <v>0</v>
      </c>
      <c r="FG48" s="37">
        <f>SUMIFS(Lançamentos!$F:$F,Lançamentos!$A:$A,FG$19,Lançamentos!$C:$C,"Empréstimos e Financiamentos")</f>
        <v>0</v>
      </c>
      <c r="FH48" s="37">
        <f>SUMIFS(Lançamentos!$F:$F,Lançamentos!$A:$A,FH$19,Lançamentos!$C:$C,"Empréstimos e Financiamentos")</f>
        <v>0</v>
      </c>
      <c r="FI48" s="37">
        <f>SUMIFS(Lançamentos!$F:$F,Lançamentos!$A:$A,FI$19,Lançamentos!$C:$C,"Empréstimos e Financiamentos")</f>
        <v>0</v>
      </c>
      <c r="FJ48" s="37">
        <f>SUMIFS(Lançamentos!$F:$F,Lançamentos!$A:$A,FJ$19,Lançamentos!$C:$C,"Empréstimos e Financiamentos")</f>
        <v>0</v>
      </c>
      <c r="FK48" s="37">
        <f>SUMIFS(Lançamentos!$F:$F,Lançamentos!$A:$A,FK$19,Lançamentos!$C:$C,"Empréstimos e Financiamentos")</f>
        <v>0</v>
      </c>
      <c r="FL48" s="37">
        <f>SUMIFS(Lançamentos!$F:$F,Lançamentos!$A:$A,FL$19,Lançamentos!$C:$C,"Empréstimos e Financiamentos")</f>
        <v>0</v>
      </c>
      <c r="FM48" s="37">
        <f>SUMIFS(Lançamentos!$F:$F,Lançamentos!$A:$A,FM$19,Lançamentos!$C:$C,"Empréstimos e Financiamentos")</f>
        <v>0</v>
      </c>
      <c r="FN48" s="37">
        <f>SUMIFS(Lançamentos!$F:$F,Lançamentos!$A:$A,FN$19,Lançamentos!$C:$C,"Empréstimos e Financiamentos")</f>
        <v>0</v>
      </c>
      <c r="FO48" s="37">
        <f>SUMIFS(Lançamentos!$F:$F,Lançamentos!$A:$A,FO$19,Lançamentos!$C:$C,"Empréstimos e Financiamentos")</f>
        <v>0</v>
      </c>
      <c r="FP48" s="37">
        <f>SUMIFS(Lançamentos!$F:$F,Lançamentos!$A:$A,FP$19,Lançamentos!$C:$C,"Empréstimos e Financiamentos")</f>
        <v>0</v>
      </c>
      <c r="FQ48" s="37">
        <f>SUMIFS(Lançamentos!$F:$F,Lançamentos!$A:$A,FQ$19,Lançamentos!$C:$C,"Empréstimos e Financiamentos")</f>
        <v>0</v>
      </c>
      <c r="FR48" s="37">
        <f>SUMIFS(Lançamentos!$F:$F,Lançamentos!$A:$A,FR$19,Lançamentos!$C:$C,"Empréstimos e Financiamentos")</f>
        <v>0</v>
      </c>
      <c r="FS48" s="37">
        <f>SUMIFS(Lançamentos!$F:$F,Lançamentos!$A:$A,FS$19,Lançamentos!$C:$C,"Empréstimos e Financiamentos")</f>
        <v>0</v>
      </c>
      <c r="FT48" s="37">
        <f>SUMIFS(Lançamentos!$F:$F,Lançamentos!$A:$A,FT$19,Lançamentos!$C:$C,"Empréstimos e Financiamentos")</f>
        <v>0</v>
      </c>
      <c r="FU48" s="37">
        <f>SUMIFS(Lançamentos!$F:$F,Lançamentos!$A:$A,FU$19,Lançamentos!$C:$C,"Empréstimos e Financiamentos")</f>
        <v>0</v>
      </c>
      <c r="FV48" s="37">
        <f>SUMIFS(Lançamentos!$F:$F,Lançamentos!$A:$A,FV$19,Lançamentos!$C:$C,"Empréstimos e Financiamentos")</f>
        <v>0</v>
      </c>
      <c r="FW48" s="37">
        <f>SUMIFS(Lançamentos!$F:$F,Lançamentos!$A:$A,FW$19,Lançamentos!$C:$C,"Empréstimos e Financiamentos")</f>
        <v>0</v>
      </c>
      <c r="FX48" s="37">
        <f>SUMIFS(Lançamentos!$F:$F,Lançamentos!$A:$A,FX$19,Lançamentos!$C:$C,"Empréstimos e Financiamentos")</f>
        <v>0</v>
      </c>
      <c r="FY48" s="37">
        <f>SUMIFS(Lançamentos!$F:$F,Lançamentos!$A:$A,FY$19,Lançamentos!$C:$C,"Empréstimos e Financiamentos")</f>
        <v>0</v>
      </c>
      <c r="FZ48" s="37">
        <f>SUMIFS(Lançamentos!$F:$F,Lançamentos!$A:$A,FZ$19,Lançamentos!$C:$C,"Empréstimos e Financiamentos")</f>
        <v>0</v>
      </c>
      <c r="GA48" s="37">
        <f>SUMIFS(Lançamentos!$F:$F,Lançamentos!$A:$A,GA$19,Lançamentos!$C:$C,"Empréstimos e Financiamentos")</f>
        <v>0</v>
      </c>
      <c r="GB48" s="37">
        <f>SUMIFS(Lançamentos!$F:$F,Lançamentos!$A:$A,GB$19,Lançamentos!$C:$C,"Empréstimos e Financiamentos")</f>
        <v>0</v>
      </c>
      <c r="GC48" s="37">
        <f>SUMIFS(Lançamentos!$F:$F,Lançamentos!$A:$A,GC$19,Lançamentos!$C:$C,"Empréstimos e Financiamentos")</f>
        <v>0</v>
      </c>
      <c r="GD48" s="37">
        <f>SUMIFS(Lançamentos!$F:$F,Lançamentos!$A:$A,GD$19,Lançamentos!$C:$C,"Empréstimos e Financiamentos")</f>
        <v>0</v>
      </c>
      <c r="GE48" s="37">
        <f>SUMIFS(Lançamentos!$F:$F,Lançamentos!$A:$A,GE$19,Lançamentos!$C:$C,"Empréstimos e Financiamentos")</f>
        <v>0</v>
      </c>
      <c r="GF48" s="37">
        <f>SUMIFS(Lançamentos!$F:$F,Lançamentos!$A:$A,GF$19,Lançamentos!$C:$C,"Empréstimos e Financiamentos")</f>
        <v>0</v>
      </c>
      <c r="GG48" s="37">
        <f>SUMIFS(Lançamentos!$F:$F,Lançamentos!$A:$A,GG$19,Lançamentos!$C:$C,"Empréstimos e Financiamentos")</f>
        <v>0</v>
      </c>
      <c r="GH48" s="37">
        <f>SUMIFS(Lançamentos!$F:$F,Lançamentos!$A:$A,GH$19,Lançamentos!$C:$C,"Empréstimos e Financiamentos")</f>
        <v>0</v>
      </c>
      <c r="GI48" s="37">
        <f>SUMIFS(Lançamentos!$F:$F,Lançamentos!$A:$A,GI$19,Lançamentos!$C:$C,"Empréstimos e Financiamentos")</f>
        <v>0</v>
      </c>
      <c r="GJ48" s="37">
        <f>SUMIFS(Lançamentos!$F:$F,Lançamentos!$A:$A,GJ$19,Lançamentos!$C:$C,"Empréstimos e Financiamentos")</f>
        <v>0</v>
      </c>
      <c r="GK48" s="37">
        <f>SUMIFS(Lançamentos!$F:$F,Lançamentos!$A:$A,GK$19,Lançamentos!$C:$C,"Empréstimos e Financiamentos")</f>
        <v>0</v>
      </c>
      <c r="GL48" s="37">
        <f>SUMIFS(Lançamentos!$F:$F,Lançamentos!$A:$A,GL$19,Lançamentos!$C:$C,"Empréstimos e Financiamentos")</f>
        <v>0</v>
      </c>
      <c r="GM48" s="37">
        <f>SUMIFS(Lançamentos!$F:$F,Lançamentos!$A:$A,GM$19,Lançamentos!$C:$C,"Empréstimos e Financiamentos")</f>
        <v>0</v>
      </c>
      <c r="GN48" s="37">
        <f>SUMIFS(Lançamentos!$F:$F,Lançamentos!$A:$A,GN$19,Lançamentos!$C:$C,"Empréstimos e Financiamentos")</f>
        <v>0</v>
      </c>
      <c r="GO48" s="37">
        <f>SUMIFS(Lançamentos!$F:$F,Lançamentos!$A:$A,GO$19,Lançamentos!$C:$C,"Empréstimos e Financiamentos")</f>
        <v>0</v>
      </c>
      <c r="GP48" s="37">
        <f>SUMIFS(Lançamentos!$F:$F,Lançamentos!$A:$A,GP$19,Lançamentos!$C:$C,"Empréstimos e Financiamentos")</f>
        <v>0</v>
      </c>
      <c r="GQ48" s="37">
        <f>SUMIFS(Lançamentos!$F:$F,Lançamentos!$A:$A,GQ$19,Lançamentos!$C:$C,"Empréstimos e Financiamentos")</f>
        <v>0</v>
      </c>
      <c r="GR48" s="37">
        <f>SUMIFS(Lançamentos!$F:$F,Lançamentos!$A:$A,GR$19,Lançamentos!$C:$C,"Empréstimos e Financiamentos")</f>
        <v>0</v>
      </c>
      <c r="GS48" s="37">
        <f>SUMIFS(Lançamentos!$F:$F,Lançamentos!$A:$A,GS$19,Lançamentos!$C:$C,"Empréstimos e Financiamentos")</f>
        <v>0</v>
      </c>
      <c r="GT48" s="37">
        <f>SUMIFS(Lançamentos!$F:$F,Lançamentos!$A:$A,GT$19,Lançamentos!$C:$C,"Empréstimos e Financiamentos")</f>
        <v>0</v>
      </c>
      <c r="GU48" s="37">
        <f>SUMIFS(Lançamentos!$F:$F,Lançamentos!$A:$A,GU$19,Lançamentos!$C:$C,"Empréstimos e Financiamentos")</f>
        <v>0</v>
      </c>
      <c r="GV48" s="37">
        <f>SUMIFS(Lançamentos!$F:$F,Lançamentos!$A:$A,GV$19,Lançamentos!$C:$C,"Empréstimos e Financiamentos")</f>
        <v>0</v>
      </c>
      <c r="GW48" s="37">
        <f>SUMIFS(Lançamentos!$F:$F,Lançamentos!$A:$A,GW$19,Lançamentos!$C:$C,"Empréstimos e Financiamentos")</f>
        <v>0</v>
      </c>
      <c r="GX48" s="37">
        <f>SUMIFS(Lançamentos!$F:$F,Lançamentos!$A:$A,GX$19,Lançamentos!$C:$C,"Empréstimos e Financiamentos")</f>
        <v>0</v>
      </c>
      <c r="GY48" s="37">
        <f>SUMIFS(Lançamentos!$F:$F,Lançamentos!$A:$A,GY$19,Lançamentos!$C:$C,"Empréstimos e Financiamentos")</f>
        <v>0</v>
      </c>
      <c r="GZ48" s="37">
        <f>SUMIFS(Lançamentos!$F:$F,Lançamentos!$A:$A,GZ$19,Lançamentos!$C:$C,"Empréstimos e Financiamentos")</f>
        <v>0</v>
      </c>
      <c r="HA48" s="37">
        <f>SUMIFS(Lançamentos!$F:$F,Lançamentos!$A:$A,HA$19,Lançamentos!$C:$C,"Empréstimos e Financiamentos")</f>
        <v>0</v>
      </c>
      <c r="HB48" s="37">
        <f>SUMIFS(Lançamentos!$F:$F,Lançamentos!$A:$A,HB$19,Lançamentos!$C:$C,"Empréstimos e Financiamentos")</f>
        <v>0</v>
      </c>
      <c r="HC48" s="37">
        <f>SUMIFS(Lançamentos!$F:$F,Lançamentos!$A:$A,HC$19,Lançamentos!$C:$C,"Empréstimos e Financiamentos")</f>
        <v>0</v>
      </c>
      <c r="HD48" s="37">
        <f>SUMIFS(Lançamentos!$F:$F,Lançamentos!$A:$A,HD$19,Lançamentos!$C:$C,"Empréstimos e Financiamentos")</f>
        <v>0</v>
      </c>
      <c r="HE48" s="37">
        <f>SUMIFS(Lançamentos!$F:$F,Lançamentos!$A:$A,HE$19,Lançamentos!$C:$C,"Empréstimos e Financiamentos")</f>
        <v>0</v>
      </c>
      <c r="HF48" s="37">
        <f>SUMIFS(Lançamentos!$F:$F,Lançamentos!$A:$A,HF$19,Lançamentos!$C:$C,"Empréstimos e Financiamentos")</f>
        <v>0</v>
      </c>
      <c r="HG48" s="37">
        <f>SUMIFS(Lançamentos!$F:$F,Lançamentos!$A:$A,HG$19,Lançamentos!$C:$C,"Empréstimos e Financiamentos")</f>
        <v>0</v>
      </c>
      <c r="HH48" s="37">
        <f>SUMIFS(Lançamentos!$F:$F,Lançamentos!$A:$A,HH$19,Lançamentos!$C:$C,"Empréstimos e Financiamentos")</f>
        <v>0</v>
      </c>
      <c r="HI48" s="37">
        <f>SUMIFS(Lançamentos!$F:$F,Lançamentos!$A:$A,HI$19,Lançamentos!$C:$C,"Empréstimos e Financiamentos")</f>
        <v>0</v>
      </c>
      <c r="HJ48" s="37">
        <f>SUMIFS(Lançamentos!$F:$F,Lançamentos!$A:$A,HJ$19,Lançamentos!$C:$C,"Empréstimos e Financiamentos")</f>
        <v>0</v>
      </c>
      <c r="HK48" s="37">
        <f>SUMIFS(Lançamentos!$F:$F,Lançamentos!$A:$A,HK$19,Lançamentos!$C:$C,"Empréstimos e Financiamentos")</f>
        <v>0</v>
      </c>
      <c r="HL48" s="37">
        <f>SUMIFS(Lançamentos!$F:$F,Lançamentos!$A:$A,HL$19,Lançamentos!$C:$C,"Empréstimos e Financiamentos")</f>
        <v>0</v>
      </c>
      <c r="HM48" s="37">
        <f>SUMIFS(Lançamentos!$F:$F,Lançamentos!$A:$A,HM$19,Lançamentos!$C:$C,"Empréstimos e Financiamentos")</f>
        <v>0</v>
      </c>
      <c r="HN48" s="37">
        <f>SUMIFS(Lançamentos!$F:$F,Lançamentos!$A:$A,HN$19,Lançamentos!$C:$C,"Empréstimos e Financiamentos")</f>
        <v>0</v>
      </c>
      <c r="HO48" s="37">
        <f>SUMIFS(Lançamentos!$F:$F,Lançamentos!$A:$A,HO$19,Lançamentos!$C:$C,"Empréstimos e Financiamentos")</f>
        <v>0</v>
      </c>
      <c r="HP48" s="37">
        <f>SUMIFS(Lançamentos!$F:$F,Lançamentos!$A:$A,HP$19,Lançamentos!$C:$C,"Empréstimos e Financiamentos")</f>
        <v>0</v>
      </c>
      <c r="HQ48" s="37">
        <f>SUMIFS(Lançamentos!$F:$F,Lançamentos!$A:$A,HQ$19,Lançamentos!$C:$C,"Empréstimos e Financiamentos")</f>
        <v>0</v>
      </c>
      <c r="HR48" s="37">
        <f>SUMIFS(Lançamentos!$F:$F,Lançamentos!$A:$A,HR$19,Lançamentos!$C:$C,"Empréstimos e Financiamentos")</f>
        <v>0</v>
      </c>
      <c r="HS48" s="37">
        <f>SUMIFS(Lançamentos!$F:$F,Lançamentos!$A:$A,HS$19,Lançamentos!$C:$C,"Empréstimos e Financiamentos")</f>
        <v>0</v>
      </c>
      <c r="HT48" s="37">
        <f>SUMIFS(Lançamentos!$F:$F,Lançamentos!$A:$A,HT$19,Lançamentos!$C:$C,"Empréstimos e Financiamentos")</f>
        <v>0</v>
      </c>
      <c r="HU48" s="37">
        <f>SUMIFS(Lançamentos!$F:$F,Lançamentos!$A:$A,HU$19,Lançamentos!$C:$C,"Empréstimos e Financiamentos")</f>
        <v>0</v>
      </c>
      <c r="HV48" s="37">
        <f>SUMIFS(Lançamentos!$F:$F,Lançamentos!$A:$A,HV$19,Lançamentos!$C:$C,"Empréstimos e Financiamentos")</f>
        <v>0</v>
      </c>
      <c r="HW48" s="37">
        <f>SUMIFS(Lançamentos!$F:$F,Lançamentos!$A:$A,HW$19,Lançamentos!$C:$C,"Empréstimos e Financiamentos")</f>
        <v>0</v>
      </c>
      <c r="HX48" s="37">
        <f>SUMIFS(Lançamentos!$F:$F,Lançamentos!$A:$A,HX$19,Lançamentos!$C:$C,"Empréstimos e Financiamentos")</f>
        <v>0</v>
      </c>
      <c r="HY48" s="37">
        <f>SUMIFS(Lançamentos!$F:$F,Lançamentos!$A:$A,HY$19,Lançamentos!$C:$C,"Empréstimos e Financiamentos")</f>
        <v>0</v>
      </c>
      <c r="HZ48" s="37">
        <f>SUMIFS(Lançamentos!$F:$F,Lançamentos!$A:$A,HZ$19,Lançamentos!$C:$C,"Empréstimos e Financiamentos")</f>
        <v>0</v>
      </c>
      <c r="IA48" s="37">
        <f>SUMIFS(Lançamentos!$F:$F,Lançamentos!$A:$A,IA$19,Lançamentos!$C:$C,"Empréstimos e Financiamentos")</f>
        <v>0</v>
      </c>
      <c r="IB48" s="37">
        <f>SUMIFS(Lançamentos!$F:$F,Lançamentos!$A:$A,IB$19,Lançamentos!$C:$C,"Empréstimos e Financiamentos")</f>
        <v>0</v>
      </c>
      <c r="IC48" s="37">
        <f>SUMIFS(Lançamentos!$F:$F,Lançamentos!$A:$A,IC$19,Lançamentos!$C:$C,"Empréstimos e Financiamentos")</f>
        <v>0</v>
      </c>
      <c r="ID48" s="37">
        <f>SUMIFS(Lançamentos!$F:$F,Lançamentos!$A:$A,ID$19,Lançamentos!$C:$C,"Empréstimos e Financiamentos")</f>
        <v>0</v>
      </c>
      <c r="IE48" s="37">
        <f>SUMIFS(Lançamentos!$F:$F,Lançamentos!$A:$A,IE$19,Lançamentos!$C:$C,"Empréstimos e Financiamentos")</f>
        <v>0</v>
      </c>
      <c r="IF48" s="37">
        <f>SUMIFS(Lançamentos!$F:$F,Lançamentos!$A:$A,IF$19,Lançamentos!$C:$C,"Empréstimos e Financiamentos")</f>
        <v>0</v>
      </c>
      <c r="IG48" s="37">
        <f>SUMIFS(Lançamentos!$F:$F,Lançamentos!$A:$A,IG$19,Lançamentos!$C:$C,"Empréstimos e Financiamentos")</f>
        <v>0</v>
      </c>
      <c r="IH48" s="37">
        <f>SUMIFS(Lançamentos!$F:$F,Lançamentos!$A:$A,IH$19,Lançamentos!$C:$C,"Empréstimos e Financiamentos")</f>
        <v>0</v>
      </c>
      <c r="II48" s="37">
        <f>SUMIFS(Lançamentos!$F:$F,Lançamentos!$A:$A,II$19,Lançamentos!$C:$C,"Empréstimos e Financiamentos")</f>
        <v>0</v>
      </c>
      <c r="IJ48" s="37">
        <f>SUMIFS(Lançamentos!$F:$F,Lançamentos!$A:$A,IJ$19,Lançamentos!$C:$C,"Empréstimos e Financiamentos")</f>
        <v>0</v>
      </c>
      <c r="IK48" s="37">
        <f>SUMIFS(Lançamentos!$F:$F,Lançamentos!$A:$A,IK$19,Lançamentos!$C:$C,"Empréstimos e Financiamentos")</f>
        <v>0</v>
      </c>
      <c r="IL48" s="37">
        <f>SUMIFS(Lançamentos!$F:$F,Lançamentos!$A:$A,IL$19,Lançamentos!$C:$C,"Empréstimos e Financiamentos")</f>
        <v>0</v>
      </c>
    </row>
    <row r="49" spans="1:246" x14ac:dyDescent="0.3">
      <c r="A49" t="s">
        <v>26</v>
      </c>
      <c r="B49" s="37">
        <f>SUMIFS(Lançamentos!$F:$F,Lançamentos!$A:$A,B$19,Lançamentos!$C:$C,"Impostos sobre Lucro")</f>
        <v>0</v>
      </c>
      <c r="C49" s="37">
        <f>SUMIFS(Lançamentos!$F:$F,Lançamentos!$A:$A,C$19,Lançamentos!$C:$C,"Impostos sobre Lucro")</f>
        <v>0</v>
      </c>
      <c r="D49" s="37">
        <f>SUMIFS(Lançamentos!$F:$F,Lançamentos!$A:$A,D$19,Lançamentos!$C:$C,"Impostos sobre Lucro")</f>
        <v>0</v>
      </c>
      <c r="E49" s="37">
        <f>SUMIFS(Lançamentos!$F:$F,Lançamentos!$A:$A,E$19,Lançamentos!$C:$C,"Impostos sobre Lucro")</f>
        <v>0</v>
      </c>
      <c r="F49" s="37">
        <f>SUMIFS(Lançamentos!$F:$F,Lançamentos!$A:$A,F$19,Lançamentos!$C:$C,"Impostos sobre Lucro")</f>
        <v>0</v>
      </c>
      <c r="G49" s="37">
        <f>SUMIFS(Lançamentos!$F:$F,Lançamentos!$A:$A,G$19,Lançamentos!$C:$C,"Impostos sobre Lucro")</f>
        <v>0</v>
      </c>
      <c r="H49" s="37">
        <f>SUMIFS(Lançamentos!$F:$F,Lançamentos!$A:$A,H$19,Lançamentos!$C:$C,"Impostos sobre Lucro")</f>
        <v>0</v>
      </c>
      <c r="I49" s="37">
        <f>SUMIFS(Lançamentos!$F:$F,Lançamentos!$A:$A,I$19,Lançamentos!$C:$C,"Impostos sobre Lucro")</f>
        <v>0</v>
      </c>
      <c r="J49" s="37">
        <f>SUMIFS(Lançamentos!$F:$F,Lançamentos!$A:$A,J$19,Lançamentos!$C:$C,"Impostos sobre Lucro")</f>
        <v>0</v>
      </c>
      <c r="K49" s="37">
        <f>SUMIFS(Lançamentos!$F:$F,Lançamentos!$A:$A,K$19,Lançamentos!$C:$C,"Impostos sobre Lucro")</f>
        <v>0</v>
      </c>
      <c r="L49" s="37">
        <f>SUMIFS(Lançamentos!$F:$F,Lançamentos!$A:$A,L$19,Lançamentos!$C:$C,"Impostos sobre Lucro")</f>
        <v>0</v>
      </c>
      <c r="M49" s="37">
        <f>SUMIFS(Lançamentos!$F:$F,Lançamentos!$A:$A,M$19,Lançamentos!$C:$C,"Impostos sobre Lucro")</f>
        <v>0</v>
      </c>
      <c r="N49" s="37">
        <f>SUMIFS(Lançamentos!$F:$F,Lançamentos!$A:$A,N$19,Lançamentos!$C:$C,"Impostos sobre Lucro")</f>
        <v>0</v>
      </c>
      <c r="O49" s="37">
        <f>SUMIFS(Lançamentos!$F:$F,Lançamentos!$A:$A,O$19,Lançamentos!$C:$C,"Impostos sobre Lucro")</f>
        <v>0</v>
      </c>
      <c r="P49" s="37">
        <f>SUMIFS(Lançamentos!$F:$F,Lançamentos!$A:$A,P$19,Lançamentos!$C:$C,"Impostos sobre Lucro")</f>
        <v>0</v>
      </c>
      <c r="Q49" s="37">
        <f>SUMIFS(Lançamentos!$F:$F,Lançamentos!$A:$A,Q$19,Lançamentos!$C:$C,"Impostos sobre Lucro")</f>
        <v>0</v>
      </c>
      <c r="R49" s="37">
        <f>SUMIFS(Lançamentos!$F:$F,Lançamentos!$A:$A,R$19,Lançamentos!$C:$C,"Impostos sobre Lucro")</f>
        <v>0</v>
      </c>
      <c r="S49" s="37">
        <f>SUMIFS(Lançamentos!$F:$F,Lançamentos!$A:$A,S$19,Lançamentos!$C:$C,"Impostos sobre Lucro")</f>
        <v>0</v>
      </c>
      <c r="T49" s="37">
        <f>SUMIFS(Lançamentos!$F:$F,Lançamentos!$A:$A,T$19,Lançamentos!$C:$C,"Impostos sobre Lucro")</f>
        <v>0</v>
      </c>
      <c r="U49" s="37">
        <f>SUMIFS(Lançamentos!$F:$F,Lançamentos!$A:$A,U$19,Lançamentos!$C:$C,"Impostos sobre Lucro")</f>
        <v>0</v>
      </c>
      <c r="V49" s="37">
        <f>SUMIFS(Lançamentos!$F:$F,Lançamentos!$A:$A,V$19,Lançamentos!$C:$C,"Impostos sobre Lucro")</f>
        <v>0</v>
      </c>
      <c r="W49" s="37">
        <f>SUMIFS(Lançamentos!$F:$F,Lançamentos!$A:$A,W$19,Lançamentos!$C:$C,"Impostos sobre Lucro")</f>
        <v>0</v>
      </c>
      <c r="X49" s="37">
        <f>SUMIFS(Lançamentos!$F:$F,Lançamentos!$A:$A,X$19,Lançamentos!$C:$C,"Impostos sobre Lucro")</f>
        <v>0</v>
      </c>
      <c r="Y49" s="37">
        <f>SUMIFS(Lançamentos!$F:$F,Lançamentos!$A:$A,Y$19,Lançamentos!$C:$C,"Impostos sobre Lucro")</f>
        <v>0</v>
      </c>
      <c r="Z49" s="37">
        <f>SUMIFS(Lançamentos!$F:$F,Lançamentos!$A:$A,Z$19,Lançamentos!$C:$C,"Impostos sobre Lucro")</f>
        <v>0</v>
      </c>
      <c r="AA49" s="37">
        <f>SUMIFS(Lançamentos!$F:$F,Lançamentos!$A:$A,AA$19,Lançamentos!$C:$C,"Impostos sobre Lucro")</f>
        <v>0</v>
      </c>
      <c r="AB49" s="37">
        <f>SUMIFS(Lançamentos!$F:$F,Lançamentos!$A:$A,AB$19,Lançamentos!$C:$C,"Impostos sobre Lucro")</f>
        <v>0</v>
      </c>
      <c r="AC49" s="37">
        <f>SUMIFS(Lançamentos!$F:$F,Lançamentos!$A:$A,AC$19,Lançamentos!$C:$C,"Impostos sobre Lucro")</f>
        <v>0</v>
      </c>
      <c r="AD49" s="37">
        <f>SUMIFS(Lançamentos!$F:$F,Lançamentos!$A:$A,AD$19,Lançamentos!$C:$C,"Impostos sobre Lucro")</f>
        <v>0</v>
      </c>
      <c r="AE49" s="37">
        <f>SUMIFS(Lançamentos!$F:$F,Lançamentos!$A:$A,AE$19,Lançamentos!$C:$C,"Impostos sobre Lucro")</f>
        <v>0</v>
      </c>
      <c r="AF49" s="37">
        <f>SUMIFS(Lançamentos!$F:$F,Lançamentos!$A:$A,AF$19,Lançamentos!$C:$C,"Impostos sobre Lucro")</f>
        <v>0</v>
      </c>
      <c r="AG49" s="37">
        <f>SUMIFS(Lançamentos!$F:$F,Lançamentos!$A:$A,AG$19,Lançamentos!$C:$C,"Impostos sobre Lucro")</f>
        <v>0</v>
      </c>
      <c r="AH49" s="37">
        <f>SUMIFS(Lançamentos!$F:$F,Lançamentos!$A:$A,AH$19,Lançamentos!$C:$C,"Impostos sobre Lucro")</f>
        <v>0</v>
      </c>
      <c r="AI49" s="37">
        <f>SUMIFS(Lançamentos!$F:$F,Lançamentos!$A:$A,AI$19,Lançamentos!$C:$C,"Impostos sobre Lucro")</f>
        <v>0</v>
      </c>
      <c r="AJ49" s="37">
        <f>SUMIFS(Lançamentos!$F:$F,Lançamentos!$A:$A,AJ$19,Lançamentos!$C:$C,"Impostos sobre Lucro")</f>
        <v>0</v>
      </c>
      <c r="AK49" s="37">
        <f>SUMIFS(Lançamentos!$F:$F,Lançamentos!$A:$A,AK$19,Lançamentos!$C:$C,"Impostos sobre Lucro")</f>
        <v>0</v>
      </c>
      <c r="AL49" s="37">
        <f>SUMIFS(Lançamentos!$F:$F,Lançamentos!$A:$A,AL$19,Lançamentos!$C:$C,"Impostos sobre Lucro")</f>
        <v>0</v>
      </c>
      <c r="AM49" s="37">
        <f>SUMIFS(Lançamentos!$F:$F,Lançamentos!$A:$A,AM$19,Lançamentos!$C:$C,"Impostos sobre Lucro")</f>
        <v>0</v>
      </c>
      <c r="AN49" s="37">
        <f>SUMIFS(Lançamentos!$F:$F,Lançamentos!$A:$A,AN$19,Lançamentos!$C:$C,"Impostos sobre Lucro")</f>
        <v>0</v>
      </c>
      <c r="AO49" s="37">
        <f>SUMIFS(Lançamentos!$F:$F,Lançamentos!$A:$A,AO$19,Lançamentos!$C:$C,"Impostos sobre Lucro")</f>
        <v>0</v>
      </c>
      <c r="AP49" s="37">
        <f>SUMIFS(Lançamentos!$F:$F,Lançamentos!$A:$A,AP$19,Lançamentos!$C:$C,"Impostos sobre Lucro")</f>
        <v>0</v>
      </c>
      <c r="AQ49" s="37">
        <f>SUMIFS(Lançamentos!$F:$F,Lançamentos!$A:$A,AQ$19,Lançamentos!$C:$C,"Impostos sobre Lucro")</f>
        <v>0</v>
      </c>
      <c r="AR49" s="37">
        <f>SUMIFS(Lançamentos!$F:$F,Lançamentos!$A:$A,AR$19,Lançamentos!$C:$C,"Impostos sobre Lucro")</f>
        <v>0</v>
      </c>
      <c r="AS49" s="37">
        <f>SUMIFS(Lançamentos!$F:$F,Lançamentos!$A:$A,AS$19,Lançamentos!$C:$C,"Impostos sobre Lucro")</f>
        <v>0</v>
      </c>
      <c r="AT49" s="37">
        <f>SUMIFS(Lançamentos!$F:$F,Lançamentos!$A:$A,AT$19,Lançamentos!$C:$C,"Impostos sobre Lucro")</f>
        <v>0</v>
      </c>
      <c r="AU49" s="37">
        <f>SUMIFS(Lançamentos!$F:$F,Lançamentos!$A:$A,AU$19,Lançamentos!$C:$C,"Impostos sobre Lucro")</f>
        <v>0</v>
      </c>
      <c r="AV49" s="37">
        <f>SUMIFS(Lançamentos!$F:$F,Lançamentos!$A:$A,AV$19,Lançamentos!$C:$C,"Impostos sobre Lucro")</f>
        <v>0</v>
      </c>
      <c r="AW49" s="37">
        <f>SUMIFS(Lançamentos!$F:$F,Lançamentos!$A:$A,AW$19,Lançamentos!$C:$C,"Impostos sobre Lucro")</f>
        <v>0</v>
      </c>
      <c r="AX49" s="37">
        <f>SUMIFS(Lançamentos!$F:$F,Lançamentos!$A:$A,AX$19,Lançamentos!$C:$C,"Impostos sobre Lucro")</f>
        <v>0</v>
      </c>
      <c r="AY49" s="37">
        <f>SUMIFS(Lançamentos!$F:$F,Lançamentos!$A:$A,AY$19,Lançamentos!$C:$C,"Impostos sobre Lucro")</f>
        <v>0</v>
      </c>
      <c r="AZ49" s="37">
        <f>SUMIFS(Lançamentos!$F:$F,Lançamentos!$A:$A,AZ$19,Lançamentos!$C:$C,"Impostos sobre Lucro")</f>
        <v>0</v>
      </c>
      <c r="BA49" s="37">
        <f>SUMIFS(Lançamentos!$F:$F,Lançamentos!$A:$A,BA$19,Lançamentos!$C:$C,"Impostos sobre Lucro")</f>
        <v>0</v>
      </c>
      <c r="BB49" s="37">
        <f>SUMIFS(Lançamentos!$F:$F,Lançamentos!$A:$A,BB$19,Lançamentos!$C:$C,"Impostos sobre Lucro")</f>
        <v>0</v>
      </c>
      <c r="BC49" s="37">
        <f>SUMIFS(Lançamentos!$F:$F,Lançamentos!$A:$A,BC$19,Lançamentos!$C:$C,"Impostos sobre Lucro")</f>
        <v>0</v>
      </c>
      <c r="BD49" s="37">
        <f>SUMIFS(Lançamentos!$F:$F,Lançamentos!$A:$A,BD$19,Lançamentos!$C:$C,"Impostos sobre Lucro")</f>
        <v>0</v>
      </c>
      <c r="BE49" s="37">
        <f>SUMIFS(Lançamentos!$F:$F,Lançamentos!$A:$A,BE$19,Lançamentos!$C:$C,"Impostos sobre Lucro")</f>
        <v>0</v>
      </c>
      <c r="BF49" s="37">
        <f>SUMIFS(Lançamentos!$F:$F,Lançamentos!$A:$A,BF$19,Lançamentos!$C:$C,"Impostos sobre Lucro")</f>
        <v>0</v>
      </c>
      <c r="BG49" s="37">
        <f>SUMIFS(Lançamentos!$F:$F,Lançamentos!$A:$A,BG$19,Lançamentos!$C:$C,"Impostos sobre Lucro")</f>
        <v>0</v>
      </c>
      <c r="BH49" s="37">
        <f>SUMIFS(Lançamentos!$F:$F,Lançamentos!$A:$A,BH$19,Lançamentos!$C:$C,"Impostos sobre Lucro")</f>
        <v>0</v>
      </c>
      <c r="BI49" s="37">
        <f>SUMIFS(Lançamentos!$F:$F,Lançamentos!$A:$A,BI$19,Lançamentos!$C:$C,"Impostos sobre Lucro")</f>
        <v>0</v>
      </c>
      <c r="BJ49" s="37">
        <f>SUMIFS(Lançamentos!$F:$F,Lançamentos!$A:$A,BJ$19,Lançamentos!$C:$C,"Impostos sobre Lucro")</f>
        <v>0</v>
      </c>
      <c r="BK49" s="37">
        <f>SUMIFS(Lançamentos!$F:$F,Lançamentos!$A:$A,BK$19,Lançamentos!$C:$C,"Impostos sobre Lucro")</f>
        <v>0</v>
      </c>
      <c r="BL49" s="37">
        <f>SUMIFS(Lançamentos!$F:$F,Lançamentos!$A:$A,BL$19,Lançamentos!$C:$C,"Impostos sobre Lucro")</f>
        <v>0</v>
      </c>
      <c r="BM49" s="37">
        <f>SUMIFS(Lançamentos!$F:$F,Lançamentos!$A:$A,BM$19,Lançamentos!$C:$C,"Impostos sobre Lucro")</f>
        <v>0</v>
      </c>
      <c r="BN49" s="37">
        <f>SUMIFS(Lançamentos!$F:$F,Lançamentos!$A:$A,BN$19,Lançamentos!$C:$C,"Impostos sobre Lucro")</f>
        <v>0</v>
      </c>
      <c r="BO49" s="37">
        <f>SUMIFS(Lançamentos!$F:$F,Lançamentos!$A:$A,BO$19,Lançamentos!$C:$C,"Impostos sobre Lucro")</f>
        <v>0</v>
      </c>
      <c r="BP49" s="37">
        <f>SUMIFS(Lançamentos!$F:$F,Lançamentos!$A:$A,BP$19,Lançamentos!$C:$C,"Impostos sobre Lucro")</f>
        <v>0</v>
      </c>
      <c r="BQ49" s="37">
        <f>SUMIFS(Lançamentos!$F:$F,Lançamentos!$A:$A,BQ$19,Lançamentos!$C:$C,"Impostos sobre Lucro")</f>
        <v>0</v>
      </c>
      <c r="BR49" s="37">
        <f>SUMIFS(Lançamentos!$F:$F,Lançamentos!$A:$A,BR$19,Lançamentos!$C:$C,"Impostos sobre Lucro")</f>
        <v>0</v>
      </c>
      <c r="BS49" s="37">
        <f>SUMIFS(Lançamentos!$F:$F,Lançamentos!$A:$A,BS$19,Lançamentos!$C:$C,"Impostos sobre Lucro")</f>
        <v>0</v>
      </c>
      <c r="BT49" s="37">
        <f>SUMIFS(Lançamentos!$F:$F,Lançamentos!$A:$A,BT$19,Lançamentos!$C:$C,"Impostos sobre Lucro")</f>
        <v>0</v>
      </c>
      <c r="BU49" s="37">
        <f>SUMIFS(Lançamentos!$F:$F,Lançamentos!$A:$A,BU$19,Lançamentos!$C:$C,"Impostos sobre Lucro")</f>
        <v>0</v>
      </c>
      <c r="BV49" s="37">
        <f>SUMIFS(Lançamentos!$F:$F,Lançamentos!$A:$A,BV$19,Lançamentos!$C:$C,"Impostos sobre Lucro")</f>
        <v>0</v>
      </c>
      <c r="BW49" s="37">
        <f>SUMIFS(Lançamentos!$F:$F,Lançamentos!$A:$A,BW$19,Lançamentos!$C:$C,"Impostos sobre Lucro")</f>
        <v>0</v>
      </c>
      <c r="BX49" s="37">
        <f>SUMIFS(Lançamentos!$F:$F,Lançamentos!$A:$A,BX$19,Lançamentos!$C:$C,"Impostos sobre Lucro")</f>
        <v>0</v>
      </c>
      <c r="BY49" s="37">
        <f>SUMIFS(Lançamentos!$F:$F,Lançamentos!$A:$A,BY$19,Lançamentos!$C:$C,"Impostos sobre Lucro")</f>
        <v>0</v>
      </c>
      <c r="BZ49" s="37">
        <f>SUMIFS(Lançamentos!$F:$F,Lançamentos!$A:$A,BZ$19,Lançamentos!$C:$C,"Impostos sobre Lucro")</f>
        <v>0</v>
      </c>
      <c r="CA49" s="37">
        <f>SUMIFS(Lançamentos!$F:$F,Lançamentos!$A:$A,CA$19,Lançamentos!$C:$C,"Impostos sobre Lucro")</f>
        <v>0</v>
      </c>
      <c r="CB49" s="37">
        <f>SUMIFS(Lançamentos!$F:$F,Lançamentos!$A:$A,CB$19,Lançamentos!$C:$C,"Impostos sobre Lucro")</f>
        <v>0</v>
      </c>
      <c r="CC49" s="37">
        <f>SUMIFS(Lançamentos!$F:$F,Lançamentos!$A:$A,CC$19,Lançamentos!$C:$C,"Impostos sobre Lucro")</f>
        <v>0</v>
      </c>
      <c r="CD49" s="37">
        <f>SUMIFS(Lançamentos!$F:$F,Lançamentos!$A:$A,CD$19,Lançamentos!$C:$C,"Impostos sobre Lucro")</f>
        <v>0</v>
      </c>
      <c r="CE49" s="37">
        <f>SUMIFS(Lançamentos!$F:$F,Lançamentos!$A:$A,CE$19,Lançamentos!$C:$C,"Impostos sobre Lucro")</f>
        <v>0</v>
      </c>
      <c r="CF49" s="37">
        <f>SUMIFS(Lançamentos!$F:$F,Lançamentos!$A:$A,CF$19,Lançamentos!$C:$C,"Impostos sobre Lucro")</f>
        <v>0</v>
      </c>
      <c r="CG49" s="37">
        <f>SUMIFS(Lançamentos!$F:$F,Lançamentos!$A:$A,CG$19,Lançamentos!$C:$C,"Impostos sobre Lucro")</f>
        <v>0</v>
      </c>
      <c r="CH49" s="37">
        <f>SUMIFS(Lançamentos!$F:$F,Lançamentos!$A:$A,CH$19,Lançamentos!$C:$C,"Impostos sobre Lucro")</f>
        <v>0</v>
      </c>
      <c r="CI49" s="37">
        <f>SUMIFS(Lançamentos!$F:$F,Lançamentos!$A:$A,CI$19,Lançamentos!$C:$C,"Impostos sobre Lucro")</f>
        <v>0</v>
      </c>
      <c r="CJ49" s="37">
        <f>SUMIFS(Lançamentos!$F:$F,Lançamentos!$A:$A,CJ$19,Lançamentos!$C:$C,"Impostos sobre Lucro")</f>
        <v>0</v>
      </c>
      <c r="CK49" s="37">
        <f>SUMIFS(Lançamentos!$F:$F,Lançamentos!$A:$A,CK$19,Lançamentos!$C:$C,"Impostos sobre Lucro")</f>
        <v>0</v>
      </c>
      <c r="CL49" s="37">
        <f>SUMIFS(Lançamentos!$F:$F,Lançamentos!$A:$A,CL$19,Lançamentos!$C:$C,"Impostos sobre Lucro")</f>
        <v>0</v>
      </c>
      <c r="CM49" s="37">
        <f>SUMIFS(Lançamentos!$F:$F,Lançamentos!$A:$A,CM$19,Lançamentos!$C:$C,"Impostos sobre Lucro")</f>
        <v>0</v>
      </c>
      <c r="CN49" s="37">
        <f>SUMIFS(Lançamentos!$F:$F,Lançamentos!$A:$A,CN$19,Lançamentos!$C:$C,"Impostos sobre Lucro")</f>
        <v>0</v>
      </c>
      <c r="CO49" s="37">
        <f>SUMIFS(Lançamentos!$F:$F,Lançamentos!$A:$A,CO$19,Lançamentos!$C:$C,"Impostos sobre Lucro")</f>
        <v>0</v>
      </c>
      <c r="CP49" s="37">
        <f>SUMIFS(Lançamentos!$F:$F,Lançamentos!$A:$A,CP$19,Lançamentos!$C:$C,"Impostos sobre Lucro")</f>
        <v>0</v>
      </c>
      <c r="CQ49" s="37">
        <f>SUMIFS(Lançamentos!$F:$F,Lançamentos!$A:$A,CQ$19,Lançamentos!$C:$C,"Impostos sobre Lucro")</f>
        <v>0</v>
      </c>
      <c r="CR49" s="37">
        <f>SUMIFS(Lançamentos!$F:$F,Lançamentos!$A:$A,CR$19,Lançamentos!$C:$C,"Impostos sobre Lucro")</f>
        <v>0</v>
      </c>
      <c r="CS49" s="37">
        <f>SUMIFS(Lançamentos!$F:$F,Lançamentos!$A:$A,CS$19,Lançamentos!$C:$C,"Impostos sobre Lucro")</f>
        <v>0</v>
      </c>
      <c r="CT49" s="37">
        <f>SUMIFS(Lançamentos!$F:$F,Lançamentos!$A:$A,CT$19,Lançamentos!$C:$C,"Impostos sobre Lucro")</f>
        <v>0</v>
      </c>
      <c r="CU49" s="37">
        <f>SUMIFS(Lançamentos!$F:$F,Lançamentos!$A:$A,CU$19,Lançamentos!$C:$C,"Impostos sobre Lucro")</f>
        <v>0</v>
      </c>
      <c r="CV49" s="37">
        <f>SUMIFS(Lançamentos!$F:$F,Lançamentos!$A:$A,CV$19,Lançamentos!$C:$C,"Impostos sobre Lucro")</f>
        <v>0</v>
      </c>
      <c r="CW49" s="37">
        <f>SUMIFS(Lançamentos!$F:$F,Lançamentos!$A:$A,CW$19,Lançamentos!$C:$C,"Impostos sobre Lucro")</f>
        <v>0</v>
      </c>
      <c r="CX49" s="37">
        <f>SUMIFS(Lançamentos!$F:$F,Lançamentos!$A:$A,CX$19,Lançamentos!$C:$C,"Impostos sobre Lucro")</f>
        <v>0</v>
      </c>
      <c r="CY49" s="37">
        <f>SUMIFS(Lançamentos!$F:$F,Lançamentos!$A:$A,CY$19,Lançamentos!$C:$C,"Impostos sobre Lucro")</f>
        <v>0</v>
      </c>
      <c r="CZ49" s="37">
        <f>SUMIFS(Lançamentos!$F:$F,Lançamentos!$A:$A,CZ$19,Lançamentos!$C:$C,"Impostos sobre Lucro")</f>
        <v>0</v>
      </c>
      <c r="DA49" s="37">
        <f>SUMIFS(Lançamentos!$F:$F,Lançamentos!$A:$A,DA$19,Lançamentos!$C:$C,"Impostos sobre Lucro")</f>
        <v>0</v>
      </c>
      <c r="DB49" s="37">
        <f>SUMIFS(Lançamentos!$F:$F,Lançamentos!$A:$A,DB$19,Lançamentos!$C:$C,"Impostos sobre Lucro")</f>
        <v>0</v>
      </c>
      <c r="DC49" s="37">
        <f>SUMIFS(Lançamentos!$F:$F,Lançamentos!$A:$A,DC$19,Lançamentos!$C:$C,"Impostos sobre Lucro")</f>
        <v>0</v>
      </c>
      <c r="DD49" s="37">
        <f>SUMIFS(Lançamentos!$F:$F,Lançamentos!$A:$A,DD$19,Lançamentos!$C:$C,"Impostos sobre Lucro")</f>
        <v>0</v>
      </c>
      <c r="DE49" s="37">
        <f>SUMIFS(Lançamentos!$F:$F,Lançamentos!$A:$A,DE$19,Lançamentos!$C:$C,"Impostos sobre Lucro")</f>
        <v>0</v>
      </c>
      <c r="DF49" s="37">
        <f>SUMIFS(Lançamentos!$F:$F,Lançamentos!$A:$A,DF$19,Lançamentos!$C:$C,"Impostos sobre Lucro")</f>
        <v>0</v>
      </c>
      <c r="DG49" s="37">
        <f>SUMIFS(Lançamentos!$F:$F,Lançamentos!$A:$A,DG$19,Lançamentos!$C:$C,"Impostos sobre Lucro")</f>
        <v>0</v>
      </c>
      <c r="DH49" s="37">
        <f>SUMIFS(Lançamentos!$F:$F,Lançamentos!$A:$A,DH$19,Lançamentos!$C:$C,"Impostos sobre Lucro")</f>
        <v>0</v>
      </c>
      <c r="DI49" s="37">
        <f>SUMIFS(Lançamentos!$F:$F,Lançamentos!$A:$A,DI$19,Lançamentos!$C:$C,"Impostos sobre Lucro")</f>
        <v>0</v>
      </c>
      <c r="DJ49" s="37">
        <f>SUMIFS(Lançamentos!$F:$F,Lançamentos!$A:$A,DJ$19,Lançamentos!$C:$C,"Impostos sobre Lucro")</f>
        <v>0</v>
      </c>
      <c r="DK49" s="37">
        <f>SUMIFS(Lançamentos!$F:$F,Lançamentos!$A:$A,DK$19,Lançamentos!$C:$C,"Impostos sobre Lucro")</f>
        <v>0</v>
      </c>
      <c r="DL49" s="37">
        <f>SUMIFS(Lançamentos!$F:$F,Lançamentos!$A:$A,DL$19,Lançamentos!$C:$C,"Impostos sobre Lucro")</f>
        <v>0</v>
      </c>
      <c r="DM49" s="37">
        <f>SUMIFS(Lançamentos!$F:$F,Lançamentos!$A:$A,DM$19,Lançamentos!$C:$C,"Impostos sobre Lucro")</f>
        <v>0</v>
      </c>
      <c r="DN49" s="37">
        <f>SUMIFS(Lançamentos!$F:$F,Lançamentos!$A:$A,DN$19,Lançamentos!$C:$C,"Impostos sobre Lucro")</f>
        <v>0</v>
      </c>
      <c r="DO49" s="37">
        <f>SUMIFS(Lançamentos!$F:$F,Lançamentos!$A:$A,DO$19,Lançamentos!$C:$C,"Impostos sobre Lucro")</f>
        <v>0</v>
      </c>
      <c r="DP49" s="37">
        <f>SUMIFS(Lançamentos!$F:$F,Lançamentos!$A:$A,DP$19,Lançamentos!$C:$C,"Impostos sobre Lucro")</f>
        <v>0</v>
      </c>
      <c r="DQ49" s="37">
        <f>SUMIFS(Lançamentos!$F:$F,Lançamentos!$A:$A,DQ$19,Lançamentos!$C:$C,"Impostos sobre Lucro")</f>
        <v>0</v>
      </c>
      <c r="DR49" s="37">
        <f>SUMIFS(Lançamentos!$F:$F,Lançamentos!$A:$A,DR$19,Lançamentos!$C:$C,"Impostos sobre Lucro")</f>
        <v>0</v>
      </c>
      <c r="DS49" s="37">
        <f>SUMIFS(Lançamentos!$F:$F,Lançamentos!$A:$A,DS$19,Lançamentos!$C:$C,"Impostos sobre Lucro")</f>
        <v>0</v>
      </c>
      <c r="DT49" s="37">
        <f>SUMIFS(Lançamentos!$F:$F,Lançamentos!$A:$A,DT$19,Lançamentos!$C:$C,"Impostos sobre Lucro")</f>
        <v>0</v>
      </c>
      <c r="DU49" s="37">
        <f>SUMIFS(Lançamentos!$F:$F,Lançamentos!$A:$A,DU$19,Lançamentos!$C:$C,"Impostos sobre Lucro")</f>
        <v>0</v>
      </c>
      <c r="DV49" s="37">
        <f>SUMIFS(Lançamentos!$F:$F,Lançamentos!$A:$A,DV$19,Lançamentos!$C:$C,"Impostos sobre Lucro")</f>
        <v>0</v>
      </c>
      <c r="DW49" s="37">
        <f>SUMIFS(Lançamentos!$F:$F,Lançamentos!$A:$A,DW$19,Lançamentos!$C:$C,"Impostos sobre Lucro")</f>
        <v>0</v>
      </c>
      <c r="DX49" s="37">
        <f>SUMIFS(Lançamentos!$F:$F,Lançamentos!$A:$A,DX$19,Lançamentos!$C:$C,"Impostos sobre Lucro")</f>
        <v>0</v>
      </c>
      <c r="DY49" s="37">
        <f>SUMIFS(Lançamentos!$F:$F,Lançamentos!$A:$A,DY$19,Lançamentos!$C:$C,"Impostos sobre Lucro")</f>
        <v>0</v>
      </c>
      <c r="DZ49" s="37">
        <f>SUMIFS(Lançamentos!$F:$F,Lançamentos!$A:$A,DZ$19,Lançamentos!$C:$C,"Impostos sobre Lucro")</f>
        <v>0</v>
      </c>
      <c r="EA49" s="37">
        <f>SUMIFS(Lançamentos!$F:$F,Lançamentos!$A:$A,EA$19,Lançamentos!$C:$C,"Impostos sobre Lucro")</f>
        <v>0</v>
      </c>
      <c r="EB49" s="37">
        <f>SUMIFS(Lançamentos!$F:$F,Lançamentos!$A:$A,EB$19,Lançamentos!$C:$C,"Impostos sobre Lucro")</f>
        <v>0</v>
      </c>
      <c r="EC49" s="37">
        <f>SUMIFS(Lançamentos!$F:$F,Lançamentos!$A:$A,EC$19,Lançamentos!$C:$C,"Impostos sobre Lucro")</f>
        <v>0</v>
      </c>
      <c r="ED49" s="37">
        <f>SUMIFS(Lançamentos!$F:$F,Lançamentos!$A:$A,ED$19,Lançamentos!$C:$C,"Impostos sobre Lucro")</f>
        <v>0</v>
      </c>
      <c r="EE49" s="37">
        <f>SUMIFS(Lançamentos!$F:$F,Lançamentos!$A:$A,EE$19,Lançamentos!$C:$C,"Impostos sobre Lucro")</f>
        <v>0</v>
      </c>
      <c r="EF49" s="37">
        <f>SUMIFS(Lançamentos!$F:$F,Lançamentos!$A:$A,EF$19,Lançamentos!$C:$C,"Impostos sobre Lucro")</f>
        <v>0</v>
      </c>
      <c r="EG49" s="37">
        <f>SUMIFS(Lançamentos!$F:$F,Lançamentos!$A:$A,EG$19,Lançamentos!$C:$C,"Impostos sobre Lucro")</f>
        <v>0</v>
      </c>
      <c r="EH49" s="37">
        <f>SUMIFS(Lançamentos!$F:$F,Lançamentos!$A:$A,EH$19,Lançamentos!$C:$C,"Impostos sobre Lucro")</f>
        <v>0</v>
      </c>
      <c r="EI49" s="37">
        <f>SUMIFS(Lançamentos!$F:$F,Lançamentos!$A:$A,EI$19,Lançamentos!$C:$C,"Impostos sobre Lucro")</f>
        <v>0</v>
      </c>
      <c r="EJ49" s="37">
        <f>SUMIFS(Lançamentos!$F:$F,Lançamentos!$A:$A,EJ$19,Lançamentos!$C:$C,"Impostos sobre Lucro")</f>
        <v>0</v>
      </c>
      <c r="EK49" s="37">
        <f>SUMIFS(Lançamentos!$F:$F,Lançamentos!$A:$A,EK$19,Lançamentos!$C:$C,"Impostos sobre Lucro")</f>
        <v>0</v>
      </c>
      <c r="EL49" s="37">
        <f>SUMIFS(Lançamentos!$F:$F,Lançamentos!$A:$A,EL$19,Lançamentos!$C:$C,"Impostos sobre Lucro")</f>
        <v>0</v>
      </c>
      <c r="EM49" s="37">
        <f>SUMIFS(Lançamentos!$F:$F,Lançamentos!$A:$A,EM$19,Lançamentos!$C:$C,"Impostos sobre Lucro")</f>
        <v>0</v>
      </c>
      <c r="EN49" s="37">
        <f>SUMIFS(Lançamentos!$F:$F,Lançamentos!$A:$A,EN$19,Lançamentos!$C:$C,"Impostos sobre Lucro")</f>
        <v>0</v>
      </c>
      <c r="EO49" s="37">
        <f>SUMIFS(Lançamentos!$F:$F,Lançamentos!$A:$A,EO$19,Lançamentos!$C:$C,"Impostos sobre Lucro")</f>
        <v>0</v>
      </c>
      <c r="EP49" s="37">
        <f>SUMIFS(Lançamentos!$F:$F,Lançamentos!$A:$A,EP$19,Lançamentos!$C:$C,"Impostos sobre Lucro")</f>
        <v>0</v>
      </c>
      <c r="EQ49" s="37">
        <f>SUMIFS(Lançamentos!$F:$F,Lançamentos!$A:$A,EQ$19,Lançamentos!$C:$C,"Impostos sobre Lucro")</f>
        <v>0</v>
      </c>
      <c r="ER49" s="37">
        <f>SUMIFS(Lançamentos!$F:$F,Lançamentos!$A:$A,ER$19,Lançamentos!$C:$C,"Impostos sobre Lucro")</f>
        <v>0</v>
      </c>
      <c r="ES49" s="37">
        <f>SUMIFS(Lançamentos!$F:$F,Lançamentos!$A:$A,ES$19,Lançamentos!$C:$C,"Impostos sobre Lucro")</f>
        <v>0</v>
      </c>
      <c r="ET49" s="37">
        <f>SUMIFS(Lançamentos!$F:$F,Lançamentos!$A:$A,ET$19,Lançamentos!$C:$C,"Impostos sobre Lucro")</f>
        <v>0</v>
      </c>
      <c r="EU49" s="37">
        <f>SUMIFS(Lançamentos!$F:$F,Lançamentos!$A:$A,EU$19,Lançamentos!$C:$C,"Impostos sobre Lucro")</f>
        <v>0</v>
      </c>
      <c r="EV49" s="37">
        <f>SUMIFS(Lançamentos!$F:$F,Lançamentos!$A:$A,EV$19,Lançamentos!$C:$C,"Impostos sobre Lucro")</f>
        <v>0</v>
      </c>
      <c r="EW49" s="37">
        <f>SUMIFS(Lançamentos!$F:$F,Lançamentos!$A:$A,EW$19,Lançamentos!$C:$C,"Impostos sobre Lucro")</f>
        <v>0</v>
      </c>
      <c r="EX49" s="37">
        <f>SUMIFS(Lançamentos!$F:$F,Lançamentos!$A:$A,EX$19,Lançamentos!$C:$C,"Impostos sobre Lucro")</f>
        <v>0</v>
      </c>
      <c r="EY49" s="37">
        <f>SUMIFS(Lançamentos!$F:$F,Lançamentos!$A:$A,EY$19,Lançamentos!$C:$C,"Impostos sobre Lucro")</f>
        <v>0</v>
      </c>
      <c r="EZ49" s="37">
        <f>SUMIFS(Lançamentos!$F:$F,Lançamentos!$A:$A,EZ$19,Lançamentos!$C:$C,"Impostos sobre Lucro")</f>
        <v>0</v>
      </c>
      <c r="FA49" s="37">
        <f>SUMIFS(Lançamentos!$F:$F,Lançamentos!$A:$A,FA$19,Lançamentos!$C:$C,"Impostos sobre Lucro")</f>
        <v>0</v>
      </c>
      <c r="FB49" s="37">
        <f>SUMIFS(Lançamentos!$F:$F,Lançamentos!$A:$A,FB$19,Lançamentos!$C:$C,"Impostos sobre Lucro")</f>
        <v>0</v>
      </c>
      <c r="FC49" s="37">
        <f>SUMIFS(Lançamentos!$F:$F,Lançamentos!$A:$A,FC$19,Lançamentos!$C:$C,"Impostos sobre Lucro")</f>
        <v>0</v>
      </c>
      <c r="FD49" s="37">
        <f>SUMIFS(Lançamentos!$F:$F,Lançamentos!$A:$A,FD$19,Lançamentos!$C:$C,"Impostos sobre Lucro")</f>
        <v>0</v>
      </c>
      <c r="FE49" s="37">
        <f>SUMIFS(Lançamentos!$F:$F,Lançamentos!$A:$A,FE$19,Lançamentos!$C:$C,"Impostos sobre Lucro")</f>
        <v>0</v>
      </c>
      <c r="FF49" s="37">
        <f>SUMIFS(Lançamentos!$F:$F,Lançamentos!$A:$A,FF$19,Lançamentos!$C:$C,"Impostos sobre Lucro")</f>
        <v>0</v>
      </c>
      <c r="FG49" s="37">
        <f>SUMIFS(Lançamentos!$F:$F,Lançamentos!$A:$A,FG$19,Lançamentos!$C:$C,"Impostos sobre Lucro")</f>
        <v>0</v>
      </c>
      <c r="FH49" s="37">
        <f>SUMIFS(Lançamentos!$F:$F,Lançamentos!$A:$A,FH$19,Lançamentos!$C:$C,"Impostos sobre Lucro")</f>
        <v>0</v>
      </c>
      <c r="FI49" s="37">
        <f>SUMIFS(Lançamentos!$F:$F,Lançamentos!$A:$A,FI$19,Lançamentos!$C:$C,"Impostos sobre Lucro")</f>
        <v>0</v>
      </c>
      <c r="FJ49" s="37">
        <f>SUMIFS(Lançamentos!$F:$F,Lançamentos!$A:$A,FJ$19,Lançamentos!$C:$C,"Impostos sobre Lucro")</f>
        <v>0</v>
      </c>
      <c r="FK49" s="37">
        <f>SUMIFS(Lançamentos!$F:$F,Lançamentos!$A:$A,FK$19,Lançamentos!$C:$C,"Impostos sobre Lucro")</f>
        <v>0</v>
      </c>
      <c r="FL49" s="37">
        <f>SUMIFS(Lançamentos!$F:$F,Lançamentos!$A:$A,FL$19,Lançamentos!$C:$C,"Impostos sobre Lucro")</f>
        <v>0</v>
      </c>
      <c r="FM49" s="37">
        <f>SUMIFS(Lançamentos!$F:$F,Lançamentos!$A:$A,FM$19,Lançamentos!$C:$C,"Impostos sobre Lucro")</f>
        <v>0</v>
      </c>
      <c r="FN49" s="37">
        <f>SUMIFS(Lançamentos!$F:$F,Lançamentos!$A:$A,FN$19,Lançamentos!$C:$C,"Impostos sobre Lucro")</f>
        <v>0</v>
      </c>
      <c r="FO49" s="37">
        <f>SUMIFS(Lançamentos!$F:$F,Lançamentos!$A:$A,FO$19,Lançamentos!$C:$C,"Impostos sobre Lucro")</f>
        <v>0</v>
      </c>
      <c r="FP49" s="37">
        <f>SUMIFS(Lançamentos!$F:$F,Lançamentos!$A:$A,FP$19,Lançamentos!$C:$C,"Impostos sobre Lucro")</f>
        <v>0</v>
      </c>
      <c r="FQ49" s="37">
        <f>SUMIFS(Lançamentos!$F:$F,Lançamentos!$A:$A,FQ$19,Lançamentos!$C:$C,"Impostos sobre Lucro")</f>
        <v>0</v>
      </c>
      <c r="FR49" s="37">
        <f>SUMIFS(Lançamentos!$F:$F,Lançamentos!$A:$A,FR$19,Lançamentos!$C:$C,"Impostos sobre Lucro")</f>
        <v>0</v>
      </c>
      <c r="FS49" s="37">
        <f>SUMIFS(Lançamentos!$F:$F,Lançamentos!$A:$A,FS$19,Lançamentos!$C:$C,"Impostos sobre Lucro")</f>
        <v>0</v>
      </c>
      <c r="FT49" s="37">
        <f>SUMIFS(Lançamentos!$F:$F,Lançamentos!$A:$A,FT$19,Lançamentos!$C:$C,"Impostos sobre Lucro")</f>
        <v>0</v>
      </c>
      <c r="FU49" s="37">
        <f>SUMIFS(Lançamentos!$F:$F,Lançamentos!$A:$A,FU$19,Lançamentos!$C:$C,"Impostos sobre Lucro")</f>
        <v>0</v>
      </c>
      <c r="FV49" s="37">
        <f>SUMIFS(Lançamentos!$F:$F,Lançamentos!$A:$A,FV$19,Lançamentos!$C:$C,"Impostos sobre Lucro")</f>
        <v>0</v>
      </c>
      <c r="FW49" s="37">
        <f>SUMIFS(Lançamentos!$F:$F,Lançamentos!$A:$A,FW$19,Lançamentos!$C:$C,"Impostos sobre Lucro")</f>
        <v>0</v>
      </c>
      <c r="FX49" s="37">
        <f>SUMIFS(Lançamentos!$F:$F,Lançamentos!$A:$A,FX$19,Lançamentos!$C:$C,"Impostos sobre Lucro")</f>
        <v>0</v>
      </c>
      <c r="FY49" s="37">
        <f>SUMIFS(Lançamentos!$F:$F,Lançamentos!$A:$A,FY$19,Lançamentos!$C:$C,"Impostos sobre Lucro")</f>
        <v>0</v>
      </c>
      <c r="FZ49" s="37">
        <f>SUMIFS(Lançamentos!$F:$F,Lançamentos!$A:$A,FZ$19,Lançamentos!$C:$C,"Impostos sobre Lucro")</f>
        <v>0</v>
      </c>
      <c r="GA49" s="37">
        <f>SUMIFS(Lançamentos!$F:$F,Lançamentos!$A:$A,GA$19,Lançamentos!$C:$C,"Impostos sobre Lucro")</f>
        <v>0</v>
      </c>
      <c r="GB49" s="37">
        <f>SUMIFS(Lançamentos!$F:$F,Lançamentos!$A:$A,GB$19,Lançamentos!$C:$C,"Impostos sobre Lucro")</f>
        <v>0</v>
      </c>
      <c r="GC49" s="37">
        <f>SUMIFS(Lançamentos!$F:$F,Lançamentos!$A:$A,GC$19,Lançamentos!$C:$C,"Impostos sobre Lucro")</f>
        <v>0</v>
      </c>
      <c r="GD49" s="37">
        <f>SUMIFS(Lançamentos!$F:$F,Lançamentos!$A:$A,GD$19,Lançamentos!$C:$C,"Impostos sobre Lucro")</f>
        <v>0</v>
      </c>
      <c r="GE49" s="37">
        <f>SUMIFS(Lançamentos!$F:$F,Lançamentos!$A:$A,GE$19,Lançamentos!$C:$C,"Impostos sobre Lucro")</f>
        <v>0</v>
      </c>
      <c r="GF49" s="37">
        <f>SUMIFS(Lançamentos!$F:$F,Lançamentos!$A:$A,GF$19,Lançamentos!$C:$C,"Impostos sobre Lucro")</f>
        <v>0</v>
      </c>
      <c r="GG49" s="37">
        <f>SUMIFS(Lançamentos!$F:$F,Lançamentos!$A:$A,GG$19,Lançamentos!$C:$C,"Impostos sobre Lucro")</f>
        <v>0</v>
      </c>
      <c r="GH49" s="37">
        <f>SUMIFS(Lançamentos!$F:$F,Lançamentos!$A:$A,GH$19,Lançamentos!$C:$C,"Impostos sobre Lucro")</f>
        <v>0</v>
      </c>
      <c r="GI49" s="37">
        <f>SUMIFS(Lançamentos!$F:$F,Lançamentos!$A:$A,GI$19,Lançamentos!$C:$C,"Impostos sobre Lucro")</f>
        <v>0</v>
      </c>
      <c r="GJ49" s="37">
        <f>SUMIFS(Lançamentos!$F:$F,Lançamentos!$A:$A,GJ$19,Lançamentos!$C:$C,"Impostos sobre Lucro")</f>
        <v>0</v>
      </c>
      <c r="GK49" s="37">
        <f>SUMIFS(Lançamentos!$F:$F,Lançamentos!$A:$A,GK$19,Lançamentos!$C:$C,"Impostos sobre Lucro")</f>
        <v>0</v>
      </c>
      <c r="GL49" s="37">
        <f>SUMIFS(Lançamentos!$F:$F,Lançamentos!$A:$A,GL$19,Lançamentos!$C:$C,"Impostos sobre Lucro")</f>
        <v>0</v>
      </c>
      <c r="GM49" s="37">
        <f>SUMIFS(Lançamentos!$F:$F,Lançamentos!$A:$A,GM$19,Lançamentos!$C:$C,"Impostos sobre Lucro")</f>
        <v>0</v>
      </c>
      <c r="GN49" s="37">
        <f>SUMIFS(Lançamentos!$F:$F,Lançamentos!$A:$A,GN$19,Lançamentos!$C:$C,"Impostos sobre Lucro")</f>
        <v>0</v>
      </c>
      <c r="GO49" s="37">
        <f>SUMIFS(Lançamentos!$F:$F,Lançamentos!$A:$A,GO$19,Lançamentos!$C:$C,"Impostos sobre Lucro")</f>
        <v>0</v>
      </c>
      <c r="GP49" s="37">
        <f>SUMIFS(Lançamentos!$F:$F,Lançamentos!$A:$A,GP$19,Lançamentos!$C:$C,"Impostos sobre Lucro")</f>
        <v>0</v>
      </c>
      <c r="GQ49" s="37">
        <f>SUMIFS(Lançamentos!$F:$F,Lançamentos!$A:$A,GQ$19,Lançamentos!$C:$C,"Impostos sobre Lucro")</f>
        <v>0</v>
      </c>
      <c r="GR49" s="37">
        <f>SUMIFS(Lançamentos!$F:$F,Lançamentos!$A:$A,GR$19,Lançamentos!$C:$C,"Impostos sobre Lucro")</f>
        <v>0</v>
      </c>
      <c r="GS49" s="37">
        <f>SUMIFS(Lançamentos!$F:$F,Lançamentos!$A:$A,GS$19,Lançamentos!$C:$C,"Impostos sobre Lucro")</f>
        <v>0</v>
      </c>
      <c r="GT49" s="37">
        <f>SUMIFS(Lançamentos!$F:$F,Lançamentos!$A:$A,GT$19,Lançamentos!$C:$C,"Impostos sobre Lucro")</f>
        <v>0</v>
      </c>
      <c r="GU49" s="37">
        <f>SUMIFS(Lançamentos!$F:$F,Lançamentos!$A:$A,GU$19,Lançamentos!$C:$C,"Impostos sobre Lucro")</f>
        <v>0</v>
      </c>
      <c r="GV49" s="37">
        <f>SUMIFS(Lançamentos!$F:$F,Lançamentos!$A:$A,GV$19,Lançamentos!$C:$C,"Impostos sobre Lucro")</f>
        <v>0</v>
      </c>
      <c r="GW49" s="37">
        <f>SUMIFS(Lançamentos!$F:$F,Lançamentos!$A:$A,GW$19,Lançamentos!$C:$C,"Impostos sobre Lucro")</f>
        <v>0</v>
      </c>
      <c r="GX49" s="37">
        <f>SUMIFS(Lançamentos!$F:$F,Lançamentos!$A:$A,GX$19,Lançamentos!$C:$C,"Impostos sobre Lucro")</f>
        <v>0</v>
      </c>
      <c r="GY49" s="37">
        <f>SUMIFS(Lançamentos!$F:$F,Lançamentos!$A:$A,GY$19,Lançamentos!$C:$C,"Impostos sobre Lucro")</f>
        <v>0</v>
      </c>
      <c r="GZ49" s="37">
        <f>SUMIFS(Lançamentos!$F:$F,Lançamentos!$A:$A,GZ$19,Lançamentos!$C:$C,"Impostos sobre Lucro")</f>
        <v>0</v>
      </c>
      <c r="HA49" s="37">
        <f>SUMIFS(Lançamentos!$F:$F,Lançamentos!$A:$A,HA$19,Lançamentos!$C:$C,"Impostos sobre Lucro")</f>
        <v>0</v>
      </c>
      <c r="HB49" s="37">
        <f>SUMIFS(Lançamentos!$F:$F,Lançamentos!$A:$A,HB$19,Lançamentos!$C:$C,"Impostos sobre Lucro")</f>
        <v>0</v>
      </c>
      <c r="HC49" s="37">
        <f>SUMIFS(Lançamentos!$F:$F,Lançamentos!$A:$A,HC$19,Lançamentos!$C:$C,"Impostos sobre Lucro")</f>
        <v>0</v>
      </c>
      <c r="HD49" s="37">
        <f>SUMIFS(Lançamentos!$F:$F,Lançamentos!$A:$A,HD$19,Lançamentos!$C:$C,"Impostos sobre Lucro")</f>
        <v>0</v>
      </c>
      <c r="HE49" s="37">
        <f>SUMIFS(Lançamentos!$F:$F,Lançamentos!$A:$A,HE$19,Lançamentos!$C:$C,"Impostos sobre Lucro")</f>
        <v>0</v>
      </c>
      <c r="HF49" s="37">
        <f>SUMIFS(Lançamentos!$F:$F,Lançamentos!$A:$A,HF$19,Lançamentos!$C:$C,"Impostos sobre Lucro")</f>
        <v>0</v>
      </c>
      <c r="HG49" s="37">
        <f>SUMIFS(Lançamentos!$F:$F,Lançamentos!$A:$A,HG$19,Lançamentos!$C:$C,"Impostos sobre Lucro")</f>
        <v>0</v>
      </c>
      <c r="HH49" s="37">
        <f>SUMIFS(Lançamentos!$F:$F,Lançamentos!$A:$A,HH$19,Lançamentos!$C:$C,"Impostos sobre Lucro")</f>
        <v>0</v>
      </c>
      <c r="HI49" s="37">
        <f>SUMIFS(Lançamentos!$F:$F,Lançamentos!$A:$A,HI$19,Lançamentos!$C:$C,"Impostos sobre Lucro")</f>
        <v>0</v>
      </c>
      <c r="HJ49" s="37">
        <f>SUMIFS(Lançamentos!$F:$F,Lançamentos!$A:$A,HJ$19,Lançamentos!$C:$C,"Impostos sobre Lucro")</f>
        <v>0</v>
      </c>
      <c r="HK49" s="37">
        <f>SUMIFS(Lançamentos!$F:$F,Lançamentos!$A:$A,HK$19,Lançamentos!$C:$C,"Impostos sobre Lucro")</f>
        <v>0</v>
      </c>
      <c r="HL49" s="37">
        <f>SUMIFS(Lançamentos!$F:$F,Lançamentos!$A:$A,HL$19,Lançamentos!$C:$C,"Impostos sobre Lucro")</f>
        <v>0</v>
      </c>
      <c r="HM49" s="37">
        <f>SUMIFS(Lançamentos!$F:$F,Lançamentos!$A:$A,HM$19,Lançamentos!$C:$C,"Impostos sobre Lucro")</f>
        <v>0</v>
      </c>
      <c r="HN49" s="37">
        <f>SUMIFS(Lançamentos!$F:$F,Lançamentos!$A:$A,HN$19,Lançamentos!$C:$C,"Impostos sobre Lucro")</f>
        <v>0</v>
      </c>
      <c r="HO49" s="37">
        <f>SUMIFS(Lançamentos!$F:$F,Lançamentos!$A:$A,HO$19,Lançamentos!$C:$C,"Impostos sobre Lucro")</f>
        <v>0</v>
      </c>
      <c r="HP49" s="37">
        <f>SUMIFS(Lançamentos!$F:$F,Lançamentos!$A:$A,HP$19,Lançamentos!$C:$C,"Impostos sobre Lucro")</f>
        <v>0</v>
      </c>
      <c r="HQ49" s="37">
        <f>SUMIFS(Lançamentos!$F:$F,Lançamentos!$A:$A,HQ$19,Lançamentos!$C:$C,"Impostos sobre Lucro")</f>
        <v>0</v>
      </c>
      <c r="HR49" s="37">
        <f>SUMIFS(Lançamentos!$F:$F,Lançamentos!$A:$A,HR$19,Lançamentos!$C:$C,"Impostos sobre Lucro")</f>
        <v>0</v>
      </c>
      <c r="HS49" s="37">
        <f>SUMIFS(Lançamentos!$F:$F,Lançamentos!$A:$A,HS$19,Lançamentos!$C:$C,"Impostos sobre Lucro")</f>
        <v>0</v>
      </c>
      <c r="HT49" s="37">
        <f>SUMIFS(Lançamentos!$F:$F,Lançamentos!$A:$A,HT$19,Lançamentos!$C:$C,"Impostos sobre Lucro")</f>
        <v>0</v>
      </c>
      <c r="HU49" s="37">
        <f>SUMIFS(Lançamentos!$F:$F,Lançamentos!$A:$A,HU$19,Lançamentos!$C:$C,"Impostos sobre Lucro")</f>
        <v>0</v>
      </c>
      <c r="HV49" s="37">
        <f>SUMIFS(Lançamentos!$F:$F,Lançamentos!$A:$A,HV$19,Lançamentos!$C:$C,"Impostos sobre Lucro")</f>
        <v>0</v>
      </c>
      <c r="HW49" s="37">
        <f>SUMIFS(Lançamentos!$F:$F,Lançamentos!$A:$A,HW$19,Lançamentos!$C:$C,"Impostos sobre Lucro")</f>
        <v>0</v>
      </c>
      <c r="HX49" s="37">
        <f>SUMIFS(Lançamentos!$F:$F,Lançamentos!$A:$A,HX$19,Lançamentos!$C:$C,"Impostos sobre Lucro")</f>
        <v>0</v>
      </c>
      <c r="HY49" s="37">
        <f>SUMIFS(Lançamentos!$F:$F,Lançamentos!$A:$A,HY$19,Lançamentos!$C:$C,"Impostos sobre Lucro")</f>
        <v>0</v>
      </c>
      <c r="HZ49" s="37">
        <f>SUMIFS(Lançamentos!$F:$F,Lançamentos!$A:$A,HZ$19,Lançamentos!$C:$C,"Impostos sobre Lucro")</f>
        <v>0</v>
      </c>
      <c r="IA49" s="37">
        <f>SUMIFS(Lançamentos!$F:$F,Lançamentos!$A:$A,IA$19,Lançamentos!$C:$C,"Impostos sobre Lucro")</f>
        <v>0</v>
      </c>
      <c r="IB49" s="37">
        <f>SUMIFS(Lançamentos!$F:$F,Lançamentos!$A:$A,IB$19,Lançamentos!$C:$C,"Impostos sobre Lucro")</f>
        <v>0</v>
      </c>
      <c r="IC49" s="37">
        <f>SUMIFS(Lançamentos!$F:$F,Lançamentos!$A:$A,IC$19,Lançamentos!$C:$C,"Impostos sobre Lucro")</f>
        <v>0</v>
      </c>
      <c r="ID49" s="37">
        <f>SUMIFS(Lançamentos!$F:$F,Lançamentos!$A:$A,ID$19,Lançamentos!$C:$C,"Impostos sobre Lucro")</f>
        <v>0</v>
      </c>
      <c r="IE49" s="37">
        <f>SUMIFS(Lançamentos!$F:$F,Lançamentos!$A:$A,IE$19,Lançamentos!$C:$C,"Impostos sobre Lucro")</f>
        <v>0</v>
      </c>
      <c r="IF49" s="37">
        <f>SUMIFS(Lançamentos!$F:$F,Lançamentos!$A:$A,IF$19,Lançamentos!$C:$C,"Impostos sobre Lucro")</f>
        <v>0</v>
      </c>
      <c r="IG49" s="37">
        <f>SUMIFS(Lançamentos!$F:$F,Lançamentos!$A:$A,IG$19,Lançamentos!$C:$C,"Impostos sobre Lucro")</f>
        <v>0</v>
      </c>
      <c r="IH49" s="37">
        <f>SUMIFS(Lançamentos!$F:$F,Lançamentos!$A:$A,IH$19,Lançamentos!$C:$C,"Impostos sobre Lucro")</f>
        <v>0</v>
      </c>
      <c r="II49" s="37">
        <f>SUMIFS(Lançamentos!$F:$F,Lançamentos!$A:$A,II$19,Lançamentos!$C:$C,"Impostos sobre Lucro")</f>
        <v>0</v>
      </c>
      <c r="IJ49" s="37">
        <f>SUMIFS(Lançamentos!$F:$F,Lançamentos!$A:$A,IJ$19,Lançamentos!$C:$C,"Impostos sobre Lucro")</f>
        <v>0</v>
      </c>
      <c r="IK49" s="37">
        <f>SUMIFS(Lançamentos!$F:$F,Lançamentos!$A:$A,IK$19,Lançamentos!$C:$C,"Impostos sobre Lucro")</f>
        <v>0</v>
      </c>
      <c r="IL49" s="37">
        <f>SUMIFS(Lançamentos!$F:$F,Lançamentos!$A:$A,IL$19,Lançamentos!$C:$C,"Impostos sobre Lucro")</f>
        <v>0</v>
      </c>
    </row>
    <row r="50" spans="1:246" x14ac:dyDescent="0.3">
      <c r="A50" t="s">
        <v>88</v>
      </c>
      <c r="B50" s="37">
        <f>SUMIFS(Lançamentos!$F:$F,Lançamentos!$A:$A,B$19,Lançamentos!$C:$C,"Frete sobre Vendas")</f>
        <v>0</v>
      </c>
      <c r="C50" s="37">
        <f>SUMIFS(Lançamentos!$F:$F,Lançamentos!$A:$A,C$19,Lançamentos!$C:$C,"Frete sobre Vendas")</f>
        <v>0</v>
      </c>
      <c r="D50" s="37">
        <f>SUMIFS(Lançamentos!$F:$F,Lançamentos!$A:$A,D$19,Lançamentos!$C:$C,"Frete sobre Vendas")</f>
        <v>0</v>
      </c>
      <c r="E50" s="37">
        <f>SUMIFS(Lançamentos!$F:$F,Lançamentos!$A:$A,E$19,Lançamentos!$C:$C,"Frete sobre Vendas")</f>
        <v>0</v>
      </c>
      <c r="F50" s="37">
        <f>SUMIFS(Lançamentos!$F:$F,Lançamentos!$A:$A,F$19,Lançamentos!$C:$C,"Frete sobre Vendas")</f>
        <v>0</v>
      </c>
      <c r="G50" s="37">
        <f>SUMIFS(Lançamentos!$F:$F,Lançamentos!$A:$A,G$19,Lançamentos!$C:$C,"Frete sobre Vendas")</f>
        <v>0</v>
      </c>
      <c r="H50" s="37">
        <f>SUMIFS(Lançamentos!$F:$F,Lançamentos!$A:$A,H$19,Lançamentos!$C:$C,"Frete sobre Vendas")</f>
        <v>0</v>
      </c>
      <c r="I50" s="37">
        <f>SUMIFS(Lançamentos!$F:$F,Lançamentos!$A:$A,I$19,Lançamentos!$C:$C,"Frete sobre Vendas")</f>
        <v>0</v>
      </c>
      <c r="J50" s="37">
        <f>SUMIFS(Lançamentos!$F:$F,Lançamentos!$A:$A,J$19,Lançamentos!$C:$C,"Frete sobre Vendas")</f>
        <v>0</v>
      </c>
      <c r="K50" s="37">
        <f>SUMIFS(Lançamentos!$F:$F,Lançamentos!$A:$A,K$19,Lançamentos!$C:$C,"Frete sobre Vendas")</f>
        <v>0</v>
      </c>
      <c r="L50" s="37">
        <f>SUMIFS(Lançamentos!$F:$F,Lançamentos!$A:$A,L$19,Lançamentos!$C:$C,"Frete sobre Vendas")</f>
        <v>0</v>
      </c>
      <c r="M50" s="37">
        <f>SUMIFS(Lançamentos!$F:$F,Lançamentos!$A:$A,M$19,Lançamentos!$C:$C,"Frete sobre Vendas")</f>
        <v>0</v>
      </c>
      <c r="N50" s="37">
        <f>SUMIFS(Lançamentos!$F:$F,Lançamentos!$A:$A,N$19,Lançamentos!$C:$C,"Frete sobre Vendas")</f>
        <v>0</v>
      </c>
      <c r="O50" s="37">
        <f>SUMIFS(Lançamentos!$F:$F,Lançamentos!$A:$A,O$19,Lançamentos!$C:$C,"Frete sobre Vendas")</f>
        <v>0</v>
      </c>
      <c r="P50" s="37">
        <f>SUMIFS(Lançamentos!$F:$F,Lançamentos!$A:$A,P$19,Lançamentos!$C:$C,"Frete sobre Vendas")</f>
        <v>0</v>
      </c>
      <c r="Q50" s="37">
        <f>SUMIFS(Lançamentos!$F:$F,Lançamentos!$A:$A,Q$19,Lançamentos!$C:$C,"Frete sobre Vendas")</f>
        <v>0</v>
      </c>
      <c r="R50" s="37">
        <f>SUMIFS(Lançamentos!$F:$F,Lançamentos!$A:$A,R$19,Lançamentos!$C:$C,"Frete sobre Vendas")</f>
        <v>0</v>
      </c>
      <c r="S50" s="37">
        <f>SUMIFS(Lançamentos!$F:$F,Lançamentos!$A:$A,S$19,Lançamentos!$C:$C,"Frete sobre Vendas")</f>
        <v>0</v>
      </c>
      <c r="T50" s="37">
        <f>SUMIFS(Lançamentos!$F:$F,Lançamentos!$A:$A,T$19,Lançamentos!$C:$C,"Frete sobre Vendas")</f>
        <v>0</v>
      </c>
      <c r="U50" s="37">
        <f>SUMIFS(Lançamentos!$F:$F,Lançamentos!$A:$A,U$19,Lançamentos!$C:$C,"Frete sobre Vendas")</f>
        <v>0</v>
      </c>
      <c r="V50" s="37">
        <f>SUMIFS(Lançamentos!$F:$F,Lançamentos!$A:$A,V$19,Lançamentos!$C:$C,"Frete sobre Vendas")</f>
        <v>0</v>
      </c>
      <c r="W50" s="37">
        <f>SUMIFS(Lançamentos!$F:$F,Lançamentos!$A:$A,W$19,Lançamentos!$C:$C,"Frete sobre Vendas")</f>
        <v>0</v>
      </c>
      <c r="X50" s="37">
        <f>SUMIFS(Lançamentos!$F:$F,Lançamentos!$A:$A,X$19,Lançamentos!$C:$C,"Frete sobre Vendas")</f>
        <v>0</v>
      </c>
      <c r="Y50" s="37">
        <f>SUMIFS(Lançamentos!$F:$F,Lançamentos!$A:$A,Y$19,Lançamentos!$C:$C,"Frete sobre Vendas")</f>
        <v>0</v>
      </c>
      <c r="Z50" s="37">
        <f>SUMIFS(Lançamentos!$F:$F,Lançamentos!$A:$A,Z$19,Lançamentos!$C:$C,"Frete sobre Vendas")</f>
        <v>0</v>
      </c>
      <c r="AA50" s="37">
        <f>SUMIFS(Lançamentos!$F:$F,Lançamentos!$A:$A,AA$19,Lançamentos!$C:$C,"Frete sobre Vendas")</f>
        <v>0</v>
      </c>
      <c r="AB50" s="37">
        <f>SUMIFS(Lançamentos!$F:$F,Lançamentos!$A:$A,AB$19,Lançamentos!$C:$C,"Frete sobre Vendas")</f>
        <v>0</v>
      </c>
      <c r="AC50" s="37">
        <f>SUMIFS(Lançamentos!$F:$F,Lançamentos!$A:$A,AC$19,Lançamentos!$C:$C,"Frete sobre Vendas")</f>
        <v>0</v>
      </c>
      <c r="AD50" s="37">
        <f>SUMIFS(Lançamentos!$F:$F,Lançamentos!$A:$A,AD$19,Lançamentos!$C:$C,"Frete sobre Vendas")</f>
        <v>0</v>
      </c>
      <c r="AE50" s="37">
        <f>SUMIFS(Lançamentos!$F:$F,Lançamentos!$A:$A,AE$19,Lançamentos!$C:$C,"Frete sobre Vendas")</f>
        <v>0</v>
      </c>
      <c r="AF50" s="37">
        <f>SUMIFS(Lançamentos!$F:$F,Lançamentos!$A:$A,AF$19,Lançamentos!$C:$C,"Frete sobre Vendas")</f>
        <v>0</v>
      </c>
      <c r="AG50" s="37">
        <f>SUMIFS(Lançamentos!$F:$F,Lançamentos!$A:$A,AG$19,Lançamentos!$C:$C,"Frete sobre Vendas")</f>
        <v>0</v>
      </c>
      <c r="AH50" s="37">
        <f>SUMIFS(Lançamentos!$F:$F,Lançamentos!$A:$A,AH$19,Lançamentos!$C:$C,"Frete sobre Vendas")</f>
        <v>0</v>
      </c>
      <c r="AI50" s="37">
        <f>SUMIFS(Lançamentos!$F:$F,Lançamentos!$A:$A,AI$19,Lançamentos!$C:$C,"Frete sobre Vendas")</f>
        <v>0</v>
      </c>
      <c r="AJ50" s="37">
        <f>SUMIFS(Lançamentos!$F:$F,Lançamentos!$A:$A,AJ$19,Lançamentos!$C:$C,"Frete sobre Vendas")</f>
        <v>0</v>
      </c>
      <c r="AK50" s="37">
        <f>SUMIFS(Lançamentos!$F:$F,Lançamentos!$A:$A,AK$19,Lançamentos!$C:$C,"Frete sobre Vendas")</f>
        <v>0</v>
      </c>
      <c r="AL50" s="37">
        <f>SUMIFS(Lançamentos!$F:$F,Lançamentos!$A:$A,AL$19,Lançamentos!$C:$C,"Frete sobre Vendas")</f>
        <v>0</v>
      </c>
      <c r="AM50" s="37">
        <f>SUMIFS(Lançamentos!$F:$F,Lançamentos!$A:$A,AM$19,Lançamentos!$C:$C,"Frete sobre Vendas")</f>
        <v>0</v>
      </c>
      <c r="AN50" s="37">
        <f>SUMIFS(Lançamentos!$F:$F,Lançamentos!$A:$A,AN$19,Lançamentos!$C:$C,"Frete sobre Vendas")</f>
        <v>0</v>
      </c>
      <c r="AO50" s="37">
        <f>SUMIFS(Lançamentos!$F:$F,Lançamentos!$A:$A,AO$19,Lançamentos!$C:$C,"Frete sobre Vendas")</f>
        <v>0</v>
      </c>
      <c r="AP50" s="37">
        <f>SUMIFS(Lançamentos!$F:$F,Lançamentos!$A:$A,AP$19,Lançamentos!$C:$C,"Frete sobre Vendas")</f>
        <v>0</v>
      </c>
      <c r="AQ50" s="37">
        <f>SUMIFS(Lançamentos!$F:$F,Lançamentos!$A:$A,AQ$19,Lançamentos!$C:$C,"Frete sobre Vendas")</f>
        <v>0</v>
      </c>
      <c r="AR50" s="37">
        <f>SUMIFS(Lançamentos!$F:$F,Lançamentos!$A:$A,AR$19,Lançamentos!$C:$C,"Frete sobre Vendas")</f>
        <v>0</v>
      </c>
      <c r="AS50" s="37">
        <f>SUMIFS(Lançamentos!$F:$F,Lançamentos!$A:$A,AS$19,Lançamentos!$C:$C,"Frete sobre Vendas")</f>
        <v>0</v>
      </c>
      <c r="AT50" s="37">
        <f>SUMIFS(Lançamentos!$F:$F,Lançamentos!$A:$A,AT$19,Lançamentos!$C:$C,"Frete sobre Vendas")</f>
        <v>0</v>
      </c>
      <c r="AU50" s="37">
        <f>SUMIFS(Lançamentos!$F:$F,Lançamentos!$A:$A,AU$19,Lançamentos!$C:$C,"Frete sobre Vendas")</f>
        <v>0</v>
      </c>
      <c r="AV50" s="37">
        <f>SUMIFS(Lançamentos!$F:$F,Lançamentos!$A:$A,AV$19,Lançamentos!$C:$C,"Frete sobre Vendas")</f>
        <v>0</v>
      </c>
      <c r="AW50" s="37">
        <f>SUMIFS(Lançamentos!$F:$F,Lançamentos!$A:$A,AW$19,Lançamentos!$C:$C,"Frete sobre Vendas")</f>
        <v>0</v>
      </c>
      <c r="AX50" s="37">
        <f>SUMIFS(Lançamentos!$F:$F,Lançamentos!$A:$A,AX$19,Lançamentos!$C:$C,"Frete sobre Vendas")</f>
        <v>0</v>
      </c>
      <c r="AY50" s="37">
        <f>SUMIFS(Lançamentos!$F:$F,Lançamentos!$A:$A,AY$19,Lançamentos!$C:$C,"Frete sobre Vendas")</f>
        <v>0</v>
      </c>
      <c r="AZ50" s="37">
        <f>SUMIFS(Lançamentos!$F:$F,Lançamentos!$A:$A,AZ$19,Lançamentos!$C:$C,"Frete sobre Vendas")</f>
        <v>0</v>
      </c>
      <c r="BA50" s="37">
        <f>SUMIFS(Lançamentos!$F:$F,Lançamentos!$A:$A,BA$19,Lançamentos!$C:$C,"Frete sobre Vendas")</f>
        <v>0</v>
      </c>
      <c r="BB50" s="37">
        <f>SUMIFS(Lançamentos!$F:$F,Lançamentos!$A:$A,BB$19,Lançamentos!$C:$C,"Frete sobre Vendas")</f>
        <v>0</v>
      </c>
      <c r="BC50" s="37">
        <f>SUMIFS(Lançamentos!$F:$F,Lançamentos!$A:$A,BC$19,Lançamentos!$C:$C,"Frete sobre Vendas")</f>
        <v>0</v>
      </c>
      <c r="BD50" s="37">
        <f>SUMIFS(Lançamentos!$F:$F,Lançamentos!$A:$A,BD$19,Lançamentos!$C:$C,"Frete sobre Vendas")</f>
        <v>0</v>
      </c>
      <c r="BE50" s="37">
        <f>SUMIFS(Lançamentos!$F:$F,Lançamentos!$A:$A,BE$19,Lançamentos!$C:$C,"Frete sobre Vendas")</f>
        <v>0</v>
      </c>
      <c r="BF50" s="37">
        <f>SUMIFS(Lançamentos!$F:$F,Lançamentos!$A:$A,BF$19,Lançamentos!$C:$C,"Frete sobre Vendas")</f>
        <v>0</v>
      </c>
      <c r="BG50" s="37">
        <f>SUMIFS(Lançamentos!$F:$F,Lançamentos!$A:$A,BG$19,Lançamentos!$C:$C,"Frete sobre Vendas")</f>
        <v>0</v>
      </c>
      <c r="BH50" s="37">
        <f>SUMIFS(Lançamentos!$F:$F,Lançamentos!$A:$A,BH$19,Lançamentos!$C:$C,"Frete sobre Vendas")</f>
        <v>0</v>
      </c>
      <c r="BI50" s="37">
        <f>SUMIFS(Lançamentos!$F:$F,Lançamentos!$A:$A,BI$19,Lançamentos!$C:$C,"Frete sobre Vendas")</f>
        <v>0</v>
      </c>
      <c r="BJ50" s="37">
        <f>SUMIFS(Lançamentos!$F:$F,Lançamentos!$A:$A,BJ$19,Lançamentos!$C:$C,"Frete sobre Vendas")</f>
        <v>0</v>
      </c>
      <c r="BK50" s="37">
        <f>SUMIFS(Lançamentos!$F:$F,Lançamentos!$A:$A,BK$19,Lançamentos!$C:$C,"Frete sobre Vendas")</f>
        <v>0</v>
      </c>
      <c r="BL50" s="37">
        <f>SUMIFS(Lançamentos!$F:$F,Lançamentos!$A:$A,BL$19,Lançamentos!$C:$C,"Frete sobre Vendas")</f>
        <v>0</v>
      </c>
      <c r="BM50" s="37">
        <f>SUMIFS(Lançamentos!$F:$F,Lançamentos!$A:$A,BM$19,Lançamentos!$C:$C,"Frete sobre Vendas")</f>
        <v>0</v>
      </c>
      <c r="BN50" s="37">
        <f>SUMIFS(Lançamentos!$F:$F,Lançamentos!$A:$A,BN$19,Lançamentos!$C:$C,"Frete sobre Vendas")</f>
        <v>0</v>
      </c>
      <c r="BO50" s="37">
        <f>SUMIFS(Lançamentos!$F:$F,Lançamentos!$A:$A,BO$19,Lançamentos!$C:$C,"Frete sobre Vendas")</f>
        <v>0</v>
      </c>
      <c r="BP50" s="37">
        <f>SUMIFS(Lançamentos!$F:$F,Lançamentos!$A:$A,BP$19,Lançamentos!$C:$C,"Frete sobre Vendas")</f>
        <v>0</v>
      </c>
      <c r="BQ50" s="37">
        <f>SUMIFS(Lançamentos!$F:$F,Lançamentos!$A:$A,BQ$19,Lançamentos!$C:$C,"Frete sobre Vendas")</f>
        <v>0</v>
      </c>
      <c r="BR50" s="37">
        <f>SUMIFS(Lançamentos!$F:$F,Lançamentos!$A:$A,BR$19,Lançamentos!$C:$C,"Frete sobre Vendas")</f>
        <v>0</v>
      </c>
      <c r="BS50" s="37">
        <f>SUMIFS(Lançamentos!$F:$F,Lançamentos!$A:$A,BS$19,Lançamentos!$C:$C,"Frete sobre Vendas")</f>
        <v>0</v>
      </c>
      <c r="BT50" s="37">
        <f>SUMIFS(Lançamentos!$F:$F,Lançamentos!$A:$A,BT$19,Lançamentos!$C:$C,"Frete sobre Vendas")</f>
        <v>0</v>
      </c>
      <c r="BU50" s="37">
        <f>SUMIFS(Lançamentos!$F:$F,Lançamentos!$A:$A,BU$19,Lançamentos!$C:$C,"Frete sobre Vendas")</f>
        <v>0</v>
      </c>
      <c r="BV50" s="37">
        <f>SUMIFS(Lançamentos!$F:$F,Lançamentos!$A:$A,BV$19,Lançamentos!$C:$C,"Frete sobre Vendas")</f>
        <v>0</v>
      </c>
      <c r="BW50" s="37">
        <f>SUMIFS(Lançamentos!$F:$F,Lançamentos!$A:$A,BW$19,Lançamentos!$C:$C,"Frete sobre Vendas")</f>
        <v>0</v>
      </c>
      <c r="BX50" s="37">
        <f>SUMIFS(Lançamentos!$F:$F,Lançamentos!$A:$A,BX$19,Lançamentos!$C:$C,"Frete sobre Vendas")</f>
        <v>0</v>
      </c>
      <c r="BY50" s="37">
        <f>SUMIFS(Lançamentos!$F:$F,Lançamentos!$A:$A,BY$19,Lançamentos!$C:$C,"Frete sobre Vendas")</f>
        <v>0</v>
      </c>
      <c r="BZ50" s="37">
        <f>SUMIFS(Lançamentos!$F:$F,Lançamentos!$A:$A,BZ$19,Lançamentos!$C:$C,"Frete sobre Vendas")</f>
        <v>0</v>
      </c>
      <c r="CA50" s="37">
        <f>SUMIFS(Lançamentos!$F:$F,Lançamentos!$A:$A,CA$19,Lançamentos!$C:$C,"Frete sobre Vendas")</f>
        <v>0</v>
      </c>
      <c r="CB50" s="37">
        <f>SUMIFS(Lançamentos!$F:$F,Lançamentos!$A:$A,CB$19,Lançamentos!$C:$C,"Frete sobre Vendas")</f>
        <v>0</v>
      </c>
      <c r="CC50" s="37">
        <f>SUMIFS(Lançamentos!$F:$F,Lançamentos!$A:$A,CC$19,Lançamentos!$C:$C,"Frete sobre Vendas")</f>
        <v>0</v>
      </c>
      <c r="CD50" s="37">
        <f>SUMIFS(Lançamentos!$F:$F,Lançamentos!$A:$A,CD$19,Lançamentos!$C:$C,"Frete sobre Vendas")</f>
        <v>0</v>
      </c>
      <c r="CE50" s="37">
        <f>SUMIFS(Lançamentos!$F:$F,Lançamentos!$A:$A,CE$19,Lançamentos!$C:$C,"Frete sobre Vendas")</f>
        <v>0</v>
      </c>
      <c r="CF50" s="37">
        <f>SUMIFS(Lançamentos!$F:$F,Lançamentos!$A:$A,CF$19,Lançamentos!$C:$C,"Frete sobre Vendas")</f>
        <v>0</v>
      </c>
      <c r="CG50" s="37">
        <f>SUMIFS(Lançamentos!$F:$F,Lançamentos!$A:$A,CG$19,Lançamentos!$C:$C,"Frete sobre Vendas")</f>
        <v>0</v>
      </c>
      <c r="CH50" s="37">
        <f>SUMIFS(Lançamentos!$F:$F,Lançamentos!$A:$A,CH$19,Lançamentos!$C:$C,"Frete sobre Vendas")</f>
        <v>0</v>
      </c>
      <c r="CI50" s="37">
        <f>SUMIFS(Lançamentos!$F:$F,Lançamentos!$A:$A,CI$19,Lançamentos!$C:$C,"Frete sobre Vendas")</f>
        <v>0</v>
      </c>
      <c r="CJ50" s="37">
        <f>SUMIFS(Lançamentos!$F:$F,Lançamentos!$A:$A,CJ$19,Lançamentos!$C:$C,"Frete sobre Vendas")</f>
        <v>0</v>
      </c>
      <c r="CK50" s="37">
        <f>SUMIFS(Lançamentos!$F:$F,Lançamentos!$A:$A,CK$19,Lançamentos!$C:$C,"Frete sobre Vendas")</f>
        <v>0</v>
      </c>
      <c r="CL50" s="37">
        <f>SUMIFS(Lançamentos!$F:$F,Lançamentos!$A:$A,CL$19,Lançamentos!$C:$C,"Frete sobre Vendas")</f>
        <v>0</v>
      </c>
      <c r="CM50" s="37">
        <f>SUMIFS(Lançamentos!$F:$F,Lançamentos!$A:$A,CM$19,Lançamentos!$C:$C,"Frete sobre Vendas")</f>
        <v>0</v>
      </c>
      <c r="CN50" s="37">
        <f>SUMIFS(Lançamentos!$F:$F,Lançamentos!$A:$A,CN$19,Lançamentos!$C:$C,"Frete sobre Vendas")</f>
        <v>0</v>
      </c>
      <c r="CO50" s="37">
        <f>SUMIFS(Lançamentos!$F:$F,Lançamentos!$A:$A,CO$19,Lançamentos!$C:$C,"Frete sobre Vendas")</f>
        <v>0</v>
      </c>
      <c r="CP50" s="37">
        <f>SUMIFS(Lançamentos!$F:$F,Lançamentos!$A:$A,CP$19,Lançamentos!$C:$C,"Frete sobre Vendas")</f>
        <v>0</v>
      </c>
      <c r="CQ50" s="37">
        <f>SUMIFS(Lançamentos!$F:$F,Lançamentos!$A:$A,CQ$19,Lançamentos!$C:$C,"Frete sobre Vendas")</f>
        <v>0</v>
      </c>
      <c r="CR50" s="37">
        <f>SUMIFS(Lançamentos!$F:$F,Lançamentos!$A:$A,CR$19,Lançamentos!$C:$C,"Frete sobre Vendas")</f>
        <v>0</v>
      </c>
      <c r="CS50" s="37">
        <f>SUMIFS(Lançamentos!$F:$F,Lançamentos!$A:$A,CS$19,Lançamentos!$C:$C,"Frete sobre Vendas")</f>
        <v>0</v>
      </c>
      <c r="CT50" s="37">
        <f>SUMIFS(Lançamentos!$F:$F,Lançamentos!$A:$A,CT$19,Lançamentos!$C:$C,"Frete sobre Vendas")</f>
        <v>0</v>
      </c>
      <c r="CU50" s="37">
        <f>SUMIFS(Lançamentos!$F:$F,Lançamentos!$A:$A,CU$19,Lançamentos!$C:$C,"Frete sobre Vendas")</f>
        <v>0</v>
      </c>
      <c r="CV50" s="37">
        <f>SUMIFS(Lançamentos!$F:$F,Lançamentos!$A:$A,CV$19,Lançamentos!$C:$C,"Frete sobre Vendas")</f>
        <v>0</v>
      </c>
      <c r="CW50" s="37">
        <f>SUMIFS(Lançamentos!$F:$F,Lançamentos!$A:$A,CW$19,Lançamentos!$C:$C,"Frete sobre Vendas")</f>
        <v>0</v>
      </c>
      <c r="CX50" s="37">
        <f>SUMIFS(Lançamentos!$F:$F,Lançamentos!$A:$A,CX$19,Lançamentos!$C:$C,"Frete sobre Vendas")</f>
        <v>0</v>
      </c>
      <c r="CY50" s="37">
        <f>SUMIFS(Lançamentos!$F:$F,Lançamentos!$A:$A,CY$19,Lançamentos!$C:$C,"Frete sobre Vendas")</f>
        <v>0</v>
      </c>
      <c r="CZ50" s="37">
        <f>SUMIFS(Lançamentos!$F:$F,Lançamentos!$A:$A,CZ$19,Lançamentos!$C:$C,"Frete sobre Vendas")</f>
        <v>0</v>
      </c>
      <c r="DA50" s="37">
        <f>SUMIFS(Lançamentos!$F:$F,Lançamentos!$A:$A,DA$19,Lançamentos!$C:$C,"Frete sobre Vendas")</f>
        <v>0</v>
      </c>
      <c r="DB50" s="37">
        <f>SUMIFS(Lançamentos!$F:$F,Lançamentos!$A:$A,DB$19,Lançamentos!$C:$C,"Frete sobre Vendas")</f>
        <v>0</v>
      </c>
      <c r="DC50" s="37">
        <f>SUMIFS(Lançamentos!$F:$F,Lançamentos!$A:$A,DC$19,Lançamentos!$C:$C,"Frete sobre Vendas")</f>
        <v>0</v>
      </c>
      <c r="DD50" s="37">
        <f>SUMIFS(Lançamentos!$F:$F,Lançamentos!$A:$A,DD$19,Lançamentos!$C:$C,"Frete sobre Vendas")</f>
        <v>0</v>
      </c>
      <c r="DE50" s="37">
        <f>SUMIFS(Lançamentos!$F:$F,Lançamentos!$A:$A,DE$19,Lançamentos!$C:$C,"Frete sobre Vendas")</f>
        <v>0</v>
      </c>
      <c r="DF50" s="37">
        <f>SUMIFS(Lançamentos!$F:$F,Lançamentos!$A:$A,DF$19,Lançamentos!$C:$C,"Frete sobre Vendas")</f>
        <v>0</v>
      </c>
      <c r="DG50" s="37">
        <f>SUMIFS(Lançamentos!$F:$F,Lançamentos!$A:$A,DG$19,Lançamentos!$C:$C,"Frete sobre Vendas")</f>
        <v>0</v>
      </c>
      <c r="DH50" s="37">
        <f>SUMIFS(Lançamentos!$F:$F,Lançamentos!$A:$A,DH$19,Lançamentos!$C:$C,"Frete sobre Vendas")</f>
        <v>0</v>
      </c>
      <c r="DI50" s="37">
        <f>SUMIFS(Lançamentos!$F:$F,Lançamentos!$A:$A,DI$19,Lançamentos!$C:$C,"Frete sobre Vendas")</f>
        <v>0</v>
      </c>
      <c r="DJ50" s="37">
        <f>SUMIFS(Lançamentos!$F:$F,Lançamentos!$A:$A,DJ$19,Lançamentos!$C:$C,"Frete sobre Vendas")</f>
        <v>0</v>
      </c>
      <c r="DK50" s="37">
        <f>SUMIFS(Lançamentos!$F:$F,Lançamentos!$A:$A,DK$19,Lançamentos!$C:$C,"Frete sobre Vendas")</f>
        <v>0</v>
      </c>
      <c r="DL50" s="37">
        <f>SUMIFS(Lançamentos!$F:$F,Lançamentos!$A:$A,DL$19,Lançamentos!$C:$C,"Frete sobre Vendas")</f>
        <v>0</v>
      </c>
      <c r="DM50" s="37">
        <f>SUMIFS(Lançamentos!$F:$F,Lançamentos!$A:$A,DM$19,Lançamentos!$C:$C,"Frete sobre Vendas")</f>
        <v>0</v>
      </c>
      <c r="DN50" s="37">
        <f>SUMIFS(Lançamentos!$F:$F,Lançamentos!$A:$A,DN$19,Lançamentos!$C:$C,"Frete sobre Vendas")</f>
        <v>0</v>
      </c>
      <c r="DO50" s="37">
        <f>SUMIFS(Lançamentos!$F:$F,Lançamentos!$A:$A,DO$19,Lançamentos!$C:$C,"Frete sobre Vendas")</f>
        <v>0</v>
      </c>
      <c r="DP50" s="37">
        <f>SUMIFS(Lançamentos!$F:$F,Lançamentos!$A:$A,DP$19,Lançamentos!$C:$C,"Frete sobre Vendas")</f>
        <v>0</v>
      </c>
      <c r="DQ50" s="37">
        <f>SUMIFS(Lançamentos!$F:$F,Lançamentos!$A:$A,DQ$19,Lançamentos!$C:$C,"Frete sobre Vendas")</f>
        <v>0</v>
      </c>
      <c r="DR50" s="37">
        <f>SUMIFS(Lançamentos!$F:$F,Lançamentos!$A:$A,DR$19,Lançamentos!$C:$C,"Frete sobre Vendas")</f>
        <v>0</v>
      </c>
      <c r="DS50" s="37">
        <f>SUMIFS(Lançamentos!$F:$F,Lançamentos!$A:$A,DS$19,Lançamentos!$C:$C,"Frete sobre Vendas")</f>
        <v>0</v>
      </c>
      <c r="DT50" s="37">
        <f>SUMIFS(Lançamentos!$F:$F,Lançamentos!$A:$A,DT$19,Lançamentos!$C:$C,"Frete sobre Vendas")</f>
        <v>0</v>
      </c>
      <c r="DU50" s="37">
        <f>SUMIFS(Lançamentos!$F:$F,Lançamentos!$A:$A,DU$19,Lançamentos!$C:$C,"Frete sobre Vendas")</f>
        <v>0</v>
      </c>
      <c r="DV50" s="37">
        <f>SUMIFS(Lançamentos!$F:$F,Lançamentos!$A:$A,DV$19,Lançamentos!$C:$C,"Frete sobre Vendas")</f>
        <v>0</v>
      </c>
      <c r="DW50" s="37">
        <f>SUMIFS(Lançamentos!$F:$F,Lançamentos!$A:$A,DW$19,Lançamentos!$C:$C,"Frete sobre Vendas")</f>
        <v>0</v>
      </c>
      <c r="DX50" s="37">
        <f>SUMIFS(Lançamentos!$F:$F,Lançamentos!$A:$A,DX$19,Lançamentos!$C:$C,"Frete sobre Vendas")</f>
        <v>0</v>
      </c>
      <c r="DY50" s="37">
        <f>SUMIFS(Lançamentos!$F:$F,Lançamentos!$A:$A,DY$19,Lançamentos!$C:$C,"Frete sobre Vendas")</f>
        <v>0</v>
      </c>
      <c r="DZ50" s="37">
        <f>SUMIFS(Lançamentos!$F:$F,Lançamentos!$A:$A,DZ$19,Lançamentos!$C:$C,"Frete sobre Vendas")</f>
        <v>0</v>
      </c>
      <c r="EA50" s="37">
        <f>SUMIFS(Lançamentos!$F:$F,Lançamentos!$A:$A,EA$19,Lançamentos!$C:$C,"Frete sobre Vendas")</f>
        <v>0</v>
      </c>
      <c r="EB50" s="37">
        <f>SUMIFS(Lançamentos!$F:$F,Lançamentos!$A:$A,EB$19,Lançamentos!$C:$C,"Frete sobre Vendas")</f>
        <v>0</v>
      </c>
      <c r="EC50" s="37">
        <f>SUMIFS(Lançamentos!$F:$F,Lançamentos!$A:$A,EC$19,Lançamentos!$C:$C,"Frete sobre Vendas")</f>
        <v>0</v>
      </c>
      <c r="ED50" s="37">
        <f>SUMIFS(Lançamentos!$F:$F,Lançamentos!$A:$A,ED$19,Lançamentos!$C:$C,"Frete sobre Vendas")</f>
        <v>0</v>
      </c>
      <c r="EE50" s="37">
        <f>SUMIFS(Lançamentos!$F:$F,Lançamentos!$A:$A,EE$19,Lançamentos!$C:$C,"Frete sobre Vendas")</f>
        <v>0</v>
      </c>
      <c r="EF50" s="37">
        <f>SUMIFS(Lançamentos!$F:$F,Lançamentos!$A:$A,EF$19,Lançamentos!$C:$C,"Frete sobre Vendas")</f>
        <v>0</v>
      </c>
      <c r="EG50" s="37">
        <f>SUMIFS(Lançamentos!$F:$F,Lançamentos!$A:$A,EG$19,Lançamentos!$C:$C,"Frete sobre Vendas")</f>
        <v>0</v>
      </c>
      <c r="EH50" s="37">
        <f>SUMIFS(Lançamentos!$F:$F,Lançamentos!$A:$A,EH$19,Lançamentos!$C:$C,"Frete sobre Vendas")</f>
        <v>0</v>
      </c>
      <c r="EI50" s="37">
        <f>SUMIFS(Lançamentos!$F:$F,Lançamentos!$A:$A,EI$19,Lançamentos!$C:$C,"Frete sobre Vendas")</f>
        <v>0</v>
      </c>
      <c r="EJ50" s="37">
        <f>SUMIFS(Lançamentos!$F:$F,Lançamentos!$A:$A,EJ$19,Lançamentos!$C:$C,"Frete sobre Vendas")</f>
        <v>0</v>
      </c>
      <c r="EK50" s="37">
        <f>SUMIFS(Lançamentos!$F:$F,Lançamentos!$A:$A,EK$19,Lançamentos!$C:$C,"Frete sobre Vendas")</f>
        <v>0</v>
      </c>
      <c r="EL50" s="37">
        <f>SUMIFS(Lançamentos!$F:$F,Lançamentos!$A:$A,EL$19,Lançamentos!$C:$C,"Frete sobre Vendas")</f>
        <v>0</v>
      </c>
      <c r="EM50" s="37">
        <f>SUMIFS(Lançamentos!$F:$F,Lançamentos!$A:$A,EM$19,Lançamentos!$C:$C,"Frete sobre Vendas")</f>
        <v>0</v>
      </c>
      <c r="EN50" s="37">
        <f>SUMIFS(Lançamentos!$F:$F,Lançamentos!$A:$A,EN$19,Lançamentos!$C:$C,"Frete sobre Vendas")</f>
        <v>0</v>
      </c>
      <c r="EO50" s="37">
        <f>SUMIFS(Lançamentos!$F:$F,Lançamentos!$A:$A,EO$19,Lançamentos!$C:$C,"Frete sobre Vendas")</f>
        <v>0</v>
      </c>
      <c r="EP50" s="37">
        <f>SUMIFS(Lançamentos!$F:$F,Lançamentos!$A:$A,EP$19,Lançamentos!$C:$C,"Frete sobre Vendas")</f>
        <v>0</v>
      </c>
      <c r="EQ50" s="37">
        <f>SUMIFS(Lançamentos!$F:$F,Lançamentos!$A:$A,EQ$19,Lançamentos!$C:$C,"Frete sobre Vendas")</f>
        <v>0</v>
      </c>
      <c r="ER50" s="37">
        <f>SUMIFS(Lançamentos!$F:$F,Lançamentos!$A:$A,ER$19,Lançamentos!$C:$C,"Frete sobre Vendas")</f>
        <v>0</v>
      </c>
      <c r="ES50" s="37">
        <f>SUMIFS(Lançamentos!$F:$F,Lançamentos!$A:$A,ES$19,Lançamentos!$C:$C,"Frete sobre Vendas")</f>
        <v>0</v>
      </c>
      <c r="ET50" s="37">
        <f>SUMIFS(Lançamentos!$F:$F,Lançamentos!$A:$A,ET$19,Lançamentos!$C:$C,"Frete sobre Vendas")</f>
        <v>0</v>
      </c>
      <c r="EU50" s="37">
        <f>SUMIFS(Lançamentos!$F:$F,Lançamentos!$A:$A,EU$19,Lançamentos!$C:$C,"Frete sobre Vendas")</f>
        <v>0</v>
      </c>
      <c r="EV50" s="37">
        <f>SUMIFS(Lançamentos!$F:$F,Lançamentos!$A:$A,EV$19,Lançamentos!$C:$C,"Frete sobre Vendas")</f>
        <v>0</v>
      </c>
      <c r="EW50" s="37">
        <f>SUMIFS(Lançamentos!$F:$F,Lançamentos!$A:$A,EW$19,Lançamentos!$C:$C,"Frete sobre Vendas")</f>
        <v>0</v>
      </c>
      <c r="EX50" s="37">
        <f>SUMIFS(Lançamentos!$F:$F,Lançamentos!$A:$A,EX$19,Lançamentos!$C:$C,"Frete sobre Vendas")</f>
        <v>0</v>
      </c>
      <c r="EY50" s="37">
        <f>SUMIFS(Lançamentos!$F:$F,Lançamentos!$A:$A,EY$19,Lançamentos!$C:$C,"Frete sobre Vendas")</f>
        <v>0</v>
      </c>
      <c r="EZ50" s="37">
        <f>SUMIFS(Lançamentos!$F:$F,Lançamentos!$A:$A,EZ$19,Lançamentos!$C:$C,"Frete sobre Vendas")</f>
        <v>0</v>
      </c>
      <c r="FA50" s="37">
        <f>SUMIFS(Lançamentos!$F:$F,Lançamentos!$A:$A,FA$19,Lançamentos!$C:$C,"Frete sobre Vendas")</f>
        <v>0</v>
      </c>
      <c r="FB50" s="37">
        <f>SUMIFS(Lançamentos!$F:$F,Lançamentos!$A:$A,FB$19,Lançamentos!$C:$C,"Frete sobre Vendas")</f>
        <v>0</v>
      </c>
      <c r="FC50" s="37">
        <f>SUMIFS(Lançamentos!$F:$F,Lançamentos!$A:$A,FC$19,Lançamentos!$C:$C,"Frete sobre Vendas")</f>
        <v>0</v>
      </c>
      <c r="FD50" s="37">
        <f>SUMIFS(Lançamentos!$F:$F,Lançamentos!$A:$A,FD$19,Lançamentos!$C:$C,"Frete sobre Vendas")</f>
        <v>0</v>
      </c>
      <c r="FE50" s="37">
        <f>SUMIFS(Lançamentos!$F:$F,Lançamentos!$A:$A,FE$19,Lançamentos!$C:$C,"Frete sobre Vendas")</f>
        <v>0</v>
      </c>
      <c r="FF50" s="37">
        <f>SUMIFS(Lançamentos!$F:$F,Lançamentos!$A:$A,FF$19,Lançamentos!$C:$C,"Frete sobre Vendas")</f>
        <v>0</v>
      </c>
      <c r="FG50" s="37">
        <f>SUMIFS(Lançamentos!$F:$F,Lançamentos!$A:$A,FG$19,Lançamentos!$C:$C,"Frete sobre Vendas")</f>
        <v>0</v>
      </c>
      <c r="FH50" s="37">
        <f>SUMIFS(Lançamentos!$F:$F,Lançamentos!$A:$A,FH$19,Lançamentos!$C:$C,"Frete sobre Vendas")</f>
        <v>0</v>
      </c>
      <c r="FI50" s="37">
        <f>SUMIFS(Lançamentos!$F:$F,Lançamentos!$A:$A,FI$19,Lançamentos!$C:$C,"Frete sobre Vendas")</f>
        <v>0</v>
      </c>
      <c r="FJ50" s="37">
        <f>SUMIFS(Lançamentos!$F:$F,Lançamentos!$A:$A,FJ$19,Lançamentos!$C:$C,"Frete sobre Vendas")</f>
        <v>0</v>
      </c>
      <c r="FK50" s="37">
        <f>SUMIFS(Lançamentos!$F:$F,Lançamentos!$A:$A,FK$19,Lançamentos!$C:$C,"Frete sobre Vendas")</f>
        <v>0</v>
      </c>
      <c r="FL50" s="37">
        <f>SUMIFS(Lançamentos!$F:$F,Lançamentos!$A:$A,FL$19,Lançamentos!$C:$C,"Frete sobre Vendas")</f>
        <v>0</v>
      </c>
      <c r="FM50" s="37">
        <f>SUMIFS(Lançamentos!$F:$F,Lançamentos!$A:$A,FM$19,Lançamentos!$C:$C,"Frete sobre Vendas")</f>
        <v>0</v>
      </c>
      <c r="FN50" s="37">
        <f>SUMIFS(Lançamentos!$F:$F,Lançamentos!$A:$A,FN$19,Lançamentos!$C:$C,"Frete sobre Vendas")</f>
        <v>0</v>
      </c>
      <c r="FO50" s="37">
        <f>SUMIFS(Lançamentos!$F:$F,Lançamentos!$A:$A,FO$19,Lançamentos!$C:$C,"Frete sobre Vendas")</f>
        <v>0</v>
      </c>
      <c r="FP50" s="37">
        <f>SUMIFS(Lançamentos!$F:$F,Lançamentos!$A:$A,FP$19,Lançamentos!$C:$C,"Frete sobre Vendas")</f>
        <v>0</v>
      </c>
      <c r="FQ50" s="37">
        <f>SUMIFS(Lançamentos!$F:$F,Lançamentos!$A:$A,FQ$19,Lançamentos!$C:$C,"Frete sobre Vendas")</f>
        <v>0</v>
      </c>
      <c r="FR50" s="37">
        <f>SUMIFS(Lançamentos!$F:$F,Lançamentos!$A:$A,FR$19,Lançamentos!$C:$C,"Frete sobre Vendas")</f>
        <v>0</v>
      </c>
      <c r="FS50" s="37">
        <f>SUMIFS(Lançamentos!$F:$F,Lançamentos!$A:$A,FS$19,Lançamentos!$C:$C,"Frete sobre Vendas")</f>
        <v>0</v>
      </c>
      <c r="FT50" s="37">
        <f>SUMIFS(Lançamentos!$F:$F,Lançamentos!$A:$A,FT$19,Lançamentos!$C:$C,"Frete sobre Vendas")</f>
        <v>0</v>
      </c>
      <c r="FU50" s="37">
        <f>SUMIFS(Lançamentos!$F:$F,Lançamentos!$A:$A,FU$19,Lançamentos!$C:$C,"Frete sobre Vendas")</f>
        <v>0</v>
      </c>
      <c r="FV50" s="37">
        <f>SUMIFS(Lançamentos!$F:$F,Lançamentos!$A:$A,FV$19,Lançamentos!$C:$C,"Frete sobre Vendas")</f>
        <v>0</v>
      </c>
      <c r="FW50" s="37">
        <f>SUMIFS(Lançamentos!$F:$F,Lançamentos!$A:$A,FW$19,Lançamentos!$C:$C,"Frete sobre Vendas")</f>
        <v>0</v>
      </c>
      <c r="FX50" s="37">
        <f>SUMIFS(Lançamentos!$F:$F,Lançamentos!$A:$A,FX$19,Lançamentos!$C:$C,"Frete sobre Vendas")</f>
        <v>0</v>
      </c>
      <c r="FY50" s="37">
        <f>SUMIFS(Lançamentos!$F:$F,Lançamentos!$A:$A,FY$19,Lançamentos!$C:$C,"Frete sobre Vendas")</f>
        <v>0</v>
      </c>
      <c r="FZ50" s="37">
        <f>SUMIFS(Lançamentos!$F:$F,Lançamentos!$A:$A,FZ$19,Lançamentos!$C:$C,"Frete sobre Vendas")</f>
        <v>0</v>
      </c>
      <c r="GA50" s="37">
        <f>SUMIFS(Lançamentos!$F:$F,Lançamentos!$A:$A,GA$19,Lançamentos!$C:$C,"Frete sobre Vendas")</f>
        <v>0</v>
      </c>
      <c r="GB50" s="37">
        <f>SUMIFS(Lançamentos!$F:$F,Lançamentos!$A:$A,GB$19,Lançamentos!$C:$C,"Frete sobre Vendas")</f>
        <v>0</v>
      </c>
      <c r="GC50" s="37">
        <f>SUMIFS(Lançamentos!$F:$F,Lançamentos!$A:$A,GC$19,Lançamentos!$C:$C,"Frete sobre Vendas")</f>
        <v>0</v>
      </c>
      <c r="GD50" s="37">
        <f>SUMIFS(Lançamentos!$F:$F,Lançamentos!$A:$A,GD$19,Lançamentos!$C:$C,"Frete sobre Vendas")</f>
        <v>0</v>
      </c>
      <c r="GE50" s="37">
        <f>SUMIFS(Lançamentos!$F:$F,Lançamentos!$A:$A,GE$19,Lançamentos!$C:$C,"Frete sobre Vendas")</f>
        <v>0</v>
      </c>
      <c r="GF50" s="37">
        <f>SUMIFS(Lançamentos!$F:$F,Lançamentos!$A:$A,GF$19,Lançamentos!$C:$C,"Frete sobre Vendas")</f>
        <v>0</v>
      </c>
      <c r="GG50" s="37">
        <f>SUMIFS(Lançamentos!$F:$F,Lançamentos!$A:$A,GG$19,Lançamentos!$C:$C,"Frete sobre Vendas")</f>
        <v>0</v>
      </c>
      <c r="GH50" s="37">
        <f>SUMIFS(Lançamentos!$F:$F,Lançamentos!$A:$A,GH$19,Lançamentos!$C:$C,"Frete sobre Vendas")</f>
        <v>0</v>
      </c>
      <c r="GI50" s="37">
        <f>SUMIFS(Lançamentos!$F:$F,Lançamentos!$A:$A,GI$19,Lançamentos!$C:$C,"Frete sobre Vendas")</f>
        <v>0</v>
      </c>
      <c r="GJ50" s="37">
        <f>SUMIFS(Lançamentos!$F:$F,Lançamentos!$A:$A,GJ$19,Lançamentos!$C:$C,"Frete sobre Vendas")</f>
        <v>0</v>
      </c>
      <c r="GK50" s="37">
        <f>SUMIFS(Lançamentos!$F:$F,Lançamentos!$A:$A,GK$19,Lançamentos!$C:$C,"Frete sobre Vendas")</f>
        <v>0</v>
      </c>
      <c r="GL50" s="37">
        <f>SUMIFS(Lançamentos!$F:$F,Lançamentos!$A:$A,GL$19,Lançamentos!$C:$C,"Frete sobre Vendas")</f>
        <v>0</v>
      </c>
      <c r="GM50" s="37">
        <f>SUMIFS(Lançamentos!$F:$F,Lançamentos!$A:$A,GM$19,Lançamentos!$C:$C,"Frete sobre Vendas")</f>
        <v>0</v>
      </c>
      <c r="GN50" s="37">
        <f>SUMIFS(Lançamentos!$F:$F,Lançamentos!$A:$A,GN$19,Lançamentos!$C:$C,"Frete sobre Vendas")</f>
        <v>0</v>
      </c>
      <c r="GO50" s="37">
        <f>SUMIFS(Lançamentos!$F:$F,Lançamentos!$A:$A,GO$19,Lançamentos!$C:$C,"Frete sobre Vendas")</f>
        <v>0</v>
      </c>
      <c r="GP50" s="37">
        <f>SUMIFS(Lançamentos!$F:$F,Lançamentos!$A:$A,GP$19,Lançamentos!$C:$C,"Frete sobre Vendas")</f>
        <v>0</v>
      </c>
      <c r="GQ50" s="37">
        <f>SUMIFS(Lançamentos!$F:$F,Lançamentos!$A:$A,GQ$19,Lançamentos!$C:$C,"Frete sobre Vendas")</f>
        <v>0</v>
      </c>
      <c r="GR50" s="37">
        <f>SUMIFS(Lançamentos!$F:$F,Lançamentos!$A:$A,GR$19,Lançamentos!$C:$C,"Frete sobre Vendas")</f>
        <v>0</v>
      </c>
      <c r="GS50" s="37">
        <f>SUMIFS(Lançamentos!$F:$F,Lançamentos!$A:$A,GS$19,Lançamentos!$C:$C,"Frete sobre Vendas")</f>
        <v>0</v>
      </c>
      <c r="GT50" s="37">
        <f>SUMIFS(Lançamentos!$F:$F,Lançamentos!$A:$A,GT$19,Lançamentos!$C:$C,"Frete sobre Vendas")</f>
        <v>0</v>
      </c>
      <c r="GU50" s="37">
        <f>SUMIFS(Lançamentos!$F:$F,Lançamentos!$A:$A,GU$19,Lançamentos!$C:$C,"Frete sobre Vendas")</f>
        <v>0</v>
      </c>
      <c r="GV50" s="37">
        <f>SUMIFS(Lançamentos!$F:$F,Lançamentos!$A:$A,GV$19,Lançamentos!$C:$C,"Frete sobre Vendas")</f>
        <v>0</v>
      </c>
      <c r="GW50" s="37">
        <f>SUMIFS(Lançamentos!$F:$F,Lançamentos!$A:$A,GW$19,Lançamentos!$C:$C,"Frete sobre Vendas")</f>
        <v>0</v>
      </c>
      <c r="GX50" s="37">
        <f>SUMIFS(Lançamentos!$F:$F,Lançamentos!$A:$A,GX$19,Lançamentos!$C:$C,"Frete sobre Vendas")</f>
        <v>0</v>
      </c>
      <c r="GY50" s="37">
        <f>SUMIFS(Lançamentos!$F:$F,Lançamentos!$A:$A,GY$19,Lançamentos!$C:$C,"Frete sobre Vendas")</f>
        <v>0</v>
      </c>
      <c r="GZ50" s="37">
        <f>SUMIFS(Lançamentos!$F:$F,Lançamentos!$A:$A,GZ$19,Lançamentos!$C:$C,"Frete sobre Vendas")</f>
        <v>0</v>
      </c>
      <c r="HA50" s="37">
        <f>SUMIFS(Lançamentos!$F:$F,Lançamentos!$A:$A,HA$19,Lançamentos!$C:$C,"Frete sobre Vendas")</f>
        <v>0</v>
      </c>
      <c r="HB50" s="37">
        <f>SUMIFS(Lançamentos!$F:$F,Lançamentos!$A:$A,HB$19,Lançamentos!$C:$C,"Frete sobre Vendas")</f>
        <v>0</v>
      </c>
      <c r="HC50" s="37">
        <f>SUMIFS(Lançamentos!$F:$F,Lançamentos!$A:$A,HC$19,Lançamentos!$C:$C,"Frete sobre Vendas")</f>
        <v>0</v>
      </c>
      <c r="HD50" s="37">
        <f>SUMIFS(Lançamentos!$F:$F,Lançamentos!$A:$A,HD$19,Lançamentos!$C:$C,"Frete sobre Vendas")</f>
        <v>0</v>
      </c>
      <c r="HE50" s="37">
        <f>SUMIFS(Lançamentos!$F:$F,Lançamentos!$A:$A,HE$19,Lançamentos!$C:$C,"Frete sobre Vendas")</f>
        <v>0</v>
      </c>
      <c r="HF50" s="37">
        <f>SUMIFS(Lançamentos!$F:$F,Lançamentos!$A:$A,HF$19,Lançamentos!$C:$C,"Frete sobre Vendas")</f>
        <v>0</v>
      </c>
      <c r="HG50" s="37">
        <f>SUMIFS(Lançamentos!$F:$F,Lançamentos!$A:$A,HG$19,Lançamentos!$C:$C,"Frete sobre Vendas")</f>
        <v>0</v>
      </c>
      <c r="HH50" s="37">
        <f>SUMIFS(Lançamentos!$F:$F,Lançamentos!$A:$A,HH$19,Lançamentos!$C:$C,"Frete sobre Vendas")</f>
        <v>0</v>
      </c>
      <c r="HI50" s="37">
        <f>SUMIFS(Lançamentos!$F:$F,Lançamentos!$A:$A,HI$19,Lançamentos!$C:$C,"Frete sobre Vendas")</f>
        <v>0</v>
      </c>
      <c r="HJ50" s="37">
        <f>SUMIFS(Lançamentos!$F:$F,Lançamentos!$A:$A,HJ$19,Lançamentos!$C:$C,"Frete sobre Vendas")</f>
        <v>0</v>
      </c>
      <c r="HK50" s="37">
        <f>SUMIFS(Lançamentos!$F:$F,Lançamentos!$A:$A,HK$19,Lançamentos!$C:$C,"Frete sobre Vendas")</f>
        <v>0</v>
      </c>
      <c r="HL50" s="37">
        <f>SUMIFS(Lançamentos!$F:$F,Lançamentos!$A:$A,HL$19,Lançamentos!$C:$C,"Frete sobre Vendas")</f>
        <v>0</v>
      </c>
      <c r="HM50" s="37">
        <f>SUMIFS(Lançamentos!$F:$F,Lançamentos!$A:$A,HM$19,Lançamentos!$C:$C,"Frete sobre Vendas")</f>
        <v>0</v>
      </c>
      <c r="HN50" s="37">
        <f>SUMIFS(Lançamentos!$F:$F,Lançamentos!$A:$A,HN$19,Lançamentos!$C:$C,"Frete sobre Vendas")</f>
        <v>0</v>
      </c>
      <c r="HO50" s="37">
        <f>SUMIFS(Lançamentos!$F:$F,Lançamentos!$A:$A,HO$19,Lançamentos!$C:$C,"Frete sobre Vendas")</f>
        <v>0</v>
      </c>
      <c r="HP50" s="37">
        <f>SUMIFS(Lançamentos!$F:$F,Lançamentos!$A:$A,HP$19,Lançamentos!$C:$C,"Frete sobre Vendas")</f>
        <v>0</v>
      </c>
      <c r="HQ50" s="37">
        <f>SUMIFS(Lançamentos!$F:$F,Lançamentos!$A:$A,HQ$19,Lançamentos!$C:$C,"Frete sobre Vendas")</f>
        <v>0</v>
      </c>
      <c r="HR50" s="37">
        <f>SUMIFS(Lançamentos!$F:$F,Lançamentos!$A:$A,HR$19,Lançamentos!$C:$C,"Frete sobre Vendas")</f>
        <v>0</v>
      </c>
      <c r="HS50" s="37">
        <f>SUMIFS(Lançamentos!$F:$F,Lançamentos!$A:$A,HS$19,Lançamentos!$C:$C,"Frete sobre Vendas")</f>
        <v>0</v>
      </c>
      <c r="HT50" s="37">
        <f>SUMIFS(Lançamentos!$F:$F,Lançamentos!$A:$A,HT$19,Lançamentos!$C:$C,"Frete sobre Vendas")</f>
        <v>0</v>
      </c>
      <c r="HU50" s="37">
        <f>SUMIFS(Lançamentos!$F:$F,Lançamentos!$A:$A,HU$19,Lançamentos!$C:$C,"Frete sobre Vendas")</f>
        <v>0</v>
      </c>
      <c r="HV50" s="37">
        <f>SUMIFS(Lançamentos!$F:$F,Lançamentos!$A:$A,HV$19,Lançamentos!$C:$C,"Frete sobre Vendas")</f>
        <v>0</v>
      </c>
      <c r="HW50" s="37">
        <f>SUMIFS(Lançamentos!$F:$F,Lançamentos!$A:$A,HW$19,Lançamentos!$C:$C,"Frete sobre Vendas")</f>
        <v>0</v>
      </c>
      <c r="HX50" s="37">
        <f>SUMIFS(Lançamentos!$F:$F,Lançamentos!$A:$A,HX$19,Lançamentos!$C:$C,"Frete sobre Vendas")</f>
        <v>0</v>
      </c>
      <c r="HY50" s="37">
        <f>SUMIFS(Lançamentos!$F:$F,Lançamentos!$A:$A,HY$19,Lançamentos!$C:$C,"Frete sobre Vendas")</f>
        <v>0</v>
      </c>
      <c r="HZ50" s="37">
        <f>SUMIFS(Lançamentos!$F:$F,Lançamentos!$A:$A,HZ$19,Lançamentos!$C:$C,"Frete sobre Vendas")</f>
        <v>0</v>
      </c>
      <c r="IA50" s="37">
        <f>SUMIFS(Lançamentos!$F:$F,Lançamentos!$A:$A,IA$19,Lançamentos!$C:$C,"Frete sobre Vendas")</f>
        <v>0</v>
      </c>
      <c r="IB50" s="37">
        <f>SUMIFS(Lançamentos!$F:$F,Lançamentos!$A:$A,IB$19,Lançamentos!$C:$C,"Frete sobre Vendas")</f>
        <v>0</v>
      </c>
      <c r="IC50" s="37">
        <f>SUMIFS(Lançamentos!$F:$F,Lançamentos!$A:$A,IC$19,Lançamentos!$C:$C,"Frete sobre Vendas")</f>
        <v>0</v>
      </c>
      <c r="ID50" s="37">
        <f>SUMIFS(Lançamentos!$F:$F,Lançamentos!$A:$A,ID$19,Lançamentos!$C:$C,"Frete sobre Vendas")</f>
        <v>0</v>
      </c>
      <c r="IE50" s="37">
        <f>SUMIFS(Lançamentos!$F:$F,Lançamentos!$A:$A,IE$19,Lançamentos!$C:$C,"Frete sobre Vendas")</f>
        <v>0</v>
      </c>
      <c r="IF50" s="37">
        <f>SUMIFS(Lançamentos!$F:$F,Lançamentos!$A:$A,IF$19,Lançamentos!$C:$C,"Frete sobre Vendas")</f>
        <v>0</v>
      </c>
      <c r="IG50" s="37">
        <f>SUMIFS(Lançamentos!$F:$F,Lançamentos!$A:$A,IG$19,Lançamentos!$C:$C,"Frete sobre Vendas")</f>
        <v>0</v>
      </c>
      <c r="IH50" s="37">
        <f>SUMIFS(Lançamentos!$F:$F,Lançamentos!$A:$A,IH$19,Lançamentos!$C:$C,"Frete sobre Vendas")</f>
        <v>0</v>
      </c>
      <c r="II50" s="37">
        <f>SUMIFS(Lançamentos!$F:$F,Lançamentos!$A:$A,II$19,Lançamentos!$C:$C,"Frete sobre Vendas")</f>
        <v>0</v>
      </c>
      <c r="IJ50" s="37">
        <f>SUMIFS(Lançamentos!$F:$F,Lançamentos!$A:$A,IJ$19,Lançamentos!$C:$C,"Frete sobre Vendas")</f>
        <v>0</v>
      </c>
      <c r="IK50" s="37">
        <f>SUMIFS(Lançamentos!$F:$F,Lançamentos!$A:$A,IK$19,Lançamentos!$C:$C,"Frete sobre Vendas")</f>
        <v>0</v>
      </c>
      <c r="IL50" s="37">
        <f>SUMIFS(Lançamentos!$F:$F,Lançamentos!$A:$A,IL$19,Lançamentos!$C:$C,"Frete sobre Vendas")</f>
        <v>0</v>
      </c>
    </row>
    <row r="51" spans="1:246" x14ac:dyDescent="0.3">
      <c r="A51" t="s">
        <v>89</v>
      </c>
      <c r="B51" s="37">
        <f>SUMIFS(Lançamentos!$F:$F,Lançamentos!$A:$A,B$19,Lançamentos!$C:$C,"Embalagens")</f>
        <v>0</v>
      </c>
      <c r="C51" s="37">
        <f>SUMIFS(Lançamentos!$F:$F,Lançamentos!$A:$A,C$19,Lançamentos!$C:$C,"Embalagens")</f>
        <v>0</v>
      </c>
      <c r="D51" s="37">
        <f>SUMIFS(Lançamentos!$F:$F,Lançamentos!$A:$A,D$19,Lançamentos!$C:$C,"Embalagens")</f>
        <v>0</v>
      </c>
      <c r="E51" s="37">
        <f>SUMIFS(Lançamentos!$F:$F,Lançamentos!$A:$A,E$19,Lançamentos!$C:$C,"Embalagens")</f>
        <v>0</v>
      </c>
      <c r="F51" s="37">
        <f>SUMIFS(Lançamentos!$F:$F,Lançamentos!$A:$A,F$19,Lançamentos!$C:$C,"Embalagens")</f>
        <v>0</v>
      </c>
      <c r="G51" s="37">
        <f>SUMIFS(Lançamentos!$F:$F,Lançamentos!$A:$A,G$19,Lançamentos!$C:$C,"Embalagens")</f>
        <v>0</v>
      </c>
      <c r="H51" s="37">
        <f>SUMIFS(Lançamentos!$F:$F,Lançamentos!$A:$A,H$19,Lançamentos!$C:$C,"Embalagens")</f>
        <v>0</v>
      </c>
      <c r="I51" s="37">
        <f>SUMIFS(Lançamentos!$F:$F,Lançamentos!$A:$A,I$19,Lançamentos!$C:$C,"Embalagens")</f>
        <v>0</v>
      </c>
      <c r="J51" s="37">
        <f>SUMIFS(Lançamentos!$F:$F,Lançamentos!$A:$A,J$19,Lançamentos!$C:$C,"Embalagens")</f>
        <v>0</v>
      </c>
      <c r="K51" s="37">
        <f>SUMIFS(Lançamentos!$F:$F,Lançamentos!$A:$A,K$19,Lançamentos!$C:$C,"Embalagens")</f>
        <v>0</v>
      </c>
      <c r="L51" s="37">
        <f>SUMIFS(Lançamentos!$F:$F,Lançamentos!$A:$A,L$19,Lançamentos!$C:$C,"Embalagens")</f>
        <v>0</v>
      </c>
      <c r="M51" s="37">
        <f>SUMIFS(Lançamentos!$F:$F,Lançamentos!$A:$A,M$19,Lançamentos!$C:$C,"Embalagens")</f>
        <v>0</v>
      </c>
      <c r="N51" s="37">
        <f>SUMIFS(Lançamentos!$F:$F,Lançamentos!$A:$A,N$19,Lançamentos!$C:$C,"Embalagens")</f>
        <v>0</v>
      </c>
      <c r="O51" s="37">
        <f>SUMIFS(Lançamentos!$F:$F,Lançamentos!$A:$A,O$19,Lançamentos!$C:$C,"Embalagens")</f>
        <v>0</v>
      </c>
      <c r="P51" s="37">
        <f>SUMIFS(Lançamentos!$F:$F,Lançamentos!$A:$A,P$19,Lançamentos!$C:$C,"Embalagens")</f>
        <v>0</v>
      </c>
      <c r="Q51" s="37">
        <f>SUMIFS(Lançamentos!$F:$F,Lançamentos!$A:$A,Q$19,Lançamentos!$C:$C,"Embalagens")</f>
        <v>0</v>
      </c>
      <c r="R51" s="37">
        <f>SUMIFS(Lançamentos!$F:$F,Lançamentos!$A:$A,R$19,Lançamentos!$C:$C,"Embalagens")</f>
        <v>0</v>
      </c>
      <c r="S51" s="37">
        <f>SUMIFS(Lançamentos!$F:$F,Lançamentos!$A:$A,S$19,Lançamentos!$C:$C,"Embalagens")</f>
        <v>0</v>
      </c>
      <c r="T51" s="37">
        <f>SUMIFS(Lançamentos!$F:$F,Lançamentos!$A:$A,T$19,Lançamentos!$C:$C,"Embalagens")</f>
        <v>0</v>
      </c>
      <c r="U51" s="37">
        <f>SUMIFS(Lançamentos!$F:$F,Lançamentos!$A:$A,U$19,Lançamentos!$C:$C,"Embalagens")</f>
        <v>0</v>
      </c>
      <c r="V51" s="37">
        <f>SUMIFS(Lançamentos!$F:$F,Lançamentos!$A:$A,V$19,Lançamentos!$C:$C,"Embalagens")</f>
        <v>0</v>
      </c>
      <c r="W51" s="37">
        <f>SUMIFS(Lançamentos!$F:$F,Lançamentos!$A:$A,W$19,Lançamentos!$C:$C,"Embalagens")</f>
        <v>0</v>
      </c>
      <c r="X51" s="37">
        <f>SUMIFS(Lançamentos!$F:$F,Lançamentos!$A:$A,X$19,Lançamentos!$C:$C,"Embalagens")</f>
        <v>0</v>
      </c>
      <c r="Y51" s="37">
        <f>SUMIFS(Lançamentos!$F:$F,Lançamentos!$A:$A,Y$19,Lançamentos!$C:$C,"Embalagens")</f>
        <v>0</v>
      </c>
      <c r="Z51" s="37">
        <f>SUMIFS(Lançamentos!$F:$F,Lançamentos!$A:$A,Z$19,Lançamentos!$C:$C,"Embalagens")</f>
        <v>0</v>
      </c>
      <c r="AA51" s="37">
        <f>SUMIFS(Lançamentos!$F:$F,Lançamentos!$A:$A,AA$19,Lançamentos!$C:$C,"Embalagens")</f>
        <v>0</v>
      </c>
      <c r="AB51" s="37">
        <f>SUMIFS(Lançamentos!$F:$F,Lançamentos!$A:$A,AB$19,Lançamentos!$C:$C,"Embalagens")</f>
        <v>0</v>
      </c>
      <c r="AC51" s="37">
        <f>SUMIFS(Lançamentos!$F:$F,Lançamentos!$A:$A,AC$19,Lançamentos!$C:$C,"Embalagens")</f>
        <v>0</v>
      </c>
      <c r="AD51" s="37">
        <f>SUMIFS(Lançamentos!$F:$F,Lançamentos!$A:$A,AD$19,Lançamentos!$C:$C,"Embalagens")</f>
        <v>0</v>
      </c>
      <c r="AE51" s="37">
        <f>SUMIFS(Lançamentos!$F:$F,Lançamentos!$A:$A,AE$19,Lançamentos!$C:$C,"Embalagens")</f>
        <v>0</v>
      </c>
      <c r="AF51" s="37">
        <f>SUMIFS(Lançamentos!$F:$F,Lançamentos!$A:$A,AF$19,Lançamentos!$C:$C,"Embalagens")</f>
        <v>0</v>
      </c>
      <c r="AG51" s="37">
        <f>SUMIFS(Lançamentos!$F:$F,Lançamentos!$A:$A,AG$19,Lançamentos!$C:$C,"Embalagens")</f>
        <v>0</v>
      </c>
      <c r="AH51" s="37">
        <f>SUMIFS(Lançamentos!$F:$F,Lançamentos!$A:$A,AH$19,Lançamentos!$C:$C,"Embalagens")</f>
        <v>0</v>
      </c>
      <c r="AI51" s="37">
        <f>SUMIFS(Lançamentos!$F:$F,Lançamentos!$A:$A,AI$19,Lançamentos!$C:$C,"Embalagens")</f>
        <v>0</v>
      </c>
      <c r="AJ51" s="37">
        <f>SUMIFS(Lançamentos!$F:$F,Lançamentos!$A:$A,AJ$19,Lançamentos!$C:$C,"Embalagens")</f>
        <v>0</v>
      </c>
      <c r="AK51" s="37">
        <f>SUMIFS(Lançamentos!$F:$F,Lançamentos!$A:$A,AK$19,Lançamentos!$C:$C,"Embalagens")</f>
        <v>0</v>
      </c>
      <c r="AL51" s="37">
        <f>SUMIFS(Lançamentos!$F:$F,Lançamentos!$A:$A,AL$19,Lançamentos!$C:$C,"Embalagens")</f>
        <v>0</v>
      </c>
      <c r="AM51" s="37">
        <f>SUMIFS(Lançamentos!$F:$F,Lançamentos!$A:$A,AM$19,Lançamentos!$C:$C,"Embalagens")</f>
        <v>0</v>
      </c>
      <c r="AN51" s="37">
        <f>SUMIFS(Lançamentos!$F:$F,Lançamentos!$A:$A,AN$19,Lançamentos!$C:$C,"Embalagens")</f>
        <v>0</v>
      </c>
      <c r="AO51" s="37">
        <f>SUMIFS(Lançamentos!$F:$F,Lançamentos!$A:$A,AO$19,Lançamentos!$C:$C,"Embalagens")</f>
        <v>0</v>
      </c>
      <c r="AP51" s="37">
        <f>SUMIFS(Lançamentos!$F:$F,Lançamentos!$A:$A,AP$19,Lançamentos!$C:$C,"Embalagens")</f>
        <v>0</v>
      </c>
      <c r="AQ51" s="37">
        <f>SUMIFS(Lançamentos!$F:$F,Lançamentos!$A:$A,AQ$19,Lançamentos!$C:$C,"Embalagens")</f>
        <v>0</v>
      </c>
      <c r="AR51" s="37">
        <f>SUMIFS(Lançamentos!$F:$F,Lançamentos!$A:$A,AR$19,Lançamentos!$C:$C,"Embalagens")</f>
        <v>0</v>
      </c>
      <c r="AS51" s="37">
        <f>SUMIFS(Lançamentos!$F:$F,Lançamentos!$A:$A,AS$19,Lançamentos!$C:$C,"Embalagens")</f>
        <v>0</v>
      </c>
      <c r="AT51" s="37">
        <f>SUMIFS(Lançamentos!$F:$F,Lançamentos!$A:$A,AT$19,Lançamentos!$C:$C,"Embalagens")</f>
        <v>0</v>
      </c>
      <c r="AU51" s="37">
        <f>SUMIFS(Lançamentos!$F:$F,Lançamentos!$A:$A,AU$19,Lançamentos!$C:$C,"Embalagens")</f>
        <v>0</v>
      </c>
      <c r="AV51" s="37">
        <f>SUMIFS(Lançamentos!$F:$F,Lançamentos!$A:$A,AV$19,Lançamentos!$C:$C,"Embalagens")</f>
        <v>0</v>
      </c>
      <c r="AW51" s="37">
        <f>SUMIFS(Lançamentos!$F:$F,Lançamentos!$A:$A,AW$19,Lançamentos!$C:$C,"Embalagens")</f>
        <v>0</v>
      </c>
      <c r="AX51" s="37">
        <f>SUMIFS(Lançamentos!$F:$F,Lançamentos!$A:$A,AX$19,Lançamentos!$C:$C,"Embalagens")</f>
        <v>0</v>
      </c>
      <c r="AY51" s="37">
        <f>SUMIFS(Lançamentos!$F:$F,Lançamentos!$A:$A,AY$19,Lançamentos!$C:$C,"Embalagens")</f>
        <v>0</v>
      </c>
      <c r="AZ51" s="37">
        <f>SUMIFS(Lançamentos!$F:$F,Lançamentos!$A:$A,AZ$19,Lançamentos!$C:$C,"Embalagens")</f>
        <v>0</v>
      </c>
      <c r="BA51" s="37">
        <f>SUMIFS(Lançamentos!$F:$F,Lançamentos!$A:$A,BA$19,Lançamentos!$C:$C,"Embalagens")</f>
        <v>0</v>
      </c>
      <c r="BB51" s="37">
        <f>SUMIFS(Lançamentos!$F:$F,Lançamentos!$A:$A,BB$19,Lançamentos!$C:$C,"Embalagens")</f>
        <v>0</v>
      </c>
      <c r="BC51" s="37">
        <f>SUMIFS(Lançamentos!$F:$F,Lançamentos!$A:$A,BC$19,Lançamentos!$C:$C,"Embalagens")</f>
        <v>0</v>
      </c>
      <c r="BD51" s="37">
        <f>SUMIFS(Lançamentos!$F:$F,Lançamentos!$A:$A,BD$19,Lançamentos!$C:$C,"Embalagens")</f>
        <v>0</v>
      </c>
      <c r="BE51" s="37">
        <f>SUMIFS(Lançamentos!$F:$F,Lançamentos!$A:$A,BE$19,Lançamentos!$C:$C,"Embalagens")</f>
        <v>0</v>
      </c>
      <c r="BF51" s="37">
        <f>SUMIFS(Lançamentos!$F:$F,Lançamentos!$A:$A,BF$19,Lançamentos!$C:$C,"Embalagens")</f>
        <v>0</v>
      </c>
      <c r="BG51" s="37">
        <f>SUMIFS(Lançamentos!$F:$F,Lançamentos!$A:$A,BG$19,Lançamentos!$C:$C,"Embalagens")</f>
        <v>0</v>
      </c>
      <c r="BH51" s="37">
        <f>SUMIFS(Lançamentos!$F:$F,Lançamentos!$A:$A,BH$19,Lançamentos!$C:$C,"Embalagens")</f>
        <v>0</v>
      </c>
      <c r="BI51" s="37">
        <f>SUMIFS(Lançamentos!$F:$F,Lançamentos!$A:$A,BI$19,Lançamentos!$C:$C,"Embalagens")</f>
        <v>0</v>
      </c>
      <c r="BJ51" s="37">
        <f>SUMIFS(Lançamentos!$F:$F,Lançamentos!$A:$A,BJ$19,Lançamentos!$C:$C,"Embalagens")</f>
        <v>0</v>
      </c>
      <c r="BK51" s="37">
        <f>SUMIFS(Lançamentos!$F:$F,Lançamentos!$A:$A,BK$19,Lançamentos!$C:$C,"Embalagens")</f>
        <v>0</v>
      </c>
      <c r="BL51" s="37">
        <f>SUMIFS(Lançamentos!$F:$F,Lançamentos!$A:$A,BL$19,Lançamentos!$C:$C,"Embalagens")</f>
        <v>0</v>
      </c>
      <c r="BM51" s="37">
        <f>SUMIFS(Lançamentos!$F:$F,Lançamentos!$A:$A,BM$19,Lançamentos!$C:$C,"Embalagens")</f>
        <v>0</v>
      </c>
      <c r="BN51" s="37">
        <f>SUMIFS(Lançamentos!$F:$F,Lançamentos!$A:$A,BN$19,Lançamentos!$C:$C,"Embalagens")</f>
        <v>0</v>
      </c>
      <c r="BO51" s="37">
        <f>SUMIFS(Lançamentos!$F:$F,Lançamentos!$A:$A,BO$19,Lançamentos!$C:$C,"Embalagens")</f>
        <v>0</v>
      </c>
      <c r="BP51" s="37">
        <f>SUMIFS(Lançamentos!$F:$F,Lançamentos!$A:$A,BP$19,Lançamentos!$C:$C,"Embalagens")</f>
        <v>0</v>
      </c>
      <c r="BQ51" s="37">
        <f>SUMIFS(Lançamentos!$F:$F,Lançamentos!$A:$A,BQ$19,Lançamentos!$C:$C,"Embalagens")</f>
        <v>0</v>
      </c>
      <c r="BR51" s="37">
        <f>SUMIFS(Lançamentos!$F:$F,Lançamentos!$A:$A,BR$19,Lançamentos!$C:$C,"Embalagens")</f>
        <v>0</v>
      </c>
      <c r="BS51" s="37">
        <f>SUMIFS(Lançamentos!$F:$F,Lançamentos!$A:$A,BS$19,Lançamentos!$C:$C,"Embalagens")</f>
        <v>0</v>
      </c>
      <c r="BT51" s="37">
        <f>SUMIFS(Lançamentos!$F:$F,Lançamentos!$A:$A,BT$19,Lançamentos!$C:$C,"Embalagens")</f>
        <v>0</v>
      </c>
      <c r="BU51" s="37">
        <f>SUMIFS(Lançamentos!$F:$F,Lançamentos!$A:$A,BU$19,Lançamentos!$C:$C,"Embalagens")</f>
        <v>0</v>
      </c>
      <c r="BV51" s="37">
        <f>SUMIFS(Lançamentos!$F:$F,Lançamentos!$A:$A,BV$19,Lançamentos!$C:$C,"Embalagens")</f>
        <v>0</v>
      </c>
      <c r="BW51" s="37">
        <f>SUMIFS(Lançamentos!$F:$F,Lançamentos!$A:$A,BW$19,Lançamentos!$C:$C,"Embalagens")</f>
        <v>0</v>
      </c>
      <c r="BX51" s="37">
        <f>SUMIFS(Lançamentos!$F:$F,Lançamentos!$A:$A,BX$19,Lançamentos!$C:$C,"Embalagens")</f>
        <v>0</v>
      </c>
      <c r="BY51" s="37">
        <f>SUMIFS(Lançamentos!$F:$F,Lançamentos!$A:$A,BY$19,Lançamentos!$C:$C,"Embalagens")</f>
        <v>0</v>
      </c>
      <c r="BZ51" s="37">
        <f>SUMIFS(Lançamentos!$F:$F,Lançamentos!$A:$A,BZ$19,Lançamentos!$C:$C,"Embalagens")</f>
        <v>0</v>
      </c>
      <c r="CA51" s="37">
        <f>SUMIFS(Lançamentos!$F:$F,Lançamentos!$A:$A,CA$19,Lançamentos!$C:$C,"Embalagens")</f>
        <v>0</v>
      </c>
      <c r="CB51" s="37">
        <f>SUMIFS(Lançamentos!$F:$F,Lançamentos!$A:$A,CB$19,Lançamentos!$C:$C,"Embalagens")</f>
        <v>0</v>
      </c>
      <c r="CC51" s="37">
        <f>SUMIFS(Lançamentos!$F:$F,Lançamentos!$A:$A,CC$19,Lançamentos!$C:$C,"Embalagens")</f>
        <v>0</v>
      </c>
      <c r="CD51" s="37">
        <f>SUMIFS(Lançamentos!$F:$F,Lançamentos!$A:$A,CD$19,Lançamentos!$C:$C,"Embalagens")</f>
        <v>0</v>
      </c>
      <c r="CE51" s="37">
        <f>SUMIFS(Lançamentos!$F:$F,Lançamentos!$A:$A,CE$19,Lançamentos!$C:$C,"Embalagens")</f>
        <v>0</v>
      </c>
      <c r="CF51" s="37">
        <f>SUMIFS(Lançamentos!$F:$F,Lançamentos!$A:$A,CF$19,Lançamentos!$C:$C,"Embalagens")</f>
        <v>0</v>
      </c>
      <c r="CG51" s="37">
        <f>SUMIFS(Lançamentos!$F:$F,Lançamentos!$A:$A,CG$19,Lançamentos!$C:$C,"Embalagens")</f>
        <v>0</v>
      </c>
      <c r="CH51" s="37">
        <f>SUMIFS(Lançamentos!$F:$F,Lançamentos!$A:$A,CH$19,Lançamentos!$C:$C,"Embalagens")</f>
        <v>0</v>
      </c>
      <c r="CI51" s="37">
        <f>SUMIFS(Lançamentos!$F:$F,Lançamentos!$A:$A,CI$19,Lançamentos!$C:$C,"Embalagens")</f>
        <v>0</v>
      </c>
      <c r="CJ51" s="37">
        <f>SUMIFS(Lançamentos!$F:$F,Lançamentos!$A:$A,CJ$19,Lançamentos!$C:$C,"Embalagens")</f>
        <v>0</v>
      </c>
      <c r="CK51" s="37">
        <f>SUMIFS(Lançamentos!$F:$F,Lançamentos!$A:$A,CK$19,Lançamentos!$C:$C,"Embalagens")</f>
        <v>0</v>
      </c>
      <c r="CL51" s="37">
        <f>SUMIFS(Lançamentos!$F:$F,Lançamentos!$A:$A,CL$19,Lançamentos!$C:$C,"Embalagens")</f>
        <v>0</v>
      </c>
      <c r="CM51" s="37">
        <f>SUMIFS(Lançamentos!$F:$F,Lançamentos!$A:$A,CM$19,Lançamentos!$C:$C,"Embalagens")</f>
        <v>0</v>
      </c>
      <c r="CN51" s="37">
        <f>SUMIFS(Lançamentos!$F:$F,Lançamentos!$A:$A,CN$19,Lançamentos!$C:$C,"Embalagens")</f>
        <v>0</v>
      </c>
      <c r="CO51" s="37">
        <f>SUMIFS(Lançamentos!$F:$F,Lançamentos!$A:$A,CO$19,Lançamentos!$C:$C,"Embalagens")</f>
        <v>0</v>
      </c>
      <c r="CP51" s="37">
        <f>SUMIFS(Lançamentos!$F:$F,Lançamentos!$A:$A,CP$19,Lançamentos!$C:$C,"Embalagens")</f>
        <v>0</v>
      </c>
      <c r="CQ51" s="37">
        <f>SUMIFS(Lançamentos!$F:$F,Lançamentos!$A:$A,CQ$19,Lançamentos!$C:$C,"Embalagens")</f>
        <v>0</v>
      </c>
      <c r="CR51" s="37">
        <f>SUMIFS(Lançamentos!$F:$F,Lançamentos!$A:$A,CR$19,Lançamentos!$C:$C,"Embalagens")</f>
        <v>0</v>
      </c>
      <c r="CS51" s="37">
        <f>SUMIFS(Lançamentos!$F:$F,Lançamentos!$A:$A,CS$19,Lançamentos!$C:$C,"Embalagens")</f>
        <v>0</v>
      </c>
      <c r="CT51" s="37">
        <f>SUMIFS(Lançamentos!$F:$F,Lançamentos!$A:$A,CT$19,Lançamentos!$C:$C,"Embalagens")</f>
        <v>0</v>
      </c>
      <c r="CU51" s="37">
        <f>SUMIFS(Lançamentos!$F:$F,Lançamentos!$A:$A,CU$19,Lançamentos!$C:$C,"Embalagens")</f>
        <v>0</v>
      </c>
      <c r="CV51" s="37">
        <f>SUMIFS(Lançamentos!$F:$F,Lançamentos!$A:$A,CV$19,Lançamentos!$C:$C,"Embalagens")</f>
        <v>0</v>
      </c>
      <c r="CW51" s="37">
        <f>SUMIFS(Lançamentos!$F:$F,Lançamentos!$A:$A,CW$19,Lançamentos!$C:$C,"Embalagens")</f>
        <v>0</v>
      </c>
      <c r="CX51" s="37">
        <f>SUMIFS(Lançamentos!$F:$F,Lançamentos!$A:$A,CX$19,Lançamentos!$C:$C,"Embalagens")</f>
        <v>0</v>
      </c>
      <c r="CY51" s="37">
        <f>SUMIFS(Lançamentos!$F:$F,Lançamentos!$A:$A,CY$19,Lançamentos!$C:$C,"Embalagens")</f>
        <v>0</v>
      </c>
      <c r="CZ51" s="37">
        <f>SUMIFS(Lançamentos!$F:$F,Lançamentos!$A:$A,CZ$19,Lançamentos!$C:$C,"Embalagens")</f>
        <v>0</v>
      </c>
      <c r="DA51" s="37">
        <f>SUMIFS(Lançamentos!$F:$F,Lançamentos!$A:$A,DA$19,Lançamentos!$C:$C,"Embalagens")</f>
        <v>0</v>
      </c>
      <c r="DB51" s="37">
        <f>SUMIFS(Lançamentos!$F:$F,Lançamentos!$A:$A,DB$19,Lançamentos!$C:$C,"Embalagens")</f>
        <v>0</v>
      </c>
      <c r="DC51" s="37">
        <f>SUMIFS(Lançamentos!$F:$F,Lançamentos!$A:$A,DC$19,Lançamentos!$C:$C,"Embalagens")</f>
        <v>0</v>
      </c>
      <c r="DD51" s="37">
        <f>SUMIFS(Lançamentos!$F:$F,Lançamentos!$A:$A,DD$19,Lançamentos!$C:$C,"Embalagens")</f>
        <v>0</v>
      </c>
      <c r="DE51" s="37">
        <f>SUMIFS(Lançamentos!$F:$F,Lançamentos!$A:$A,DE$19,Lançamentos!$C:$C,"Embalagens")</f>
        <v>0</v>
      </c>
      <c r="DF51" s="37">
        <f>SUMIFS(Lançamentos!$F:$F,Lançamentos!$A:$A,DF$19,Lançamentos!$C:$C,"Embalagens")</f>
        <v>0</v>
      </c>
      <c r="DG51" s="37">
        <f>SUMIFS(Lançamentos!$F:$F,Lançamentos!$A:$A,DG$19,Lançamentos!$C:$C,"Embalagens")</f>
        <v>0</v>
      </c>
      <c r="DH51" s="37">
        <f>SUMIFS(Lançamentos!$F:$F,Lançamentos!$A:$A,DH$19,Lançamentos!$C:$C,"Embalagens")</f>
        <v>0</v>
      </c>
      <c r="DI51" s="37">
        <f>SUMIFS(Lançamentos!$F:$F,Lançamentos!$A:$A,DI$19,Lançamentos!$C:$C,"Embalagens")</f>
        <v>0</v>
      </c>
      <c r="DJ51" s="37">
        <f>SUMIFS(Lançamentos!$F:$F,Lançamentos!$A:$A,DJ$19,Lançamentos!$C:$C,"Embalagens")</f>
        <v>0</v>
      </c>
      <c r="DK51" s="37">
        <f>SUMIFS(Lançamentos!$F:$F,Lançamentos!$A:$A,DK$19,Lançamentos!$C:$C,"Embalagens")</f>
        <v>0</v>
      </c>
      <c r="DL51" s="37">
        <f>SUMIFS(Lançamentos!$F:$F,Lançamentos!$A:$A,DL$19,Lançamentos!$C:$C,"Embalagens")</f>
        <v>0</v>
      </c>
      <c r="DM51" s="37">
        <f>SUMIFS(Lançamentos!$F:$F,Lançamentos!$A:$A,DM$19,Lançamentos!$C:$C,"Embalagens")</f>
        <v>0</v>
      </c>
      <c r="DN51" s="37">
        <f>SUMIFS(Lançamentos!$F:$F,Lançamentos!$A:$A,DN$19,Lançamentos!$C:$C,"Embalagens")</f>
        <v>0</v>
      </c>
      <c r="DO51" s="37">
        <f>SUMIFS(Lançamentos!$F:$F,Lançamentos!$A:$A,DO$19,Lançamentos!$C:$C,"Embalagens")</f>
        <v>0</v>
      </c>
      <c r="DP51" s="37">
        <f>SUMIFS(Lançamentos!$F:$F,Lançamentos!$A:$A,DP$19,Lançamentos!$C:$C,"Embalagens")</f>
        <v>0</v>
      </c>
      <c r="DQ51" s="37">
        <f>SUMIFS(Lançamentos!$F:$F,Lançamentos!$A:$A,DQ$19,Lançamentos!$C:$C,"Embalagens")</f>
        <v>0</v>
      </c>
      <c r="DR51" s="37">
        <f>SUMIFS(Lançamentos!$F:$F,Lançamentos!$A:$A,DR$19,Lançamentos!$C:$C,"Embalagens")</f>
        <v>0</v>
      </c>
      <c r="DS51" s="37">
        <f>SUMIFS(Lançamentos!$F:$F,Lançamentos!$A:$A,DS$19,Lançamentos!$C:$C,"Embalagens")</f>
        <v>0</v>
      </c>
      <c r="DT51" s="37">
        <f>SUMIFS(Lançamentos!$F:$F,Lançamentos!$A:$A,DT$19,Lançamentos!$C:$C,"Embalagens")</f>
        <v>0</v>
      </c>
      <c r="DU51" s="37">
        <f>SUMIFS(Lançamentos!$F:$F,Lançamentos!$A:$A,DU$19,Lançamentos!$C:$C,"Embalagens")</f>
        <v>0</v>
      </c>
      <c r="DV51" s="37">
        <f>SUMIFS(Lançamentos!$F:$F,Lançamentos!$A:$A,DV$19,Lançamentos!$C:$C,"Embalagens")</f>
        <v>0</v>
      </c>
      <c r="DW51" s="37">
        <f>SUMIFS(Lançamentos!$F:$F,Lançamentos!$A:$A,DW$19,Lançamentos!$C:$C,"Embalagens")</f>
        <v>0</v>
      </c>
      <c r="DX51" s="37">
        <f>SUMIFS(Lançamentos!$F:$F,Lançamentos!$A:$A,DX$19,Lançamentos!$C:$C,"Embalagens")</f>
        <v>0</v>
      </c>
      <c r="DY51" s="37">
        <f>SUMIFS(Lançamentos!$F:$F,Lançamentos!$A:$A,DY$19,Lançamentos!$C:$C,"Embalagens")</f>
        <v>0</v>
      </c>
      <c r="DZ51" s="37">
        <f>SUMIFS(Lançamentos!$F:$F,Lançamentos!$A:$A,DZ$19,Lançamentos!$C:$C,"Embalagens")</f>
        <v>0</v>
      </c>
      <c r="EA51" s="37">
        <f>SUMIFS(Lançamentos!$F:$F,Lançamentos!$A:$A,EA$19,Lançamentos!$C:$C,"Embalagens")</f>
        <v>0</v>
      </c>
      <c r="EB51" s="37">
        <f>SUMIFS(Lançamentos!$F:$F,Lançamentos!$A:$A,EB$19,Lançamentos!$C:$C,"Embalagens")</f>
        <v>0</v>
      </c>
      <c r="EC51" s="37">
        <f>SUMIFS(Lançamentos!$F:$F,Lançamentos!$A:$A,EC$19,Lançamentos!$C:$C,"Embalagens")</f>
        <v>0</v>
      </c>
      <c r="ED51" s="37">
        <f>SUMIFS(Lançamentos!$F:$F,Lançamentos!$A:$A,ED$19,Lançamentos!$C:$C,"Embalagens")</f>
        <v>0</v>
      </c>
      <c r="EE51" s="37">
        <f>SUMIFS(Lançamentos!$F:$F,Lançamentos!$A:$A,EE$19,Lançamentos!$C:$C,"Embalagens")</f>
        <v>0</v>
      </c>
      <c r="EF51" s="37">
        <f>SUMIFS(Lançamentos!$F:$F,Lançamentos!$A:$A,EF$19,Lançamentos!$C:$C,"Embalagens")</f>
        <v>0</v>
      </c>
      <c r="EG51" s="37">
        <f>SUMIFS(Lançamentos!$F:$F,Lançamentos!$A:$A,EG$19,Lançamentos!$C:$C,"Embalagens")</f>
        <v>0</v>
      </c>
      <c r="EH51" s="37">
        <f>SUMIFS(Lançamentos!$F:$F,Lançamentos!$A:$A,EH$19,Lançamentos!$C:$C,"Embalagens")</f>
        <v>0</v>
      </c>
      <c r="EI51" s="37">
        <f>SUMIFS(Lançamentos!$F:$F,Lançamentos!$A:$A,EI$19,Lançamentos!$C:$C,"Embalagens")</f>
        <v>0</v>
      </c>
      <c r="EJ51" s="37">
        <f>SUMIFS(Lançamentos!$F:$F,Lançamentos!$A:$A,EJ$19,Lançamentos!$C:$C,"Embalagens")</f>
        <v>0</v>
      </c>
      <c r="EK51" s="37">
        <f>SUMIFS(Lançamentos!$F:$F,Lançamentos!$A:$A,EK$19,Lançamentos!$C:$C,"Embalagens")</f>
        <v>0</v>
      </c>
      <c r="EL51" s="37">
        <f>SUMIFS(Lançamentos!$F:$F,Lançamentos!$A:$A,EL$19,Lançamentos!$C:$C,"Embalagens")</f>
        <v>0</v>
      </c>
      <c r="EM51" s="37">
        <f>SUMIFS(Lançamentos!$F:$F,Lançamentos!$A:$A,EM$19,Lançamentos!$C:$C,"Embalagens")</f>
        <v>0</v>
      </c>
      <c r="EN51" s="37">
        <f>SUMIFS(Lançamentos!$F:$F,Lançamentos!$A:$A,EN$19,Lançamentos!$C:$C,"Embalagens")</f>
        <v>0</v>
      </c>
      <c r="EO51" s="37">
        <f>SUMIFS(Lançamentos!$F:$F,Lançamentos!$A:$A,EO$19,Lançamentos!$C:$C,"Embalagens")</f>
        <v>0</v>
      </c>
      <c r="EP51" s="37">
        <f>SUMIFS(Lançamentos!$F:$F,Lançamentos!$A:$A,EP$19,Lançamentos!$C:$C,"Embalagens")</f>
        <v>0</v>
      </c>
      <c r="EQ51" s="37">
        <f>SUMIFS(Lançamentos!$F:$F,Lançamentos!$A:$A,EQ$19,Lançamentos!$C:$C,"Embalagens")</f>
        <v>0</v>
      </c>
      <c r="ER51" s="37">
        <f>SUMIFS(Lançamentos!$F:$F,Lançamentos!$A:$A,ER$19,Lançamentos!$C:$C,"Embalagens")</f>
        <v>0</v>
      </c>
      <c r="ES51" s="37">
        <f>SUMIFS(Lançamentos!$F:$F,Lançamentos!$A:$A,ES$19,Lançamentos!$C:$C,"Embalagens")</f>
        <v>0</v>
      </c>
      <c r="ET51" s="37">
        <f>SUMIFS(Lançamentos!$F:$F,Lançamentos!$A:$A,ET$19,Lançamentos!$C:$C,"Embalagens")</f>
        <v>0</v>
      </c>
      <c r="EU51" s="37">
        <f>SUMIFS(Lançamentos!$F:$F,Lançamentos!$A:$A,EU$19,Lançamentos!$C:$C,"Embalagens")</f>
        <v>0</v>
      </c>
      <c r="EV51" s="37">
        <f>SUMIFS(Lançamentos!$F:$F,Lançamentos!$A:$A,EV$19,Lançamentos!$C:$C,"Embalagens")</f>
        <v>0</v>
      </c>
      <c r="EW51" s="37">
        <f>SUMIFS(Lançamentos!$F:$F,Lançamentos!$A:$A,EW$19,Lançamentos!$C:$C,"Embalagens")</f>
        <v>0</v>
      </c>
      <c r="EX51" s="37">
        <f>SUMIFS(Lançamentos!$F:$F,Lançamentos!$A:$A,EX$19,Lançamentos!$C:$C,"Embalagens")</f>
        <v>0</v>
      </c>
      <c r="EY51" s="37">
        <f>SUMIFS(Lançamentos!$F:$F,Lançamentos!$A:$A,EY$19,Lançamentos!$C:$C,"Embalagens")</f>
        <v>0</v>
      </c>
      <c r="EZ51" s="37">
        <f>SUMIFS(Lançamentos!$F:$F,Lançamentos!$A:$A,EZ$19,Lançamentos!$C:$C,"Embalagens")</f>
        <v>0</v>
      </c>
      <c r="FA51" s="37">
        <f>SUMIFS(Lançamentos!$F:$F,Lançamentos!$A:$A,FA$19,Lançamentos!$C:$C,"Embalagens")</f>
        <v>0</v>
      </c>
      <c r="FB51" s="37">
        <f>SUMIFS(Lançamentos!$F:$F,Lançamentos!$A:$A,FB$19,Lançamentos!$C:$C,"Embalagens")</f>
        <v>0</v>
      </c>
      <c r="FC51" s="37">
        <f>SUMIFS(Lançamentos!$F:$F,Lançamentos!$A:$A,FC$19,Lançamentos!$C:$C,"Embalagens")</f>
        <v>0</v>
      </c>
      <c r="FD51" s="37">
        <f>SUMIFS(Lançamentos!$F:$F,Lançamentos!$A:$A,FD$19,Lançamentos!$C:$C,"Embalagens")</f>
        <v>0</v>
      </c>
      <c r="FE51" s="37">
        <f>SUMIFS(Lançamentos!$F:$F,Lançamentos!$A:$A,FE$19,Lançamentos!$C:$C,"Embalagens")</f>
        <v>0</v>
      </c>
      <c r="FF51" s="37">
        <f>SUMIFS(Lançamentos!$F:$F,Lançamentos!$A:$A,FF$19,Lançamentos!$C:$C,"Embalagens")</f>
        <v>0</v>
      </c>
      <c r="FG51" s="37">
        <f>SUMIFS(Lançamentos!$F:$F,Lançamentos!$A:$A,FG$19,Lançamentos!$C:$C,"Embalagens")</f>
        <v>0</v>
      </c>
      <c r="FH51" s="37">
        <f>SUMIFS(Lançamentos!$F:$F,Lançamentos!$A:$A,FH$19,Lançamentos!$C:$C,"Embalagens")</f>
        <v>0</v>
      </c>
      <c r="FI51" s="37">
        <f>SUMIFS(Lançamentos!$F:$F,Lançamentos!$A:$A,FI$19,Lançamentos!$C:$C,"Embalagens")</f>
        <v>0</v>
      </c>
      <c r="FJ51" s="37">
        <f>SUMIFS(Lançamentos!$F:$F,Lançamentos!$A:$A,FJ$19,Lançamentos!$C:$C,"Embalagens")</f>
        <v>0</v>
      </c>
      <c r="FK51" s="37">
        <f>SUMIFS(Lançamentos!$F:$F,Lançamentos!$A:$A,FK$19,Lançamentos!$C:$C,"Embalagens")</f>
        <v>0</v>
      </c>
      <c r="FL51" s="37">
        <f>SUMIFS(Lançamentos!$F:$F,Lançamentos!$A:$A,FL$19,Lançamentos!$C:$C,"Embalagens")</f>
        <v>0</v>
      </c>
      <c r="FM51" s="37">
        <f>SUMIFS(Lançamentos!$F:$F,Lançamentos!$A:$A,FM$19,Lançamentos!$C:$C,"Embalagens")</f>
        <v>0</v>
      </c>
      <c r="FN51" s="37">
        <f>SUMIFS(Lançamentos!$F:$F,Lançamentos!$A:$A,FN$19,Lançamentos!$C:$C,"Embalagens")</f>
        <v>0</v>
      </c>
      <c r="FO51" s="37">
        <f>SUMIFS(Lançamentos!$F:$F,Lançamentos!$A:$A,FO$19,Lançamentos!$C:$C,"Embalagens")</f>
        <v>0</v>
      </c>
      <c r="FP51" s="37">
        <f>SUMIFS(Lançamentos!$F:$F,Lançamentos!$A:$A,FP$19,Lançamentos!$C:$C,"Embalagens")</f>
        <v>0</v>
      </c>
      <c r="FQ51" s="37">
        <f>SUMIFS(Lançamentos!$F:$F,Lançamentos!$A:$A,FQ$19,Lançamentos!$C:$C,"Embalagens")</f>
        <v>0</v>
      </c>
      <c r="FR51" s="37">
        <f>SUMIFS(Lançamentos!$F:$F,Lançamentos!$A:$A,FR$19,Lançamentos!$C:$C,"Embalagens")</f>
        <v>0</v>
      </c>
      <c r="FS51" s="37">
        <f>SUMIFS(Lançamentos!$F:$F,Lançamentos!$A:$A,FS$19,Lançamentos!$C:$C,"Embalagens")</f>
        <v>0</v>
      </c>
      <c r="FT51" s="37">
        <f>SUMIFS(Lançamentos!$F:$F,Lançamentos!$A:$A,FT$19,Lançamentos!$C:$C,"Embalagens")</f>
        <v>0</v>
      </c>
      <c r="FU51" s="37">
        <f>SUMIFS(Lançamentos!$F:$F,Lançamentos!$A:$A,FU$19,Lançamentos!$C:$C,"Embalagens")</f>
        <v>0</v>
      </c>
      <c r="FV51" s="37">
        <f>SUMIFS(Lançamentos!$F:$F,Lançamentos!$A:$A,FV$19,Lançamentos!$C:$C,"Embalagens")</f>
        <v>0</v>
      </c>
      <c r="FW51" s="37">
        <f>SUMIFS(Lançamentos!$F:$F,Lançamentos!$A:$A,FW$19,Lançamentos!$C:$C,"Embalagens")</f>
        <v>0</v>
      </c>
      <c r="FX51" s="37">
        <f>SUMIFS(Lançamentos!$F:$F,Lançamentos!$A:$A,FX$19,Lançamentos!$C:$C,"Embalagens")</f>
        <v>0</v>
      </c>
      <c r="FY51" s="37">
        <f>SUMIFS(Lançamentos!$F:$F,Lançamentos!$A:$A,FY$19,Lançamentos!$C:$C,"Embalagens")</f>
        <v>0</v>
      </c>
      <c r="FZ51" s="37">
        <f>SUMIFS(Lançamentos!$F:$F,Lançamentos!$A:$A,FZ$19,Lançamentos!$C:$C,"Embalagens")</f>
        <v>0</v>
      </c>
      <c r="GA51" s="37">
        <f>SUMIFS(Lançamentos!$F:$F,Lançamentos!$A:$A,GA$19,Lançamentos!$C:$C,"Embalagens")</f>
        <v>0</v>
      </c>
      <c r="GB51" s="37">
        <f>SUMIFS(Lançamentos!$F:$F,Lançamentos!$A:$A,GB$19,Lançamentos!$C:$C,"Embalagens")</f>
        <v>0</v>
      </c>
      <c r="GC51" s="37">
        <f>SUMIFS(Lançamentos!$F:$F,Lançamentos!$A:$A,GC$19,Lançamentos!$C:$C,"Embalagens")</f>
        <v>0</v>
      </c>
      <c r="GD51" s="37">
        <f>SUMIFS(Lançamentos!$F:$F,Lançamentos!$A:$A,GD$19,Lançamentos!$C:$C,"Embalagens")</f>
        <v>0</v>
      </c>
      <c r="GE51" s="37">
        <f>SUMIFS(Lançamentos!$F:$F,Lançamentos!$A:$A,GE$19,Lançamentos!$C:$C,"Embalagens")</f>
        <v>0</v>
      </c>
      <c r="GF51" s="37">
        <f>SUMIFS(Lançamentos!$F:$F,Lançamentos!$A:$A,GF$19,Lançamentos!$C:$C,"Embalagens")</f>
        <v>0</v>
      </c>
      <c r="GG51" s="37">
        <f>SUMIFS(Lançamentos!$F:$F,Lançamentos!$A:$A,GG$19,Lançamentos!$C:$C,"Embalagens")</f>
        <v>0</v>
      </c>
      <c r="GH51" s="37">
        <f>SUMIFS(Lançamentos!$F:$F,Lançamentos!$A:$A,GH$19,Lançamentos!$C:$C,"Embalagens")</f>
        <v>0</v>
      </c>
      <c r="GI51" s="37">
        <f>SUMIFS(Lançamentos!$F:$F,Lançamentos!$A:$A,GI$19,Lançamentos!$C:$C,"Embalagens")</f>
        <v>0</v>
      </c>
      <c r="GJ51" s="37">
        <f>SUMIFS(Lançamentos!$F:$F,Lançamentos!$A:$A,GJ$19,Lançamentos!$C:$C,"Embalagens")</f>
        <v>0</v>
      </c>
      <c r="GK51" s="37">
        <f>SUMIFS(Lançamentos!$F:$F,Lançamentos!$A:$A,GK$19,Lançamentos!$C:$C,"Embalagens")</f>
        <v>0</v>
      </c>
      <c r="GL51" s="37">
        <f>SUMIFS(Lançamentos!$F:$F,Lançamentos!$A:$A,GL$19,Lançamentos!$C:$C,"Embalagens")</f>
        <v>0</v>
      </c>
      <c r="GM51" s="37">
        <f>SUMIFS(Lançamentos!$F:$F,Lançamentos!$A:$A,GM$19,Lançamentos!$C:$C,"Embalagens")</f>
        <v>0</v>
      </c>
      <c r="GN51" s="37">
        <f>SUMIFS(Lançamentos!$F:$F,Lançamentos!$A:$A,GN$19,Lançamentos!$C:$C,"Embalagens")</f>
        <v>0</v>
      </c>
      <c r="GO51" s="37">
        <f>SUMIFS(Lançamentos!$F:$F,Lançamentos!$A:$A,GO$19,Lançamentos!$C:$C,"Embalagens")</f>
        <v>0</v>
      </c>
      <c r="GP51" s="37">
        <f>SUMIFS(Lançamentos!$F:$F,Lançamentos!$A:$A,GP$19,Lançamentos!$C:$C,"Embalagens")</f>
        <v>0</v>
      </c>
      <c r="GQ51" s="37">
        <f>SUMIFS(Lançamentos!$F:$F,Lançamentos!$A:$A,GQ$19,Lançamentos!$C:$C,"Embalagens")</f>
        <v>0</v>
      </c>
      <c r="GR51" s="37">
        <f>SUMIFS(Lançamentos!$F:$F,Lançamentos!$A:$A,GR$19,Lançamentos!$C:$C,"Embalagens")</f>
        <v>0</v>
      </c>
      <c r="GS51" s="37">
        <f>SUMIFS(Lançamentos!$F:$F,Lançamentos!$A:$A,GS$19,Lançamentos!$C:$C,"Embalagens")</f>
        <v>0</v>
      </c>
      <c r="GT51" s="37">
        <f>SUMIFS(Lançamentos!$F:$F,Lançamentos!$A:$A,GT$19,Lançamentos!$C:$C,"Embalagens")</f>
        <v>0</v>
      </c>
      <c r="GU51" s="37">
        <f>SUMIFS(Lançamentos!$F:$F,Lançamentos!$A:$A,GU$19,Lançamentos!$C:$C,"Embalagens")</f>
        <v>0</v>
      </c>
      <c r="GV51" s="37">
        <f>SUMIFS(Lançamentos!$F:$F,Lançamentos!$A:$A,GV$19,Lançamentos!$C:$C,"Embalagens")</f>
        <v>0</v>
      </c>
      <c r="GW51" s="37">
        <f>SUMIFS(Lançamentos!$F:$F,Lançamentos!$A:$A,GW$19,Lançamentos!$C:$C,"Embalagens")</f>
        <v>0</v>
      </c>
      <c r="GX51" s="37">
        <f>SUMIFS(Lançamentos!$F:$F,Lançamentos!$A:$A,GX$19,Lançamentos!$C:$C,"Embalagens")</f>
        <v>0</v>
      </c>
      <c r="GY51" s="37">
        <f>SUMIFS(Lançamentos!$F:$F,Lançamentos!$A:$A,GY$19,Lançamentos!$C:$C,"Embalagens")</f>
        <v>0</v>
      </c>
      <c r="GZ51" s="37">
        <f>SUMIFS(Lançamentos!$F:$F,Lançamentos!$A:$A,GZ$19,Lançamentos!$C:$C,"Embalagens")</f>
        <v>0</v>
      </c>
      <c r="HA51" s="37">
        <f>SUMIFS(Lançamentos!$F:$F,Lançamentos!$A:$A,HA$19,Lançamentos!$C:$C,"Embalagens")</f>
        <v>0</v>
      </c>
      <c r="HB51" s="37">
        <f>SUMIFS(Lançamentos!$F:$F,Lançamentos!$A:$A,HB$19,Lançamentos!$C:$C,"Embalagens")</f>
        <v>0</v>
      </c>
      <c r="HC51" s="37">
        <f>SUMIFS(Lançamentos!$F:$F,Lançamentos!$A:$A,HC$19,Lançamentos!$C:$C,"Embalagens")</f>
        <v>0</v>
      </c>
      <c r="HD51" s="37">
        <f>SUMIFS(Lançamentos!$F:$F,Lançamentos!$A:$A,HD$19,Lançamentos!$C:$C,"Embalagens")</f>
        <v>0</v>
      </c>
      <c r="HE51" s="37">
        <f>SUMIFS(Lançamentos!$F:$F,Lançamentos!$A:$A,HE$19,Lançamentos!$C:$C,"Embalagens")</f>
        <v>0</v>
      </c>
      <c r="HF51" s="37">
        <f>SUMIFS(Lançamentos!$F:$F,Lançamentos!$A:$A,HF$19,Lançamentos!$C:$C,"Embalagens")</f>
        <v>0</v>
      </c>
      <c r="HG51" s="37">
        <f>SUMIFS(Lançamentos!$F:$F,Lançamentos!$A:$A,HG$19,Lançamentos!$C:$C,"Embalagens")</f>
        <v>0</v>
      </c>
      <c r="HH51" s="37">
        <f>SUMIFS(Lançamentos!$F:$F,Lançamentos!$A:$A,HH$19,Lançamentos!$C:$C,"Embalagens")</f>
        <v>0</v>
      </c>
      <c r="HI51" s="37">
        <f>SUMIFS(Lançamentos!$F:$F,Lançamentos!$A:$A,HI$19,Lançamentos!$C:$C,"Embalagens")</f>
        <v>0</v>
      </c>
      <c r="HJ51" s="37">
        <f>SUMIFS(Lançamentos!$F:$F,Lançamentos!$A:$A,HJ$19,Lançamentos!$C:$C,"Embalagens")</f>
        <v>0</v>
      </c>
      <c r="HK51" s="37">
        <f>SUMIFS(Lançamentos!$F:$F,Lançamentos!$A:$A,HK$19,Lançamentos!$C:$C,"Embalagens")</f>
        <v>0</v>
      </c>
      <c r="HL51" s="37">
        <f>SUMIFS(Lançamentos!$F:$F,Lançamentos!$A:$A,HL$19,Lançamentos!$C:$C,"Embalagens")</f>
        <v>0</v>
      </c>
      <c r="HM51" s="37">
        <f>SUMIFS(Lançamentos!$F:$F,Lançamentos!$A:$A,HM$19,Lançamentos!$C:$C,"Embalagens")</f>
        <v>0</v>
      </c>
      <c r="HN51" s="37">
        <f>SUMIFS(Lançamentos!$F:$F,Lançamentos!$A:$A,HN$19,Lançamentos!$C:$C,"Embalagens")</f>
        <v>0</v>
      </c>
      <c r="HO51" s="37">
        <f>SUMIFS(Lançamentos!$F:$F,Lançamentos!$A:$A,HO$19,Lançamentos!$C:$C,"Embalagens")</f>
        <v>0</v>
      </c>
      <c r="HP51" s="37">
        <f>SUMIFS(Lançamentos!$F:$F,Lançamentos!$A:$A,HP$19,Lançamentos!$C:$C,"Embalagens")</f>
        <v>0</v>
      </c>
      <c r="HQ51" s="37">
        <f>SUMIFS(Lançamentos!$F:$F,Lançamentos!$A:$A,HQ$19,Lançamentos!$C:$C,"Embalagens")</f>
        <v>0</v>
      </c>
      <c r="HR51" s="37">
        <f>SUMIFS(Lançamentos!$F:$F,Lançamentos!$A:$A,HR$19,Lançamentos!$C:$C,"Embalagens")</f>
        <v>0</v>
      </c>
      <c r="HS51" s="37">
        <f>SUMIFS(Lançamentos!$F:$F,Lançamentos!$A:$A,HS$19,Lançamentos!$C:$C,"Embalagens")</f>
        <v>0</v>
      </c>
      <c r="HT51" s="37">
        <f>SUMIFS(Lançamentos!$F:$F,Lançamentos!$A:$A,HT$19,Lançamentos!$C:$C,"Embalagens")</f>
        <v>0</v>
      </c>
      <c r="HU51" s="37">
        <f>SUMIFS(Lançamentos!$F:$F,Lançamentos!$A:$A,HU$19,Lançamentos!$C:$C,"Embalagens")</f>
        <v>0</v>
      </c>
      <c r="HV51" s="37">
        <f>SUMIFS(Lançamentos!$F:$F,Lançamentos!$A:$A,HV$19,Lançamentos!$C:$C,"Embalagens")</f>
        <v>0</v>
      </c>
      <c r="HW51" s="37">
        <f>SUMIFS(Lançamentos!$F:$F,Lançamentos!$A:$A,HW$19,Lançamentos!$C:$C,"Embalagens")</f>
        <v>0</v>
      </c>
      <c r="HX51" s="37">
        <f>SUMIFS(Lançamentos!$F:$F,Lançamentos!$A:$A,HX$19,Lançamentos!$C:$C,"Embalagens")</f>
        <v>0</v>
      </c>
      <c r="HY51" s="37">
        <f>SUMIFS(Lançamentos!$F:$F,Lançamentos!$A:$A,HY$19,Lançamentos!$C:$C,"Embalagens")</f>
        <v>0</v>
      </c>
      <c r="HZ51" s="37">
        <f>SUMIFS(Lançamentos!$F:$F,Lançamentos!$A:$A,HZ$19,Lançamentos!$C:$C,"Embalagens")</f>
        <v>0</v>
      </c>
      <c r="IA51" s="37">
        <f>SUMIFS(Lançamentos!$F:$F,Lançamentos!$A:$A,IA$19,Lançamentos!$C:$C,"Embalagens")</f>
        <v>0</v>
      </c>
      <c r="IB51" s="37">
        <f>SUMIFS(Lançamentos!$F:$F,Lançamentos!$A:$A,IB$19,Lançamentos!$C:$C,"Embalagens")</f>
        <v>0</v>
      </c>
      <c r="IC51" s="37">
        <f>SUMIFS(Lançamentos!$F:$F,Lançamentos!$A:$A,IC$19,Lançamentos!$C:$C,"Embalagens")</f>
        <v>0</v>
      </c>
      <c r="ID51" s="37">
        <f>SUMIFS(Lançamentos!$F:$F,Lançamentos!$A:$A,ID$19,Lançamentos!$C:$C,"Embalagens")</f>
        <v>0</v>
      </c>
      <c r="IE51" s="37">
        <f>SUMIFS(Lançamentos!$F:$F,Lançamentos!$A:$A,IE$19,Lançamentos!$C:$C,"Embalagens")</f>
        <v>0</v>
      </c>
      <c r="IF51" s="37">
        <f>SUMIFS(Lançamentos!$F:$F,Lançamentos!$A:$A,IF$19,Lançamentos!$C:$C,"Embalagens")</f>
        <v>0</v>
      </c>
      <c r="IG51" s="37">
        <f>SUMIFS(Lançamentos!$F:$F,Lançamentos!$A:$A,IG$19,Lançamentos!$C:$C,"Embalagens")</f>
        <v>0</v>
      </c>
      <c r="IH51" s="37">
        <f>SUMIFS(Lançamentos!$F:$F,Lançamentos!$A:$A,IH$19,Lançamentos!$C:$C,"Embalagens")</f>
        <v>0</v>
      </c>
      <c r="II51" s="37">
        <f>SUMIFS(Lançamentos!$F:$F,Lançamentos!$A:$A,II$19,Lançamentos!$C:$C,"Embalagens")</f>
        <v>0</v>
      </c>
      <c r="IJ51" s="37">
        <f>SUMIFS(Lançamentos!$F:$F,Lançamentos!$A:$A,IJ$19,Lançamentos!$C:$C,"Embalagens")</f>
        <v>0</v>
      </c>
      <c r="IK51" s="37">
        <f>SUMIFS(Lançamentos!$F:$F,Lançamentos!$A:$A,IK$19,Lançamentos!$C:$C,"Embalagens")</f>
        <v>0</v>
      </c>
      <c r="IL51" s="37">
        <f>SUMIFS(Lançamentos!$F:$F,Lançamentos!$A:$A,IL$19,Lançamentos!$C:$C,"Embalagens")</f>
        <v>0</v>
      </c>
    </row>
    <row r="52" spans="1:246" x14ac:dyDescent="0.3">
      <c r="A52" t="s">
        <v>90</v>
      </c>
      <c r="B52" s="37">
        <f>SUMIFS(Lançamentos!$F:$F,Lançamentos!$A:$A,B$19,Lançamentos!$C:$C,"Combustível")</f>
        <v>0</v>
      </c>
      <c r="C52" s="37">
        <f>SUMIFS(Lançamentos!$F:$F,Lançamentos!$A:$A,C$19,Lançamentos!$C:$C,"Combustível")</f>
        <v>0</v>
      </c>
      <c r="D52" s="37">
        <f>SUMIFS(Lançamentos!$F:$F,Lançamentos!$A:$A,D$19,Lançamentos!$C:$C,"Combustível")</f>
        <v>0</v>
      </c>
      <c r="E52" s="37">
        <f>SUMIFS(Lançamentos!$F:$F,Lançamentos!$A:$A,E$19,Lançamentos!$C:$C,"Combustível")</f>
        <v>0</v>
      </c>
      <c r="F52" s="37">
        <f>SUMIFS(Lançamentos!$F:$F,Lançamentos!$A:$A,F$19,Lançamentos!$C:$C,"Combustível")</f>
        <v>0</v>
      </c>
      <c r="G52" s="37">
        <f>SUMIFS(Lançamentos!$F:$F,Lançamentos!$A:$A,G$19,Lançamentos!$C:$C,"Combustível")</f>
        <v>0</v>
      </c>
      <c r="H52" s="37">
        <f>SUMIFS(Lançamentos!$F:$F,Lançamentos!$A:$A,H$19,Lançamentos!$C:$C,"Combustível")</f>
        <v>0</v>
      </c>
      <c r="I52" s="37">
        <f>SUMIFS(Lançamentos!$F:$F,Lançamentos!$A:$A,I$19,Lançamentos!$C:$C,"Combustível")</f>
        <v>0</v>
      </c>
      <c r="J52" s="37">
        <f>SUMIFS(Lançamentos!$F:$F,Lançamentos!$A:$A,J$19,Lançamentos!$C:$C,"Combustível")</f>
        <v>0</v>
      </c>
      <c r="K52" s="37">
        <f>SUMIFS(Lançamentos!$F:$F,Lançamentos!$A:$A,K$19,Lançamentos!$C:$C,"Combustível")</f>
        <v>0</v>
      </c>
      <c r="L52" s="37">
        <f>SUMIFS(Lançamentos!$F:$F,Lançamentos!$A:$A,L$19,Lançamentos!$C:$C,"Combustível")</f>
        <v>0</v>
      </c>
      <c r="M52" s="37">
        <f>SUMIFS(Lançamentos!$F:$F,Lançamentos!$A:$A,M$19,Lançamentos!$C:$C,"Combustível")</f>
        <v>0</v>
      </c>
      <c r="N52" s="37">
        <f>SUMIFS(Lançamentos!$F:$F,Lançamentos!$A:$A,N$19,Lançamentos!$C:$C,"Combustível")</f>
        <v>0</v>
      </c>
      <c r="O52" s="37">
        <f>SUMIFS(Lançamentos!$F:$F,Lançamentos!$A:$A,O$19,Lançamentos!$C:$C,"Combustível")</f>
        <v>0</v>
      </c>
      <c r="P52" s="37">
        <f>SUMIFS(Lançamentos!$F:$F,Lançamentos!$A:$A,P$19,Lançamentos!$C:$C,"Combustível")</f>
        <v>0</v>
      </c>
      <c r="Q52" s="37">
        <f>SUMIFS(Lançamentos!$F:$F,Lançamentos!$A:$A,Q$19,Lançamentos!$C:$C,"Combustível")</f>
        <v>0</v>
      </c>
      <c r="R52" s="37">
        <f>SUMIFS(Lançamentos!$F:$F,Lançamentos!$A:$A,R$19,Lançamentos!$C:$C,"Combustível")</f>
        <v>0</v>
      </c>
      <c r="S52" s="37">
        <f>SUMIFS(Lançamentos!$F:$F,Lançamentos!$A:$A,S$19,Lançamentos!$C:$C,"Combustível")</f>
        <v>0</v>
      </c>
      <c r="T52" s="37">
        <f>SUMIFS(Lançamentos!$F:$F,Lançamentos!$A:$A,T$19,Lançamentos!$C:$C,"Combustível")</f>
        <v>0</v>
      </c>
      <c r="U52" s="37">
        <f>SUMIFS(Lançamentos!$F:$F,Lançamentos!$A:$A,U$19,Lançamentos!$C:$C,"Combustível")</f>
        <v>0</v>
      </c>
      <c r="V52" s="37">
        <f>SUMIFS(Lançamentos!$F:$F,Lançamentos!$A:$A,V$19,Lançamentos!$C:$C,"Combustível")</f>
        <v>0</v>
      </c>
      <c r="W52" s="37">
        <f>SUMIFS(Lançamentos!$F:$F,Lançamentos!$A:$A,W$19,Lançamentos!$C:$C,"Combustível")</f>
        <v>0</v>
      </c>
      <c r="X52" s="37">
        <f>SUMIFS(Lançamentos!$F:$F,Lançamentos!$A:$A,X$19,Lançamentos!$C:$C,"Combustível")</f>
        <v>0</v>
      </c>
      <c r="Y52" s="37">
        <f>SUMIFS(Lançamentos!$F:$F,Lançamentos!$A:$A,Y$19,Lançamentos!$C:$C,"Combustível")</f>
        <v>0</v>
      </c>
      <c r="Z52" s="37">
        <f>SUMIFS(Lançamentos!$F:$F,Lançamentos!$A:$A,Z$19,Lançamentos!$C:$C,"Combustível")</f>
        <v>0</v>
      </c>
      <c r="AA52" s="37">
        <f>SUMIFS(Lançamentos!$F:$F,Lançamentos!$A:$A,AA$19,Lançamentos!$C:$C,"Combustível")</f>
        <v>0</v>
      </c>
      <c r="AB52" s="37">
        <f>SUMIFS(Lançamentos!$F:$F,Lançamentos!$A:$A,AB$19,Lançamentos!$C:$C,"Combustível")</f>
        <v>0</v>
      </c>
      <c r="AC52" s="37">
        <f>SUMIFS(Lançamentos!$F:$F,Lançamentos!$A:$A,AC$19,Lançamentos!$C:$C,"Combustível")</f>
        <v>0</v>
      </c>
      <c r="AD52" s="37">
        <f>SUMIFS(Lançamentos!$F:$F,Lançamentos!$A:$A,AD$19,Lançamentos!$C:$C,"Combustível")</f>
        <v>0</v>
      </c>
      <c r="AE52" s="37">
        <f>SUMIFS(Lançamentos!$F:$F,Lançamentos!$A:$A,AE$19,Lançamentos!$C:$C,"Combustível")</f>
        <v>0</v>
      </c>
      <c r="AF52" s="37">
        <f>SUMIFS(Lançamentos!$F:$F,Lançamentos!$A:$A,AF$19,Lançamentos!$C:$C,"Combustível")</f>
        <v>0</v>
      </c>
      <c r="AG52" s="37">
        <f>SUMIFS(Lançamentos!$F:$F,Lançamentos!$A:$A,AG$19,Lançamentos!$C:$C,"Combustível")</f>
        <v>0</v>
      </c>
      <c r="AH52" s="37">
        <f>SUMIFS(Lançamentos!$F:$F,Lançamentos!$A:$A,AH$19,Lançamentos!$C:$C,"Combustível")</f>
        <v>0</v>
      </c>
      <c r="AI52" s="37">
        <f>SUMIFS(Lançamentos!$F:$F,Lançamentos!$A:$A,AI$19,Lançamentos!$C:$C,"Combustível")</f>
        <v>0</v>
      </c>
      <c r="AJ52" s="37">
        <f>SUMIFS(Lançamentos!$F:$F,Lançamentos!$A:$A,AJ$19,Lançamentos!$C:$C,"Combustível")</f>
        <v>0</v>
      </c>
      <c r="AK52" s="37">
        <f>SUMIFS(Lançamentos!$F:$F,Lançamentos!$A:$A,AK$19,Lançamentos!$C:$C,"Combustível")</f>
        <v>0</v>
      </c>
      <c r="AL52" s="37">
        <f>SUMIFS(Lançamentos!$F:$F,Lançamentos!$A:$A,AL$19,Lançamentos!$C:$C,"Combustível")</f>
        <v>0</v>
      </c>
      <c r="AM52" s="37">
        <f>SUMIFS(Lançamentos!$F:$F,Lançamentos!$A:$A,AM$19,Lançamentos!$C:$C,"Combustível")</f>
        <v>0</v>
      </c>
      <c r="AN52" s="37">
        <f>SUMIFS(Lançamentos!$F:$F,Lançamentos!$A:$A,AN$19,Lançamentos!$C:$C,"Combustível")</f>
        <v>0</v>
      </c>
      <c r="AO52" s="37">
        <f>SUMIFS(Lançamentos!$F:$F,Lançamentos!$A:$A,AO$19,Lançamentos!$C:$C,"Combustível")</f>
        <v>0</v>
      </c>
      <c r="AP52" s="37">
        <f>SUMIFS(Lançamentos!$F:$F,Lançamentos!$A:$A,AP$19,Lançamentos!$C:$C,"Combustível")</f>
        <v>0</v>
      </c>
      <c r="AQ52" s="37">
        <f>SUMIFS(Lançamentos!$F:$F,Lançamentos!$A:$A,AQ$19,Lançamentos!$C:$C,"Combustível")</f>
        <v>0</v>
      </c>
      <c r="AR52" s="37">
        <f>SUMIFS(Lançamentos!$F:$F,Lançamentos!$A:$A,AR$19,Lançamentos!$C:$C,"Combustível")</f>
        <v>0</v>
      </c>
      <c r="AS52" s="37">
        <f>SUMIFS(Lançamentos!$F:$F,Lançamentos!$A:$A,AS$19,Lançamentos!$C:$C,"Combustível")</f>
        <v>0</v>
      </c>
      <c r="AT52" s="37">
        <f>SUMIFS(Lançamentos!$F:$F,Lançamentos!$A:$A,AT$19,Lançamentos!$C:$C,"Combustível")</f>
        <v>0</v>
      </c>
      <c r="AU52" s="37">
        <f>SUMIFS(Lançamentos!$F:$F,Lançamentos!$A:$A,AU$19,Lançamentos!$C:$C,"Combustível")</f>
        <v>0</v>
      </c>
      <c r="AV52" s="37">
        <f>SUMIFS(Lançamentos!$F:$F,Lançamentos!$A:$A,AV$19,Lançamentos!$C:$C,"Combustível")</f>
        <v>0</v>
      </c>
      <c r="AW52" s="37">
        <f>SUMIFS(Lançamentos!$F:$F,Lançamentos!$A:$A,AW$19,Lançamentos!$C:$C,"Combustível")</f>
        <v>0</v>
      </c>
      <c r="AX52" s="37">
        <f>SUMIFS(Lançamentos!$F:$F,Lançamentos!$A:$A,AX$19,Lançamentos!$C:$C,"Combustível")</f>
        <v>0</v>
      </c>
      <c r="AY52" s="37">
        <f>SUMIFS(Lançamentos!$F:$F,Lançamentos!$A:$A,AY$19,Lançamentos!$C:$C,"Combustível")</f>
        <v>0</v>
      </c>
      <c r="AZ52" s="37">
        <f>SUMIFS(Lançamentos!$F:$F,Lançamentos!$A:$A,AZ$19,Lançamentos!$C:$C,"Combustível")</f>
        <v>0</v>
      </c>
      <c r="BA52" s="37">
        <f>SUMIFS(Lançamentos!$F:$F,Lançamentos!$A:$A,BA$19,Lançamentos!$C:$C,"Combustível")</f>
        <v>0</v>
      </c>
      <c r="BB52" s="37">
        <f>SUMIFS(Lançamentos!$F:$F,Lançamentos!$A:$A,BB$19,Lançamentos!$C:$C,"Combustível")</f>
        <v>0</v>
      </c>
      <c r="BC52" s="37">
        <f>SUMIFS(Lançamentos!$F:$F,Lançamentos!$A:$A,BC$19,Lançamentos!$C:$C,"Combustível")</f>
        <v>0</v>
      </c>
      <c r="BD52" s="37">
        <f>SUMIFS(Lançamentos!$F:$F,Lançamentos!$A:$A,BD$19,Lançamentos!$C:$C,"Combustível")</f>
        <v>0</v>
      </c>
      <c r="BE52" s="37">
        <f>SUMIFS(Lançamentos!$F:$F,Lançamentos!$A:$A,BE$19,Lançamentos!$C:$C,"Combustível")</f>
        <v>0</v>
      </c>
      <c r="BF52" s="37">
        <f>SUMIFS(Lançamentos!$F:$F,Lançamentos!$A:$A,BF$19,Lançamentos!$C:$C,"Combustível")</f>
        <v>0</v>
      </c>
      <c r="BG52" s="37">
        <f>SUMIFS(Lançamentos!$F:$F,Lançamentos!$A:$A,BG$19,Lançamentos!$C:$C,"Combustível")</f>
        <v>0</v>
      </c>
      <c r="BH52" s="37">
        <f>SUMIFS(Lançamentos!$F:$F,Lançamentos!$A:$A,BH$19,Lançamentos!$C:$C,"Combustível")</f>
        <v>0</v>
      </c>
      <c r="BI52" s="37">
        <f>SUMIFS(Lançamentos!$F:$F,Lançamentos!$A:$A,BI$19,Lançamentos!$C:$C,"Combustível")</f>
        <v>0</v>
      </c>
      <c r="BJ52" s="37">
        <f>SUMIFS(Lançamentos!$F:$F,Lançamentos!$A:$A,BJ$19,Lançamentos!$C:$C,"Combustível")</f>
        <v>0</v>
      </c>
      <c r="BK52" s="37">
        <f>SUMIFS(Lançamentos!$F:$F,Lançamentos!$A:$A,BK$19,Lançamentos!$C:$C,"Combustível")</f>
        <v>0</v>
      </c>
      <c r="BL52" s="37">
        <f>SUMIFS(Lançamentos!$F:$F,Lançamentos!$A:$A,BL$19,Lançamentos!$C:$C,"Combustível")</f>
        <v>0</v>
      </c>
      <c r="BM52" s="37">
        <f>SUMIFS(Lançamentos!$F:$F,Lançamentos!$A:$A,BM$19,Lançamentos!$C:$C,"Combustível")</f>
        <v>0</v>
      </c>
      <c r="BN52" s="37">
        <f>SUMIFS(Lançamentos!$F:$F,Lançamentos!$A:$A,BN$19,Lançamentos!$C:$C,"Combustível")</f>
        <v>0</v>
      </c>
      <c r="BO52" s="37">
        <f>SUMIFS(Lançamentos!$F:$F,Lançamentos!$A:$A,BO$19,Lançamentos!$C:$C,"Combustível")</f>
        <v>0</v>
      </c>
      <c r="BP52" s="37">
        <f>SUMIFS(Lançamentos!$F:$F,Lançamentos!$A:$A,BP$19,Lançamentos!$C:$C,"Combustível")</f>
        <v>0</v>
      </c>
      <c r="BQ52" s="37">
        <f>SUMIFS(Lançamentos!$F:$F,Lançamentos!$A:$A,BQ$19,Lançamentos!$C:$C,"Combustível")</f>
        <v>0</v>
      </c>
      <c r="BR52" s="37">
        <f>SUMIFS(Lançamentos!$F:$F,Lançamentos!$A:$A,BR$19,Lançamentos!$C:$C,"Combustível")</f>
        <v>0</v>
      </c>
      <c r="BS52" s="37">
        <f>SUMIFS(Lançamentos!$F:$F,Lançamentos!$A:$A,BS$19,Lançamentos!$C:$C,"Combustível")</f>
        <v>0</v>
      </c>
      <c r="BT52" s="37">
        <f>SUMIFS(Lançamentos!$F:$F,Lançamentos!$A:$A,BT$19,Lançamentos!$C:$C,"Combustível")</f>
        <v>0</v>
      </c>
      <c r="BU52" s="37">
        <f>SUMIFS(Lançamentos!$F:$F,Lançamentos!$A:$A,BU$19,Lançamentos!$C:$C,"Combustível")</f>
        <v>0</v>
      </c>
      <c r="BV52" s="37">
        <f>SUMIFS(Lançamentos!$F:$F,Lançamentos!$A:$A,BV$19,Lançamentos!$C:$C,"Combustível")</f>
        <v>0</v>
      </c>
      <c r="BW52" s="37">
        <f>SUMIFS(Lançamentos!$F:$F,Lançamentos!$A:$A,BW$19,Lançamentos!$C:$C,"Combustível")</f>
        <v>0</v>
      </c>
      <c r="BX52" s="37">
        <f>SUMIFS(Lançamentos!$F:$F,Lançamentos!$A:$A,BX$19,Lançamentos!$C:$C,"Combustível")</f>
        <v>0</v>
      </c>
      <c r="BY52" s="37">
        <f>SUMIFS(Lançamentos!$F:$F,Lançamentos!$A:$A,BY$19,Lançamentos!$C:$C,"Combustível")</f>
        <v>0</v>
      </c>
      <c r="BZ52" s="37">
        <f>SUMIFS(Lançamentos!$F:$F,Lançamentos!$A:$A,BZ$19,Lançamentos!$C:$C,"Combustível")</f>
        <v>0</v>
      </c>
      <c r="CA52" s="37">
        <f>SUMIFS(Lançamentos!$F:$F,Lançamentos!$A:$A,CA$19,Lançamentos!$C:$C,"Combustível")</f>
        <v>0</v>
      </c>
      <c r="CB52" s="37">
        <f>SUMIFS(Lançamentos!$F:$F,Lançamentos!$A:$A,CB$19,Lançamentos!$C:$C,"Combustível")</f>
        <v>0</v>
      </c>
      <c r="CC52" s="37">
        <f>SUMIFS(Lançamentos!$F:$F,Lançamentos!$A:$A,CC$19,Lançamentos!$C:$C,"Combustível")</f>
        <v>0</v>
      </c>
      <c r="CD52" s="37">
        <f>SUMIFS(Lançamentos!$F:$F,Lançamentos!$A:$A,CD$19,Lançamentos!$C:$C,"Combustível")</f>
        <v>0</v>
      </c>
      <c r="CE52" s="37">
        <f>SUMIFS(Lançamentos!$F:$F,Lançamentos!$A:$A,CE$19,Lançamentos!$C:$C,"Combustível")</f>
        <v>0</v>
      </c>
      <c r="CF52" s="37">
        <f>SUMIFS(Lançamentos!$F:$F,Lançamentos!$A:$A,CF$19,Lançamentos!$C:$C,"Combustível")</f>
        <v>0</v>
      </c>
      <c r="CG52" s="37">
        <f>SUMIFS(Lançamentos!$F:$F,Lançamentos!$A:$A,CG$19,Lançamentos!$C:$C,"Combustível")</f>
        <v>0</v>
      </c>
      <c r="CH52" s="37">
        <f>SUMIFS(Lançamentos!$F:$F,Lançamentos!$A:$A,CH$19,Lançamentos!$C:$C,"Combustível")</f>
        <v>0</v>
      </c>
      <c r="CI52" s="37">
        <f>SUMIFS(Lançamentos!$F:$F,Lançamentos!$A:$A,CI$19,Lançamentos!$C:$C,"Combustível")</f>
        <v>0</v>
      </c>
      <c r="CJ52" s="37">
        <f>SUMIFS(Lançamentos!$F:$F,Lançamentos!$A:$A,CJ$19,Lançamentos!$C:$C,"Combustível")</f>
        <v>0</v>
      </c>
      <c r="CK52" s="37">
        <f>SUMIFS(Lançamentos!$F:$F,Lançamentos!$A:$A,CK$19,Lançamentos!$C:$C,"Combustível")</f>
        <v>0</v>
      </c>
      <c r="CL52" s="37">
        <f>SUMIFS(Lançamentos!$F:$F,Lançamentos!$A:$A,CL$19,Lançamentos!$C:$C,"Combustível")</f>
        <v>0</v>
      </c>
      <c r="CM52" s="37">
        <f>SUMIFS(Lançamentos!$F:$F,Lançamentos!$A:$A,CM$19,Lançamentos!$C:$C,"Combustível")</f>
        <v>0</v>
      </c>
      <c r="CN52" s="37">
        <f>SUMIFS(Lançamentos!$F:$F,Lançamentos!$A:$A,CN$19,Lançamentos!$C:$C,"Combustível")</f>
        <v>0</v>
      </c>
      <c r="CO52" s="37">
        <f>SUMIFS(Lançamentos!$F:$F,Lançamentos!$A:$A,CO$19,Lançamentos!$C:$C,"Combustível")</f>
        <v>0</v>
      </c>
      <c r="CP52" s="37">
        <f>SUMIFS(Lançamentos!$F:$F,Lançamentos!$A:$A,CP$19,Lançamentos!$C:$C,"Combustível")</f>
        <v>0</v>
      </c>
      <c r="CQ52" s="37">
        <f>SUMIFS(Lançamentos!$F:$F,Lançamentos!$A:$A,CQ$19,Lançamentos!$C:$C,"Combustível")</f>
        <v>0</v>
      </c>
      <c r="CR52" s="37">
        <f>SUMIFS(Lançamentos!$F:$F,Lançamentos!$A:$A,CR$19,Lançamentos!$C:$C,"Combustível")</f>
        <v>0</v>
      </c>
      <c r="CS52" s="37">
        <f>SUMIFS(Lançamentos!$F:$F,Lançamentos!$A:$A,CS$19,Lançamentos!$C:$C,"Combustível")</f>
        <v>0</v>
      </c>
      <c r="CT52" s="37">
        <f>SUMIFS(Lançamentos!$F:$F,Lançamentos!$A:$A,CT$19,Lançamentos!$C:$C,"Combustível")</f>
        <v>0</v>
      </c>
      <c r="CU52" s="37">
        <f>SUMIFS(Lançamentos!$F:$F,Lançamentos!$A:$A,CU$19,Lançamentos!$C:$C,"Combustível")</f>
        <v>0</v>
      </c>
      <c r="CV52" s="37">
        <f>SUMIFS(Lançamentos!$F:$F,Lançamentos!$A:$A,CV$19,Lançamentos!$C:$C,"Combustível")</f>
        <v>0</v>
      </c>
      <c r="CW52" s="37">
        <f>SUMIFS(Lançamentos!$F:$F,Lançamentos!$A:$A,CW$19,Lançamentos!$C:$C,"Combustível")</f>
        <v>0</v>
      </c>
      <c r="CX52" s="37">
        <f>SUMIFS(Lançamentos!$F:$F,Lançamentos!$A:$A,CX$19,Lançamentos!$C:$C,"Combustível")</f>
        <v>0</v>
      </c>
      <c r="CY52" s="37">
        <f>SUMIFS(Lançamentos!$F:$F,Lançamentos!$A:$A,CY$19,Lançamentos!$C:$C,"Combustível")</f>
        <v>0</v>
      </c>
      <c r="CZ52" s="37">
        <f>SUMIFS(Lançamentos!$F:$F,Lançamentos!$A:$A,CZ$19,Lançamentos!$C:$C,"Combustível")</f>
        <v>0</v>
      </c>
      <c r="DA52" s="37">
        <f>SUMIFS(Lançamentos!$F:$F,Lançamentos!$A:$A,DA$19,Lançamentos!$C:$C,"Combustível")</f>
        <v>0</v>
      </c>
      <c r="DB52" s="37">
        <f>SUMIFS(Lançamentos!$F:$F,Lançamentos!$A:$A,DB$19,Lançamentos!$C:$C,"Combustível")</f>
        <v>0</v>
      </c>
      <c r="DC52" s="37">
        <f>SUMIFS(Lançamentos!$F:$F,Lançamentos!$A:$A,DC$19,Lançamentos!$C:$C,"Combustível")</f>
        <v>0</v>
      </c>
      <c r="DD52" s="37">
        <f>SUMIFS(Lançamentos!$F:$F,Lançamentos!$A:$A,DD$19,Lançamentos!$C:$C,"Combustível")</f>
        <v>0</v>
      </c>
      <c r="DE52" s="37">
        <f>SUMIFS(Lançamentos!$F:$F,Lançamentos!$A:$A,DE$19,Lançamentos!$C:$C,"Combustível")</f>
        <v>0</v>
      </c>
      <c r="DF52" s="37">
        <f>SUMIFS(Lançamentos!$F:$F,Lançamentos!$A:$A,DF$19,Lançamentos!$C:$C,"Combustível")</f>
        <v>0</v>
      </c>
      <c r="DG52" s="37">
        <f>SUMIFS(Lançamentos!$F:$F,Lançamentos!$A:$A,DG$19,Lançamentos!$C:$C,"Combustível")</f>
        <v>0</v>
      </c>
      <c r="DH52" s="37">
        <f>SUMIFS(Lançamentos!$F:$F,Lançamentos!$A:$A,DH$19,Lançamentos!$C:$C,"Combustível")</f>
        <v>0</v>
      </c>
      <c r="DI52" s="37">
        <f>SUMIFS(Lançamentos!$F:$F,Lançamentos!$A:$A,DI$19,Lançamentos!$C:$C,"Combustível")</f>
        <v>0</v>
      </c>
      <c r="DJ52" s="37">
        <f>SUMIFS(Lançamentos!$F:$F,Lançamentos!$A:$A,DJ$19,Lançamentos!$C:$C,"Combustível")</f>
        <v>0</v>
      </c>
      <c r="DK52" s="37">
        <f>SUMIFS(Lançamentos!$F:$F,Lançamentos!$A:$A,DK$19,Lançamentos!$C:$C,"Combustível")</f>
        <v>0</v>
      </c>
      <c r="DL52" s="37">
        <f>SUMIFS(Lançamentos!$F:$F,Lançamentos!$A:$A,DL$19,Lançamentos!$C:$C,"Combustível")</f>
        <v>0</v>
      </c>
      <c r="DM52" s="37">
        <f>SUMIFS(Lançamentos!$F:$F,Lançamentos!$A:$A,DM$19,Lançamentos!$C:$C,"Combustível")</f>
        <v>0</v>
      </c>
      <c r="DN52" s="37">
        <f>SUMIFS(Lançamentos!$F:$F,Lançamentos!$A:$A,DN$19,Lançamentos!$C:$C,"Combustível")</f>
        <v>0</v>
      </c>
      <c r="DO52" s="37">
        <f>SUMIFS(Lançamentos!$F:$F,Lançamentos!$A:$A,DO$19,Lançamentos!$C:$C,"Combustível")</f>
        <v>0</v>
      </c>
      <c r="DP52" s="37">
        <f>SUMIFS(Lançamentos!$F:$F,Lançamentos!$A:$A,DP$19,Lançamentos!$C:$C,"Combustível")</f>
        <v>0</v>
      </c>
      <c r="DQ52" s="37">
        <f>SUMIFS(Lançamentos!$F:$F,Lançamentos!$A:$A,DQ$19,Lançamentos!$C:$C,"Combustível")</f>
        <v>0</v>
      </c>
      <c r="DR52" s="37">
        <f>SUMIFS(Lançamentos!$F:$F,Lançamentos!$A:$A,DR$19,Lançamentos!$C:$C,"Combustível")</f>
        <v>0</v>
      </c>
      <c r="DS52" s="37">
        <f>SUMIFS(Lançamentos!$F:$F,Lançamentos!$A:$A,DS$19,Lançamentos!$C:$C,"Combustível")</f>
        <v>0</v>
      </c>
      <c r="DT52" s="37">
        <f>SUMIFS(Lançamentos!$F:$F,Lançamentos!$A:$A,DT$19,Lançamentos!$C:$C,"Combustível")</f>
        <v>0</v>
      </c>
      <c r="DU52" s="37">
        <f>SUMIFS(Lançamentos!$F:$F,Lançamentos!$A:$A,DU$19,Lançamentos!$C:$C,"Combustível")</f>
        <v>0</v>
      </c>
      <c r="DV52" s="37">
        <f>SUMIFS(Lançamentos!$F:$F,Lançamentos!$A:$A,DV$19,Lançamentos!$C:$C,"Combustível")</f>
        <v>0</v>
      </c>
      <c r="DW52" s="37">
        <f>SUMIFS(Lançamentos!$F:$F,Lançamentos!$A:$A,DW$19,Lançamentos!$C:$C,"Combustível")</f>
        <v>0</v>
      </c>
      <c r="DX52" s="37">
        <f>SUMIFS(Lançamentos!$F:$F,Lançamentos!$A:$A,DX$19,Lançamentos!$C:$C,"Combustível")</f>
        <v>0</v>
      </c>
      <c r="DY52" s="37">
        <f>SUMIFS(Lançamentos!$F:$F,Lançamentos!$A:$A,DY$19,Lançamentos!$C:$C,"Combustível")</f>
        <v>0</v>
      </c>
      <c r="DZ52" s="37">
        <f>SUMIFS(Lançamentos!$F:$F,Lançamentos!$A:$A,DZ$19,Lançamentos!$C:$C,"Combustível")</f>
        <v>0</v>
      </c>
      <c r="EA52" s="37">
        <f>SUMIFS(Lançamentos!$F:$F,Lançamentos!$A:$A,EA$19,Lançamentos!$C:$C,"Combustível")</f>
        <v>0</v>
      </c>
      <c r="EB52" s="37">
        <f>SUMIFS(Lançamentos!$F:$F,Lançamentos!$A:$A,EB$19,Lançamentos!$C:$C,"Combustível")</f>
        <v>0</v>
      </c>
      <c r="EC52" s="37">
        <f>SUMIFS(Lançamentos!$F:$F,Lançamentos!$A:$A,EC$19,Lançamentos!$C:$C,"Combustível")</f>
        <v>0</v>
      </c>
      <c r="ED52" s="37">
        <f>SUMIFS(Lançamentos!$F:$F,Lançamentos!$A:$A,ED$19,Lançamentos!$C:$C,"Combustível")</f>
        <v>0</v>
      </c>
      <c r="EE52" s="37">
        <f>SUMIFS(Lançamentos!$F:$F,Lançamentos!$A:$A,EE$19,Lançamentos!$C:$C,"Combustível")</f>
        <v>0</v>
      </c>
      <c r="EF52" s="37">
        <f>SUMIFS(Lançamentos!$F:$F,Lançamentos!$A:$A,EF$19,Lançamentos!$C:$C,"Combustível")</f>
        <v>0</v>
      </c>
      <c r="EG52" s="37">
        <f>SUMIFS(Lançamentos!$F:$F,Lançamentos!$A:$A,EG$19,Lançamentos!$C:$C,"Combustível")</f>
        <v>0</v>
      </c>
      <c r="EH52" s="37">
        <f>SUMIFS(Lançamentos!$F:$F,Lançamentos!$A:$A,EH$19,Lançamentos!$C:$C,"Combustível")</f>
        <v>0</v>
      </c>
      <c r="EI52" s="37">
        <f>SUMIFS(Lançamentos!$F:$F,Lançamentos!$A:$A,EI$19,Lançamentos!$C:$C,"Combustível")</f>
        <v>0</v>
      </c>
      <c r="EJ52" s="37">
        <f>SUMIFS(Lançamentos!$F:$F,Lançamentos!$A:$A,EJ$19,Lançamentos!$C:$C,"Combustível")</f>
        <v>0</v>
      </c>
      <c r="EK52" s="37">
        <f>SUMIFS(Lançamentos!$F:$F,Lançamentos!$A:$A,EK$19,Lançamentos!$C:$C,"Combustível")</f>
        <v>0</v>
      </c>
      <c r="EL52" s="37">
        <f>SUMIFS(Lançamentos!$F:$F,Lançamentos!$A:$A,EL$19,Lançamentos!$C:$C,"Combustível")</f>
        <v>0</v>
      </c>
      <c r="EM52" s="37">
        <f>SUMIFS(Lançamentos!$F:$F,Lançamentos!$A:$A,EM$19,Lançamentos!$C:$C,"Combustível")</f>
        <v>0</v>
      </c>
      <c r="EN52" s="37">
        <f>SUMIFS(Lançamentos!$F:$F,Lançamentos!$A:$A,EN$19,Lançamentos!$C:$C,"Combustível")</f>
        <v>0</v>
      </c>
      <c r="EO52" s="37">
        <f>SUMIFS(Lançamentos!$F:$F,Lançamentos!$A:$A,EO$19,Lançamentos!$C:$C,"Combustível")</f>
        <v>0</v>
      </c>
      <c r="EP52" s="37">
        <f>SUMIFS(Lançamentos!$F:$F,Lançamentos!$A:$A,EP$19,Lançamentos!$C:$C,"Combustível")</f>
        <v>0</v>
      </c>
      <c r="EQ52" s="37">
        <f>SUMIFS(Lançamentos!$F:$F,Lançamentos!$A:$A,EQ$19,Lançamentos!$C:$C,"Combustível")</f>
        <v>0</v>
      </c>
      <c r="ER52" s="37">
        <f>SUMIFS(Lançamentos!$F:$F,Lançamentos!$A:$A,ER$19,Lançamentos!$C:$C,"Combustível")</f>
        <v>0</v>
      </c>
      <c r="ES52" s="37">
        <f>SUMIFS(Lançamentos!$F:$F,Lançamentos!$A:$A,ES$19,Lançamentos!$C:$C,"Combustível")</f>
        <v>0</v>
      </c>
      <c r="ET52" s="37">
        <f>SUMIFS(Lançamentos!$F:$F,Lançamentos!$A:$A,ET$19,Lançamentos!$C:$C,"Combustível")</f>
        <v>0</v>
      </c>
      <c r="EU52" s="37">
        <f>SUMIFS(Lançamentos!$F:$F,Lançamentos!$A:$A,EU$19,Lançamentos!$C:$C,"Combustível")</f>
        <v>0</v>
      </c>
      <c r="EV52" s="37">
        <f>SUMIFS(Lançamentos!$F:$F,Lançamentos!$A:$A,EV$19,Lançamentos!$C:$C,"Combustível")</f>
        <v>0</v>
      </c>
      <c r="EW52" s="37">
        <f>SUMIFS(Lançamentos!$F:$F,Lançamentos!$A:$A,EW$19,Lançamentos!$C:$C,"Combustível")</f>
        <v>0</v>
      </c>
      <c r="EX52" s="37">
        <f>SUMIFS(Lançamentos!$F:$F,Lançamentos!$A:$A,EX$19,Lançamentos!$C:$C,"Combustível")</f>
        <v>0</v>
      </c>
      <c r="EY52" s="37">
        <f>SUMIFS(Lançamentos!$F:$F,Lançamentos!$A:$A,EY$19,Lançamentos!$C:$C,"Combustível")</f>
        <v>0</v>
      </c>
      <c r="EZ52" s="37">
        <f>SUMIFS(Lançamentos!$F:$F,Lançamentos!$A:$A,EZ$19,Lançamentos!$C:$C,"Combustível")</f>
        <v>0</v>
      </c>
      <c r="FA52" s="37">
        <f>SUMIFS(Lançamentos!$F:$F,Lançamentos!$A:$A,FA$19,Lançamentos!$C:$C,"Combustível")</f>
        <v>0</v>
      </c>
      <c r="FB52" s="37">
        <f>SUMIFS(Lançamentos!$F:$F,Lançamentos!$A:$A,FB$19,Lançamentos!$C:$C,"Combustível")</f>
        <v>0</v>
      </c>
      <c r="FC52" s="37">
        <f>SUMIFS(Lançamentos!$F:$F,Lançamentos!$A:$A,FC$19,Lançamentos!$C:$C,"Combustível")</f>
        <v>0</v>
      </c>
      <c r="FD52" s="37">
        <f>SUMIFS(Lançamentos!$F:$F,Lançamentos!$A:$A,FD$19,Lançamentos!$C:$C,"Combustível")</f>
        <v>0</v>
      </c>
      <c r="FE52" s="37">
        <f>SUMIFS(Lançamentos!$F:$F,Lançamentos!$A:$A,FE$19,Lançamentos!$C:$C,"Combustível")</f>
        <v>0</v>
      </c>
      <c r="FF52" s="37">
        <f>SUMIFS(Lançamentos!$F:$F,Lançamentos!$A:$A,FF$19,Lançamentos!$C:$C,"Combustível")</f>
        <v>0</v>
      </c>
      <c r="FG52" s="37">
        <f>SUMIFS(Lançamentos!$F:$F,Lançamentos!$A:$A,FG$19,Lançamentos!$C:$C,"Combustível")</f>
        <v>0</v>
      </c>
      <c r="FH52" s="37">
        <f>SUMIFS(Lançamentos!$F:$F,Lançamentos!$A:$A,FH$19,Lançamentos!$C:$C,"Combustível")</f>
        <v>0</v>
      </c>
      <c r="FI52" s="37">
        <f>SUMIFS(Lançamentos!$F:$F,Lançamentos!$A:$A,FI$19,Lançamentos!$C:$C,"Combustível")</f>
        <v>0</v>
      </c>
      <c r="FJ52" s="37">
        <f>SUMIFS(Lançamentos!$F:$F,Lançamentos!$A:$A,FJ$19,Lançamentos!$C:$C,"Combustível")</f>
        <v>0</v>
      </c>
      <c r="FK52" s="37">
        <f>SUMIFS(Lançamentos!$F:$F,Lançamentos!$A:$A,FK$19,Lançamentos!$C:$C,"Combustível")</f>
        <v>0</v>
      </c>
      <c r="FL52" s="37">
        <f>SUMIFS(Lançamentos!$F:$F,Lançamentos!$A:$A,FL$19,Lançamentos!$C:$C,"Combustível")</f>
        <v>0</v>
      </c>
      <c r="FM52" s="37">
        <f>SUMIFS(Lançamentos!$F:$F,Lançamentos!$A:$A,FM$19,Lançamentos!$C:$C,"Combustível")</f>
        <v>0</v>
      </c>
      <c r="FN52" s="37">
        <f>SUMIFS(Lançamentos!$F:$F,Lançamentos!$A:$A,FN$19,Lançamentos!$C:$C,"Combustível")</f>
        <v>0</v>
      </c>
      <c r="FO52" s="37">
        <f>SUMIFS(Lançamentos!$F:$F,Lançamentos!$A:$A,FO$19,Lançamentos!$C:$C,"Combustível")</f>
        <v>0</v>
      </c>
      <c r="FP52" s="37">
        <f>SUMIFS(Lançamentos!$F:$F,Lançamentos!$A:$A,FP$19,Lançamentos!$C:$C,"Combustível")</f>
        <v>0</v>
      </c>
      <c r="FQ52" s="37">
        <f>SUMIFS(Lançamentos!$F:$F,Lançamentos!$A:$A,FQ$19,Lançamentos!$C:$C,"Combustível")</f>
        <v>0</v>
      </c>
      <c r="FR52" s="37">
        <f>SUMIFS(Lançamentos!$F:$F,Lançamentos!$A:$A,FR$19,Lançamentos!$C:$C,"Combustível")</f>
        <v>0</v>
      </c>
      <c r="FS52" s="37">
        <f>SUMIFS(Lançamentos!$F:$F,Lançamentos!$A:$A,FS$19,Lançamentos!$C:$C,"Combustível")</f>
        <v>0</v>
      </c>
      <c r="FT52" s="37">
        <f>SUMIFS(Lançamentos!$F:$F,Lançamentos!$A:$A,FT$19,Lançamentos!$C:$C,"Combustível")</f>
        <v>0</v>
      </c>
      <c r="FU52" s="37">
        <f>SUMIFS(Lançamentos!$F:$F,Lançamentos!$A:$A,FU$19,Lançamentos!$C:$C,"Combustível")</f>
        <v>0</v>
      </c>
      <c r="FV52" s="37">
        <f>SUMIFS(Lançamentos!$F:$F,Lançamentos!$A:$A,FV$19,Lançamentos!$C:$C,"Combustível")</f>
        <v>0</v>
      </c>
      <c r="FW52" s="37">
        <f>SUMIFS(Lançamentos!$F:$F,Lançamentos!$A:$A,FW$19,Lançamentos!$C:$C,"Combustível")</f>
        <v>0</v>
      </c>
      <c r="FX52" s="37">
        <f>SUMIFS(Lançamentos!$F:$F,Lançamentos!$A:$A,FX$19,Lançamentos!$C:$C,"Combustível")</f>
        <v>0</v>
      </c>
      <c r="FY52" s="37">
        <f>SUMIFS(Lançamentos!$F:$F,Lançamentos!$A:$A,FY$19,Lançamentos!$C:$C,"Combustível")</f>
        <v>0</v>
      </c>
      <c r="FZ52" s="37">
        <f>SUMIFS(Lançamentos!$F:$F,Lançamentos!$A:$A,FZ$19,Lançamentos!$C:$C,"Combustível")</f>
        <v>0</v>
      </c>
      <c r="GA52" s="37">
        <f>SUMIFS(Lançamentos!$F:$F,Lançamentos!$A:$A,GA$19,Lançamentos!$C:$C,"Combustível")</f>
        <v>0</v>
      </c>
      <c r="GB52" s="37">
        <f>SUMIFS(Lançamentos!$F:$F,Lançamentos!$A:$A,GB$19,Lançamentos!$C:$C,"Combustível")</f>
        <v>0</v>
      </c>
      <c r="GC52" s="37">
        <f>SUMIFS(Lançamentos!$F:$F,Lançamentos!$A:$A,GC$19,Lançamentos!$C:$C,"Combustível")</f>
        <v>0</v>
      </c>
      <c r="GD52" s="37">
        <f>SUMIFS(Lançamentos!$F:$F,Lançamentos!$A:$A,GD$19,Lançamentos!$C:$C,"Combustível")</f>
        <v>0</v>
      </c>
      <c r="GE52" s="37">
        <f>SUMIFS(Lançamentos!$F:$F,Lançamentos!$A:$A,GE$19,Lançamentos!$C:$C,"Combustível")</f>
        <v>0</v>
      </c>
      <c r="GF52" s="37">
        <f>SUMIFS(Lançamentos!$F:$F,Lançamentos!$A:$A,GF$19,Lançamentos!$C:$C,"Combustível")</f>
        <v>0</v>
      </c>
      <c r="GG52" s="37">
        <f>SUMIFS(Lançamentos!$F:$F,Lançamentos!$A:$A,GG$19,Lançamentos!$C:$C,"Combustível")</f>
        <v>0</v>
      </c>
      <c r="GH52" s="37">
        <f>SUMIFS(Lançamentos!$F:$F,Lançamentos!$A:$A,GH$19,Lançamentos!$C:$C,"Combustível")</f>
        <v>0</v>
      </c>
      <c r="GI52" s="37">
        <f>SUMIFS(Lançamentos!$F:$F,Lançamentos!$A:$A,GI$19,Lançamentos!$C:$C,"Combustível")</f>
        <v>0</v>
      </c>
      <c r="GJ52" s="37">
        <f>SUMIFS(Lançamentos!$F:$F,Lançamentos!$A:$A,GJ$19,Lançamentos!$C:$C,"Combustível")</f>
        <v>0</v>
      </c>
      <c r="GK52" s="37">
        <f>SUMIFS(Lançamentos!$F:$F,Lançamentos!$A:$A,GK$19,Lançamentos!$C:$C,"Combustível")</f>
        <v>0</v>
      </c>
      <c r="GL52" s="37">
        <f>SUMIFS(Lançamentos!$F:$F,Lançamentos!$A:$A,GL$19,Lançamentos!$C:$C,"Combustível")</f>
        <v>0</v>
      </c>
      <c r="GM52" s="37">
        <f>SUMIFS(Lançamentos!$F:$F,Lançamentos!$A:$A,GM$19,Lançamentos!$C:$C,"Combustível")</f>
        <v>0</v>
      </c>
      <c r="GN52" s="37">
        <f>SUMIFS(Lançamentos!$F:$F,Lançamentos!$A:$A,GN$19,Lançamentos!$C:$C,"Combustível")</f>
        <v>0</v>
      </c>
      <c r="GO52" s="37">
        <f>SUMIFS(Lançamentos!$F:$F,Lançamentos!$A:$A,GO$19,Lançamentos!$C:$C,"Combustível")</f>
        <v>0</v>
      </c>
      <c r="GP52" s="37">
        <f>SUMIFS(Lançamentos!$F:$F,Lançamentos!$A:$A,GP$19,Lançamentos!$C:$C,"Combustível")</f>
        <v>0</v>
      </c>
      <c r="GQ52" s="37">
        <f>SUMIFS(Lançamentos!$F:$F,Lançamentos!$A:$A,GQ$19,Lançamentos!$C:$C,"Combustível")</f>
        <v>0</v>
      </c>
      <c r="GR52" s="37">
        <f>SUMIFS(Lançamentos!$F:$F,Lançamentos!$A:$A,GR$19,Lançamentos!$C:$C,"Combustível")</f>
        <v>0</v>
      </c>
      <c r="GS52" s="37">
        <f>SUMIFS(Lançamentos!$F:$F,Lançamentos!$A:$A,GS$19,Lançamentos!$C:$C,"Combustível")</f>
        <v>0</v>
      </c>
      <c r="GT52" s="37">
        <f>SUMIFS(Lançamentos!$F:$F,Lançamentos!$A:$A,GT$19,Lançamentos!$C:$C,"Combustível")</f>
        <v>0</v>
      </c>
      <c r="GU52" s="37">
        <f>SUMIFS(Lançamentos!$F:$F,Lançamentos!$A:$A,GU$19,Lançamentos!$C:$C,"Combustível")</f>
        <v>0</v>
      </c>
      <c r="GV52" s="37">
        <f>SUMIFS(Lançamentos!$F:$F,Lançamentos!$A:$A,GV$19,Lançamentos!$C:$C,"Combustível")</f>
        <v>0</v>
      </c>
      <c r="GW52" s="37">
        <f>SUMIFS(Lançamentos!$F:$F,Lançamentos!$A:$A,GW$19,Lançamentos!$C:$C,"Combustível")</f>
        <v>0</v>
      </c>
      <c r="GX52" s="37">
        <f>SUMIFS(Lançamentos!$F:$F,Lançamentos!$A:$A,GX$19,Lançamentos!$C:$C,"Combustível")</f>
        <v>0</v>
      </c>
      <c r="GY52" s="37">
        <f>SUMIFS(Lançamentos!$F:$F,Lançamentos!$A:$A,GY$19,Lançamentos!$C:$C,"Combustível")</f>
        <v>0</v>
      </c>
      <c r="GZ52" s="37">
        <f>SUMIFS(Lançamentos!$F:$F,Lançamentos!$A:$A,GZ$19,Lançamentos!$C:$C,"Combustível")</f>
        <v>0</v>
      </c>
      <c r="HA52" s="37">
        <f>SUMIFS(Lançamentos!$F:$F,Lançamentos!$A:$A,HA$19,Lançamentos!$C:$C,"Combustível")</f>
        <v>0</v>
      </c>
      <c r="HB52" s="37">
        <f>SUMIFS(Lançamentos!$F:$F,Lançamentos!$A:$A,HB$19,Lançamentos!$C:$C,"Combustível")</f>
        <v>0</v>
      </c>
      <c r="HC52" s="37">
        <f>SUMIFS(Lançamentos!$F:$F,Lançamentos!$A:$A,HC$19,Lançamentos!$C:$C,"Combustível")</f>
        <v>0</v>
      </c>
      <c r="HD52" s="37">
        <f>SUMIFS(Lançamentos!$F:$F,Lançamentos!$A:$A,HD$19,Lançamentos!$C:$C,"Combustível")</f>
        <v>0</v>
      </c>
      <c r="HE52" s="37">
        <f>SUMIFS(Lançamentos!$F:$F,Lançamentos!$A:$A,HE$19,Lançamentos!$C:$C,"Combustível")</f>
        <v>0</v>
      </c>
      <c r="HF52" s="37">
        <f>SUMIFS(Lançamentos!$F:$F,Lançamentos!$A:$A,HF$19,Lançamentos!$C:$C,"Combustível")</f>
        <v>0</v>
      </c>
      <c r="HG52" s="37">
        <f>SUMIFS(Lançamentos!$F:$F,Lançamentos!$A:$A,HG$19,Lançamentos!$C:$C,"Combustível")</f>
        <v>0</v>
      </c>
      <c r="HH52" s="37">
        <f>SUMIFS(Lançamentos!$F:$F,Lançamentos!$A:$A,HH$19,Lançamentos!$C:$C,"Combustível")</f>
        <v>0</v>
      </c>
      <c r="HI52" s="37">
        <f>SUMIFS(Lançamentos!$F:$F,Lançamentos!$A:$A,HI$19,Lançamentos!$C:$C,"Combustível")</f>
        <v>0</v>
      </c>
      <c r="HJ52" s="37">
        <f>SUMIFS(Lançamentos!$F:$F,Lançamentos!$A:$A,HJ$19,Lançamentos!$C:$C,"Combustível")</f>
        <v>0</v>
      </c>
      <c r="HK52" s="37">
        <f>SUMIFS(Lançamentos!$F:$F,Lançamentos!$A:$A,HK$19,Lançamentos!$C:$C,"Combustível")</f>
        <v>0</v>
      </c>
      <c r="HL52" s="37">
        <f>SUMIFS(Lançamentos!$F:$F,Lançamentos!$A:$A,HL$19,Lançamentos!$C:$C,"Combustível")</f>
        <v>0</v>
      </c>
      <c r="HM52" s="37">
        <f>SUMIFS(Lançamentos!$F:$F,Lançamentos!$A:$A,HM$19,Lançamentos!$C:$C,"Combustível")</f>
        <v>0</v>
      </c>
      <c r="HN52" s="37">
        <f>SUMIFS(Lançamentos!$F:$F,Lançamentos!$A:$A,HN$19,Lançamentos!$C:$C,"Combustível")</f>
        <v>0</v>
      </c>
      <c r="HO52" s="37">
        <f>SUMIFS(Lançamentos!$F:$F,Lançamentos!$A:$A,HO$19,Lançamentos!$C:$C,"Combustível")</f>
        <v>0</v>
      </c>
      <c r="HP52" s="37">
        <f>SUMIFS(Lançamentos!$F:$F,Lançamentos!$A:$A,HP$19,Lançamentos!$C:$C,"Combustível")</f>
        <v>0</v>
      </c>
      <c r="HQ52" s="37">
        <f>SUMIFS(Lançamentos!$F:$F,Lançamentos!$A:$A,HQ$19,Lançamentos!$C:$C,"Combustível")</f>
        <v>0</v>
      </c>
      <c r="HR52" s="37">
        <f>SUMIFS(Lançamentos!$F:$F,Lançamentos!$A:$A,HR$19,Lançamentos!$C:$C,"Combustível")</f>
        <v>0</v>
      </c>
      <c r="HS52" s="37">
        <f>SUMIFS(Lançamentos!$F:$F,Lançamentos!$A:$A,HS$19,Lançamentos!$C:$C,"Combustível")</f>
        <v>0</v>
      </c>
      <c r="HT52" s="37">
        <f>SUMIFS(Lançamentos!$F:$F,Lançamentos!$A:$A,HT$19,Lançamentos!$C:$C,"Combustível")</f>
        <v>0</v>
      </c>
      <c r="HU52" s="37">
        <f>SUMIFS(Lançamentos!$F:$F,Lançamentos!$A:$A,HU$19,Lançamentos!$C:$C,"Combustível")</f>
        <v>0</v>
      </c>
      <c r="HV52" s="37">
        <f>SUMIFS(Lançamentos!$F:$F,Lançamentos!$A:$A,HV$19,Lançamentos!$C:$C,"Combustível")</f>
        <v>0</v>
      </c>
      <c r="HW52" s="37">
        <f>SUMIFS(Lançamentos!$F:$F,Lançamentos!$A:$A,HW$19,Lançamentos!$C:$C,"Combustível")</f>
        <v>0</v>
      </c>
      <c r="HX52" s="37">
        <f>SUMIFS(Lançamentos!$F:$F,Lançamentos!$A:$A,HX$19,Lançamentos!$C:$C,"Combustível")</f>
        <v>0</v>
      </c>
      <c r="HY52" s="37">
        <f>SUMIFS(Lançamentos!$F:$F,Lançamentos!$A:$A,HY$19,Lançamentos!$C:$C,"Combustível")</f>
        <v>0</v>
      </c>
      <c r="HZ52" s="37">
        <f>SUMIFS(Lançamentos!$F:$F,Lançamentos!$A:$A,HZ$19,Lançamentos!$C:$C,"Combustível")</f>
        <v>0</v>
      </c>
      <c r="IA52" s="37">
        <f>SUMIFS(Lançamentos!$F:$F,Lançamentos!$A:$A,IA$19,Lançamentos!$C:$C,"Combustível")</f>
        <v>0</v>
      </c>
      <c r="IB52" s="37">
        <f>SUMIFS(Lançamentos!$F:$F,Lançamentos!$A:$A,IB$19,Lançamentos!$C:$C,"Combustível")</f>
        <v>0</v>
      </c>
      <c r="IC52" s="37">
        <f>SUMIFS(Lançamentos!$F:$F,Lançamentos!$A:$A,IC$19,Lançamentos!$C:$C,"Combustível")</f>
        <v>0</v>
      </c>
      <c r="ID52" s="37">
        <f>SUMIFS(Lançamentos!$F:$F,Lançamentos!$A:$A,ID$19,Lançamentos!$C:$C,"Combustível")</f>
        <v>0</v>
      </c>
      <c r="IE52" s="37">
        <f>SUMIFS(Lançamentos!$F:$F,Lançamentos!$A:$A,IE$19,Lançamentos!$C:$C,"Combustível")</f>
        <v>0</v>
      </c>
      <c r="IF52" s="37">
        <f>SUMIFS(Lançamentos!$F:$F,Lançamentos!$A:$A,IF$19,Lançamentos!$C:$C,"Combustível")</f>
        <v>0</v>
      </c>
      <c r="IG52" s="37">
        <f>SUMIFS(Lançamentos!$F:$F,Lançamentos!$A:$A,IG$19,Lançamentos!$C:$C,"Combustível")</f>
        <v>0</v>
      </c>
      <c r="IH52" s="37">
        <f>SUMIFS(Lançamentos!$F:$F,Lançamentos!$A:$A,IH$19,Lançamentos!$C:$C,"Combustível")</f>
        <v>0</v>
      </c>
      <c r="II52" s="37">
        <f>SUMIFS(Lançamentos!$F:$F,Lançamentos!$A:$A,II$19,Lançamentos!$C:$C,"Combustível")</f>
        <v>0</v>
      </c>
      <c r="IJ52" s="37">
        <f>SUMIFS(Lançamentos!$F:$F,Lançamentos!$A:$A,IJ$19,Lançamentos!$C:$C,"Combustível")</f>
        <v>0</v>
      </c>
      <c r="IK52" s="37">
        <f>SUMIFS(Lançamentos!$F:$F,Lançamentos!$A:$A,IK$19,Lançamentos!$C:$C,"Combustível")</f>
        <v>0</v>
      </c>
      <c r="IL52" s="37">
        <f>SUMIFS(Lançamentos!$F:$F,Lançamentos!$A:$A,IL$19,Lançamentos!$C:$C,"Combustível")</f>
        <v>0</v>
      </c>
    </row>
    <row r="53" spans="1:246" x14ac:dyDescent="0.3">
      <c r="A53" t="s">
        <v>91</v>
      </c>
      <c r="B53" s="37">
        <f>SUMIFS(Lançamentos!$F:$F,Lançamentos!$A:$A,B$19,Lançamentos!$C:$C,"Pró-labore")</f>
        <v>0</v>
      </c>
      <c r="C53" s="37">
        <f>SUMIFS(Lançamentos!$F:$F,Lançamentos!$A:$A,C$19,Lançamentos!$C:$C,"Pró-labore")</f>
        <v>0</v>
      </c>
      <c r="D53" s="37">
        <f>SUMIFS(Lançamentos!$F:$F,Lançamentos!$A:$A,D$19,Lançamentos!$C:$C,"Pró-labore")</f>
        <v>0</v>
      </c>
      <c r="E53" s="37">
        <f>SUMIFS(Lançamentos!$F:$F,Lançamentos!$A:$A,E$19,Lançamentos!$C:$C,"Pró-labore")</f>
        <v>0</v>
      </c>
      <c r="F53" s="37">
        <f>SUMIFS(Lançamentos!$F:$F,Lançamentos!$A:$A,F$19,Lançamentos!$C:$C,"Pró-labore")</f>
        <v>0</v>
      </c>
      <c r="G53" s="37">
        <f>SUMIFS(Lançamentos!$F:$F,Lançamentos!$A:$A,G$19,Lançamentos!$C:$C,"Pró-labore")</f>
        <v>0</v>
      </c>
      <c r="H53" s="37">
        <f>SUMIFS(Lançamentos!$F:$F,Lançamentos!$A:$A,H$19,Lançamentos!$C:$C,"Pró-labore")</f>
        <v>0</v>
      </c>
      <c r="I53" s="37">
        <f>SUMIFS(Lançamentos!$F:$F,Lançamentos!$A:$A,I$19,Lançamentos!$C:$C,"Pró-labore")</f>
        <v>0</v>
      </c>
      <c r="J53" s="37">
        <f>SUMIFS(Lançamentos!$F:$F,Lançamentos!$A:$A,J$19,Lançamentos!$C:$C,"Pró-labore")</f>
        <v>0</v>
      </c>
      <c r="K53" s="37">
        <f>SUMIFS(Lançamentos!$F:$F,Lançamentos!$A:$A,K$19,Lançamentos!$C:$C,"Pró-labore")</f>
        <v>0</v>
      </c>
      <c r="L53" s="37">
        <f>SUMIFS(Lançamentos!$F:$F,Lançamentos!$A:$A,L$19,Lançamentos!$C:$C,"Pró-labore")</f>
        <v>0</v>
      </c>
      <c r="M53" s="37">
        <f>SUMIFS(Lançamentos!$F:$F,Lançamentos!$A:$A,M$19,Lançamentos!$C:$C,"Pró-labore")</f>
        <v>0</v>
      </c>
      <c r="N53" s="37">
        <f>SUMIFS(Lançamentos!$F:$F,Lançamentos!$A:$A,N$19,Lançamentos!$C:$C,"Pró-labore")</f>
        <v>0</v>
      </c>
      <c r="O53" s="37">
        <f>SUMIFS(Lançamentos!$F:$F,Lançamentos!$A:$A,O$19,Lançamentos!$C:$C,"Pró-labore")</f>
        <v>0</v>
      </c>
      <c r="P53" s="37">
        <f>SUMIFS(Lançamentos!$F:$F,Lançamentos!$A:$A,P$19,Lançamentos!$C:$C,"Pró-labore")</f>
        <v>0</v>
      </c>
      <c r="Q53" s="37">
        <f>SUMIFS(Lançamentos!$F:$F,Lançamentos!$A:$A,Q$19,Lançamentos!$C:$C,"Pró-labore")</f>
        <v>0</v>
      </c>
      <c r="R53" s="37">
        <f>SUMIFS(Lançamentos!$F:$F,Lançamentos!$A:$A,R$19,Lançamentos!$C:$C,"Pró-labore")</f>
        <v>0</v>
      </c>
      <c r="S53" s="37">
        <f>SUMIFS(Lançamentos!$F:$F,Lançamentos!$A:$A,S$19,Lançamentos!$C:$C,"Pró-labore")</f>
        <v>0</v>
      </c>
      <c r="T53" s="37">
        <f>SUMIFS(Lançamentos!$F:$F,Lançamentos!$A:$A,T$19,Lançamentos!$C:$C,"Pró-labore")</f>
        <v>0</v>
      </c>
      <c r="U53" s="37">
        <f>SUMIFS(Lançamentos!$F:$F,Lançamentos!$A:$A,U$19,Lançamentos!$C:$C,"Pró-labore")</f>
        <v>0</v>
      </c>
      <c r="V53" s="37">
        <f>SUMIFS(Lançamentos!$F:$F,Lançamentos!$A:$A,V$19,Lançamentos!$C:$C,"Pró-labore")</f>
        <v>0</v>
      </c>
      <c r="W53" s="37">
        <f>SUMIFS(Lançamentos!$F:$F,Lançamentos!$A:$A,W$19,Lançamentos!$C:$C,"Pró-labore")</f>
        <v>0</v>
      </c>
      <c r="X53" s="37">
        <f>SUMIFS(Lançamentos!$F:$F,Lançamentos!$A:$A,X$19,Lançamentos!$C:$C,"Pró-labore")</f>
        <v>0</v>
      </c>
      <c r="Y53" s="37">
        <f>SUMIFS(Lançamentos!$F:$F,Lançamentos!$A:$A,Y$19,Lançamentos!$C:$C,"Pró-labore")</f>
        <v>0</v>
      </c>
      <c r="Z53" s="37">
        <f>SUMIFS(Lançamentos!$F:$F,Lançamentos!$A:$A,Z$19,Lançamentos!$C:$C,"Pró-labore")</f>
        <v>0</v>
      </c>
      <c r="AA53" s="37">
        <f>SUMIFS(Lançamentos!$F:$F,Lançamentos!$A:$A,AA$19,Lançamentos!$C:$C,"Pró-labore")</f>
        <v>0</v>
      </c>
      <c r="AB53" s="37">
        <f>SUMIFS(Lançamentos!$F:$F,Lançamentos!$A:$A,AB$19,Lançamentos!$C:$C,"Pró-labore")</f>
        <v>0</v>
      </c>
      <c r="AC53" s="37">
        <f>SUMIFS(Lançamentos!$F:$F,Lançamentos!$A:$A,AC$19,Lançamentos!$C:$C,"Pró-labore")</f>
        <v>0</v>
      </c>
      <c r="AD53" s="37">
        <f>SUMIFS(Lançamentos!$F:$F,Lançamentos!$A:$A,AD$19,Lançamentos!$C:$C,"Pró-labore")</f>
        <v>0</v>
      </c>
      <c r="AE53" s="37">
        <f>SUMIFS(Lançamentos!$F:$F,Lançamentos!$A:$A,AE$19,Lançamentos!$C:$C,"Pró-labore")</f>
        <v>0</v>
      </c>
      <c r="AF53" s="37">
        <f>SUMIFS(Lançamentos!$F:$F,Lançamentos!$A:$A,AF$19,Lançamentos!$C:$C,"Pró-labore")</f>
        <v>0</v>
      </c>
      <c r="AG53" s="37">
        <f>SUMIFS(Lançamentos!$F:$F,Lançamentos!$A:$A,AG$19,Lançamentos!$C:$C,"Pró-labore")</f>
        <v>0</v>
      </c>
      <c r="AH53" s="37">
        <f>SUMIFS(Lançamentos!$F:$F,Lançamentos!$A:$A,AH$19,Lançamentos!$C:$C,"Pró-labore")</f>
        <v>0</v>
      </c>
      <c r="AI53" s="37">
        <f>SUMIFS(Lançamentos!$F:$F,Lançamentos!$A:$A,AI$19,Lançamentos!$C:$C,"Pró-labore")</f>
        <v>0</v>
      </c>
      <c r="AJ53" s="37">
        <f>SUMIFS(Lançamentos!$F:$F,Lançamentos!$A:$A,AJ$19,Lançamentos!$C:$C,"Pró-labore")</f>
        <v>0</v>
      </c>
      <c r="AK53" s="37">
        <f>SUMIFS(Lançamentos!$F:$F,Lançamentos!$A:$A,AK$19,Lançamentos!$C:$C,"Pró-labore")</f>
        <v>0</v>
      </c>
      <c r="AL53" s="37">
        <f>SUMIFS(Lançamentos!$F:$F,Lançamentos!$A:$A,AL$19,Lançamentos!$C:$C,"Pró-labore")</f>
        <v>0</v>
      </c>
      <c r="AM53" s="37">
        <f>SUMIFS(Lançamentos!$F:$F,Lançamentos!$A:$A,AM$19,Lançamentos!$C:$C,"Pró-labore")</f>
        <v>0</v>
      </c>
      <c r="AN53" s="37">
        <f>SUMIFS(Lançamentos!$F:$F,Lançamentos!$A:$A,AN$19,Lançamentos!$C:$C,"Pró-labore")</f>
        <v>0</v>
      </c>
      <c r="AO53" s="37">
        <f>SUMIFS(Lançamentos!$F:$F,Lançamentos!$A:$A,AO$19,Lançamentos!$C:$C,"Pró-labore")</f>
        <v>0</v>
      </c>
      <c r="AP53" s="37">
        <f>SUMIFS(Lançamentos!$F:$F,Lançamentos!$A:$A,AP$19,Lançamentos!$C:$C,"Pró-labore")</f>
        <v>0</v>
      </c>
      <c r="AQ53" s="37">
        <f>SUMIFS(Lançamentos!$F:$F,Lançamentos!$A:$A,AQ$19,Lançamentos!$C:$C,"Pró-labore")</f>
        <v>0</v>
      </c>
      <c r="AR53" s="37">
        <f>SUMIFS(Lançamentos!$F:$F,Lançamentos!$A:$A,AR$19,Lançamentos!$C:$C,"Pró-labore")</f>
        <v>0</v>
      </c>
      <c r="AS53" s="37">
        <f>SUMIFS(Lançamentos!$F:$F,Lançamentos!$A:$A,AS$19,Lançamentos!$C:$C,"Pró-labore")</f>
        <v>0</v>
      </c>
      <c r="AT53" s="37">
        <f>SUMIFS(Lançamentos!$F:$F,Lançamentos!$A:$A,AT$19,Lançamentos!$C:$C,"Pró-labore")</f>
        <v>0</v>
      </c>
      <c r="AU53" s="37">
        <f>SUMIFS(Lançamentos!$F:$F,Lançamentos!$A:$A,AU$19,Lançamentos!$C:$C,"Pró-labore")</f>
        <v>0</v>
      </c>
      <c r="AV53" s="37">
        <f>SUMIFS(Lançamentos!$F:$F,Lançamentos!$A:$A,AV$19,Lançamentos!$C:$C,"Pró-labore")</f>
        <v>0</v>
      </c>
      <c r="AW53" s="37">
        <f>SUMIFS(Lançamentos!$F:$F,Lançamentos!$A:$A,AW$19,Lançamentos!$C:$C,"Pró-labore")</f>
        <v>0</v>
      </c>
      <c r="AX53" s="37">
        <f>SUMIFS(Lançamentos!$F:$F,Lançamentos!$A:$A,AX$19,Lançamentos!$C:$C,"Pró-labore")</f>
        <v>0</v>
      </c>
      <c r="AY53" s="37">
        <f>SUMIFS(Lançamentos!$F:$F,Lançamentos!$A:$A,AY$19,Lançamentos!$C:$C,"Pró-labore")</f>
        <v>0</v>
      </c>
      <c r="AZ53" s="37">
        <f>SUMIFS(Lançamentos!$F:$F,Lançamentos!$A:$A,AZ$19,Lançamentos!$C:$C,"Pró-labore")</f>
        <v>0</v>
      </c>
      <c r="BA53" s="37">
        <f>SUMIFS(Lançamentos!$F:$F,Lançamentos!$A:$A,BA$19,Lançamentos!$C:$C,"Pró-labore")</f>
        <v>0</v>
      </c>
      <c r="BB53" s="37">
        <f>SUMIFS(Lançamentos!$F:$F,Lançamentos!$A:$A,BB$19,Lançamentos!$C:$C,"Pró-labore")</f>
        <v>0</v>
      </c>
      <c r="BC53" s="37">
        <f>SUMIFS(Lançamentos!$F:$F,Lançamentos!$A:$A,BC$19,Lançamentos!$C:$C,"Pró-labore")</f>
        <v>0</v>
      </c>
      <c r="BD53" s="37">
        <f>SUMIFS(Lançamentos!$F:$F,Lançamentos!$A:$A,BD$19,Lançamentos!$C:$C,"Pró-labore")</f>
        <v>0</v>
      </c>
      <c r="BE53" s="37">
        <f>SUMIFS(Lançamentos!$F:$F,Lançamentos!$A:$A,BE$19,Lançamentos!$C:$C,"Pró-labore")</f>
        <v>0</v>
      </c>
      <c r="BF53" s="37">
        <f>SUMIFS(Lançamentos!$F:$F,Lançamentos!$A:$A,BF$19,Lançamentos!$C:$C,"Pró-labore")</f>
        <v>0</v>
      </c>
      <c r="BG53" s="37">
        <f>SUMIFS(Lançamentos!$F:$F,Lançamentos!$A:$A,BG$19,Lançamentos!$C:$C,"Pró-labore")</f>
        <v>0</v>
      </c>
      <c r="BH53" s="37">
        <f>SUMIFS(Lançamentos!$F:$F,Lançamentos!$A:$A,BH$19,Lançamentos!$C:$C,"Pró-labore")</f>
        <v>0</v>
      </c>
      <c r="BI53" s="37">
        <f>SUMIFS(Lançamentos!$F:$F,Lançamentos!$A:$A,BI$19,Lançamentos!$C:$C,"Pró-labore")</f>
        <v>0</v>
      </c>
      <c r="BJ53" s="37">
        <f>SUMIFS(Lançamentos!$F:$F,Lançamentos!$A:$A,BJ$19,Lançamentos!$C:$C,"Pró-labore")</f>
        <v>0</v>
      </c>
      <c r="BK53" s="37">
        <f>SUMIFS(Lançamentos!$F:$F,Lançamentos!$A:$A,BK$19,Lançamentos!$C:$C,"Pró-labore")</f>
        <v>0</v>
      </c>
      <c r="BL53" s="37">
        <f>SUMIFS(Lançamentos!$F:$F,Lançamentos!$A:$A,BL$19,Lançamentos!$C:$C,"Pró-labore")</f>
        <v>0</v>
      </c>
      <c r="BM53" s="37">
        <f>SUMIFS(Lançamentos!$F:$F,Lançamentos!$A:$A,BM$19,Lançamentos!$C:$C,"Pró-labore")</f>
        <v>0</v>
      </c>
      <c r="BN53" s="37">
        <f>SUMIFS(Lançamentos!$F:$F,Lançamentos!$A:$A,BN$19,Lançamentos!$C:$C,"Pró-labore")</f>
        <v>0</v>
      </c>
      <c r="BO53" s="37">
        <f>SUMIFS(Lançamentos!$F:$F,Lançamentos!$A:$A,BO$19,Lançamentos!$C:$C,"Pró-labore")</f>
        <v>0</v>
      </c>
      <c r="BP53" s="37">
        <f>SUMIFS(Lançamentos!$F:$F,Lançamentos!$A:$A,BP$19,Lançamentos!$C:$C,"Pró-labore")</f>
        <v>0</v>
      </c>
      <c r="BQ53" s="37">
        <f>SUMIFS(Lançamentos!$F:$F,Lançamentos!$A:$A,BQ$19,Lançamentos!$C:$C,"Pró-labore")</f>
        <v>0</v>
      </c>
      <c r="BR53" s="37">
        <f>SUMIFS(Lançamentos!$F:$F,Lançamentos!$A:$A,BR$19,Lançamentos!$C:$C,"Pró-labore")</f>
        <v>0</v>
      </c>
      <c r="BS53" s="37">
        <f>SUMIFS(Lançamentos!$F:$F,Lançamentos!$A:$A,BS$19,Lançamentos!$C:$C,"Pró-labore")</f>
        <v>0</v>
      </c>
      <c r="BT53" s="37">
        <f>SUMIFS(Lançamentos!$F:$F,Lançamentos!$A:$A,BT$19,Lançamentos!$C:$C,"Pró-labore")</f>
        <v>0</v>
      </c>
      <c r="BU53" s="37">
        <f>SUMIFS(Lançamentos!$F:$F,Lançamentos!$A:$A,BU$19,Lançamentos!$C:$C,"Pró-labore")</f>
        <v>0</v>
      </c>
      <c r="BV53" s="37">
        <f>SUMIFS(Lançamentos!$F:$F,Lançamentos!$A:$A,BV$19,Lançamentos!$C:$C,"Pró-labore")</f>
        <v>0</v>
      </c>
      <c r="BW53" s="37">
        <f>SUMIFS(Lançamentos!$F:$F,Lançamentos!$A:$A,BW$19,Lançamentos!$C:$C,"Pró-labore")</f>
        <v>0</v>
      </c>
      <c r="BX53" s="37">
        <f>SUMIFS(Lançamentos!$F:$F,Lançamentos!$A:$A,BX$19,Lançamentos!$C:$C,"Pró-labore")</f>
        <v>0</v>
      </c>
      <c r="BY53" s="37">
        <f>SUMIFS(Lançamentos!$F:$F,Lançamentos!$A:$A,BY$19,Lançamentos!$C:$C,"Pró-labore")</f>
        <v>0</v>
      </c>
      <c r="BZ53" s="37">
        <f>SUMIFS(Lançamentos!$F:$F,Lançamentos!$A:$A,BZ$19,Lançamentos!$C:$C,"Pró-labore")</f>
        <v>0</v>
      </c>
      <c r="CA53" s="37">
        <f>SUMIFS(Lançamentos!$F:$F,Lançamentos!$A:$A,CA$19,Lançamentos!$C:$C,"Pró-labore")</f>
        <v>0</v>
      </c>
      <c r="CB53" s="37">
        <f>SUMIFS(Lançamentos!$F:$F,Lançamentos!$A:$A,CB$19,Lançamentos!$C:$C,"Pró-labore")</f>
        <v>0</v>
      </c>
      <c r="CC53" s="37">
        <f>SUMIFS(Lançamentos!$F:$F,Lançamentos!$A:$A,CC$19,Lançamentos!$C:$C,"Pró-labore")</f>
        <v>0</v>
      </c>
      <c r="CD53" s="37">
        <f>SUMIFS(Lançamentos!$F:$F,Lançamentos!$A:$A,CD$19,Lançamentos!$C:$C,"Pró-labore")</f>
        <v>0</v>
      </c>
      <c r="CE53" s="37">
        <f>SUMIFS(Lançamentos!$F:$F,Lançamentos!$A:$A,CE$19,Lançamentos!$C:$C,"Pró-labore")</f>
        <v>0</v>
      </c>
      <c r="CF53" s="37">
        <f>SUMIFS(Lançamentos!$F:$F,Lançamentos!$A:$A,CF$19,Lançamentos!$C:$C,"Pró-labore")</f>
        <v>0</v>
      </c>
      <c r="CG53" s="37">
        <f>SUMIFS(Lançamentos!$F:$F,Lançamentos!$A:$A,CG$19,Lançamentos!$C:$C,"Pró-labore")</f>
        <v>0</v>
      </c>
      <c r="CH53" s="37">
        <f>SUMIFS(Lançamentos!$F:$F,Lançamentos!$A:$A,CH$19,Lançamentos!$C:$C,"Pró-labore")</f>
        <v>0</v>
      </c>
      <c r="CI53" s="37">
        <f>SUMIFS(Lançamentos!$F:$F,Lançamentos!$A:$A,CI$19,Lançamentos!$C:$C,"Pró-labore")</f>
        <v>0</v>
      </c>
      <c r="CJ53" s="37">
        <f>SUMIFS(Lançamentos!$F:$F,Lançamentos!$A:$A,CJ$19,Lançamentos!$C:$C,"Pró-labore")</f>
        <v>0</v>
      </c>
      <c r="CK53" s="37">
        <f>SUMIFS(Lançamentos!$F:$F,Lançamentos!$A:$A,CK$19,Lançamentos!$C:$C,"Pró-labore")</f>
        <v>0</v>
      </c>
      <c r="CL53" s="37">
        <f>SUMIFS(Lançamentos!$F:$F,Lançamentos!$A:$A,CL$19,Lançamentos!$C:$C,"Pró-labore")</f>
        <v>0</v>
      </c>
      <c r="CM53" s="37">
        <f>SUMIFS(Lançamentos!$F:$F,Lançamentos!$A:$A,CM$19,Lançamentos!$C:$C,"Pró-labore")</f>
        <v>0</v>
      </c>
      <c r="CN53" s="37">
        <f>SUMIFS(Lançamentos!$F:$F,Lançamentos!$A:$A,CN$19,Lançamentos!$C:$C,"Pró-labore")</f>
        <v>0</v>
      </c>
      <c r="CO53" s="37">
        <f>SUMIFS(Lançamentos!$F:$F,Lançamentos!$A:$A,CO$19,Lançamentos!$C:$C,"Pró-labore")</f>
        <v>0</v>
      </c>
      <c r="CP53" s="37">
        <f>SUMIFS(Lançamentos!$F:$F,Lançamentos!$A:$A,CP$19,Lançamentos!$C:$C,"Pró-labore")</f>
        <v>0</v>
      </c>
      <c r="CQ53" s="37">
        <f>SUMIFS(Lançamentos!$F:$F,Lançamentos!$A:$A,CQ$19,Lançamentos!$C:$C,"Pró-labore")</f>
        <v>0</v>
      </c>
      <c r="CR53" s="37">
        <f>SUMIFS(Lançamentos!$F:$F,Lançamentos!$A:$A,CR$19,Lançamentos!$C:$C,"Pró-labore")</f>
        <v>0</v>
      </c>
      <c r="CS53" s="37">
        <f>SUMIFS(Lançamentos!$F:$F,Lançamentos!$A:$A,CS$19,Lançamentos!$C:$C,"Pró-labore")</f>
        <v>0</v>
      </c>
      <c r="CT53" s="37">
        <f>SUMIFS(Lançamentos!$F:$F,Lançamentos!$A:$A,CT$19,Lançamentos!$C:$C,"Pró-labore")</f>
        <v>0</v>
      </c>
      <c r="CU53" s="37">
        <f>SUMIFS(Lançamentos!$F:$F,Lançamentos!$A:$A,CU$19,Lançamentos!$C:$C,"Pró-labore")</f>
        <v>0</v>
      </c>
      <c r="CV53" s="37">
        <f>SUMIFS(Lançamentos!$F:$F,Lançamentos!$A:$A,CV$19,Lançamentos!$C:$C,"Pró-labore")</f>
        <v>0</v>
      </c>
      <c r="CW53" s="37">
        <f>SUMIFS(Lançamentos!$F:$F,Lançamentos!$A:$A,CW$19,Lançamentos!$C:$C,"Pró-labore")</f>
        <v>0</v>
      </c>
      <c r="CX53" s="37">
        <f>SUMIFS(Lançamentos!$F:$F,Lançamentos!$A:$A,CX$19,Lançamentos!$C:$C,"Pró-labore")</f>
        <v>0</v>
      </c>
      <c r="CY53" s="37">
        <f>SUMIFS(Lançamentos!$F:$F,Lançamentos!$A:$A,CY$19,Lançamentos!$C:$C,"Pró-labore")</f>
        <v>0</v>
      </c>
      <c r="CZ53" s="37">
        <f>SUMIFS(Lançamentos!$F:$F,Lançamentos!$A:$A,CZ$19,Lançamentos!$C:$C,"Pró-labore")</f>
        <v>0</v>
      </c>
      <c r="DA53" s="37">
        <f>SUMIFS(Lançamentos!$F:$F,Lançamentos!$A:$A,DA$19,Lançamentos!$C:$C,"Pró-labore")</f>
        <v>0</v>
      </c>
      <c r="DB53" s="37">
        <f>SUMIFS(Lançamentos!$F:$F,Lançamentos!$A:$A,DB$19,Lançamentos!$C:$C,"Pró-labore")</f>
        <v>0</v>
      </c>
      <c r="DC53" s="37">
        <f>SUMIFS(Lançamentos!$F:$F,Lançamentos!$A:$A,DC$19,Lançamentos!$C:$C,"Pró-labore")</f>
        <v>0</v>
      </c>
      <c r="DD53" s="37">
        <f>SUMIFS(Lançamentos!$F:$F,Lançamentos!$A:$A,DD$19,Lançamentos!$C:$C,"Pró-labore")</f>
        <v>0</v>
      </c>
      <c r="DE53" s="37">
        <f>SUMIFS(Lançamentos!$F:$F,Lançamentos!$A:$A,DE$19,Lançamentos!$C:$C,"Pró-labore")</f>
        <v>0</v>
      </c>
      <c r="DF53" s="37">
        <f>SUMIFS(Lançamentos!$F:$F,Lançamentos!$A:$A,DF$19,Lançamentos!$C:$C,"Pró-labore")</f>
        <v>0</v>
      </c>
      <c r="DG53" s="37">
        <f>SUMIFS(Lançamentos!$F:$F,Lançamentos!$A:$A,DG$19,Lançamentos!$C:$C,"Pró-labore")</f>
        <v>0</v>
      </c>
      <c r="DH53" s="37">
        <f>SUMIFS(Lançamentos!$F:$F,Lançamentos!$A:$A,DH$19,Lançamentos!$C:$C,"Pró-labore")</f>
        <v>0</v>
      </c>
      <c r="DI53" s="37">
        <f>SUMIFS(Lançamentos!$F:$F,Lançamentos!$A:$A,DI$19,Lançamentos!$C:$C,"Pró-labore")</f>
        <v>0</v>
      </c>
      <c r="DJ53" s="37">
        <f>SUMIFS(Lançamentos!$F:$F,Lançamentos!$A:$A,DJ$19,Lançamentos!$C:$C,"Pró-labore")</f>
        <v>0</v>
      </c>
      <c r="DK53" s="37">
        <f>SUMIFS(Lançamentos!$F:$F,Lançamentos!$A:$A,DK$19,Lançamentos!$C:$C,"Pró-labore")</f>
        <v>0</v>
      </c>
      <c r="DL53" s="37">
        <f>SUMIFS(Lançamentos!$F:$F,Lançamentos!$A:$A,DL$19,Lançamentos!$C:$C,"Pró-labore")</f>
        <v>0</v>
      </c>
      <c r="DM53" s="37">
        <f>SUMIFS(Lançamentos!$F:$F,Lançamentos!$A:$A,DM$19,Lançamentos!$C:$C,"Pró-labore")</f>
        <v>0</v>
      </c>
      <c r="DN53" s="37">
        <f>SUMIFS(Lançamentos!$F:$F,Lançamentos!$A:$A,DN$19,Lançamentos!$C:$C,"Pró-labore")</f>
        <v>0</v>
      </c>
      <c r="DO53" s="37">
        <f>SUMIFS(Lançamentos!$F:$F,Lançamentos!$A:$A,DO$19,Lançamentos!$C:$C,"Pró-labore")</f>
        <v>0</v>
      </c>
      <c r="DP53" s="37">
        <f>SUMIFS(Lançamentos!$F:$F,Lançamentos!$A:$A,DP$19,Lançamentos!$C:$C,"Pró-labore")</f>
        <v>0</v>
      </c>
      <c r="DQ53" s="37">
        <f>SUMIFS(Lançamentos!$F:$F,Lançamentos!$A:$A,DQ$19,Lançamentos!$C:$C,"Pró-labore")</f>
        <v>0</v>
      </c>
      <c r="DR53" s="37">
        <f>SUMIFS(Lançamentos!$F:$F,Lançamentos!$A:$A,DR$19,Lançamentos!$C:$C,"Pró-labore")</f>
        <v>0</v>
      </c>
      <c r="DS53" s="37">
        <f>SUMIFS(Lançamentos!$F:$F,Lançamentos!$A:$A,DS$19,Lançamentos!$C:$C,"Pró-labore")</f>
        <v>0</v>
      </c>
      <c r="DT53" s="37">
        <f>SUMIFS(Lançamentos!$F:$F,Lançamentos!$A:$A,DT$19,Lançamentos!$C:$C,"Pró-labore")</f>
        <v>0</v>
      </c>
      <c r="DU53" s="37">
        <f>SUMIFS(Lançamentos!$F:$F,Lançamentos!$A:$A,DU$19,Lançamentos!$C:$C,"Pró-labore")</f>
        <v>0</v>
      </c>
      <c r="DV53" s="37">
        <f>SUMIFS(Lançamentos!$F:$F,Lançamentos!$A:$A,DV$19,Lançamentos!$C:$C,"Pró-labore")</f>
        <v>0</v>
      </c>
      <c r="DW53" s="37">
        <f>SUMIFS(Lançamentos!$F:$F,Lançamentos!$A:$A,DW$19,Lançamentos!$C:$C,"Pró-labore")</f>
        <v>0</v>
      </c>
      <c r="DX53" s="37">
        <f>SUMIFS(Lançamentos!$F:$F,Lançamentos!$A:$A,DX$19,Lançamentos!$C:$C,"Pró-labore")</f>
        <v>0</v>
      </c>
      <c r="DY53" s="37">
        <f>SUMIFS(Lançamentos!$F:$F,Lançamentos!$A:$A,DY$19,Lançamentos!$C:$C,"Pró-labore")</f>
        <v>0</v>
      </c>
      <c r="DZ53" s="37">
        <f>SUMIFS(Lançamentos!$F:$F,Lançamentos!$A:$A,DZ$19,Lançamentos!$C:$C,"Pró-labore")</f>
        <v>0</v>
      </c>
      <c r="EA53" s="37">
        <f>SUMIFS(Lançamentos!$F:$F,Lançamentos!$A:$A,EA$19,Lançamentos!$C:$C,"Pró-labore")</f>
        <v>0</v>
      </c>
      <c r="EB53" s="37">
        <f>SUMIFS(Lançamentos!$F:$F,Lançamentos!$A:$A,EB$19,Lançamentos!$C:$C,"Pró-labore")</f>
        <v>0</v>
      </c>
      <c r="EC53" s="37">
        <f>SUMIFS(Lançamentos!$F:$F,Lançamentos!$A:$A,EC$19,Lançamentos!$C:$C,"Pró-labore")</f>
        <v>0</v>
      </c>
      <c r="ED53" s="37">
        <f>SUMIFS(Lançamentos!$F:$F,Lançamentos!$A:$A,ED$19,Lançamentos!$C:$C,"Pró-labore")</f>
        <v>0</v>
      </c>
      <c r="EE53" s="37">
        <f>SUMIFS(Lançamentos!$F:$F,Lançamentos!$A:$A,EE$19,Lançamentos!$C:$C,"Pró-labore")</f>
        <v>0</v>
      </c>
      <c r="EF53" s="37">
        <f>SUMIFS(Lançamentos!$F:$F,Lançamentos!$A:$A,EF$19,Lançamentos!$C:$C,"Pró-labore")</f>
        <v>0</v>
      </c>
      <c r="EG53" s="37">
        <f>SUMIFS(Lançamentos!$F:$F,Lançamentos!$A:$A,EG$19,Lançamentos!$C:$C,"Pró-labore")</f>
        <v>0</v>
      </c>
      <c r="EH53" s="37">
        <f>SUMIFS(Lançamentos!$F:$F,Lançamentos!$A:$A,EH$19,Lançamentos!$C:$C,"Pró-labore")</f>
        <v>0</v>
      </c>
      <c r="EI53" s="37">
        <f>SUMIFS(Lançamentos!$F:$F,Lançamentos!$A:$A,EI$19,Lançamentos!$C:$C,"Pró-labore")</f>
        <v>0</v>
      </c>
      <c r="EJ53" s="37">
        <f>SUMIFS(Lançamentos!$F:$F,Lançamentos!$A:$A,EJ$19,Lançamentos!$C:$C,"Pró-labore")</f>
        <v>0</v>
      </c>
      <c r="EK53" s="37">
        <f>SUMIFS(Lançamentos!$F:$F,Lançamentos!$A:$A,EK$19,Lançamentos!$C:$C,"Pró-labore")</f>
        <v>0</v>
      </c>
      <c r="EL53" s="37">
        <f>SUMIFS(Lançamentos!$F:$F,Lançamentos!$A:$A,EL$19,Lançamentos!$C:$C,"Pró-labore")</f>
        <v>0</v>
      </c>
      <c r="EM53" s="37">
        <f>SUMIFS(Lançamentos!$F:$F,Lançamentos!$A:$A,EM$19,Lançamentos!$C:$C,"Pró-labore")</f>
        <v>0</v>
      </c>
      <c r="EN53" s="37">
        <f>SUMIFS(Lançamentos!$F:$F,Lançamentos!$A:$A,EN$19,Lançamentos!$C:$C,"Pró-labore")</f>
        <v>0</v>
      </c>
      <c r="EO53" s="37">
        <f>SUMIFS(Lançamentos!$F:$F,Lançamentos!$A:$A,EO$19,Lançamentos!$C:$C,"Pró-labore")</f>
        <v>0</v>
      </c>
      <c r="EP53" s="37">
        <f>SUMIFS(Lançamentos!$F:$F,Lançamentos!$A:$A,EP$19,Lançamentos!$C:$C,"Pró-labore")</f>
        <v>0</v>
      </c>
      <c r="EQ53" s="37">
        <f>SUMIFS(Lançamentos!$F:$F,Lançamentos!$A:$A,EQ$19,Lançamentos!$C:$C,"Pró-labore")</f>
        <v>0</v>
      </c>
      <c r="ER53" s="37">
        <f>SUMIFS(Lançamentos!$F:$F,Lançamentos!$A:$A,ER$19,Lançamentos!$C:$C,"Pró-labore")</f>
        <v>0</v>
      </c>
      <c r="ES53" s="37">
        <f>SUMIFS(Lançamentos!$F:$F,Lançamentos!$A:$A,ES$19,Lançamentos!$C:$C,"Pró-labore")</f>
        <v>0</v>
      </c>
      <c r="ET53" s="37">
        <f>SUMIFS(Lançamentos!$F:$F,Lançamentos!$A:$A,ET$19,Lançamentos!$C:$C,"Pró-labore")</f>
        <v>0</v>
      </c>
      <c r="EU53" s="37">
        <f>SUMIFS(Lançamentos!$F:$F,Lançamentos!$A:$A,EU$19,Lançamentos!$C:$C,"Pró-labore")</f>
        <v>0</v>
      </c>
      <c r="EV53" s="37">
        <f>SUMIFS(Lançamentos!$F:$F,Lançamentos!$A:$A,EV$19,Lançamentos!$C:$C,"Pró-labore")</f>
        <v>0</v>
      </c>
      <c r="EW53" s="37">
        <f>SUMIFS(Lançamentos!$F:$F,Lançamentos!$A:$A,EW$19,Lançamentos!$C:$C,"Pró-labore")</f>
        <v>0</v>
      </c>
      <c r="EX53" s="37">
        <f>SUMIFS(Lançamentos!$F:$F,Lançamentos!$A:$A,EX$19,Lançamentos!$C:$C,"Pró-labore")</f>
        <v>0</v>
      </c>
      <c r="EY53" s="37">
        <f>SUMIFS(Lançamentos!$F:$F,Lançamentos!$A:$A,EY$19,Lançamentos!$C:$C,"Pró-labore")</f>
        <v>0</v>
      </c>
      <c r="EZ53" s="37">
        <f>SUMIFS(Lançamentos!$F:$F,Lançamentos!$A:$A,EZ$19,Lançamentos!$C:$C,"Pró-labore")</f>
        <v>0</v>
      </c>
      <c r="FA53" s="37">
        <f>SUMIFS(Lançamentos!$F:$F,Lançamentos!$A:$A,FA$19,Lançamentos!$C:$C,"Pró-labore")</f>
        <v>0</v>
      </c>
      <c r="FB53" s="37">
        <f>SUMIFS(Lançamentos!$F:$F,Lançamentos!$A:$A,FB$19,Lançamentos!$C:$C,"Pró-labore")</f>
        <v>0</v>
      </c>
      <c r="FC53" s="37">
        <f>SUMIFS(Lançamentos!$F:$F,Lançamentos!$A:$A,FC$19,Lançamentos!$C:$C,"Pró-labore")</f>
        <v>0</v>
      </c>
      <c r="FD53" s="37">
        <f>SUMIFS(Lançamentos!$F:$F,Lançamentos!$A:$A,FD$19,Lançamentos!$C:$C,"Pró-labore")</f>
        <v>0</v>
      </c>
      <c r="FE53" s="37">
        <f>SUMIFS(Lançamentos!$F:$F,Lançamentos!$A:$A,FE$19,Lançamentos!$C:$C,"Pró-labore")</f>
        <v>0</v>
      </c>
      <c r="FF53" s="37">
        <f>SUMIFS(Lançamentos!$F:$F,Lançamentos!$A:$A,FF$19,Lançamentos!$C:$C,"Pró-labore")</f>
        <v>0</v>
      </c>
      <c r="FG53" s="37">
        <f>SUMIFS(Lançamentos!$F:$F,Lançamentos!$A:$A,FG$19,Lançamentos!$C:$C,"Pró-labore")</f>
        <v>0</v>
      </c>
      <c r="FH53" s="37">
        <f>SUMIFS(Lançamentos!$F:$F,Lançamentos!$A:$A,FH$19,Lançamentos!$C:$C,"Pró-labore")</f>
        <v>0</v>
      </c>
      <c r="FI53" s="37">
        <f>SUMIFS(Lançamentos!$F:$F,Lançamentos!$A:$A,FI$19,Lançamentos!$C:$C,"Pró-labore")</f>
        <v>0</v>
      </c>
      <c r="FJ53" s="37">
        <f>SUMIFS(Lançamentos!$F:$F,Lançamentos!$A:$A,FJ$19,Lançamentos!$C:$C,"Pró-labore")</f>
        <v>0</v>
      </c>
      <c r="FK53" s="37">
        <f>SUMIFS(Lançamentos!$F:$F,Lançamentos!$A:$A,FK$19,Lançamentos!$C:$C,"Pró-labore")</f>
        <v>0</v>
      </c>
      <c r="FL53" s="37">
        <f>SUMIFS(Lançamentos!$F:$F,Lançamentos!$A:$A,FL$19,Lançamentos!$C:$C,"Pró-labore")</f>
        <v>0</v>
      </c>
      <c r="FM53" s="37">
        <f>SUMIFS(Lançamentos!$F:$F,Lançamentos!$A:$A,FM$19,Lançamentos!$C:$C,"Pró-labore")</f>
        <v>0</v>
      </c>
      <c r="FN53" s="37">
        <f>SUMIFS(Lançamentos!$F:$F,Lançamentos!$A:$A,FN$19,Lançamentos!$C:$C,"Pró-labore")</f>
        <v>0</v>
      </c>
      <c r="FO53" s="37">
        <f>SUMIFS(Lançamentos!$F:$F,Lançamentos!$A:$A,FO$19,Lançamentos!$C:$C,"Pró-labore")</f>
        <v>0</v>
      </c>
      <c r="FP53" s="37">
        <f>SUMIFS(Lançamentos!$F:$F,Lançamentos!$A:$A,FP$19,Lançamentos!$C:$C,"Pró-labore")</f>
        <v>0</v>
      </c>
      <c r="FQ53" s="37">
        <f>SUMIFS(Lançamentos!$F:$F,Lançamentos!$A:$A,FQ$19,Lançamentos!$C:$C,"Pró-labore")</f>
        <v>0</v>
      </c>
      <c r="FR53" s="37">
        <f>SUMIFS(Lançamentos!$F:$F,Lançamentos!$A:$A,FR$19,Lançamentos!$C:$C,"Pró-labore")</f>
        <v>0</v>
      </c>
      <c r="FS53" s="37">
        <f>SUMIFS(Lançamentos!$F:$F,Lançamentos!$A:$A,FS$19,Lançamentos!$C:$C,"Pró-labore")</f>
        <v>0</v>
      </c>
      <c r="FT53" s="37">
        <f>SUMIFS(Lançamentos!$F:$F,Lançamentos!$A:$A,FT$19,Lançamentos!$C:$C,"Pró-labore")</f>
        <v>0</v>
      </c>
      <c r="FU53" s="37">
        <f>SUMIFS(Lançamentos!$F:$F,Lançamentos!$A:$A,FU$19,Lançamentos!$C:$C,"Pró-labore")</f>
        <v>0</v>
      </c>
      <c r="FV53" s="37">
        <f>SUMIFS(Lançamentos!$F:$F,Lançamentos!$A:$A,FV$19,Lançamentos!$C:$C,"Pró-labore")</f>
        <v>0</v>
      </c>
      <c r="FW53" s="37">
        <f>SUMIFS(Lançamentos!$F:$F,Lançamentos!$A:$A,FW$19,Lançamentos!$C:$C,"Pró-labore")</f>
        <v>0</v>
      </c>
      <c r="FX53" s="37">
        <f>SUMIFS(Lançamentos!$F:$F,Lançamentos!$A:$A,FX$19,Lançamentos!$C:$C,"Pró-labore")</f>
        <v>0</v>
      </c>
      <c r="FY53" s="37">
        <f>SUMIFS(Lançamentos!$F:$F,Lançamentos!$A:$A,FY$19,Lançamentos!$C:$C,"Pró-labore")</f>
        <v>0</v>
      </c>
      <c r="FZ53" s="37">
        <f>SUMIFS(Lançamentos!$F:$F,Lançamentos!$A:$A,FZ$19,Lançamentos!$C:$C,"Pró-labore")</f>
        <v>0</v>
      </c>
      <c r="GA53" s="37">
        <f>SUMIFS(Lançamentos!$F:$F,Lançamentos!$A:$A,GA$19,Lançamentos!$C:$C,"Pró-labore")</f>
        <v>0</v>
      </c>
      <c r="GB53" s="37">
        <f>SUMIFS(Lançamentos!$F:$F,Lançamentos!$A:$A,GB$19,Lançamentos!$C:$C,"Pró-labore")</f>
        <v>0</v>
      </c>
      <c r="GC53" s="37">
        <f>SUMIFS(Lançamentos!$F:$F,Lançamentos!$A:$A,GC$19,Lançamentos!$C:$C,"Pró-labore")</f>
        <v>0</v>
      </c>
      <c r="GD53" s="37">
        <f>SUMIFS(Lançamentos!$F:$F,Lançamentos!$A:$A,GD$19,Lançamentos!$C:$C,"Pró-labore")</f>
        <v>0</v>
      </c>
      <c r="GE53" s="37">
        <f>SUMIFS(Lançamentos!$F:$F,Lançamentos!$A:$A,GE$19,Lançamentos!$C:$C,"Pró-labore")</f>
        <v>0</v>
      </c>
      <c r="GF53" s="37">
        <f>SUMIFS(Lançamentos!$F:$F,Lançamentos!$A:$A,GF$19,Lançamentos!$C:$C,"Pró-labore")</f>
        <v>0</v>
      </c>
      <c r="GG53" s="37">
        <f>SUMIFS(Lançamentos!$F:$F,Lançamentos!$A:$A,GG$19,Lançamentos!$C:$C,"Pró-labore")</f>
        <v>0</v>
      </c>
      <c r="GH53" s="37">
        <f>SUMIFS(Lançamentos!$F:$F,Lançamentos!$A:$A,GH$19,Lançamentos!$C:$C,"Pró-labore")</f>
        <v>0</v>
      </c>
      <c r="GI53" s="37">
        <f>SUMIFS(Lançamentos!$F:$F,Lançamentos!$A:$A,GI$19,Lançamentos!$C:$C,"Pró-labore")</f>
        <v>0</v>
      </c>
      <c r="GJ53" s="37">
        <f>SUMIFS(Lançamentos!$F:$F,Lançamentos!$A:$A,GJ$19,Lançamentos!$C:$C,"Pró-labore")</f>
        <v>0</v>
      </c>
      <c r="GK53" s="37">
        <f>SUMIFS(Lançamentos!$F:$F,Lançamentos!$A:$A,GK$19,Lançamentos!$C:$C,"Pró-labore")</f>
        <v>0</v>
      </c>
      <c r="GL53" s="37">
        <f>SUMIFS(Lançamentos!$F:$F,Lançamentos!$A:$A,GL$19,Lançamentos!$C:$C,"Pró-labore")</f>
        <v>0</v>
      </c>
      <c r="GM53" s="37">
        <f>SUMIFS(Lançamentos!$F:$F,Lançamentos!$A:$A,GM$19,Lançamentos!$C:$C,"Pró-labore")</f>
        <v>0</v>
      </c>
      <c r="GN53" s="37">
        <f>SUMIFS(Lançamentos!$F:$F,Lançamentos!$A:$A,GN$19,Lançamentos!$C:$C,"Pró-labore")</f>
        <v>0</v>
      </c>
      <c r="GO53" s="37">
        <f>SUMIFS(Lançamentos!$F:$F,Lançamentos!$A:$A,GO$19,Lançamentos!$C:$C,"Pró-labore")</f>
        <v>0</v>
      </c>
      <c r="GP53" s="37">
        <f>SUMIFS(Lançamentos!$F:$F,Lançamentos!$A:$A,GP$19,Lançamentos!$C:$C,"Pró-labore")</f>
        <v>0</v>
      </c>
      <c r="GQ53" s="37">
        <f>SUMIFS(Lançamentos!$F:$F,Lançamentos!$A:$A,GQ$19,Lançamentos!$C:$C,"Pró-labore")</f>
        <v>0</v>
      </c>
      <c r="GR53" s="37">
        <f>SUMIFS(Lançamentos!$F:$F,Lançamentos!$A:$A,GR$19,Lançamentos!$C:$C,"Pró-labore")</f>
        <v>0</v>
      </c>
      <c r="GS53" s="37">
        <f>SUMIFS(Lançamentos!$F:$F,Lançamentos!$A:$A,GS$19,Lançamentos!$C:$C,"Pró-labore")</f>
        <v>0</v>
      </c>
      <c r="GT53" s="37">
        <f>SUMIFS(Lançamentos!$F:$F,Lançamentos!$A:$A,GT$19,Lançamentos!$C:$C,"Pró-labore")</f>
        <v>0</v>
      </c>
      <c r="GU53" s="37">
        <f>SUMIFS(Lançamentos!$F:$F,Lançamentos!$A:$A,GU$19,Lançamentos!$C:$C,"Pró-labore")</f>
        <v>0</v>
      </c>
      <c r="GV53" s="37">
        <f>SUMIFS(Lançamentos!$F:$F,Lançamentos!$A:$A,GV$19,Lançamentos!$C:$C,"Pró-labore")</f>
        <v>0</v>
      </c>
      <c r="GW53" s="37">
        <f>SUMIFS(Lançamentos!$F:$F,Lançamentos!$A:$A,GW$19,Lançamentos!$C:$C,"Pró-labore")</f>
        <v>0</v>
      </c>
      <c r="GX53" s="37">
        <f>SUMIFS(Lançamentos!$F:$F,Lançamentos!$A:$A,GX$19,Lançamentos!$C:$C,"Pró-labore")</f>
        <v>0</v>
      </c>
      <c r="GY53" s="37">
        <f>SUMIFS(Lançamentos!$F:$F,Lançamentos!$A:$A,GY$19,Lançamentos!$C:$C,"Pró-labore")</f>
        <v>0</v>
      </c>
      <c r="GZ53" s="37">
        <f>SUMIFS(Lançamentos!$F:$F,Lançamentos!$A:$A,GZ$19,Lançamentos!$C:$C,"Pró-labore")</f>
        <v>0</v>
      </c>
      <c r="HA53" s="37">
        <f>SUMIFS(Lançamentos!$F:$F,Lançamentos!$A:$A,HA$19,Lançamentos!$C:$C,"Pró-labore")</f>
        <v>0</v>
      </c>
      <c r="HB53" s="37">
        <f>SUMIFS(Lançamentos!$F:$F,Lançamentos!$A:$A,HB$19,Lançamentos!$C:$C,"Pró-labore")</f>
        <v>0</v>
      </c>
      <c r="HC53" s="37">
        <f>SUMIFS(Lançamentos!$F:$F,Lançamentos!$A:$A,HC$19,Lançamentos!$C:$C,"Pró-labore")</f>
        <v>0</v>
      </c>
      <c r="HD53" s="37">
        <f>SUMIFS(Lançamentos!$F:$F,Lançamentos!$A:$A,HD$19,Lançamentos!$C:$C,"Pró-labore")</f>
        <v>0</v>
      </c>
      <c r="HE53" s="37">
        <f>SUMIFS(Lançamentos!$F:$F,Lançamentos!$A:$A,HE$19,Lançamentos!$C:$C,"Pró-labore")</f>
        <v>0</v>
      </c>
      <c r="HF53" s="37">
        <f>SUMIFS(Lançamentos!$F:$F,Lançamentos!$A:$A,HF$19,Lançamentos!$C:$C,"Pró-labore")</f>
        <v>0</v>
      </c>
      <c r="HG53" s="37">
        <f>SUMIFS(Lançamentos!$F:$F,Lançamentos!$A:$A,HG$19,Lançamentos!$C:$C,"Pró-labore")</f>
        <v>0</v>
      </c>
      <c r="HH53" s="37">
        <f>SUMIFS(Lançamentos!$F:$F,Lançamentos!$A:$A,HH$19,Lançamentos!$C:$C,"Pró-labore")</f>
        <v>0</v>
      </c>
      <c r="HI53" s="37">
        <f>SUMIFS(Lançamentos!$F:$F,Lançamentos!$A:$A,HI$19,Lançamentos!$C:$C,"Pró-labore")</f>
        <v>0</v>
      </c>
      <c r="HJ53" s="37">
        <f>SUMIFS(Lançamentos!$F:$F,Lançamentos!$A:$A,HJ$19,Lançamentos!$C:$C,"Pró-labore")</f>
        <v>0</v>
      </c>
      <c r="HK53" s="37">
        <f>SUMIFS(Lançamentos!$F:$F,Lançamentos!$A:$A,HK$19,Lançamentos!$C:$C,"Pró-labore")</f>
        <v>0</v>
      </c>
      <c r="HL53" s="37">
        <f>SUMIFS(Lançamentos!$F:$F,Lançamentos!$A:$A,HL$19,Lançamentos!$C:$C,"Pró-labore")</f>
        <v>0</v>
      </c>
      <c r="HM53" s="37">
        <f>SUMIFS(Lançamentos!$F:$F,Lançamentos!$A:$A,HM$19,Lançamentos!$C:$C,"Pró-labore")</f>
        <v>0</v>
      </c>
      <c r="HN53" s="37">
        <f>SUMIFS(Lançamentos!$F:$F,Lançamentos!$A:$A,HN$19,Lançamentos!$C:$C,"Pró-labore")</f>
        <v>0</v>
      </c>
      <c r="HO53" s="37">
        <f>SUMIFS(Lançamentos!$F:$F,Lançamentos!$A:$A,HO$19,Lançamentos!$C:$C,"Pró-labore")</f>
        <v>0</v>
      </c>
      <c r="HP53" s="37">
        <f>SUMIFS(Lançamentos!$F:$F,Lançamentos!$A:$A,HP$19,Lançamentos!$C:$C,"Pró-labore")</f>
        <v>0</v>
      </c>
      <c r="HQ53" s="37">
        <f>SUMIFS(Lançamentos!$F:$F,Lançamentos!$A:$A,HQ$19,Lançamentos!$C:$C,"Pró-labore")</f>
        <v>0</v>
      </c>
      <c r="HR53" s="37">
        <f>SUMIFS(Lançamentos!$F:$F,Lançamentos!$A:$A,HR$19,Lançamentos!$C:$C,"Pró-labore")</f>
        <v>0</v>
      </c>
      <c r="HS53" s="37">
        <f>SUMIFS(Lançamentos!$F:$F,Lançamentos!$A:$A,HS$19,Lançamentos!$C:$C,"Pró-labore")</f>
        <v>0</v>
      </c>
      <c r="HT53" s="37">
        <f>SUMIFS(Lançamentos!$F:$F,Lançamentos!$A:$A,HT$19,Lançamentos!$C:$C,"Pró-labore")</f>
        <v>0</v>
      </c>
      <c r="HU53" s="37">
        <f>SUMIFS(Lançamentos!$F:$F,Lançamentos!$A:$A,HU$19,Lançamentos!$C:$C,"Pró-labore")</f>
        <v>0</v>
      </c>
      <c r="HV53" s="37">
        <f>SUMIFS(Lançamentos!$F:$F,Lançamentos!$A:$A,HV$19,Lançamentos!$C:$C,"Pró-labore")</f>
        <v>0</v>
      </c>
      <c r="HW53" s="37">
        <f>SUMIFS(Lançamentos!$F:$F,Lançamentos!$A:$A,HW$19,Lançamentos!$C:$C,"Pró-labore")</f>
        <v>0</v>
      </c>
      <c r="HX53" s="37">
        <f>SUMIFS(Lançamentos!$F:$F,Lançamentos!$A:$A,HX$19,Lançamentos!$C:$C,"Pró-labore")</f>
        <v>0</v>
      </c>
      <c r="HY53" s="37">
        <f>SUMIFS(Lançamentos!$F:$F,Lançamentos!$A:$A,HY$19,Lançamentos!$C:$C,"Pró-labore")</f>
        <v>0</v>
      </c>
      <c r="HZ53" s="37">
        <f>SUMIFS(Lançamentos!$F:$F,Lançamentos!$A:$A,HZ$19,Lançamentos!$C:$C,"Pró-labore")</f>
        <v>0</v>
      </c>
      <c r="IA53" s="37">
        <f>SUMIFS(Lançamentos!$F:$F,Lançamentos!$A:$A,IA$19,Lançamentos!$C:$C,"Pró-labore")</f>
        <v>0</v>
      </c>
      <c r="IB53" s="37">
        <f>SUMIFS(Lançamentos!$F:$F,Lançamentos!$A:$A,IB$19,Lançamentos!$C:$C,"Pró-labore")</f>
        <v>0</v>
      </c>
      <c r="IC53" s="37">
        <f>SUMIFS(Lançamentos!$F:$F,Lançamentos!$A:$A,IC$19,Lançamentos!$C:$C,"Pró-labore")</f>
        <v>0</v>
      </c>
      <c r="ID53" s="37">
        <f>SUMIFS(Lançamentos!$F:$F,Lançamentos!$A:$A,ID$19,Lançamentos!$C:$C,"Pró-labore")</f>
        <v>0</v>
      </c>
      <c r="IE53" s="37">
        <f>SUMIFS(Lançamentos!$F:$F,Lançamentos!$A:$A,IE$19,Lançamentos!$C:$C,"Pró-labore")</f>
        <v>0</v>
      </c>
      <c r="IF53" s="37">
        <f>SUMIFS(Lançamentos!$F:$F,Lançamentos!$A:$A,IF$19,Lançamentos!$C:$C,"Pró-labore")</f>
        <v>0</v>
      </c>
      <c r="IG53" s="37">
        <f>SUMIFS(Lançamentos!$F:$F,Lançamentos!$A:$A,IG$19,Lançamentos!$C:$C,"Pró-labore")</f>
        <v>0</v>
      </c>
      <c r="IH53" s="37">
        <f>SUMIFS(Lançamentos!$F:$F,Lançamentos!$A:$A,IH$19,Lançamentos!$C:$C,"Pró-labore")</f>
        <v>0</v>
      </c>
      <c r="II53" s="37">
        <f>SUMIFS(Lançamentos!$F:$F,Lançamentos!$A:$A,II$19,Lançamentos!$C:$C,"Pró-labore")</f>
        <v>0</v>
      </c>
      <c r="IJ53" s="37">
        <f>SUMIFS(Lançamentos!$F:$F,Lançamentos!$A:$A,IJ$19,Lançamentos!$C:$C,"Pró-labore")</f>
        <v>0</v>
      </c>
      <c r="IK53" s="37">
        <f>SUMIFS(Lançamentos!$F:$F,Lançamentos!$A:$A,IK$19,Lançamentos!$C:$C,"Pró-labore")</f>
        <v>0</v>
      </c>
      <c r="IL53" s="37">
        <f>SUMIFS(Lançamentos!$F:$F,Lançamentos!$A:$A,IL$19,Lançamentos!$C:$C,"Pró-labore")</f>
        <v>0</v>
      </c>
    </row>
    <row r="54" spans="1:246" x14ac:dyDescent="0.3">
      <c r="A54" t="s">
        <v>92</v>
      </c>
      <c r="B54" s="37">
        <f>SUMIFS(Lançamentos!$F:$F,Lançamentos!$A:$A,B$19,Lançamentos!$C:$C,"Benefícios (VR/VT/Plano)")</f>
        <v>0</v>
      </c>
      <c r="C54" s="37">
        <f>SUMIFS(Lançamentos!$F:$F,Lançamentos!$A:$A,C$19,Lançamentos!$C:$C,"Benefícios (VR/VT/Plano)")</f>
        <v>0</v>
      </c>
      <c r="D54" s="37">
        <f>SUMIFS(Lançamentos!$F:$F,Lançamentos!$A:$A,D$19,Lançamentos!$C:$C,"Benefícios (VR/VT/Plano)")</f>
        <v>0</v>
      </c>
      <c r="E54" s="37">
        <f>SUMIFS(Lançamentos!$F:$F,Lançamentos!$A:$A,E$19,Lançamentos!$C:$C,"Benefícios (VR/VT/Plano)")</f>
        <v>0</v>
      </c>
      <c r="F54" s="37">
        <f>SUMIFS(Lançamentos!$F:$F,Lançamentos!$A:$A,F$19,Lançamentos!$C:$C,"Benefícios (VR/VT/Plano)")</f>
        <v>0</v>
      </c>
      <c r="G54" s="37">
        <f>SUMIFS(Lançamentos!$F:$F,Lançamentos!$A:$A,G$19,Lançamentos!$C:$C,"Benefícios (VR/VT/Plano)")</f>
        <v>0</v>
      </c>
      <c r="H54" s="37">
        <f>SUMIFS(Lançamentos!$F:$F,Lançamentos!$A:$A,H$19,Lançamentos!$C:$C,"Benefícios (VR/VT/Plano)")</f>
        <v>0</v>
      </c>
      <c r="I54" s="37">
        <f>SUMIFS(Lançamentos!$F:$F,Lançamentos!$A:$A,I$19,Lançamentos!$C:$C,"Benefícios (VR/VT/Plano)")</f>
        <v>0</v>
      </c>
      <c r="J54" s="37">
        <f>SUMIFS(Lançamentos!$F:$F,Lançamentos!$A:$A,J$19,Lançamentos!$C:$C,"Benefícios (VR/VT/Plano)")</f>
        <v>0</v>
      </c>
      <c r="K54" s="37">
        <f>SUMIFS(Lançamentos!$F:$F,Lançamentos!$A:$A,K$19,Lançamentos!$C:$C,"Benefícios (VR/VT/Plano)")</f>
        <v>0</v>
      </c>
      <c r="L54" s="37">
        <f>SUMIFS(Lançamentos!$F:$F,Lançamentos!$A:$A,L$19,Lançamentos!$C:$C,"Benefícios (VR/VT/Plano)")</f>
        <v>0</v>
      </c>
      <c r="M54" s="37">
        <f>SUMIFS(Lançamentos!$F:$F,Lançamentos!$A:$A,M$19,Lançamentos!$C:$C,"Benefícios (VR/VT/Plano)")</f>
        <v>0</v>
      </c>
      <c r="N54" s="37">
        <f>SUMIFS(Lançamentos!$F:$F,Lançamentos!$A:$A,N$19,Lançamentos!$C:$C,"Benefícios (VR/VT/Plano)")</f>
        <v>0</v>
      </c>
      <c r="O54" s="37">
        <f>SUMIFS(Lançamentos!$F:$F,Lançamentos!$A:$A,O$19,Lançamentos!$C:$C,"Benefícios (VR/VT/Plano)")</f>
        <v>0</v>
      </c>
      <c r="P54" s="37">
        <f>SUMIFS(Lançamentos!$F:$F,Lançamentos!$A:$A,P$19,Lançamentos!$C:$C,"Benefícios (VR/VT/Plano)")</f>
        <v>0</v>
      </c>
      <c r="Q54" s="37">
        <f>SUMIFS(Lançamentos!$F:$F,Lançamentos!$A:$A,Q$19,Lançamentos!$C:$C,"Benefícios (VR/VT/Plano)")</f>
        <v>0</v>
      </c>
      <c r="R54" s="37">
        <f>SUMIFS(Lançamentos!$F:$F,Lançamentos!$A:$A,R$19,Lançamentos!$C:$C,"Benefícios (VR/VT/Plano)")</f>
        <v>0</v>
      </c>
      <c r="S54" s="37">
        <f>SUMIFS(Lançamentos!$F:$F,Lançamentos!$A:$A,S$19,Lançamentos!$C:$C,"Benefícios (VR/VT/Plano)")</f>
        <v>0</v>
      </c>
      <c r="T54" s="37">
        <f>SUMIFS(Lançamentos!$F:$F,Lançamentos!$A:$A,T$19,Lançamentos!$C:$C,"Benefícios (VR/VT/Plano)")</f>
        <v>0</v>
      </c>
      <c r="U54" s="37">
        <f>SUMIFS(Lançamentos!$F:$F,Lançamentos!$A:$A,U$19,Lançamentos!$C:$C,"Benefícios (VR/VT/Plano)")</f>
        <v>0</v>
      </c>
      <c r="V54" s="37">
        <f>SUMIFS(Lançamentos!$F:$F,Lançamentos!$A:$A,V$19,Lançamentos!$C:$C,"Benefícios (VR/VT/Plano)")</f>
        <v>0</v>
      </c>
      <c r="W54" s="37">
        <f>SUMIFS(Lançamentos!$F:$F,Lançamentos!$A:$A,W$19,Lançamentos!$C:$C,"Benefícios (VR/VT/Plano)")</f>
        <v>0</v>
      </c>
      <c r="X54" s="37">
        <f>SUMIFS(Lançamentos!$F:$F,Lançamentos!$A:$A,X$19,Lançamentos!$C:$C,"Benefícios (VR/VT/Plano)")</f>
        <v>0</v>
      </c>
      <c r="Y54" s="37">
        <f>SUMIFS(Lançamentos!$F:$F,Lançamentos!$A:$A,Y$19,Lançamentos!$C:$C,"Benefícios (VR/VT/Plano)")</f>
        <v>0</v>
      </c>
      <c r="Z54" s="37">
        <f>SUMIFS(Lançamentos!$F:$F,Lançamentos!$A:$A,Z$19,Lançamentos!$C:$C,"Benefícios (VR/VT/Plano)")</f>
        <v>0</v>
      </c>
      <c r="AA54" s="37">
        <f>SUMIFS(Lançamentos!$F:$F,Lançamentos!$A:$A,AA$19,Lançamentos!$C:$C,"Benefícios (VR/VT/Plano)")</f>
        <v>0</v>
      </c>
      <c r="AB54" s="37">
        <f>SUMIFS(Lançamentos!$F:$F,Lançamentos!$A:$A,AB$19,Lançamentos!$C:$C,"Benefícios (VR/VT/Plano)")</f>
        <v>0</v>
      </c>
      <c r="AC54" s="37">
        <f>SUMIFS(Lançamentos!$F:$F,Lançamentos!$A:$A,AC$19,Lançamentos!$C:$C,"Benefícios (VR/VT/Plano)")</f>
        <v>0</v>
      </c>
      <c r="AD54" s="37">
        <f>SUMIFS(Lançamentos!$F:$F,Lançamentos!$A:$A,AD$19,Lançamentos!$C:$C,"Benefícios (VR/VT/Plano)")</f>
        <v>0</v>
      </c>
      <c r="AE54" s="37">
        <f>SUMIFS(Lançamentos!$F:$F,Lançamentos!$A:$A,AE$19,Lançamentos!$C:$C,"Benefícios (VR/VT/Plano)")</f>
        <v>0</v>
      </c>
      <c r="AF54" s="37">
        <f>SUMIFS(Lançamentos!$F:$F,Lançamentos!$A:$A,AF$19,Lançamentos!$C:$C,"Benefícios (VR/VT/Plano)")</f>
        <v>0</v>
      </c>
      <c r="AG54" s="37">
        <f>SUMIFS(Lançamentos!$F:$F,Lançamentos!$A:$A,AG$19,Lançamentos!$C:$C,"Benefícios (VR/VT/Plano)")</f>
        <v>0</v>
      </c>
      <c r="AH54" s="37">
        <f>SUMIFS(Lançamentos!$F:$F,Lançamentos!$A:$A,AH$19,Lançamentos!$C:$C,"Benefícios (VR/VT/Plano)")</f>
        <v>0</v>
      </c>
      <c r="AI54" s="37">
        <f>SUMIFS(Lançamentos!$F:$F,Lançamentos!$A:$A,AI$19,Lançamentos!$C:$C,"Benefícios (VR/VT/Plano)")</f>
        <v>0</v>
      </c>
      <c r="AJ54" s="37">
        <f>SUMIFS(Lançamentos!$F:$F,Lançamentos!$A:$A,AJ$19,Lançamentos!$C:$C,"Benefícios (VR/VT/Plano)")</f>
        <v>0</v>
      </c>
      <c r="AK54" s="37">
        <f>SUMIFS(Lançamentos!$F:$F,Lançamentos!$A:$A,AK$19,Lançamentos!$C:$C,"Benefícios (VR/VT/Plano)")</f>
        <v>0</v>
      </c>
      <c r="AL54" s="37">
        <f>SUMIFS(Lançamentos!$F:$F,Lançamentos!$A:$A,AL$19,Lançamentos!$C:$C,"Benefícios (VR/VT/Plano)")</f>
        <v>0</v>
      </c>
      <c r="AM54" s="37">
        <f>SUMIFS(Lançamentos!$F:$F,Lançamentos!$A:$A,AM$19,Lançamentos!$C:$C,"Benefícios (VR/VT/Plano)")</f>
        <v>0</v>
      </c>
      <c r="AN54" s="37">
        <f>SUMIFS(Lançamentos!$F:$F,Lançamentos!$A:$A,AN$19,Lançamentos!$C:$C,"Benefícios (VR/VT/Plano)")</f>
        <v>0</v>
      </c>
      <c r="AO54" s="37">
        <f>SUMIFS(Lançamentos!$F:$F,Lançamentos!$A:$A,AO$19,Lançamentos!$C:$C,"Benefícios (VR/VT/Plano)")</f>
        <v>0</v>
      </c>
      <c r="AP54" s="37">
        <f>SUMIFS(Lançamentos!$F:$F,Lançamentos!$A:$A,AP$19,Lançamentos!$C:$C,"Benefícios (VR/VT/Plano)")</f>
        <v>0</v>
      </c>
      <c r="AQ54" s="37">
        <f>SUMIFS(Lançamentos!$F:$F,Lançamentos!$A:$A,AQ$19,Lançamentos!$C:$C,"Benefícios (VR/VT/Plano)")</f>
        <v>0</v>
      </c>
      <c r="AR54" s="37">
        <f>SUMIFS(Lançamentos!$F:$F,Lançamentos!$A:$A,AR$19,Lançamentos!$C:$C,"Benefícios (VR/VT/Plano)")</f>
        <v>0</v>
      </c>
      <c r="AS54" s="37">
        <f>SUMIFS(Lançamentos!$F:$F,Lançamentos!$A:$A,AS$19,Lançamentos!$C:$C,"Benefícios (VR/VT/Plano)")</f>
        <v>0</v>
      </c>
      <c r="AT54" s="37">
        <f>SUMIFS(Lançamentos!$F:$F,Lançamentos!$A:$A,AT$19,Lançamentos!$C:$C,"Benefícios (VR/VT/Plano)")</f>
        <v>0</v>
      </c>
      <c r="AU54" s="37">
        <f>SUMIFS(Lançamentos!$F:$F,Lançamentos!$A:$A,AU$19,Lançamentos!$C:$C,"Benefícios (VR/VT/Plano)")</f>
        <v>0</v>
      </c>
      <c r="AV54" s="37">
        <f>SUMIFS(Lançamentos!$F:$F,Lançamentos!$A:$A,AV$19,Lançamentos!$C:$C,"Benefícios (VR/VT/Plano)")</f>
        <v>0</v>
      </c>
      <c r="AW54" s="37">
        <f>SUMIFS(Lançamentos!$F:$F,Lançamentos!$A:$A,AW$19,Lançamentos!$C:$C,"Benefícios (VR/VT/Plano)")</f>
        <v>0</v>
      </c>
      <c r="AX54" s="37">
        <f>SUMIFS(Lançamentos!$F:$F,Lançamentos!$A:$A,AX$19,Lançamentos!$C:$C,"Benefícios (VR/VT/Plano)")</f>
        <v>0</v>
      </c>
      <c r="AY54" s="37">
        <f>SUMIFS(Lançamentos!$F:$F,Lançamentos!$A:$A,AY$19,Lançamentos!$C:$C,"Benefícios (VR/VT/Plano)")</f>
        <v>0</v>
      </c>
      <c r="AZ54" s="37">
        <f>SUMIFS(Lançamentos!$F:$F,Lançamentos!$A:$A,AZ$19,Lançamentos!$C:$C,"Benefícios (VR/VT/Plano)")</f>
        <v>0</v>
      </c>
      <c r="BA54" s="37">
        <f>SUMIFS(Lançamentos!$F:$F,Lançamentos!$A:$A,BA$19,Lançamentos!$C:$C,"Benefícios (VR/VT/Plano)")</f>
        <v>0</v>
      </c>
      <c r="BB54" s="37">
        <f>SUMIFS(Lançamentos!$F:$F,Lançamentos!$A:$A,BB$19,Lançamentos!$C:$C,"Benefícios (VR/VT/Plano)")</f>
        <v>0</v>
      </c>
      <c r="BC54" s="37">
        <f>SUMIFS(Lançamentos!$F:$F,Lançamentos!$A:$A,BC$19,Lançamentos!$C:$C,"Benefícios (VR/VT/Plano)")</f>
        <v>0</v>
      </c>
      <c r="BD54" s="37">
        <f>SUMIFS(Lançamentos!$F:$F,Lançamentos!$A:$A,BD$19,Lançamentos!$C:$C,"Benefícios (VR/VT/Plano)")</f>
        <v>0</v>
      </c>
      <c r="BE54" s="37">
        <f>SUMIFS(Lançamentos!$F:$F,Lançamentos!$A:$A,BE$19,Lançamentos!$C:$C,"Benefícios (VR/VT/Plano)")</f>
        <v>0</v>
      </c>
      <c r="BF54" s="37">
        <f>SUMIFS(Lançamentos!$F:$F,Lançamentos!$A:$A,BF$19,Lançamentos!$C:$C,"Benefícios (VR/VT/Plano)")</f>
        <v>0</v>
      </c>
      <c r="BG54" s="37">
        <f>SUMIFS(Lançamentos!$F:$F,Lançamentos!$A:$A,BG$19,Lançamentos!$C:$C,"Benefícios (VR/VT/Plano)")</f>
        <v>0</v>
      </c>
      <c r="BH54" s="37">
        <f>SUMIFS(Lançamentos!$F:$F,Lançamentos!$A:$A,BH$19,Lançamentos!$C:$C,"Benefícios (VR/VT/Plano)")</f>
        <v>0</v>
      </c>
      <c r="BI54" s="37">
        <f>SUMIFS(Lançamentos!$F:$F,Lançamentos!$A:$A,BI$19,Lançamentos!$C:$C,"Benefícios (VR/VT/Plano)")</f>
        <v>0</v>
      </c>
      <c r="BJ54" s="37">
        <f>SUMIFS(Lançamentos!$F:$F,Lançamentos!$A:$A,BJ$19,Lançamentos!$C:$C,"Benefícios (VR/VT/Plano)")</f>
        <v>0</v>
      </c>
      <c r="BK54" s="37">
        <f>SUMIFS(Lançamentos!$F:$F,Lançamentos!$A:$A,BK$19,Lançamentos!$C:$C,"Benefícios (VR/VT/Plano)")</f>
        <v>0</v>
      </c>
      <c r="BL54" s="37">
        <f>SUMIFS(Lançamentos!$F:$F,Lançamentos!$A:$A,BL$19,Lançamentos!$C:$C,"Benefícios (VR/VT/Plano)")</f>
        <v>0</v>
      </c>
      <c r="BM54" s="37">
        <f>SUMIFS(Lançamentos!$F:$F,Lançamentos!$A:$A,BM$19,Lançamentos!$C:$C,"Benefícios (VR/VT/Plano)")</f>
        <v>0</v>
      </c>
      <c r="BN54" s="37">
        <f>SUMIFS(Lançamentos!$F:$F,Lançamentos!$A:$A,BN$19,Lançamentos!$C:$C,"Benefícios (VR/VT/Plano)")</f>
        <v>0</v>
      </c>
      <c r="BO54" s="37">
        <f>SUMIFS(Lançamentos!$F:$F,Lançamentos!$A:$A,BO$19,Lançamentos!$C:$C,"Benefícios (VR/VT/Plano)")</f>
        <v>0</v>
      </c>
      <c r="BP54" s="37">
        <f>SUMIFS(Lançamentos!$F:$F,Lançamentos!$A:$A,BP$19,Lançamentos!$C:$C,"Benefícios (VR/VT/Plano)")</f>
        <v>0</v>
      </c>
      <c r="BQ54" s="37">
        <f>SUMIFS(Lançamentos!$F:$F,Lançamentos!$A:$A,BQ$19,Lançamentos!$C:$C,"Benefícios (VR/VT/Plano)")</f>
        <v>0</v>
      </c>
      <c r="BR54" s="37">
        <f>SUMIFS(Lançamentos!$F:$F,Lançamentos!$A:$A,BR$19,Lançamentos!$C:$C,"Benefícios (VR/VT/Plano)")</f>
        <v>0</v>
      </c>
      <c r="BS54" s="37">
        <f>SUMIFS(Lançamentos!$F:$F,Lançamentos!$A:$A,BS$19,Lançamentos!$C:$C,"Benefícios (VR/VT/Plano)")</f>
        <v>0</v>
      </c>
      <c r="BT54" s="37">
        <f>SUMIFS(Lançamentos!$F:$F,Lançamentos!$A:$A,BT$19,Lançamentos!$C:$C,"Benefícios (VR/VT/Plano)")</f>
        <v>0</v>
      </c>
      <c r="BU54" s="37">
        <f>SUMIFS(Lançamentos!$F:$F,Lançamentos!$A:$A,BU$19,Lançamentos!$C:$C,"Benefícios (VR/VT/Plano)")</f>
        <v>0</v>
      </c>
      <c r="BV54" s="37">
        <f>SUMIFS(Lançamentos!$F:$F,Lançamentos!$A:$A,BV$19,Lançamentos!$C:$C,"Benefícios (VR/VT/Plano)")</f>
        <v>0</v>
      </c>
      <c r="BW54" s="37">
        <f>SUMIFS(Lançamentos!$F:$F,Lançamentos!$A:$A,BW$19,Lançamentos!$C:$C,"Benefícios (VR/VT/Plano)")</f>
        <v>0</v>
      </c>
      <c r="BX54" s="37">
        <f>SUMIFS(Lançamentos!$F:$F,Lançamentos!$A:$A,BX$19,Lançamentos!$C:$C,"Benefícios (VR/VT/Plano)")</f>
        <v>0</v>
      </c>
      <c r="BY54" s="37">
        <f>SUMIFS(Lançamentos!$F:$F,Lançamentos!$A:$A,BY$19,Lançamentos!$C:$C,"Benefícios (VR/VT/Plano)")</f>
        <v>0</v>
      </c>
      <c r="BZ54" s="37">
        <f>SUMIFS(Lançamentos!$F:$F,Lançamentos!$A:$A,BZ$19,Lançamentos!$C:$C,"Benefícios (VR/VT/Plano)")</f>
        <v>0</v>
      </c>
      <c r="CA54" s="37">
        <f>SUMIFS(Lançamentos!$F:$F,Lançamentos!$A:$A,CA$19,Lançamentos!$C:$C,"Benefícios (VR/VT/Plano)")</f>
        <v>0</v>
      </c>
      <c r="CB54" s="37">
        <f>SUMIFS(Lançamentos!$F:$F,Lançamentos!$A:$A,CB$19,Lançamentos!$C:$C,"Benefícios (VR/VT/Plano)")</f>
        <v>0</v>
      </c>
      <c r="CC54" s="37">
        <f>SUMIFS(Lançamentos!$F:$F,Lançamentos!$A:$A,CC$19,Lançamentos!$C:$C,"Benefícios (VR/VT/Plano)")</f>
        <v>0</v>
      </c>
      <c r="CD54" s="37">
        <f>SUMIFS(Lançamentos!$F:$F,Lançamentos!$A:$A,CD$19,Lançamentos!$C:$C,"Benefícios (VR/VT/Plano)")</f>
        <v>0</v>
      </c>
      <c r="CE54" s="37">
        <f>SUMIFS(Lançamentos!$F:$F,Lançamentos!$A:$A,CE$19,Lançamentos!$C:$C,"Benefícios (VR/VT/Plano)")</f>
        <v>0</v>
      </c>
      <c r="CF54" s="37">
        <f>SUMIFS(Lançamentos!$F:$F,Lançamentos!$A:$A,CF$19,Lançamentos!$C:$C,"Benefícios (VR/VT/Plano)")</f>
        <v>0</v>
      </c>
      <c r="CG54" s="37">
        <f>SUMIFS(Lançamentos!$F:$F,Lançamentos!$A:$A,CG$19,Lançamentos!$C:$C,"Benefícios (VR/VT/Plano)")</f>
        <v>0</v>
      </c>
      <c r="CH54" s="37">
        <f>SUMIFS(Lançamentos!$F:$F,Lançamentos!$A:$A,CH$19,Lançamentos!$C:$C,"Benefícios (VR/VT/Plano)")</f>
        <v>0</v>
      </c>
      <c r="CI54" s="37">
        <f>SUMIFS(Lançamentos!$F:$F,Lançamentos!$A:$A,CI$19,Lançamentos!$C:$C,"Benefícios (VR/VT/Plano)")</f>
        <v>0</v>
      </c>
      <c r="CJ54" s="37">
        <f>SUMIFS(Lançamentos!$F:$F,Lançamentos!$A:$A,CJ$19,Lançamentos!$C:$C,"Benefícios (VR/VT/Plano)")</f>
        <v>0</v>
      </c>
      <c r="CK54" s="37">
        <f>SUMIFS(Lançamentos!$F:$F,Lançamentos!$A:$A,CK$19,Lançamentos!$C:$C,"Benefícios (VR/VT/Plano)")</f>
        <v>0</v>
      </c>
      <c r="CL54" s="37">
        <f>SUMIFS(Lançamentos!$F:$F,Lançamentos!$A:$A,CL$19,Lançamentos!$C:$C,"Benefícios (VR/VT/Plano)")</f>
        <v>0</v>
      </c>
      <c r="CM54" s="37">
        <f>SUMIFS(Lançamentos!$F:$F,Lançamentos!$A:$A,CM$19,Lançamentos!$C:$C,"Benefícios (VR/VT/Plano)")</f>
        <v>0</v>
      </c>
      <c r="CN54" s="37">
        <f>SUMIFS(Lançamentos!$F:$F,Lançamentos!$A:$A,CN$19,Lançamentos!$C:$C,"Benefícios (VR/VT/Plano)")</f>
        <v>0</v>
      </c>
      <c r="CO54" s="37">
        <f>SUMIFS(Lançamentos!$F:$F,Lançamentos!$A:$A,CO$19,Lançamentos!$C:$C,"Benefícios (VR/VT/Plano)")</f>
        <v>0</v>
      </c>
      <c r="CP54" s="37">
        <f>SUMIFS(Lançamentos!$F:$F,Lançamentos!$A:$A,CP$19,Lançamentos!$C:$C,"Benefícios (VR/VT/Plano)")</f>
        <v>0</v>
      </c>
      <c r="CQ54" s="37">
        <f>SUMIFS(Lançamentos!$F:$F,Lançamentos!$A:$A,CQ$19,Lançamentos!$C:$C,"Benefícios (VR/VT/Plano)")</f>
        <v>0</v>
      </c>
      <c r="CR54" s="37">
        <f>SUMIFS(Lançamentos!$F:$F,Lançamentos!$A:$A,CR$19,Lançamentos!$C:$C,"Benefícios (VR/VT/Plano)")</f>
        <v>0</v>
      </c>
      <c r="CS54" s="37">
        <f>SUMIFS(Lançamentos!$F:$F,Lançamentos!$A:$A,CS$19,Lançamentos!$C:$C,"Benefícios (VR/VT/Plano)")</f>
        <v>0</v>
      </c>
      <c r="CT54" s="37">
        <f>SUMIFS(Lançamentos!$F:$F,Lançamentos!$A:$A,CT$19,Lançamentos!$C:$C,"Benefícios (VR/VT/Plano)")</f>
        <v>0</v>
      </c>
      <c r="CU54" s="37">
        <f>SUMIFS(Lançamentos!$F:$F,Lançamentos!$A:$A,CU$19,Lançamentos!$C:$C,"Benefícios (VR/VT/Plano)")</f>
        <v>0</v>
      </c>
      <c r="CV54" s="37">
        <f>SUMIFS(Lançamentos!$F:$F,Lançamentos!$A:$A,CV$19,Lançamentos!$C:$C,"Benefícios (VR/VT/Plano)")</f>
        <v>0</v>
      </c>
      <c r="CW54" s="37">
        <f>SUMIFS(Lançamentos!$F:$F,Lançamentos!$A:$A,CW$19,Lançamentos!$C:$C,"Benefícios (VR/VT/Plano)")</f>
        <v>0</v>
      </c>
      <c r="CX54" s="37">
        <f>SUMIFS(Lançamentos!$F:$F,Lançamentos!$A:$A,CX$19,Lançamentos!$C:$C,"Benefícios (VR/VT/Plano)")</f>
        <v>0</v>
      </c>
      <c r="CY54" s="37">
        <f>SUMIFS(Lançamentos!$F:$F,Lançamentos!$A:$A,CY$19,Lançamentos!$C:$C,"Benefícios (VR/VT/Plano)")</f>
        <v>0</v>
      </c>
      <c r="CZ54" s="37">
        <f>SUMIFS(Lançamentos!$F:$F,Lançamentos!$A:$A,CZ$19,Lançamentos!$C:$C,"Benefícios (VR/VT/Plano)")</f>
        <v>0</v>
      </c>
      <c r="DA54" s="37">
        <f>SUMIFS(Lançamentos!$F:$F,Lançamentos!$A:$A,DA$19,Lançamentos!$C:$C,"Benefícios (VR/VT/Plano)")</f>
        <v>0</v>
      </c>
      <c r="DB54" s="37">
        <f>SUMIFS(Lançamentos!$F:$F,Lançamentos!$A:$A,DB$19,Lançamentos!$C:$C,"Benefícios (VR/VT/Plano)")</f>
        <v>0</v>
      </c>
      <c r="DC54" s="37">
        <f>SUMIFS(Lançamentos!$F:$F,Lançamentos!$A:$A,DC$19,Lançamentos!$C:$C,"Benefícios (VR/VT/Plano)")</f>
        <v>0</v>
      </c>
      <c r="DD54" s="37">
        <f>SUMIFS(Lançamentos!$F:$F,Lançamentos!$A:$A,DD$19,Lançamentos!$C:$C,"Benefícios (VR/VT/Plano)")</f>
        <v>0</v>
      </c>
      <c r="DE54" s="37">
        <f>SUMIFS(Lançamentos!$F:$F,Lançamentos!$A:$A,DE$19,Lançamentos!$C:$C,"Benefícios (VR/VT/Plano)")</f>
        <v>0</v>
      </c>
      <c r="DF54" s="37">
        <f>SUMIFS(Lançamentos!$F:$F,Lançamentos!$A:$A,DF$19,Lançamentos!$C:$C,"Benefícios (VR/VT/Plano)")</f>
        <v>0</v>
      </c>
      <c r="DG54" s="37">
        <f>SUMIFS(Lançamentos!$F:$F,Lançamentos!$A:$A,DG$19,Lançamentos!$C:$C,"Benefícios (VR/VT/Plano)")</f>
        <v>0</v>
      </c>
      <c r="DH54" s="37">
        <f>SUMIFS(Lançamentos!$F:$F,Lançamentos!$A:$A,DH$19,Lançamentos!$C:$C,"Benefícios (VR/VT/Plano)")</f>
        <v>0</v>
      </c>
      <c r="DI54" s="37">
        <f>SUMIFS(Lançamentos!$F:$F,Lançamentos!$A:$A,DI$19,Lançamentos!$C:$C,"Benefícios (VR/VT/Plano)")</f>
        <v>0</v>
      </c>
      <c r="DJ54" s="37">
        <f>SUMIFS(Lançamentos!$F:$F,Lançamentos!$A:$A,DJ$19,Lançamentos!$C:$C,"Benefícios (VR/VT/Plano)")</f>
        <v>0</v>
      </c>
      <c r="DK54" s="37">
        <f>SUMIFS(Lançamentos!$F:$F,Lançamentos!$A:$A,DK$19,Lançamentos!$C:$C,"Benefícios (VR/VT/Plano)")</f>
        <v>0</v>
      </c>
      <c r="DL54" s="37">
        <f>SUMIFS(Lançamentos!$F:$F,Lançamentos!$A:$A,DL$19,Lançamentos!$C:$C,"Benefícios (VR/VT/Plano)")</f>
        <v>0</v>
      </c>
      <c r="DM54" s="37">
        <f>SUMIFS(Lançamentos!$F:$F,Lançamentos!$A:$A,DM$19,Lançamentos!$C:$C,"Benefícios (VR/VT/Plano)")</f>
        <v>0</v>
      </c>
      <c r="DN54" s="37">
        <f>SUMIFS(Lançamentos!$F:$F,Lançamentos!$A:$A,DN$19,Lançamentos!$C:$C,"Benefícios (VR/VT/Plano)")</f>
        <v>0</v>
      </c>
      <c r="DO54" s="37">
        <f>SUMIFS(Lançamentos!$F:$F,Lançamentos!$A:$A,DO$19,Lançamentos!$C:$C,"Benefícios (VR/VT/Plano)")</f>
        <v>0</v>
      </c>
      <c r="DP54" s="37">
        <f>SUMIFS(Lançamentos!$F:$F,Lançamentos!$A:$A,DP$19,Lançamentos!$C:$C,"Benefícios (VR/VT/Plano)")</f>
        <v>0</v>
      </c>
      <c r="DQ54" s="37">
        <f>SUMIFS(Lançamentos!$F:$F,Lançamentos!$A:$A,DQ$19,Lançamentos!$C:$C,"Benefícios (VR/VT/Plano)")</f>
        <v>0</v>
      </c>
      <c r="DR54" s="37">
        <f>SUMIFS(Lançamentos!$F:$F,Lançamentos!$A:$A,DR$19,Lançamentos!$C:$C,"Benefícios (VR/VT/Plano)")</f>
        <v>0</v>
      </c>
      <c r="DS54" s="37">
        <f>SUMIFS(Lançamentos!$F:$F,Lançamentos!$A:$A,DS$19,Lançamentos!$C:$C,"Benefícios (VR/VT/Plano)")</f>
        <v>0</v>
      </c>
      <c r="DT54" s="37">
        <f>SUMIFS(Lançamentos!$F:$F,Lançamentos!$A:$A,DT$19,Lançamentos!$C:$C,"Benefícios (VR/VT/Plano)")</f>
        <v>0</v>
      </c>
      <c r="DU54" s="37">
        <f>SUMIFS(Lançamentos!$F:$F,Lançamentos!$A:$A,DU$19,Lançamentos!$C:$C,"Benefícios (VR/VT/Plano)")</f>
        <v>0</v>
      </c>
      <c r="DV54" s="37">
        <f>SUMIFS(Lançamentos!$F:$F,Lançamentos!$A:$A,DV$19,Lançamentos!$C:$C,"Benefícios (VR/VT/Plano)")</f>
        <v>0</v>
      </c>
      <c r="DW54" s="37">
        <f>SUMIFS(Lançamentos!$F:$F,Lançamentos!$A:$A,DW$19,Lançamentos!$C:$C,"Benefícios (VR/VT/Plano)")</f>
        <v>0</v>
      </c>
      <c r="DX54" s="37">
        <f>SUMIFS(Lançamentos!$F:$F,Lançamentos!$A:$A,DX$19,Lançamentos!$C:$C,"Benefícios (VR/VT/Plano)")</f>
        <v>0</v>
      </c>
      <c r="DY54" s="37">
        <f>SUMIFS(Lançamentos!$F:$F,Lançamentos!$A:$A,DY$19,Lançamentos!$C:$C,"Benefícios (VR/VT/Plano)")</f>
        <v>0</v>
      </c>
      <c r="DZ54" s="37">
        <f>SUMIFS(Lançamentos!$F:$F,Lançamentos!$A:$A,DZ$19,Lançamentos!$C:$C,"Benefícios (VR/VT/Plano)")</f>
        <v>0</v>
      </c>
      <c r="EA54" s="37">
        <f>SUMIFS(Lançamentos!$F:$F,Lançamentos!$A:$A,EA$19,Lançamentos!$C:$C,"Benefícios (VR/VT/Plano)")</f>
        <v>0</v>
      </c>
      <c r="EB54" s="37">
        <f>SUMIFS(Lançamentos!$F:$F,Lançamentos!$A:$A,EB$19,Lançamentos!$C:$C,"Benefícios (VR/VT/Plano)")</f>
        <v>0</v>
      </c>
      <c r="EC54" s="37">
        <f>SUMIFS(Lançamentos!$F:$F,Lançamentos!$A:$A,EC$19,Lançamentos!$C:$C,"Benefícios (VR/VT/Plano)")</f>
        <v>0</v>
      </c>
      <c r="ED54" s="37">
        <f>SUMIFS(Lançamentos!$F:$F,Lançamentos!$A:$A,ED$19,Lançamentos!$C:$C,"Benefícios (VR/VT/Plano)")</f>
        <v>0</v>
      </c>
      <c r="EE54" s="37">
        <f>SUMIFS(Lançamentos!$F:$F,Lançamentos!$A:$A,EE$19,Lançamentos!$C:$C,"Benefícios (VR/VT/Plano)")</f>
        <v>0</v>
      </c>
      <c r="EF54" s="37">
        <f>SUMIFS(Lançamentos!$F:$F,Lançamentos!$A:$A,EF$19,Lançamentos!$C:$C,"Benefícios (VR/VT/Plano)")</f>
        <v>0</v>
      </c>
      <c r="EG54" s="37">
        <f>SUMIFS(Lançamentos!$F:$F,Lançamentos!$A:$A,EG$19,Lançamentos!$C:$C,"Benefícios (VR/VT/Plano)")</f>
        <v>0</v>
      </c>
      <c r="EH54" s="37">
        <f>SUMIFS(Lançamentos!$F:$F,Lançamentos!$A:$A,EH$19,Lançamentos!$C:$C,"Benefícios (VR/VT/Plano)")</f>
        <v>0</v>
      </c>
      <c r="EI54" s="37">
        <f>SUMIFS(Lançamentos!$F:$F,Lançamentos!$A:$A,EI$19,Lançamentos!$C:$C,"Benefícios (VR/VT/Plano)")</f>
        <v>0</v>
      </c>
      <c r="EJ54" s="37">
        <f>SUMIFS(Lançamentos!$F:$F,Lançamentos!$A:$A,EJ$19,Lançamentos!$C:$C,"Benefícios (VR/VT/Plano)")</f>
        <v>0</v>
      </c>
      <c r="EK54" s="37">
        <f>SUMIFS(Lançamentos!$F:$F,Lançamentos!$A:$A,EK$19,Lançamentos!$C:$C,"Benefícios (VR/VT/Plano)")</f>
        <v>0</v>
      </c>
      <c r="EL54" s="37">
        <f>SUMIFS(Lançamentos!$F:$F,Lançamentos!$A:$A,EL$19,Lançamentos!$C:$C,"Benefícios (VR/VT/Plano)")</f>
        <v>0</v>
      </c>
      <c r="EM54" s="37">
        <f>SUMIFS(Lançamentos!$F:$F,Lançamentos!$A:$A,EM$19,Lançamentos!$C:$C,"Benefícios (VR/VT/Plano)")</f>
        <v>0</v>
      </c>
      <c r="EN54" s="37">
        <f>SUMIFS(Lançamentos!$F:$F,Lançamentos!$A:$A,EN$19,Lançamentos!$C:$C,"Benefícios (VR/VT/Plano)")</f>
        <v>0</v>
      </c>
      <c r="EO54" s="37">
        <f>SUMIFS(Lançamentos!$F:$F,Lançamentos!$A:$A,EO$19,Lançamentos!$C:$C,"Benefícios (VR/VT/Plano)")</f>
        <v>0</v>
      </c>
      <c r="EP54" s="37">
        <f>SUMIFS(Lançamentos!$F:$F,Lançamentos!$A:$A,EP$19,Lançamentos!$C:$C,"Benefícios (VR/VT/Plano)")</f>
        <v>0</v>
      </c>
      <c r="EQ54" s="37">
        <f>SUMIFS(Lançamentos!$F:$F,Lançamentos!$A:$A,EQ$19,Lançamentos!$C:$C,"Benefícios (VR/VT/Plano)")</f>
        <v>0</v>
      </c>
      <c r="ER54" s="37">
        <f>SUMIFS(Lançamentos!$F:$F,Lançamentos!$A:$A,ER$19,Lançamentos!$C:$C,"Benefícios (VR/VT/Plano)")</f>
        <v>0</v>
      </c>
      <c r="ES54" s="37">
        <f>SUMIFS(Lançamentos!$F:$F,Lançamentos!$A:$A,ES$19,Lançamentos!$C:$C,"Benefícios (VR/VT/Plano)")</f>
        <v>0</v>
      </c>
      <c r="ET54" s="37">
        <f>SUMIFS(Lançamentos!$F:$F,Lançamentos!$A:$A,ET$19,Lançamentos!$C:$C,"Benefícios (VR/VT/Plano)")</f>
        <v>0</v>
      </c>
      <c r="EU54" s="37">
        <f>SUMIFS(Lançamentos!$F:$F,Lançamentos!$A:$A,EU$19,Lançamentos!$C:$C,"Benefícios (VR/VT/Plano)")</f>
        <v>0</v>
      </c>
      <c r="EV54" s="37">
        <f>SUMIFS(Lançamentos!$F:$F,Lançamentos!$A:$A,EV$19,Lançamentos!$C:$C,"Benefícios (VR/VT/Plano)")</f>
        <v>0</v>
      </c>
      <c r="EW54" s="37">
        <f>SUMIFS(Lançamentos!$F:$F,Lançamentos!$A:$A,EW$19,Lançamentos!$C:$C,"Benefícios (VR/VT/Plano)")</f>
        <v>0</v>
      </c>
      <c r="EX54" s="37">
        <f>SUMIFS(Lançamentos!$F:$F,Lançamentos!$A:$A,EX$19,Lançamentos!$C:$C,"Benefícios (VR/VT/Plano)")</f>
        <v>0</v>
      </c>
      <c r="EY54" s="37">
        <f>SUMIFS(Lançamentos!$F:$F,Lançamentos!$A:$A,EY$19,Lançamentos!$C:$C,"Benefícios (VR/VT/Plano)")</f>
        <v>0</v>
      </c>
      <c r="EZ54" s="37">
        <f>SUMIFS(Lançamentos!$F:$F,Lançamentos!$A:$A,EZ$19,Lançamentos!$C:$C,"Benefícios (VR/VT/Plano)")</f>
        <v>0</v>
      </c>
      <c r="FA54" s="37">
        <f>SUMIFS(Lançamentos!$F:$F,Lançamentos!$A:$A,FA$19,Lançamentos!$C:$C,"Benefícios (VR/VT/Plano)")</f>
        <v>0</v>
      </c>
      <c r="FB54" s="37">
        <f>SUMIFS(Lançamentos!$F:$F,Lançamentos!$A:$A,FB$19,Lançamentos!$C:$C,"Benefícios (VR/VT/Plano)")</f>
        <v>0</v>
      </c>
      <c r="FC54" s="37">
        <f>SUMIFS(Lançamentos!$F:$F,Lançamentos!$A:$A,FC$19,Lançamentos!$C:$C,"Benefícios (VR/VT/Plano)")</f>
        <v>0</v>
      </c>
      <c r="FD54" s="37">
        <f>SUMIFS(Lançamentos!$F:$F,Lançamentos!$A:$A,FD$19,Lançamentos!$C:$C,"Benefícios (VR/VT/Plano)")</f>
        <v>0</v>
      </c>
      <c r="FE54" s="37">
        <f>SUMIFS(Lançamentos!$F:$F,Lançamentos!$A:$A,FE$19,Lançamentos!$C:$C,"Benefícios (VR/VT/Plano)")</f>
        <v>0</v>
      </c>
      <c r="FF54" s="37">
        <f>SUMIFS(Lançamentos!$F:$F,Lançamentos!$A:$A,FF$19,Lançamentos!$C:$C,"Benefícios (VR/VT/Plano)")</f>
        <v>0</v>
      </c>
      <c r="FG54" s="37">
        <f>SUMIFS(Lançamentos!$F:$F,Lançamentos!$A:$A,FG$19,Lançamentos!$C:$C,"Benefícios (VR/VT/Plano)")</f>
        <v>0</v>
      </c>
      <c r="FH54" s="37">
        <f>SUMIFS(Lançamentos!$F:$F,Lançamentos!$A:$A,FH$19,Lançamentos!$C:$C,"Benefícios (VR/VT/Plano)")</f>
        <v>0</v>
      </c>
      <c r="FI54" s="37">
        <f>SUMIFS(Lançamentos!$F:$F,Lançamentos!$A:$A,FI$19,Lançamentos!$C:$C,"Benefícios (VR/VT/Plano)")</f>
        <v>0</v>
      </c>
      <c r="FJ54" s="37">
        <f>SUMIFS(Lançamentos!$F:$F,Lançamentos!$A:$A,FJ$19,Lançamentos!$C:$C,"Benefícios (VR/VT/Plano)")</f>
        <v>0</v>
      </c>
      <c r="FK54" s="37">
        <f>SUMIFS(Lançamentos!$F:$F,Lançamentos!$A:$A,FK$19,Lançamentos!$C:$C,"Benefícios (VR/VT/Plano)")</f>
        <v>0</v>
      </c>
      <c r="FL54" s="37">
        <f>SUMIFS(Lançamentos!$F:$F,Lançamentos!$A:$A,FL$19,Lançamentos!$C:$C,"Benefícios (VR/VT/Plano)")</f>
        <v>0</v>
      </c>
      <c r="FM54" s="37">
        <f>SUMIFS(Lançamentos!$F:$F,Lançamentos!$A:$A,FM$19,Lançamentos!$C:$C,"Benefícios (VR/VT/Plano)")</f>
        <v>0</v>
      </c>
      <c r="FN54" s="37">
        <f>SUMIFS(Lançamentos!$F:$F,Lançamentos!$A:$A,FN$19,Lançamentos!$C:$C,"Benefícios (VR/VT/Plano)")</f>
        <v>0</v>
      </c>
      <c r="FO54" s="37">
        <f>SUMIFS(Lançamentos!$F:$F,Lançamentos!$A:$A,FO$19,Lançamentos!$C:$C,"Benefícios (VR/VT/Plano)")</f>
        <v>0</v>
      </c>
      <c r="FP54" s="37">
        <f>SUMIFS(Lançamentos!$F:$F,Lançamentos!$A:$A,FP$19,Lançamentos!$C:$C,"Benefícios (VR/VT/Plano)")</f>
        <v>0</v>
      </c>
      <c r="FQ54" s="37">
        <f>SUMIFS(Lançamentos!$F:$F,Lançamentos!$A:$A,FQ$19,Lançamentos!$C:$C,"Benefícios (VR/VT/Plano)")</f>
        <v>0</v>
      </c>
      <c r="FR54" s="37">
        <f>SUMIFS(Lançamentos!$F:$F,Lançamentos!$A:$A,FR$19,Lançamentos!$C:$C,"Benefícios (VR/VT/Plano)")</f>
        <v>0</v>
      </c>
      <c r="FS54" s="37">
        <f>SUMIFS(Lançamentos!$F:$F,Lançamentos!$A:$A,FS$19,Lançamentos!$C:$C,"Benefícios (VR/VT/Plano)")</f>
        <v>0</v>
      </c>
      <c r="FT54" s="37">
        <f>SUMIFS(Lançamentos!$F:$F,Lançamentos!$A:$A,FT$19,Lançamentos!$C:$C,"Benefícios (VR/VT/Plano)")</f>
        <v>0</v>
      </c>
      <c r="FU54" s="37">
        <f>SUMIFS(Lançamentos!$F:$F,Lançamentos!$A:$A,FU$19,Lançamentos!$C:$C,"Benefícios (VR/VT/Plano)")</f>
        <v>0</v>
      </c>
      <c r="FV54" s="37">
        <f>SUMIFS(Lançamentos!$F:$F,Lançamentos!$A:$A,FV$19,Lançamentos!$C:$C,"Benefícios (VR/VT/Plano)")</f>
        <v>0</v>
      </c>
      <c r="FW54" s="37">
        <f>SUMIFS(Lançamentos!$F:$F,Lançamentos!$A:$A,FW$19,Lançamentos!$C:$C,"Benefícios (VR/VT/Plano)")</f>
        <v>0</v>
      </c>
      <c r="FX54" s="37">
        <f>SUMIFS(Lançamentos!$F:$F,Lançamentos!$A:$A,FX$19,Lançamentos!$C:$C,"Benefícios (VR/VT/Plano)")</f>
        <v>0</v>
      </c>
      <c r="FY54" s="37">
        <f>SUMIFS(Lançamentos!$F:$F,Lançamentos!$A:$A,FY$19,Lançamentos!$C:$C,"Benefícios (VR/VT/Plano)")</f>
        <v>0</v>
      </c>
      <c r="FZ54" s="37">
        <f>SUMIFS(Lançamentos!$F:$F,Lançamentos!$A:$A,FZ$19,Lançamentos!$C:$C,"Benefícios (VR/VT/Plano)")</f>
        <v>0</v>
      </c>
      <c r="GA54" s="37">
        <f>SUMIFS(Lançamentos!$F:$F,Lançamentos!$A:$A,GA$19,Lançamentos!$C:$C,"Benefícios (VR/VT/Plano)")</f>
        <v>0</v>
      </c>
      <c r="GB54" s="37">
        <f>SUMIFS(Lançamentos!$F:$F,Lançamentos!$A:$A,GB$19,Lançamentos!$C:$C,"Benefícios (VR/VT/Plano)")</f>
        <v>0</v>
      </c>
      <c r="GC54" s="37">
        <f>SUMIFS(Lançamentos!$F:$F,Lançamentos!$A:$A,GC$19,Lançamentos!$C:$C,"Benefícios (VR/VT/Plano)")</f>
        <v>0</v>
      </c>
      <c r="GD54" s="37">
        <f>SUMIFS(Lançamentos!$F:$F,Lançamentos!$A:$A,GD$19,Lançamentos!$C:$C,"Benefícios (VR/VT/Plano)")</f>
        <v>0</v>
      </c>
      <c r="GE54" s="37">
        <f>SUMIFS(Lançamentos!$F:$F,Lançamentos!$A:$A,GE$19,Lançamentos!$C:$C,"Benefícios (VR/VT/Plano)")</f>
        <v>0</v>
      </c>
      <c r="GF54" s="37">
        <f>SUMIFS(Lançamentos!$F:$F,Lançamentos!$A:$A,GF$19,Lançamentos!$C:$C,"Benefícios (VR/VT/Plano)")</f>
        <v>0</v>
      </c>
      <c r="GG54" s="37">
        <f>SUMIFS(Lançamentos!$F:$F,Lançamentos!$A:$A,GG$19,Lançamentos!$C:$C,"Benefícios (VR/VT/Plano)")</f>
        <v>0</v>
      </c>
      <c r="GH54" s="37">
        <f>SUMIFS(Lançamentos!$F:$F,Lançamentos!$A:$A,GH$19,Lançamentos!$C:$C,"Benefícios (VR/VT/Plano)")</f>
        <v>0</v>
      </c>
      <c r="GI54" s="37">
        <f>SUMIFS(Lançamentos!$F:$F,Lançamentos!$A:$A,GI$19,Lançamentos!$C:$C,"Benefícios (VR/VT/Plano)")</f>
        <v>0</v>
      </c>
      <c r="GJ54" s="37">
        <f>SUMIFS(Lançamentos!$F:$F,Lançamentos!$A:$A,GJ$19,Lançamentos!$C:$C,"Benefícios (VR/VT/Plano)")</f>
        <v>0</v>
      </c>
      <c r="GK54" s="37">
        <f>SUMIFS(Lançamentos!$F:$F,Lançamentos!$A:$A,GK$19,Lançamentos!$C:$C,"Benefícios (VR/VT/Plano)")</f>
        <v>0</v>
      </c>
      <c r="GL54" s="37">
        <f>SUMIFS(Lançamentos!$F:$F,Lançamentos!$A:$A,GL$19,Lançamentos!$C:$C,"Benefícios (VR/VT/Plano)")</f>
        <v>0</v>
      </c>
      <c r="GM54" s="37">
        <f>SUMIFS(Lançamentos!$F:$F,Lançamentos!$A:$A,GM$19,Lançamentos!$C:$C,"Benefícios (VR/VT/Plano)")</f>
        <v>0</v>
      </c>
      <c r="GN54" s="37">
        <f>SUMIFS(Lançamentos!$F:$F,Lançamentos!$A:$A,GN$19,Lançamentos!$C:$C,"Benefícios (VR/VT/Plano)")</f>
        <v>0</v>
      </c>
      <c r="GO54" s="37">
        <f>SUMIFS(Lançamentos!$F:$F,Lançamentos!$A:$A,GO$19,Lançamentos!$C:$C,"Benefícios (VR/VT/Plano)")</f>
        <v>0</v>
      </c>
      <c r="GP54" s="37">
        <f>SUMIFS(Lançamentos!$F:$F,Lançamentos!$A:$A,GP$19,Lançamentos!$C:$C,"Benefícios (VR/VT/Plano)")</f>
        <v>0</v>
      </c>
      <c r="GQ54" s="37">
        <f>SUMIFS(Lançamentos!$F:$F,Lançamentos!$A:$A,GQ$19,Lançamentos!$C:$C,"Benefícios (VR/VT/Plano)")</f>
        <v>0</v>
      </c>
      <c r="GR54" s="37">
        <f>SUMIFS(Lançamentos!$F:$F,Lançamentos!$A:$A,GR$19,Lançamentos!$C:$C,"Benefícios (VR/VT/Plano)")</f>
        <v>0</v>
      </c>
      <c r="GS54" s="37">
        <f>SUMIFS(Lançamentos!$F:$F,Lançamentos!$A:$A,GS$19,Lançamentos!$C:$C,"Benefícios (VR/VT/Plano)")</f>
        <v>0</v>
      </c>
      <c r="GT54" s="37">
        <f>SUMIFS(Lançamentos!$F:$F,Lançamentos!$A:$A,GT$19,Lançamentos!$C:$C,"Benefícios (VR/VT/Plano)")</f>
        <v>0</v>
      </c>
      <c r="GU54" s="37">
        <f>SUMIFS(Lançamentos!$F:$F,Lançamentos!$A:$A,GU$19,Lançamentos!$C:$C,"Benefícios (VR/VT/Plano)")</f>
        <v>0</v>
      </c>
      <c r="GV54" s="37">
        <f>SUMIFS(Lançamentos!$F:$F,Lançamentos!$A:$A,GV$19,Lançamentos!$C:$C,"Benefícios (VR/VT/Plano)")</f>
        <v>0</v>
      </c>
      <c r="GW54" s="37">
        <f>SUMIFS(Lançamentos!$F:$F,Lançamentos!$A:$A,GW$19,Lançamentos!$C:$C,"Benefícios (VR/VT/Plano)")</f>
        <v>0</v>
      </c>
      <c r="GX54" s="37">
        <f>SUMIFS(Lançamentos!$F:$F,Lançamentos!$A:$A,GX$19,Lançamentos!$C:$C,"Benefícios (VR/VT/Plano)")</f>
        <v>0</v>
      </c>
      <c r="GY54" s="37">
        <f>SUMIFS(Lançamentos!$F:$F,Lançamentos!$A:$A,GY$19,Lançamentos!$C:$C,"Benefícios (VR/VT/Plano)")</f>
        <v>0</v>
      </c>
      <c r="GZ54" s="37">
        <f>SUMIFS(Lançamentos!$F:$F,Lançamentos!$A:$A,GZ$19,Lançamentos!$C:$C,"Benefícios (VR/VT/Plano)")</f>
        <v>0</v>
      </c>
      <c r="HA54" s="37">
        <f>SUMIFS(Lançamentos!$F:$F,Lançamentos!$A:$A,HA$19,Lançamentos!$C:$C,"Benefícios (VR/VT/Plano)")</f>
        <v>0</v>
      </c>
      <c r="HB54" s="37">
        <f>SUMIFS(Lançamentos!$F:$F,Lançamentos!$A:$A,HB$19,Lançamentos!$C:$C,"Benefícios (VR/VT/Plano)")</f>
        <v>0</v>
      </c>
      <c r="HC54" s="37">
        <f>SUMIFS(Lançamentos!$F:$F,Lançamentos!$A:$A,HC$19,Lançamentos!$C:$C,"Benefícios (VR/VT/Plano)")</f>
        <v>0</v>
      </c>
      <c r="HD54" s="37">
        <f>SUMIFS(Lançamentos!$F:$F,Lançamentos!$A:$A,HD$19,Lançamentos!$C:$C,"Benefícios (VR/VT/Plano)")</f>
        <v>0</v>
      </c>
      <c r="HE54" s="37">
        <f>SUMIFS(Lançamentos!$F:$F,Lançamentos!$A:$A,HE$19,Lançamentos!$C:$C,"Benefícios (VR/VT/Plano)")</f>
        <v>0</v>
      </c>
      <c r="HF54" s="37">
        <f>SUMIFS(Lançamentos!$F:$F,Lançamentos!$A:$A,HF$19,Lançamentos!$C:$C,"Benefícios (VR/VT/Plano)")</f>
        <v>0</v>
      </c>
      <c r="HG54" s="37">
        <f>SUMIFS(Lançamentos!$F:$F,Lançamentos!$A:$A,HG$19,Lançamentos!$C:$C,"Benefícios (VR/VT/Plano)")</f>
        <v>0</v>
      </c>
      <c r="HH54" s="37">
        <f>SUMIFS(Lançamentos!$F:$F,Lançamentos!$A:$A,HH$19,Lançamentos!$C:$C,"Benefícios (VR/VT/Plano)")</f>
        <v>0</v>
      </c>
      <c r="HI54" s="37">
        <f>SUMIFS(Lançamentos!$F:$F,Lançamentos!$A:$A,HI$19,Lançamentos!$C:$C,"Benefícios (VR/VT/Plano)")</f>
        <v>0</v>
      </c>
      <c r="HJ54" s="37">
        <f>SUMIFS(Lançamentos!$F:$F,Lançamentos!$A:$A,HJ$19,Lançamentos!$C:$C,"Benefícios (VR/VT/Plano)")</f>
        <v>0</v>
      </c>
      <c r="HK54" s="37">
        <f>SUMIFS(Lançamentos!$F:$F,Lançamentos!$A:$A,HK$19,Lançamentos!$C:$C,"Benefícios (VR/VT/Plano)")</f>
        <v>0</v>
      </c>
      <c r="HL54" s="37">
        <f>SUMIFS(Lançamentos!$F:$F,Lançamentos!$A:$A,HL$19,Lançamentos!$C:$C,"Benefícios (VR/VT/Plano)")</f>
        <v>0</v>
      </c>
      <c r="HM54" s="37">
        <f>SUMIFS(Lançamentos!$F:$F,Lançamentos!$A:$A,HM$19,Lançamentos!$C:$C,"Benefícios (VR/VT/Plano)")</f>
        <v>0</v>
      </c>
      <c r="HN54" s="37">
        <f>SUMIFS(Lançamentos!$F:$F,Lançamentos!$A:$A,HN$19,Lançamentos!$C:$C,"Benefícios (VR/VT/Plano)")</f>
        <v>0</v>
      </c>
      <c r="HO54" s="37">
        <f>SUMIFS(Lançamentos!$F:$F,Lançamentos!$A:$A,HO$19,Lançamentos!$C:$C,"Benefícios (VR/VT/Plano)")</f>
        <v>0</v>
      </c>
      <c r="HP54" s="37">
        <f>SUMIFS(Lançamentos!$F:$F,Lançamentos!$A:$A,HP$19,Lançamentos!$C:$C,"Benefícios (VR/VT/Plano)")</f>
        <v>0</v>
      </c>
      <c r="HQ54" s="37">
        <f>SUMIFS(Lançamentos!$F:$F,Lançamentos!$A:$A,HQ$19,Lançamentos!$C:$C,"Benefícios (VR/VT/Plano)")</f>
        <v>0</v>
      </c>
      <c r="HR54" s="37">
        <f>SUMIFS(Lançamentos!$F:$F,Lançamentos!$A:$A,HR$19,Lançamentos!$C:$C,"Benefícios (VR/VT/Plano)")</f>
        <v>0</v>
      </c>
      <c r="HS54" s="37">
        <f>SUMIFS(Lançamentos!$F:$F,Lançamentos!$A:$A,HS$19,Lançamentos!$C:$C,"Benefícios (VR/VT/Plano)")</f>
        <v>0</v>
      </c>
      <c r="HT54" s="37">
        <f>SUMIFS(Lançamentos!$F:$F,Lançamentos!$A:$A,HT$19,Lançamentos!$C:$C,"Benefícios (VR/VT/Plano)")</f>
        <v>0</v>
      </c>
      <c r="HU54" s="37">
        <f>SUMIFS(Lançamentos!$F:$F,Lançamentos!$A:$A,HU$19,Lançamentos!$C:$C,"Benefícios (VR/VT/Plano)")</f>
        <v>0</v>
      </c>
      <c r="HV54" s="37">
        <f>SUMIFS(Lançamentos!$F:$F,Lançamentos!$A:$A,HV$19,Lançamentos!$C:$C,"Benefícios (VR/VT/Plano)")</f>
        <v>0</v>
      </c>
      <c r="HW54" s="37">
        <f>SUMIFS(Lançamentos!$F:$F,Lançamentos!$A:$A,HW$19,Lançamentos!$C:$C,"Benefícios (VR/VT/Plano)")</f>
        <v>0</v>
      </c>
      <c r="HX54" s="37">
        <f>SUMIFS(Lançamentos!$F:$F,Lançamentos!$A:$A,HX$19,Lançamentos!$C:$C,"Benefícios (VR/VT/Plano)")</f>
        <v>0</v>
      </c>
      <c r="HY54" s="37">
        <f>SUMIFS(Lançamentos!$F:$F,Lançamentos!$A:$A,HY$19,Lançamentos!$C:$C,"Benefícios (VR/VT/Plano)")</f>
        <v>0</v>
      </c>
      <c r="HZ54" s="37">
        <f>SUMIFS(Lançamentos!$F:$F,Lançamentos!$A:$A,HZ$19,Lançamentos!$C:$C,"Benefícios (VR/VT/Plano)")</f>
        <v>0</v>
      </c>
      <c r="IA54" s="37">
        <f>SUMIFS(Lançamentos!$F:$F,Lançamentos!$A:$A,IA$19,Lançamentos!$C:$C,"Benefícios (VR/VT/Plano)")</f>
        <v>0</v>
      </c>
      <c r="IB54" s="37">
        <f>SUMIFS(Lançamentos!$F:$F,Lançamentos!$A:$A,IB$19,Lançamentos!$C:$C,"Benefícios (VR/VT/Plano)")</f>
        <v>0</v>
      </c>
      <c r="IC54" s="37">
        <f>SUMIFS(Lançamentos!$F:$F,Lançamentos!$A:$A,IC$19,Lançamentos!$C:$C,"Benefícios (VR/VT/Plano)")</f>
        <v>0</v>
      </c>
      <c r="ID54" s="37">
        <f>SUMIFS(Lançamentos!$F:$F,Lançamentos!$A:$A,ID$19,Lançamentos!$C:$C,"Benefícios (VR/VT/Plano)")</f>
        <v>0</v>
      </c>
      <c r="IE54" s="37">
        <f>SUMIFS(Lançamentos!$F:$F,Lançamentos!$A:$A,IE$19,Lançamentos!$C:$C,"Benefícios (VR/VT/Plano)")</f>
        <v>0</v>
      </c>
      <c r="IF54" s="37">
        <f>SUMIFS(Lançamentos!$F:$F,Lançamentos!$A:$A,IF$19,Lançamentos!$C:$C,"Benefícios (VR/VT/Plano)")</f>
        <v>0</v>
      </c>
      <c r="IG54" s="37">
        <f>SUMIFS(Lançamentos!$F:$F,Lançamentos!$A:$A,IG$19,Lançamentos!$C:$C,"Benefícios (VR/VT/Plano)")</f>
        <v>0</v>
      </c>
      <c r="IH54" s="37">
        <f>SUMIFS(Lançamentos!$F:$F,Lançamentos!$A:$A,IH$19,Lançamentos!$C:$C,"Benefícios (VR/VT/Plano)")</f>
        <v>0</v>
      </c>
      <c r="II54" s="37">
        <f>SUMIFS(Lançamentos!$F:$F,Lançamentos!$A:$A,II$19,Lançamentos!$C:$C,"Benefícios (VR/VT/Plano)")</f>
        <v>0</v>
      </c>
      <c r="IJ54" s="37">
        <f>SUMIFS(Lançamentos!$F:$F,Lançamentos!$A:$A,IJ$19,Lançamentos!$C:$C,"Benefícios (VR/VT/Plano)")</f>
        <v>0</v>
      </c>
      <c r="IK54" s="37">
        <f>SUMIFS(Lançamentos!$F:$F,Lançamentos!$A:$A,IK$19,Lançamentos!$C:$C,"Benefícios (VR/VT/Plano)")</f>
        <v>0</v>
      </c>
      <c r="IL54" s="37">
        <f>SUMIFS(Lançamentos!$F:$F,Lançamentos!$A:$A,IL$19,Lançamentos!$C:$C,"Benefícios (VR/VT/Plano)")</f>
        <v>0</v>
      </c>
    </row>
    <row r="55" spans="1:246" x14ac:dyDescent="0.3">
      <c r="A55" t="s">
        <v>93</v>
      </c>
      <c r="B55" s="37">
        <f>SUMIFS(Lançamentos!$F:$F,Lançamentos!$A:$A,B$19,Lançamentos!$C:$C,"Software e Assinaturas")</f>
        <v>0</v>
      </c>
      <c r="C55" s="37">
        <f>SUMIFS(Lançamentos!$F:$F,Lançamentos!$A:$A,C$19,Lançamentos!$C:$C,"Software e Assinaturas")</f>
        <v>0</v>
      </c>
      <c r="D55" s="37">
        <f>SUMIFS(Lançamentos!$F:$F,Lançamentos!$A:$A,D$19,Lançamentos!$C:$C,"Software e Assinaturas")</f>
        <v>0</v>
      </c>
      <c r="E55" s="37">
        <f>SUMIFS(Lançamentos!$F:$F,Lançamentos!$A:$A,E$19,Lançamentos!$C:$C,"Software e Assinaturas")</f>
        <v>0</v>
      </c>
      <c r="F55" s="37">
        <f>SUMIFS(Lançamentos!$F:$F,Lançamentos!$A:$A,F$19,Lançamentos!$C:$C,"Software e Assinaturas")</f>
        <v>0</v>
      </c>
      <c r="G55" s="37">
        <f>SUMIFS(Lançamentos!$F:$F,Lançamentos!$A:$A,G$19,Lançamentos!$C:$C,"Software e Assinaturas")</f>
        <v>0</v>
      </c>
      <c r="H55" s="37">
        <f>SUMIFS(Lançamentos!$F:$F,Lançamentos!$A:$A,H$19,Lançamentos!$C:$C,"Software e Assinaturas")</f>
        <v>0</v>
      </c>
      <c r="I55" s="37">
        <f>SUMIFS(Lançamentos!$F:$F,Lançamentos!$A:$A,I$19,Lançamentos!$C:$C,"Software e Assinaturas")</f>
        <v>0</v>
      </c>
      <c r="J55" s="37">
        <f>SUMIFS(Lançamentos!$F:$F,Lançamentos!$A:$A,J$19,Lançamentos!$C:$C,"Software e Assinaturas")</f>
        <v>0</v>
      </c>
      <c r="K55" s="37">
        <f>SUMIFS(Lançamentos!$F:$F,Lançamentos!$A:$A,K$19,Lançamentos!$C:$C,"Software e Assinaturas")</f>
        <v>0</v>
      </c>
      <c r="L55" s="37">
        <f>SUMIFS(Lançamentos!$F:$F,Lançamentos!$A:$A,L$19,Lançamentos!$C:$C,"Software e Assinaturas")</f>
        <v>0</v>
      </c>
      <c r="M55" s="37">
        <f>SUMIFS(Lançamentos!$F:$F,Lançamentos!$A:$A,M$19,Lançamentos!$C:$C,"Software e Assinaturas")</f>
        <v>0</v>
      </c>
      <c r="N55" s="37">
        <f>SUMIFS(Lançamentos!$F:$F,Lançamentos!$A:$A,N$19,Lançamentos!$C:$C,"Software e Assinaturas")</f>
        <v>0</v>
      </c>
      <c r="O55" s="37">
        <f>SUMIFS(Lançamentos!$F:$F,Lançamentos!$A:$A,O$19,Lançamentos!$C:$C,"Software e Assinaturas")</f>
        <v>0</v>
      </c>
      <c r="P55" s="37">
        <f>SUMIFS(Lançamentos!$F:$F,Lançamentos!$A:$A,P$19,Lançamentos!$C:$C,"Software e Assinaturas")</f>
        <v>0</v>
      </c>
      <c r="Q55" s="37">
        <f>SUMIFS(Lançamentos!$F:$F,Lançamentos!$A:$A,Q$19,Lançamentos!$C:$C,"Software e Assinaturas")</f>
        <v>0</v>
      </c>
      <c r="R55" s="37">
        <f>SUMIFS(Lançamentos!$F:$F,Lançamentos!$A:$A,R$19,Lançamentos!$C:$C,"Software e Assinaturas")</f>
        <v>0</v>
      </c>
      <c r="S55" s="37">
        <f>SUMIFS(Lançamentos!$F:$F,Lançamentos!$A:$A,S$19,Lançamentos!$C:$C,"Software e Assinaturas")</f>
        <v>0</v>
      </c>
      <c r="T55" s="37">
        <f>SUMIFS(Lançamentos!$F:$F,Lançamentos!$A:$A,T$19,Lançamentos!$C:$C,"Software e Assinaturas")</f>
        <v>0</v>
      </c>
      <c r="U55" s="37">
        <f>SUMIFS(Lançamentos!$F:$F,Lançamentos!$A:$A,U$19,Lançamentos!$C:$C,"Software e Assinaturas")</f>
        <v>0</v>
      </c>
      <c r="V55" s="37">
        <f>SUMIFS(Lançamentos!$F:$F,Lançamentos!$A:$A,V$19,Lançamentos!$C:$C,"Software e Assinaturas")</f>
        <v>0</v>
      </c>
      <c r="W55" s="37">
        <f>SUMIFS(Lançamentos!$F:$F,Lançamentos!$A:$A,W$19,Lançamentos!$C:$C,"Software e Assinaturas")</f>
        <v>0</v>
      </c>
      <c r="X55" s="37">
        <f>SUMIFS(Lançamentos!$F:$F,Lançamentos!$A:$A,X$19,Lançamentos!$C:$C,"Software e Assinaturas")</f>
        <v>0</v>
      </c>
      <c r="Y55" s="37">
        <f>SUMIFS(Lançamentos!$F:$F,Lançamentos!$A:$A,Y$19,Lançamentos!$C:$C,"Software e Assinaturas")</f>
        <v>0</v>
      </c>
      <c r="Z55" s="37">
        <f>SUMIFS(Lançamentos!$F:$F,Lançamentos!$A:$A,Z$19,Lançamentos!$C:$C,"Software e Assinaturas")</f>
        <v>0</v>
      </c>
      <c r="AA55" s="37">
        <f>SUMIFS(Lançamentos!$F:$F,Lançamentos!$A:$A,AA$19,Lançamentos!$C:$C,"Software e Assinaturas")</f>
        <v>0</v>
      </c>
      <c r="AB55" s="37">
        <f>SUMIFS(Lançamentos!$F:$F,Lançamentos!$A:$A,AB$19,Lançamentos!$C:$C,"Software e Assinaturas")</f>
        <v>0</v>
      </c>
      <c r="AC55" s="37">
        <f>SUMIFS(Lançamentos!$F:$F,Lançamentos!$A:$A,AC$19,Lançamentos!$C:$C,"Software e Assinaturas")</f>
        <v>0</v>
      </c>
      <c r="AD55" s="37">
        <f>SUMIFS(Lançamentos!$F:$F,Lançamentos!$A:$A,AD$19,Lançamentos!$C:$C,"Software e Assinaturas")</f>
        <v>0</v>
      </c>
      <c r="AE55" s="37">
        <f>SUMIFS(Lançamentos!$F:$F,Lançamentos!$A:$A,AE$19,Lançamentos!$C:$C,"Software e Assinaturas")</f>
        <v>0</v>
      </c>
      <c r="AF55" s="37">
        <f>SUMIFS(Lançamentos!$F:$F,Lançamentos!$A:$A,AF$19,Lançamentos!$C:$C,"Software e Assinaturas")</f>
        <v>0</v>
      </c>
      <c r="AG55" s="37">
        <f>SUMIFS(Lançamentos!$F:$F,Lançamentos!$A:$A,AG$19,Lançamentos!$C:$C,"Software e Assinaturas")</f>
        <v>0</v>
      </c>
      <c r="AH55" s="37">
        <f>SUMIFS(Lançamentos!$F:$F,Lançamentos!$A:$A,AH$19,Lançamentos!$C:$C,"Software e Assinaturas")</f>
        <v>0</v>
      </c>
      <c r="AI55" s="37">
        <f>SUMIFS(Lançamentos!$F:$F,Lançamentos!$A:$A,AI$19,Lançamentos!$C:$C,"Software e Assinaturas")</f>
        <v>0</v>
      </c>
      <c r="AJ55" s="37">
        <f>SUMIFS(Lançamentos!$F:$F,Lançamentos!$A:$A,AJ$19,Lançamentos!$C:$C,"Software e Assinaturas")</f>
        <v>0</v>
      </c>
      <c r="AK55" s="37">
        <f>SUMIFS(Lançamentos!$F:$F,Lançamentos!$A:$A,AK$19,Lançamentos!$C:$C,"Software e Assinaturas")</f>
        <v>0</v>
      </c>
      <c r="AL55" s="37">
        <f>SUMIFS(Lançamentos!$F:$F,Lançamentos!$A:$A,AL$19,Lançamentos!$C:$C,"Software e Assinaturas")</f>
        <v>0</v>
      </c>
      <c r="AM55" s="37">
        <f>SUMIFS(Lançamentos!$F:$F,Lançamentos!$A:$A,AM$19,Lançamentos!$C:$C,"Software e Assinaturas")</f>
        <v>0</v>
      </c>
      <c r="AN55" s="37">
        <f>SUMIFS(Lançamentos!$F:$F,Lançamentos!$A:$A,AN$19,Lançamentos!$C:$C,"Software e Assinaturas")</f>
        <v>0</v>
      </c>
      <c r="AO55" s="37">
        <f>SUMIFS(Lançamentos!$F:$F,Lançamentos!$A:$A,AO$19,Lançamentos!$C:$C,"Software e Assinaturas")</f>
        <v>0</v>
      </c>
      <c r="AP55" s="37">
        <f>SUMIFS(Lançamentos!$F:$F,Lançamentos!$A:$A,AP$19,Lançamentos!$C:$C,"Software e Assinaturas")</f>
        <v>0</v>
      </c>
      <c r="AQ55" s="37">
        <f>SUMIFS(Lançamentos!$F:$F,Lançamentos!$A:$A,AQ$19,Lançamentos!$C:$C,"Software e Assinaturas")</f>
        <v>0</v>
      </c>
      <c r="AR55" s="37">
        <f>SUMIFS(Lançamentos!$F:$F,Lançamentos!$A:$A,AR$19,Lançamentos!$C:$C,"Software e Assinaturas")</f>
        <v>0</v>
      </c>
      <c r="AS55" s="37">
        <f>SUMIFS(Lançamentos!$F:$F,Lançamentos!$A:$A,AS$19,Lançamentos!$C:$C,"Software e Assinaturas")</f>
        <v>0</v>
      </c>
      <c r="AT55" s="37">
        <f>SUMIFS(Lançamentos!$F:$F,Lançamentos!$A:$A,AT$19,Lançamentos!$C:$C,"Software e Assinaturas")</f>
        <v>0</v>
      </c>
      <c r="AU55" s="37">
        <f>SUMIFS(Lançamentos!$F:$F,Lançamentos!$A:$A,AU$19,Lançamentos!$C:$C,"Software e Assinaturas")</f>
        <v>0</v>
      </c>
      <c r="AV55" s="37">
        <f>SUMIFS(Lançamentos!$F:$F,Lançamentos!$A:$A,AV$19,Lançamentos!$C:$C,"Software e Assinaturas")</f>
        <v>0</v>
      </c>
      <c r="AW55" s="37">
        <f>SUMIFS(Lançamentos!$F:$F,Lançamentos!$A:$A,AW$19,Lançamentos!$C:$C,"Software e Assinaturas")</f>
        <v>0</v>
      </c>
      <c r="AX55" s="37">
        <f>SUMIFS(Lançamentos!$F:$F,Lançamentos!$A:$A,AX$19,Lançamentos!$C:$C,"Software e Assinaturas")</f>
        <v>0</v>
      </c>
      <c r="AY55" s="37">
        <f>SUMIFS(Lançamentos!$F:$F,Lançamentos!$A:$A,AY$19,Lançamentos!$C:$C,"Software e Assinaturas")</f>
        <v>0</v>
      </c>
      <c r="AZ55" s="37">
        <f>SUMIFS(Lançamentos!$F:$F,Lançamentos!$A:$A,AZ$19,Lançamentos!$C:$C,"Software e Assinaturas")</f>
        <v>0</v>
      </c>
      <c r="BA55" s="37">
        <f>SUMIFS(Lançamentos!$F:$F,Lançamentos!$A:$A,BA$19,Lançamentos!$C:$C,"Software e Assinaturas")</f>
        <v>0</v>
      </c>
      <c r="BB55" s="37">
        <f>SUMIFS(Lançamentos!$F:$F,Lançamentos!$A:$A,BB$19,Lançamentos!$C:$C,"Software e Assinaturas")</f>
        <v>0</v>
      </c>
      <c r="BC55" s="37">
        <f>SUMIFS(Lançamentos!$F:$F,Lançamentos!$A:$A,BC$19,Lançamentos!$C:$C,"Software e Assinaturas")</f>
        <v>0</v>
      </c>
      <c r="BD55" s="37">
        <f>SUMIFS(Lançamentos!$F:$F,Lançamentos!$A:$A,BD$19,Lançamentos!$C:$C,"Software e Assinaturas")</f>
        <v>0</v>
      </c>
      <c r="BE55" s="37">
        <f>SUMIFS(Lançamentos!$F:$F,Lançamentos!$A:$A,BE$19,Lançamentos!$C:$C,"Software e Assinaturas")</f>
        <v>0</v>
      </c>
      <c r="BF55" s="37">
        <f>SUMIFS(Lançamentos!$F:$F,Lançamentos!$A:$A,BF$19,Lançamentos!$C:$C,"Software e Assinaturas")</f>
        <v>0</v>
      </c>
      <c r="BG55" s="37">
        <f>SUMIFS(Lançamentos!$F:$F,Lançamentos!$A:$A,BG$19,Lançamentos!$C:$C,"Software e Assinaturas")</f>
        <v>0</v>
      </c>
      <c r="BH55" s="37">
        <f>SUMIFS(Lançamentos!$F:$F,Lançamentos!$A:$A,BH$19,Lançamentos!$C:$C,"Software e Assinaturas")</f>
        <v>0</v>
      </c>
      <c r="BI55" s="37">
        <f>SUMIFS(Lançamentos!$F:$F,Lançamentos!$A:$A,BI$19,Lançamentos!$C:$C,"Software e Assinaturas")</f>
        <v>0</v>
      </c>
      <c r="BJ55" s="37">
        <f>SUMIFS(Lançamentos!$F:$F,Lançamentos!$A:$A,BJ$19,Lançamentos!$C:$C,"Software e Assinaturas")</f>
        <v>0</v>
      </c>
      <c r="BK55" s="37">
        <f>SUMIFS(Lançamentos!$F:$F,Lançamentos!$A:$A,BK$19,Lançamentos!$C:$C,"Software e Assinaturas")</f>
        <v>0</v>
      </c>
      <c r="BL55" s="37">
        <f>SUMIFS(Lançamentos!$F:$F,Lançamentos!$A:$A,BL$19,Lançamentos!$C:$C,"Software e Assinaturas")</f>
        <v>0</v>
      </c>
      <c r="BM55" s="37">
        <f>SUMIFS(Lançamentos!$F:$F,Lançamentos!$A:$A,BM$19,Lançamentos!$C:$C,"Software e Assinaturas")</f>
        <v>0</v>
      </c>
      <c r="BN55" s="37">
        <f>SUMIFS(Lançamentos!$F:$F,Lançamentos!$A:$A,BN$19,Lançamentos!$C:$C,"Software e Assinaturas")</f>
        <v>0</v>
      </c>
      <c r="BO55" s="37">
        <f>SUMIFS(Lançamentos!$F:$F,Lançamentos!$A:$A,BO$19,Lançamentos!$C:$C,"Software e Assinaturas")</f>
        <v>0</v>
      </c>
      <c r="BP55" s="37">
        <f>SUMIFS(Lançamentos!$F:$F,Lançamentos!$A:$A,BP$19,Lançamentos!$C:$C,"Software e Assinaturas")</f>
        <v>0</v>
      </c>
      <c r="BQ55" s="37">
        <f>SUMIFS(Lançamentos!$F:$F,Lançamentos!$A:$A,BQ$19,Lançamentos!$C:$C,"Software e Assinaturas")</f>
        <v>0</v>
      </c>
      <c r="BR55" s="37">
        <f>SUMIFS(Lançamentos!$F:$F,Lançamentos!$A:$A,BR$19,Lançamentos!$C:$C,"Software e Assinaturas")</f>
        <v>0</v>
      </c>
      <c r="BS55" s="37">
        <f>SUMIFS(Lançamentos!$F:$F,Lançamentos!$A:$A,BS$19,Lançamentos!$C:$C,"Software e Assinaturas")</f>
        <v>0</v>
      </c>
      <c r="BT55" s="37">
        <f>SUMIFS(Lançamentos!$F:$F,Lançamentos!$A:$A,BT$19,Lançamentos!$C:$C,"Software e Assinaturas")</f>
        <v>0</v>
      </c>
      <c r="BU55" s="37">
        <f>SUMIFS(Lançamentos!$F:$F,Lançamentos!$A:$A,BU$19,Lançamentos!$C:$C,"Software e Assinaturas")</f>
        <v>0</v>
      </c>
      <c r="BV55" s="37">
        <f>SUMIFS(Lançamentos!$F:$F,Lançamentos!$A:$A,BV$19,Lançamentos!$C:$C,"Software e Assinaturas")</f>
        <v>0</v>
      </c>
      <c r="BW55" s="37">
        <f>SUMIFS(Lançamentos!$F:$F,Lançamentos!$A:$A,BW$19,Lançamentos!$C:$C,"Software e Assinaturas")</f>
        <v>0</v>
      </c>
      <c r="BX55" s="37">
        <f>SUMIFS(Lançamentos!$F:$F,Lançamentos!$A:$A,BX$19,Lançamentos!$C:$C,"Software e Assinaturas")</f>
        <v>0</v>
      </c>
      <c r="BY55" s="37">
        <f>SUMIFS(Lançamentos!$F:$F,Lançamentos!$A:$A,BY$19,Lançamentos!$C:$C,"Software e Assinaturas")</f>
        <v>0</v>
      </c>
      <c r="BZ55" s="37">
        <f>SUMIFS(Lançamentos!$F:$F,Lançamentos!$A:$A,BZ$19,Lançamentos!$C:$C,"Software e Assinaturas")</f>
        <v>0</v>
      </c>
      <c r="CA55" s="37">
        <f>SUMIFS(Lançamentos!$F:$F,Lançamentos!$A:$A,CA$19,Lançamentos!$C:$C,"Software e Assinaturas")</f>
        <v>0</v>
      </c>
      <c r="CB55" s="37">
        <f>SUMIFS(Lançamentos!$F:$F,Lançamentos!$A:$A,CB$19,Lançamentos!$C:$C,"Software e Assinaturas")</f>
        <v>0</v>
      </c>
      <c r="CC55" s="37">
        <f>SUMIFS(Lançamentos!$F:$F,Lançamentos!$A:$A,CC$19,Lançamentos!$C:$C,"Software e Assinaturas")</f>
        <v>0</v>
      </c>
      <c r="CD55" s="37">
        <f>SUMIFS(Lançamentos!$F:$F,Lançamentos!$A:$A,CD$19,Lançamentos!$C:$C,"Software e Assinaturas")</f>
        <v>0</v>
      </c>
      <c r="CE55" s="37">
        <f>SUMIFS(Lançamentos!$F:$F,Lançamentos!$A:$A,CE$19,Lançamentos!$C:$C,"Software e Assinaturas")</f>
        <v>0</v>
      </c>
      <c r="CF55" s="37">
        <f>SUMIFS(Lançamentos!$F:$F,Lançamentos!$A:$A,CF$19,Lançamentos!$C:$C,"Software e Assinaturas")</f>
        <v>0</v>
      </c>
      <c r="CG55" s="37">
        <f>SUMIFS(Lançamentos!$F:$F,Lançamentos!$A:$A,CG$19,Lançamentos!$C:$C,"Software e Assinaturas")</f>
        <v>0</v>
      </c>
      <c r="CH55" s="37">
        <f>SUMIFS(Lançamentos!$F:$F,Lançamentos!$A:$A,CH$19,Lançamentos!$C:$C,"Software e Assinaturas")</f>
        <v>0</v>
      </c>
      <c r="CI55" s="37">
        <f>SUMIFS(Lançamentos!$F:$F,Lançamentos!$A:$A,CI$19,Lançamentos!$C:$C,"Software e Assinaturas")</f>
        <v>0</v>
      </c>
      <c r="CJ55" s="37">
        <f>SUMIFS(Lançamentos!$F:$F,Lançamentos!$A:$A,CJ$19,Lançamentos!$C:$C,"Software e Assinaturas")</f>
        <v>0</v>
      </c>
      <c r="CK55" s="37">
        <f>SUMIFS(Lançamentos!$F:$F,Lançamentos!$A:$A,CK$19,Lançamentos!$C:$C,"Software e Assinaturas")</f>
        <v>0</v>
      </c>
      <c r="CL55" s="37">
        <f>SUMIFS(Lançamentos!$F:$F,Lançamentos!$A:$A,CL$19,Lançamentos!$C:$C,"Software e Assinaturas")</f>
        <v>0</v>
      </c>
      <c r="CM55" s="37">
        <f>SUMIFS(Lançamentos!$F:$F,Lançamentos!$A:$A,CM$19,Lançamentos!$C:$C,"Software e Assinaturas")</f>
        <v>0</v>
      </c>
      <c r="CN55" s="37">
        <f>SUMIFS(Lançamentos!$F:$F,Lançamentos!$A:$A,CN$19,Lançamentos!$C:$C,"Software e Assinaturas")</f>
        <v>0</v>
      </c>
      <c r="CO55" s="37">
        <f>SUMIFS(Lançamentos!$F:$F,Lançamentos!$A:$A,CO$19,Lançamentos!$C:$C,"Software e Assinaturas")</f>
        <v>0</v>
      </c>
      <c r="CP55" s="37">
        <f>SUMIFS(Lançamentos!$F:$F,Lançamentos!$A:$A,CP$19,Lançamentos!$C:$C,"Software e Assinaturas")</f>
        <v>0</v>
      </c>
      <c r="CQ55" s="37">
        <f>SUMIFS(Lançamentos!$F:$F,Lançamentos!$A:$A,CQ$19,Lançamentos!$C:$C,"Software e Assinaturas")</f>
        <v>0</v>
      </c>
      <c r="CR55" s="37">
        <f>SUMIFS(Lançamentos!$F:$F,Lançamentos!$A:$A,CR$19,Lançamentos!$C:$C,"Software e Assinaturas")</f>
        <v>0</v>
      </c>
      <c r="CS55" s="37">
        <f>SUMIFS(Lançamentos!$F:$F,Lançamentos!$A:$A,CS$19,Lançamentos!$C:$C,"Software e Assinaturas")</f>
        <v>0</v>
      </c>
      <c r="CT55" s="37">
        <f>SUMIFS(Lançamentos!$F:$F,Lançamentos!$A:$A,CT$19,Lançamentos!$C:$C,"Software e Assinaturas")</f>
        <v>0</v>
      </c>
      <c r="CU55" s="37">
        <f>SUMIFS(Lançamentos!$F:$F,Lançamentos!$A:$A,CU$19,Lançamentos!$C:$C,"Software e Assinaturas")</f>
        <v>0</v>
      </c>
      <c r="CV55" s="37">
        <f>SUMIFS(Lançamentos!$F:$F,Lançamentos!$A:$A,CV$19,Lançamentos!$C:$C,"Software e Assinaturas")</f>
        <v>0</v>
      </c>
      <c r="CW55" s="37">
        <f>SUMIFS(Lançamentos!$F:$F,Lançamentos!$A:$A,CW$19,Lançamentos!$C:$C,"Software e Assinaturas")</f>
        <v>0</v>
      </c>
      <c r="CX55" s="37">
        <f>SUMIFS(Lançamentos!$F:$F,Lançamentos!$A:$A,CX$19,Lançamentos!$C:$C,"Software e Assinaturas")</f>
        <v>0</v>
      </c>
      <c r="CY55" s="37">
        <f>SUMIFS(Lançamentos!$F:$F,Lançamentos!$A:$A,CY$19,Lançamentos!$C:$C,"Software e Assinaturas")</f>
        <v>0</v>
      </c>
      <c r="CZ55" s="37">
        <f>SUMIFS(Lançamentos!$F:$F,Lançamentos!$A:$A,CZ$19,Lançamentos!$C:$C,"Software e Assinaturas")</f>
        <v>0</v>
      </c>
      <c r="DA55" s="37">
        <f>SUMIFS(Lançamentos!$F:$F,Lançamentos!$A:$A,DA$19,Lançamentos!$C:$C,"Software e Assinaturas")</f>
        <v>0</v>
      </c>
      <c r="DB55" s="37">
        <f>SUMIFS(Lançamentos!$F:$F,Lançamentos!$A:$A,DB$19,Lançamentos!$C:$C,"Software e Assinaturas")</f>
        <v>0</v>
      </c>
      <c r="DC55" s="37">
        <f>SUMIFS(Lançamentos!$F:$F,Lançamentos!$A:$A,DC$19,Lançamentos!$C:$C,"Software e Assinaturas")</f>
        <v>0</v>
      </c>
      <c r="DD55" s="37">
        <f>SUMIFS(Lançamentos!$F:$F,Lançamentos!$A:$A,DD$19,Lançamentos!$C:$C,"Software e Assinaturas")</f>
        <v>0</v>
      </c>
      <c r="DE55" s="37">
        <f>SUMIFS(Lançamentos!$F:$F,Lançamentos!$A:$A,DE$19,Lançamentos!$C:$C,"Software e Assinaturas")</f>
        <v>0</v>
      </c>
      <c r="DF55" s="37">
        <f>SUMIFS(Lançamentos!$F:$F,Lançamentos!$A:$A,DF$19,Lançamentos!$C:$C,"Software e Assinaturas")</f>
        <v>0</v>
      </c>
      <c r="DG55" s="37">
        <f>SUMIFS(Lançamentos!$F:$F,Lançamentos!$A:$A,DG$19,Lançamentos!$C:$C,"Software e Assinaturas")</f>
        <v>0</v>
      </c>
      <c r="DH55" s="37">
        <f>SUMIFS(Lançamentos!$F:$F,Lançamentos!$A:$A,DH$19,Lançamentos!$C:$C,"Software e Assinaturas")</f>
        <v>0</v>
      </c>
      <c r="DI55" s="37">
        <f>SUMIFS(Lançamentos!$F:$F,Lançamentos!$A:$A,DI$19,Lançamentos!$C:$C,"Software e Assinaturas")</f>
        <v>0</v>
      </c>
      <c r="DJ55" s="37">
        <f>SUMIFS(Lançamentos!$F:$F,Lançamentos!$A:$A,DJ$19,Lançamentos!$C:$C,"Software e Assinaturas")</f>
        <v>0</v>
      </c>
      <c r="DK55" s="37">
        <f>SUMIFS(Lançamentos!$F:$F,Lançamentos!$A:$A,DK$19,Lançamentos!$C:$C,"Software e Assinaturas")</f>
        <v>0</v>
      </c>
      <c r="DL55" s="37">
        <f>SUMIFS(Lançamentos!$F:$F,Lançamentos!$A:$A,DL$19,Lançamentos!$C:$C,"Software e Assinaturas")</f>
        <v>0</v>
      </c>
      <c r="DM55" s="37">
        <f>SUMIFS(Lançamentos!$F:$F,Lançamentos!$A:$A,DM$19,Lançamentos!$C:$C,"Software e Assinaturas")</f>
        <v>0</v>
      </c>
      <c r="DN55" s="37">
        <f>SUMIFS(Lançamentos!$F:$F,Lançamentos!$A:$A,DN$19,Lançamentos!$C:$C,"Software e Assinaturas")</f>
        <v>0</v>
      </c>
      <c r="DO55" s="37">
        <f>SUMIFS(Lançamentos!$F:$F,Lançamentos!$A:$A,DO$19,Lançamentos!$C:$C,"Software e Assinaturas")</f>
        <v>0</v>
      </c>
      <c r="DP55" s="37">
        <f>SUMIFS(Lançamentos!$F:$F,Lançamentos!$A:$A,DP$19,Lançamentos!$C:$C,"Software e Assinaturas")</f>
        <v>0</v>
      </c>
      <c r="DQ55" s="37">
        <f>SUMIFS(Lançamentos!$F:$F,Lançamentos!$A:$A,DQ$19,Lançamentos!$C:$C,"Software e Assinaturas")</f>
        <v>0</v>
      </c>
      <c r="DR55" s="37">
        <f>SUMIFS(Lançamentos!$F:$F,Lançamentos!$A:$A,DR$19,Lançamentos!$C:$C,"Software e Assinaturas")</f>
        <v>0</v>
      </c>
      <c r="DS55" s="37">
        <f>SUMIFS(Lançamentos!$F:$F,Lançamentos!$A:$A,DS$19,Lançamentos!$C:$C,"Software e Assinaturas")</f>
        <v>0</v>
      </c>
      <c r="DT55" s="37">
        <f>SUMIFS(Lançamentos!$F:$F,Lançamentos!$A:$A,DT$19,Lançamentos!$C:$C,"Software e Assinaturas")</f>
        <v>0</v>
      </c>
      <c r="DU55" s="37">
        <f>SUMIFS(Lançamentos!$F:$F,Lançamentos!$A:$A,DU$19,Lançamentos!$C:$C,"Software e Assinaturas")</f>
        <v>0</v>
      </c>
      <c r="DV55" s="37">
        <f>SUMIFS(Lançamentos!$F:$F,Lançamentos!$A:$A,DV$19,Lançamentos!$C:$C,"Software e Assinaturas")</f>
        <v>0</v>
      </c>
      <c r="DW55" s="37">
        <f>SUMIFS(Lançamentos!$F:$F,Lançamentos!$A:$A,DW$19,Lançamentos!$C:$C,"Software e Assinaturas")</f>
        <v>0</v>
      </c>
      <c r="DX55" s="37">
        <f>SUMIFS(Lançamentos!$F:$F,Lançamentos!$A:$A,DX$19,Lançamentos!$C:$C,"Software e Assinaturas")</f>
        <v>0</v>
      </c>
      <c r="DY55" s="37">
        <f>SUMIFS(Lançamentos!$F:$F,Lançamentos!$A:$A,DY$19,Lançamentos!$C:$C,"Software e Assinaturas")</f>
        <v>0</v>
      </c>
      <c r="DZ55" s="37">
        <f>SUMIFS(Lançamentos!$F:$F,Lançamentos!$A:$A,DZ$19,Lançamentos!$C:$C,"Software e Assinaturas")</f>
        <v>0</v>
      </c>
      <c r="EA55" s="37">
        <f>SUMIFS(Lançamentos!$F:$F,Lançamentos!$A:$A,EA$19,Lançamentos!$C:$C,"Software e Assinaturas")</f>
        <v>0</v>
      </c>
      <c r="EB55" s="37">
        <f>SUMIFS(Lançamentos!$F:$F,Lançamentos!$A:$A,EB$19,Lançamentos!$C:$C,"Software e Assinaturas")</f>
        <v>0</v>
      </c>
      <c r="EC55" s="37">
        <f>SUMIFS(Lançamentos!$F:$F,Lançamentos!$A:$A,EC$19,Lançamentos!$C:$C,"Software e Assinaturas")</f>
        <v>0</v>
      </c>
      <c r="ED55" s="37">
        <f>SUMIFS(Lançamentos!$F:$F,Lançamentos!$A:$A,ED$19,Lançamentos!$C:$C,"Software e Assinaturas")</f>
        <v>0</v>
      </c>
      <c r="EE55" s="37">
        <f>SUMIFS(Lançamentos!$F:$F,Lançamentos!$A:$A,EE$19,Lançamentos!$C:$C,"Software e Assinaturas")</f>
        <v>0</v>
      </c>
      <c r="EF55" s="37">
        <f>SUMIFS(Lançamentos!$F:$F,Lançamentos!$A:$A,EF$19,Lançamentos!$C:$C,"Software e Assinaturas")</f>
        <v>0</v>
      </c>
      <c r="EG55" s="37">
        <f>SUMIFS(Lançamentos!$F:$F,Lançamentos!$A:$A,EG$19,Lançamentos!$C:$C,"Software e Assinaturas")</f>
        <v>0</v>
      </c>
      <c r="EH55" s="37">
        <f>SUMIFS(Lançamentos!$F:$F,Lançamentos!$A:$A,EH$19,Lançamentos!$C:$C,"Software e Assinaturas")</f>
        <v>0</v>
      </c>
      <c r="EI55" s="37">
        <f>SUMIFS(Lançamentos!$F:$F,Lançamentos!$A:$A,EI$19,Lançamentos!$C:$C,"Software e Assinaturas")</f>
        <v>0</v>
      </c>
      <c r="EJ55" s="37">
        <f>SUMIFS(Lançamentos!$F:$F,Lançamentos!$A:$A,EJ$19,Lançamentos!$C:$C,"Software e Assinaturas")</f>
        <v>0</v>
      </c>
      <c r="EK55" s="37">
        <f>SUMIFS(Lançamentos!$F:$F,Lançamentos!$A:$A,EK$19,Lançamentos!$C:$C,"Software e Assinaturas")</f>
        <v>0</v>
      </c>
      <c r="EL55" s="37">
        <f>SUMIFS(Lançamentos!$F:$F,Lançamentos!$A:$A,EL$19,Lançamentos!$C:$C,"Software e Assinaturas")</f>
        <v>0</v>
      </c>
      <c r="EM55" s="37">
        <f>SUMIFS(Lançamentos!$F:$F,Lançamentos!$A:$A,EM$19,Lançamentos!$C:$C,"Software e Assinaturas")</f>
        <v>0</v>
      </c>
      <c r="EN55" s="37">
        <f>SUMIFS(Lançamentos!$F:$F,Lançamentos!$A:$A,EN$19,Lançamentos!$C:$C,"Software e Assinaturas")</f>
        <v>0</v>
      </c>
      <c r="EO55" s="37">
        <f>SUMIFS(Lançamentos!$F:$F,Lançamentos!$A:$A,EO$19,Lançamentos!$C:$C,"Software e Assinaturas")</f>
        <v>0</v>
      </c>
      <c r="EP55" s="37">
        <f>SUMIFS(Lançamentos!$F:$F,Lançamentos!$A:$A,EP$19,Lançamentos!$C:$C,"Software e Assinaturas")</f>
        <v>0</v>
      </c>
      <c r="EQ55" s="37">
        <f>SUMIFS(Lançamentos!$F:$F,Lançamentos!$A:$A,EQ$19,Lançamentos!$C:$C,"Software e Assinaturas")</f>
        <v>0</v>
      </c>
      <c r="ER55" s="37">
        <f>SUMIFS(Lançamentos!$F:$F,Lançamentos!$A:$A,ER$19,Lançamentos!$C:$C,"Software e Assinaturas")</f>
        <v>0</v>
      </c>
      <c r="ES55" s="37">
        <f>SUMIFS(Lançamentos!$F:$F,Lançamentos!$A:$A,ES$19,Lançamentos!$C:$C,"Software e Assinaturas")</f>
        <v>0</v>
      </c>
      <c r="ET55" s="37">
        <f>SUMIFS(Lançamentos!$F:$F,Lançamentos!$A:$A,ET$19,Lançamentos!$C:$C,"Software e Assinaturas")</f>
        <v>0</v>
      </c>
      <c r="EU55" s="37">
        <f>SUMIFS(Lançamentos!$F:$F,Lançamentos!$A:$A,EU$19,Lançamentos!$C:$C,"Software e Assinaturas")</f>
        <v>0</v>
      </c>
      <c r="EV55" s="37">
        <f>SUMIFS(Lançamentos!$F:$F,Lançamentos!$A:$A,EV$19,Lançamentos!$C:$C,"Software e Assinaturas")</f>
        <v>0</v>
      </c>
      <c r="EW55" s="37">
        <f>SUMIFS(Lançamentos!$F:$F,Lançamentos!$A:$A,EW$19,Lançamentos!$C:$C,"Software e Assinaturas")</f>
        <v>0</v>
      </c>
      <c r="EX55" s="37">
        <f>SUMIFS(Lançamentos!$F:$F,Lançamentos!$A:$A,EX$19,Lançamentos!$C:$C,"Software e Assinaturas")</f>
        <v>0</v>
      </c>
      <c r="EY55" s="37">
        <f>SUMIFS(Lançamentos!$F:$F,Lançamentos!$A:$A,EY$19,Lançamentos!$C:$C,"Software e Assinaturas")</f>
        <v>0</v>
      </c>
      <c r="EZ55" s="37">
        <f>SUMIFS(Lançamentos!$F:$F,Lançamentos!$A:$A,EZ$19,Lançamentos!$C:$C,"Software e Assinaturas")</f>
        <v>0</v>
      </c>
      <c r="FA55" s="37">
        <f>SUMIFS(Lançamentos!$F:$F,Lançamentos!$A:$A,FA$19,Lançamentos!$C:$C,"Software e Assinaturas")</f>
        <v>0</v>
      </c>
      <c r="FB55" s="37">
        <f>SUMIFS(Lançamentos!$F:$F,Lançamentos!$A:$A,FB$19,Lançamentos!$C:$C,"Software e Assinaturas")</f>
        <v>0</v>
      </c>
      <c r="FC55" s="37">
        <f>SUMIFS(Lançamentos!$F:$F,Lançamentos!$A:$A,FC$19,Lançamentos!$C:$C,"Software e Assinaturas")</f>
        <v>0</v>
      </c>
      <c r="FD55" s="37">
        <f>SUMIFS(Lançamentos!$F:$F,Lançamentos!$A:$A,FD$19,Lançamentos!$C:$C,"Software e Assinaturas")</f>
        <v>0</v>
      </c>
      <c r="FE55" s="37">
        <f>SUMIFS(Lançamentos!$F:$F,Lançamentos!$A:$A,FE$19,Lançamentos!$C:$C,"Software e Assinaturas")</f>
        <v>0</v>
      </c>
      <c r="FF55" s="37">
        <f>SUMIFS(Lançamentos!$F:$F,Lançamentos!$A:$A,FF$19,Lançamentos!$C:$C,"Software e Assinaturas")</f>
        <v>0</v>
      </c>
      <c r="FG55" s="37">
        <f>SUMIFS(Lançamentos!$F:$F,Lançamentos!$A:$A,FG$19,Lançamentos!$C:$C,"Software e Assinaturas")</f>
        <v>0</v>
      </c>
      <c r="FH55" s="37">
        <f>SUMIFS(Lançamentos!$F:$F,Lançamentos!$A:$A,FH$19,Lançamentos!$C:$C,"Software e Assinaturas")</f>
        <v>0</v>
      </c>
      <c r="FI55" s="37">
        <f>SUMIFS(Lançamentos!$F:$F,Lançamentos!$A:$A,FI$19,Lançamentos!$C:$C,"Software e Assinaturas")</f>
        <v>0</v>
      </c>
      <c r="FJ55" s="37">
        <f>SUMIFS(Lançamentos!$F:$F,Lançamentos!$A:$A,FJ$19,Lançamentos!$C:$C,"Software e Assinaturas")</f>
        <v>0</v>
      </c>
      <c r="FK55" s="37">
        <f>SUMIFS(Lançamentos!$F:$F,Lançamentos!$A:$A,FK$19,Lançamentos!$C:$C,"Software e Assinaturas")</f>
        <v>0</v>
      </c>
      <c r="FL55" s="37">
        <f>SUMIFS(Lançamentos!$F:$F,Lançamentos!$A:$A,FL$19,Lançamentos!$C:$C,"Software e Assinaturas")</f>
        <v>0</v>
      </c>
      <c r="FM55" s="37">
        <f>SUMIFS(Lançamentos!$F:$F,Lançamentos!$A:$A,FM$19,Lançamentos!$C:$C,"Software e Assinaturas")</f>
        <v>0</v>
      </c>
      <c r="FN55" s="37">
        <f>SUMIFS(Lançamentos!$F:$F,Lançamentos!$A:$A,FN$19,Lançamentos!$C:$C,"Software e Assinaturas")</f>
        <v>0</v>
      </c>
      <c r="FO55" s="37">
        <f>SUMIFS(Lançamentos!$F:$F,Lançamentos!$A:$A,FO$19,Lançamentos!$C:$C,"Software e Assinaturas")</f>
        <v>0</v>
      </c>
      <c r="FP55" s="37">
        <f>SUMIFS(Lançamentos!$F:$F,Lançamentos!$A:$A,FP$19,Lançamentos!$C:$C,"Software e Assinaturas")</f>
        <v>0</v>
      </c>
      <c r="FQ55" s="37">
        <f>SUMIFS(Lançamentos!$F:$F,Lançamentos!$A:$A,FQ$19,Lançamentos!$C:$C,"Software e Assinaturas")</f>
        <v>0</v>
      </c>
      <c r="FR55" s="37">
        <f>SUMIFS(Lançamentos!$F:$F,Lançamentos!$A:$A,FR$19,Lançamentos!$C:$C,"Software e Assinaturas")</f>
        <v>0</v>
      </c>
      <c r="FS55" s="37">
        <f>SUMIFS(Lançamentos!$F:$F,Lançamentos!$A:$A,FS$19,Lançamentos!$C:$C,"Software e Assinaturas")</f>
        <v>0</v>
      </c>
      <c r="FT55" s="37">
        <f>SUMIFS(Lançamentos!$F:$F,Lançamentos!$A:$A,FT$19,Lançamentos!$C:$C,"Software e Assinaturas")</f>
        <v>0</v>
      </c>
      <c r="FU55" s="37">
        <f>SUMIFS(Lançamentos!$F:$F,Lançamentos!$A:$A,FU$19,Lançamentos!$C:$C,"Software e Assinaturas")</f>
        <v>0</v>
      </c>
      <c r="FV55" s="37">
        <f>SUMIFS(Lançamentos!$F:$F,Lançamentos!$A:$A,FV$19,Lançamentos!$C:$C,"Software e Assinaturas")</f>
        <v>0</v>
      </c>
      <c r="FW55" s="37">
        <f>SUMIFS(Lançamentos!$F:$F,Lançamentos!$A:$A,FW$19,Lançamentos!$C:$C,"Software e Assinaturas")</f>
        <v>0</v>
      </c>
      <c r="FX55" s="37">
        <f>SUMIFS(Lançamentos!$F:$F,Lançamentos!$A:$A,FX$19,Lançamentos!$C:$C,"Software e Assinaturas")</f>
        <v>0</v>
      </c>
      <c r="FY55" s="37">
        <f>SUMIFS(Lançamentos!$F:$F,Lançamentos!$A:$A,FY$19,Lançamentos!$C:$C,"Software e Assinaturas")</f>
        <v>0</v>
      </c>
      <c r="FZ55" s="37">
        <f>SUMIFS(Lançamentos!$F:$F,Lançamentos!$A:$A,FZ$19,Lançamentos!$C:$C,"Software e Assinaturas")</f>
        <v>0</v>
      </c>
      <c r="GA55" s="37">
        <f>SUMIFS(Lançamentos!$F:$F,Lançamentos!$A:$A,GA$19,Lançamentos!$C:$C,"Software e Assinaturas")</f>
        <v>0</v>
      </c>
      <c r="GB55" s="37">
        <f>SUMIFS(Lançamentos!$F:$F,Lançamentos!$A:$A,GB$19,Lançamentos!$C:$C,"Software e Assinaturas")</f>
        <v>0</v>
      </c>
      <c r="GC55" s="37">
        <f>SUMIFS(Lançamentos!$F:$F,Lançamentos!$A:$A,GC$19,Lançamentos!$C:$C,"Software e Assinaturas")</f>
        <v>0</v>
      </c>
      <c r="GD55" s="37">
        <f>SUMIFS(Lançamentos!$F:$F,Lançamentos!$A:$A,GD$19,Lançamentos!$C:$C,"Software e Assinaturas")</f>
        <v>0</v>
      </c>
      <c r="GE55" s="37">
        <f>SUMIFS(Lançamentos!$F:$F,Lançamentos!$A:$A,GE$19,Lançamentos!$C:$C,"Software e Assinaturas")</f>
        <v>0</v>
      </c>
      <c r="GF55" s="37">
        <f>SUMIFS(Lançamentos!$F:$F,Lançamentos!$A:$A,GF$19,Lançamentos!$C:$C,"Software e Assinaturas")</f>
        <v>0</v>
      </c>
      <c r="GG55" s="37">
        <f>SUMIFS(Lançamentos!$F:$F,Lançamentos!$A:$A,GG$19,Lançamentos!$C:$C,"Software e Assinaturas")</f>
        <v>0</v>
      </c>
      <c r="GH55" s="37">
        <f>SUMIFS(Lançamentos!$F:$F,Lançamentos!$A:$A,GH$19,Lançamentos!$C:$C,"Software e Assinaturas")</f>
        <v>0</v>
      </c>
      <c r="GI55" s="37">
        <f>SUMIFS(Lançamentos!$F:$F,Lançamentos!$A:$A,GI$19,Lançamentos!$C:$C,"Software e Assinaturas")</f>
        <v>0</v>
      </c>
      <c r="GJ55" s="37">
        <f>SUMIFS(Lançamentos!$F:$F,Lançamentos!$A:$A,GJ$19,Lançamentos!$C:$C,"Software e Assinaturas")</f>
        <v>0</v>
      </c>
      <c r="GK55" s="37">
        <f>SUMIFS(Lançamentos!$F:$F,Lançamentos!$A:$A,GK$19,Lançamentos!$C:$C,"Software e Assinaturas")</f>
        <v>0</v>
      </c>
      <c r="GL55" s="37">
        <f>SUMIFS(Lançamentos!$F:$F,Lançamentos!$A:$A,GL$19,Lançamentos!$C:$C,"Software e Assinaturas")</f>
        <v>0</v>
      </c>
      <c r="GM55" s="37">
        <f>SUMIFS(Lançamentos!$F:$F,Lançamentos!$A:$A,GM$19,Lançamentos!$C:$C,"Software e Assinaturas")</f>
        <v>0</v>
      </c>
      <c r="GN55" s="37">
        <f>SUMIFS(Lançamentos!$F:$F,Lançamentos!$A:$A,GN$19,Lançamentos!$C:$C,"Software e Assinaturas")</f>
        <v>0</v>
      </c>
      <c r="GO55" s="37">
        <f>SUMIFS(Lançamentos!$F:$F,Lançamentos!$A:$A,GO$19,Lançamentos!$C:$C,"Software e Assinaturas")</f>
        <v>0</v>
      </c>
      <c r="GP55" s="37">
        <f>SUMIFS(Lançamentos!$F:$F,Lançamentos!$A:$A,GP$19,Lançamentos!$C:$C,"Software e Assinaturas")</f>
        <v>0</v>
      </c>
      <c r="GQ55" s="37">
        <f>SUMIFS(Lançamentos!$F:$F,Lançamentos!$A:$A,GQ$19,Lançamentos!$C:$C,"Software e Assinaturas")</f>
        <v>0</v>
      </c>
      <c r="GR55" s="37">
        <f>SUMIFS(Lançamentos!$F:$F,Lançamentos!$A:$A,GR$19,Lançamentos!$C:$C,"Software e Assinaturas")</f>
        <v>0</v>
      </c>
      <c r="GS55" s="37">
        <f>SUMIFS(Lançamentos!$F:$F,Lançamentos!$A:$A,GS$19,Lançamentos!$C:$C,"Software e Assinaturas")</f>
        <v>0</v>
      </c>
      <c r="GT55" s="37">
        <f>SUMIFS(Lançamentos!$F:$F,Lançamentos!$A:$A,GT$19,Lançamentos!$C:$C,"Software e Assinaturas")</f>
        <v>0</v>
      </c>
      <c r="GU55" s="37">
        <f>SUMIFS(Lançamentos!$F:$F,Lançamentos!$A:$A,GU$19,Lançamentos!$C:$C,"Software e Assinaturas")</f>
        <v>0</v>
      </c>
      <c r="GV55" s="37">
        <f>SUMIFS(Lançamentos!$F:$F,Lançamentos!$A:$A,GV$19,Lançamentos!$C:$C,"Software e Assinaturas")</f>
        <v>0</v>
      </c>
      <c r="GW55" s="37">
        <f>SUMIFS(Lançamentos!$F:$F,Lançamentos!$A:$A,GW$19,Lançamentos!$C:$C,"Software e Assinaturas")</f>
        <v>0</v>
      </c>
      <c r="GX55" s="37">
        <f>SUMIFS(Lançamentos!$F:$F,Lançamentos!$A:$A,GX$19,Lançamentos!$C:$C,"Software e Assinaturas")</f>
        <v>0</v>
      </c>
      <c r="GY55" s="37">
        <f>SUMIFS(Lançamentos!$F:$F,Lançamentos!$A:$A,GY$19,Lançamentos!$C:$C,"Software e Assinaturas")</f>
        <v>0</v>
      </c>
      <c r="GZ55" s="37">
        <f>SUMIFS(Lançamentos!$F:$F,Lançamentos!$A:$A,GZ$19,Lançamentos!$C:$C,"Software e Assinaturas")</f>
        <v>0</v>
      </c>
      <c r="HA55" s="37">
        <f>SUMIFS(Lançamentos!$F:$F,Lançamentos!$A:$A,HA$19,Lançamentos!$C:$C,"Software e Assinaturas")</f>
        <v>0</v>
      </c>
      <c r="HB55" s="37">
        <f>SUMIFS(Lançamentos!$F:$F,Lançamentos!$A:$A,HB$19,Lançamentos!$C:$C,"Software e Assinaturas")</f>
        <v>0</v>
      </c>
      <c r="HC55" s="37">
        <f>SUMIFS(Lançamentos!$F:$F,Lançamentos!$A:$A,HC$19,Lançamentos!$C:$C,"Software e Assinaturas")</f>
        <v>0</v>
      </c>
      <c r="HD55" s="37">
        <f>SUMIFS(Lançamentos!$F:$F,Lançamentos!$A:$A,HD$19,Lançamentos!$C:$C,"Software e Assinaturas")</f>
        <v>0</v>
      </c>
      <c r="HE55" s="37">
        <f>SUMIFS(Lançamentos!$F:$F,Lançamentos!$A:$A,HE$19,Lançamentos!$C:$C,"Software e Assinaturas")</f>
        <v>0</v>
      </c>
      <c r="HF55" s="37">
        <f>SUMIFS(Lançamentos!$F:$F,Lançamentos!$A:$A,HF$19,Lançamentos!$C:$C,"Software e Assinaturas")</f>
        <v>0</v>
      </c>
      <c r="HG55" s="37">
        <f>SUMIFS(Lançamentos!$F:$F,Lançamentos!$A:$A,HG$19,Lançamentos!$C:$C,"Software e Assinaturas")</f>
        <v>0</v>
      </c>
      <c r="HH55" s="37">
        <f>SUMIFS(Lançamentos!$F:$F,Lançamentos!$A:$A,HH$19,Lançamentos!$C:$C,"Software e Assinaturas")</f>
        <v>0</v>
      </c>
      <c r="HI55" s="37">
        <f>SUMIFS(Lançamentos!$F:$F,Lançamentos!$A:$A,HI$19,Lançamentos!$C:$C,"Software e Assinaturas")</f>
        <v>0</v>
      </c>
      <c r="HJ55" s="37">
        <f>SUMIFS(Lançamentos!$F:$F,Lançamentos!$A:$A,HJ$19,Lançamentos!$C:$C,"Software e Assinaturas")</f>
        <v>0</v>
      </c>
      <c r="HK55" s="37">
        <f>SUMIFS(Lançamentos!$F:$F,Lançamentos!$A:$A,HK$19,Lançamentos!$C:$C,"Software e Assinaturas")</f>
        <v>0</v>
      </c>
      <c r="HL55" s="37">
        <f>SUMIFS(Lançamentos!$F:$F,Lançamentos!$A:$A,HL$19,Lançamentos!$C:$C,"Software e Assinaturas")</f>
        <v>0</v>
      </c>
      <c r="HM55" s="37">
        <f>SUMIFS(Lançamentos!$F:$F,Lançamentos!$A:$A,HM$19,Lançamentos!$C:$C,"Software e Assinaturas")</f>
        <v>0</v>
      </c>
      <c r="HN55" s="37">
        <f>SUMIFS(Lançamentos!$F:$F,Lançamentos!$A:$A,HN$19,Lançamentos!$C:$C,"Software e Assinaturas")</f>
        <v>0</v>
      </c>
      <c r="HO55" s="37">
        <f>SUMIFS(Lançamentos!$F:$F,Lançamentos!$A:$A,HO$19,Lançamentos!$C:$C,"Software e Assinaturas")</f>
        <v>0</v>
      </c>
      <c r="HP55" s="37">
        <f>SUMIFS(Lançamentos!$F:$F,Lançamentos!$A:$A,HP$19,Lançamentos!$C:$C,"Software e Assinaturas")</f>
        <v>0</v>
      </c>
      <c r="HQ55" s="37">
        <f>SUMIFS(Lançamentos!$F:$F,Lançamentos!$A:$A,HQ$19,Lançamentos!$C:$C,"Software e Assinaturas")</f>
        <v>0</v>
      </c>
      <c r="HR55" s="37">
        <f>SUMIFS(Lançamentos!$F:$F,Lançamentos!$A:$A,HR$19,Lançamentos!$C:$C,"Software e Assinaturas")</f>
        <v>0</v>
      </c>
      <c r="HS55" s="37">
        <f>SUMIFS(Lançamentos!$F:$F,Lançamentos!$A:$A,HS$19,Lançamentos!$C:$C,"Software e Assinaturas")</f>
        <v>0</v>
      </c>
      <c r="HT55" s="37">
        <f>SUMIFS(Lançamentos!$F:$F,Lançamentos!$A:$A,HT$19,Lançamentos!$C:$C,"Software e Assinaturas")</f>
        <v>0</v>
      </c>
      <c r="HU55" s="37">
        <f>SUMIFS(Lançamentos!$F:$F,Lançamentos!$A:$A,HU$19,Lançamentos!$C:$C,"Software e Assinaturas")</f>
        <v>0</v>
      </c>
      <c r="HV55" s="37">
        <f>SUMIFS(Lançamentos!$F:$F,Lançamentos!$A:$A,HV$19,Lançamentos!$C:$C,"Software e Assinaturas")</f>
        <v>0</v>
      </c>
      <c r="HW55" s="37">
        <f>SUMIFS(Lançamentos!$F:$F,Lançamentos!$A:$A,HW$19,Lançamentos!$C:$C,"Software e Assinaturas")</f>
        <v>0</v>
      </c>
      <c r="HX55" s="37">
        <f>SUMIFS(Lançamentos!$F:$F,Lançamentos!$A:$A,HX$19,Lançamentos!$C:$C,"Software e Assinaturas")</f>
        <v>0</v>
      </c>
      <c r="HY55" s="37">
        <f>SUMIFS(Lançamentos!$F:$F,Lançamentos!$A:$A,HY$19,Lançamentos!$C:$C,"Software e Assinaturas")</f>
        <v>0</v>
      </c>
      <c r="HZ55" s="37">
        <f>SUMIFS(Lançamentos!$F:$F,Lançamentos!$A:$A,HZ$19,Lançamentos!$C:$C,"Software e Assinaturas")</f>
        <v>0</v>
      </c>
      <c r="IA55" s="37">
        <f>SUMIFS(Lançamentos!$F:$F,Lançamentos!$A:$A,IA$19,Lançamentos!$C:$C,"Software e Assinaturas")</f>
        <v>0</v>
      </c>
      <c r="IB55" s="37">
        <f>SUMIFS(Lançamentos!$F:$F,Lançamentos!$A:$A,IB$19,Lançamentos!$C:$C,"Software e Assinaturas")</f>
        <v>0</v>
      </c>
      <c r="IC55" s="37">
        <f>SUMIFS(Lançamentos!$F:$F,Lançamentos!$A:$A,IC$19,Lançamentos!$C:$C,"Software e Assinaturas")</f>
        <v>0</v>
      </c>
      <c r="ID55" s="37">
        <f>SUMIFS(Lançamentos!$F:$F,Lançamentos!$A:$A,ID$19,Lançamentos!$C:$C,"Software e Assinaturas")</f>
        <v>0</v>
      </c>
      <c r="IE55" s="37">
        <f>SUMIFS(Lançamentos!$F:$F,Lançamentos!$A:$A,IE$19,Lançamentos!$C:$C,"Software e Assinaturas")</f>
        <v>0</v>
      </c>
      <c r="IF55" s="37">
        <f>SUMIFS(Lançamentos!$F:$F,Lançamentos!$A:$A,IF$19,Lançamentos!$C:$C,"Software e Assinaturas")</f>
        <v>0</v>
      </c>
      <c r="IG55" s="37">
        <f>SUMIFS(Lançamentos!$F:$F,Lançamentos!$A:$A,IG$19,Lançamentos!$C:$C,"Software e Assinaturas")</f>
        <v>0</v>
      </c>
      <c r="IH55" s="37">
        <f>SUMIFS(Lançamentos!$F:$F,Lançamentos!$A:$A,IH$19,Lançamentos!$C:$C,"Software e Assinaturas")</f>
        <v>0</v>
      </c>
      <c r="II55" s="37">
        <f>SUMIFS(Lançamentos!$F:$F,Lançamentos!$A:$A,II$19,Lançamentos!$C:$C,"Software e Assinaturas")</f>
        <v>0</v>
      </c>
      <c r="IJ55" s="37">
        <f>SUMIFS(Lançamentos!$F:$F,Lançamentos!$A:$A,IJ$19,Lançamentos!$C:$C,"Software e Assinaturas")</f>
        <v>0</v>
      </c>
      <c r="IK55" s="37">
        <f>SUMIFS(Lançamentos!$F:$F,Lançamentos!$A:$A,IK$19,Lançamentos!$C:$C,"Software e Assinaturas")</f>
        <v>0</v>
      </c>
      <c r="IL55" s="37">
        <f>SUMIFS(Lançamentos!$F:$F,Lançamentos!$A:$A,IL$19,Lançamentos!$C:$C,"Software e Assinaturas")</f>
        <v>0</v>
      </c>
    </row>
    <row r="56" spans="1:246" x14ac:dyDescent="0.3">
      <c r="A56" t="s">
        <v>94</v>
      </c>
      <c r="B56" s="37">
        <f>SUMIFS(Lançamentos!$F:$F,Lançamentos!$A:$A,B$19,Lançamentos!$C:$C,"Telefone e Celular")</f>
        <v>0</v>
      </c>
      <c r="C56" s="37">
        <f>SUMIFS(Lançamentos!$F:$F,Lançamentos!$A:$A,C$19,Lançamentos!$C:$C,"Telefone e Celular")</f>
        <v>0</v>
      </c>
      <c r="D56" s="37">
        <f>SUMIFS(Lançamentos!$F:$F,Lançamentos!$A:$A,D$19,Lançamentos!$C:$C,"Telefone e Celular")</f>
        <v>0</v>
      </c>
      <c r="E56" s="37">
        <f>SUMIFS(Lançamentos!$F:$F,Lançamentos!$A:$A,E$19,Lançamentos!$C:$C,"Telefone e Celular")</f>
        <v>0</v>
      </c>
      <c r="F56" s="37">
        <f>SUMIFS(Lançamentos!$F:$F,Lançamentos!$A:$A,F$19,Lançamentos!$C:$C,"Telefone e Celular")</f>
        <v>0</v>
      </c>
      <c r="G56" s="37">
        <f>SUMIFS(Lançamentos!$F:$F,Lançamentos!$A:$A,G$19,Lançamentos!$C:$C,"Telefone e Celular")</f>
        <v>0</v>
      </c>
      <c r="H56" s="37">
        <f>SUMIFS(Lançamentos!$F:$F,Lançamentos!$A:$A,H$19,Lançamentos!$C:$C,"Telefone e Celular")</f>
        <v>0</v>
      </c>
      <c r="I56" s="37">
        <f>SUMIFS(Lançamentos!$F:$F,Lançamentos!$A:$A,I$19,Lançamentos!$C:$C,"Telefone e Celular")</f>
        <v>0</v>
      </c>
      <c r="J56" s="37">
        <f>SUMIFS(Lançamentos!$F:$F,Lançamentos!$A:$A,J$19,Lançamentos!$C:$C,"Telefone e Celular")</f>
        <v>0</v>
      </c>
      <c r="K56" s="37">
        <f>SUMIFS(Lançamentos!$F:$F,Lançamentos!$A:$A,K$19,Lançamentos!$C:$C,"Telefone e Celular")</f>
        <v>0</v>
      </c>
      <c r="L56" s="37">
        <f>SUMIFS(Lançamentos!$F:$F,Lançamentos!$A:$A,L$19,Lançamentos!$C:$C,"Telefone e Celular")</f>
        <v>0</v>
      </c>
      <c r="M56" s="37">
        <f>SUMIFS(Lançamentos!$F:$F,Lançamentos!$A:$A,M$19,Lançamentos!$C:$C,"Telefone e Celular")</f>
        <v>0</v>
      </c>
      <c r="N56" s="37">
        <f>SUMIFS(Lançamentos!$F:$F,Lançamentos!$A:$A,N$19,Lançamentos!$C:$C,"Telefone e Celular")</f>
        <v>0</v>
      </c>
      <c r="O56" s="37">
        <f>SUMIFS(Lançamentos!$F:$F,Lançamentos!$A:$A,O$19,Lançamentos!$C:$C,"Telefone e Celular")</f>
        <v>0</v>
      </c>
      <c r="P56" s="37">
        <f>SUMIFS(Lançamentos!$F:$F,Lançamentos!$A:$A,P$19,Lançamentos!$C:$C,"Telefone e Celular")</f>
        <v>0</v>
      </c>
      <c r="Q56" s="37">
        <f>SUMIFS(Lançamentos!$F:$F,Lançamentos!$A:$A,Q$19,Lançamentos!$C:$C,"Telefone e Celular")</f>
        <v>0</v>
      </c>
      <c r="R56" s="37">
        <f>SUMIFS(Lançamentos!$F:$F,Lançamentos!$A:$A,R$19,Lançamentos!$C:$C,"Telefone e Celular")</f>
        <v>0</v>
      </c>
      <c r="S56" s="37">
        <f>SUMIFS(Lançamentos!$F:$F,Lançamentos!$A:$A,S$19,Lançamentos!$C:$C,"Telefone e Celular")</f>
        <v>0</v>
      </c>
      <c r="T56" s="37">
        <f>SUMIFS(Lançamentos!$F:$F,Lançamentos!$A:$A,T$19,Lançamentos!$C:$C,"Telefone e Celular")</f>
        <v>0</v>
      </c>
      <c r="U56" s="37">
        <f>SUMIFS(Lançamentos!$F:$F,Lançamentos!$A:$A,U$19,Lançamentos!$C:$C,"Telefone e Celular")</f>
        <v>0</v>
      </c>
      <c r="V56" s="37">
        <f>SUMIFS(Lançamentos!$F:$F,Lançamentos!$A:$A,V$19,Lançamentos!$C:$C,"Telefone e Celular")</f>
        <v>0</v>
      </c>
      <c r="W56" s="37">
        <f>SUMIFS(Lançamentos!$F:$F,Lançamentos!$A:$A,W$19,Lançamentos!$C:$C,"Telefone e Celular")</f>
        <v>0</v>
      </c>
      <c r="X56" s="37">
        <f>SUMIFS(Lançamentos!$F:$F,Lançamentos!$A:$A,X$19,Lançamentos!$C:$C,"Telefone e Celular")</f>
        <v>0</v>
      </c>
      <c r="Y56" s="37">
        <f>SUMIFS(Lançamentos!$F:$F,Lançamentos!$A:$A,Y$19,Lançamentos!$C:$C,"Telefone e Celular")</f>
        <v>0</v>
      </c>
      <c r="Z56" s="37">
        <f>SUMIFS(Lançamentos!$F:$F,Lançamentos!$A:$A,Z$19,Lançamentos!$C:$C,"Telefone e Celular")</f>
        <v>0</v>
      </c>
      <c r="AA56" s="37">
        <f>SUMIFS(Lançamentos!$F:$F,Lançamentos!$A:$A,AA$19,Lançamentos!$C:$C,"Telefone e Celular")</f>
        <v>0</v>
      </c>
      <c r="AB56" s="37">
        <f>SUMIFS(Lançamentos!$F:$F,Lançamentos!$A:$A,AB$19,Lançamentos!$C:$C,"Telefone e Celular")</f>
        <v>0</v>
      </c>
      <c r="AC56" s="37">
        <f>SUMIFS(Lançamentos!$F:$F,Lançamentos!$A:$A,AC$19,Lançamentos!$C:$C,"Telefone e Celular")</f>
        <v>0</v>
      </c>
      <c r="AD56" s="37">
        <f>SUMIFS(Lançamentos!$F:$F,Lançamentos!$A:$A,AD$19,Lançamentos!$C:$C,"Telefone e Celular")</f>
        <v>0</v>
      </c>
      <c r="AE56" s="37">
        <f>SUMIFS(Lançamentos!$F:$F,Lançamentos!$A:$A,AE$19,Lançamentos!$C:$C,"Telefone e Celular")</f>
        <v>0</v>
      </c>
      <c r="AF56" s="37">
        <f>SUMIFS(Lançamentos!$F:$F,Lançamentos!$A:$A,AF$19,Lançamentos!$C:$C,"Telefone e Celular")</f>
        <v>0</v>
      </c>
      <c r="AG56" s="37">
        <f>SUMIFS(Lançamentos!$F:$F,Lançamentos!$A:$A,AG$19,Lançamentos!$C:$C,"Telefone e Celular")</f>
        <v>0</v>
      </c>
      <c r="AH56" s="37">
        <f>SUMIFS(Lançamentos!$F:$F,Lançamentos!$A:$A,AH$19,Lançamentos!$C:$C,"Telefone e Celular")</f>
        <v>0</v>
      </c>
      <c r="AI56" s="37">
        <f>SUMIFS(Lançamentos!$F:$F,Lançamentos!$A:$A,AI$19,Lançamentos!$C:$C,"Telefone e Celular")</f>
        <v>0</v>
      </c>
      <c r="AJ56" s="37">
        <f>SUMIFS(Lançamentos!$F:$F,Lançamentos!$A:$A,AJ$19,Lançamentos!$C:$C,"Telefone e Celular")</f>
        <v>0</v>
      </c>
      <c r="AK56" s="37">
        <f>SUMIFS(Lançamentos!$F:$F,Lançamentos!$A:$A,AK$19,Lançamentos!$C:$C,"Telefone e Celular")</f>
        <v>0</v>
      </c>
      <c r="AL56" s="37">
        <f>SUMIFS(Lançamentos!$F:$F,Lançamentos!$A:$A,AL$19,Lançamentos!$C:$C,"Telefone e Celular")</f>
        <v>0</v>
      </c>
      <c r="AM56" s="37">
        <f>SUMIFS(Lançamentos!$F:$F,Lançamentos!$A:$A,AM$19,Lançamentos!$C:$C,"Telefone e Celular")</f>
        <v>0</v>
      </c>
      <c r="AN56" s="37">
        <f>SUMIFS(Lançamentos!$F:$F,Lançamentos!$A:$A,AN$19,Lançamentos!$C:$C,"Telefone e Celular")</f>
        <v>0</v>
      </c>
      <c r="AO56" s="37">
        <f>SUMIFS(Lançamentos!$F:$F,Lançamentos!$A:$A,AO$19,Lançamentos!$C:$C,"Telefone e Celular")</f>
        <v>0</v>
      </c>
      <c r="AP56" s="37">
        <f>SUMIFS(Lançamentos!$F:$F,Lançamentos!$A:$A,AP$19,Lançamentos!$C:$C,"Telefone e Celular")</f>
        <v>0</v>
      </c>
      <c r="AQ56" s="37">
        <f>SUMIFS(Lançamentos!$F:$F,Lançamentos!$A:$A,AQ$19,Lançamentos!$C:$C,"Telefone e Celular")</f>
        <v>0</v>
      </c>
      <c r="AR56" s="37">
        <f>SUMIFS(Lançamentos!$F:$F,Lançamentos!$A:$A,AR$19,Lançamentos!$C:$C,"Telefone e Celular")</f>
        <v>0</v>
      </c>
      <c r="AS56" s="37">
        <f>SUMIFS(Lançamentos!$F:$F,Lançamentos!$A:$A,AS$19,Lançamentos!$C:$C,"Telefone e Celular")</f>
        <v>0</v>
      </c>
      <c r="AT56" s="37">
        <f>SUMIFS(Lançamentos!$F:$F,Lançamentos!$A:$A,AT$19,Lançamentos!$C:$C,"Telefone e Celular")</f>
        <v>0</v>
      </c>
      <c r="AU56" s="37">
        <f>SUMIFS(Lançamentos!$F:$F,Lançamentos!$A:$A,AU$19,Lançamentos!$C:$C,"Telefone e Celular")</f>
        <v>0</v>
      </c>
      <c r="AV56" s="37">
        <f>SUMIFS(Lançamentos!$F:$F,Lançamentos!$A:$A,AV$19,Lançamentos!$C:$C,"Telefone e Celular")</f>
        <v>0</v>
      </c>
      <c r="AW56" s="37">
        <f>SUMIFS(Lançamentos!$F:$F,Lançamentos!$A:$A,AW$19,Lançamentos!$C:$C,"Telefone e Celular")</f>
        <v>0</v>
      </c>
      <c r="AX56" s="37">
        <f>SUMIFS(Lançamentos!$F:$F,Lançamentos!$A:$A,AX$19,Lançamentos!$C:$C,"Telefone e Celular")</f>
        <v>0</v>
      </c>
      <c r="AY56" s="37">
        <f>SUMIFS(Lançamentos!$F:$F,Lançamentos!$A:$A,AY$19,Lançamentos!$C:$C,"Telefone e Celular")</f>
        <v>0</v>
      </c>
      <c r="AZ56" s="37">
        <f>SUMIFS(Lançamentos!$F:$F,Lançamentos!$A:$A,AZ$19,Lançamentos!$C:$C,"Telefone e Celular")</f>
        <v>0</v>
      </c>
      <c r="BA56" s="37">
        <f>SUMIFS(Lançamentos!$F:$F,Lançamentos!$A:$A,BA$19,Lançamentos!$C:$C,"Telefone e Celular")</f>
        <v>0</v>
      </c>
      <c r="BB56" s="37">
        <f>SUMIFS(Lançamentos!$F:$F,Lançamentos!$A:$A,BB$19,Lançamentos!$C:$C,"Telefone e Celular")</f>
        <v>0</v>
      </c>
      <c r="BC56" s="37">
        <f>SUMIFS(Lançamentos!$F:$F,Lançamentos!$A:$A,BC$19,Lançamentos!$C:$C,"Telefone e Celular")</f>
        <v>0</v>
      </c>
      <c r="BD56" s="37">
        <f>SUMIFS(Lançamentos!$F:$F,Lançamentos!$A:$A,BD$19,Lançamentos!$C:$C,"Telefone e Celular")</f>
        <v>0</v>
      </c>
      <c r="BE56" s="37">
        <f>SUMIFS(Lançamentos!$F:$F,Lançamentos!$A:$A,BE$19,Lançamentos!$C:$C,"Telefone e Celular")</f>
        <v>0</v>
      </c>
      <c r="BF56" s="37">
        <f>SUMIFS(Lançamentos!$F:$F,Lançamentos!$A:$A,BF$19,Lançamentos!$C:$C,"Telefone e Celular")</f>
        <v>0</v>
      </c>
      <c r="BG56" s="37">
        <f>SUMIFS(Lançamentos!$F:$F,Lançamentos!$A:$A,BG$19,Lançamentos!$C:$C,"Telefone e Celular")</f>
        <v>0</v>
      </c>
      <c r="BH56" s="37">
        <f>SUMIFS(Lançamentos!$F:$F,Lançamentos!$A:$A,BH$19,Lançamentos!$C:$C,"Telefone e Celular")</f>
        <v>0</v>
      </c>
      <c r="BI56" s="37">
        <f>SUMIFS(Lançamentos!$F:$F,Lançamentos!$A:$A,BI$19,Lançamentos!$C:$C,"Telefone e Celular")</f>
        <v>0</v>
      </c>
      <c r="BJ56" s="37">
        <f>SUMIFS(Lançamentos!$F:$F,Lançamentos!$A:$A,BJ$19,Lançamentos!$C:$C,"Telefone e Celular")</f>
        <v>0</v>
      </c>
      <c r="BK56" s="37">
        <f>SUMIFS(Lançamentos!$F:$F,Lançamentos!$A:$A,BK$19,Lançamentos!$C:$C,"Telefone e Celular")</f>
        <v>0</v>
      </c>
      <c r="BL56" s="37">
        <f>SUMIFS(Lançamentos!$F:$F,Lançamentos!$A:$A,BL$19,Lançamentos!$C:$C,"Telefone e Celular")</f>
        <v>0</v>
      </c>
      <c r="BM56" s="37">
        <f>SUMIFS(Lançamentos!$F:$F,Lançamentos!$A:$A,BM$19,Lançamentos!$C:$C,"Telefone e Celular")</f>
        <v>0</v>
      </c>
      <c r="BN56" s="37">
        <f>SUMIFS(Lançamentos!$F:$F,Lançamentos!$A:$A,BN$19,Lançamentos!$C:$C,"Telefone e Celular")</f>
        <v>0</v>
      </c>
      <c r="BO56" s="37">
        <f>SUMIFS(Lançamentos!$F:$F,Lançamentos!$A:$A,BO$19,Lançamentos!$C:$C,"Telefone e Celular")</f>
        <v>0</v>
      </c>
      <c r="BP56" s="37">
        <f>SUMIFS(Lançamentos!$F:$F,Lançamentos!$A:$A,BP$19,Lançamentos!$C:$C,"Telefone e Celular")</f>
        <v>0</v>
      </c>
      <c r="BQ56" s="37">
        <f>SUMIFS(Lançamentos!$F:$F,Lançamentos!$A:$A,BQ$19,Lançamentos!$C:$C,"Telefone e Celular")</f>
        <v>0</v>
      </c>
      <c r="BR56" s="37">
        <f>SUMIFS(Lançamentos!$F:$F,Lançamentos!$A:$A,BR$19,Lançamentos!$C:$C,"Telefone e Celular")</f>
        <v>0</v>
      </c>
      <c r="BS56" s="37">
        <f>SUMIFS(Lançamentos!$F:$F,Lançamentos!$A:$A,BS$19,Lançamentos!$C:$C,"Telefone e Celular")</f>
        <v>0</v>
      </c>
      <c r="BT56" s="37">
        <f>SUMIFS(Lançamentos!$F:$F,Lançamentos!$A:$A,BT$19,Lançamentos!$C:$C,"Telefone e Celular")</f>
        <v>0</v>
      </c>
      <c r="BU56" s="37">
        <f>SUMIFS(Lançamentos!$F:$F,Lançamentos!$A:$A,BU$19,Lançamentos!$C:$C,"Telefone e Celular")</f>
        <v>0</v>
      </c>
      <c r="BV56" s="37">
        <f>SUMIFS(Lançamentos!$F:$F,Lançamentos!$A:$A,BV$19,Lançamentos!$C:$C,"Telefone e Celular")</f>
        <v>0</v>
      </c>
      <c r="BW56" s="37">
        <f>SUMIFS(Lançamentos!$F:$F,Lançamentos!$A:$A,BW$19,Lançamentos!$C:$C,"Telefone e Celular")</f>
        <v>0</v>
      </c>
      <c r="BX56" s="37">
        <f>SUMIFS(Lançamentos!$F:$F,Lançamentos!$A:$A,BX$19,Lançamentos!$C:$C,"Telefone e Celular")</f>
        <v>0</v>
      </c>
      <c r="BY56" s="37">
        <f>SUMIFS(Lançamentos!$F:$F,Lançamentos!$A:$A,BY$19,Lançamentos!$C:$C,"Telefone e Celular")</f>
        <v>0</v>
      </c>
      <c r="BZ56" s="37">
        <f>SUMIFS(Lançamentos!$F:$F,Lançamentos!$A:$A,BZ$19,Lançamentos!$C:$C,"Telefone e Celular")</f>
        <v>0</v>
      </c>
      <c r="CA56" s="37">
        <f>SUMIFS(Lançamentos!$F:$F,Lançamentos!$A:$A,CA$19,Lançamentos!$C:$C,"Telefone e Celular")</f>
        <v>0</v>
      </c>
      <c r="CB56" s="37">
        <f>SUMIFS(Lançamentos!$F:$F,Lançamentos!$A:$A,CB$19,Lançamentos!$C:$C,"Telefone e Celular")</f>
        <v>0</v>
      </c>
      <c r="CC56" s="37">
        <f>SUMIFS(Lançamentos!$F:$F,Lançamentos!$A:$A,CC$19,Lançamentos!$C:$C,"Telefone e Celular")</f>
        <v>0</v>
      </c>
      <c r="CD56" s="37">
        <f>SUMIFS(Lançamentos!$F:$F,Lançamentos!$A:$A,CD$19,Lançamentos!$C:$C,"Telefone e Celular")</f>
        <v>0</v>
      </c>
      <c r="CE56" s="37">
        <f>SUMIFS(Lançamentos!$F:$F,Lançamentos!$A:$A,CE$19,Lançamentos!$C:$C,"Telefone e Celular")</f>
        <v>0</v>
      </c>
      <c r="CF56" s="37">
        <f>SUMIFS(Lançamentos!$F:$F,Lançamentos!$A:$A,CF$19,Lançamentos!$C:$C,"Telefone e Celular")</f>
        <v>0</v>
      </c>
      <c r="CG56" s="37">
        <f>SUMIFS(Lançamentos!$F:$F,Lançamentos!$A:$A,CG$19,Lançamentos!$C:$C,"Telefone e Celular")</f>
        <v>0</v>
      </c>
      <c r="CH56" s="37">
        <f>SUMIFS(Lançamentos!$F:$F,Lançamentos!$A:$A,CH$19,Lançamentos!$C:$C,"Telefone e Celular")</f>
        <v>0</v>
      </c>
      <c r="CI56" s="37">
        <f>SUMIFS(Lançamentos!$F:$F,Lançamentos!$A:$A,CI$19,Lançamentos!$C:$C,"Telefone e Celular")</f>
        <v>0</v>
      </c>
      <c r="CJ56" s="37">
        <f>SUMIFS(Lançamentos!$F:$F,Lançamentos!$A:$A,CJ$19,Lançamentos!$C:$C,"Telefone e Celular")</f>
        <v>0</v>
      </c>
      <c r="CK56" s="37">
        <f>SUMIFS(Lançamentos!$F:$F,Lançamentos!$A:$A,CK$19,Lançamentos!$C:$C,"Telefone e Celular")</f>
        <v>0</v>
      </c>
      <c r="CL56" s="37">
        <f>SUMIFS(Lançamentos!$F:$F,Lançamentos!$A:$A,CL$19,Lançamentos!$C:$C,"Telefone e Celular")</f>
        <v>0</v>
      </c>
      <c r="CM56" s="37">
        <f>SUMIFS(Lançamentos!$F:$F,Lançamentos!$A:$A,CM$19,Lançamentos!$C:$C,"Telefone e Celular")</f>
        <v>0</v>
      </c>
      <c r="CN56" s="37">
        <f>SUMIFS(Lançamentos!$F:$F,Lançamentos!$A:$A,CN$19,Lançamentos!$C:$C,"Telefone e Celular")</f>
        <v>0</v>
      </c>
      <c r="CO56" s="37">
        <f>SUMIFS(Lançamentos!$F:$F,Lançamentos!$A:$A,CO$19,Lançamentos!$C:$C,"Telefone e Celular")</f>
        <v>0</v>
      </c>
      <c r="CP56" s="37">
        <f>SUMIFS(Lançamentos!$F:$F,Lançamentos!$A:$A,CP$19,Lançamentos!$C:$C,"Telefone e Celular")</f>
        <v>0</v>
      </c>
      <c r="CQ56" s="37">
        <f>SUMIFS(Lançamentos!$F:$F,Lançamentos!$A:$A,CQ$19,Lançamentos!$C:$C,"Telefone e Celular")</f>
        <v>0</v>
      </c>
      <c r="CR56" s="37">
        <f>SUMIFS(Lançamentos!$F:$F,Lançamentos!$A:$A,CR$19,Lançamentos!$C:$C,"Telefone e Celular")</f>
        <v>0</v>
      </c>
      <c r="CS56" s="37">
        <f>SUMIFS(Lançamentos!$F:$F,Lançamentos!$A:$A,CS$19,Lançamentos!$C:$C,"Telefone e Celular")</f>
        <v>0</v>
      </c>
      <c r="CT56" s="37">
        <f>SUMIFS(Lançamentos!$F:$F,Lançamentos!$A:$A,CT$19,Lançamentos!$C:$C,"Telefone e Celular")</f>
        <v>0</v>
      </c>
      <c r="CU56" s="37">
        <f>SUMIFS(Lançamentos!$F:$F,Lançamentos!$A:$A,CU$19,Lançamentos!$C:$C,"Telefone e Celular")</f>
        <v>0</v>
      </c>
      <c r="CV56" s="37">
        <f>SUMIFS(Lançamentos!$F:$F,Lançamentos!$A:$A,CV$19,Lançamentos!$C:$C,"Telefone e Celular")</f>
        <v>0</v>
      </c>
      <c r="CW56" s="37">
        <f>SUMIFS(Lançamentos!$F:$F,Lançamentos!$A:$A,CW$19,Lançamentos!$C:$C,"Telefone e Celular")</f>
        <v>0</v>
      </c>
      <c r="CX56" s="37">
        <f>SUMIFS(Lançamentos!$F:$F,Lançamentos!$A:$A,CX$19,Lançamentos!$C:$C,"Telefone e Celular")</f>
        <v>0</v>
      </c>
      <c r="CY56" s="37">
        <f>SUMIFS(Lançamentos!$F:$F,Lançamentos!$A:$A,CY$19,Lançamentos!$C:$C,"Telefone e Celular")</f>
        <v>0</v>
      </c>
      <c r="CZ56" s="37">
        <f>SUMIFS(Lançamentos!$F:$F,Lançamentos!$A:$A,CZ$19,Lançamentos!$C:$C,"Telefone e Celular")</f>
        <v>0</v>
      </c>
      <c r="DA56" s="37">
        <f>SUMIFS(Lançamentos!$F:$F,Lançamentos!$A:$A,DA$19,Lançamentos!$C:$C,"Telefone e Celular")</f>
        <v>0</v>
      </c>
      <c r="DB56" s="37">
        <f>SUMIFS(Lançamentos!$F:$F,Lançamentos!$A:$A,DB$19,Lançamentos!$C:$C,"Telefone e Celular")</f>
        <v>0</v>
      </c>
      <c r="DC56" s="37">
        <f>SUMIFS(Lançamentos!$F:$F,Lançamentos!$A:$A,DC$19,Lançamentos!$C:$C,"Telefone e Celular")</f>
        <v>0</v>
      </c>
      <c r="DD56" s="37">
        <f>SUMIFS(Lançamentos!$F:$F,Lançamentos!$A:$A,DD$19,Lançamentos!$C:$C,"Telefone e Celular")</f>
        <v>0</v>
      </c>
      <c r="DE56" s="37">
        <f>SUMIFS(Lançamentos!$F:$F,Lançamentos!$A:$A,DE$19,Lançamentos!$C:$C,"Telefone e Celular")</f>
        <v>0</v>
      </c>
      <c r="DF56" s="37">
        <f>SUMIFS(Lançamentos!$F:$F,Lançamentos!$A:$A,DF$19,Lançamentos!$C:$C,"Telefone e Celular")</f>
        <v>0</v>
      </c>
      <c r="DG56" s="37">
        <f>SUMIFS(Lançamentos!$F:$F,Lançamentos!$A:$A,DG$19,Lançamentos!$C:$C,"Telefone e Celular")</f>
        <v>0</v>
      </c>
      <c r="DH56" s="37">
        <f>SUMIFS(Lançamentos!$F:$F,Lançamentos!$A:$A,DH$19,Lançamentos!$C:$C,"Telefone e Celular")</f>
        <v>0</v>
      </c>
      <c r="DI56" s="37">
        <f>SUMIFS(Lançamentos!$F:$F,Lançamentos!$A:$A,DI$19,Lançamentos!$C:$C,"Telefone e Celular")</f>
        <v>0</v>
      </c>
      <c r="DJ56" s="37">
        <f>SUMIFS(Lançamentos!$F:$F,Lançamentos!$A:$A,DJ$19,Lançamentos!$C:$C,"Telefone e Celular")</f>
        <v>0</v>
      </c>
      <c r="DK56" s="37">
        <f>SUMIFS(Lançamentos!$F:$F,Lançamentos!$A:$A,DK$19,Lançamentos!$C:$C,"Telefone e Celular")</f>
        <v>0</v>
      </c>
      <c r="DL56" s="37">
        <f>SUMIFS(Lançamentos!$F:$F,Lançamentos!$A:$A,DL$19,Lançamentos!$C:$C,"Telefone e Celular")</f>
        <v>0</v>
      </c>
      <c r="DM56" s="37">
        <f>SUMIFS(Lançamentos!$F:$F,Lançamentos!$A:$A,DM$19,Lançamentos!$C:$C,"Telefone e Celular")</f>
        <v>0</v>
      </c>
      <c r="DN56" s="37">
        <f>SUMIFS(Lançamentos!$F:$F,Lançamentos!$A:$A,DN$19,Lançamentos!$C:$C,"Telefone e Celular")</f>
        <v>0</v>
      </c>
      <c r="DO56" s="37">
        <f>SUMIFS(Lançamentos!$F:$F,Lançamentos!$A:$A,DO$19,Lançamentos!$C:$C,"Telefone e Celular")</f>
        <v>0</v>
      </c>
      <c r="DP56" s="37">
        <f>SUMIFS(Lançamentos!$F:$F,Lançamentos!$A:$A,DP$19,Lançamentos!$C:$C,"Telefone e Celular")</f>
        <v>0</v>
      </c>
      <c r="DQ56" s="37">
        <f>SUMIFS(Lançamentos!$F:$F,Lançamentos!$A:$A,DQ$19,Lançamentos!$C:$C,"Telefone e Celular")</f>
        <v>0</v>
      </c>
      <c r="DR56" s="37">
        <f>SUMIFS(Lançamentos!$F:$F,Lançamentos!$A:$A,DR$19,Lançamentos!$C:$C,"Telefone e Celular")</f>
        <v>0</v>
      </c>
      <c r="DS56" s="37">
        <f>SUMIFS(Lançamentos!$F:$F,Lançamentos!$A:$A,DS$19,Lançamentos!$C:$C,"Telefone e Celular")</f>
        <v>0</v>
      </c>
      <c r="DT56" s="37">
        <f>SUMIFS(Lançamentos!$F:$F,Lançamentos!$A:$A,DT$19,Lançamentos!$C:$C,"Telefone e Celular")</f>
        <v>0</v>
      </c>
      <c r="DU56" s="37">
        <f>SUMIFS(Lançamentos!$F:$F,Lançamentos!$A:$A,DU$19,Lançamentos!$C:$C,"Telefone e Celular")</f>
        <v>0</v>
      </c>
      <c r="DV56" s="37">
        <f>SUMIFS(Lançamentos!$F:$F,Lançamentos!$A:$A,DV$19,Lançamentos!$C:$C,"Telefone e Celular")</f>
        <v>0</v>
      </c>
      <c r="DW56" s="37">
        <f>SUMIFS(Lançamentos!$F:$F,Lançamentos!$A:$A,DW$19,Lançamentos!$C:$C,"Telefone e Celular")</f>
        <v>0</v>
      </c>
      <c r="DX56" s="37">
        <f>SUMIFS(Lançamentos!$F:$F,Lançamentos!$A:$A,DX$19,Lançamentos!$C:$C,"Telefone e Celular")</f>
        <v>0</v>
      </c>
      <c r="DY56" s="37">
        <f>SUMIFS(Lançamentos!$F:$F,Lançamentos!$A:$A,DY$19,Lançamentos!$C:$C,"Telefone e Celular")</f>
        <v>0</v>
      </c>
      <c r="DZ56" s="37">
        <f>SUMIFS(Lançamentos!$F:$F,Lançamentos!$A:$A,DZ$19,Lançamentos!$C:$C,"Telefone e Celular")</f>
        <v>0</v>
      </c>
      <c r="EA56" s="37">
        <f>SUMIFS(Lançamentos!$F:$F,Lançamentos!$A:$A,EA$19,Lançamentos!$C:$C,"Telefone e Celular")</f>
        <v>0</v>
      </c>
      <c r="EB56" s="37">
        <f>SUMIFS(Lançamentos!$F:$F,Lançamentos!$A:$A,EB$19,Lançamentos!$C:$C,"Telefone e Celular")</f>
        <v>0</v>
      </c>
      <c r="EC56" s="37">
        <f>SUMIFS(Lançamentos!$F:$F,Lançamentos!$A:$A,EC$19,Lançamentos!$C:$C,"Telefone e Celular")</f>
        <v>0</v>
      </c>
      <c r="ED56" s="37">
        <f>SUMIFS(Lançamentos!$F:$F,Lançamentos!$A:$A,ED$19,Lançamentos!$C:$C,"Telefone e Celular")</f>
        <v>0</v>
      </c>
      <c r="EE56" s="37">
        <f>SUMIFS(Lançamentos!$F:$F,Lançamentos!$A:$A,EE$19,Lançamentos!$C:$C,"Telefone e Celular")</f>
        <v>0</v>
      </c>
      <c r="EF56" s="37">
        <f>SUMIFS(Lançamentos!$F:$F,Lançamentos!$A:$A,EF$19,Lançamentos!$C:$C,"Telefone e Celular")</f>
        <v>0</v>
      </c>
      <c r="EG56" s="37">
        <f>SUMIFS(Lançamentos!$F:$F,Lançamentos!$A:$A,EG$19,Lançamentos!$C:$C,"Telefone e Celular")</f>
        <v>0</v>
      </c>
      <c r="EH56" s="37">
        <f>SUMIFS(Lançamentos!$F:$F,Lançamentos!$A:$A,EH$19,Lançamentos!$C:$C,"Telefone e Celular")</f>
        <v>0</v>
      </c>
      <c r="EI56" s="37">
        <f>SUMIFS(Lançamentos!$F:$F,Lançamentos!$A:$A,EI$19,Lançamentos!$C:$C,"Telefone e Celular")</f>
        <v>0</v>
      </c>
      <c r="EJ56" s="37">
        <f>SUMIFS(Lançamentos!$F:$F,Lançamentos!$A:$A,EJ$19,Lançamentos!$C:$C,"Telefone e Celular")</f>
        <v>0</v>
      </c>
      <c r="EK56" s="37">
        <f>SUMIFS(Lançamentos!$F:$F,Lançamentos!$A:$A,EK$19,Lançamentos!$C:$C,"Telefone e Celular")</f>
        <v>0</v>
      </c>
      <c r="EL56" s="37">
        <f>SUMIFS(Lançamentos!$F:$F,Lançamentos!$A:$A,EL$19,Lançamentos!$C:$C,"Telefone e Celular")</f>
        <v>0</v>
      </c>
      <c r="EM56" s="37">
        <f>SUMIFS(Lançamentos!$F:$F,Lançamentos!$A:$A,EM$19,Lançamentos!$C:$C,"Telefone e Celular")</f>
        <v>0</v>
      </c>
      <c r="EN56" s="37">
        <f>SUMIFS(Lançamentos!$F:$F,Lançamentos!$A:$A,EN$19,Lançamentos!$C:$C,"Telefone e Celular")</f>
        <v>0</v>
      </c>
      <c r="EO56" s="37">
        <f>SUMIFS(Lançamentos!$F:$F,Lançamentos!$A:$A,EO$19,Lançamentos!$C:$C,"Telefone e Celular")</f>
        <v>0</v>
      </c>
      <c r="EP56" s="37">
        <f>SUMIFS(Lançamentos!$F:$F,Lançamentos!$A:$A,EP$19,Lançamentos!$C:$C,"Telefone e Celular")</f>
        <v>0</v>
      </c>
      <c r="EQ56" s="37">
        <f>SUMIFS(Lançamentos!$F:$F,Lançamentos!$A:$A,EQ$19,Lançamentos!$C:$C,"Telefone e Celular")</f>
        <v>0</v>
      </c>
      <c r="ER56" s="37">
        <f>SUMIFS(Lançamentos!$F:$F,Lançamentos!$A:$A,ER$19,Lançamentos!$C:$C,"Telefone e Celular")</f>
        <v>0</v>
      </c>
      <c r="ES56" s="37">
        <f>SUMIFS(Lançamentos!$F:$F,Lançamentos!$A:$A,ES$19,Lançamentos!$C:$C,"Telefone e Celular")</f>
        <v>0</v>
      </c>
      <c r="ET56" s="37">
        <f>SUMIFS(Lançamentos!$F:$F,Lançamentos!$A:$A,ET$19,Lançamentos!$C:$C,"Telefone e Celular")</f>
        <v>0</v>
      </c>
      <c r="EU56" s="37">
        <f>SUMIFS(Lançamentos!$F:$F,Lançamentos!$A:$A,EU$19,Lançamentos!$C:$C,"Telefone e Celular")</f>
        <v>0</v>
      </c>
      <c r="EV56" s="37">
        <f>SUMIFS(Lançamentos!$F:$F,Lançamentos!$A:$A,EV$19,Lançamentos!$C:$C,"Telefone e Celular")</f>
        <v>0</v>
      </c>
      <c r="EW56" s="37">
        <f>SUMIFS(Lançamentos!$F:$F,Lançamentos!$A:$A,EW$19,Lançamentos!$C:$C,"Telefone e Celular")</f>
        <v>0</v>
      </c>
      <c r="EX56" s="37">
        <f>SUMIFS(Lançamentos!$F:$F,Lançamentos!$A:$A,EX$19,Lançamentos!$C:$C,"Telefone e Celular")</f>
        <v>0</v>
      </c>
      <c r="EY56" s="37">
        <f>SUMIFS(Lançamentos!$F:$F,Lançamentos!$A:$A,EY$19,Lançamentos!$C:$C,"Telefone e Celular")</f>
        <v>0</v>
      </c>
      <c r="EZ56" s="37">
        <f>SUMIFS(Lançamentos!$F:$F,Lançamentos!$A:$A,EZ$19,Lançamentos!$C:$C,"Telefone e Celular")</f>
        <v>0</v>
      </c>
      <c r="FA56" s="37">
        <f>SUMIFS(Lançamentos!$F:$F,Lançamentos!$A:$A,FA$19,Lançamentos!$C:$C,"Telefone e Celular")</f>
        <v>0</v>
      </c>
      <c r="FB56" s="37">
        <f>SUMIFS(Lançamentos!$F:$F,Lançamentos!$A:$A,FB$19,Lançamentos!$C:$C,"Telefone e Celular")</f>
        <v>0</v>
      </c>
      <c r="FC56" s="37">
        <f>SUMIFS(Lançamentos!$F:$F,Lançamentos!$A:$A,FC$19,Lançamentos!$C:$C,"Telefone e Celular")</f>
        <v>0</v>
      </c>
      <c r="FD56" s="37">
        <f>SUMIFS(Lançamentos!$F:$F,Lançamentos!$A:$A,FD$19,Lançamentos!$C:$C,"Telefone e Celular")</f>
        <v>0</v>
      </c>
      <c r="FE56" s="37">
        <f>SUMIFS(Lançamentos!$F:$F,Lançamentos!$A:$A,FE$19,Lançamentos!$C:$C,"Telefone e Celular")</f>
        <v>0</v>
      </c>
      <c r="FF56" s="37">
        <f>SUMIFS(Lançamentos!$F:$F,Lançamentos!$A:$A,FF$19,Lançamentos!$C:$C,"Telefone e Celular")</f>
        <v>0</v>
      </c>
      <c r="FG56" s="37">
        <f>SUMIFS(Lançamentos!$F:$F,Lançamentos!$A:$A,FG$19,Lançamentos!$C:$C,"Telefone e Celular")</f>
        <v>0</v>
      </c>
      <c r="FH56" s="37">
        <f>SUMIFS(Lançamentos!$F:$F,Lançamentos!$A:$A,FH$19,Lançamentos!$C:$C,"Telefone e Celular")</f>
        <v>0</v>
      </c>
      <c r="FI56" s="37">
        <f>SUMIFS(Lançamentos!$F:$F,Lançamentos!$A:$A,FI$19,Lançamentos!$C:$C,"Telefone e Celular")</f>
        <v>0</v>
      </c>
      <c r="FJ56" s="37">
        <f>SUMIFS(Lançamentos!$F:$F,Lançamentos!$A:$A,FJ$19,Lançamentos!$C:$C,"Telefone e Celular")</f>
        <v>0</v>
      </c>
      <c r="FK56" s="37">
        <f>SUMIFS(Lançamentos!$F:$F,Lançamentos!$A:$A,FK$19,Lançamentos!$C:$C,"Telefone e Celular")</f>
        <v>0</v>
      </c>
      <c r="FL56" s="37">
        <f>SUMIFS(Lançamentos!$F:$F,Lançamentos!$A:$A,FL$19,Lançamentos!$C:$C,"Telefone e Celular")</f>
        <v>0</v>
      </c>
      <c r="FM56" s="37">
        <f>SUMIFS(Lançamentos!$F:$F,Lançamentos!$A:$A,FM$19,Lançamentos!$C:$C,"Telefone e Celular")</f>
        <v>0</v>
      </c>
      <c r="FN56" s="37">
        <f>SUMIFS(Lançamentos!$F:$F,Lançamentos!$A:$A,FN$19,Lançamentos!$C:$C,"Telefone e Celular")</f>
        <v>0</v>
      </c>
      <c r="FO56" s="37">
        <f>SUMIFS(Lançamentos!$F:$F,Lançamentos!$A:$A,FO$19,Lançamentos!$C:$C,"Telefone e Celular")</f>
        <v>0</v>
      </c>
      <c r="FP56" s="37">
        <f>SUMIFS(Lançamentos!$F:$F,Lançamentos!$A:$A,FP$19,Lançamentos!$C:$C,"Telefone e Celular")</f>
        <v>0</v>
      </c>
      <c r="FQ56" s="37">
        <f>SUMIFS(Lançamentos!$F:$F,Lançamentos!$A:$A,FQ$19,Lançamentos!$C:$C,"Telefone e Celular")</f>
        <v>0</v>
      </c>
      <c r="FR56" s="37">
        <f>SUMIFS(Lançamentos!$F:$F,Lançamentos!$A:$A,FR$19,Lançamentos!$C:$C,"Telefone e Celular")</f>
        <v>0</v>
      </c>
      <c r="FS56" s="37">
        <f>SUMIFS(Lançamentos!$F:$F,Lançamentos!$A:$A,FS$19,Lançamentos!$C:$C,"Telefone e Celular")</f>
        <v>0</v>
      </c>
      <c r="FT56" s="37">
        <f>SUMIFS(Lançamentos!$F:$F,Lançamentos!$A:$A,FT$19,Lançamentos!$C:$C,"Telefone e Celular")</f>
        <v>0</v>
      </c>
      <c r="FU56" s="37">
        <f>SUMIFS(Lançamentos!$F:$F,Lançamentos!$A:$A,FU$19,Lançamentos!$C:$C,"Telefone e Celular")</f>
        <v>0</v>
      </c>
      <c r="FV56" s="37">
        <f>SUMIFS(Lançamentos!$F:$F,Lançamentos!$A:$A,FV$19,Lançamentos!$C:$C,"Telefone e Celular")</f>
        <v>0</v>
      </c>
      <c r="FW56" s="37">
        <f>SUMIFS(Lançamentos!$F:$F,Lançamentos!$A:$A,FW$19,Lançamentos!$C:$C,"Telefone e Celular")</f>
        <v>0</v>
      </c>
      <c r="FX56" s="37">
        <f>SUMIFS(Lançamentos!$F:$F,Lançamentos!$A:$A,FX$19,Lançamentos!$C:$C,"Telefone e Celular")</f>
        <v>0</v>
      </c>
      <c r="FY56" s="37">
        <f>SUMIFS(Lançamentos!$F:$F,Lançamentos!$A:$A,FY$19,Lançamentos!$C:$C,"Telefone e Celular")</f>
        <v>0</v>
      </c>
      <c r="FZ56" s="37">
        <f>SUMIFS(Lançamentos!$F:$F,Lançamentos!$A:$A,FZ$19,Lançamentos!$C:$C,"Telefone e Celular")</f>
        <v>0</v>
      </c>
      <c r="GA56" s="37">
        <f>SUMIFS(Lançamentos!$F:$F,Lançamentos!$A:$A,GA$19,Lançamentos!$C:$C,"Telefone e Celular")</f>
        <v>0</v>
      </c>
      <c r="GB56" s="37">
        <f>SUMIFS(Lançamentos!$F:$F,Lançamentos!$A:$A,GB$19,Lançamentos!$C:$C,"Telefone e Celular")</f>
        <v>0</v>
      </c>
      <c r="GC56" s="37">
        <f>SUMIFS(Lançamentos!$F:$F,Lançamentos!$A:$A,GC$19,Lançamentos!$C:$C,"Telefone e Celular")</f>
        <v>0</v>
      </c>
      <c r="GD56" s="37">
        <f>SUMIFS(Lançamentos!$F:$F,Lançamentos!$A:$A,GD$19,Lançamentos!$C:$C,"Telefone e Celular")</f>
        <v>0</v>
      </c>
      <c r="GE56" s="37">
        <f>SUMIFS(Lançamentos!$F:$F,Lançamentos!$A:$A,GE$19,Lançamentos!$C:$C,"Telefone e Celular")</f>
        <v>0</v>
      </c>
      <c r="GF56" s="37">
        <f>SUMIFS(Lançamentos!$F:$F,Lançamentos!$A:$A,GF$19,Lançamentos!$C:$C,"Telefone e Celular")</f>
        <v>0</v>
      </c>
      <c r="GG56" s="37">
        <f>SUMIFS(Lançamentos!$F:$F,Lançamentos!$A:$A,GG$19,Lançamentos!$C:$C,"Telefone e Celular")</f>
        <v>0</v>
      </c>
      <c r="GH56" s="37">
        <f>SUMIFS(Lançamentos!$F:$F,Lançamentos!$A:$A,GH$19,Lançamentos!$C:$C,"Telefone e Celular")</f>
        <v>0</v>
      </c>
      <c r="GI56" s="37">
        <f>SUMIFS(Lançamentos!$F:$F,Lançamentos!$A:$A,GI$19,Lançamentos!$C:$C,"Telefone e Celular")</f>
        <v>0</v>
      </c>
      <c r="GJ56" s="37">
        <f>SUMIFS(Lançamentos!$F:$F,Lançamentos!$A:$A,GJ$19,Lançamentos!$C:$C,"Telefone e Celular")</f>
        <v>0</v>
      </c>
      <c r="GK56" s="37">
        <f>SUMIFS(Lançamentos!$F:$F,Lançamentos!$A:$A,GK$19,Lançamentos!$C:$C,"Telefone e Celular")</f>
        <v>0</v>
      </c>
      <c r="GL56" s="37">
        <f>SUMIFS(Lançamentos!$F:$F,Lançamentos!$A:$A,GL$19,Lançamentos!$C:$C,"Telefone e Celular")</f>
        <v>0</v>
      </c>
      <c r="GM56" s="37">
        <f>SUMIFS(Lançamentos!$F:$F,Lançamentos!$A:$A,GM$19,Lançamentos!$C:$C,"Telefone e Celular")</f>
        <v>0</v>
      </c>
      <c r="GN56" s="37">
        <f>SUMIFS(Lançamentos!$F:$F,Lançamentos!$A:$A,GN$19,Lançamentos!$C:$C,"Telefone e Celular")</f>
        <v>0</v>
      </c>
      <c r="GO56" s="37">
        <f>SUMIFS(Lançamentos!$F:$F,Lançamentos!$A:$A,GO$19,Lançamentos!$C:$C,"Telefone e Celular")</f>
        <v>0</v>
      </c>
      <c r="GP56" s="37">
        <f>SUMIFS(Lançamentos!$F:$F,Lançamentos!$A:$A,GP$19,Lançamentos!$C:$C,"Telefone e Celular")</f>
        <v>0</v>
      </c>
      <c r="GQ56" s="37">
        <f>SUMIFS(Lançamentos!$F:$F,Lançamentos!$A:$A,GQ$19,Lançamentos!$C:$C,"Telefone e Celular")</f>
        <v>0</v>
      </c>
      <c r="GR56" s="37">
        <f>SUMIFS(Lançamentos!$F:$F,Lançamentos!$A:$A,GR$19,Lançamentos!$C:$C,"Telefone e Celular")</f>
        <v>0</v>
      </c>
      <c r="GS56" s="37">
        <f>SUMIFS(Lançamentos!$F:$F,Lançamentos!$A:$A,GS$19,Lançamentos!$C:$C,"Telefone e Celular")</f>
        <v>0</v>
      </c>
      <c r="GT56" s="37">
        <f>SUMIFS(Lançamentos!$F:$F,Lançamentos!$A:$A,GT$19,Lançamentos!$C:$C,"Telefone e Celular")</f>
        <v>0</v>
      </c>
      <c r="GU56" s="37">
        <f>SUMIFS(Lançamentos!$F:$F,Lançamentos!$A:$A,GU$19,Lançamentos!$C:$C,"Telefone e Celular")</f>
        <v>0</v>
      </c>
      <c r="GV56" s="37">
        <f>SUMIFS(Lançamentos!$F:$F,Lançamentos!$A:$A,GV$19,Lançamentos!$C:$C,"Telefone e Celular")</f>
        <v>0</v>
      </c>
      <c r="GW56" s="37">
        <f>SUMIFS(Lançamentos!$F:$F,Lançamentos!$A:$A,GW$19,Lançamentos!$C:$C,"Telefone e Celular")</f>
        <v>0</v>
      </c>
      <c r="GX56" s="37">
        <f>SUMIFS(Lançamentos!$F:$F,Lançamentos!$A:$A,GX$19,Lançamentos!$C:$C,"Telefone e Celular")</f>
        <v>0</v>
      </c>
      <c r="GY56" s="37">
        <f>SUMIFS(Lançamentos!$F:$F,Lançamentos!$A:$A,GY$19,Lançamentos!$C:$C,"Telefone e Celular")</f>
        <v>0</v>
      </c>
      <c r="GZ56" s="37">
        <f>SUMIFS(Lançamentos!$F:$F,Lançamentos!$A:$A,GZ$19,Lançamentos!$C:$C,"Telefone e Celular")</f>
        <v>0</v>
      </c>
      <c r="HA56" s="37">
        <f>SUMIFS(Lançamentos!$F:$F,Lançamentos!$A:$A,HA$19,Lançamentos!$C:$C,"Telefone e Celular")</f>
        <v>0</v>
      </c>
      <c r="HB56" s="37">
        <f>SUMIFS(Lançamentos!$F:$F,Lançamentos!$A:$A,HB$19,Lançamentos!$C:$C,"Telefone e Celular")</f>
        <v>0</v>
      </c>
      <c r="HC56" s="37">
        <f>SUMIFS(Lançamentos!$F:$F,Lançamentos!$A:$A,HC$19,Lançamentos!$C:$C,"Telefone e Celular")</f>
        <v>0</v>
      </c>
      <c r="HD56" s="37">
        <f>SUMIFS(Lançamentos!$F:$F,Lançamentos!$A:$A,HD$19,Lançamentos!$C:$C,"Telefone e Celular")</f>
        <v>0</v>
      </c>
      <c r="HE56" s="37">
        <f>SUMIFS(Lançamentos!$F:$F,Lançamentos!$A:$A,HE$19,Lançamentos!$C:$C,"Telefone e Celular")</f>
        <v>0</v>
      </c>
      <c r="HF56" s="37">
        <f>SUMIFS(Lançamentos!$F:$F,Lançamentos!$A:$A,HF$19,Lançamentos!$C:$C,"Telefone e Celular")</f>
        <v>0</v>
      </c>
      <c r="HG56" s="37">
        <f>SUMIFS(Lançamentos!$F:$F,Lançamentos!$A:$A,HG$19,Lançamentos!$C:$C,"Telefone e Celular")</f>
        <v>0</v>
      </c>
      <c r="HH56" s="37">
        <f>SUMIFS(Lançamentos!$F:$F,Lançamentos!$A:$A,HH$19,Lançamentos!$C:$C,"Telefone e Celular")</f>
        <v>0</v>
      </c>
      <c r="HI56" s="37">
        <f>SUMIFS(Lançamentos!$F:$F,Lançamentos!$A:$A,HI$19,Lançamentos!$C:$C,"Telefone e Celular")</f>
        <v>0</v>
      </c>
      <c r="HJ56" s="37">
        <f>SUMIFS(Lançamentos!$F:$F,Lançamentos!$A:$A,HJ$19,Lançamentos!$C:$C,"Telefone e Celular")</f>
        <v>0</v>
      </c>
      <c r="HK56" s="37">
        <f>SUMIFS(Lançamentos!$F:$F,Lançamentos!$A:$A,HK$19,Lançamentos!$C:$C,"Telefone e Celular")</f>
        <v>0</v>
      </c>
      <c r="HL56" s="37">
        <f>SUMIFS(Lançamentos!$F:$F,Lançamentos!$A:$A,HL$19,Lançamentos!$C:$C,"Telefone e Celular")</f>
        <v>0</v>
      </c>
      <c r="HM56" s="37">
        <f>SUMIFS(Lançamentos!$F:$F,Lançamentos!$A:$A,HM$19,Lançamentos!$C:$C,"Telefone e Celular")</f>
        <v>0</v>
      </c>
      <c r="HN56" s="37">
        <f>SUMIFS(Lançamentos!$F:$F,Lançamentos!$A:$A,HN$19,Lançamentos!$C:$C,"Telefone e Celular")</f>
        <v>0</v>
      </c>
      <c r="HO56" s="37">
        <f>SUMIFS(Lançamentos!$F:$F,Lançamentos!$A:$A,HO$19,Lançamentos!$C:$C,"Telefone e Celular")</f>
        <v>0</v>
      </c>
      <c r="HP56" s="37">
        <f>SUMIFS(Lançamentos!$F:$F,Lançamentos!$A:$A,HP$19,Lançamentos!$C:$C,"Telefone e Celular")</f>
        <v>0</v>
      </c>
      <c r="HQ56" s="37">
        <f>SUMIFS(Lançamentos!$F:$F,Lançamentos!$A:$A,HQ$19,Lançamentos!$C:$C,"Telefone e Celular")</f>
        <v>0</v>
      </c>
      <c r="HR56" s="37">
        <f>SUMIFS(Lançamentos!$F:$F,Lançamentos!$A:$A,HR$19,Lançamentos!$C:$C,"Telefone e Celular")</f>
        <v>0</v>
      </c>
      <c r="HS56" s="37">
        <f>SUMIFS(Lançamentos!$F:$F,Lançamentos!$A:$A,HS$19,Lançamentos!$C:$C,"Telefone e Celular")</f>
        <v>0</v>
      </c>
      <c r="HT56" s="37">
        <f>SUMIFS(Lançamentos!$F:$F,Lançamentos!$A:$A,HT$19,Lançamentos!$C:$C,"Telefone e Celular")</f>
        <v>0</v>
      </c>
      <c r="HU56" s="37">
        <f>SUMIFS(Lançamentos!$F:$F,Lançamentos!$A:$A,HU$19,Lançamentos!$C:$C,"Telefone e Celular")</f>
        <v>0</v>
      </c>
      <c r="HV56" s="37">
        <f>SUMIFS(Lançamentos!$F:$F,Lançamentos!$A:$A,HV$19,Lançamentos!$C:$C,"Telefone e Celular")</f>
        <v>0</v>
      </c>
      <c r="HW56" s="37">
        <f>SUMIFS(Lançamentos!$F:$F,Lançamentos!$A:$A,HW$19,Lançamentos!$C:$C,"Telefone e Celular")</f>
        <v>0</v>
      </c>
      <c r="HX56" s="37">
        <f>SUMIFS(Lançamentos!$F:$F,Lançamentos!$A:$A,HX$19,Lançamentos!$C:$C,"Telefone e Celular")</f>
        <v>0</v>
      </c>
      <c r="HY56" s="37">
        <f>SUMIFS(Lançamentos!$F:$F,Lançamentos!$A:$A,HY$19,Lançamentos!$C:$C,"Telefone e Celular")</f>
        <v>0</v>
      </c>
      <c r="HZ56" s="37">
        <f>SUMIFS(Lançamentos!$F:$F,Lançamentos!$A:$A,HZ$19,Lançamentos!$C:$C,"Telefone e Celular")</f>
        <v>0</v>
      </c>
      <c r="IA56" s="37">
        <f>SUMIFS(Lançamentos!$F:$F,Lançamentos!$A:$A,IA$19,Lançamentos!$C:$C,"Telefone e Celular")</f>
        <v>0</v>
      </c>
      <c r="IB56" s="37">
        <f>SUMIFS(Lançamentos!$F:$F,Lançamentos!$A:$A,IB$19,Lançamentos!$C:$C,"Telefone e Celular")</f>
        <v>0</v>
      </c>
      <c r="IC56" s="37">
        <f>SUMIFS(Lançamentos!$F:$F,Lançamentos!$A:$A,IC$19,Lançamentos!$C:$C,"Telefone e Celular")</f>
        <v>0</v>
      </c>
      <c r="ID56" s="37">
        <f>SUMIFS(Lançamentos!$F:$F,Lançamentos!$A:$A,ID$19,Lançamentos!$C:$C,"Telefone e Celular")</f>
        <v>0</v>
      </c>
      <c r="IE56" s="37">
        <f>SUMIFS(Lançamentos!$F:$F,Lançamentos!$A:$A,IE$19,Lançamentos!$C:$C,"Telefone e Celular")</f>
        <v>0</v>
      </c>
      <c r="IF56" s="37">
        <f>SUMIFS(Lançamentos!$F:$F,Lançamentos!$A:$A,IF$19,Lançamentos!$C:$C,"Telefone e Celular")</f>
        <v>0</v>
      </c>
      <c r="IG56" s="37">
        <f>SUMIFS(Lançamentos!$F:$F,Lançamentos!$A:$A,IG$19,Lançamentos!$C:$C,"Telefone e Celular")</f>
        <v>0</v>
      </c>
      <c r="IH56" s="37">
        <f>SUMIFS(Lançamentos!$F:$F,Lançamentos!$A:$A,IH$19,Lançamentos!$C:$C,"Telefone e Celular")</f>
        <v>0</v>
      </c>
      <c r="II56" s="37">
        <f>SUMIFS(Lançamentos!$F:$F,Lançamentos!$A:$A,II$19,Lançamentos!$C:$C,"Telefone e Celular")</f>
        <v>0</v>
      </c>
      <c r="IJ56" s="37">
        <f>SUMIFS(Lançamentos!$F:$F,Lançamentos!$A:$A,IJ$19,Lançamentos!$C:$C,"Telefone e Celular")</f>
        <v>0</v>
      </c>
      <c r="IK56" s="37">
        <f>SUMIFS(Lançamentos!$F:$F,Lançamentos!$A:$A,IK$19,Lançamentos!$C:$C,"Telefone e Celular")</f>
        <v>0</v>
      </c>
      <c r="IL56" s="37">
        <f>SUMIFS(Lançamentos!$F:$F,Lançamentos!$A:$A,IL$19,Lançamentos!$C:$C,"Telefone e Celular")</f>
        <v>0</v>
      </c>
    </row>
    <row r="57" spans="1:246" x14ac:dyDescent="0.3">
      <c r="A57" t="s">
        <v>95</v>
      </c>
      <c r="B57" s="37">
        <f>SUMIFS(Lançamentos!$F:$F,Lançamentos!$A:$A,B$19,Lançamentos!$C:$C,"Limpeza e Conservação")</f>
        <v>0</v>
      </c>
      <c r="C57" s="37">
        <f>SUMIFS(Lançamentos!$F:$F,Lançamentos!$A:$A,C$19,Lançamentos!$C:$C,"Limpeza e Conservação")</f>
        <v>0</v>
      </c>
      <c r="D57" s="37">
        <f>SUMIFS(Lançamentos!$F:$F,Lançamentos!$A:$A,D$19,Lançamentos!$C:$C,"Limpeza e Conservação")</f>
        <v>0</v>
      </c>
      <c r="E57" s="37">
        <f>SUMIFS(Lançamentos!$F:$F,Lançamentos!$A:$A,E$19,Lançamentos!$C:$C,"Limpeza e Conservação")</f>
        <v>0</v>
      </c>
      <c r="F57" s="37">
        <f>SUMIFS(Lançamentos!$F:$F,Lançamentos!$A:$A,F$19,Lançamentos!$C:$C,"Limpeza e Conservação")</f>
        <v>0</v>
      </c>
      <c r="G57" s="37">
        <f>SUMIFS(Lançamentos!$F:$F,Lançamentos!$A:$A,G$19,Lançamentos!$C:$C,"Limpeza e Conservação")</f>
        <v>0</v>
      </c>
      <c r="H57" s="37">
        <f>SUMIFS(Lançamentos!$F:$F,Lançamentos!$A:$A,H$19,Lançamentos!$C:$C,"Limpeza e Conservação")</f>
        <v>0</v>
      </c>
      <c r="I57" s="37">
        <f>SUMIFS(Lançamentos!$F:$F,Lançamentos!$A:$A,I$19,Lançamentos!$C:$C,"Limpeza e Conservação")</f>
        <v>0</v>
      </c>
      <c r="J57" s="37">
        <f>SUMIFS(Lançamentos!$F:$F,Lançamentos!$A:$A,J$19,Lançamentos!$C:$C,"Limpeza e Conservação")</f>
        <v>0</v>
      </c>
      <c r="K57" s="37">
        <f>SUMIFS(Lançamentos!$F:$F,Lançamentos!$A:$A,K$19,Lançamentos!$C:$C,"Limpeza e Conservação")</f>
        <v>0</v>
      </c>
      <c r="L57" s="37">
        <f>SUMIFS(Lançamentos!$F:$F,Lançamentos!$A:$A,L$19,Lançamentos!$C:$C,"Limpeza e Conservação")</f>
        <v>0</v>
      </c>
      <c r="M57" s="37">
        <f>SUMIFS(Lançamentos!$F:$F,Lançamentos!$A:$A,M$19,Lançamentos!$C:$C,"Limpeza e Conservação")</f>
        <v>0</v>
      </c>
      <c r="N57" s="37">
        <f>SUMIFS(Lançamentos!$F:$F,Lançamentos!$A:$A,N$19,Lançamentos!$C:$C,"Limpeza e Conservação")</f>
        <v>0</v>
      </c>
      <c r="O57" s="37">
        <f>SUMIFS(Lançamentos!$F:$F,Lançamentos!$A:$A,O$19,Lançamentos!$C:$C,"Limpeza e Conservação")</f>
        <v>0</v>
      </c>
      <c r="P57" s="37">
        <f>SUMIFS(Lançamentos!$F:$F,Lançamentos!$A:$A,P$19,Lançamentos!$C:$C,"Limpeza e Conservação")</f>
        <v>0</v>
      </c>
      <c r="Q57" s="37">
        <f>SUMIFS(Lançamentos!$F:$F,Lançamentos!$A:$A,Q$19,Lançamentos!$C:$C,"Limpeza e Conservação")</f>
        <v>0</v>
      </c>
      <c r="R57" s="37">
        <f>SUMIFS(Lançamentos!$F:$F,Lançamentos!$A:$A,R$19,Lançamentos!$C:$C,"Limpeza e Conservação")</f>
        <v>0</v>
      </c>
      <c r="S57" s="37">
        <f>SUMIFS(Lançamentos!$F:$F,Lançamentos!$A:$A,S$19,Lançamentos!$C:$C,"Limpeza e Conservação")</f>
        <v>0</v>
      </c>
      <c r="T57" s="37">
        <f>SUMIFS(Lançamentos!$F:$F,Lançamentos!$A:$A,T$19,Lançamentos!$C:$C,"Limpeza e Conservação")</f>
        <v>0</v>
      </c>
      <c r="U57" s="37">
        <f>SUMIFS(Lançamentos!$F:$F,Lançamentos!$A:$A,U$19,Lançamentos!$C:$C,"Limpeza e Conservação")</f>
        <v>0</v>
      </c>
      <c r="V57" s="37">
        <f>SUMIFS(Lançamentos!$F:$F,Lançamentos!$A:$A,V$19,Lançamentos!$C:$C,"Limpeza e Conservação")</f>
        <v>0</v>
      </c>
      <c r="W57" s="37">
        <f>SUMIFS(Lançamentos!$F:$F,Lançamentos!$A:$A,W$19,Lançamentos!$C:$C,"Limpeza e Conservação")</f>
        <v>0</v>
      </c>
      <c r="X57" s="37">
        <f>SUMIFS(Lançamentos!$F:$F,Lançamentos!$A:$A,X$19,Lançamentos!$C:$C,"Limpeza e Conservação")</f>
        <v>0</v>
      </c>
      <c r="Y57" s="37">
        <f>SUMIFS(Lançamentos!$F:$F,Lançamentos!$A:$A,Y$19,Lançamentos!$C:$C,"Limpeza e Conservação")</f>
        <v>0</v>
      </c>
      <c r="Z57" s="37">
        <f>SUMIFS(Lançamentos!$F:$F,Lançamentos!$A:$A,Z$19,Lançamentos!$C:$C,"Limpeza e Conservação")</f>
        <v>0</v>
      </c>
      <c r="AA57" s="37">
        <f>SUMIFS(Lançamentos!$F:$F,Lançamentos!$A:$A,AA$19,Lançamentos!$C:$C,"Limpeza e Conservação")</f>
        <v>0</v>
      </c>
      <c r="AB57" s="37">
        <f>SUMIFS(Lançamentos!$F:$F,Lançamentos!$A:$A,AB$19,Lançamentos!$C:$C,"Limpeza e Conservação")</f>
        <v>0</v>
      </c>
      <c r="AC57" s="37">
        <f>SUMIFS(Lançamentos!$F:$F,Lançamentos!$A:$A,AC$19,Lançamentos!$C:$C,"Limpeza e Conservação")</f>
        <v>0</v>
      </c>
      <c r="AD57" s="37">
        <f>SUMIFS(Lançamentos!$F:$F,Lançamentos!$A:$A,AD$19,Lançamentos!$C:$C,"Limpeza e Conservação")</f>
        <v>0</v>
      </c>
      <c r="AE57" s="37">
        <f>SUMIFS(Lançamentos!$F:$F,Lançamentos!$A:$A,AE$19,Lançamentos!$C:$C,"Limpeza e Conservação")</f>
        <v>0</v>
      </c>
      <c r="AF57" s="37">
        <f>SUMIFS(Lançamentos!$F:$F,Lançamentos!$A:$A,AF$19,Lançamentos!$C:$C,"Limpeza e Conservação")</f>
        <v>0</v>
      </c>
      <c r="AG57" s="37">
        <f>SUMIFS(Lançamentos!$F:$F,Lançamentos!$A:$A,AG$19,Lançamentos!$C:$C,"Limpeza e Conservação")</f>
        <v>0</v>
      </c>
      <c r="AH57" s="37">
        <f>SUMIFS(Lançamentos!$F:$F,Lançamentos!$A:$A,AH$19,Lançamentos!$C:$C,"Limpeza e Conservação")</f>
        <v>0</v>
      </c>
      <c r="AI57" s="37">
        <f>SUMIFS(Lançamentos!$F:$F,Lançamentos!$A:$A,AI$19,Lançamentos!$C:$C,"Limpeza e Conservação")</f>
        <v>0</v>
      </c>
      <c r="AJ57" s="37">
        <f>SUMIFS(Lançamentos!$F:$F,Lançamentos!$A:$A,AJ$19,Lançamentos!$C:$C,"Limpeza e Conservação")</f>
        <v>0</v>
      </c>
      <c r="AK57" s="37">
        <f>SUMIFS(Lançamentos!$F:$F,Lançamentos!$A:$A,AK$19,Lançamentos!$C:$C,"Limpeza e Conservação")</f>
        <v>0</v>
      </c>
      <c r="AL57" s="37">
        <f>SUMIFS(Lançamentos!$F:$F,Lançamentos!$A:$A,AL$19,Lançamentos!$C:$C,"Limpeza e Conservação")</f>
        <v>0</v>
      </c>
      <c r="AM57" s="37">
        <f>SUMIFS(Lançamentos!$F:$F,Lançamentos!$A:$A,AM$19,Lançamentos!$C:$C,"Limpeza e Conservação")</f>
        <v>0</v>
      </c>
      <c r="AN57" s="37">
        <f>SUMIFS(Lançamentos!$F:$F,Lançamentos!$A:$A,AN$19,Lançamentos!$C:$C,"Limpeza e Conservação")</f>
        <v>0</v>
      </c>
      <c r="AO57" s="37">
        <f>SUMIFS(Lançamentos!$F:$F,Lançamentos!$A:$A,AO$19,Lançamentos!$C:$C,"Limpeza e Conservação")</f>
        <v>0</v>
      </c>
      <c r="AP57" s="37">
        <f>SUMIFS(Lançamentos!$F:$F,Lançamentos!$A:$A,AP$19,Lançamentos!$C:$C,"Limpeza e Conservação")</f>
        <v>0</v>
      </c>
      <c r="AQ57" s="37">
        <f>SUMIFS(Lançamentos!$F:$F,Lançamentos!$A:$A,AQ$19,Lançamentos!$C:$C,"Limpeza e Conservação")</f>
        <v>0</v>
      </c>
      <c r="AR57" s="37">
        <f>SUMIFS(Lançamentos!$F:$F,Lançamentos!$A:$A,AR$19,Lançamentos!$C:$C,"Limpeza e Conservação")</f>
        <v>0</v>
      </c>
      <c r="AS57" s="37">
        <f>SUMIFS(Lançamentos!$F:$F,Lançamentos!$A:$A,AS$19,Lançamentos!$C:$C,"Limpeza e Conservação")</f>
        <v>0</v>
      </c>
      <c r="AT57" s="37">
        <f>SUMIFS(Lançamentos!$F:$F,Lançamentos!$A:$A,AT$19,Lançamentos!$C:$C,"Limpeza e Conservação")</f>
        <v>0</v>
      </c>
      <c r="AU57" s="37">
        <f>SUMIFS(Lançamentos!$F:$F,Lançamentos!$A:$A,AU$19,Lançamentos!$C:$C,"Limpeza e Conservação")</f>
        <v>0</v>
      </c>
      <c r="AV57" s="37">
        <f>SUMIFS(Lançamentos!$F:$F,Lançamentos!$A:$A,AV$19,Lançamentos!$C:$C,"Limpeza e Conservação")</f>
        <v>0</v>
      </c>
      <c r="AW57" s="37">
        <f>SUMIFS(Lançamentos!$F:$F,Lançamentos!$A:$A,AW$19,Lançamentos!$C:$C,"Limpeza e Conservação")</f>
        <v>0</v>
      </c>
      <c r="AX57" s="37">
        <f>SUMIFS(Lançamentos!$F:$F,Lançamentos!$A:$A,AX$19,Lançamentos!$C:$C,"Limpeza e Conservação")</f>
        <v>0</v>
      </c>
      <c r="AY57" s="37">
        <f>SUMIFS(Lançamentos!$F:$F,Lançamentos!$A:$A,AY$19,Lançamentos!$C:$C,"Limpeza e Conservação")</f>
        <v>0</v>
      </c>
      <c r="AZ57" s="37">
        <f>SUMIFS(Lançamentos!$F:$F,Lançamentos!$A:$A,AZ$19,Lançamentos!$C:$C,"Limpeza e Conservação")</f>
        <v>0</v>
      </c>
      <c r="BA57" s="37">
        <f>SUMIFS(Lançamentos!$F:$F,Lançamentos!$A:$A,BA$19,Lançamentos!$C:$C,"Limpeza e Conservação")</f>
        <v>0</v>
      </c>
      <c r="BB57" s="37">
        <f>SUMIFS(Lançamentos!$F:$F,Lançamentos!$A:$A,BB$19,Lançamentos!$C:$C,"Limpeza e Conservação")</f>
        <v>0</v>
      </c>
      <c r="BC57" s="37">
        <f>SUMIFS(Lançamentos!$F:$F,Lançamentos!$A:$A,BC$19,Lançamentos!$C:$C,"Limpeza e Conservação")</f>
        <v>0</v>
      </c>
      <c r="BD57" s="37">
        <f>SUMIFS(Lançamentos!$F:$F,Lançamentos!$A:$A,BD$19,Lançamentos!$C:$C,"Limpeza e Conservação")</f>
        <v>0</v>
      </c>
      <c r="BE57" s="37">
        <f>SUMIFS(Lançamentos!$F:$F,Lançamentos!$A:$A,BE$19,Lançamentos!$C:$C,"Limpeza e Conservação")</f>
        <v>0</v>
      </c>
      <c r="BF57" s="37">
        <f>SUMIFS(Lançamentos!$F:$F,Lançamentos!$A:$A,BF$19,Lançamentos!$C:$C,"Limpeza e Conservação")</f>
        <v>0</v>
      </c>
      <c r="BG57" s="37">
        <f>SUMIFS(Lançamentos!$F:$F,Lançamentos!$A:$A,BG$19,Lançamentos!$C:$C,"Limpeza e Conservação")</f>
        <v>0</v>
      </c>
      <c r="BH57" s="37">
        <f>SUMIFS(Lançamentos!$F:$F,Lançamentos!$A:$A,BH$19,Lançamentos!$C:$C,"Limpeza e Conservação")</f>
        <v>0</v>
      </c>
      <c r="BI57" s="37">
        <f>SUMIFS(Lançamentos!$F:$F,Lançamentos!$A:$A,BI$19,Lançamentos!$C:$C,"Limpeza e Conservação")</f>
        <v>0</v>
      </c>
      <c r="BJ57" s="37">
        <f>SUMIFS(Lançamentos!$F:$F,Lançamentos!$A:$A,BJ$19,Lançamentos!$C:$C,"Limpeza e Conservação")</f>
        <v>0</v>
      </c>
      <c r="BK57" s="37">
        <f>SUMIFS(Lançamentos!$F:$F,Lançamentos!$A:$A,BK$19,Lançamentos!$C:$C,"Limpeza e Conservação")</f>
        <v>0</v>
      </c>
      <c r="BL57" s="37">
        <f>SUMIFS(Lançamentos!$F:$F,Lançamentos!$A:$A,BL$19,Lançamentos!$C:$C,"Limpeza e Conservação")</f>
        <v>0</v>
      </c>
      <c r="BM57" s="37">
        <f>SUMIFS(Lançamentos!$F:$F,Lançamentos!$A:$A,BM$19,Lançamentos!$C:$C,"Limpeza e Conservação")</f>
        <v>0</v>
      </c>
      <c r="BN57" s="37">
        <f>SUMIFS(Lançamentos!$F:$F,Lançamentos!$A:$A,BN$19,Lançamentos!$C:$C,"Limpeza e Conservação")</f>
        <v>0</v>
      </c>
      <c r="BO57" s="37">
        <f>SUMIFS(Lançamentos!$F:$F,Lançamentos!$A:$A,BO$19,Lançamentos!$C:$C,"Limpeza e Conservação")</f>
        <v>0</v>
      </c>
      <c r="BP57" s="37">
        <f>SUMIFS(Lançamentos!$F:$F,Lançamentos!$A:$A,BP$19,Lançamentos!$C:$C,"Limpeza e Conservação")</f>
        <v>0</v>
      </c>
      <c r="BQ57" s="37">
        <f>SUMIFS(Lançamentos!$F:$F,Lançamentos!$A:$A,BQ$19,Lançamentos!$C:$C,"Limpeza e Conservação")</f>
        <v>0</v>
      </c>
      <c r="BR57" s="37">
        <f>SUMIFS(Lançamentos!$F:$F,Lançamentos!$A:$A,BR$19,Lançamentos!$C:$C,"Limpeza e Conservação")</f>
        <v>0</v>
      </c>
      <c r="BS57" s="37">
        <f>SUMIFS(Lançamentos!$F:$F,Lançamentos!$A:$A,BS$19,Lançamentos!$C:$C,"Limpeza e Conservação")</f>
        <v>0</v>
      </c>
      <c r="BT57" s="37">
        <f>SUMIFS(Lançamentos!$F:$F,Lançamentos!$A:$A,BT$19,Lançamentos!$C:$C,"Limpeza e Conservação")</f>
        <v>0</v>
      </c>
      <c r="BU57" s="37">
        <f>SUMIFS(Lançamentos!$F:$F,Lançamentos!$A:$A,BU$19,Lançamentos!$C:$C,"Limpeza e Conservação")</f>
        <v>0</v>
      </c>
      <c r="BV57" s="37">
        <f>SUMIFS(Lançamentos!$F:$F,Lançamentos!$A:$A,BV$19,Lançamentos!$C:$C,"Limpeza e Conservação")</f>
        <v>0</v>
      </c>
      <c r="BW57" s="37">
        <f>SUMIFS(Lançamentos!$F:$F,Lançamentos!$A:$A,BW$19,Lançamentos!$C:$C,"Limpeza e Conservação")</f>
        <v>0</v>
      </c>
      <c r="BX57" s="37">
        <f>SUMIFS(Lançamentos!$F:$F,Lançamentos!$A:$A,BX$19,Lançamentos!$C:$C,"Limpeza e Conservação")</f>
        <v>0</v>
      </c>
      <c r="BY57" s="37">
        <f>SUMIFS(Lançamentos!$F:$F,Lançamentos!$A:$A,BY$19,Lançamentos!$C:$C,"Limpeza e Conservação")</f>
        <v>0</v>
      </c>
      <c r="BZ57" s="37">
        <f>SUMIFS(Lançamentos!$F:$F,Lançamentos!$A:$A,BZ$19,Lançamentos!$C:$C,"Limpeza e Conservação")</f>
        <v>0</v>
      </c>
      <c r="CA57" s="37">
        <f>SUMIFS(Lançamentos!$F:$F,Lançamentos!$A:$A,CA$19,Lançamentos!$C:$C,"Limpeza e Conservação")</f>
        <v>0</v>
      </c>
      <c r="CB57" s="37">
        <f>SUMIFS(Lançamentos!$F:$F,Lançamentos!$A:$A,CB$19,Lançamentos!$C:$C,"Limpeza e Conservação")</f>
        <v>0</v>
      </c>
      <c r="CC57" s="37">
        <f>SUMIFS(Lançamentos!$F:$F,Lançamentos!$A:$A,CC$19,Lançamentos!$C:$C,"Limpeza e Conservação")</f>
        <v>0</v>
      </c>
      <c r="CD57" s="37">
        <f>SUMIFS(Lançamentos!$F:$F,Lançamentos!$A:$A,CD$19,Lançamentos!$C:$C,"Limpeza e Conservação")</f>
        <v>0</v>
      </c>
      <c r="CE57" s="37">
        <f>SUMIFS(Lançamentos!$F:$F,Lançamentos!$A:$A,CE$19,Lançamentos!$C:$C,"Limpeza e Conservação")</f>
        <v>0</v>
      </c>
      <c r="CF57" s="37">
        <f>SUMIFS(Lançamentos!$F:$F,Lançamentos!$A:$A,CF$19,Lançamentos!$C:$C,"Limpeza e Conservação")</f>
        <v>0</v>
      </c>
      <c r="CG57" s="37">
        <f>SUMIFS(Lançamentos!$F:$F,Lançamentos!$A:$A,CG$19,Lançamentos!$C:$C,"Limpeza e Conservação")</f>
        <v>0</v>
      </c>
      <c r="CH57" s="37">
        <f>SUMIFS(Lançamentos!$F:$F,Lançamentos!$A:$A,CH$19,Lançamentos!$C:$C,"Limpeza e Conservação")</f>
        <v>0</v>
      </c>
      <c r="CI57" s="37">
        <f>SUMIFS(Lançamentos!$F:$F,Lançamentos!$A:$A,CI$19,Lançamentos!$C:$C,"Limpeza e Conservação")</f>
        <v>0</v>
      </c>
      <c r="CJ57" s="37">
        <f>SUMIFS(Lançamentos!$F:$F,Lançamentos!$A:$A,CJ$19,Lançamentos!$C:$C,"Limpeza e Conservação")</f>
        <v>0</v>
      </c>
      <c r="CK57" s="37">
        <f>SUMIFS(Lançamentos!$F:$F,Lançamentos!$A:$A,CK$19,Lançamentos!$C:$C,"Limpeza e Conservação")</f>
        <v>0</v>
      </c>
      <c r="CL57" s="37">
        <f>SUMIFS(Lançamentos!$F:$F,Lançamentos!$A:$A,CL$19,Lançamentos!$C:$C,"Limpeza e Conservação")</f>
        <v>0</v>
      </c>
      <c r="CM57" s="37">
        <f>SUMIFS(Lançamentos!$F:$F,Lançamentos!$A:$A,CM$19,Lançamentos!$C:$C,"Limpeza e Conservação")</f>
        <v>0</v>
      </c>
      <c r="CN57" s="37">
        <f>SUMIFS(Lançamentos!$F:$F,Lançamentos!$A:$A,CN$19,Lançamentos!$C:$C,"Limpeza e Conservação")</f>
        <v>0</v>
      </c>
      <c r="CO57" s="37">
        <f>SUMIFS(Lançamentos!$F:$F,Lançamentos!$A:$A,CO$19,Lançamentos!$C:$C,"Limpeza e Conservação")</f>
        <v>0</v>
      </c>
      <c r="CP57" s="37">
        <f>SUMIFS(Lançamentos!$F:$F,Lançamentos!$A:$A,CP$19,Lançamentos!$C:$C,"Limpeza e Conservação")</f>
        <v>0</v>
      </c>
      <c r="CQ57" s="37">
        <f>SUMIFS(Lançamentos!$F:$F,Lançamentos!$A:$A,CQ$19,Lançamentos!$C:$C,"Limpeza e Conservação")</f>
        <v>0</v>
      </c>
      <c r="CR57" s="37">
        <f>SUMIFS(Lançamentos!$F:$F,Lançamentos!$A:$A,CR$19,Lançamentos!$C:$C,"Limpeza e Conservação")</f>
        <v>0</v>
      </c>
      <c r="CS57" s="37">
        <f>SUMIFS(Lançamentos!$F:$F,Lançamentos!$A:$A,CS$19,Lançamentos!$C:$C,"Limpeza e Conservação")</f>
        <v>0</v>
      </c>
      <c r="CT57" s="37">
        <f>SUMIFS(Lançamentos!$F:$F,Lançamentos!$A:$A,CT$19,Lançamentos!$C:$C,"Limpeza e Conservação")</f>
        <v>0</v>
      </c>
      <c r="CU57" s="37">
        <f>SUMIFS(Lançamentos!$F:$F,Lançamentos!$A:$A,CU$19,Lançamentos!$C:$C,"Limpeza e Conservação")</f>
        <v>0</v>
      </c>
      <c r="CV57" s="37">
        <f>SUMIFS(Lançamentos!$F:$F,Lançamentos!$A:$A,CV$19,Lançamentos!$C:$C,"Limpeza e Conservação")</f>
        <v>0</v>
      </c>
      <c r="CW57" s="37">
        <f>SUMIFS(Lançamentos!$F:$F,Lançamentos!$A:$A,CW$19,Lançamentos!$C:$C,"Limpeza e Conservação")</f>
        <v>0</v>
      </c>
      <c r="CX57" s="37">
        <f>SUMIFS(Lançamentos!$F:$F,Lançamentos!$A:$A,CX$19,Lançamentos!$C:$C,"Limpeza e Conservação")</f>
        <v>0</v>
      </c>
      <c r="CY57" s="37">
        <f>SUMIFS(Lançamentos!$F:$F,Lançamentos!$A:$A,CY$19,Lançamentos!$C:$C,"Limpeza e Conservação")</f>
        <v>0</v>
      </c>
      <c r="CZ57" s="37">
        <f>SUMIFS(Lançamentos!$F:$F,Lançamentos!$A:$A,CZ$19,Lançamentos!$C:$C,"Limpeza e Conservação")</f>
        <v>0</v>
      </c>
      <c r="DA57" s="37">
        <f>SUMIFS(Lançamentos!$F:$F,Lançamentos!$A:$A,DA$19,Lançamentos!$C:$C,"Limpeza e Conservação")</f>
        <v>0</v>
      </c>
      <c r="DB57" s="37">
        <f>SUMIFS(Lançamentos!$F:$F,Lançamentos!$A:$A,DB$19,Lançamentos!$C:$C,"Limpeza e Conservação")</f>
        <v>0</v>
      </c>
      <c r="DC57" s="37">
        <f>SUMIFS(Lançamentos!$F:$F,Lançamentos!$A:$A,DC$19,Lançamentos!$C:$C,"Limpeza e Conservação")</f>
        <v>0</v>
      </c>
      <c r="DD57" s="37">
        <f>SUMIFS(Lançamentos!$F:$F,Lançamentos!$A:$A,DD$19,Lançamentos!$C:$C,"Limpeza e Conservação")</f>
        <v>0</v>
      </c>
      <c r="DE57" s="37">
        <f>SUMIFS(Lançamentos!$F:$F,Lançamentos!$A:$A,DE$19,Lançamentos!$C:$C,"Limpeza e Conservação")</f>
        <v>0</v>
      </c>
      <c r="DF57" s="37">
        <f>SUMIFS(Lançamentos!$F:$F,Lançamentos!$A:$A,DF$19,Lançamentos!$C:$C,"Limpeza e Conservação")</f>
        <v>0</v>
      </c>
      <c r="DG57" s="37">
        <f>SUMIFS(Lançamentos!$F:$F,Lançamentos!$A:$A,DG$19,Lançamentos!$C:$C,"Limpeza e Conservação")</f>
        <v>0</v>
      </c>
      <c r="DH57" s="37">
        <f>SUMIFS(Lançamentos!$F:$F,Lançamentos!$A:$A,DH$19,Lançamentos!$C:$C,"Limpeza e Conservação")</f>
        <v>0</v>
      </c>
      <c r="DI57" s="37">
        <f>SUMIFS(Lançamentos!$F:$F,Lançamentos!$A:$A,DI$19,Lançamentos!$C:$C,"Limpeza e Conservação")</f>
        <v>0</v>
      </c>
      <c r="DJ57" s="37">
        <f>SUMIFS(Lançamentos!$F:$F,Lançamentos!$A:$A,DJ$19,Lançamentos!$C:$C,"Limpeza e Conservação")</f>
        <v>0</v>
      </c>
      <c r="DK57" s="37">
        <f>SUMIFS(Lançamentos!$F:$F,Lançamentos!$A:$A,DK$19,Lançamentos!$C:$C,"Limpeza e Conservação")</f>
        <v>0</v>
      </c>
      <c r="DL57" s="37">
        <f>SUMIFS(Lançamentos!$F:$F,Lançamentos!$A:$A,DL$19,Lançamentos!$C:$C,"Limpeza e Conservação")</f>
        <v>0</v>
      </c>
      <c r="DM57" s="37">
        <f>SUMIFS(Lançamentos!$F:$F,Lançamentos!$A:$A,DM$19,Lançamentos!$C:$C,"Limpeza e Conservação")</f>
        <v>0</v>
      </c>
      <c r="DN57" s="37">
        <f>SUMIFS(Lançamentos!$F:$F,Lançamentos!$A:$A,DN$19,Lançamentos!$C:$C,"Limpeza e Conservação")</f>
        <v>0</v>
      </c>
      <c r="DO57" s="37">
        <f>SUMIFS(Lançamentos!$F:$F,Lançamentos!$A:$A,DO$19,Lançamentos!$C:$C,"Limpeza e Conservação")</f>
        <v>0</v>
      </c>
      <c r="DP57" s="37">
        <f>SUMIFS(Lançamentos!$F:$F,Lançamentos!$A:$A,DP$19,Lançamentos!$C:$C,"Limpeza e Conservação")</f>
        <v>0</v>
      </c>
      <c r="DQ57" s="37">
        <f>SUMIFS(Lançamentos!$F:$F,Lançamentos!$A:$A,DQ$19,Lançamentos!$C:$C,"Limpeza e Conservação")</f>
        <v>0</v>
      </c>
      <c r="DR57" s="37">
        <f>SUMIFS(Lançamentos!$F:$F,Lançamentos!$A:$A,DR$19,Lançamentos!$C:$C,"Limpeza e Conservação")</f>
        <v>0</v>
      </c>
      <c r="DS57" s="37">
        <f>SUMIFS(Lançamentos!$F:$F,Lançamentos!$A:$A,DS$19,Lançamentos!$C:$C,"Limpeza e Conservação")</f>
        <v>0</v>
      </c>
      <c r="DT57" s="37">
        <f>SUMIFS(Lançamentos!$F:$F,Lançamentos!$A:$A,DT$19,Lançamentos!$C:$C,"Limpeza e Conservação")</f>
        <v>0</v>
      </c>
      <c r="DU57" s="37">
        <f>SUMIFS(Lançamentos!$F:$F,Lançamentos!$A:$A,DU$19,Lançamentos!$C:$C,"Limpeza e Conservação")</f>
        <v>0</v>
      </c>
      <c r="DV57" s="37">
        <f>SUMIFS(Lançamentos!$F:$F,Lançamentos!$A:$A,DV$19,Lançamentos!$C:$C,"Limpeza e Conservação")</f>
        <v>0</v>
      </c>
      <c r="DW57" s="37">
        <f>SUMIFS(Lançamentos!$F:$F,Lançamentos!$A:$A,DW$19,Lançamentos!$C:$C,"Limpeza e Conservação")</f>
        <v>0</v>
      </c>
      <c r="DX57" s="37">
        <f>SUMIFS(Lançamentos!$F:$F,Lançamentos!$A:$A,DX$19,Lançamentos!$C:$C,"Limpeza e Conservação")</f>
        <v>0</v>
      </c>
      <c r="DY57" s="37">
        <f>SUMIFS(Lançamentos!$F:$F,Lançamentos!$A:$A,DY$19,Lançamentos!$C:$C,"Limpeza e Conservação")</f>
        <v>0</v>
      </c>
      <c r="DZ57" s="37">
        <f>SUMIFS(Lançamentos!$F:$F,Lançamentos!$A:$A,DZ$19,Lançamentos!$C:$C,"Limpeza e Conservação")</f>
        <v>0</v>
      </c>
      <c r="EA57" s="37">
        <f>SUMIFS(Lançamentos!$F:$F,Lançamentos!$A:$A,EA$19,Lançamentos!$C:$C,"Limpeza e Conservação")</f>
        <v>0</v>
      </c>
      <c r="EB57" s="37">
        <f>SUMIFS(Lançamentos!$F:$F,Lançamentos!$A:$A,EB$19,Lançamentos!$C:$C,"Limpeza e Conservação")</f>
        <v>0</v>
      </c>
      <c r="EC57" s="37">
        <f>SUMIFS(Lançamentos!$F:$F,Lançamentos!$A:$A,EC$19,Lançamentos!$C:$C,"Limpeza e Conservação")</f>
        <v>0</v>
      </c>
      <c r="ED57" s="37">
        <f>SUMIFS(Lançamentos!$F:$F,Lançamentos!$A:$A,ED$19,Lançamentos!$C:$C,"Limpeza e Conservação")</f>
        <v>0</v>
      </c>
      <c r="EE57" s="37">
        <f>SUMIFS(Lançamentos!$F:$F,Lançamentos!$A:$A,EE$19,Lançamentos!$C:$C,"Limpeza e Conservação")</f>
        <v>0</v>
      </c>
      <c r="EF57" s="37">
        <f>SUMIFS(Lançamentos!$F:$F,Lançamentos!$A:$A,EF$19,Lançamentos!$C:$C,"Limpeza e Conservação")</f>
        <v>0</v>
      </c>
      <c r="EG57" s="37">
        <f>SUMIFS(Lançamentos!$F:$F,Lançamentos!$A:$A,EG$19,Lançamentos!$C:$C,"Limpeza e Conservação")</f>
        <v>0</v>
      </c>
      <c r="EH57" s="37">
        <f>SUMIFS(Lançamentos!$F:$F,Lançamentos!$A:$A,EH$19,Lançamentos!$C:$C,"Limpeza e Conservação")</f>
        <v>0</v>
      </c>
      <c r="EI57" s="37">
        <f>SUMIFS(Lançamentos!$F:$F,Lançamentos!$A:$A,EI$19,Lançamentos!$C:$C,"Limpeza e Conservação")</f>
        <v>0</v>
      </c>
      <c r="EJ57" s="37">
        <f>SUMIFS(Lançamentos!$F:$F,Lançamentos!$A:$A,EJ$19,Lançamentos!$C:$C,"Limpeza e Conservação")</f>
        <v>0</v>
      </c>
      <c r="EK57" s="37">
        <f>SUMIFS(Lançamentos!$F:$F,Lançamentos!$A:$A,EK$19,Lançamentos!$C:$C,"Limpeza e Conservação")</f>
        <v>0</v>
      </c>
      <c r="EL57" s="37">
        <f>SUMIFS(Lançamentos!$F:$F,Lançamentos!$A:$A,EL$19,Lançamentos!$C:$C,"Limpeza e Conservação")</f>
        <v>0</v>
      </c>
      <c r="EM57" s="37">
        <f>SUMIFS(Lançamentos!$F:$F,Lançamentos!$A:$A,EM$19,Lançamentos!$C:$C,"Limpeza e Conservação")</f>
        <v>0</v>
      </c>
      <c r="EN57" s="37">
        <f>SUMIFS(Lançamentos!$F:$F,Lançamentos!$A:$A,EN$19,Lançamentos!$C:$C,"Limpeza e Conservação")</f>
        <v>0</v>
      </c>
      <c r="EO57" s="37">
        <f>SUMIFS(Lançamentos!$F:$F,Lançamentos!$A:$A,EO$19,Lançamentos!$C:$C,"Limpeza e Conservação")</f>
        <v>0</v>
      </c>
      <c r="EP57" s="37">
        <f>SUMIFS(Lançamentos!$F:$F,Lançamentos!$A:$A,EP$19,Lançamentos!$C:$C,"Limpeza e Conservação")</f>
        <v>0</v>
      </c>
      <c r="EQ57" s="37">
        <f>SUMIFS(Lançamentos!$F:$F,Lançamentos!$A:$A,EQ$19,Lançamentos!$C:$C,"Limpeza e Conservação")</f>
        <v>0</v>
      </c>
      <c r="ER57" s="37">
        <f>SUMIFS(Lançamentos!$F:$F,Lançamentos!$A:$A,ER$19,Lançamentos!$C:$C,"Limpeza e Conservação")</f>
        <v>0</v>
      </c>
      <c r="ES57" s="37">
        <f>SUMIFS(Lançamentos!$F:$F,Lançamentos!$A:$A,ES$19,Lançamentos!$C:$C,"Limpeza e Conservação")</f>
        <v>0</v>
      </c>
      <c r="ET57" s="37">
        <f>SUMIFS(Lançamentos!$F:$F,Lançamentos!$A:$A,ET$19,Lançamentos!$C:$C,"Limpeza e Conservação")</f>
        <v>0</v>
      </c>
      <c r="EU57" s="37">
        <f>SUMIFS(Lançamentos!$F:$F,Lançamentos!$A:$A,EU$19,Lançamentos!$C:$C,"Limpeza e Conservação")</f>
        <v>0</v>
      </c>
      <c r="EV57" s="37">
        <f>SUMIFS(Lançamentos!$F:$F,Lançamentos!$A:$A,EV$19,Lançamentos!$C:$C,"Limpeza e Conservação")</f>
        <v>0</v>
      </c>
      <c r="EW57" s="37">
        <f>SUMIFS(Lançamentos!$F:$F,Lançamentos!$A:$A,EW$19,Lançamentos!$C:$C,"Limpeza e Conservação")</f>
        <v>0</v>
      </c>
      <c r="EX57" s="37">
        <f>SUMIFS(Lançamentos!$F:$F,Lançamentos!$A:$A,EX$19,Lançamentos!$C:$C,"Limpeza e Conservação")</f>
        <v>0</v>
      </c>
      <c r="EY57" s="37">
        <f>SUMIFS(Lançamentos!$F:$F,Lançamentos!$A:$A,EY$19,Lançamentos!$C:$C,"Limpeza e Conservação")</f>
        <v>0</v>
      </c>
      <c r="EZ57" s="37">
        <f>SUMIFS(Lançamentos!$F:$F,Lançamentos!$A:$A,EZ$19,Lançamentos!$C:$C,"Limpeza e Conservação")</f>
        <v>0</v>
      </c>
      <c r="FA57" s="37">
        <f>SUMIFS(Lançamentos!$F:$F,Lançamentos!$A:$A,FA$19,Lançamentos!$C:$C,"Limpeza e Conservação")</f>
        <v>0</v>
      </c>
      <c r="FB57" s="37">
        <f>SUMIFS(Lançamentos!$F:$F,Lançamentos!$A:$A,FB$19,Lançamentos!$C:$C,"Limpeza e Conservação")</f>
        <v>0</v>
      </c>
      <c r="FC57" s="37">
        <f>SUMIFS(Lançamentos!$F:$F,Lançamentos!$A:$A,FC$19,Lançamentos!$C:$C,"Limpeza e Conservação")</f>
        <v>0</v>
      </c>
      <c r="FD57" s="37">
        <f>SUMIFS(Lançamentos!$F:$F,Lançamentos!$A:$A,FD$19,Lançamentos!$C:$C,"Limpeza e Conservação")</f>
        <v>0</v>
      </c>
      <c r="FE57" s="37">
        <f>SUMIFS(Lançamentos!$F:$F,Lançamentos!$A:$A,FE$19,Lançamentos!$C:$C,"Limpeza e Conservação")</f>
        <v>0</v>
      </c>
      <c r="FF57" s="37">
        <f>SUMIFS(Lançamentos!$F:$F,Lançamentos!$A:$A,FF$19,Lançamentos!$C:$C,"Limpeza e Conservação")</f>
        <v>0</v>
      </c>
      <c r="FG57" s="37">
        <f>SUMIFS(Lançamentos!$F:$F,Lançamentos!$A:$A,FG$19,Lançamentos!$C:$C,"Limpeza e Conservação")</f>
        <v>0</v>
      </c>
      <c r="FH57" s="37">
        <f>SUMIFS(Lançamentos!$F:$F,Lançamentos!$A:$A,FH$19,Lançamentos!$C:$C,"Limpeza e Conservação")</f>
        <v>0</v>
      </c>
      <c r="FI57" s="37">
        <f>SUMIFS(Lançamentos!$F:$F,Lançamentos!$A:$A,FI$19,Lançamentos!$C:$C,"Limpeza e Conservação")</f>
        <v>0</v>
      </c>
      <c r="FJ57" s="37">
        <f>SUMIFS(Lançamentos!$F:$F,Lançamentos!$A:$A,FJ$19,Lançamentos!$C:$C,"Limpeza e Conservação")</f>
        <v>0</v>
      </c>
      <c r="FK57" s="37">
        <f>SUMIFS(Lançamentos!$F:$F,Lançamentos!$A:$A,FK$19,Lançamentos!$C:$C,"Limpeza e Conservação")</f>
        <v>0</v>
      </c>
      <c r="FL57" s="37">
        <f>SUMIFS(Lançamentos!$F:$F,Lançamentos!$A:$A,FL$19,Lançamentos!$C:$C,"Limpeza e Conservação")</f>
        <v>0</v>
      </c>
      <c r="FM57" s="37">
        <f>SUMIFS(Lançamentos!$F:$F,Lançamentos!$A:$A,FM$19,Lançamentos!$C:$C,"Limpeza e Conservação")</f>
        <v>0</v>
      </c>
      <c r="FN57" s="37">
        <f>SUMIFS(Lançamentos!$F:$F,Lançamentos!$A:$A,FN$19,Lançamentos!$C:$C,"Limpeza e Conservação")</f>
        <v>0</v>
      </c>
      <c r="FO57" s="37">
        <f>SUMIFS(Lançamentos!$F:$F,Lançamentos!$A:$A,FO$19,Lançamentos!$C:$C,"Limpeza e Conservação")</f>
        <v>0</v>
      </c>
      <c r="FP57" s="37">
        <f>SUMIFS(Lançamentos!$F:$F,Lançamentos!$A:$A,FP$19,Lançamentos!$C:$C,"Limpeza e Conservação")</f>
        <v>0</v>
      </c>
      <c r="FQ57" s="37">
        <f>SUMIFS(Lançamentos!$F:$F,Lançamentos!$A:$A,FQ$19,Lançamentos!$C:$C,"Limpeza e Conservação")</f>
        <v>0</v>
      </c>
      <c r="FR57" s="37">
        <f>SUMIFS(Lançamentos!$F:$F,Lançamentos!$A:$A,FR$19,Lançamentos!$C:$C,"Limpeza e Conservação")</f>
        <v>0</v>
      </c>
      <c r="FS57" s="37">
        <f>SUMIFS(Lançamentos!$F:$F,Lançamentos!$A:$A,FS$19,Lançamentos!$C:$C,"Limpeza e Conservação")</f>
        <v>0</v>
      </c>
      <c r="FT57" s="37">
        <f>SUMIFS(Lançamentos!$F:$F,Lançamentos!$A:$A,FT$19,Lançamentos!$C:$C,"Limpeza e Conservação")</f>
        <v>0</v>
      </c>
      <c r="FU57" s="37">
        <f>SUMIFS(Lançamentos!$F:$F,Lançamentos!$A:$A,FU$19,Lançamentos!$C:$C,"Limpeza e Conservação")</f>
        <v>0</v>
      </c>
      <c r="FV57" s="37">
        <f>SUMIFS(Lançamentos!$F:$F,Lançamentos!$A:$A,FV$19,Lançamentos!$C:$C,"Limpeza e Conservação")</f>
        <v>0</v>
      </c>
      <c r="FW57" s="37">
        <f>SUMIFS(Lançamentos!$F:$F,Lançamentos!$A:$A,FW$19,Lançamentos!$C:$C,"Limpeza e Conservação")</f>
        <v>0</v>
      </c>
      <c r="FX57" s="37">
        <f>SUMIFS(Lançamentos!$F:$F,Lançamentos!$A:$A,FX$19,Lançamentos!$C:$C,"Limpeza e Conservação")</f>
        <v>0</v>
      </c>
      <c r="FY57" s="37">
        <f>SUMIFS(Lançamentos!$F:$F,Lançamentos!$A:$A,FY$19,Lançamentos!$C:$C,"Limpeza e Conservação")</f>
        <v>0</v>
      </c>
      <c r="FZ57" s="37">
        <f>SUMIFS(Lançamentos!$F:$F,Lançamentos!$A:$A,FZ$19,Lançamentos!$C:$C,"Limpeza e Conservação")</f>
        <v>0</v>
      </c>
      <c r="GA57" s="37">
        <f>SUMIFS(Lançamentos!$F:$F,Lançamentos!$A:$A,GA$19,Lançamentos!$C:$C,"Limpeza e Conservação")</f>
        <v>0</v>
      </c>
      <c r="GB57" s="37">
        <f>SUMIFS(Lançamentos!$F:$F,Lançamentos!$A:$A,GB$19,Lançamentos!$C:$C,"Limpeza e Conservação")</f>
        <v>0</v>
      </c>
      <c r="GC57" s="37">
        <f>SUMIFS(Lançamentos!$F:$F,Lançamentos!$A:$A,GC$19,Lançamentos!$C:$C,"Limpeza e Conservação")</f>
        <v>0</v>
      </c>
      <c r="GD57" s="37">
        <f>SUMIFS(Lançamentos!$F:$F,Lançamentos!$A:$A,GD$19,Lançamentos!$C:$C,"Limpeza e Conservação")</f>
        <v>0</v>
      </c>
      <c r="GE57" s="37">
        <f>SUMIFS(Lançamentos!$F:$F,Lançamentos!$A:$A,GE$19,Lançamentos!$C:$C,"Limpeza e Conservação")</f>
        <v>0</v>
      </c>
      <c r="GF57" s="37">
        <f>SUMIFS(Lançamentos!$F:$F,Lançamentos!$A:$A,GF$19,Lançamentos!$C:$C,"Limpeza e Conservação")</f>
        <v>0</v>
      </c>
      <c r="GG57" s="37">
        <f>SUMIFS(Lançamentos!$F:$F,Lançamentos!$A:$A,GG$19,Lançamentos!$C:$C,"Limpeza e Conservação")</f>
        <v>0</v>
      </c>
      <c r="GH57" s="37">
        <f>SUMIFS(Lançamentos!$F:$F,Lançamentos!$A:$A,GH$19,Lançamentos!$C:$C,"Limpeza e Conservação")</f>
        <v>0</v>
      </c>
      <c r="GI57" s="37">
        <f>SUMIFS(Lançamentos!$F:$F,Lançamentos!$A:$A,GI$19,Lançamentos!$C:$C,"Limpeza e Conservação")</f>
        <v>0</v>
      </c>
      <c r="GJ57" s="37">
        <f>SUMIFS(Lançamentos!$F:$F,Lançamentos!$A:$A,GJ$19,Lançamentos!$C:$C,"Limpeza e Conservação")</f>
        <v>0</v>
      </c>
      <c r="GK57" s="37">
        <f>SUMIFS(Lançamentos!$F:$F,Lançamentos!$A:$A,GK$19,Lançamentos!$C:$C,"Limpeza e Conservação")</f>
        <v>0</v>
      </c>
      <c r="GL57" s="37">
        <f>SUMIFS(Lançamentos!$F:$F,Lançamentos!$A:$A,GL$19,Lançamentos!$C:$C,"Limpeza e Conservação")</f>
        <v>0</v>
      </c>
      <c r="GM57" s="37">
        <f>SUMIFS(Lançamentos!$F:$F,Lançamentos!$A:$A,GM$19,Lançamentos!$C:$C,"Limpeza e Conservação")</f>
        <v>0</v>
      </c>
      <c r="GN57" s="37">
        <f>SUMIFS(Lançamentos!$F:$F,Lançamentos!$A:$A,GN$19,Lançamentos!$C:$C,"Limpeza e Conservação")</f>
        <v>0</v>
      </c>
      <c r="GO57" s="37">
        <f>SUMIFS(Lançamentos!$F:$F,Lançamentos!$A:$A,GO$19,Lançamentos!$C:$C,"Limpeza e Conservação")</f>
        <v>0</v>
      </c>
      <c r="GP57" s="37">
        <f>SUMIFS(Lançamentos!$F:$F,Lançamentos!$A:$A,GP$19,Lançamentos!$C:$C,"Limpeza e Conservação")</f>
        <v>0</v>
      </c>
      <c r="GQ57" s="37">
        <f>SUMIFS(Lançamentos!$F:$F,Lançamentos!$A:$A,GQ$19,Lançamentos!$C:$C,"Limpeza e Conservação")</f>
        <v>0</v>
      </c>
      <c r="GR57" s="37">
        <f>SUMIFS(Lançamentos!$F:$F,Lançamentos!$A:$A,GR$19,Lançamentos!$C:$C,"Limpeza e Conservação")</f>
        <v>0</v>
      </c>
      <c r="GS57" s="37">
        <f>SUMIFS(Lançamentos!$F:$F,Lançamentos!$A:$A,GS$19,Lançamentos!$C:$C,"Limpeza e Conservação")</f>
        <v>0</v>
      </c>
      <c r="GT57" s="37">
        <f>SUMIFS(Lançamentos!$F:$F,Lançamentos!$A:$A,GT$19,Lançamentos!$C:$C,"Limpeza e Conservação")</f>
        <v>0</v>
      </c>
      <c r="GU57" s="37">
        <f>SUMIFS(Lançamentos!$F:$F,Lançamentos!$A:$A,GU$19,Lançamentos!$C:$C,"Limpeza e Conservação")</f>
        <v>0</v>
      </c>
      <c r="GV57" s="37">
        <f>SUMIFS(Lançamentos!$F:$F,Lançamentos!$A:$A,GV$19,Lançamentos!$C:$C,"Limpeza e Conservação")</f>
        <v>0</v>
      </c>
      <c r="GW57" s="37">
        <f>SUMIFS(Lançamentos!$F:$F,Lançamentos!$A:$A,GW$19,Lançamentos!$C:$C,"Limpeza e Conservação")</f>
        <v>0</v>
      </c>
      <c r="GX57" s="37">
        <f>SUMIFS(Lançamentos!$F:$F,Lançamentos!$A:$A,GX$19,Lançamentos!$C:$C,"Limpeza e Conservação")</f>
        <v>0</v>
      </c>
      <c r="GY57" s="37">
        <f>SUMIFS(Lançamentos!$F:$F,Lançamentos!$A:$A,GY$19,Lançamentos!$C:$C,"Limpeza e Conservação")</f>
        <v>0</v>
      </c>
      <c r="GZ57" s="37">
        <f>SUMIFS(Lançamentos!$F:$F,Lançamentos!$A:$A,GZ$19,Lançamentos!$C:$C,"Limpeza e Conservação")</f>
        <v>0</v>
      </c>
      <c r="HA57" s="37">
        <f>SUMIFS(Lançamentos!$F:$F,Lançamentos!$A:$A,HA$19,Lançamentos!$C:$C,"Limpeza e Conservação")</f>
        <v>0</v>
      </c>
      <c r="HB57" s="37">
        <f>SUMIFS(Lançamentos!$F:$F,Lançamentos!$A:$A,HB$19,Lançamentos!$C:$C,"Limpeza e Conservação")</f>
        <v>0</v>
      </c>
      <c r="HC57" s="37">
        <f>SUMIFS(Lançamentos!$F:$F,Lançamentos!$A:$A,HC$19,Lançamentos!$C:$C,"Limpeza e Conservação")</f>
        <v>0</v>
      </c>
      <c r="HD57" s="37">
        <f>SUMIFS(Lançamentos!$F:$F,Lançamentos!$A:$A,HD$19,Lançamentos!$C:$C,"Limpeza e Conservação")</f>
        <v>0</v>
      </c>
      <c r="HE57" s="37">
        <f>SUMIFS(Lançamentos!$F:$F,Lançamentos!$A:$A,HE$19,Lançamentos!$C:$C,"Limpeza e Conservação")</f>
        <v>0</v>
      </c>
      <c r="HF57" s="37">
        <f>SUMIFS(Lançamentos!$F:$F,Lançamentos!$A:$A,HF$19,Lançamentos!$C:$C,"Limpeza e Conservação")</f>
        <v>0</v>
      </c>
      <c r="HG57" s="37">
        <f>SUMIFS(Lançamentos!$F:$F,Lançamentos!$A:$A,HG$19,Lançamentos!$C:$C,"Limpeza e Conservação")</f>
        <v>0</v>
      </c>
      <c r="HH57" s="37">
        <f>SUMIFS(Lançamentos!$F:$F,Lançamentos!$A:$A,HH$19,Lançamentos!$C:$C,"Limpeza e Conservação")</f>
        <v>0</v>
      </c>
      <c r="HI57" s="37">
        <f>SUMIFS(Lançamentos!$F:$F,Lançamentos!$A:$A,HI$19,Lançamentos!$C:$C,"Limpeza e Conservação")</f>
        <v>0</v>
      </c>
      <c r="HJ57" s="37">
        <f>SUMIFS(Lançamentos!$F:$F,Lançamentos!$A:$A,HJ$19,Lançamentos!$C:$C,"Limpeza e Conservação")</f>
        <v>0</v>
      </c>
      <c r="HK57" s="37">
        <f>SUMIFS(Lançamentos!$F:$F,Lançamentos!$A:$A,HK$19,Lançamentos!$C:$C,"Limpeza e Conservação")</f>
        <v>0</v>
      </c>
      <c r="HL57" s="37">
        <f>SUMIFS(Lançamentos!$F:$F,Lançamentos!$A:$A,HL$19,Lançamentos!$C:$C,"Limpeza e Conservação")</f>
        <v>0</v>
      </c>
      <c r="HM57" s="37">
        <f>SUMIFS(Lançamentos!$F:$F,Lançamentos!$A:$A,HM$19,Lançamentos!$C:$C,"Limpeza e Conservação")</f>
        <v>0</v>
      </c>
      <c r="HN57" s="37">
        <f>SUMIFS(Lançamentos!$F:$F,Lançamentos!$A:$A,HN$19,Lançamentos!$C:$C,"Limpeza e Conservação")</f>
        <v>0</v>
      </c>
      <c r="HO57" s="37">
        <f>SUMIFS(Lançamentos!$F:$F,Lançamentos!$A:$A,HO$19,Lançamentos!$C:$C,"Limpeza e Conservação")</f>
        <v>0</v>
      </c>
      <c r="HP57" s="37">
        <f>SUMIFS(Lançamentos!$F:$F,Lançamentos!$A:$A,HP$19,Lançamentos!$C:$C,"Limpeza e Conservação")</f>
        <v>0</v>
      </c>
      <c r="HQ57" s="37">
        <f>SUMIFS(Lançamentos!$F:$F,Lançamentos!$A:$A,HQ$19,Lançamentos!$C:$C,"Limpeza e Conservação")</f>
        <v>0</v>
      </c>
      <c r="HR57" s="37">
        <f>SUMIFS(Lançamentos!$F:$F,Lançamentos!$A:$A,HR$19,Lançamentos!$C:$C,"Limpeza e Conservação")</f>
        <v>0</v>
      </c>
      <c r="HS57" s="37">
        <f>SUMIFS(Lançamentos!$F:$F,Lançamentos!$A:$A,HS$19,Lançamentos!$C:$C,"Limpeza e Conservação")</f>
        <v>0</v>
      </c>
      <c r="HT57" s="37">
        <f>SUMIFS(Lançamentos!$F:$F,Lançamentos!$A:$A,HT$19,Lançamentos!$C:$C,"Limpeza e Conservação")</f>
        <v>0</v>
      </c>
      <c r="HU57" s="37">
        <f>SUMIFS(Lançamentos!$F:$F,Lançamentos!$A:$A,HU$19,Lançamentos!$C:$C,"Limpeza e Conservação")</f>
        <v>0</v>
      </c>
      <c r="HV57" s="37">
        <f>SUMIFS(Lançamentos!$F:$F,Lançamentos!$A:$A,HV$19,Lançamentos!$C:$C,"Limpeza e Conservação")</f>
        <v>0</v>
      </c>
      <c r="HW57" s="37">
        <f>SUMIFS(Lançamentos!$F:$F,Lançamentos!$A:$A,HW$19,Lançamentos!$C:$C,"Limpeza e Conservação")</f>
        <v>0</v>
      </c>
      <c r="HX57" s="37">
        <f>SUMIFS(Lançamentos!$F:$F,Lançamentos!$A:$A,HX$19,Lançamentos!$C:$C,"Limpeza e Conservação")</f>
        <v>0</v>
      </c>
      <c r="HY57" s="37">
        <f>SUMIFS(Lançamentos!$F:$F,Lançamentos!$A:$A,HY$19,Lançamentos!$C:$C,"Limpeza e Conservação")</f>
        <v>0</v>
      </c>
      <c r="HZ57" s="37">
        <f>SUMIFS(Lançamentos!$F:$F,Lançamentos!$A:$A,HZ$19,Lançamentos!$C:$C,"Limpeza e Conservação")</f>
        <v>0</v>
      </c>
      <c r="IA57" s="37">
        <f>SUMIFS(Lançamentos!$F:$F,Lançamentos!$A:$A,IA$19,Lançamentos!$C:$C,"Limpeza e Conservação")</f>
        <v>0</v>
      </c>
      <c r="IB57" s="37">
        <f>SUMIFS(Lançamentos!$F:$F,Lançamentos!$A:$A,IB$19,Lançamentos!$C:$C,"Limpeza e Conservação")</f>
        <v>0</v>
      </c>
      <c r="IC57" s="37">
        <f>SUMIFS(Lançamentos!$F:$F,Lançamentos!$A:$A,IC$19,Lançamentos!$C:$C,"Limpeza e Conservação")</f>
        <v>0</v>
      </c>
      <c r="ID57" s="37">
        <f>SUMIFS(Lançamentos!$F:$F,Lançamentos!$A:$A,ID$19,Lançamentos!$C:$C,"Limpeza e Conservação")</f>
        <v>0</v>
      </c>
      <c r="IE57" s="37">
        <f>SUMIFS(Lançamentos!$F:$F,Lançamentos!$A:$A,IE$19,Lançamentos!$C:$C,"Limpeza e Conservação")</f>
        <v>0</v>
      </c>
      <c r="IF57" s="37">
        <f>SUMIFS(Lançamentos!$F:$F,Lançamentos!$A:$A,IF$19,Lançamentos!$C:$C,"Limpeza e Conservação")</f>
        <v>0</v>
      </c>
      <c r="IG57" s="37">
        <f>SUMIFS(Lançamentos!$F:$F,Lançamentos!$A:$A,IG$19,Lançamentos!$C:$C,"Limpeza e Conservação")</f>
        <v>0</v>
      </c>
      <c r="IH57" s="37">
        <f>SUMIFS(Lançamentos!$F:$F,Lançamentos!$A:$A,IH$19,Lançamentos!$C:$C,"Limpeza e Conservação")</f>
        <v>0</v>
      </c>
      <c r="II57" s="37">
        <f>SUMIFS(Lançamentos!$F:$F,Lançamentos!$A:$A,II$19,Lançamentos!$C:$C,"Limpeza e Conservação")</f>
        <v>0</v>
      </c>
      <c r="IJ57" s="37">
        <f>SUMIFS(Lançamentos!$F:$F,Lançamentos!$A:$A,IJ$19,Lançamentos!$C:$C,"Limpeza e Conservação")</f>
        <v>0</v>
      </c>
      <c r="IK57" s="37">
        <f>SUMIFS(Lançamentos!$F:$F,Lançamentos!$A:$A,IK$19,Lançamentos!$C:$C,"Limpeza e Conservação")</f>
        <v>0</v>
      </c>
      <c r="IL57" s="37">
        <f>SUMIFS(Lançamentos!$F:$F,Lançamentos!$A:$A,IL$19,Lançamentos!$C:$C,"Limpeza e Conservação")</f>
        <v>0</v>
      </c>
    </row>
    <row r="58" spans="1:246" x14ac:dyDescent="0.3">
      <c r="A58" t="s">
        <v>96</v>
      </c>
      <c r="B58" s="37">
        <f>SUMIFS(Lançamentos!$F:$F,Lançamentos!$A:$A,B$19,Lançamentos!$C:$C,"Seguros")</f>
        <v>0</v>
      </c>
      <c r="C58" s="37">
        <f>SUMIFS(Lançamentos!$F:$F,Lançamentos!$A:$A,C$19,Lançamentos!$C:$C,"Seguros")</f>
        <v>0</v>
      </c>
      <c r="D58" s="37">
        <f>SUMIFS(Lançamentos!$F:$F,Lançamentos!$A:$A,D$19,Lançamentos!$C:$C,"Seguros")</f>
        <v>0</v>
      </c>
      <c r="E58" s="37">
        <f>SUMIFS(Lançamentos!$F:$F,Lançamentos!$A:$A,E$19,Lançamentos!$C:$C,"Seguros")</f>
        <v>0</v>
      </c>
      <c r="F58" s="37">
        <f>SUMIFS(Lançamentos!$F:$F,Lançamentos!$A:$A,F$19,Lançamentos!$C:$C,"Seguros")</f>
        <v>0</v>
      </c>
      <c r="G58" s="37">
        <f>SUMIFS(Lançamentos!$F:$F,Lançamentos!$A:$A,G$19,Lançamentos!$C:$C,"Seguros")</f>
        <v>0</v>
      </c>
      <c r="H58" s="37">
        <f>SUMIFS(Lançamentos!$F:$F,Lançamentos!$A:$A,H$19,Lançamentos!$C:$C,"Seguros")</f>
        <v>0</v>
      </c>
      <c r="I58" s="37">
        <f>SUMIFS(Lançamentos!$F:$F,Lançamentos!$A:$A,I$19,Lançamentos!$C:$C,"Seguros")</f>
        <v>0</v>
      </c>
      <c r="J58" s="37">
        <f>SUMIFS(Lançamentos!$F:$F,Lançamentos!$A:$A,J$19,Lançamentos!$C:$C,"Seguros")</f>
        <v>0</v>
      </c>
      <c r="K58" s="37">
        <f>SUMIFS(Lançamentos!$F:$F,Lançamentos!$A:$A,K$19,Lançamentos!$C:$C,"Seguros")</f>
        <v>0</v>
      </c>
      <c r="L58" s="37">
        <f>SUMIFS(Lançamentos!$F:$F,Lançamentos!$A:$A,L$19,Lançamentos!$C:$C,"Seguros")</f>
        <v>0</v>
      </c>
      <c r="M58" s="37">
        <f>SUMIFS(Lançamentos!$F:$F,Lançamentos!$A:$A,M$19,Lançamentos!$C:$C,"Seguros")</f>
        <v>0</v>
      </c>
      <c r="N58" s="37">
        <f>SUMIFS(Lançamentos!$F:$F,Lançamentos!$A:$A,N$19,Lançamentos!$C:$C,"Seguros")</f>
        <v>0</v>
      </c>
      <c r="O58" s="37">
        <f>SUMIFS(Lançamentos!$F:$F,Lançamentos!$A:$A,O$19,Lançamentos!$C:$C,"Seguros")</f>
        <v>0</v>
      </c>
      <c r="P58" s="37">
        <f>SUMIFS(Lançamentos!$F:$F,Lançamentos!$A:$A,P$19,Lançamentos!$C:$C,"Seguros")</f>
        <v>0</v>
      </c>
      <c r="Q58" s="37">
        <f>SUMIFS(Lançamentos!$F:$F,Lançamentos!$A:$A,Q$19,Lançamentos!$C:$C,"Seguros")</f>
        <v>0</v>
      </c>
      <c r="R58" s="37">
        <f>SUMIFS(Lançamentos!$F:$F,Lançamentos!$A:$A,R$19,Lançamentos!$C:$C,"Seguros")</f>
        <v>0</v>
      </c>
      <c r="S58" s="37">
        <f>SUMIFS(Lançamentos!$F:$F,Lançamentos!$A:$A,S$19,Lançamentos!$C:$C,"Seguros")</f>
        <v>0</v>
      </c>
      <c r="T58" s="37">
        <f>SUMIFS(Lançamentos!$F:$F,Lançamentos!$A:$A,T$19,Lançamentos!$C:$C,"Seguros")</f>
        <v>0</v>
      </c>
      <c r="U58" s="37">
        <f>SUMIFS(Lançamentos!$F:$F,Lançamentos!$A:$A,U$19,Lançamentos!$C:$C,"Seguros")</f>
        <v>0</v>
      </c>
      <c r="V58" s="37">
        <f>SUMIFS(Lançamentos!$F:$F,Lançamentos!$A:$A,V$19,Lançamentos!$C:$C,"Seguros")</f>
        <v>0</v>
      </c>
      <c r="W58" s="37">
        <f>SUMIFS(Lançamentos!$F:$F,Lançamentos!$A:$A,W$19,Lançamentos!$C:$C,"Seguros")</f>
        <v>0</v>
      </c>
      <c r="X58" s="37">
        <f>SUMIFS(Lançamentos!$F:$F,Lançamentos!$A:$A,X$19,Lançamentos!$C:$C,"Seguros")</f>
        <v>0</v>
      </c>
      <c r="Y58" s="37">
        <f>SUMIFS(Lançamentos!$F:$F,Lançamentos!$A:$A,Y$19,Lançamentos!$C:$C,"Seguros")</f>
        <v>0</v>
      </c>
      <c r="Z58" s="37">
        <f>SUMIFS(Lançamentos!$F:$F,Lançamentos!$A:$A,Z$19,Lançamentos!$C:$C,"Seguros")</f>
        <v>0</v>
      </c>
      <c r="AA58" s="37">
        <f>SUMIFS(Lançamentos!$F:$F,Lançamentos!$A:$A,AA$19,Lançamentos!$C:$C,"Seguros")</f>
        <v>0</v>
      </c>
      <c r="AB58" s="37">
        <f>SUMIFS(Lançamentos!$F:$F,Lançamentos!$A:$A,AB$19,Lançamentos!$C:$C,"Seguros")</f>
        <v>0</v>
      </c>
      <c r="AC58" s="37">
        <f>SUMIFS(Lançamentos!$F:$F,Lançamentos!$A:$A,AC$19,Lançamentos!$C:$C,"Seguros")</f>
        <v>0</v>
      </c>
      <c r="AD58" s="37">
        <f>SUMIFS(Lançamentos!$F:$F,Lançamentos!$A:$A,AD$19,Lançamentos!$C:$C,"Seguros")</f>
        <v>0</v>
      </c>
      <c r="AE58" s="37">
        <f>SUMIFS(Lançamentos!$F:$F,Lançamentos!$A:$A,AE$19,Lançamentos!$C:$C,"Seguros")</f>
        <v>0</v>
      </c>
      <c r="AF58" s="37">
        <f>SUMIFS(Lançamentos!$F:$F,Lançamentos!$A:$A,AF$19,Lançamentos!$C:$C,"Seguros")</f>
        <v>0</v>
      </c>
      <c r="AG58" s="37">
        <f>SUMIFS(Lançamentos!$F:$F,Lançamentos!$A:$A,AG$19,Lançamentos!$C:$C,"Seguros")</f>
        <v>-356.9</v>
      </c>
      <c r="AH58" s="37">
        <f>SUMIFS(Lançamentos!$F:$F,Lançamentos!$A:$A,AH$19,Lançamentos!$C:$C,"Seguros")</f>
        <v>0</v>
      </c>
      <c r="AI58" s="37">
        <f>SUMIFS(Lançamentos!$F:$F,Lançamentos!$A:$A,AI$19,Lançamentos!$C:$C,"Seguros")</f>
        <v>0</v>
      </c>
      <c r="AJ58" s="37">
        <f>SUMIFS(Lançamentos!$F:$F,Lançamentos!$A:$A,AJ$19,Lançamentos!$C:$C,"Seguros")</f>
        <v>0</v>
      </c>
      <c r="AK58" s="37">
        <f>SUMIFS(Lançamentos!$F:$F,Lançamentos!$A:$A,AK$19,Lançamentos!$C:$C,"Seguros")</f>
        <v>0</v>
      </c>
      <c r="AL58" s="37">
        <f>SUMIFS(Lançamentos!$F:$F,Lançamentos!$A:$A,AL$19,Lançamentos!$C:$C,"Seguros")</f>
        <v>0</v>
      </c>
      <c r="AM58" s="37">
        <f>SUMIFS(Lançamentos!$F:$F,Lançamentos!$A:$A,AM$19,Lançamentos!$C:$C,"Seguros")</f>
        <v>0</v>
      </c>
      <c r="AN58" s="37">
        <f>SUMIFS(Lançamentos!$F:$F,Lançamentos!$A:$A,AN$19,Lançamentos!$C:$C,"Seguros")</f>
        <v>0</v>
      </c>
      <c r="AO58" s="37">
        <f>SUMIFS(Lançamentos!$F:$F,Lançamentos!$A:$A,AO$19,Lançamentos!$C:$C,"Seguros")</f>
        <v>0</v>
      </c>
      <c r="AP58" s="37">
        <f>SUMIFS(Lançamentos!$F:$F,Lançamentos!$A:$A,AP$19,Lançamentos!$C:$C,"Seguros")</f>
        <v>0</v>
      </c>
      <c r="AQ58" s="37">
        <f>SUMIFS(Lançamentos!$F:$F,Lançamentos!$A:$A,AQ$19,Lançamentos!$C:$C,"Seguros")</f>
        <v>0</v>
      </c>
      <c r="AR58" s="37">
        <f>SUMIFS(Lançamentos!$F:$F,Lançamentos!$A:$A,AR$19,Lançamentos!$C:$C,"Seguros")</f>
        <v>0</v>
      </c>
      <c r="AS58" s="37">
        <f>SUMIFS(Lançamentos!$F:$F,Lançamentos!$A:$A,AS$19,Lançamentos!$C:$C,"Seguros")</f>
        <v>0</v>
      </c>
      <c r="AT58" s="37">
        <f>SUMIFS(Lançamentos!$F:$F,Lançamentos!$A:$A,AT$19,Lançamentos!$C:$C,"Seguros")</f>
        <v>0</v>
      </c>
      <c r="AU58" s="37">
        <f>SUMIFS(Lançamentos!$F:$F,Lançamentos!$A:$A,AU$19,Lançamentos!$C:$C,"Seguros")</f>
        <v>0</v>
      </c>
      <c r="AV58" s="37">
        <f>SUMIFS(Lançamentos!$F:$F,Lançamentos!$A:$A,AV$19,Lançamentos!$C:$C,"Seguros")</f>
        <v>0</v>
      </c>
      <c r="AW58" s="37">
        <f>SUMIFS(Lançamentos!$F:$F,Lançamentos!$A:$A,AW$19,Lançamentos!$C:$C,"Seguros")</f>
        <v>0</v>
      </c>
      <c r="AX58" s="37">
        <f>SUMIFS(Lançamentos!$F:$F,Lançamentos!$A:$A,AX$19,Lançamentos!$C:$C,"Seguros")</f>
        <v>0</v>
      </c>
      <c r="AY58" s="37">
        <f>SUMIFS(Lançamentos!$F:$F,Lançamentos!$A:$A,AY$19,Lançamentos!$C:$C,"Seguros")</f>
        <v>0</v>
      </c>
      <c r="AZ58" s="37">
        <f>SUMIFS(Lançamentos!$F:$F,Lançamentos!$A:$A,AZ$19,Lançamentos!$C:$C,"Seguros")</f>
        <v>0</v>
      </c>
      <c r="BA58" s="37">
        <f>SUMIFS(Lançamentos!$F:$F,Lançamentos!$A:$A,BA$19,Lançamentos!$C:$C,"Seguros")</f>
        <v>0</v>
      </c>
      <c r="BB58" s="37">
        <f>SUMIFS(Lançamentos!$F:$F,Lançamentos!$A:$A,BB$19,Lançamentos!$C:$C,"Seguros")</f>
        <v>0</v>
      </c>
      <c r="BC58" s="37">
        <f>SUMIFS(Lançamentos!$F:$F,Lançamentos!$A:$A,BC$19,Lançamentos!$C:$C,"Seguros")</f>
        <v>0</v>
      </c>
      <c r="BD58" s="37">
        <f>SUMIFS(Lançamentos!$F:$F,Lançamentos!$A:$A,BD$19,Lançamentos!$C:$C,"Seguros")</f>
        <v>0</v>
      </c>
      <c r="BE58" s="37">
        <f>SUMIFS(Lançamentos!$F:$F,Lançamentos!$A:$A,BE$19,Lançamentos!$C:$C,"Seguros")</f>
        <v>0</v>
      </c>
      <c r="BF58" s="37">
        <f>SUMIFS(Lançamentos!$F:$F,Lançamentos!$A:$A,BF$19,Lançamentos!$C:$C,"Seguros")</f>
        <v>0</v>
      </c>
      <c r="BG58" s="37">
        <f>SUMIFS(Lançamentos!$F:$F,Lançamentos!$A:$A,BG$19,Lançamentos!$C:$C,"Seguros")</f>
        <v>0</v>
      </c>
      <c r="BH58" s="37">
        <f>SUMIFS(Lançamentos!$F:$F,Lançamentos!$A:$A,BH$19,Lançamentos!$C:$C,"Seguros")</f>
        <v>0</v>
      </c>
      <c r="BI58" s="37">
        <f>SUMIFS(Lançamentos!$F:$F,Lançamentos!$A:$A,BI$19,Lançamentos!$C:$C,"Seguros")</f>
        <v>0</v>
      </c>
      <c r="BJ58" s="37">
        <f>SUMIFS(Lançamentos!$F:$F,Lançamentos!$A:$A,BJ$19,Lançamentos!$C:$C,"Seguros")</f>
        <v>0</v>
      </c>
      <c r="BK58" s="37">
        <f>SUMIFS(Lançamentos!$F:$F,Lançamentos!$A:$A,BK$19,Lançamentos!$C:$C,"Seguros")</f>
        <v>0</v>
      </c>
      <c r="BL58" s="37">
        <f>SUMIFS(Lançamentos!$F:$F,Lançamentos!$A:$A,BL$19,Lançamentos!$C:$C,"Seguros")</f>
        <v>0</v>
      </c>
      <c r="BM58" s="37">
        <f>SUMIFS(Lançamentos!$F:$F,Lançamentos!$A:$A,BM$19,Lançamentos!$C:$C,"Seguros")</f>
        <v>0</v>
      </c>
      <c r="BN58" s="37">
        <f>SUMIFS(Lançamentos!$F:$F,Lançamentos!$A:$A,BN$19,Lançamentos!$C:$C,"Seguros")</f>
        <v>0</v>
      </c>
      <c r="BO58" s="37">
        <f>SUMIFS(Lançamentos!$F:$F,Lançamentos!$A:$A,BO$19,Lançamentos!$C:$C,"Seguros")</f>
        <v>0</v>
      </c>
      <c r="BP58" s="37">
        <f>SUMIFS(Lançamentos!$F:$F,Lançamentos!$A:$A,BP$19,Lançamentos!$C:$C,"Seguros")</f>
        <v>0</v>
      </c>
      <c r="BQ58" s="37">
        <f>SUMIFS(Lançamentos!$F:$F,Lançamentos!$A:$A,BQ$19,Lançamentos!$C:$C,"Seguros")</f>
        <v>0</v>
      </c>
      <c r="BR58" s="37">
        <f>SUMIFS(Lançamentos!$F:$F,Lançamentos!$A:$A,BR$19,Lançamentos!$C:$C,"Seguros")</f>
        <v>0</v>
      </c>
      <c r="BS58" s="37">
        <f>SUMIFS(Lançamentos!$F:$F,Lançamentos!$A:$A,BS$19,Lançamentos!$C:$C,"Seguros")</f>
        <v>0</v>
      </c>
      <c r="BT58" s="37">
        <f>SUMIFS(Lançamentos!$F:$F,Lançamentos!$A:$A,BT$19,Lançamentos!$C:$C,"Seguros")</f>
        <v>0</v>
      </c>
      <c r="BU58" s="37">
        <f>SUMIFS(Lançamentos!$F:$F,Lançamentos!$A:$A,BU$19,Lançamentos!$C:$C,"Seguros")</f>
        <v>0</v>
      </c>
      <c r="BV58" s="37">
        <f>SUMIFS(Lançamentos!$F:$F,Lançamentos!$A:$A,BV$19,Lançamentos!$C:$C,"Seguros")</f>
        <v>0</v>
      </c>
      <c r="BW58" s="37">
        <f>SUMIFS(Lançamentos!$F:$F,Lançamentos!$A:$A,BW$19,Lançamentos!$C:$C,"Seguros")</f>
        <v>0</v>
      </c>
      <c r="BX58" s="37">
        <f>SUMIFS(Lançamentos!$F:$F,Lançamentos!$A:$A,BX$19,Lançamentos!$C:$C,"Seguros")</f>
        <v>0</v>
      </c>
      <c r="BY58" s="37">
        <f>SUMIFS(Lançamentos!$F:$F,Lançamentos!$A:$A,BY$19,Lançamentos!$C:$C,"Seguros")</f>
        <v>0</v>
      </c>
      <c r="BZ58" s="37">
        <f>SUMIFS(Lançamentos!$F:$F,Lançamentos!$A:$A,BZ$19,Lançamentos!$C:$C,"Seguros")</f>
        <v>0</v>
      </c>
      <c r="CA58" s="37">
        <f>SUMIFS(Lançamentos!$F:$F,Lançamentos!$A:$A,CA$19,Lançamentos!$C:$C,"Seguros")</f>
        <v>0</v>
      </c>
      <c r="CB58" s="37">
        <f>SUMIFS(Lançamentos!$F:$F,Lançamentos!$A:$A,CB$19,Lançamentos!$C:$C,"Seguros")</f>
        <v>0</v>
      </c>
      <c r="CC58" s="37">
        <f>SUMIFS(Lançamentos!$F:$F,Lançamentos!$A:$A,CC$19,Lançamentos!$C:$C,"Seguros")</f>
        <v>0</v>
      </c>
      <c r="CD58" s="37">
        <f>SUMIFS(Lançamentos!$F:$F,Lançamentos!$A:$A,CD$19,Lançamentos!$C:$C,"Seguros")</f>
        <v>0</v>
      </c>
      <c r="CE58" s="37">
        <f>SUMIFS(Lançamentos!$F:$F,Lançamentos!$A:$A,CE$19,Lançamentos!$C:$C,"Seguros")</f>
        <v>0</v>
      </c>
      <c r="CF58" s="37">
        <f>SUMIFS(Lançamentos!$F:$F,Lançamentos!$A:$A,CF$19,Lançamentos!$C:$C,"Seguros")</f>
        <v>0</v>
      </c>
      <c r="CG58" s="37">
        <f>SUMIFS(Lançamentos!$F:$F,Lançamentos!$A:$A,CG$19,Lançamentos!$C:$C,"Seguros")</f>
        <v>0</v>
      </c>
      <c r="CH58" s="37">
        <f>SUMIFS(Lançamentos!$F:$F,Lançamentos!$A:$A,CH$19,Lançamentos!$C:$C,"Seguros")</f>
        <v>0</v>
      </c>
      <c r="CI58" s="37">
        <f>SUMIFS(Lançamentos!$F:$F,Lançamentos!$A:$A,CI$19,Lançamentos!$C:$C,"Seguros")</f>
        <v>0</v>
      </c>
      <c r="CJ58" s="37">
        <f>SUMIFS(Lançamentos!$F:$F,Lançamentos!$A:$A,CJ$19,Lançamentos!$C:$C,"Seguros")</f>
        <v>0</v>
      </c>
      <c r="CK58" s="37">
        <f>SUMIFS(Lançamentos!$F:$F,Lançamentos!$A:$A,CK$19,Lançamentos!$C:$C,"Seguros")</f>
        <v>0</v>
      </c>
      <c r="CL58" s="37">
        <f>SUMIFS(Lançamentos!$F:$F,Lançamentos!$A:$A,CL$19,Lançamentos!$C:$C,"Seguros")</f>
        <v>0</v>
      </c>
      <c r="CM58" s="37">
        <f>SUMIFS(Lançamentos!$F:$F,Lançamentos!$A:$A,CM$19,Lançamentos!$C:$C,"Seguros")</f>
        <v>0</v>
      </c>
      <c r="CN58" s="37">
        <f>SUMIFS(Lançamentos!$F:$F,Lançamentos!$A:$A,CN$19,Lançamentos!$C:$C,"Seguros")</f>
        <v>0</v>
      </c>
      <c r="CO58" s="37">
        <f>SUMIFS(Lançamentos!$F:$F,Lançamentos!$A:$A,CO$19,Lançamentos!$C:$C,"Seguros")</f>
        <v>0</v>
      </c>
      <c r="CP58" s="37">
        <f>SUMIFS(Lançamentos!$F:$F,Lançamentos!$A:$A,CP$19,Lançamentos!$C:$C,"Seguros")</f>
        <v>0</v>
      </c>
      <c r="CQ58" s="37">
        <f>SUMIFS(Lançamentos!$F:$F,Lançamentos!$A:$A,CQ$19,Lançamentos!$C:$C,"Seguros")</f>
        <v>0</v>
      </c>
      <c r="CR58" s="37">
        <f>SUMIFS(Lançamentos!$F:$F,Lançamentos!$A:$A,CR$19,Lançamentos!$C:$C,"Seguros")</f>
        <v>0</v>
      </c>
      <c r="CS58" s="37">
        <f>SUMIFS(Lançamentos!$F:$F,Lançamentos!$A:$A,CS$19,Lançamentos!$C:$C,"Seguros")</f>
        <v>0</v>
      </c>
      <c r="CT58" s="37">
        <f>SUMIFS(Lançamentos!$F:$F,Lançamentos!$A:$A,CT$19,Lançamentos!$C:$C,"Seguros")</f>
        <v>0</v>
      </c>
      <c r="CU58" s="37">
        <f>SUMIFS(Lançamentos!$F:$F,Lançamentos!$A:$A,CU$19,Lançamentos!$C:$C,"Seguros")</f>
        <v>0</v>
      </c>
      <c r="CV58" s="37">
        <f>SUMIFS(Lançamentos!$F:$F,Lançamentos!$A:$A,CV$19,Lançamentos!$C:$C,"Seguros")</f>
        <v>0</v>
      </c>
      <c r="CW58" s="37">
        <f>SUMIFS(Lançamentos!$F:$F,Lançamentos!$A:$A,CW$19,Lançamentos!$C:$C,"Seguros")</f>
        <v>0</v>
      </c>
      <c r="CX58" s="37">
        <f>SUMIFS(Lançamentos!$F:$F,Lançamentos!$A:$A,CX$19,Lançamentos!$C:$C,"Seguros")</f>
        <v>0</v>
      </c>
      <c r="CY58" s="37">
        <f>SUMIFS(Lançamentos!$F:$F,Lançamentos!$A:$A,CY$19,Lançamentos!$C:$C,"Seguros")</f>
        <v>0</v>
      </c>
      <c r="CZ58" s="37">
        <f>SUMIFS(Lançamentos!$F:$F,Lançamentos!$A:$A,CZ$19,Lançamentos!$C:$C,"Seguros")</f>
        <v>0</v>
      </c>
      <c r="DA58" s="37">
        <f>SUMIFS(Lançamentos!$F:$F,Lançamentos!$A:$A,DA$19,Lançamentos!$C:$C,"Seguros")</f>
        <v>0</v>
      </c>
      <c r="DB58" s="37">
        <f>SUMIFS(Lançamentos!$F:$F,Lançamentos!$A:$A,DB$19,Lançamentos!$C:$C,"Seguros")</f>
        <v>0</v>
      </c>
      <c r="DC58" s="37">
        <f>SUMIFS(Lançamentos!$F:$F,Lançamentos!$A:$A,DC$19,Lançamentos!$C:$C,"Seguros")</f>
        <v>0</v>
      </c>
      <c r="DD58" s="37">
        <f>SUMIFS(Lançamentos!$F:$F,Lançamentos!$A:$A,DD$19,Lançamentos!$C:$C,"Seguros")</f>
        <v>0</v>
      </c>
      <c r="DE58" s="37">
        <f>SUMIFS(Lançamentos!$F:$F,Lançamentos!$A:$A,DE$19,Lançamentos!$C:$C,"Seguros")</f>
        <v>0</v>
      </c>
      <c r="DF58" s="37">
        <f>SUMIFS(Lançamentos!$F:$F,Lançamentos!$A:$A,DF$19,Lançamentos!$C:$C,"Seguros")</f>
        <v>0</v>
      </c>
      <c r="DG58" s="37">
        <f>SUMIFS(Lançamentos!$F:$F,Lançamentos!$A:$A,DG$19,Lançamentos!$C:$C,"Seguros")</f>
        <v>0</v>
      </c>
      <c r="DH58" s="37">
        <f>SUMIFS(Lançamentos!$F:$F,Lançamentos!$A:$A,DH$19,Lançamentos!$C:$C,"Seguros")</f>
        <v>0</v>
      </c>
      <c r="DI58" s="37">
        <f>SUMIFS(Lançamentos!$F:$F,Lançamentos!$A:$A,DI$19,Lançamentos!$C:$C,"Seguros")</f>
        <v>0</v>
      </c>
      <c r="DJ58" s="37">
        <f>SUMIFS(Lançamentos!$F:$F,Lançamentos!$A:$A,DJ$19,Lançamentos!$C:$C,"Seguros")</f>
        <v>0</v>
      </c>
      <c r="DK58" s="37">
        <f>SUMIFS(Lançamentos!$F:$F,Lançamentos!$A:$A,DK$19,Lançamentos!$C:$C,"Seguros")</f>
        <v>0</v>
      </c>
      <c r="DL58" s="37">
        <f>SUMIFS(Lançamentos!$F:$F,Lançamentos!$A:$A,DL$19,Lançamentos!$C:$C,"Seguros")</f>
        <v>0</v>
      </c>
      <c r="DM58" s="37">
        <f>SUMIFS(Lançamentos!$F:$F,Lançamentos!$A:$A,DM$19,Lançamentos!$C:$C,"Seguros")</f>
        <v>0</v>
      </c>
      <c r="DN58" s="37">
        <f>SUMIFS(Lançamentos!$F:$F,Lançamentos!$A:$A,DN$19,Lançamentos!$C:$C,"Seguros")</f>
        <v>0</v>
      </c>
      <c r="DO58" s="37">
        <f>SUMIFS(Lançamentos!$F:$F,Lançamentos!$A:$A,DO$19,Lançamentos!$C:$C,"Seguros")</f>
        <v>0</v>
      </c>
      <c r="DP58" s="37">
        <f>SUMIFS(Lançamentos!$F:$F,Lançamentos!$A:$A,DP$19,Lançamentos!$C:$C,"Seguros")</f>
        <v>0</v>
      </c>
      <c r="DQ58" s="37">
        <f>SUMIFS(Lançamentos!$F:$F,Lançamentos!$A:$A,DQ$19,Lançamentos!$C:$C,"Seguros")</f>
        <v>0</v>
      </c>
      <c r="DR58" s="37">
        <f>SUMIFS(Lançamentos!$F:$F,Lançamentos!$A:$A,DR$19,Lançamentos!$C:$C,"Seguros")</f>
        <v>0</v>
      </c>
      <c r="DS58" s="37">
        <f>SUMIFS(Lançamentos!$F:$F,Lançamentos!$A:$A,DS$19,Lançamentos!$C:$C,"Seguros")</f>
        <v>0</v>
      </c>
      <c r="DT58" s="37">
        <f>SUMIFS(Lançamentos!$F:$F,Lançamentos!$A:$A,DT$19,Lançamentos!$C:$C,"Seguros")</f>
        <v>0</v>
      </c>
      <c r="DU58" s="37">
        <f>SUMIFS(Lançamentos!$F:$F,Lançamentos!$A:$A,DU$19,Lançamentos!$C:$C,"Seguros")</f>
        <v>0</v>
      </c>
      <c r="DV58" s="37">
        <f>SUMIFS(Lançamentos!$F:$F,Lançamentos!$A:$A,DV$19,Lançamentos!$C:$C,"Seguros")</f>
        <v>0</v>
      </c>
      <c r="DW58" s="37">
        <f>SUMIFS(Lançamentos!$F:$F,Lançamentos!$A:$A,DW$19,Lançamentos!$C:$C,"Seguros")</f>
        <v>0</v>
      </c>
      <c r="DX58" s="37">
        <f>SUMIFS(Lançamentos!$F:$F,Lançamentos!$A:$A,DX$19,Lançamentos!$C:$C,"Seguros")</f>
        <v>0</v>
      </c>
      <c r="DY58" s="37">
        <f>SUMIFS(Lançamentos!$F:$F,Lançamentos!$A:$A,DY$19,Lançamentos!$C:$C,"Seguros")</f>
        <v>0</v>
      </c>
      <c r="DZ58" s="37">
        <f>SUMIFS(Lançamentos!$F:$F,Lançamentos!$A:$A,DZ$19,Lançamentos!$C:$C,"Seguros")</f>
        <v>0</v>
      </c>
      <c r="EA58" s="37">
        <f>SUMIFS(Lançamentos!$F:$F,Lançamentos!$A:$A,EA$19,Lançamentos!$C:$C,"Seguros")</f>
        <v>0</v>
      </c>
      <c r="EB58" s="37">
        <f>SUMIFS(Lançamentos!$F:$F,Lançamentos!$A:$A,EB$19,Lançamentos!$C:$C,"Seguros")</f>
        <v>0</v>
      </c>
      <c r="EC58" s="37">
        <f>SUMIFS(Lançamentos!$F:$F,Lançamentos!$A:$A,EC$19,Lançamentos!$C:$C,"Seguros")</f>
        <v>0</v>
      </c>
      <c r="ED58" s="37">
        <f>SUMIFS(Lançamentos!$F:$F,Lançamentos!$A:$A,ED$19,Lançamentos!$C:$C,"Seguros")</f>
        <v>0</v>
      </c>
      <c r="EE58" s="37">
        <f>SUMIFS(Lançamentos!$F:$F,Lançamentos!$A:$A,EE$19,Lançamentos!$C:$C,"Seguros")</f>
        <v>0</v>
      </c>
      <c r="EF58" s="37">
        <f>SUMIFS(Lançamentos!$F:$F,Lançamentos!$A:$A,EF$19,Lançamentos!$C:$C,"Seguros")</f>
        <v>0</v>
      </c>
      <c r="EG58" s="37">
        <f>SUMIFS(Lançamentos!$F:$F,Lançamentos!$A:$A,EG$19,Lançamentos!$C:$C,"Seguros")</f>
        <v>0</v>
      </c>
      <c r="EH58" s="37">
        <f>SUMIFS(Lançamentos!$F:$F,Lançamentos!$A:$A,EH$19,Lançamentos!$C:$C,"Seguros")</f>
        <v>0</v>
      </c>
      <c r="EI58" s="37">
        <f>SUMIFS(Lançamentos!$F:$F,Lançamentos!$A:$A,EI$19,Lançamentos!$C:$C,"Seguros")</f>
        <v>0</v>
      </c>
      <c r="EJ58" s="37">
        <f>SUMIFS(Lançamentos!$F:$F,Lançamentos!$A:$A,EJ$19,Lançamentos!$C:$C,"Seguros")</f>
        <v>0</v>
      </c>
      <c r="EK58" s="37">
        <f>SUMIFS(Lançamentos!$F:$F,Lançamentos!$A:$A,EK$19,Lançamentos!$C:$C,"Seguros")</f>
        <v>0</v>
      </c>
      <c r="EL58" s="37">
        <f>SUMIFS(Lançamentos!$F:$F,Lançamentos!$A:$A,EL$19,Lançamentos!$C:$C,"Seguros")</f>
        <v>0</v>
      </c>
      <c r="EM58" s="37">
        <f>SUMIFS(Lançamentos!$F:$F,Lançamentos!$A:$A,EM$19,Lançamentos!$C:$C,"Seguros")</f>
        <v>0</v>
      </c>
      <c r="EN58" s="37">
        <f>SUMIFS(Lançamentos!$F:$F,Lançamentos!$A:$A,EN$19,Lançamentos!$C:$C,"Seguros")</f>
        <v>0</v>
      </c>
      <c r="EO58" s="37">
        <f>SUMIFS(Lançamentos!$F:$F,Lançamentos!$A:$A,EO$19,Lançamentos!$C:$C,"Seguros")</f>
        <v>0</v>
      </c>
      <c r="EP58" s="37">
        <f>SUMIFS(Lançamentos!$F:$F,Lançamentos!$A:$A,EP$19,Lançamentos!$C:$C,"Seguros")</f>
        <v>0</v>
      </c>
      <c r="EQ58" s="37">
        <f>SUMIFS(Lançamentos!$F:$F,Lançamentos!$A:$A,EQ$19,Lançamentos!$C:$C,"Seguros")</f>
        <v>0</v>
      </c>
      <c r="ER58" s="37">
        <f>SUMIFS(Lançamentos!$F:$F,Lançamentos!$A:$A,ER$19,Lançamentos!$C:$C,"Seguros")</f>
        <v>0</v>
      </c>
      <c r="ES58" s="37">
        <f>SUMIFS(Lançamentos!$F:$F,Lançamentos!$A:$A,ES$19,Lançamentos!$C:$C,"Seguros")</f>
        <v>0</v>
      </c>
      <c r="ET58" s="37">
        <f>SUMIFS(Lançamentos!$F:$F,Lançamentos!$A:$A,ET$19,Lançamentos!$C:$C,"Seguros")</f>
        <v>0</v>
      </c>
      <c r="EU58" s="37">
        <f>SUMIFS(Lançamentos!$F:$F,Lançamentos!$A:$A,EU$19,Lançamentos!$C:$C,"Seguros")</f>
        <v>0</v>
      </c>
      <c r="EV58" s="37">
        <f>SUMIFS(Lançamentos!$F:$F,Lançamentos!$A:$A,EV$19,Lançamentos!$C:$C,"Seguros")</f>
        <v>0</v>
      </c>
      <c r="EW58" s="37">
        <f>SUMIFS(Lançamentos!$F:$F,Lançamentos!$A:$A,EW$19,Lançamentos!$C:$C,"Seguros")</f>
        <v>0</v>
      </c>
      <c r="EX58" s="37">
        <f>SUMIFS(Lançamentos!$F:$F,Lançamentos!$A:$A,EX$19,Lançamentos!$C:$C,"Seguros")</f>
        <v>0</v>
      </c>
      <c r="EY58" s="37">
        <f>SUMIFS(Lançamentos!$F:$F,Lançamentos!$A:$A,EY$19,Lançamentos!$C:$C,"Seguros")</f>
        <v>0</v>
      </c>
      <c r="EZ58" s="37">
        <f>SUMIFS(Lançamentos!$F:$F,Lançamentos!$A:$A,EZ$19,Lançamentos!$C:$C,"Seguros")</f>
        <v>0</v>
      </c>
      <c r="FA58" s="37">
        <f>SUMIFS(Lançamentos!$F:$F,Lançamentos!$A:$A,FA$19,Lançamentos!$C:$C,"Seguros")</f>
        <v>0</v>
      </c>
      <c r="FB58" s="37">
        <f>SUMIFS(Lançamentos!$F:$F,Lançamentos!$A:$A,FB$19,Lançamentos!$C:$C,"Seguros")</f>
        <v>0</v>
      </c>
      <c r="FC58" s="37">
        <f>SUMIFS(Lançamentos!$F:$F,Lançamentos!$A:$A,FC$19,Lançamentos!$C:$C,"Seguros")</f>
        <v>0</v>
      </c>
      <c r="FD58" s="37">
        <f>SUMIFS(Lançamentos!$F:$F,Lançamentos!$A:$A,FD$19,Lançamentos!$C:$C,"Seguros")</f>
        <v>0</v>
      </c>
      <c r="FE58" s="37">
        <f>SUMIFS(Lançamentos!$F:$F,Lançamentos!$A:$A,FE$19,Lançamentos!$C:$C,"Seguros")</f>
        <v>0</v>
      </c>
      <c r="FF58" s="37">
        <f>SUMIFS(Lançamentos!$F:$F,Lançamentos!$A:$A,FF$19,Lançamentos!$C:$C,"Seguros")</f>
        <v>0</v>
      </c>
      <c r="FG58" s="37">
        <f>SUMIFS(Lançamentos!$F:$F,Lançamentos!$A:$A,FG$19,Lançamentos!$C:$C,"Seguros")</f>
        <v>0</v>
      </c>
      <c r="FH58" s="37">
        <f>SUMIFS(Lançamentos!$F:$F,Lançamentos!$A:$A,FH$19,Lançamentos!$C:$C,"Seguros")</f>
        <v>0</v>
      </c>
      <c r="FI58" s="37">
        <f>SUMIFS(Lançamentos!$F:$F,Lançamentos!$A:$A,FI$19,Lançamentos!$C:$C,"Seguros")</f>
        <v>0</v>
      </c>
      <c r="FJ58" s="37">
        <f>SUMIFS(Lançamentos!$F:$F,Lançamentos!$A:$A,FJ$19,Lançamentos!$C:$C,"Seguros")</f>
        <v>0</v>
      </c>
      <c r="FK58" s="37">
        <f>SUMIFS(Lançamentos!$F:$F,Lançamentos!$A:$A,FK$19,Lançamentos!$C:$C,"Seguros")</f>
        <v>0</v>
      </c>
      <c r="FL58" s="37">
        <f>SUMIFS(Lançamentos!$F:$F,Lançamentos!$A:$A,FL$19,Lançamentos!$C:$C,"Seguros")</f>
        <v>0</v>
      </c>
      <c r="FM58" s="37">
        <f>SUMIFS(Lançamentos!$F:$F,Lançamentos!$A:$A,FM$19,Lançamentos!$C:$C,"Seguros")</f>
        <v>0</v>
      </c>
      <c r="FN58" s="37">
        <f>SUMIFS(Lançamentos!$F:$F,Lançamentos!$A:$A,FN$19,Lançamentos!$C:$C,"Seguros")</f>
        <v>0</v>
      </c>
      <c r="FO58" s="37">
        <f>SUMIFS(Lançamentos!$F:$F,Lançamentos!$A:$A,FO$19,Lançamentos!$C:$C,"Seguros")</f>
        <v>0</v>
      </c>
      <c r="FP58" s="37">
        <f>SUMIFS(Lançamentos!$F:$F,Lançamentos!$A:$A,FP$19,Lançamentos!$C:$C,"Seguros")</f>
        <v>0</v>
      </c>
      <c r="FQ58" s="37">
        <f>SUMIFS(Lançamentos!$F:$F,Lançamentos!$A:$A,FQ$19,Lançamentos!$C:$C,"Seguros")</f>
        <v>0</v>
      </c>
      <c r="FR58" s="37">
        <f>SUMIFS(Lançamentos!$F:$F,Lançamentos!$A:$A,FR$19,Lançamentos!$C:$C,"Seguros")</f>
        <v>0</v>
      </c>
      <c r="FS58" s="37">
        <f>SUMIFS(Lançamentos!$F:$F,Lançamentos!$A:$A,FS$19,Lançamentos!$C:$C,"Seguros")</f>
        <v>0</v>
      </c>
      <c r="FT58" s="37">
        <f>SUMIFS(Lançamentos!$F:$F,Lançamentos!$A:$A,FT$19,Lançamentos!$C:$C,"Seguros")</f>
        <v>0</v>
      </c>
      <c r="FU58" s="37">
        <f>SUMIFS(Lançamentos!$F:$F,Lançamentos!$A:$A,FU$19,Lançamentos!$C:$C,"Seguros")</f>
        <v>0</v>
      </c>
      <c r="FV58" s="37">
        <f>SUMIFS(Lançamentos!$F:$F,Lançamentos!$A:$A,FV$19,Lançamentos!$C:$C,"Seguros")</f>
        <v>0</v>
      </c>
      <c r="FW58" s="37">
        <f>SUMIFS(Lançamentos!$F:$F,Lançamentos!$A:$A,FW$19,Lançamentos!$C:$C,"Seguros")</f>
        <v>0</v>
      </c>
      <c r="FX58" s="37">
        <f>SUMIFS(Lançamentos!$F:$F,Lançamentos!$A:$A,FX$19,Lançamentos!$C:$C,"Seguros")</f>
        <v>0</v>
      </c>
      <c r="FY58" s="37">
        <f>SUMIFS(Lançamentos!$F:$F,Lançamentos!$A:$A,FY$19,Lançamentos!$C:$C,"Seguros")</f>
        <v>0</v>
      </c>
      <c r="FZ58" s="37">
        <f>SUMIFS(Lançamentos!$F:$F,Lançamentos!$A:$A,FZ$19,Lançamentos!$C:$C,"Seguros")</f>
        <v>0</v>
      </c>
      <c r="GA58" s="37">
        <f>SUMIFS(Lançamentos!$F:$F,Lançamentos!$A:$A,GA$19,Lançamentos!$C:$C,"Seguros")</f>
        <v>0</v>
      </c>
      <c r="GB58" s="37">
        <f>SUMIFS(Lançamentos!$F:$F,Lançamentos!$A:$A,GB$19,Lançamentos!$C:$C,"Seguros")</f>
        <v>0</v>
      </c>
      <c r="GC58" s="37">
        <f>SUMIFS(Lançamentos!$F:$F,Lançamentos!$A:$A,GC$19,Lançamentos!$C:$C,"Seguros")</f>
        <v>0</v>
      </c>
      <c r="GD58" s="37">
        <f>SUMIFS(Lançamentos!$F:$F,Lançamentos!$A:$A,GD$19,Lançamentos!$C:$C,"Seguros")</f>
        <v>0</v>
      </c>
      <c r="GE58" s="37">
        <f>SUMIFS(Lançamentos!$F:$F,Lançamentos!$A:$A,GE$19,Lançamentos!$C:$C,"Seguros")</f>
        <v>0</v>
      </c>
      <c r="GF58" s="37">
        <f>SUMIFS(Lançamentos!$F:$F,Lançamentos!$A:$A,GF$19,Lançamentos!$C:$C,"Seguros")</f>
        <v>0</v>
      </c>
      <c r="GG58" s="37">
        <f>SUMIFS(Lançamentos!$F:$F,Lançamentos!$A:$A,GG$19,Lançamentos!$C:$C,"Seguros")</f>
        <v>0</v>
      </c>
      <c r="GH58" s="37">
        <f>SUMIFS(Lançamentos!$F:$F,Lançamentos!$A:$A,GH$19,Lançamentos!$C:$C,"Seguros")</f>
        <v>0</v>
      </c>
      <c r="GI58" s="37">
        <f>SUMIFS(Lançamentos!$F:$F,Lançamentos!$A:$A,GI$19,Lançamentos!$C:$C,"Seguros")</f>
        <v>0</v>
      </c>
      <c r="GJ58" s="37">
        <f>SUMIFS(Lançamentos!$F:$F,Lançamentos!$A:$A,GJ$19,Lançamentos!$C:$C,"Seguros")</f>
        <v>0</v>
      </c>
      <c r="GK58" s="37">
        <f>SUMIFS(Lançamentos!$F:$F,Lançamentos!$A:$A,GK$19,Lançamentos!$C:$C,"Seguros")</f>
        <v>0</v>
      </c>
      <c r="GL58" s="37">
        <f>SUMIFS(Lançamentos!$F:$F,Lançamentos!$A:$A,GL$19,Lançamentos!$C:$C,"Seguros")</f>
        <v>0</v>
      </c>
      <c r="GM58" s="37">
        <f>SUMIFS(Lançamentos!$F:$F,Lançamentos!$A:$A,GM$19,Lançamentos!$C:$C,"Seguros")</f>
        <v>0</v>
      </c>
      <c r="GN58" s="37">
        <f>SUMIFS(Lançamentos!$F:$F,Lançamentos!$A:$A,GN$19,Lançamentos!$C:$C,"Seguros")</f>
        <v>0</v>
      </c>
      <c r="GO58" s="37">
        <f>SUMIFS(Lançamentos!$F:$F,Lançamentos!$A:$A,GO$19,Lançamentos!$C:$C,"Seguros")</f>
        <v>0</v>
      </c>
      <c r="GP58" s="37">
        <f>SUMIFS(Lançamentos!$F:$F,Lançamentos!$A:$A,GP$19,Lançamentos!$C:$C,"Seguros")</f>
        <v>0</v>
      </c>
      <c r="GQ58" s="37">
        <f>SUMIFS(Lançamentos!$F:$F,Lançamentos!$A:$A,GQ$19,Lançamentos!$C:$C,"Seguros")</f>
        <v>0</v>
      </c>
      <c r="GR58" s="37">
        <f>SUMIFS(Lançamentos!$F:$F,Lançamentos!$A:$A,GR$19,Lançamentos!$C:$C,"Seguros")</f>
        <v>0</v>
      </c>
      <c r="GS58" s="37">
        <f>SUMIFS(Lançamentos!$F:$F,Lançamentos!$A:$A,GS$19,Lançamentos!$C:$C,"Seguros")</f>
        <v>0</v>
      </c>
      <c r="GT58" s="37">
        <f>SUMIFS(Lançamentos!$F:$F,Lançamentos!$A:$A,GT$19,Lançamentos!$C:$C,"Seguros")</f>
        <v>0</v>
      </c>
      <c r="GU58" s="37">
        <f>SUMIFS(Lançamentos!$F:$F,Lançamentos!$A:$A,GU$19,Lançamentos!$C:$C,"Seguros")</f>
        <v>0</v>
      </c>
      <c r="GV58" s="37">
        <f>SUMIFS(Lançamentos!$F:$F,Lançamentos!$A:$A,GV$19,Lançamentos!$C:$C,"Seguros")</f>
        <v>0</v>
      </c>
      <c r="GW58" s="37">
        <f>SUMIFS(Lançamentos!$F:$F,Lançamentos!$A:$A,GW$19,Lançamentos!$C:$C,"Seguros")</f>
        <v>0</v>
      </c>
      <c r="GX58" s="37">
        <f>SUMIFS(Lançamentos!$F:$F,Lançamentos!$A:$A,GX$19,Lançamentos!$C:$C,"Seguros")</f>
        <v>0</v>
      </c>
      <c r="GY58" s="37">
        <f>SUMIFS(Lançamentos!$F:$F,Lançamentos!$A:$A,GY$19,Lançamentos!$C:$C,"Seguros")</f>
        <v>0</v>
      </c>
      <c r="GZ58" s="37">
        <f>SUMIFS(Lançamentos!$F:$F,Lançamentos!$A:$A,GZ$19,Lançamentos!$C:$C,"Seguros")</f>
        <v>0</v>
      </c>
      <c r="HA58" s="37">
        <f>SUMIFS(Lançamentos!$F:$F,Lançamentos!$A:$A,HA$19,Lançamentos!$C:$C,"Seguros")</f>
        <v>0</v>
      </c>
      <c r="HB58" s="37">
        <f>SUMIFS(Lançamentos!$F:$F,Lançamentos!$A:$A,HB$19,Lançamentos!$C:$C,"Seguros")</f>
        <v>0</v>
      </c>
      <c r="HC58" s="37">
        <f>SUMIFS(Lançamentos!$F:$F,Lançamentos!$A:$A,HC$19,Lançamentos!$C:$C,"Seguros")</f>
        <v>0</v>
      </c>
      <c r="HD58" s="37">
        <f>SUMIFS(Lançamentos!$F:$F,Lançamentos!$A:$A,HD$19,Lançamentos!$C:$C,"Seguros")</f>
        <v>0</v>
      </c>
      <c r="HE58" s="37">
        <f>SUMIFS(Lançamentos!$F:$F,Lançamentos!$A:$A,HE$19,Lançamentos!$C:$C,"Seguros")</f>
        <v>0</v>
      </c>
      <c r="HF58" s="37">
        <f>SUMIFS(Lançamentos!$F:$F,Lançamentos!$A:$A,HF$19,Lançamentos!$C:$C,"Seguros")</f>
        <v>0</v>
      </c>
      <c r="HG58" s="37">
        <f>SUMIFS(Lançamentos!$F:$F,Lançamentos!$A:$A,HG$19,Lançamentos!$C:$C,"Seguros")</f>
        <v>0</v>
      </c>
      <c r="HH58" s="37">
        <f>SUMIFS(Lançamentos!$F:$F,Lançamentos!$A:$A,HH$19,Lançamentos!$C:$C,"Seguros")</f>
        <v>0</v>
      </c>
      <c r="HI58" s="37">
        <f>SUMIFS(Lançamentos!$F:$F,Lançamentos!$A:$A,HI$19,Lançamentos!$C:$C,"Seguros")</f>
        <v>0</v>
      </c>
      <c r="HJ58" s="37">
        <f>SUMIFS(Lançamentos!$F:$F,Lançamentos!$A:$A,HJ$19,Lançamentos!$C:$C,"Seguros")</f>
        <v>0</v>
      </c>
      <c r="HK58" s="37">
        <f>SUMIFS(Lançamentos!$F:$F,Lançamentos!$A:$A,HK$19,Lançamentos!$C:$C,"Seguros")</f>
        <v>0</v>
      </c>
      <c r="HL58" s="37">
        <f>SUMIFS(Lançamentos!$F:$F,Lançamentos!$A:$A,HL$19,Lançamentos!$C:$C,"Seguros")</f>
        <v>0</v>
      </c>
      <c r="HM58" s="37">
        <f>SUMIFS(Lançamentos!$F:$F,Lançamentos!$A:$A,HM$19,Lançamentos!$C:$C,"Seguros")</f>
        <v>0</v>
      </c>
      <c r="HN58" s="37">
        <f>SUMIFS(Lançamentos!$F:$F,Lançamentos!$A:$A,HN$19,Lançamentos!$C:$C,"Seguros")</f>
        <v>0</v>
      </c>
      <c r="HO58" s="37">
        <f>SUMIFS(Lançamentos!$F:$F,Lançamentos!$A:$A,HO$19,Lançamentos!$C:$C,"Seguros")</f>
        <v>0</v>
      </c>
      <c r="HP58" s="37">
        <f>SUMIFS(Lançamentos!$F:$F,Lançamentos!$A:$A,HP$19,Lançamentos!$C:$C,"Seguros")</f>
        <v>0</v>
      </c>
      <c r="HQ58" s="37">
        <f>SUMIFS(Lançamentos!$F:$F,Lançamentos!$A:$A,HQ$19,Lançamentos!$C:$C,"Seguros")</f>
        <v>0</v>
      </c>
      <c r="HR58" s="37">
        <f>SUMIFS(Lançamentos!$F:$F,Lançamentos!$A:$A,HR$19,Lançamentos!$C:$C,"Seguros")</f>
        <v>0</v>
      </c>
      <c r="HS58" s="37">
        <f>SUMIFS(Lançamentos!$F:$F,Lançamentos!$A:$A,HS$19,Lançamentos!$C:$C,"Seguros")</f>
        <v>0</v>
      </c>
      <c r="HT58" s="37">
        <f>SUMIFS(Lançamentos!$F:$F,Lançamentos!$A:$A,HT$19,Lançamentos!$C:$C,"Seguros")</f>
        <v>0</v>
      </c>
      <c r="HU58" s="37">
        <f>SUMIFS(Lançamentos!$F:$F,Lançamentos!$A:$A,HU$19,Lançamentos!$C:$C,"Seguros")</f>
        <v>0</v>
      </c>
      <c r="HV58" s="37">
        <f>SUMIFS(Lançamentos!$F:$F,Lançamentos!$A:$A,HV$19,Lançamentos!$C:$C,"Seguros")</f>
        <v>0</v>
      </c>
      <c r="HW58" s="37">
        <f>SUMIFS(Lançamentos!$F:$F,Lançamentos!$A:$A,HW$19,Lançamentos!$C:$C,"Seguros")</f>
        <v>0</v>
      </c>
      <c r="HX58" s="37">
        <f>SUMIFS(Lançamentos!$F:$F,Lançamentos!$A:$A,HX$19,Lançamentos!$C:$C,"Seguros")</f>
        <v>0</v>
      </c>
      <c r="HY58" s="37">
        <f>SUMIFS(Lançamentos!$F:$F,Lançamentos!$A:$A,HY$19,Lançamentos!$C:$C,"Seguros")</f>
        <v>0</v>
      </c>
      <c r="HZ58" s="37">
        <f>SUMIFS(Lançamentos!$F:$F,Lançamentos!$A:$A,HZ$19,Lançamentos!$C:$C,"Seguros")</f>
        <v>0</v>
      </c>
      <c r="IA58" s="37">
        <f>SUMIFS(Lançamentos!$F:$F,Lançamentos!$A:$A,IA$19,Lançamentos!$C:$C,"Seguros")</f>
        <v>0</v>
      </c>
      <c r="IB58" s="37">
        <f>SUMIFS(Lançamentos!$F:$F,Lançamentos!$A:$A,IB$19,Lançamentos!$C:$C,"Seguros")</f>
        <v>0</v>
      </c>
      <c r="IC58" s="37">
        <f>SUMIFS(Lançamentos!$F:$F,Lançamentos!$A:$A,IC$19,Lançamentos!$C:$C,"Seguros")</f>
        <v>0</v>
      </c>
      <c r="ID58" s="37">
        <f>SUMIFS(Lançamentos!$F:$F,Lançamentos!$A:$A,ID$19,Lançamentos!$C:$C,"Seguros")</f>
        <v>0</v>
      </c>
      <c r="IE58" s="37">
        <f>SUMIFS(Lançamentos!$F:$F,Lançamentos!$A:$A,IE$19,Lançamentos!$C:$C,"Seguros")</f>
        <v>0</v>
      </c>
      <c r="IF58" s="37">
        <f>SUMIFS(Lançamentos!$F:$F,Lançamentos!$A:$A,IF$19,Lançamentos!$C:$C,"Seguros")</f>
        <v>0</v>
      </c>
      <c r="IG58" s="37">
        <f>SUMIFS(Lançamentos!$F:$F,Lançamentos!$A:$A,IG$19,Lançamentos!$C:$C,"Seguros")</f>
        <v>0</v>
      </c>
      <c r="IH58" s="37">
        <f>SUMIFS(Lançamentos!$F:$F,Lançamentos!$A:$A,IH$19,Lançamentos!$C:$C,"Seguros")</f>
        <v>0</v>
      </c>
      <c r="II58" s="37">
        <f>SUMIFS(Lançamentos!$F:$F,Lançamentos!$A:$A,II$19,Lançamentos!$C:$C,"Seguros")</f>
        <v>0</v>
      </c>
      <c r="IJ58" s="37">
        <f>SUMIFS(Lançamentos!$F:$F,Lançamentos!$A:$A,IJ$19,Lançamentos!$C:$C,"Seguros")</f>
        <v>0</v>
      </c>
      <c r="IK58" s="37">
        <f>SUMIFS(Lançamentos!$F:$F,Lançamentos!$A:$A,IK$19,Lançamentos!$C:$C,"Seguros")</f>
        <v>0</v>
      </c>
      <c r="IL58" s="37">
        <f>SUMIFS(Lançamentos!$F:$F,Lançamentos!$A:$A,IL$19,Lançamentos!$C:$C,"Seguros")</f>
        <v>0</v>
      </c>
    </row>
    <row r="59" spans="1:246" x14ac:dyDescent="0.3">
      <c r="A59" t="s">
        <v>97</v>
      </c>
      <c r="B59" s="37">
        <f>SUMIFS(Lançamentos!$F:$F,Lançamentos!$A:$A,B$19,Lançamentos!$C:$C,"Treinamento e Capacitação")</f>
        <v>0</v>
      </c>
      <c r="C59" s="37">
        <f>SUMIFS(Lançamentos!$F:$F,Lançamentos!$A:$A,C$19,Lançamentos!$C:$C,"Treinamento e Capacitação")</f>
        <v>0</v>
      </c>
      <c r="D59" s="37">
        <f>SUMIFS(Lançamentos!$F:$F,Lançamentos!$A:$A,D$19,Lançamentos!$C:$C,"Treinamento e Capacitação")</f>
        <v>0</v>
      </c>
      <c r="E59" s="37">
        <f>SUMIFS(Lançamentos!$F:$F,Lançamentos!$A:$A,E$19,Lançamentos!$C:$C,"Treinamento e Capacitação")</f>
        <v>0</v>
      </c>
      <c r="F59" s="37">
        <f>SUMIFS(Lançamentos!$F:$F,Lançamentos!$A:$A,F$19,Lançamentos!$C:$C,"Treinamento e Capacitação")</f>
        <v>0</v>
      </c>
      <c r="G59" s="37">
        <f>SUMIFS(Lançamentos!$F:$F,Lançamentos!$A:$A,G$19,Lançamentos!$C:$C,"Treinamento e Capacitação")</f>
        <v>0</v>
      </c>
      <c r="H59" s="37">
        <f>SUMIFS(Lançamentos!$F:$F,Lançamentos!$A:$A,H$19,Lançamentos!$C:$C,"Treinamento e Capacitação")</f>
        <v>0</v>
      </c>
      <c r="I59" s="37">
        <f>SUMIFS(Lançamentos!$F:$F,Lançamentos!$A:$A,I$19,Lançamentos!$C:$C,"Treinamento e Capacitação")</f>
        <v>0</v>
      </c>
      <c r="J59" s="37">
        <f>SUMIFS(Lançamentos!$F:$F,Lançamentos!$A:$A,J$19,Lançamentos!$C:$C,"Treinamento e Capacitação")</f>
        <v>0</v>
      </c>
      <c r="K59" s="37">
        <f>SUMIFS(Lançamentos!$F:$F,Lançamentos!$A:$A,K$19,Lançamentos!$C:$C,"Treinamento e Capacitação")</f>
        <v>0</v>
      </c>
      <c r="L59" s="37">
        <f>SUMIFS(Lançamentos!$F:$F,Lançamentos!$A:$A,L$19,Lançamentos!$C:$C,"Treinamento e Capacitação")</f>
        <v>0</v>
      </c>
      <c r="M59" s="37">
        <f>SUMIFS(Lançamentos!$F:$F,Lançamentos!$A:$A,M$19,Lançamentos!$C:$C,"Treinamento e Capacitação")</f>
        <v>0</v>
      </c>
      <c r="N59" s="37">
        <f>SUMIFS(Lançamentos!$F:$F,Lançamentos!$A:$A,N$19,Lançamentos!$C:$C,"Treinamento e Capacitação")</f>
        <v>0</v>
      </c>
      <c r="O59" s="37">
        <f>SUMIFS(Lançamentos!$F:$F,Lançamentos!$A:$A,O$19,Lançamentos!$C:$C,"Treinamento e Capacitação")</f>
        <v>0</v>
      </c>
      <c r="P59" s="37">
        <f>SUMIFS(Lançamentos!$F:$F,Lançamentos!$A:$A,P$19,Lançamentos!$C:$C,"Treinamento e Capacitação")</f>
        <v>0</v>
      </c>
      <c r="Q59" s="37">
        <f>SUMIFS(Lançamentos!$F:$F,Lançamentos!$A:$A,Q$19,Lançamentos!$C:$C,"Treinamento e Capacitação")</f>
        <v>0</v>
      </c>
      <c r="R59" s="37">
        <f>SUMIFS(Lançamentos!$F:$F,Lançamentos!$A:$A,R$19,Lançamentos!$C:$C,"Treinamento e Capacitação")</f>
        <v>0</v>
      </c>
      <c r="S59" s="37">
        <f>SUMIFS(Lançamentos!$F:$F,Lançamentos!$A:$A,S$19,Lançamentos!$C:$C,"Treinamento e Capacitação")</f>
        <v>0</v>
      </c>
      <c r="T59" s="37">
        <f>SUMIFS(Lançamentos!$F:$F,Lançamentos!$A:$A,T$19,Lançamentos!$C:$C,"Treinamento e Capacitação")</f>
        <v>0</v>
      </c>
      <c r="U59" s="37">
        <f>SUMIFS(Lançamentos!$F:$F,Lançamentos!$A:$A,U$19,Lançamentos!$C:$C,"Treinamento e Capacitação")</f>
        <v>0</v>
      </c>
      <c r="V59" s="37">
        <f>SUMIFS(Lançamentos!$F:$F,Lançamentos!$A:$A,V$19,Lançamentos!$C:$C,"Treinamento e Capacitação")</f>
        <v>0</v>
      </c>
      <c r="W59" s="37">
        <f>SUMIFS(Lançamentos!$F:$F,Lançamentos!$A:$A,W$19,Lançamentos!$C:$C,"Treinamento e Capacitação")</f>
        <v>0</v>
      </c>
      <c r="X59" s="37">
        <f>SUMIFS(Lançamentos!$F:$F,Lançamentos!$A:$A,X$19,Lançamentos!$C:$C,"Treinamento e Capacitação")</f>
        <v>0</v>
      </c>
      <c r="Y59" s="37">
        <f>SUMIFS(Lançamentos!$F:$F,Lançamentos!$A:$A,Y$19,Lançamentos!$C:$C,"Treinamento e Capacitação")</f>
        <v>0</v>
      </c>
      <c r="Z59" s="37">
        <f>SUMIFS(Lançamentos!$F:$F,Lançamentos!$A:$A,Z$19,Lançamentos!$C:$C,"Treinamento e Capacitação")</f>
        <v>0</v>
      </c>
      <c r="AA59" s="37">
        <f>SUMIFS(Lançamentos!$F:$F,Lançamentos!$A:$A,AA$19,Lançamentos!$C:$C,"Treinamento e Capacitação")</f>
        <v>0</v>
      </c>
      <c r="AB59" s="37">
        <f>SUMIFS(Lançamentos!$F:$F,Lançamentos!$A:$A,AB$19,Lançamentos!$C:$C,"Treinamento e Capacitação")</f>
        <v>0</v>
      </c>
      <c r="AC59" s="37">
        <f>SUMIFS(Lançamentos!$F:$F,Lançamentos!$A:$A,AC$19,Lançamentos!$C:$C,"Treinamento e Capacitação")</f>
        <v>0</v>
      </c>
      <c r="AD59" s="37">
        <f>SUMIFS(Lançamentos!$F:$F,Lançamentos!$A:$A,AD$19,Lançamentos!$C:$C,"Treinamento e Capacitação")</f>
        <v>0</v>
      </c>
      <c r="AE59" s="37">
        <f>SUMIFS(Lançamentos!$F:$F,Lançamentos!$A:$A,AE$19,Lançamentos!$C:$C,"Treinamento e Capacitação")</f>
        <v>0</v>
      </c>
      <c r="AF59" s="37">
        <f>SUMIFS(Lançamentos!$F:$F,Lançamentos!$A:$A,AF$19,Lançamentos!$C:$C,"Treinamento e Capacitação")</f>
        <v>0</v>
      </c>
      <c r="AG59" s="37">
        <f>SUMIFS(Lançamentos!$F:$F,Lançamentos!$A:$A,AG$19,Lançamentos!$C:$C,"Treinamento e Capacitação")</f>
        <v>0</v>
      </c>
      <c r="AH59" s="37">
        <f>SUMIFS(Lançamentos!$F:$F,Lançamentos!$A:$A,AH$19,Lançamentos!$C:$C,"Treinamento e Capacitação")</f>
        <v>0</v>
      </c>
      <c r="AI59" s="37">
        <f>SUMIFS(Lançamentos!$F:$F,Lançamentos!$A:$A,AI$19,Lançamentos!$C:$C,"Treinamento e Capacitação")</f>
        <v>0</v>
      </c>
      <c r="AJ59" s="37">
        <f>SUMIFS(Lançamentos!$F:$F,Lançamentos!$A:$A,AJ$19,Lançamentos!$C:$C,"Treinamento e Capacitação")</f>
        <v>0</v>
      </c>
      <c r="AK59" s="37">
        <f>SUMIFS(Lançamentos!$F:$F,Lançamentos!$A:$A,AK$19,Lançamentos!$C:$C,"Treinamento e Capacitação")</f>
        <v>0</v>
      </c>
      <c r="AL59" s="37">
        <f>SUMIFS(Lançamentos!$F:$F,Lançamentos!$A:$A,AL$19,Lançamentos!$C:$C,"Treinamento e Capacitação")</f>
        <v>0</v>
      </c>
      <c r="AM59" s="37">
        <f>SUMIFS(Lançamentos!$F:$F,Lançamentos!$A:$A,AM$19,Lançamentos!$C:$C,"Treinamento e Capacitação")</f>
        <v>0</v>
      </c>
      <c r="AN59" s="37">
        <f>SUMIFS(Lançamentos!$F:$F,Lançamentos!$A:$A,AN$19,Lançamentos!$C:$C,"Treinamento e Capacitação")</f>
        <v>0</v>
      </c>
      <c r="AO59" s="37">
        <f>SUMIFS(Lançamentos!$F:$F,Lançamentos!$A:$A,AO$19,Lançamentos!$C:$C,"Treinamento e Capacitação")</f>
        <v>0</v>
      </c>
      <c r="AP59" s="37">
        <f>SUMIFS(Lançamentos!$F:$F,Lançamentos!$A:$A,AP$19,Lançamentos!$C:$C,"Treinamento e Capacitação")</f>
        <v>0</v>
      </c>
      <c r="AQ59" s="37">
        <f>SUMIFS(Lançamentos!$F:$F,Lançamentos!$A:$A,AQ$19,Lançamentos!$C:$C,"Treinamento e Capacitação")</f>
        <v>0</v>
      </c>
      <c r="AR59" s="37">
        <f>SUMIFS(Lançamentos!$F:$F,Lançamentos!$A:$A,AR$19,Lançamentos!$C:$C,"Treinamento e Capacitação")</f>
        <v>0</v>
      </c>
      <c r="AS59" s="37">
        <f>SUMIFS(Lançamentos!$F:$F,Lançamentos!$A:$A,AS$19,Lançamentos!$C:$C,"Treinamento e Capacitação")</f>
        <v>0</v>
      </c>
      <c r="AT59" s="37">
        <f>SUMIFS(Lançamentos!$F:$F,Lançamentos!$A:$A,AT$19,Lançamentos!$C:$C,"Treinamento e Capacitação")</f>
        <v>0</v>
      </c>
      <c r="AU59" s="37">
        <f>SUMIFS(Lançamentos!$F:$F,Lançamentos!$A:$A,AU$19,Lançamentos!$C:$C,"Treinamento e Capacitação")</f>
        <v>0</v>
      </c>
      <c r="AV59" s="37">
        <f>SUMIFS(Lançamentos!$F:$F,Lançamentos!$A:$A,AV$19,Lançamentos!$C:$C,"Treinamento e Capacitação")</f>
        <v>0</v>
      </c>
      <c r="AW59" s="37">
        <f>SUMIFS(Lançamentos!$F:$F,Lançamentos!$A:$A,AW$19,Lançamentos!$C:$C,"Treinamento e Capacitação")</f>
        <v>0</v>
      </c>
      <c r="AX59" s="37">
        <f>SUMIFS(Lançamentos!$F:$F,Lançamentos!$A:$A,AX$19,Lançamentos!$C:$C,"Treinamento e Capacitação")</f>
        <v>0</v>
      </c>
      <c r="AY59" s="37">
        <f>SUMIFS(Lançamentos!$F:$F,Lançamentos!$A:$A,AY$19,Lançamentos!$C:$C,"Treinamento e Capacitação")</f>
        <v>0</v>
      </c>
      <c r="AZ59" s="37">
        <f>SUMIFS(Lançamentos!$F:$F,Lançamentos!$A:$A,AZ$19,Lançamentos!$C:$C,"Treinamento e Capacitação")</f>
        <v>0</v>
      </c>
      <c r="BA59" s="37">
        <f>SUMIFS(Lançamentos!$F:$F,Lançamentos!$A:$A,BA$19,Lançamentos!$C:$C,"Treinamento e Capacitação")</f>
        <v>0</v>
      </c>
      <c r="BB59" s="37">
        <f>SUMIFS(Lançamentos!$F:$F,Lançamentos!$A:$A,BB$19,Lançamentos!$C:$C,"Treinamento e Capacitação")</f>
        <v>0</v>
      </c>
      <c r="BC59" s="37">
        <f>SUMIFS(Lançamentos!$F:$F,Lançamentos!$A:$A,BC$19,Lançamentos!$C:$C,"Treinamento e Capacitação")</f>
        <v>0</v>
      </c>
      <c r="BD59" s="37">
        <f>SUMIFS(Lançamentos!$F:$F,Lançamentos!$A:$A,BD$19,Lançamentos!$C:$C,"Treinamento e Capacitação")</f>
        <v>0</v>
      </c>
      <c r="BE59" s="37">
        <f>SUMIFS(Lançamentos!$F:$F,Lançamentos!$A:$A,BE$19,Lançamentos!$C:$C,"Treinamento e Capacitação")</f>
        <v>0</v>
      </c>
      <c r="BF59" s="37">
        <f>SUMIFS(Lançamentos!$F:$F,Lançamentos!$A:$A,BF$19,Lançamentos!$C:$C,"Treinamento e Capacitação")</f>
        <v>0</v>
      </c>
      <c r="BG59" s="37">
        <f>SUMIFS(Lançamentos!$F:$F,Lançamentos!$A:$A,BG$19,Lançamentos!$C:$C,"Treinamento e Capacitação")</f>
        <v>0</v>
      </c>
      <c r="BH59" s="37">
        <f>SUMIFS(Lançamentos!$F:$F,Lançamentos!$A:$A,BH$19,Lançamentos!$C:$C,"Treinamento e Capacitação")</f>
        <v>0</v>
      </c>
      <c r="BI59" s="37">
        <f>SUMIFS(Lançamentos!$F:$F,Lançamentos!$A:$A,BI$19,Lançamentos!$C:$C,"Treinamento e Capacitação")</f>
        <v>0</v>
      </c>
      <c r="BJ59" s="37">
        <f>SUMIFS(Lançamentos!$F:$F,Lançamentos!$A:$A,BJ$19,Lançamentos!$C:$C,"Treinamento e Capacitação")</f>
        <v>0</v>
      </c>
      <c r="BK59" s="37">
        <f>SUMIFS(Lançamentos!$F:$F,Lançamentos!$A:$A,BK$19,Lançamentos!$C:$C,"Treinamento e Capacitação")</f>
        <v>0</v>
      </c>
      <c r="BL59" s="37">
        <f>SUMIFS(Lançamentos!$F:$F,Lançamentos!$A:$A,BL$19,Lançamentos!$C:$C,"Treinamento e Capacitação")</f>
        <v>0</v>
      </c>
      <c r="BM59" s="37">
        <f>SUMIFS(Lançamentos!$F:$F,Lançamentos!$A:$A,BM$19,Lançamentos!$C:$C,"Treinamento e Capacitação")</f>
        <v>0</v>
      </c>
      <c r="BN59" s="37">
        <f>SUMIFS(Lançamentos!$F:$F,Lançamentos!$A:$A,BN$19,Lançamentos!$C:$C,"Treinamento e Capacitação")</f>
        <v>0</v>
      </c>
      <c r="BO59" s="37">
        <f>SUMIFS(Lançamentos!$F:$F,Lançamentos!$A:$A,BO$19,Lançamentos!$C:$C,"Treinamento e Capacitação")</f>
        <v>0</v>
      </c>
      <c r="BP59" s="37">
        <f>SUMIFS(Lançamentos!$F:$F,Lançamentos!$A:$A,BP$19,Lançamentos!$C:$C,"Treinamento e Capacitação")</f>
        <v>0</v>
      </c>
      <c r="BQ59" s="37">
        <f>SUMIFS(Lançamentos!$F:$F,Lançamentos!$A:$A,BQ$19,Lançamentos!$C:$C,"Treinamento e Capacitação")</f>
        <v>0</v>
      </c>
      <c r="BR59" s="37">
        <f>SUMIFS(Lançamentos!$F:$F,Lançamentos!$A:$A,BR$19,Lançamentos!$C:$C,"Treinamento e Capacitação")</f>
        <v>0</v>
      </c>
      <c r="BS59" s="37">
        <f>SUMIFS(Lançamentos!$F:$F,Lançamentos!$A:$A,BS$19,Lançamentos!$C:$C,"Treinamento e Capacitação")</f>
        <v>0</v>
      </c>
      <c r="BT59" s="37">
        <f>SUMIFS(Lançamentos!$F:$F,Lançamentos!$A:$A,BT$19,Lançamentos!$C:$C,"Treinamento e Capacitação")</f>
        <v>0</v>
      </c>
      <c r="BU59" s="37">
        <f>SUMIFS(Lançamentos!$F:$F,Lançamentos!$A:$A,BU$19,Lançamentos!$C:$C,"Treinamento e Capacitação")</f>
        <v>0</v>
      </c>
      <c r="BV59" s="37">
        <f>SUMIFS(Lançamentos!$F:$F,Lançamentos!$A:$A,BV$19,Lançamentos!$C:$C,"Treinamento e Capacitação")</f>
        <v>0</v>
      </c>
      <c r="BW59" s="37">
        <f>SUMIFS(Lançamentos!$F:$F,Lançamentos!$A:$A,BW$19,Lançamentos!$C:$C,"Treinamento e Capacitação")</f>
        <v>0</v>
      </c>
      <c r="BX59" s="37">
        <f>SUMIFS(Lançamentos!$F:$F,Lançamentos!$A:$A,BX$19,Lançamentos!$C:$C,"Treinamento e Capacitação")</f>
        <v>0</v>
      </c>
      <c r="BY59" s="37">
        <f>SUMIFS(Lançamentos!$F:$F,Lançamentos!$A:$A,BY$19,Lançamentos!$C:$C,"Treinamento e Capacitação")</f>
        <v>0</v>
      </c>
      <c r="BZ59" s="37">
        <f>SUMIFS(Lançamentos!$F:$F,Lançamentos!$A:$A,BZ$19,Lançamentos!$C:$C,"Treinamento e Capacitação")</f>
        <v>0</v>
      </c>
      <c r="CA59" s="37">
        <f>SUMIFS(Lançamentos!$F:$F,Lançamentos!$A:$A,CA$19,Lançamentos!$C:$C,"Treinamento e Capacitação")</f>
        <v>0</v>
      </c>
      <c r="CB59" s="37">
        <f>SUMIFS(Lançamentos!$F:$F,Lançamentos!$A:$A,CB$19,Lançamentos!$C:$C,"Treinamento e Capacitação")</f>
        <v>0</v>
      </c>
      <c r="CC59" s="37">
        <f>SUMIFS(Lançamentos!$F:$F,Lançamentos!$A:$A,CC$19,Lançamentos!$C:$C,"Treinamento e Capacitação")</f>
        <v>0</v>
      </c>
      <c r="CD59" s="37">
        <f>SUMIFS(Lançamentos!$F:$F,Lançamentos!$A:$A,CD$19,Lançamentos!$C:$C,"Treinamento e Capacitação")</f>
        <v>0</v>
      </c>
      <c r="CE59" s="37">
        <f>SUMIFS(Lançamentos!$F:$F,Lançamentos!$A:$A,CE$19,Lançamentos!$C:$C,"Treinamento e Capacitação")</f>
        <v>0</v>
      </c>
      <c r="CF59" s="37">
        <f>SUMIFS(Lançamentos!$F:$F,Lançamentos!$A:$A,CF$19,Lançamentos!$C:$C,"Treinamento e Capacitação")</f>
        <v>0</v>
      </c>
      <c r="CG59" s="37">
        <f>SUMIFS(Lançamentos!$F:$F,Lançamentos!$A:$A,CG$19,Lançamentos!$C:$C,"Treinamento e Capacitação")</f>
        <v>0</v>
      </c>
      <c r="CH59" s="37">
        <f>SUMIFS(Lançamentos!$F:$F,Lançamentos!$A:$A,CH$19,Lançamentos!$C:$C,"Treinamento e Capacitação")</f>
        <v>0</v>
      </c>
      <c r="CI59" s="37">
        <f>SUMIFS(Lançamentos!$F:$F,Lançamentos!$A:$A,CI$19,Lançamentos!$C:$C,"Treinamento e Capacitação")</f>
        <v>0</v>
      </c>
      <c r="CJ59" s="37">
        <f>SUMIFS(Lançamentos!$F:$F,Lançamentos!$A:$A,CJ$19,Lançamentos!$C:$C,"Treinamento e Capacitação")</f>
        <v>0</v>
      </c>
      <c r="CK59" s="37">
        <f>SUMIFS(Lançamentos!$F:$F,Lançamentos!$A:$A,CK$19,Lançamentos!$C:$C,"Treinamento e Capacitação")</f>
        <v>0</v>
      </c>
      <c r="CL59" s="37">
        <f>SUMIFS(Lançamentos!$F:$F,Lançamentos!$A:$A,CL$19,Lançamentos!$C:$C,"Treinamento e Capacitação")</f>
        <v>0</v>
      </c>
      <c r="CM59" s="37">
        <f>SUMIFS(Lançamentos!$F:$F,Lançamentos!$A:$A,CM$19,Lançamentos!$C:$C,"Treinamento e Capacitação")</f>
        <v>0</v>
      </c>
      <c r="CN59" s="37">
        <f>SUMIFS(Lançamentos!$F:$F,Lançamentos!$A:$A,CN$19,Lançamentos!$C:$C,"Treinamento e Capacitação")</f>
        <v>0</v>
      </c>
      <c r="CO59" s="37">
        <f>SUMIFS(Lançamentos!$F:$F,Lançamentos!$A:$A,CO$19,Lançamentos!$C:$C,"Treinamento e Capacitação")</f>
        <v>0</v>
      </c>
      <c r="CP59" s="37">
        <f>SUMIFS(Lançamentos!$F:$F,Lançamentos!$A:$A,CP$19,Lançamentos!$C:$C,"Treinamento e Capacitação")</f>
        <v>0</v>
      </c>
      <c r="CQ59" s="37">
        <f>SUMIFS(Lançamentos!$F:$F,Lançamentos!$A:$A,CQ$19,Lançamentos!$C:$C,"Treinamento e Capacitação")</f>
        <v>0</v>
      </c>
      <c r="CR59" s="37">
        <f>SUMIFS(Lançamentos!$F:$F,Lançamentos!$A:$A,CR$19,Lançamentos!$C:$C,"Treinamento e Capacitação")</f>
        <v>0</v>
      </c>
      <c r="CS59" s="37">
        <f>SUMIFS(Lançamentos!$F:$F,Lançamentos!$A:$A,CS$19,Lançamentos!$C:$C,"Treinamento e Capacitação")</f>
        <v>0</v>
      </c>
      <c r="CT59" s="37">
        <f>SUMIFS(Lançamentos!$F:$F,Lançamentos!$A:$A,CT$19,Lançamentos!$C:$C,"Treinamento e Capacitação")</f>
        <v>0</v>
      </c>
      <c r="CU59" s="37">
        <f>SUMIFS(Lançamentos!$F:$F,Lançamentos!$A:$A,CU$19,Lançamentos!$C:$C,"Treinamento e Capacitação")</f>
        <v>0</v>
      </c>
      <c r="CV59" s="37">
        <f>SUMIFS(Lançamentos!$F:$F,Lançamentos!$A:$A,CV$19,Lançamentos!$C:$C,"Treinamento e Capacitação")</f>
        <v>0</v>
      </c>
      <c r="CW59" s="37">
        <f>SUMIFS(Lançamentos!$F:$F,Lançamentos!$A:$A,CW$19,Lançamentos!$C:$C,"Treinamento e Capacitação")</f>
        <v>0</v>
      </c>
      <c r="CX59" s="37">
        <f>SUMIFS(Lançamentos!$F:$F,Lançamentos!$A:$A,CX$19,Lançamentos!$C:$C,"Treinamento e Capacitação")</f>
        <v>0</v>
      </c>
      <c r="CY59" s="37">
        <f>SUMIFS(Lançamentos!$F:$F,Lançamentos!$A:$A,CY$19,Lançamentos!$C:$C,"Treinamento e Capacitação")</f>
        <v>0</v>
      </c>
      <c r="CZ59" s="37">
        <f>SUMIFS(Lançamentos!$F:$F,Lançamentos!$A:$A,CZ$19,Lançamentos!$C:$C,"Treinamento e Capacitação")</f>
        <v>0</v>
      </c>
      <c r="DA59" s="37">
        <f>SUMIFS(Lançamentos!$F:$F,Lançamentos!$A:$A,DA$19,Lançamentos!$C:$C,"Treinamento e Capacitação")</f>
        <v>0</v>
      </c>
      <c r="DB59" s="37">
        <f>SUMIFS(Lançamentos!$F:$F,Lançamentos!$A:$A,DB$19,Lançamentos!$C:$C,"Treinamento e Capacitação")</f>
        <v>0</v>
      </c>
      <c r="DC59" s="37">
        <f>SUMIFS(Lançamentos!$F:$F,Lançamentos!$A:$A,DC$19,Lançamentos!$C:$C,"Treinamento e Capacitação")</f>
        <v>0</v>
      </c>
      <c r="DD59" s="37">
        <f>SUMIFS(Lançamentos!$F:$F,Lançamentos!$A:$A,DD$19,Lançamentos!$C:$C,"Treinamento e Capacitação")</f>
        <v>0</v>
      </c>
      <c r="DE59" s="37">
        <f>SUMIFS(Lançamentos!$F:$F,Lançamentos!$A:$A,DE$19,Lançamentos!$C:$C,"Treinamento e Capacitação")</f>
        <v>0</v>
      </c>
      <c r="DF59" s="37">
        <f>SUMIFS(Lançamentos!$F:$F,Lançamentos!$A:$A,DF$19,Lançamentos!$C:$C,"Treinamento e Capacitação")</f>
        <v>0</v>
      </c>
      <c r="DG59" s="37">
        <f>SUMIFS(Lançamentos!$F:$F,Lançamentos!$A:$A,DG$19,Lançamentos!$C:$C,"Treinamento e Capacitação")</f>
        <v>0</v>
      </c>
      <c r="DH59" s="37">
        <f>SUMIFS(Lançamentos!$F:$F,Lançamentos!$A:$A,DH$19,Lançamentos!$C:$C,"Treinamento e Capacitação")</f>
        <v>0</v>
      </c>
      <c r="DI59" s="37">
        <f>SUMIFS(Lançamentos!$F:$F,Lançamentos!$A:$A,DI$19,Lançamentos!$C:$C,"Treinamento e Capacitação")</f>
        <v>0</v>
      </c>
      <c r="DJ59" s="37">
        <f>SUMIFS(Lançamentos!$F:$F,Lançamentos!$A:$A,DJ$19,Lançamentos!$C:$C,"Treinamento e Capacitação")</f>
        <v>0</v>
      </c>
      <c r="DK59" s="37">
        <f>SUMIFS(Lançamentos!$F:$F,Lançamentos!$A:$A,DK$19,Lançamentos!$C:$C,"Treinamento e Capacitação")</f>
        <v>0</v>
      </c>
      <c r="DL59" s="37">
        <f>SUMIFS(Lançamentos!$F:$F,Lançamentos!$A:$A,DL$19,Lançamentos!$C:$C,"Treinamento e Capacitação")</f>
        <v>0</v>
      </c>
      <c r="DM59" s="37">
        <f>SUMIFS(Lançamentos!$F:$F,Lançamentos!$A:$A,DM$19,Lançamentos!$C:$C,"Treinamento e Capacitação")</f>
        <v>0</v>
      </c>
      <c r="DN59" s="37">
        <f>SUMIFS(Lançamentos!$F:$F,Lançamentos!$A:$A,DN$19,Lançamentos!$C:$C,"Treinamento e Capacitação")</f>
        <v>0</v>
      </c>
      <c r="DO59" s="37">
        <f>SUMIFS(Lançamentos!$F:$F,Lançamentos!$A:$A,DO$19,Lançamentos!$C:$C,"Treinamento e Capacitação")</f>
        <v>0</v>
      </c>
      <c r="DP59" s="37">
        <f>SUMIFS(Lançamentos!$F:$F,Lançamentos!$A:$A,DP$19,Lançamentos!$C:$C,"Treinamento e Capacitação")</f>
        <v>0</v>
      </c>
      <c r="DQ59" s="37">
        <f>SUMIFS(Lançamentos!$F:$F,Lançamentos!$A:$A,DQ$19,Lançamentos!$C:$C,"Treinamento e Capacitação")</f>
        <v>0</v>
      </c>
      <c r="DR59" s="37">
        <f>SUMIFS(Lançamentos!$F:$F,Lançamentos!$A:$A,DR$19,Lançamentos!$C:$C,"Treinamento e Capacitação")</f>
        <v>0</v>
      </c>
      <c r="DS59" s="37">
        <f>SUMIFS(Lançamentos!$F:$F,Lançamentos!$A:$A,DS$19,Lançamentos!$C:$C,"Treinamento e Capacitação")</f>
        <v>0</v>
      </c>
      <c r="DT59" s="37">
        <f>SUMIFS(Lançamentos!$F:$F,Lançamentos!$A:$A,DT$19,Lançamentos!$C:$C,"Treinamento e Capacitação")</f>
        <v>0</v>
      </c>
      <c r="DU59" s="37">
        <f>SUMIFS(Lançamentos!$F:$F,Lançamentos!$A:$A,DU$19,Lançamentos!$C:$C,"Treinamento e Capacitação")</f>
        <v>0</v>
      </c>
      <c r="DV59" s="37">
        <f>SUMIFS(Lançamentos!$F:$F,Lançamentos!$A:$A,DV$19,Lançamentos!$C:$C,"Treinamento e Capacitação")</f>
        <v>0</v>
      </c>
      <c r="DW59" s="37">
        <f>SUMIFS(Lançamentos!$F:$F,Lançamentos!$A:$A,DW$19,Lançamentos!$C:$C,"Treinamento e Capacitação")</f>
        <v>0</v>
      </c>
      <c r="DX59" s="37">
        <f>SUMIFS(Lançamentos!$F:$F,Lançamentos!$A:$A,DX$19,Lançamentos!$C:$C,"Treinamento e Capacitação")</f>
        <v>0</v>
      </c>
      <c r="DY59" s="37">
        <f>SUMIFS(Lançamentos!$F:$F,Lançamentos!$A:$A,DY$19,Lançamentos!$C:$C,"Treinamento e Capacitação")</f>
        <v>0</v>
      </c>
      <c r="DZ59" s="37">
        <f>SUMIFS(Lançamentos!$F:$F,Lançamentos!$A:$A,DZ$19,Lançamentos!$C:$C,"Treinamento e Capacitação")</f>
        <v>0</v>
      </c>
      <c r="EA59" s="37">
        <f>SUMIFS(Lançamentos!$F:$F,Lançamentos!$A:$A,EA$19,Lançamentos!$C:$C,"Treinamento e Capacitação")</f>
        <v>0</v>
      </c>
      <c r="EB59" s="37">
        <f>SUMIFS(Lançamentos!$F:$F,Lançamentos!$A:$A,EB$19,Lançamentos!$C:$C,"Treinamento e Capacitação")</f>
        <v>0</v>
      </c>
      <c r="EC59" s="37">
        <f>SUMIFS(Lançamentos!$F:$F,Lançamentos!$A:$A,EC$19,Lançamentos!$C:$C,"Treinamento e Capacitação")</f>
        <v>0</v>
      </c>
      <c r="ED59" s="37">
        <f>SUMIFS(Lançamentos!$F:$F,Lançamentos!$A:$A,ED$19,Lançamentos!$C:$C,"Treinamento e Capacitação")</f>
        <v>0</v>
      </c>
      <c r="EE59" s="37">
        <f>SUMIFS(Lançamentos!$F:$F,Lançamentos!$A:$A,EE$19,Lançamentos!$C:$C,"Treinamento e Capacitação")</f>
        <v>0</v>
      </c>
      <c r="EF59" s="37">
        <f>SUMIFS(Lançamentos!$F:$F,Lançamentos!$A:$A,EF$19,Lançamentos!$C:$C,"Treinamento e Capacitação")</f>
        <v>0</v>
      </c>
      <c r="EG59" s="37">
        <f>SUMIFS(Lançamentos!$F:$F,Lançamentos!$A:$A,EG$19,Lançamentos!$C:$C,"Treinamento e Capacitação")</f>
        <v>0</v>
      </c>
      <c r="EH59" s="37">
        <f>SUMIFS(Lançamentos!$F:$F,Lançamentos!$A:$A,EH$19,Lançamentos!$C:$C,"Treinamento e Capacitação")</f>
        <v>0</v>
      </c>
      <c r="EI59" s="37">
        <f>SUMIFS(Lançamentos!$F:$F,Lançamentos!$A:$A,EI$19,Lançamentos!$C:$C,"Treinamento e Capacitação")</f>
        <v>0</v>
      </c>
      <c r="EJ59" s="37">
        <f>SUMIFS(Lançamentos!$F:$F,Lançamentos!$A:$A,EJ$19,Lançamentos!$C:$C,"Treinamento e Capacitação")</f>
        <v>0</v>
      </c>
      <c r="EK59" s="37">
        <f>SUMIFS(Lançamentos!$F:$F,Lançamentos!$A:$A,EK$19,Lançamentos!$C:$C,"Treinamento e Capacitação")</f>
        <v>0</v>
      </c>
      <c r="EL59" s="37">
        <f>SUMIFS(Lançamentos!$F:$F,Lançamentos!$A:$A,EL$19,Lançamentos!$C:$C,"Treinamento e Capacitação")</f>
        <v>0</v>
      </c>
      <c r="EM59" s="37">
        <f>SUMIFS(Lançamentos!$F:$F,Lançamentos!$A:$A,EM$19,Lançamentos!$C:$C,"Treinamento e Capacitação")</f>
        <v>0</v>
      </c>
      <c r="EN59" s="37">
        <f>SUMIFS(Lançamentos!$F:$F,Lançamentos!$A:$A,EN$19,Lançamentos!$C:$C,"Treinamento e Capacitação")</f>
        <v>0</v>
      </c>
      <c r="EO59" s="37">
        <f>SUMIFS(Lançamentos!$F:$F,Lançamentos!$A:$A,EO$19,Lançamentos!$C:$C,"Treinamento e Capacitação")</f>
        <v>0</v>
      </c>
      <c r="EP59" s="37">
        <f>SUMIFS(Lançamentos!$F:$F,Lançamentos!$A:$A,EP$19,Lançamentos!$C:$C,"Treinamento e Capacitação")</f>
        <v>0</v>
      </c>
      <c r="EQ59" s="37">
        <f>SUMIFS(Lançamentos!$F:$F,Lançamentos!$A:$A,EQ$19,Lançamentos!$C:$C,"Treinamento e Capacitação")</f>
        <v>0</v>
      </c>
      <c r="ER59" s="37">
        <f>SUMIFS(Lançamentos!$F:$F,Lançamentos!$A:$A,ER$19,Lançamentos!$C:$C,"Treinamento e Capacitação")</f>
        <v>0</v>
      </c>
      <c r="ES59" s="37">
        <f>SUMIFS(Lançamentos!$F:$F,Lançamentos!$A:$A,ES$19,Lançamentos!$C:$C,"Treinamento e Capacitação")</f>
        <v>0</v>
      </c>
      <c r="ET59" s="37">
        <f>SUMIFS(Lançamentos!$F:$F,Lançamentos!$A:$A,ET$19,Lançamentos!$C:$C,"Treinamento e Capacitação")</f>
        <v>0</v>
      </c>
      <c r="EU59" s="37">
        <f>SUMIFS(Lançamentos!$F:$F,Lançamentos!$A:$A,EU$19,Lançamentos!$C:$C,"Treinamento e Capacitação")</f>
        <v>0</v>
      </c>
      <c r="EV59" s="37">
        <f>SUMIFS(Lançamentos!$F:$F,Lançamentos!$A:$A,EV$19,Lançamentos!$C:$C,"Treinamento e Capacitação")</f>
        <v>0</v>
      </c>
      <c r="EW59" s="37">
        <f>SUMIFS(Lançamentos!$F:$F,Lançamentos!$A:$A,EW$19,Lançamentos!$C:$C,"Treinamento e Capacitação")</f>
        <v>0</v>
      </c>
      <c r="EX59" s="37">
        <f>SUMIFS(Lançamentos!$F:$F,Lançamentos!$A:$A,EX$19,Lançamentos!$C:$C,"Treinamento e Capacitação")</f>
        <v>0</v>
      </c>
      <c r="EY59" s="37">
        <f>SUMIFS(Lançamentos!$F:$F,Lançamentos!$A:$A,EY$19,Lançamentos!$C:$C,"Treinamento e Capacitação")</f>
        <v>0</v>
      </c>
      <c r="EZ59" s="37">
        <f>SUMIFS(Lançamentos!$F:$F,Lançamentos!$A:$A,EZ$19,Lançamentos!$C:$C,"Treinamento e Capacitação")</f>
        <v>0</v>
      </c>
      <c r="FA59" s="37">
        <f>SUMIFS(Lançamentos!$F:$F,Lançamentos!$A:$A,FA$19,Lançamentos!$C:$C,"Treinamento e Capacitação")</f>
        <v>0</v>
      </c>
      <c r="FB59" s="37">
        <f>SUMIFS(Lançamentos!$F:$F,Lançamentos!$A:$A,FB$19,Lançamentos!$C:$C,"Treinamento e Capacitação")</f>
        <v>0</v>
      </c>
      <c r="FC59" s="37">
        <f>SUMIFS(Lançamentos!$F:$F,Lançamentos!$A:$A,FC$19,Lançamentos!$C:$C,"Treinamento e Capacitação")</f>
        <v>0</v>
      </c>
      <c r="FD59" s="37">
        <f>SUMIFS(Lançamentos!$F:$F,Lançamentos!$A:$A,FD$19,Lançamentos!$C:$C,"Treinamento e Capacitação")</f>
        <v>0</v>
      </c>
      <c r="FE59" s="37">
        <f>SUMIFS(Lançamentos!$F:$F,Lançamentos!$A:$A,FE$19,Lançamentos!$C:$C,"Treinamento e Capacitação")</f>
        <v>0</v>
      </c>
      <c r="FF59" s="37">
        <f>SUMIFS(Lançamentos!$F:$F,Lançamentos!$A:$A,FF$19,Lançamentos!$C:$C,"Treinamento e Capacitação")</f>
        <v>0</v>
      </c>
      <c r="FG59" s="37">
        <f>SUMIFS(Lançamentos!$F:$F,Lançamentos!$A:$A,FG$19,Lançamentos!$C:$C,"Treinamento e Capacitação")</f>
        <v>0</v>
      </c>
      <c r="FH59" s="37">
        <f>SUMIFS(Lançamentos!$F:$F,Lançamentos!$A:$A,FH$19,Lançamentos!$C:$C,"Treinamento e Capacitação")</f>
        <v>0</v>
      </c>
      <c r="FI59" s="37">
        <f>SUMIFS(Lançamentos!$F:$F,Lançamentos!$A:$A,FI$19,Lançamentos!$C:$C,"Treinamento e Capacitação")</f>
        <v>0</v>
      </c>
      <c r="FJ59" s="37">
        <f>SUMIFS(Lançamentos!$F:$F,Lançamentos!$A:$A,FJ$19,Lançamentos!$C:$C,"Treinamento e Capacitação")</f>
        <v>0</v>
      </c>
      <c r="FK59" s="37">
        <f>SUMIFS(Lançamentos!$F:$F,Lançamentos!$A:$A,FK$19,Lançamentos!$C:$C,"Treinamento e Capacitação")</f>
        <v>0</v>
      </c>
      <c r="FL59" s="37">
        <f>SUMIFS(Lançamentos!$F:$F,Lançamentos!$A:$A,FL$19,Lançamentos!$C:$C,"Treinamento e Capacitação")</f>
        <v>0</v>
      </c>
      <c r="FM59" s="37">
        <f>SUMIFS(Lançamentos!$F:$F,Lançamentos!$A:$A,FM$19,Lançamentos!$C:$C,"Treinamento e Capacitação")</f>
        <v>0</v>
      </c>
      <c r="FN59" s="37">
        <f>SUMIFS(Lançamentos!$F:$F,Lançamentos!$A:$A,FN$19,Lançamentos!$C:$C,"Treinamento e Capacitação")</f>
        <v>0</v>
      </c>
      <c r="FO59" s="37">
        <f>SUMIFS(Lançamentos!$F:$F,Lançamentos!$A:$A,FO$19,Lançamentos!$C:$C,"Treinamento e Capacitação")</f>
        <v>0</v>
      </c>
      <c r="FP59" s="37">
        <f>SUMIFS(Lançamentos!$F:$F,Lançamentos!$A:$A,FP$19,Lançamentos!$C:$C,"Treinamento e Capacitação")</f>
        <v>0</v>
      </c>
      <c r="FQ59" s="37">
        <f>SUMIFS(Lançamentos!$F:$F,Lançamentos!$A:$A,FQ$19,Lançamentos!$C:$C,"Treinamento e Capacitação")</f>
        <v>0</v>
      </c>
      <c r="FR59" s="37">
        <f>SUMIFS(Lançamentos!$F:$F,Lançamentos!$A:$A,FR$19,Lançamentos!$C:$C,"Treinamento e Capacitação")</f>
        <v>0</v>
      </c>
      <c r="FS59" s="37">
        <f>SUMIFS(Lançamentos!$F:$F,Lançamentos!$A:$A,FS$19,Lançamentos!$C:$C,"Treinamento e Capacitação")</f>
        <v>0</v>
      </c>
      <c r="FT59" s="37">
        <f>SUMIFS(Lançamentos!$F:$F,Lançamentos!$A:$A,FT$19,Lançamentos!$C:$C,"Treinamento e Capacitação")</f>
        <v>0</v>
      </c>
      <c r="FU59" s="37">
        <f>SUMIFS(Lançamentos!$F:$F,Lançamentos!$A:$A,FU$19,Lançamentos!$C:$C,"Treinamento e Capacitação")</f>
        <v>0</v>
      </c>
      <c r="FV59" s="37">
        <f>SUMIFS(Lançamentos!$F:$F,Lançamentos!$A:$A,FV$19,Lançamentos!$C:$C,"Treinamento e Capacitação")</f>
        <v>0</v>
      </c>
      <c r="FW59" s="37">
        <f>SUMIFS(Lançamentos!$F:$F,Lançamentos!$A:$A,FW$19,Lançamentos!$C:$C,"Treinamento e Capacitação")</f>
        <v>0</v>
      </c>
      <c r="FX59" s="37">
        <f>SUMIFS(Lançamentos!$F:$F,Lançamentos!$A:$A,FX$19,Lançamentos!$C:$C,"Treinamento e Capacitação")</f>
        <v>0</v>
      </c>
      <c r="FY59" s="37">
        <f>SUMIFS(Lançamentos!$F:$F,Lançamentos!$A:$A,FY$19,Lançamentos!$C:$C,"Treinamento e Capacitação")</f>
        <v>0</v>
      </c>
      <c r="FZ59" s="37">
        <f>SUMIFS(Lançamentos!$F:$F,Lançamentos!$A:$A,FZ$19,Lançamentos!$C:$C,"Treinamento e Capacitação")</f>
        <v>0</v>
      </c>
      <c r="GA59" s="37">
        <f>SUMIFS(Lançamentos!$F:$F,Lançamentos!$A:$A,GA$19,Lançamentos!$C:$C,"Treinamento e Capacitação")</f>
        <v>0</v>
      </c>
      <c r="GB59" s="37">
        <f>SUMIFS(Lançamentos!$F:$F,Lançamentos!$A:$A,GB$19,Lançamentos!$C:$C,"Treinamento e Capacitação")</f>
        <v>0</v>
      </c>
      <c r="GC59" s="37">
        <f>SUMIFS(Lançamentos!$F:$F,Lançamentos!$A:$A,GC$19,Lançamentos!$C:$C,"Treinamento e Capacitação")</f>
        <v>0</v>
      </c>
      <c r="GD59" s="37">
        <f>SUMIFS(Lançamentos!$F:$F,Lançamentos!$A:$A,GD$19,Lançamentos!$C:$C,"Treinamento e Capacitação")</f>
        <v>0</v>
      </c>
      <c r="GE59" s="37">
        <f>SUMIFS(Lançamentos!$F:$F,Lançamentos!$A:$A,GE$19,Lançamentos!$C:$C,"Treinamento e Capacitação")</f>
        <v>0</v>
      </c>
      <c r="GF59" s="37">
        <f>SUMIFS(Lançamentos!$F:$F,Lançamentos!$A:$A,GF$19,Lançamentos!$C:$C,"Treinamento e Capacitação")</f>
        <v>0</v>
      </c>
      <c r="GG59" s="37">
        <f>SUMIFS(Lançamentos!$F:$F,Lançamentos!$A:$A,GG$19,Lançamentos!$C:$C,"Treinamento e Capacitação")</f>
        <v>0</v>
      </c>
      <c r="GH59" s="37">
        <f>SUMIFS(Lançamentos!$F:$F,Lançamentos!$A:$A,GH$19,Lançamentos!$C:$C,"Treinamento e Capacitação")</f>
        <v>0</v>
      </c>
      <c r="GI59" s="37">
        <f>SUMIFS(Lançamentos!$F:$F,Lançamentos!$A:$A,GI$19,Lançamentos!$C:$C,"Treinamento e Capacitação")</f>
        <v>0</v>
      </c>
      <c r="GJ59" s="37">
        <f>SUMIFS(Lançamentos!$F:$F,Lançamentos!$A:$A,GJ$19,Lançamentos!$C:$C,"Treinamento e Capacitação")</f>
        <v>0</v>
      </c>
      <c r="GK59" s="37">
        <f>SUMIFS(Lançamentos!$F:$F,Lançamentos!$A:$A,GK$19,Lançamentos!$C:$C,"Treinamento e Capacitação")</f>
        <v>0</v>
      </c>
      <c r="GL59" s="37">
        <f>SUMIFS(Lançamentos!$F:$F,Lançamentos!$A:$A,GL$19,Lançamentos!$C:$C,"Treinamento e Capacitação")</f>
        <v>0</v>
      </c>
      <c r="GM59" s="37">
        <f>SUMIFS(Lançamentos!$F:$F,Lançamentos!$A:$A,GM$19,Lançamentos!$C:$C,"Treinamento e Capacitação")</f>
        <v>0</v>
      </c>
      <c r="GN59" s="37">
        <f>SUMIFS(Lançamentos!$F:$F,Lançamentos!$A:$A,GN$19,Lançamentos!$C:$C,"Treinamento e Capacitação")</f>
        <v>0</v>
      </c>
      <c r="GO59" s="37">
        <f>SUMIFS(Lançamentos!$F:$F,Lançamentos!$A:$A,GO$19,Lançamentos!$C:$C,"Treinamento e Capacitação")</f>
        <v>0</v>
      </c>
      <c r="GP59" s="37">
        <f>SUMIFS(Lançamentos!$F:$F,Lançamentos!$A:$A,GP$19,Lançamentos!$C:$C,"Treinamento e Capacitação")</f>
        <v>0</v>
      </c>
      <c r="GQ59" s="37">
        <f>SUMIFS(Lançamentos!$F:$F,Lançamentos!$A:$A,GQ$19,Lançamentos!$C:$C,"Treinamento e Capacitação")</f>
        <v>0</v>
      </c>
      <c r="GR59" s="37">
        <f>SUMIFS(Lançamentos!$F:$F,Lançamentos!$A:$A,GR$19,Lançamentos!$C:$C,"Treinamento e Capacitação")</f>
        <v>0</v>
      </c>
      <c r="GS59" s="37">
        <f>SUMIFS(Lançamentos!$F:$F,Lançamentos!$A:$A,GS$19,Lançamentos!$C:$C,"Treinamento e Capacitação")</f>
        <v>0</v>
      </c>
      <c r="GT59" s="37">
        <f>SUMIFS(Lançamentos!$F:$F,Lançamentos!$A:$A,GT$19,Lançamentos!$C:$C,"Treinamento e Capacitação")</f>
        <v>0</v>
      </c>
      <c r="GU59" s="37">
        <f>SUMIFS(Lançamentos!$F:$F,Lançamentos!$A:$A,GU$19,Lançamentos!$C:$C,"Treinamento e Capacitação")</f>
        <v>0</v>
      </c>
      <c r="GV59" s="37">
        <f>SUMIFS(Lançamentos!$F:$F,Lançamentos!$A:$A,GV$19,Lançamentos!$C:$C,"Treinamento e Capacitação")</f>
        <v>0</v>
      </c>
      <c r="GW59" s="37">
        <f>SUMIFS(Lançamentos!$F:$F,Lançamentos!$A:$A,GW$19,Lançamentos!$C:$C,"Treinamento e Capacitação")</f>
        <v>0</v>
      </c>
      <c r="GX59" s="37">
        <f>SUMIFS(Lançamentos!$F:$F,Lançamentos!$A:$A,GX$19,Lançamentos!$C:$C,"Treinamento e Capacitação")</f>
        <v>0</v>
      </c>
      <c r="GY59" s="37">
        <f>SUMIFS(Lançamentos!$F:$F,Lançamentos!$A:$A,GY$19,Lançamentos!$C:$C,"Treinamento e Capacitação")</f>
        <v>0</v>
      </c>
      <c r="GZ59" s="37">
        <f>SUMIFS(Lançamentos!$F:$F,Lançamentos!$A:$A,GZ$19,Lançamentos!$C:$C,"Treinamento e Capacitação")</f>
        <v>0</v>
      </c>
      <c r="HA59" s="37">
        <f>SUMIFS(Lançamentos!$F:$F,Lançamentos!$A:$A,HA$19,Lançamentos!$C:$C,"Treinamento e Capacitação")</f>
        <v>0</v>
      </c>
      <c r="HB59" s="37">
        <f>SUMIFS(Lançamentos!$F:$F,Lançamentos!$A:$A,HB$19,Lançamentos!$C:$C,"Treinamento e Capacitação")</f>
        <v>0</v>
      </c>
      <c r="HC59" s="37">
        <f>SUMIFS(Lançamentos!$F:$F,Lançamentos!$A:$A,HC$19,Lançamentos!$C:$C,"Treinamento e Capacitação")</f>
        <v>0</v>
      </c>
      <c r="HD59" s="37">
        <f>SUMIFS(Lançamentos!$F:$F,Lançamentos!$A:$A,HD$19,Lançamentos!$C:$C,"Treinamento e Capacitação")</f>
        <v>0</v>
      </c>
      <c r="HE59" s="37">
        <f>SUMIFS(Lançamentos!$F:$F,Lançamentos!$A:$A,HE$19,Lançamentos!$C:$C,"Treinamento e Capacitação")</f>
        <v>0</v>
      </c>
      <c r="HF59" s="37">
        <f>SUMIFS(Lançamentos!$F:$F,Lançamentos!$A:$A,HF$19,Lançamentos!$C:$C,"Treinamento e Capacitação")</f>
        <v>0</v>
      </c>
      <c r="HG59" s="37">
        <f>SUMIFS(Lançamentos!$F:$F,Lançamentos!$A:$A,HG$19,Lançamentos!$C:$C,"Treinamento e Capacitação")</f>
        <v>0</v>
      </c>
      <c r="HH59" s="37">
        <f>SUMIFS(Lançamentos!$F:$F,Lançamentos!$A:$A,HH$19,Lançamentos!$C:$C,"Treinamento e Capacitação")</f>
        <v>0</v>
      </c>
      <c r="HI59" s="37">
        <f>SUMIFS(Lançamentos!$F:$F,Lançamentos!$A:$A,HI$19,Lançamentos!$C:$C,"Treinamento e Capacitação")</f>
        <v>0</v>
      </c>
      <c r="HJ59" s="37">
        <f>SUMIFS(Lançamentos!$F:$F,Lançamentos!$A:$A,HJ$19,Lançamentos!$C:$C,"Treinamento e Capacitação")</f>
        <v>0</v>
      </c>
      <c r="HK59" s="37">
        <f>SUMIFS(Lançamentos!$F:$F,Lançamentos!$A:$A,HK$19,Lançamentos!$C:$C,"Treinamento e Capacitação")</f>
        <v>0</v>
      </c>
      <c r="HL59" s="37">
        <f>SUMIFS(Lançamentos!$F:$F,Lançamentos!$A:$A,HL$19,Lançamentos!$C:$C,"Treinamento e Capacitação")</f>
        <v>0</v>
      </c>
      <c r="HM59" s="37">
        <f>SUMIFS(Lançamentos!$F:$F,Lançamentos!$A:$A,HM$19,Lançamentos!$C:$C,"Treinamento e Capacitação")</f>
        <v>0</v>
      </c>
      <c r="HN59" s="37">
        <f>SUMIFS(Lançamentos!$F:$F,Lançamentos!$A:$A,HN$19,Lançamentos!$C:$C,"Treinamento e Capacitação")</f>
        <v>0</v>
      </c>
      <c r="HO59" s="37">
        <f>SUMIFS(Lançamentos!$F:$F,Lançamentos!$A:$A,HO$19,Lançamentos!$C:$C,"Treinamento e Capacitação")</f>
        <v>0</v>
      </c>
      <c r="HP59" s="37">
        <f>SUMIFS(Lançamentos!$F:$F,Lançamentos!$A:$A,HP$19,Lançamentos!$C:$C,"Treinamento e Capacitação")</f>
        <v>0</v>
      </c>
      <c r="HQ59" s="37">
        <f>SUMIFS(Lançamentos!$F:$F,Lançamentos!$A:$A,HQ$19,Lançamentos!$C:$C,"Treinamento e Capacitação")</f>
        <v>0</v>
      </c>
      <c r="HR59" s="37">
        <f>SUMIFS(Lançamentos!$F:$F,Lançamentos!$A:$A,HR$19,Lançamentos!$C:$C,"Treinamento e Capacitação")</f>
        <v>0</v>
      </c>
      <c r="HS59" s="37">
        <f>SUMIFS(Lançamentos!$F:$F,Lançamentos!$A:$A,HS$19,Lançamentos!$C:$C,"Treinamento e Capacitação")</f>
        <v>0</v>
      </c>
      <c r="HT59" s="37">
        <f>SUMIFS(Lançamentos!$F:$F,Lançamentos!$A:$A,HT$19,Lançamentos!$C:$C,"Treinamento e Capacitação")</f>
        <v>0</v>
      </c>
      <c r="HU59" s="37">
        <f>SUMIFS(Lançamentos!$F:$F,Lançamentos!$A:$A,HU$19,Lançamentos!$C:$C,"Treinamento e Capacitação")</f>
        <v>0</v>
      </c>
      <c r="HV59" s="37">
        <f>SUMIFS(Lançamentos!$F:$F,Lançamentos!$A:$A,HV$19,Lançamentos!$C:$C,"Treinamento e Capacitação")</f>
        <v>0</v>
      </c>
      <c r="HW59" s="37">
        <f>SUMIFS(Lançamentos!$F:$F,Lançamentos!$A:$A,HW$19,Lançamentos!$C:$C,"Treinamento e Capacitação")</f>
        <v>0</v>
      </c>
      <c r="HX59" s="37">
        <f>SUMIFS(Lançamentos!$F:$F,Lançamentos!$A:$A,HX$19,Lançamentos!$C:$C,"Treinamento e Capacitação")</f>
        <v>0</v>
      </c>
      <c r="HY59" s="37">
        <f>SUMIFS(Lançamentos!$F:$F,Lançamentos!$A:$A,HY$19,Lançamentos!$C:$C,"Treinamento e Capacitação")</f>
        <v>0</v>
      </c>
      <c r="HZ59" s="37">
        <f>SUMIFS(Lançamentos!$F:$F,Lançamentos!$A:$A,HZ$19,Lançamentos!$C:$C,"Treinamento e Capacitação")</f>
        <v>0</v>
      </c>
      <c r="IA59" s="37">
        <f>SUMIFS(Lançamentos!$F:$F,Lançamentos!$A:$A,IA$19,Lançamentos!$C:$C,"Treinamento e Capacitação")</f>
        <v>0</v>
      </c>
      <c r="IB59" s="37">
        <f>SUMIFS(Lançamentos!$F:$F,Lançamentos!$A:$A,IB$19,Lançamentos!$C:$C,"Treinamento e Capacitação")</f>
        <v>0</v>
      </c>
      <c r="IC59" s="37">
        <f>SUMIFS(Lançamentos!$F:$F,Lançamentos!$A:$A,IC$19,Lançamentos!$C:$C,"Treinamento e Capacitação")</f>
        <v>0</v>
      </c>
      <c r="ID59" s="37">
        <f>SUMIFS(Lançamentos!$F:$F,Lançamentos!$A:$A,ID$19,Lançamentos!$C:$C,"Treinamento e Capacitação")</f>
        <v>0</v>
      </c>
      <c r="IE59" s="37">
        <f>SUMIFS(Lançamentos!$F:$F,Lançamentos!$A:$A,IE$19,Lançamentos!$C:$C,"Treinamento e Capacitação")</f>
        <v>0</v>
      </c>
      <c r="IF59" s="37">
        <f>SUMIFS(Lançamentos!$F:$F,Lançamentos!$A:$A,IF$19,Lançamentos!$C:$C,"Treinamento e Capacitação")</f>
        <v>0</v>
      </c>
      <c r="IG59" s="37">
        <f>SUMIFS(Lançamentos!$F:$F,Lançamentos!$A:$A,IG$19,Lançamentos!$C:$C,"Treinamento e Capacitação")</f>
        <v>0</v>
      </c>
      <c r="IH59" s="37">
        <f>SUMIFS(Lançamentos!$F:$F,Lançamentos!$A:$A,IH$19,Lançamentos!$C:$C,"Treinamento e Capacitação")</f>
        <v>0</v>
      </c>
      <c r="II59" s="37">
        <f>SUMIFS(Lançamentos!$F:$F,Lançamentos!$A:$A,II$19,Lançamentos!$C:$C,"Treinamento e Capacitação")</f>
        <v>0</v>
      </c>
      <c r="IJ59" s="37">
        <f>SUMIFS(Lançamentos!$F:$F,Lançamentos!$A:$A,IJ$19,Lançamentos!$C:$C,"Treinamento e Capacitação")</f>
        <v>0</v>
      </c>
      <c r="IK59" s="37">
        <f>SUMIFS(Lançamentos!$F:$F,Lançamentos!$A:$A,IK$19,Lançamentos!$C:$C,"Treinamento e Capacitação")</f>
        <v>0</v>
      </c>
      <c r="IL59" s="37">
        <f>SUMIFS(Lançamentos!$F:$F,Lançamentos!$A:$A,IL$19,Lançamentos!$C:$C,"Treinamento e Capacitação")</f>
        <v>0</v>
      </c>
    </row>
    <row r="60" spans="1:246" x14ac:dyDescent="0.3">
      <c r="A60" t="s">
        <v>98</v>
      </c>
      <c r="B60" s="37">
        <f>SUMIFS(Lançamentos!$F:$F,Lançamentos!$A:$A,B$19,Lançamentos!$C:$C,"Honorários Contábeis")</f>
        <v>0</v>
      </c>
      <c r="C60" s="37">
        <f>SUMIFS(Lançamentos!$F:$F,Lançamentos!$A:$A,C$19,Lançamentos!$C:$C,"Honorários Contábeis")</f>
        <v>0</v>
      </c>
      <c r="D60" s="37">
        <f>SUMIFS(Lançamentos!$F:$F,Lançamentos!$A:$A,D$19,Lançamentos!$C:$C,"Honorários Contábeis")</f>
        <v>0</v>
      </c>
      <c r="E60" s="37">
        <f>SUMIFS(Lançamentos!$F:$F,Lançamentos!$A:$A,E$19,Lançamentos!$C:$C,"Honorários Contábeis")</f>
        <v>0</v>
      </c>
      <c r="F60" s="37">
        <f>SUMIFS(Lançamentos!$F:$F,Lançamentos!$A:$A,F$19,Lançamentos!$C:$C,"Honorários Contábeis")</f>
        <v>0</v>
      </c>
      <c r="G60" s="37">
        <f>SUMIFS(Lançamentos!$F:$F,Lançamentos!$A:$A,G$19,Lançamentos!$C:$C,"Honorários Contábeis")</f>
        <v>0</v>
      </c>
      <c r="H60" s="37">
        <f>SUMIFS(Lançamentos!$F:$F,Lançamentos!$A:$A,H$19,Lançamentos!$C:$C,"Honorários Contábeis")</f>
        <v>0</v>
      </c>
      <c r="I60" s="37">
        <f>SUMIFS(Lançamentos!$F:$F,Lançamentos!$A:$A,I$19,Lançamentos!$C:$C,"Honorários Contábeis")</f>
        <v>0</v>
      </c>
      <c r="J60" s="37">
        <f>SUMIFS(Lançamentos!$F:$F,Lançamentos!$A:$A,J$19,Lançamentos!$C:$C,"Honorários Contábeis")</f>
        <v>0</v>
      </c>
      <c r="K60" s="37">
        <f>SUMIFS(Lançamentos!$F:$F,Lançamentos!$A:$A,K$19,Lançamentos!$C:$C,"Honorários Contábeis")</f>
        <v>0</v>
      </c>
      <c r="L60" s="37">
        <f>SUMIFS(Lançamentos!$F:$F,Lançamentos!$A:$A,L$19,Lançamentos!$C:$C,"Honorários Contábeis")</f>
        <v>0</v>
      </c>
      <c r="M60" s="37">
        <f>SUMIFS(Lançamentos!$F:$F,Lançamentos!$A:$A,M$19,Lançamentos!$C:$C,"Honorários Contábeis")</f>
        <v>0</v>
      </c>
      <c r="N60" s="37">
        <f>SUMIFS(Lançamentos!$F:$F,Lançamentos!$A:$A,N$19,Lançamentos!$C:$C,"Honorários Contábeis")</f>
        <v>0</v>
      </c>
      <c r="O60" s="37">
        <f>SUMIFS(Lançamentos!$F:$F,Lançamentos!$A:$A,O$19,Lançamentos!$C:$C,"Honorários Contábeis")</f>
        <v>0</v>
      </c>
      <c r="P60" s="37">
        <f>SUMIFS(Lançamentos!$F:$F,Lançamentos!$A:$A,P$19,Lançamentos!$C:$C,"Honorários Contábeis")</f>
        <v>0</v>
      </c>
      <c r="Q60" s="37">
        <f>SUMIFS(Lançamentos!$F:$F,Lançamentos!$A:$A,Q$19,Lançamentos!$C:$C,"Honorários Contábeis")</f>
        <v>0</v>
      </c>
      <c r="R60" s="37">
        <f>SUMIFS(Lançamentos!$F:$F,Lançamentos!$A:$A,R$19,Lançamentos!$C:$C,"Honorários Contábeis")</f>
        <v>0</v>
      </c>
      <c r="S60" s="37">
        <f>SUMIFS(Lançamentos!$F:$F,Lançamentos!$A:$A,S$19,Lançamentos!$C:$C,"Honorários Contábeis")</f>
        <v>0</v>
      </c>
      <c r="T60" s="37">
        <f>SUMIFS(Lançamentos!$F:$F,Lançamentos!$A:$A,T$19,Lançamentos!$C:$C,"Honorários Contábeis")</f>
        <v>0</v>
      </c>
      <c r="U60" s="37">
        <f>SUMIFS(Lançamentos!$F:$F,Lançamentos!$A:$A,U$19,Lançamentos!$C:$C,"Honorários Contábeis")</f>
        <v>0</v>
      </c>
      <c r="V60" s="37">
        <f>SUMIFS(Lançamentos!$F:$F,Lançamentos!$A:$A,V$19,Lançamentos!$C:$C,"Honorários Contábeis")</f>
        <v>0</v>
      </c>
      <c r="W60" s="37">
        <f>SUMIFS(Lançamentos!$F:$F,Lançamentos!$A:$A,W$19,Lançamentos!$C:$C,"Honorários Contábeis")</f>
        <v>0</v>
      </c>
      <c r="X60" s="37">
        <f>SUMIFS(Lançamentos!$F:$F,Lançamentos!$A:$A,X$19,Lançamentos!$C:$C,"Honorários Contábeis")</f>
        <v>0</v>
      </c>
      <c r="Y60" s="37">
        <f>SUMIFS(Lançamentos!$F:$F,Lançamentos!$A:$A,Y$19,Lançamentos!$C:$C,"Honorários Contábeis")</f>
        <v>0</v>
      </c>
      <c r="Z60" s="37">
        <f>SUMIFS(Lançamentos!$F:$F,Lançamentos!$A:$A,Z$19,Lançamentos!$C:$C,"Honorários Contábeis")</f>
        <v>0</v>
      </c>
      <c r="AA60" s="37">
        <f>SUMIFS(Lançamentos!$F:$F,Lançamentos!$A:$A,AA$19,Lançamentos!$C:$C,"Honorários Contábeis")</f>
        <v>0</v>
      </c>
      <c r="AB60" s="37">
        <f>SUMIFS(Lançamentos!$F:$F,Lançamentos!$A:$A,AB$19,Lançamentos!$C:$C,"Honorários Contábeis")</f>
        <v>0</v>
      </c>
      <c r="AC60" s="37">
        <f>SUMIFS(Lançamentos!$F:$F,Lançamentos!$A:$A,AC$19,Lançamentos!$C:$C,"Honorários Contábeis")</f>
        <v>0</v>
      </c>
      <c r="AD60" s="37">
        <f>SUMIFS(Lançamentos!$F:$F,Lançamentos!$A:$A,AD$19,Lançamentos!$C:$C,"Honorários Contábeis")</f>
        <v>0</v>
      </c>
      <c r="AE60" s="37">
        <f>SUMIFS(Lançamentos!$F:$F,Lançamentos!$A:$A,AE$19,Lançamentos!$C:$C,"Honorários Contábeis")</f>
        <v>0</v>
      </c>
      <c r="AF60" s="37">
        <f>SUMIFS(Lançamentos!$F:$F,Lançamentos!$A:$A,AF$19,Lançamentos!$C:$C,"Honorários Contábeis")</f>
        <v>0</v>
      </c>
      <c r="AG60" s="37">
        <f>SUMIFS(Lançamentos!$F:$F,Lançamentos!$A:$A,AG$19,Lançamentos!$C:$C,"Honorários Contábeis")</f>
        <v>0</v>
      </c>
      <c r="AH60" s="37">
        <f>SUMIFS(Lançamentos!$F:$F,Lançamentos!$A:$A,AH$19,Lançamentos!$C:$C,"Honorários Contábeis")</f>
        <v>0</v>
      </c>
      <c r="AI60" s="37">
        <f>SUMIFS(Lançamentos!$F:$F,Lançamentos!$A:$A,AI$19,Lançamentos!$C:$C,"Honorários Contábeis")</f>
        <v>0</v>
      </c>
      <c r="AJ60" s="37">
        <f>SUMIFS(Lançamentos!$F:$F,Lançamentos!$A:$A,AJ$19,Lançamentos!$C:$C,"Honorários Contábeis")</f>
        <v>0</v>
      </c>
      <c r="AK60" s="37">
        <f>SUMIFS(Lançamentos!$F:$F,Lançamentos!$A:$A,AK$19,Lançamentos!$C:$C,"Honorários Contábeis")</f>
        <v>0</v>
      </c>
      <c r="AL60" s="37">
        <f>SUMIFS(Lançamentos!$F:$F,Lançamentos!$A:$A,AL$19,Lançamentos!$C:$C,"Honorários Contábeis")</f>
        <v>0</v>
      </c>
      <c r="AM60" s="37">
        <f>SUMIFS(Lançamentos!$F:$F,Lançamentos!$A:$A,AM$19,Lançamentos!$C:$C,"Honorários Contábeis")</f>
        <v>0</v>
      </c>
      <c r="AN60" s="37">
        <f>SUMIFS(Lançamentos!$F:$F,Lançamentos!$A:$A,AN$19,Lançamentos!$C:$C,"Honorários Contábeis")</f>
        <v>0</v>
      </c>
      <c r="AO60" s="37">
        <f>SUMIFS(Lançamentos!$F:$F,Lançamentos!$A:$A,AO$19,Lançamentos!$C:$C,"Honorários Contábeis")</f>
        <v>0</v>
      </c>
      <c r="AP60" s="37">
        <f>SUMIFS(Lançamentos!$F:$F,Lançamentos!$A:$A,AP$19,Lançamentos!$C:$C,"Honorários Contábeis")</f>
        <v>0</v>
      </c>
      <c r="AQ60" s="37">
        <f>SUMIFS(Lançamentos!$F:$F,Lançamentos!$A:$A,AQ$19,Lançamentos!$C:$C,"Honorários Contábeis")</f>
        <v>0</v>
      </c>
      <c r="AR60" s="37">
        <f>SUMIFS(Lançamentos!$F:$F,Lançamentos!$A:$A,AR$19,Lançamentos!$C:$C,"Honorários Contábeis")</f>
        <v>0</v>
      </c>
      <c r="AS60" s="37">
        <f>SUMIFS(Lançamentos!$F:$F,Lançamentos!$A:$A,AS$19,Lançamentos!$C:$C,"Honorários Contábeis")</f>
        <v>0</v>
      </c>
      <c r="AT60" s="37">
        <f>SUMIFS(Lançamentos!$F:$F,Lançamentos!$A:$A,AT$19,Lançamentos!$C:$C,"Honorários Contábeis")</f>
        <v>0</v>
      </c>
      <c r="AU60" s="37">
        <f>SUMIFS(Lançamentos!$F:$F,Lançamentos!$A:$A,AU$19,Lançamentos!$C:$C,"Honorários Contábeis")</f>
        <v>0</v>
      </c>
      <c r="AV60" s="37">
        <f>SUMIFS(Lançamentos!$F:$F,Lançamentos!$A:$A,AV$19,Lançamentos!$C:$C,"Honorários Contábeis")</f>
        <v>0</v>
      </c>
      <c r="AW60" s="37">
        <f>SUMIFS(Lançamentos!$F:$F,Lançamentos!$A:$A,AW$19,Lançamentos!$C:$C,"Honorários Contábeis")</f>
        <v>0</v>
      </c>
      <c r="AX60" s="37">
        <f>SUMIFS(Lançamentos!$F:$F,Lançamentos!$A:$A,AX$19,Lançamentos!$C:$C,"Honorários Contábeis")</f>
        <v>0</v>
      </c>
      <c r="AY60" s="37">
        <f>SUMIFS(Lançamentos!$F:$F,Lançamentos!$A:$A,AY$19,Lançamentos!$C:$C,"Honorários Contábeis")</f>
        <v>0</v>
      </c>
      <c r="AZ60" s="37">
        <f>SUMIFS(Lançamentos!$F:$F,Lançamentos!$A:$A,AZ$19,Lançamentos!$C:$C,"Honorários Contábeis")</f>
        <v>0</v>
      </c>
      <c r="BA60" s="37">
        <f>SUMIFS(Lançamentos!$F:$F,Lançamentos!$A:$A,BA$19,Lançamentos!$C:$C,"Honorários Contábeis")</f>
        <v>0</v>
      </c>
      <c r="BB60" s="37">
        <f>SUMIFS(Lançamentos!$F:$F,Lançamentos!$A:$A,BB$19,Lançamentos!$C:$C,"Honorários Contábeis")</f>
        <v>0</v>
      </c>
      <c r="BC60" s="37">
        <f>SUMIFS(Lançamentos!$F:$F,Lançamentos!$A:$A,BC$19,Lançamentos!$C:$C,"Honorários Contábeis")</f>
        <v>0</v>
      </c>
      <c r="BD60" s="37">
        <f>SUMIFS(Lançamentos!$F:$F,Lançamentos!$A:$A,BD$19,Lançamentos!$C:$C,"Honorários Contábeis")</f>
        <v>0</v>
      </c>
      <c r="BE60" s="37">
        <f>SUMIFS(Lançamentos!$F:$F,Lançamentos!$A:$A,BE$19,Lançamentos!$C:$C,"Honorários Contábeis")</f>
        <v>0</v>
      </c>
      <c r="BF60" s="37">
        <f>SUMIFS(Lançamentos!$F:$F,Lançamentos!$A:$A,BF$19,Lançamentos!$C:$C,"Honorários Contábeis")</f>
        <v>0</v>
      </c>
      <c r="BG60" s="37">
        <f>SUMIFS(Lançamentos!$F:$F,Lançamentos!$A:$A,BG$19,Lançamentos!$C:$C,"Honorários Contábeis")</f>
        <v>0</v>
      </c>
      <c r="BH60" s="37">
        <f>SUMIFS(Lançamentos!$F:$F,Lançamentos!$A:$A,BH$19,Lançamentos!$C:$C,"Honorários Contábeis")</f>
        <v>0</v>
      </c>
      <c r="BI60" s="37">
        <f>SUMIFS(Lançamentos!$F:$F,Lançamentos!$A:$A,BI$19,Lançamentos!$C:$C,"Honorários Contábeis")</f>
        <v>0</v>
      </c>
      <c r="BJ60" s="37">
        <f>SUMIFS(Lançamentos!$F:$F,Lançamentos!$A:$A,BJ$19,Lançamentos!$C:$C,"Honorários Contábeis")</f>
        <v>0</v>
      </c>
      <c r="BK60" s="37">
        <f>SUMIFS(Lançamentos!$F:$F,Lançamentos!$A:$A,BK$19,Lançamentos!$C:$C,"Honorários Contábeis")</f>
        <v>0</v>
      </c>
      <c r="BL60" s="37">
        <f>SUMIFS(Lançamentos!$F:$F,Lançamentos!$A:$A,BL$19,Lançamentos!$C:$C,"Honorários Contábeis")</f>
        <v>0</v>
      </c>
      <c r="BM60" s="37">
        <f>SUMIFS(Lançamentos!$F:$F,Lançamentos!$A:$A,BM$19,Lançamentos!$C:$C,"Honorários Contábeis")</f>
        <v>0</v>
      </c>
      <c r="BN60" s="37">
        <f>SUMIFS(Lançamentos!$F:$F,Lançamentos!$A:$A,BN$19,Lançamentos!$C:$C,"Honorários Contábeis")</f>
        <v>0</v>
      </c>
      <c r="BO60" s="37">
        <f>SUMIFS(Lançamentos!$F:$F,Lançamentos!$A:$A,BO$19,Lançamentos!$C:$C,"Honorários Contábeis")</f>
        <v>0</v>
      </c>
      <c r="BP60" s="37">
        <f>SUMIFS(Lançamentos!$F:$F,Lançamentos!$A:$A,BP$19,Lançamentos!$C:$C,"Honorários Contábeis")</f>
        <v>0</v>
      </c>
      <c r="BQ60" s="37">
        <f>SUMIFS(Lançamentos!$F:$F,Lançamentos!$A:$A,BQ$19,Lançamentos!$C:$C,"Honorários Contábeis")</f>
        <v>0</v>
      </c>
      <c r="BR60" s="37">
        <f>SUMIFS(Lançamentos!$F:$F,Lançamentos!$A:$A,BR$19,Lançamentos!$C:$C,"Honorários Contábeis")</f>
        <v>0</v>
      </c>
      <c r="BS60" s="37">
        <f>SUMIFS(Lançamentos!$F:$F,Lançamentos!$A:$A,BS$19,Lançamentos!$C:$C,"Honorários Contábeis")</f>
        <v>0</v>
      </c>
      <c r="BT60" s="37">
        <f>SUMIFS(Lançamentos!$F:$F,Lançamentos!$A:$A,BT$19,Lançamentos!$C:$C,"Honorários Contábeis")</f>
        <v>0</v>
      </c>
      <c r="BU60" s="37">
        <f>SUMIFS(Lançamentos!$F:$F,Lançamentos!$A:$A,BU$19,Lançamentos!$C:$C,"Honorários Contábeis")</f>
        <v>0</v>
      </c>
      <c r="BV60" s="37">
        <f>SUMIFS(Lançamentos!$F:$F,Lançamentos!$A:$A,BV$19,Lançamentos!$C:$C,"Honorários Contábeis")</f>
        <v>0</v>
      </c>
      <c r="BW60" s="37">
        <f>SUMIFS(Lançamentos!$F:$F,Lançamentos!$A:$A,BW$19,Lançamentos!$C:$C,"Honorários Contábeis")</f>
        <v>0</v>
      </c>
      <c r="BX60" s="37">
        <f>SUMIFS(Lançamentos!$F:$F,Lançamentos!$A:$A,BX$19,Lançamentos!$C:$C,"Honorários Contábeis")</f>
        <v>0</v>
      </c>
      <c r="BY60" s="37">
        <f>SUMIFS(Lançamentos!$F:$F,Lançamentos!$A:$A,BY$19,Lançamentos!$C:$C,"Honorários Contábeis")</f>
        <v>0</v>
      </c>
      <c r="BZ60" s="37">
        <f>SUMIFS(Lançamentos!$F:$F,Lançamentos!$A:$A,BZ$19,Lançamentos!$C:$C,"Honorários Contábeis")</f>
        <v>0</v>
      </c>
      <c r="CA60" s="37">
        <f>SUMIFS(Lançamentos!$F:$F,Lançamentos!$A:$A,CA$19,Lançamentos!$C:$C,"Honorários Contábeis")</f>
        <v>0</v>
      </c>
      <c r="CB60" s="37">
        <f>SUMIFS(Lançamentos!$F:$F,Lançamentos!$A:$A,CB$19,Lançamentos!$C:$C,"Honorários Contábeis")</f>
        <v>0</v>
      </c>
      <c r="CC60" s="37">
        <f>SUMIFS(Lançamentos!$F:$F,Lançamentos!$A:$A,CC$19,Lançamentos!$C:$C,"Honorários Contábeis")</f>
        <v>0</v>
      </c>
      <c r="CD60" s="37">
        <f>SUMIFS(Lançamentos!$F:$F,Lançamentos!$A:$A,CD$19,Lançamentos!$C:$C,"Honorários Contábeis")</f>
        <v>0</v>
      </c>
      <c r="CE60" s="37">
        <f>SUMIFS(Lançamentos!$F:$F,Lançamentos!$A:$A,CE$19,Lançamentos!$C:$C,"Honorários Contábeis")</f>
        <v>0</v>
      </c>
      <c r="CF60" s="37">
        <f>SUMIFS(Lançamentos!$F:$F,Lançamentos!$A:$A,CF$19,Lançamentos!$C:$C,"Honorários Contábeis")</f>
        <v>0</v>
      </c>
      <c r="CG60" s="37">
        <f>SUMIFS(Lançamentos!$F:$F,Lançamentos!$A:$A,CG$19,Lançamentos!$C:$C,"Honorários Contábeis")</f>
        <v>0</v>
      </c>
      <c r="CH60" s="37">
        <f>SUMIFS(Lançamentos!$F:$F,Lançamentos!$A:$A,CH$19,Lançamentos!$C:$C,"Honorários Contábeis")</f>
        <v>0</v>
      </c>
      <c r="CI60" s="37">
        <f>SUMIFS(Lançamentos!$F:$F,Lançamentos!$A:$A,CI$19,Lançamentos!$C:$C,"Honorários Contábeis")</f>
        <v>0</v>
      </c>
      <c r="CJ60" s="37">
        <f>SUMIFS(Lançamentos!$F:$F,Lançamentos!$A:$A,CJ$19,Lançamentos!$C:$C,"Honorários Contábeis")</f>
        <v>0</v>
      </c>
      <c r="CK60" s="37">
        <f>SUMIFS(Lançamentos!$F:$F,Lançamentos!$A:$A,CK$19,Lançamentos!$C:$C,"Honorários Contábeis")</f>
        <v>0</v>
      </c>
      <c r="CL60" s="37">
        <f>SUMIFS(Lançamentos!$F:$F,Lançamentos!$A:$A,CL$19,Lançamentos!$C:$C,"Honorários Contábeis")</f>
        <v>0</v>
      </c>
      <c r="CM60" s="37">
        <f>SUMIFS(Lançamentos!$F:$F,Lançamentos!$A:$A,CM$19,Lançamentos!$C:$C,"Honorários Contábeis")</f>
        <v>0</v>
      </c>
      <c r="CN60" s="37">
        <f>SUMIFS(Lançamentos!$F:$F,Lançamentos!$A:$A,CN$19,Lançamentos!$C:$C,"Honorários Contábeis")</f>
        <v>0</v>
      </c>
      <c r="CO60" s="37">
        <f>SUMIFS(Lançamentos!$F:$F,Lançamentos!$A:$A,CO$19,Lançamentos!$C:$C,"Honorários Contábeis")</f>
        <v>0</v>
      </c>
      <c r="CP60" s="37">
        <f>SUMIFS(Lançamentos!$F:$F,Lançamentos!$A:$A,CP$19,Lançamentos!$C:$C,"Honorários Contábeis")</f>
        <v>0</v>
      </c>
      <c r="CQ60" s="37">
        <f>SUMIFS(Lançamentos!$F:$F,Lançamentos!$A:$A,CQ$19,Lançamentos!$C:$C,"Honorários Contábeis")</f>
        <v>0</v>
      </c>
      <c r="CR60" s="37">
        <f>SUMIFS(Lançamentos!$F:$F,Lançamentos!$A:$A,CR$19,Lançamentos!$C:$C,"Honorários Contábeis")</f>
        <v>0</v>
      </c>
      <c r="CS60" s="37">
        <f>SUMIFS(Lançamentos!$F:$F,Lançamentos!$A:$A,CS$19,Lançamentos!$C:$C,"Honorários Contábeis")</f>
        <v>0</v>
      </c>
      <c r="CT60" s="37">
        <f>SUMIFS(Lançamentos!$F:$F,Lançamentos!$A:$A,CT$19,Lançamentos!$C:$C,"Honorários Contábeis")</f>
        <v>0</v>
      </c>
      <c r="CU60" s="37">
        <f>SUMIFS(Lançamentos!$F:$F,Lançamentos!$A:$A,CU$19,Lançamentos!$C:$C,"Honorários Contábeis")</f>
        <v>0</v>
      </c>
      <c r="CV60" s="37">
        <f>SUMIFS(Lançamentos!$F:$F,Lançamentos!$A:$A,CV$19,Lançamentos!$C:$C,"Honorários Contábeis")</f>
        <v>0</v>
      </c>
      <c r="CW60" s="37">
        <f>SUMIFS(Lançamentos!$F:$F,Lançamentos!$A:$A,CW$19,Lançamentos!$C:$C,"Honorários Contábeis")</f>
        <v>0</v>
      </c>
      <c r="CX60" s="37">
        <f>SUMIFS(Lançamentos!$F:$F,Lançamentos!$A:$A,CX$19,Lançamentos!$C:$C,"Honorários Contábeis")</f>
        <v>0</v>
      </c>
      <c r="CY60" s="37">
        <f>SUMIFS(Lançamentos!$F:$F,Lançamentos!$A:$A,CY$19,Lançamentos!$C:$C,"Honorários Contábeis")</f>
        <v>0</v>
      </c>
      <c r="CZ60" s="37">
        <f>SUMIFS(Lançamentos!$F:$F,Lançamentos!$A:$A,CZ$19,Lançamentos!$C:$C,"Honorários Contábeis")</f>
        <v>0</v>
      </c>
      <c r="DA60" s="37">
        <f>SUMIFS(Lançamentos!$F:$F,Lançamentos!$A:$A,DA$19,Lançamentos!$C:$C,"Honorários Contábeis")</f>
        <v>0</v>
      </c>
      <c r="DB60" s="37">
        <f>SUMIFS(Lançamentos!$F:$F,Lançamentos!$A:$A,DB$19,Lançamentos!$C:$C,"Honorários Contábeis")</f>
        <v>0</v>
      </c>
      <c r="DC60" s="37">
        <f>SUMIFS(Lançamentos!$F:$F,Lançamentos!$A:$A,DC$19,Lançamentos!$C:$C,"Honorários Contábeis")</f>
        <v>0</v>
      </c>
      <c r="DD60" s="37">
        <f>SUMIFS(Lançamentos!$F:$F,Lançamentos!$A:$A,DD$19,Lançamentos!$C:$C,"Honorários Contábeis")</f>
        <v>0</v>
      </c>
      <c r="DE60" s="37">
        <f>SUMIFS(Lançamentos!$F:$F,Lançamentos!$A:$A,DE$19,Lançamentos!$C:$C,"Honorários Contábeis")</f>
        <v>0</v>
      </c>
      <c r="DF60" s="37">
        <f>SUMIFS(Lançamentos!$F:$F,Lançamentos!$A:$A,DF$19,Lançamentos!$C:$C,"Honorários Contábeis")</f>
        <v>0</v>
      </c>
      <c r="DG60" s="37">
        <f>SUMIFS(Lançamentos!$F:$F,Lançamentos!$A:$A,DG$19,Lançamentos!$C:$C,"Honorários Contábeis")</f>
        <v>0</v>
      </c>
      <c r="DH60" s="37">
        <f>SUMIFS(Lançamentos!$F:$F,Lançamentos!$A:$A,DH$19,Lançamentos!$C:$C,"Honorários Contábeis")</f>
        <v>0</v>
      </c>
      <c r="DI60" s="37">
        <f>SUMIFS(Lançamentos!$F:$F,Lançamentos!$A:$A,DI$19,Lançamentos!$C:$C,"Honorários Contábeis")</f>
        <v>0</v>
      </c>
      <c r="DJ60" s="37">
        <f>SUMIFS(Lançamentos!$F:$F,Lançamentos!$A:$A,DJ$19,Lançamentos!$C:$C,"Honorários Contábeis")</f>
        <v>0</v>
      </c>
      <c r="DK60" s="37">
        <f>SUMIFS(Lançamentos!$F:$F,Lançamentos!$A:$A,DK$19,Lançamentos!$C:$C,"Honorários Contábeis")</f>
        <v>0</v>
      </c>
      <c r="DL60" s="37">
        <f>SUMIFS(Lançamentos!$F:$F,Lançamentos!$A:$A,DL$19,Lançamentos!$C:$C,"Honorários Contábeis")</f>
        <v>0</v>
      </c>
      <c r="DM60" s="37">
        <f>SUMIFS(Lançamentos!$F:$F,Lançamentos!$A:$A,DM$19,Lançamentos!$C:$C,"Honorários Contábeis")</f>
        <v>0</v>
      </c>
      <c r="DN60" s="37">
        <f>SUMIFS(Lançamentos!$F:$F,Lançamentos!$A:$A,DN$19,Lançamentos!$C:$C,"Honorários Contábeis")</f>
        <v>0</v>
      </c>
      <c r="DO60" s="37">
        <f>SUMIFS(Lançamentos!$F:$F,Lançamentos!$A:$A,DO$19,Lançamentos!$C:$C,"Honorários Contábeis")</f>
        <v>0</v>
      </c>
      <c r="DP60" s="37">
        <f>SUMIFS(Lançamentos!$F:$F,Lançamentos!$A:$A,DP$19,Lançamentos!$C:$C,"Honorários Contábeis")</f>
        <v>0</v>
      </c>
      <c r="DQ60" s="37">
        <f>SUMIFS(Lançamentos!$F:$F,Lançamentos!$A:$A,DQ$19,Lançamentos!$C:$C,"Honorários Contábeis")</f>
        <v>0</v>
      </c>
      <c r="DR60" s="37">
        <f>SUMIFS(Lançamentos!$F:$F,Lançamentos!$A:$A,DR$19,Lançamentos!$C:$C,"Honorários Contábeis")</f>
        <v>0</v>
      </c>
      <c r="DS60" s="37">
        <f>SUMIFS(Lançamentos!$F:$F,Lançamentos!$A:$A,DS$19,Lançamentos!$C:$C,"Honorários Contábeis")</f>
        <v>0</v>
      </c>
      <c r="DT60" s="37">
        <f>SUMIFS(Lançamentos!$F:$F,Lançamentos!$A:$A,DT$19,Lançamentos!$C:$C,"Honorários Contábeis")</f>
        <v>0</v>
      </c>
      <c r="DU60" s="37">
        <f>SUMIFS(Lançamentos!$F:$F,Lançamentos!$A:$A,DU$19,Lançamentos!$C:$C,"Honorários Contábeis")</f>
        <v>0</v>
      </c>
      <c r="DV60" s="37">
        <f>SUMIFS(Lançamentos!$F:$F,Lançamentos!$A:$A,DV$19,Lançamentos!$C:$C,"Honorários Contábeis")</f>
        <v>0</v>
      </c>
      <c r="DW60" s="37">
        <f>SUMIFS(Lançamentos!$F:$F,Lançamentos!$A:$A,DW$19,Lançamentos!$C:$C,"Honorários Contábeis")</f>
        <v>0</v>
      </c>
      <c r="DX60" s="37">
        <f>SUMIFS(Lançamentos!$F:$F,Lançamentos!$A:$A,DX$19,Lançamentos!$C:$C,"Honorários Contábeis")</f>
        <v>0</v>
      </c>
      <c r="DY60" s="37">
        <f>SUMIFS(Lançamentos!$F:$F,Lançamentos!$A:$A,DY$19,Lançamentos!$C:$C,"Honorários Contábeis")</f>
        <v>0</v>
      </c>
      <c r="DZ60" s="37">
        <f>SUMIFS(Lançamentos!$F:$F,Lançamentos!$A:$A,DZ$19,Lançamentos!$C:$C,"Honorários Contábeis")</f>
        <v>0</v>
      </c>
      <c r="EA60" s="37">
        <f>SUMIFS(Lançamentos!$F:$F,Lançamentos!$A:$A,EA$19,Lançamentos!$C:$C,"Honorários Contábeis")</f>
        <v>0</v>
      </c>
      <c r="EB60" s="37">
        <f>SUMIFS(Lançamentos!$F:$F,Lançamentos!$A:$A,EB$19,Lançamentos!$C:$C,"Honorários Contábeis")</f>
        <v>0</v>
      </c>
      <c r="EC60" s="37">
        <f>SUMIFS(Lançamentos!$F:$F,Lançamentos!$A:$A,EC$19,Lançamentos!$C:$C,"Honorários Contábeis")</f>
        <v>0</v>
      </c>
      <c r="ED60" s="37">
        <f>SUMIFS(Lançamentos!$F:$F,Lançamentos!$A:$A,ED$19,Lançamentos!$C:$C,"Honorários Contábeis")</f>
        <v>0</v>
      </c>
      <c r="EE60" s="37">
        <f>SUMIFS(Lançamentos!$F:$F,Lançamentos!$A:$A,EE$19,Lançamentos!$C:$C,"Honorários Contábeis")</f>
        <v>0</v>
      </c>
      <c r="EF60" s="37">
        <f>SUMIFS(Lançamentos!$F:$F,Lançamentos!$A:$A,EF$19,Lançamentos!$C:$C,"Honorários Contábeis")</f>
        <v>0</v>
      </c>
      <c r="EG60" s="37">
        <f>SUMIFS(Lançamentos!$F:$F,Lançamentos!$A:$A,EG$19,Lançamentos!$C:$C,"Honorários Contábeis")</f>
        <v>0</v>
      </c>
      <c r="EH60" s="37">
        <f>SUMIFS(Lançamentos!$F:$F,Lançamentos!$A:$A,EH$19,Lançamentos!$C:$C,"Honorários Contábeis")</f>
        <v>0</v>
      </c>
      <c r="EI60" s="37">
        <f>SUMIFS(Lançamentos!$F:$F,Lançamentos!$A:$A,EI$19,Lançamentos!$C:$C,"Honorários Contábeis")</f>
        <v>0</v>
      </c>
      <c r="EJ60" s="37">
        <f>SUMIFS(Lançamentos!$F:$F,Lançamentos!$A:$A,EJ$19,Lançamentos!$C:$C,"Honorários Contábeis")</f>
        <v>0</v>
      </c>
      <c r="EK60" s="37">
        <f>SUMIFS(Lançamentos!$F:$F,Lançamentos!$A:$A,EK$19,Lançamentos!$C:$C,"Honorários Contábeis")</f>
        <v>0</v>
      </c>
      <c r="EL60" s="37">
        <f>SUMIFS(Lançamentos!$F:$F,Lançamentos!$A:$A,EL$19,Lançamentos!$C:$C,"Honorários Contábeis")</f>
        <v>0</v>
      </c>
      <c r="EM60" s="37">
        <f>SUMIFS(Lançamentos!$F:$F,Lançamentos!$A:$A,EM$19,Lançamentos!$C:$C,"Honorários Contábeis")</f>
        <v>0</v>
      </c>
      <c r="EN60" s="37">
        <f>SUMIFS(Lançamentos!$F:$F,Lançamentos!$A:$A,EN$19,Lançamentos!$C:$C,"Honorários Contábeis")</f>
        <v>0</v>
      </c>
      <c r="EO60" s="37">
        <f>SUMIFS(Lançamentos!$F:$F,Lançamentos!$A:$A,EO$19,Lançamentos!$C:$C,"Honorários Contábeis")</f>
        <v>0</v>
      </c>
      <c r="EP60" s="37">
        <f>SUMIFS(Lançamentos!$F:$F,Lançamentos!$A:$A,EP$19,Lançamentos!$C:$C,"Honorários Contábeis")</f>
        <v>0</v>
      </c>
      <c r="EQ60" s="37">
        <f>SUMIFS(Lançamentos!$F:$F,Lançamentos!$A:$A,EQ$19,Lançamentos!$C:$C,"Honorários Contábeis")</f>
        <v>0</v>
      </c>
      <c r="ER60" s="37">
        <f>SUMIFS(Lançamentos!$F:$F,Lançamentos!$A:$A,ER$19,Lançamentos!$C:$C,"Honorários Contábeis")</f>
        <v>0</v>
      </c>
      <c r="ES60" s="37">
        <f>SUMIFS(Lançamentos!$F:$F,Lançamentos!$A:$A,ES$19,Lançamentos!$C:$C,"Honorários Contábeis")</f>
        <v>0</v>
      </c>
      <c r="ET60" s="37">
        <f>SUMIFS(Lançamentos!$F:$F,Lançamentos!$A:$A,ET$19,Lançamentos!$C:$C,"Honorários Contábeis")</f>
        <v>0</v>
      </c>
      <c r="EU60" s="37">
        <f>SUMIFS(Lançamentos!$F:$F,Lançamentos!$A:$A,EU$19,Lançamentos!$C:$C,"Honorários Contábeis")</f>
        <v>0</v>
      </c>
      <c r="EV60" s="37">
        <f>SUMIFS(Lançamentos!$F:$F,Lançamentos!$A:$A,EV$19,Lançamentos!$C:$C,"Honorários Contábeis")</f>
        <v>0</v>
      </c>
      <c r="EW60" s="37">
        <f>SUMIFS(Lançamentos!$F:$F,Lançamentos!$A:$A,EW$19,Lançamentos!$C:$C,"Honorários Contábeis")</f>
        <v>0</v>
      </c>
      <c r="EX60" s="37">
        <f>SUMIFS(Lançamentos!$F:$F,Lançamentos!$A:$A,EX$19,Lançamentos!$C:$C,"Honorários Contábeis")</f>
        <v>0</v>
      </c>
      <c r="EY60" s="37">
        <f>SUMIFS(Lançamentos!$F:$F,Lançamentos!$A:$A,EY$19,Lançamentos!$C:$C,"Honorários Contábeis")</f>
        <v>0</v>
      </c>
      <c r="EZ60" s="37">
        <f>SUMIFS(Lançamentos!$F:$F,Lançamentos!$A:$A,EZ$19,Lançamentos!$C:$C,"Honorários Contábeis")</f>
        <v>0</v>
      </c>
      <c r="FA60" s="37">
        <f>SUMIFS(Lançamentos!$F:$F,Lançamentos!$A:$A,FA$19,Lançamentos!$C:$C,"Honorários Contábeis")</f>
        <v>0</v>
      </c>
      <c r="FB60" s="37">
        <f>SUMIFS(Lançamentos!$F:$F,Lançamentos!$A:$A,FB$19,Lançamentos!$C:$C,"Honorários Contábeis")</f>
        <v>0</v>
      </c>
      <c r="FC60" s="37">
        <f>SUMIFS(Lançamentos!$F:$F,Lançamentos!$A:$A,FC$19,Lançamentos!$C:$C,"Honorários Contábeis")</f>
        <v>0</v>
      </c>
      <c r="FD60" s="37">
        <f>SUMIFS(Lançamentos!$F:$F,Lançamentos!$A:$A,FD$19,Lançamentos!$C:$C,"Honorários Contábeis")</f>
        <v>0</v>
      </c>
      <c r="FE60" s="37">
        <f>SUMIFS(Lançamentos!$F:$F,Lançamentos!$A:$A,FE$19,Lançamentos!$C:$C,"Honorários Contábeis")</f>
        <v>0</v>
      </c>
      <c r="FF60" s="37">
        <f>SUMIFS(Lançamentos!$F:$F,Lançamentos!$A:$A,FF$19,Lançamentos!$C:$C,"Honorários Contábeis")</f>
        <v>0</v>
      </c>
      <c r="FG60" s="37">
        <f>SUMIFS(Lançamentos!$F:$F,Lançamentos!$A:$A,FG$19,Lançamentos!$C:$C,"Honorários Contábeis")</f>
        <v>0</v>
      </c>
      <c r="FH60" s="37">
        <f>SUMIFS(Lançamentos!$F:$F,Lançamentos!$A:$A,FH$19,Lançamentos!$C:$C,"Honorários Contábeis")</f>
        <v>0</v>
      </c>
      <c r="FI60" s="37">
        <f>SUMIFS(Lançamentos!$F:$F,Lançamentos!$A:$A,FI$19,Lançamentos!$C:$C,"Honorários Contábeis")</f>
        <v>0</v>
      </c>
      <c r="FJ60" s="37">
        <f>SUMIFS(Lançamentos!$F:$F,Lançamentos!$A:$A,FJ$19,Lançamentos!$C:$C,"Honorários Contábeis")</f>
        <v>0</v>
      </c>
      <c r="FK60" s="37">
        <f>SUMIFS(Lançamentos!$F:$F,Lançamentos!$A:$A,FK$19,Lançamentos!$C:$C,"Honorários Contábeis")</f>
        <v>0</v>
      </c>
      <c r="FL60" s="37">
        <f>SUMIFS(Lançamentos!$F:$F,Lançamentos!$A:$A,FL$19,Lançamentos!$C:$C,"Honorários Contábeis")</f>
        <v>0</v>
      </c>
      <c r="FM60" s="37">
        <f>SUMIFS(Lançamentos!$F:$F,Lançamentos!$A:$A,FM$19,Lançamentos!$C:$C,"Honorários Contábeis")</f>
        <v>0</v>
      </c>
      <c r="FN60" s="37">
        <f>SUMIFS(Lançamentos!$F:$F,Lançamentos!$A:$A,FN$19,Lançamentos!$C:$C,"Honorários Contábeis")</f>
        <v>0</v>
      </c>
      <c r="FO60" s="37">
        <f>SUMIFS(Lançamentos!$F:$F,Lançamentos!$A:$A,FO$19,Lançamentos!$C:$C,"Honorários Contábeis")</f>
        <v>0</v>
      </c>
      <c r="FP60" s="37">
        <f>SUMIFS(Lançamentos!$F:$F,Lançamentos!$A:$A,FP$19,Lançamentos!$C:$C,"Honorários Contábeis")</f>
        <v>0</v>
      </c>
      <c r="FQ60" s="37">
        <f>SUMIFS(Lançamentos!$F:$F,Lançamentos!$A:$A,FQ$19,Lançamentos!$C:$C,"Honorários Contábeis")</f>
        <v>0</v>
      </c>
      <c r="FR60" s="37">
        <f>SUMIFS(Lançamentos!$F:$F,Lançamentos!$A:$A,FR$19,Lançamentos!$C:$C,"Honorários Contábeis")</f>
        <v>0</v>
      </c>
      <c r="FS60" s="37">
        <f>SUMIFS(Lançamentos!$F:$F,Lançamentos!$A:$A,FS$19,Lançamentos!$C:$C,"Honorários Contábeis")</f>
        <v>0</v>
      </c>
      <c r="FT60" s="37">
        <f>SUMIFS(Lançamentos!$F:$F,Lançamentos!$A:$A,FT$19,Lançamentos!$C:$C,"Honorários Contábeis")</f>
        <v>0</v>
      </c>
      <c r="FU60" s="37">
        <f>SUMIFS(Lançamentos!$F:$F,Lançamentos!$A:$A,FU$19,Lançamentos!$C:$C,"Honorários Contábeis")</f>
        <v>0</v>
      </c>
      <c r="FV60" s="37">
        <f>SUMIFS(Lançamentos!$F:$F,Lançamentos!$A:$A,FV$19,Lançamentos!$C:$C,"Honorários Contábeis")</f>
        <v>0</v>
      </c>
      <c r="FW60" s="37">
        <f>SUMIFS(Lançamentos!$F:$F,Lançamentos!$A:$A,FW$19,Lançamentos!$C:$C,"Honorários Contábeis")</f>
        <v>0</v>
      </c>
      <c r="FX60" s="37">
        <f>SUMIFS(Lançamentos!$F:$F,Lançamentos!$A:$A,FX$19,Lançamentos!$C:$C,"Honorários Contábeis")</f>
        <v>0</v>
      </c>
      <c r="FY60" s="37">
        <f>SUMIFS(Lançamentos!$F:$F,Lançamentos!$A:$A,FY$19,Lançamentos!$C:$C,"Honorários Contábeis")</f>
        <v>0</v>
      </c>
      <c r="FZ60" s="37">
        <f>SUMIFS(Lançamentos!$F:$F,Lançamentos!$A:$A,FZ$19,Lançamentos!$C:$C,"Honorários Contábeis")</f>
        <v>0</v>
      </c>
      <c r="GA60" s="37">
        <f>SUMIFS(Lançamentos!$F:$F,Lançamentos!$A:$A,GA$19,Lançamentos!$C:$C,"Honorários Contábeis")</f>
        <v>0</v>
      </c>
      <c r="GB60" s="37">
        <f>SUMIFS(Lançamentos!$F:$F,Lançamentos!$A:$A,GB$19,Lançamentos!$C:$C,"Honorários Contábeis")</f>
        <v>0</v>
      </c>
      <c r="GC60" s="37">
        <f>SUMIFS(Lançamentos!$F:$F,Lançamentos!$A:$A,GC$19,Lançamentos!$C:$C,"Honorários Contábeis")</f>
        <v>0</v>
      </c>
      <c r="GD60" s="37">
        <f>SUMIFS(Lançamentos!$F:$F,Lançamentos!$A:$A,GD$19,Lançamentos!$C:$C,"Honorários Contábeis")</f>
        <v>0</v>
      </c>
      <c r="GE60" s="37">
        <f>SUMIFS(Lançamentos!$F:$F,Lançamentos!$A:$A,GE$19,Lançamentos!$C:$C,"Honorários Contábeis")</f>
        <v>0</v>
      </c>
      <c r="GF60" s="37">
        <f>SUMIFS(Lançamentos!$F:$F,Lançamentos!$A:$A,GF$19,Lançamentos!$C:$C,"Honorários Contábeis")</f>
        <v>0</v>
      </c>
      <c r="GG60" s="37">
        <f>SUMIFS(Lançamentos!$F:$F,Lançamentos!$A:$A,GG$19,Lançamentos!$C:$C,"Honorários Contábeis")</f>
        <v>0</v>
      </c>
      <c r="GH60" s="37">
        <f>SUMIFS(Lançamentos!$F:$F,Lançamentos!$A:$A,GH$19,Lançamentos!$C:$C,"Honorários Contábeis")</f>
        <v>0</v>
      </c>
      <c r="GI60" s="37">
        <f>SUMIFS(Lançamentos!$F:$F,Lançamentos!$A:$A,GI$19,Lançamentos!$C:$C,"Honorários Contábeis")</f>
        <v>0</v>
      </c>
      <c r="GJ60" s="37">
        <f>SUMIFS(Lançamentos!$F:$F,Lançamentos!$A:$A,GJ$19,Lançamentos!$C:$C,"Honorários Contábeis")</f>
        <v>0</v>
      </c>
      <c r="GK60" s="37">
        <f>SUMIFS(Lançamentos!$F:$F,Lançamentos!$A:$A,GK$19,Lançamentos!$C:$C,"Honorários Contábeis")</f>
        <v>0</v>
      </c>
      <c r="GL60" s="37">
        <f>SUMIFS(Lançamentos!$F:$F,Lançamentos!$A:$A,GL$19,Lançamentos!$C:$C,"Honorários Contábeis")</f>
        <v>0</v>
      </c>
      <c r="GM60" s="37">
        <f>SUMIFS(Lançamentos!$F:$F,Lançamentos!$A:$A,GM$19,Lançamentos!$C:$C,"Honorários Contábeis")</f>
        <v>0</v>
      </c>
      <c r="GN60" s="37">
        <f>SUMIFS(Lançamentos!$F:$F,Lançamentos!$A:$A,GN$19,Lançamentos!$C:$C,"Honorários Contábeis")</f>
        <v>0</v>
      </c>
      <c r="GO60" s="37">
        <f>SUMIFS(Lançamentos!$F:$F,Lançamentos!$A:$A,GO$19,Lançamentos!$C:$C,"Honorários Contábeis")</f>
        <v>0</v>
      </c>
      <c r="GP60" s="37">
        <f>SUMIFS(Lançamentos!$F:$F,Lançamentos!$A:$A,GP$19,Lançamentos!$C:$C,"Honorários Contábeis")</f>
        <v>0</v>
      </c>
      <c r="GQ60" s="37">
        <f>SUMIFS(Lançamentos!$F:$F,Lançamentos!$A:$A,GQ$19,Lançamentos!$C:$C,"Honorários Contábeis")</f>
        <v>0</v>
      </c>
      <c r="GR60" s="37">
        <f>SUMIFS(Lançamentos!$F:$F,Lançamentos!$A:$A,GR$19,Lançamentos!$C:$C,"Honorários Contábeis")</f>
        <v>0</v>
      </c>
      <c r="GS60" s="37">
        <f>SUMIFS(Lançamentos!$F:$F,Lançamentos!$A:$A,GS$19,Lançamentos!$C:$C,"Honorários Contábeis")</f>
        <v>0</v>
      </c>
      <c r="GT60" s="37">
        <f>SUMIFS(Lançamentos!$F:$F,Lançamentos!$A:$A,GT$19,Lançamentos!$C:$C,"Honorários Contábeis")</f>
        <v>0</v>
      </c>
      <c r="GU60" s="37">
        <f>SUMIFS(Lançamentos!$F:$F,Lançamentos!$A:$A,GU$19,Lançamentos!$C:$C,"Honorários Contábeis")</f>
        <v>0</v>
      </c>
      <c r="GV60" s="37">
        <f>SUMIFS(Lançamentos!$F:$F,Lançamentos!$A:$A,GV$19,Lançamentos!$C:$C,"Honorários Contábeis")</f>
        <v>0</v>
      </c>
      <c r="GW60" s="37">
        <f>SUMIFS(Lançamentos!$F:$F,Lançamentos!$A:$A,GW$19,Lançamentos!$C:$C,"Honorários Contábeis")</f>
        <v>0</v>
      </c>
      <c r="GX60" s="37">
        <f>SUMIFS(Lançamentos!$F:$F,Lançamentos!$A:$A,GX$19,Lançamentos!$C:$C,"Honorários Contábeis")</f>
        <v>0</v>
      </c>
      <c r="GY60" s="37">
        <f>SUMIFS(Lançamentos!$F:$F,Lançamentos!$A:$A,GY$19,Lançamentos!$C:$C,"Honorários Contábeis")</f>
        <v>0</v>
      </c>
      <c r="GZ60" s="37">
        <f>SUMIFS(Lançamentos!$F:$F,Lançamentos!$A:$A,GZ$19,Lançamentos!$C:$C,"Honorários Contábeis")</f>
        <v>0</v>
      </c>
      <c r="HA60" s="37">
        <f>SUMIFS(Lançamentos!$F:$F,Lançamentos!$A:$A,HA$19,Lançamentos!$C:$C,"Honorários Contábeis")</f>
        <v>0</v>
      </c>
      <c r="HB60" s="37">
        <f>SUMIFS(Lançamentos!$F:$F,Lançamentos!$A:$A,HB$19,Lançamentos!$C:$C,"Honorários Contábeis")</f>
        <v>0</v>
      </c>
      <c r="HC60" s="37">
        <f>SUMIFS(Lançamentos!$F:$F,Lançamentos!$A:$A,HC$19,Lançamentos!$C:$C,"Honorários Contábeis")</f>
        <v>0</v>
      </c>
      <c r="HD60" s="37">
        <f>SUMIFS(Lançamentos!$F:$F,Lançamentos!$A:$A,HD$19,Lançamentos!$C:$C,"Honorários Contábeis")</f>
        <v>0</v>
      </c>
      <c r="HE60" s="37">
        <f>SUMIFS(Lançamentos!$F:$F,Lançamentos!$A:$A,HE$19,Lançamentos!$C:$C,"Honorários Contábeis")</f>
        <v>0</v>
      </c>
      <c r="HF60" s="37">
        <f>SUMIFS(Lançamentos!$F:$F,Lançamentos!$A:$A,HF$19,Lançamentos!$C:$C,"Honorários Contábeis")</f>
        <v>0</v>
      </c>
      <c r="HG60" s="37">
        <f>SUMIFS(Lançamentos!$F:$F,Lançamentos!$A:$A,HG$19,Lançamentos!$C:$C,"Honorários Contábeis")</f>
        <v>0</v>
      </c>
      <c r="HH60" s="37">
        <f>SUMIFS(Lançamentos!$F:$F,Lançamentos!$A:$A,HH$19,Lançamentos!$C:$C,"Honorários Contábeis")</f>
        <v>0</v>
      </c>
      <c r="HI60" s="37">
        <f>SUMIFS(Lançamentos!$F:$F,Lançamentos!$A:$A,HI$19,Lançamentos!$C:$C,"Honorários Contábeis")</f>
        <v>0</v>
      </c>
      <c r="HJ60" s="37">
        <f>SUMIFS(Lançamentos!$F:$F,Lançamentos!$A:$A,HJ$19,Lançamentos!$C:$C,"Honorários Contábeis")</f>
        <v>0</v>
      </c>
      <c r="HK60" s="37">
        <f>SUMIFS(Lançamentos!$F:$F,Lançamentos!$A:$A,HK$19,Lançamentos!$C:$C,"Honorários Contábeis")</f>
        <v>0</v>
      </c>
      <c r="HL60" s="37">
        <f>SUMIFS(Lançamentos!$F:$F,Lançamentos!$A:$A,HL$19,Lançamentos!$C:$C,"Honorários Contábeis")</f>
        <v>0</v>
      </c>
      <c r="HM60" s="37">
        <f>SUMIFS(Lançamentos!$F:$F,Lançamentos!$A:$A,HM$19,Lançamentos!$C:$C,"Honorários Contábeis")</f>
        <v>0</v>
      </c>
      <c r="HN60" s="37">
        <f>SUMIFS(Lançamentos!$F:$F,Lançamentos!$A:$A,HN$19,Lançamentos!$C:$C,"Honorários Contábeis")</f>
        <v>0</v>
      </c>
      <c r="HO60" s="37">
        <f>SUMIFS(Lançamentos!$F:$F,Lançamentos!$A:$A,HO$19,Lançamentos!$C:$C,"Honorários Contábeis")</f>
        <v>0</v>
      </c>
      <c r="HP60" s="37">
        <f>SUMIFS(Lançamentos!$F:$F,Lançamentos!$A:$A,HP$19,Lançamentos!$C:$C,"Honorários Contábeis")</f>
        <v>0</v>
      </c>
      <c r="HQ60" s="37">
        <f>SUMIFS(Lançamentos!$F:$F,Lançamentos!$A:$A,HQ$19,Lançamentos!$C:$C,"Honorários Contábeis")</f>
        <v>0</v>
      </c>
      <c r="HR60" s="37">
        <f>SUMIFS(Lançamentos!$F:$F,Lançamentos!$A:$A,HR$19,Lançamentos!$C:$C,"Honorários Contábeis")</f>
        <v>0</v>
      </c>
      <c r="HS60" s="37">
        <f>SUMIFS(Lançamentos!$F:$F,Lançamentos!$A:$A,HS$19,Lançamentos!$C:$C,"Honorários Contábeis")</f>
        <v>0</v>
      </c>
      <c r="HT60" s="37">
        <f>SUMIFS(Lançamentos!$F:$F,Lançamentos!$A:$A,HT$19,Lançamentos!$C:$C,"Honorários Contábeis")</f>
        <v>0</v>
      </c>
      <c r="HU60" s="37">
        <f>SUMIFS(Lançamentos!$F:$F,Lançamentos!$A:$A,HU$19,Lançamentos!$C:$C,"Honorários Contábeis")</f>
        <v>0</v>
      </c>
      <c r="HV60" s="37">
        <f>SUMIFS(Lançamentos!$F:$F,Lançamentos!$A:$A,HV$19,Lançamentos!$C:$C,"Honorários Contábeis")</f>
        <v>0</v>
      </c>
      <c r="HW60" s="37">
        <f>SUMIFS(Lançamentos!$F:$F,Lançamentos!$A:$A,HW$19,Lançamentos!$C:$C,"Honorários Contábeis")</f>
        <v>0</v>
      </c>
      <c r="HX60" s="37">
        <f>SUMIFS(Lançamentos!$F:$F,Lançamentos!$A:$A,HX$19,Lançamentos!$C:$C,"Honorários Contábeis")</f>
        <v>0</v>
      </c>
      <c r="HY60" s="37">
        <f>SUMIFS(Lançamentos!$F:$F,Lançamentos!$A:$A,HY$19,Lançamentos!$C:$C,"Honorários Contábeis")</f>
        <v>0</v>
      </c>
      <c r="HZ60" s="37">
        <f>SUMIFS(Lançamentos!$F:$F,Lançamentos!$A:$A,HZ$19,Lançamentos!$C:$C,"Honorários Contábeis")</f>
        <v>0</v>
      </c>
      <c r="IA60" s="37">
        <f>SUMIFS(Lançamentos!$F:$F,Lançamentos!$A:$A,IA$19,Lançamentos!$C:$C,"Honorários Contábeis")</f>
        <v>0</v>
      </c>
      <c r="IB60" s="37">
        <f>SUMIFS(Lançamentos!$F:$F,Lançamentos!$A:$A,IB$19,Lançamentos!$C:$C,"Honorários Contábeis")</f>
        <v>0</v>
      </c>
      <c r="IC60" s="37">
        <f>SUMIFS(Lançamentos!$F:$F,Lançamentos!$A:$A,IC$19,Lançamentos!$C:$C,"Honorários Contábeis")</f>
        <v>0</v>
      </c>
      <c r="ID60" s="37">
        <f>SUMIFS(Lançamentos!$F:$F,Lançamentos!$A:$A,ID$19,Lançamentos!$C:$C,"Honorários Contábeis")</f>
        <v>0</v>
      </c>
      <c r="IE60" s="37">
        <f>SUMIFS(Lançamentos!$F:$F,Lançamentos!$A:$A,IE$19,Lançamentos!$C:$C,"Honorários Contábeis")</f>
        <v>0</v>
      </c>
      <c r="IF60" s="37">
        <f>SUMIFS(Lançamentos!$F:$F,Lançamentos!$A:$A,IF$19,Lançamentos!$C:$C,"Honorários Contábeis")</f>
        <v>0</v>
      </c>
      <c r="IG60" s="37">
        <f>SUMIFS(Lançamentos!$F:$F,Lançamentos!$A:$A,IG$19,Lançamentos!$C:$C,"Honorários Contábeis")</f>
        <v>0</v>
      </c>
      <c r="IH60" s="37">
        <f>SUMIFS(Lançamentos!$F:$F,Lançamentos!$A:$A,IH$19,Lançamentos!$C:$C,"Honorários Contábeis")</f>
        <v>0</v>
      </c>
      <c r="II60" s="37">
        <f>SUMIFS(Lançamentos!$F:$F,Lançamentos!$A:$A,II$19,Lançamentos!$C:$C,"Honorários Contábeis")</f>
        <v>0</v>
      </c>
      <c r="IJ60" s="37">
        <f>SUMIFS(Lançamentos!$F:$F,Lançamentos!$A:$A,IJ$19,Lançamentos!$C:$C,"Honorários Contábeis")</f>
        <v>0</v>
      </c>
      <c r="IK60" s="37">
        <f>SUMIFS(Lançamentos!$F:$F,Lançamentos!$A:$A,IK$19,Lançamentos!$C:$C,"Honorários Contábeis")</f>
        <v>0</v>
      </c>
      <c r="IL60" s="37">
        <f>SUMIFS(Lançamentos!$F:$F,Lançamentos!$A:$A,IL$19,Lançamentos!$C:$C,"Honorários Contábeis")</f>
        <v>0</v>
      </c>
    </row>
    <row r="61" spans="1:246" x14ac:dyDescent="0.3">
      <c r="A61" t="s">
        <v>99</v>
      </c>
      <c r="B61" s="37">
        <f>SUMIFS(Lançamentos!$F:$F,Lançamentos!$A:$A,B$19,Lançamentos!$C:$C,"Honorários Jurídicos")</f>
        <v>0</v>
      </c>
      <c r="C61" s="37">
        <f>SUMIFS(Lançamentos!$F:$F,Lançamentos!$A:$A,C$19,Lançamentos!$C:$C,"Honorários Jurídicos")</f>
        <v>0</v>
      </c>
      <c r="D61" s="37">
        <f>SUMIFS(Lançamentos!$F:$F,Lançamentos!$A:$A,D$19,Lançamentos!$C:$C,"Honorários Jurídicos")</f>
        <v>0</v>
      </c>
      <c r="E61" s="37">
        <f>SUMIFS(Lançamentos!$F:$F,Lançamentos!$A:$A,E$19,Lançamentos!$C:$C,"Honorários Jurídicos")</f>
        <v>0</v>
      </c>
      <c r="F61" s="37">
        <f>SUMIFS(Lançamentos!$F:$F,Lançamentos!$A:$A,F$19,Lançamentos!$C:$C,"Honorários Jurídicos")</f>
        <v>0</v>
      </c>
      <c r="G61" s="37">
        <f>SUMIFS(Lançamentos!$F:$F,Lançamentos!$A:$A,G$19,Lançamentos!$C:$C,"Honorários Jurídicos")</f>
        <v>0</v>
      </c>
      <c r="H61" s="37">
        <f>SUMIFS(Lançamentos!$F:$F,Lançamentos!$A:$A,H$19,Lançamentos!$C:$C,"Honorários Jurídicos")</f>
        <v>0</v>
      </c>
      <c r="I61" s="37">
        <f>SUMIFS(Lançamentos!$F:$F,Lançamentos!$A:$A,I$19,Lançamentos!$C:$C,"Honorários Jurídicos")</f>
        <v>0</v>
      </c>
      <c r="J61" s="37">
        <f>SUMIFS(Lançamentos!$F:$F,Lançamentos!$A:$A,J$19,Lançamentos!$C:$C,"Honorários Jurídicos")</f>
        <v>0</v>
      </c>
      <c r="K61" s="37">
        <f>SUMIFS(Lançamentos!$F:$F,Lançamentos!$A:$A,K$19,Lançamentos!$C:$C,"Honorários Jurídicos")</f>
        <v>0</v>
      </c>
      <c r="L61" s="37">
        <f>SUMIFS(Lançamentos!$F:$F,Lançamentos!$A:$A,L$19,Lançamentos!$C:$C,"Honorários Jurídicos")</f>
        <v>0</v>
      </c>
      <c r="M61" s="37">
        <f>SUMIFS(Lançamentos!$F:$F,Lançamentos!$A:$A,M$19,Lançamentos!$C:$C,"Honorários Jurídicos")</f>
        <v>0</v>
      </c>
      <c r="N61" s="37">
        <f>SUMIFS(Lançamentos!$F:$F,Lançamentos!$A:$A,N$19,Lançamentos!$C:$C,"Honorários Jurídicos")</f>
        <v>0</v>
      </c>
      <c r="O61" s="37">
        <f>SUMIFS(Lançamentos!$F:$F,Lançamentos!$A:$A,O$19,Lançamentos!$C:$C,"Honorários Jurídicos")</f>
        <v>0</v>
      </c>
      <c r="P61" s="37">
        <f>SUMIFS(Lançamentos!$F:$F,Lançamentos!$A:$A,P$19,Lançamentos!$C:$C,"Honorários Jurídicos")</f>
        <v>0</v>
      </c>
      <c r="Q61" s="37">
        <f>SUMIFS(Lançamentos!$F:$F,Lançamentos!$A:$A,Q$19,Lançamentos!$C:$C,"Honorários Jurídicos")</f>
        <v>0</v>
      </c>
      <c r="R61" s="37">
        <f>SUMIFS(Lançamentos!$F:$F,Lançamentos!$A:$A,R$19,Lançamentos!$C:$C,"Honorários Jurídicos")</f>
        <v>0</v>
      </c>
      <c r="S61" s="37">
        <f>SUMIFS(Lançamentos!$F:$F,Lançamentos!$A:$A,S$19,Lançamentos!$C:$C,"Honorários Jurídicos")</f>
        <v>0</v>
      </c>
      <c r="T61" s="37">
        <f>SUMIFS(Lançamentos!$F:$F,Lançamentos!$A:$A,T$19,Lançamentos!$C:$C,"Honorários Jurídicos")</f>
        <v>0</v>
      </c>
      <c r="U61" s="37">
        <f>SUMIFS(Lançamentos!$F:$F,Lançamentos!$A:$A,U$19,Lançamentos!$C:$C,"Honorários Jurídicos")</f>
        <v>0</v>
      </c>
      <c r="V61" s="37">
        <f>SUMIFS(Lançamentos!$F:$F,Lançamentos!$A:$A,V$19,Lançamentos!$C:$C,"Honorários Jurídicos")</f>
        <v>0</v>
      </c>
      <c r="W61" s="37">
        <f>SUMIFS(Lançamentos!$F:$F,Lançamentos!$A:$A,W$19,Lançamentos!$C:$C,"Honorários Jurídicos")</f>
        <v>0</v>
      </c>
      <c r="X61" s="37">
        <f>SUMIFS(Lançamentos!$F:$F,Lançamentos!$A:$A,X$19,Lançamentos!$C:$C,"Honorários Jurídicos")</f>
        <v>0</v>
      </c>
      <c r="Y61" s="37">
        <f>SUMIFS(Lançamentos!$F:$F,Lançamentos!$A:$A,Y$19,Lançamentos!$C:$C,"Honorários Jurídicos")</f>
        <v>0</v>
      </c>
      <c r="Z61" s="37">
        <f>SUMIFS(Lançamentos!$F:$F,Lançamentos!$A:$A,Z$19,Lançamentos!$C:$C,"Honorários Jurídicos")</f>
        <v>0</v>
      </c>
      <c r="AA61" s="37">
        <f>SUMIFS(Lançamentos!$F:$F,Lançamentos!$A:$A,AA$19,Lançamentos!$C:$C,"Honorários Jurídicos")</f>
        <v>0</v>
      </c>
      <c r="AB61" s="37">
        <f>SUMIFS(Lançamentos!$F:$F,Lançamentos!$A:$A,AB$19,Lançamentos!$C:$C,"Honorários Jurídicos")</f>
        <v>0</v>
      </c>
      <c r="AC61" s="37">
        <f>SUMIFS(Lançamentos!$F:$F,Lançamentos!$A:$A,AC$19,Lançamentos!$C:$C,"Honorários Jurídicos")</f>
        <v>0</v>
      </c>
      <c r="AD61" s="37">
        <f>SUMIFS(Lançamentos!$F:$F,Lançamentos!$A:$A,AD$19,Lançamentos!$C:$C,"Honorários Jurídicos")</f>
        <v>0</v>
      </c>
      <c r="AE61" s="37">
        <f>SUMIFS(Lançamentos!$F:$F,Lançamentos!$A:$A,AE$19,Lançamentos!$C:$C,"Honorários Jurídicos")</f>
        <v>0</v>
      </c>
      <c r="AF61" s="37">
        <f>SUMIFS(Lançamentos!$F:$F,Lançamentos!$A:$A,AF$19,Lançamentos!$C:$C,"Honorários Jurídicos")</f>
        <v>0</v>
      </c>
      <c r="AG61" s="37">
        <f>SUMIFS(Lançamentos!$F:$F,Lançamentos!$A:$A,AG$19,Lançamentos!$C:$C,"Honorários Jurídicos")</f>
        <v>0</v>
      </c>
      <c r="AH61" s="37">
        <f>SUMIFS(Lançamentos!$F:$F,Lançamentos!$A:$A,AH$19,Lançamentos!$C:$C,"Honorários Jurídicos")</f>
        <v>0</v>
      </c>
      <c r="AI61" s="37">
        <f>SUMIFS(Lançamentos!$F:$F,Lançamentos!$A:$A,AI$19,Lançamentos!$C:$C,"Honorários Jurídicos")</f>
        <v>0</v>
      </c>
      <c r="AJ61" s="37">
        <f>SUMIFS(Lançamentos!$F:$F,Lançamentos!$A:$A,AJ$19,Lançamentos!$C:$C,"Honorários Jurídicos")</f>
        <v>0</v>
      </c>
      <c r="AK61" s="37">
        <f>SUMIFS(Lançamentos!$F:$F,Lançamentos!$A:$A,AK$19,Lançamentos!$C:$C,"Honorários Jurídicos")</f>
        <v>0</v>
      </c>
      <c r="AL61" s="37">
        <f>SUMIFS(Lançamentos!$F:$F,Lançamentos!$A:$A,AL$19,Lançamentos!$C:$C,"Honorários Jurídicos")</f>
        <v>0</v>
      </c>
      <c r="AM61" s="37">
        <f>SUMIFS(Lançamentos!$F:$F,Lançamentos!$A:$A,AM$19,Lançamentos!$C:$C,"Honorários Jurídicos")</f>
        <v>0</v>
      </c>
      <c r="AN61" s="37">
        <f>SUMIFS(Lançamentos!$F:$F,Lançamentos!$A:$A,AN$19,Lançamentos!$C:$C,"Honorários Jurídicos")</f>
        <v>0</v>
      </c>
      <c r="AO61" s="37">
        <f>SUMIFS(Lançamentos!$F:$F,Lançamentos!$A:$A,AO$19,Lançamentos!$C:$C,"Honorários Jurídicos")</f>
        <v>0</v>
      </c>
      <c r="AP61" s="37">
        <f>SUMIFS(Lançamentos!$F:$F,Lançamentos!$A:$A,AP$19,Lançamentos!$C:$C,"Honorários Jurídicos")</f>
        <v>0</v>
      </c>
      <c r="AQ61" s="37">
        <f>SUMIFS(Lançamentos!$F:$F,Lançamentos!$A:$A,AQ$19,Lançamentos!$C:$C,"Honorários Jurídicos")</f>
        <v>0</v>
      </c>
      <c r="AR61" s="37">
        <f>SUMIFS(Lançamentos!$F:$F,Lançamentos!$A:$A,AR$19,Lançamentos!$C:$C,"Honorários Jurídicos")</f>
        <v>0</v>
      </c>
      <c r="AS61" s="37">
        <f>SUMIFS(Lançamentos!$F:$F,Lançamentos!$A:$A,AS$19,Lançamentos!$C:$C,"Honorários Jurídicos")</f>
        <v>0</v>
      </c>
      <c r="AT61" s="37">
        <f>SUMIFS(Lançamentos!$F:$F,Lançamentos!$A:$A,AT$19,Lançamentos!$C:$C,"Honorários Jurídicos")</f>
        <v>0</v>
      </c>
      <c r="AU61" s="37">
        <f>SUMIFS(Lançamentos!$F:$F,Lançamentos!$A:$A,AU$19,Lançamentos!$C:$C,"Honorários Jurídicos")</f>
        <v>0</v>
      </c>
      <c r="AV61" s="37">
        <f>SUMIFS(Lançamentos!$F:$F,Lançamentos!$A:$A,AV$19,Lançamentos!$C:$C,"Honorários Jurídicos")</f>
        <v>0</v>
      </c>
      <c r="AW61" s="37">
        <f>SUMIFS(Lançamentos!$F:$F,Lançamentos!$A:$A,AW$19,Lançamentos!$C:$C,"Honorários Jurídicos")</f>
        <v>0</v>
      </c>
      <c r="AX61" s="37">
        <f>SUMIFS(Lançamentos!$F:$F,Lançamentos!$A:$A,AX$19,Lançamentos!$C:$C,"Honorários Jurídicos")</f>
        <v>0</v>
      </c>
      <c r="AY61" s="37">
        <f>SUMIFS(Lançamentos!$F:$F,Lançamentos!$A:$A,AY$19,Lançamentos!$C:$C,"Honorários Jurídicos")</f>
        <v>0</v>
      </c>
      <c r="AZ61" s="37">
        <f>SUMIFS(Lançamentos!$F:$F,Lançamentos!$A:$A,AZ$19,Lançamentos!$C:$C,"Honorários Jurídicos")</f>
        <v>0</v>
      </c>
      <c r="BA61" s="37">
        <f>SUMIFS(Lançamentos!$F:$F,Lançamentos!$A:$A,BA$19,Lançamentos!$C:$C,"Honorários Jurídicos")</f>
        <v>0</v>
      </c>
      <c r="BB61" s="37">
        <f>SUMIFS(Lançamentos!$F:$F,Lançamentos!$A:$A,BB$19,Lançamentos!$C:$C,"Honorários Jurídicos")</f>
        <v>0</v>
      </c>
      <c r="BC61" s="37">
        <f>SUMIFS(Lançamentos!$F:$F,Lançamentos!$A:$A,BC$19,Lançamentos!$C:$C,"Honorários Jurídicos")</f>
        <v>0</v>
      </c>
      <c r="BD61" s="37">
        <f>SUMIFS(Lançamentos!$F:$F,Lançamentos!$A:$A,BD$19,Lançamentos!$C:$C,"Honorários Jurídicos")</f>
        <v>0</v>
      </c>
      <c r="BE61" s="37">
        <f>SUMIFS(Lançamentos!$F:$F,Lançamentos!$A:$A,BE$19,Lançamentos!$C:$C,"Honorários Jurídicos")</f>
        <v>0</v>
      </c>
      <c r="BF61" s="37">
        <f>SUMIFS(Lançamentos!$F:$F,Lançamentos!$A:$A,BF$19,Lançamentos!$C:$C,"Honorários Jurídicos")</f>
        <v>0</v>
      </c>
      <c r="BG61" s="37">
        <f>SUMIFS(Lançamentos!$F:$F,Lançamentos!$A:$A,BG$19,Lançamentos!$C:$C,"Honorários Jurídicos")</f>
        <v>0</v>
      </c>
      <c r="BH61" s="37">
        <f>SUMIFS(Lançamentos!$F:$F,Lançamentos!$A:$A,BH$19,Lançamentos!$C:$C,"Honorários Jurídicos")</f>
        <v>0</v>
      </c>
      <c r="BI61" s="37">
        <f>SUMIFS(Lançamentos!$F:$F,Lançamentos!$A:$A,BI$19,Lançamentos!$C:$C,"Honorários Jurídicos")</f>
        <v>0</v>
      </c>
      <c r="BJ61" s="37">
        <f>SUMIFS(Lançamentos!$F:$F,Lançamentos!$A:$A,BJ$19,Lançamentos!$C:$C,"Honorários Jurídicos")</f>
        <v>0</v>
      </c>
      <c r="BK61" s="37">
        <f>SUMIFS(Lançamentos!$F:$F,Lançamentos!$A:$A,BK$19,Lançamentos!$C:$C,"Honorários Jurídicos")</f>
        <v>0</v>
      </c>
      <c r="BL61" s="37">
        <f>SUMIFS(Lançamentos!$F:$F,Lançamentos!$A:$A,BL$19,Lançamentos!$C:$C,"Honorários Jurídicos")</f>
        <v>0</v>
      </c>
      <c r="BM61" s="37">
        <f>SUMIFS(Lançamentos!$F:$F,Lançamentos!$A:$A,BM$19,Lançamentos!$C:$C,"Honorários Jurídicos")</f>
        <v>0</v>
      </c>
      <c r="BN61" s="37">
        <f>SUMIFS(Lançamentos!$F:$F,Lançamentos!$A:$A,BN$19,Lançamentos!$C:$C,"Honorários Jurídicos")</f>
        <v>0</v>
      </c>
      <c r="BO61" s="37">
        <f>SUMIFS(Lançamentos!$F:$F,Lançamentos!$A:$A,BO$19,Lançamentos!$C:$C,"Honorários Jurídicos")</f>
        <v>0</v>
      </c>
      <c r="BP61" s="37">
        <f>SUMIFS(Lançamentos!$F:$F,Lançamentos!$A:$A,BP$19,Lançamentos!$C:$C,"Honorários Jurídicos")</f>
        <v>0</v>
      </c>
      <c r="BQ61" s="37">
        <f>SUMIFS(Lançamentos!$F:$F,Lançamentos!$A:$A,BQ$19,Lançamentos!$C:$C,"Honorários Jurídicos")</f>
        <v>0</v>
      </c>
      <c r="BR61" s="37">
        <f>SUMIFS(Lançamentos!$F:$F,Lançamentos!$A:$A,BR$19,Lançamentos!$C:$C,"Honorários Jurídicos")</f>
        <v>0</v>
      </c>
      <c r="BS61" s="37">
        <f>SUMIFS(Lançamentos!$F:$F,Lançamentos!$A:$A,BS$19,Lançamentos!$C:$C,"Honorários Jurídicos")</f>
        <v>0</v>
      </c>
      <c r="BT61" s="37">
        <f>SUMIFS(Lançamentos!$F:$F,Lançamentos!$A:$A,BT$19,Lançamentos!$C:$C,"Honorários Jurídicos")</f>
        <v>0</v>
      </c>
      <c r="BU61" s="37">
        <f>SUMIFS(Lançamentos!$F:$F,Lançamentos!$A:$A,BU$19,Lançamentos!$C:$C,"Honorários Jurídicos")</f>
        <v>0</v>
      </c>
      <c r="BV61" s="37">
        <f>SUMIFS(Lançamentos!$F:$F,Lançamentos!$A:$A,BV$19,Lançamentos!$C:$C,"Honorários Jurídicos")</f>
        <v>0</v>
      </c>
      <c r="BW61" s="37">
        <f>SUMIFS(Lançamentos!$F:$F,Lançamentos!$A:$A,BW$19,Lançamentos!$C:$C,"Honorários Jurídicos")</f>
        <v>0</v>
      </c>
      <c r="BX61" s="37">
        <f>SUMIFS(Lançamentos!$F:$F,Lançamentos!$A:$A,BX$19,Lançamentos!$C:$C,"Honorários Jurídicos")</f>
        <v>0</v>
      </c>
      <c r="BY61" s="37">
        <f>SUMIFS(Lançamentos!$F:$F,Lançamentos!$A:$A,BY$19,Lançamentos!$C:$C,"Honorários Jurídicos")</f>
        <v>0</v>
      </c>
      <c r="BZ61" s="37">
        <f>SUMIFS(Lançamentos!$F:$F,Lançamentos!$A:$A,BZ$19,Lançamentos!$C:$C,"Honorários Jurídicos")</f>
        <v>0</v>
      </c>
      <c r="CA61" s="37">
        <f>SUMIFS(Lançamentos!$F:$F,Lançamentos!$A:$A,CA$19,Lançamentos!$C:$C,"Honorários Jurídicos")</f>
        <v>0</v>
      </c>
      <c r="CB61" s="37">
        <f>SUMIFS(Lançamentos!$F:$F,Lançamentos!$A:$A,CB$19,Lançamentos!$C:$C,"Honorários Jurídicos")</f>
        <v>0</v>
      </c>
      <c r="CC61" s="37">
        <f>SUMIFS(Lançamentos!$F:$F,Lançamentos!$A:$A,CC$19,Lançamentos!$C:$C,"Honorários Jurídicos")</f>
        <v>0</v>
      </c>
      <c r="CD61" s="37">
        <f>SUMIFS(Lançamentos!$F:$F,Lançamentos!$A:$A,CD$19,Lançamentos!$C:$C,"Honorários Jurídicos")</f>
        <v>0</v>
      </c>
      <c r="CE61" s="37">
        <f>SUMIFS(Lançamentos!$F:$F,Lançamentos!$A:$A,CE$19,Lançamentos!$C:$C,"Honorários Jurídicos")</f>
        <v>0</v>
      </c>
      <c r="CF61" s="37">
        <f>SUMIFS(Lançamentos!$F:$F,Lançamentos!$A:$A,CF$19,Lançamentos!$C:$C,"Honorários Jurídicos")</f>
        <v>0</v>
      </c>
      <c r="CG61" s="37">
        <f>SUMIFS(Lançamentos!$F:$F,Lançamentos!$A:$A,CG$19,Lançamentos!$C:$C,"Honorários Jurídicos")</f>
        <v>0</v>
      </c>
      <c r="CH61" s="37">
        <f>SUMIFS(Lançamentos!$F:$F,Lançamentos!$A:$A,CH$19,Lançamentos!$C:$C,"Honorários Jurídicos")</f>
        <v>0</v>
      </c>
      <c r="CI61" s="37">
        <f>SUMIFS(Lançamentos!$F:$F,Lançamentos!$A:$A,CI$19,Lançamentos!$C:$C,"Honorários Jurídicos")</f>
        <v>0</v>
      </c>
      <c r="CJ61" s="37">
        <f>SUMIFS(Lançamentos!$F:$F,Lançamentos!$A:$A,CJ$19,Lançamentos!$C:$C,"Honorários Jurídicos")</f>
        <v>0</v>
      </c>
      <c r="CK61" s="37">
        <f>SUMIFS(Lançamentos!$F:$F,Lançamentos!$A:$A,CK$19,Lançamentos!$C:$C,"Honorários Jurídicos")</f>
        <v>0</v>
      </c>
      <c r="CL61" s="37">
        <f>SUMIFS(Lançamentos!$F:$F,Lançamentos!$A:$A,CL$19,Lançamentos!$C:$C,"Honorários Jurídicos")</f>
        <v>0</v>
      </c>
      <c r="CM61" s="37">
        <f>SUMIFS(Lançamentos!$F:$F,Lançamentos!$A:$A,CM$19,Lançamentos!$C:$C,"Honorários Jurídicos")</f>
        <v>0</v>
      </c>
      <c r="CN61" s="37">
        <f>SUMIFS(Lançamentos!$F:$F,Lançamentos!$A:$A,CN$19,Lançamentos!$C:$C,"Honorários Jurídicos")</f>
        <v>0</v>
      </c>
      <c r="CO61" s="37">
        <f>SUMIFS(Lançamentos!$F:$F,Lançamentos!$A:$A,CO$19,Lançamentos!$C:$C,"Honorários Jurídicos")</f>
        <v>0</v>
      </c>
      <c r="CP61" s="37">
        <f>SUMIFS(Lançamentos!$F:$F,Lançamentos!$A:$A,CP$19,Lançamentos!$C:$C,"Honorários Jurídicos")</f>
        <v>0</v>
      </c>
      <c r="CQ61" s="37">
        <f>SUMIFS(Lançamentos!$F:$F,Lançamentos!$A:$A,CQ$19,Lançamentos!$C:$C,"Honorários Jurídicos")</f>
        <v>0</v>
      </c>
      <c r="CR61" s="37">
        <f>SUMIFS(Lançamentos!$F:$F,Lançamentos!$A:$A,CR$19,Lançamentos!$C:$C,"Honorários Jurídicos")</f>
        <v>0</v>
      </c>
      <c r="CS61" s="37">
        <f>SUMIFS(Lançamentos!$F:$F,Lançamentos!$A:$A,CS$19,Lançamentos!$C:$C,"Honorários Jurídicos")</f>
        <v>0</v>
      </c>
      <c r="CT61" s="37">
        <f>SUMIFS(Lançamentos!$F:$F,Lançamentos!$A:$A,CT$19,Lançamentos!$C:$C,"Honorários Jurídicos")</f>
        <v>0</v>
      </c>
      <c r="CU61" s="37">
        <f>SUMIFS(Lançamentos!$F:$F,Lançamentos!$A:$A,CU$19,Lançamentos!$C:$C,"Honorários Jurídicos")</f>
        <v>0</v>
      </c>
      <c r="CV61" s="37">
        <f>SUMIFS(Lançamentos!$F:$F,Lançamentos!$A:$A,CV$19,Lançamentos!$C:$C,"Honorários Jurídicos")</f>
        <v>0</v>
      </c>
      <c r="CW61" s="37">
        <f>SUMIFS(Lançamentos!$F:$F,Lançamentos!$A:$A,CW$19,Lançamentos!$C:$C,"Honorários Jurídicos")</f>
        <v>0</v>
      </c>
      <c r="CX61" s="37">
        <f>SUMIFS(Lançamentos!$F:$F,Lançamentos!$A:$A,CX$19,Lançamentos!$C:$C,"Honorários Jurídicos")</f>
        <v>0</v>
      </c>
      <c r="CY61" s="37">
        <f>SUMIFS(Lançamentos!$F:$F,Lançamentos!$A:$A,CY$19,Lançamentos!$C:$C,"Honorários Jurídicos")</f>
        <v>0</v>
      </c>
      <c r="CZ61" s="37">
        <f>SUMIFS(Lançamentos!$F:$F,Lançamentos!$A:$A,CZ$19,Lançamentos!$C:$C,"Honorários Jurídicos")</f>
        <v>0</v>
      </c>
      <c r="DA61" s="37">
        <f>SUMIFS(Lançamentos!$F:$F,Lançamentos!$A:$A,DA$19,Lançamentos!$C:$C,"Honorários Jurídicos")</f>
        <v>0</v>
      </c>
      <c r="DB61" s="37">
        <f>SUMIFS(Lançamentos!$F:$F,Lançamentos!$A:$A,DB$19,Lançamentos!$C:$C,"Honorários Jurídicos")</f>
        <v>0</v>
      </c>
      <c r="DC61" s="37">
        <f>SUMIFS(Lançamentos!$F:$F,Lançamentos!$A:$A,DC$19,Lançamentos!$C:$C,"Honorários Jurídicos")</f>
        <v>0</v>
      </c>
      <c r="DD61" s="37">
        <f>SUMIFS(Lançamentos!$F:$F,Lançamentos!$A:$A,DD$19,Lançamentos!$C:$C,"Honorários Jurídicos")</f>
        <v>0</v>
      </c>
      <c r="DE61" s="37">
        <f>SUMIFS(Lançamentos!$F:$F,Lançamentos!$A:$A,DE$19,Lançamentos!$C:$C,"Honorários Jurídicos")</f>
        <v>0</v>
      </c>
      <c r="DF61" s="37">
        <f>SUMIFS(Lançamentos!$F:$F,Lançamentos!$A:$A,DF$19,Lançamentos!$C:$C,"Honorários Jurídicos")</f>
        <v>0</v>
      </c>
      <c r="DG61" s="37">
        <f>SUMIFS(Lançamentos!$F:$F,Lançamentos!$A:$A,DG$19,Lançamentos!$C:$C,"Honorários Jurídicos")</f>
        <v>0</v>
      </c>
      <c r="DH61" s="37">
        <f>SUMIFS(Lançamentos!$F:$F,Lançamentos!$A:$A,DH$19,Lançamentos!$C:$C,"Honorários Jurídicos")</f>
        <v>0</v>
      </c>
      <c r="DI61" s="37">
        <f>SUMIFS(Lançamentos!$F:$F,Lançamentos!$A:$A,DI$19,Lançamentos!$C:$C,"Honorários Jurídicos")</f>
        <v>0</v>
      </c>
      <c r="DJ61" s="37">
        <f>SUMIFS(Lançamentos!$F:$F,Lançamentos!$A:$A,DJ$19,Lançamentos!$C:$C,"Honorários Jurídicos")</f>
        <v>0</v>
      </c>
      <c r="DK61" s="37">
        <f>SUMIFS(Lançamentos!$F:$F,Lançamentos!$A:$A,DK$19,Lançamentos!$C:$C,"Honorários Jurídicos")</f>
        <v>0</v>
      </c>
      <c r="DL61" s="37">
        <f>SUMIFS(Lançamentos!$F:$F,Lançamentos!$A:$A,DL$19,Lançamentos!$C:$C,"Honorários Jurídicos")</f>
        <v>0</v>
      </c>
      <c r="DM61" s="37">
        <f>SUMIFS(Lançamentos!$F:$F,Lançamentos!$A:$A,DM$19,Lançamentos!$C:$C,"Honorários Jurídicos")</f>
        <v>0</v>
      </c>
      <c r="DN61" s="37">
        <f>SUMIFS(Lançamentos!$F:$F,Lançamentos!$A:$A,DN$19,Lançamentos!$C:$C,"Honorários Jurídicos")</f>
        <v>0</v>
      </c>
      <c r="DO61" s="37">
        <f>SUMIFS(Lançamentos!$F:$F,Lançamentos!$A:$A,DO$19,Lançamentos!$C:$C,"Honorários Jurídicos")</f>
        <v>0</v>
      </c>
      <c r="DP61" s="37">
        <f>SUMIFS(Lançamentos!$F:$F,Lançamentos!$A:$A,DP$19,Lançamentos!$C:$C,"Honorários Jurídicos")</f>
        <v>0</v>
      </c>
      <c r="DQ61" s="37">
        <f>SUMIFS(Lançamentos!$F:$F,Lançamentos!$A:$A,DQ$19,Lançamentos!$C:$C,"Honorários Jurídicos")</f>
        <v>0</v>
      </c>
      <c r="DR61" s="37">
        <f>SUMIFS(Lançamentos!$F:$F,Lançamentos!$A:$A,DR$19,Lançamentos!$C:$C,"Honorários Jurídicos")</f>
        <v>0</v>
      </c>
      <c r="DS61" s="37">
        <f>SUMIFS(Lançamentos!$F:$F,Lançamentos!$A:$A,DS$19,Lançamentos!$C:$C,"Honorários Jurídicos")</f>
        <v>0</v>
      </c>
      <c r="DT61" s="37">
        <f>SUMIFS(Lançamentos!$F:$F,Lançamentos!$A:$A,DT$19,Lançamentos!$C:$C,"Honorários Jurídicos")</f>
        <v>0</v>
      </c>
      <c r="DU61" s="37">
        <f>SUMIFS(Lançamentos!$F:$F,Lançamentos!$A:$A,DU$19,Lançamentos!$C:$C,"Honorários Jurídicos")</f>
        <v>0</v>
      </c>
      <c r="DV61" s="37">
        <f>SUMIFS(Lançamentos!$F:$F,Lançamentos!$A:$A,DV$19,Lançamentos!$C:$C,"Honorários Jurídicos")</f>
        <v>0</v>
      </c>
      <c r="DW61" s="37">
        <f>SUMIFS(Lançamentos!$F:$F,Lançamentos!$A:$A,DW$19,Lançamentos!$C:$C,"Honorários Jurídicos")</f>
        <v>0</v>
      </c>
      <c r="DX61" s="37">
        <f>SUMIFS(Lançamentos!$F:$F,Lançamentos!$A:$A,DX$19,Lançamentos!$C:$C,"Honorários Jurídicos")</f>
        <v>0</v>
      </c>
      <c r="DY61" s="37">
        <f>SUMIFS(Lançamentos!$F:$F,Lançamentos!$A:$A,DY$19,Lançamentos!$C:$C,"Honorários Jurídicos")</f>
        <v>0</v>
      </c>
      <c r="DZ61" s="37">
        <f>SUMIFS(Lançamentos!$F:$F,Lançamentos!$A:$A,DZ$19,Lançamentos!$C:$C,"Honorários Jurídicos")</f>
        <v>0</v>
      </c>
      <c r="EA61" s="37">
        <f>SUMIFS(Lançamentos!$F:$F,Lançamentos!$A:$A,EA$19,Lançamentos!$C:$C,"Honorários Jurídicos")</f>
        <v>0</v>
      </c>
      <c r="EB61" s="37">
        <f>SUMIFS(Lançamentos!$F:$F,Lançamentos!$A:$A,EB$19,Lançamentos!$C:$C,"Honorários Jurídicos")</f>
        <v>0</v>
      </c>
      <c r="EC61" s="37">
        <f>SUMIFS(Lançamentos!$F:$F,Lançamentos!$A:$A,EC$19,Lançamentos!$C:$C,"Honorários Jurídicos")</f>
        <v>0</v>
      </c>
      <c r="ED61" s="37">
        <f>SUMIFS(Lançamentos!$F:$F,Lançamentos!$A:$A,ED$19,Lançamentos!$C:$C,"Honorários Jurídicos")</f>
        <v>0</v>
      </c>
      <c r="EE61" s="37">
        <f>SUMIFS(Lançamentos!$F:$F,Lançamentos!$A:$A,EE$19,Lançamentos!$C:$C,"Honorários Jurídicos")</f>
        <v>0</v>
      </c>
      <c r="EF61" s="37">
        <f>SUMIFS(Lançamentos!$F:$F,Lançamentos!$A:$A,EF$19,Lançamentos!$C:$C,"Honorários Jurídicos")</f>
        <v>0</v>
      </c>
      <c r="EG61" s="37">
        <f>SUMIFS(Lançamentos!$F:$F,Lançamentos!$A:$A,EG$19,Lançamentos!$C:$C,"Honorários Jurídicos")</f>
        <v>0</v>
      </c>
      <c r="EH61" s="37">
        <f>SUMIFS(Lançamentos!$F:$F,Lançamentos!$A:$A,EH$19,Lançamentos!$C:$C,"Honorários Jurídicos")</f>
        <v>0</v>
      </c>
      <c r="EI61" s="37">
        <f>SUMIFS(Lançamentos!$F:$F,Lançamentos!$A:$A,EI$19,Lançamentos!$C:$C,"Honorários Jurídicos")</f>
        <v>0</v>
      </c>
      <c r="EJ61" s="37">
        <f>SUMIFS(Lançamentos!$F:$F,Lançamentos!$A:$A,EJ$19,Lançamentos!$C:$C,"Honorários Jurídicos")</f>
        <v>0</v>
      </c>
      <c r="EK61" s="37">
        <f>SUMIFS(Lançamentos!$F:$F,Lançamentos!$A:$A,EK$19,Lançamentos!$C:$C,"Honorários Jurídicos")</f>
        <v>0</v>
      </c>
      <c r="EL61" s="37">
        <f>SUMIFS(Lançamentos!$F:$F,Lançamentos!$A:$A,EL$19,Lançamentos!$C:$C,"Honorários Jurídicos")</f>
        <v>0</v>
      </c>
      <c r="EM61" s="37">
        <f>SUMIFS(Lançamentos!$F:$F,Lançamentos!$A:$A,EM$19,Lançamentos!$C:$C,"Honorários Jurídicos")</f>
        <v>0</v>
      </c>
      <c r="EN61" s="37">
        <f>SUMIFS(Lançamentos!$F:$F,Lançamentos!$A:$A,EN$19,Lançamentos!$C:$C,"Honorários Jurídicos")</f>
        <v>0</v>
      </c>
      <c r="EO61" s="37">
        <f>SUMIFS(Lançamentos!$F:$F,Lançamentos!$A:$A,EO$19,Lançamentos!$C:$C,"Honorários Jurídicos")</f>
        <v>0</v>
      </c>
      <c r="EP61" s="37">
        <f>SUMIFS(Lançamentos!$F:$F,Lançamentos!$A:$A,EP$19,Lançamentos!$C:$C,"Honorários Jurídicos")</f>
        <v>0</v>
      </c>
      <c r="EQ61" s="37">
        <f>SUMIFS(Lançamentos!$F:$F,Lançamentos!$A:$A,EQ$19,Lançamentos!$C:$C,"Honorários Jurídicos")</f>
        <v>0</v>
      </c>
      <c r="ER61" s="37">
        <f>SUMIFS(Lançamentos!$F:$F,Lançamentos!$A:$A,ER$19,Lançamentos!$C:$C,"Honorários Jurídicos")</f>
        <v>0</v>
      </c>
      <c r="ES61" s="37">
        <f>SUMIFS(Lançamentos!$F:$F,Lançamentos!$A:$A,ES$19,Lançamentos!$C:$C,"Honorários Jurídicos")</f>
        <v>0</v>
      </c>
      <c r="ET61" s="37">
        <f>SUMIFS(Lançamentos!$F:$F,Lançamentos!$A:$A,ET$19,Lançamentos!$C:$C,"Honorários Jurídicos")</f>
        <v>0</v>
      </c>
      <c r="EU61" s="37">
        <f>SUMIFS(Lançamentos!$F:$F,Lançamentos!$A:$A,EU$19,Lançamentos!$C:$C,"Honorários Jurídicos")</f>
        <v>0</v>
      </c>
      <c r="EV61" s="37">
        <f>SUMIFS(Lançamentos!$F:$F,Lançamentos!$A:$A,EV$19,Lançamentos!$C:$C,"Honorários Jurídicos")</f>
        <v>0</v>
      </c>
      <c r="EW61" s="37">
        <f>SUMIFS(Lançamentos!$F:$F,Lançamentos!$A:$A,EW$19,Lançamentos!$C:$C,"Honorários Jurídicos")</f>
        <v>0</v>
      </c>
      <c r="EX61" s="37">
        <f>SUMIFS(Lançamentos!$F:$F,Lançamentos!$A:$A,EX$19,Lançamentos!$C:$C,"Honorários Jurídicos")</f>
        <v>0</v>
      </c>
      <c r="EY61" s="37">
        <f>SUMIFS(Lançamentos!$F:$F,Lançamentos!$A:$A,EY$19,Lançamentos!$C:$C,"Honorários Jurídicos")</f>
        <v>0</v>
      </c>
      <c r="EZ61" s="37">
        <f>SUMIFS(Lançamentos!$F:$F,Lançamentos!$A:$A,EZ$19,Lançamentos!$C:$C,"Honorários Jurídicos")</f>
        <v>0</v>
      </c>
      <c r="FA61" s="37">
        <f>SUMIFS(Lançamentos!$F:$F,Lançamentos!$A:$A,FA$19,Lançamentos!$C:$C,"Honorários Jurídicos")</f>
        <v>0</v>
      </c>
      <c r="FB61" s="37">
        <f>SUMIFS(Lançamentos!$F:$F,Lançamentos!$A:$A,FB$19,Lançamentos!$C:$C,"Honorários Jurídicos")</f>
        <v>0</v>
      </c>
      <c r="FC61" s="37">
        <f>SUMIFS(Lançamentos!$F:$F,Lançamentos!$A:$A,FC$19,Lançamentos!$C:$C,"Honorários Jurídicos")</f>
        <v>0</v>
      </c>
      <c r="FD61" s="37">
        <f>SUMIFS(Lançamentos!$F:$F,Lançamentos!$A:$A,FD$19,Lançamentos!$C:$C,"Honorários Jurídicos")</f>
        <v>0</v>
      </c>
      <c r="FE61" s="37">
        <f>SUMIFS(Lançamentos!$F:$F,Lançamentos!$A:$A,FE$19,Lançamentos!$C:$C,"Honorários Jurídicos")</f>
        <v>0</v>
      </c>
      <c r="FF61" s="37">
        <f>SUMIFS(Lançamentos!$F:$F,Lançamentos!$A:$A,FF$19,Lançamentos!$C:$C,"Honorários Jurídicos")</f>
        <v>0</v>
      </c>
      <c r="FG61" s="37">
        <f>SUMIFS(Lançamentos!$F:$F,Lançamentos!$A:$A,FG$19,Lançamentos!$C:$C,"Honorários Jurídicos")</f>
        <v>0</v>
      </c>
      <c r="FH61" s="37">
        <f>SUMIFS(Lançamentos!$F:$F,Lançamentos!$A:$A,FH$19,Lançamentos!$C:$C,"Honorários Jurídicos")</f>
        <v>0</v>
      </c>
      <c r="FI61" s="37">
        <f>SUMIFS(Lançamentos!$F:$F,Lançamentos!$A:$A,FI$19,Lançamentos!$C:$C,"Honorários Jurídicos")</f>
        <v>0</v>
      </c>
      <c r="FJ61" s="37">
        <f>SUMIFS(Lançamentos!$F:$F,Lançamentos!$A:$A,FJ$19,Lançamentos!$C:$C,"Honorários Jurídicos")</f>
        <v>0</v>
      </c>
      <c r="FK61" s="37">
        <f>SUMIFS(Lançamentos!$F:$F,Lançamentos!$A:$A,FK$19,Lançamentos!$C:$C,"Honorários Jurídicos")</f>
        <v>0</v>
      </c>
      <c r="FL61" s="37">
        <f>SUMIFS(Lançamentos!$F:$F,Lançamentos!$A:$A,FL$19,Lançamentos!$C:$C,"Honorários Jurídicos")</f>
        <v>0</v>
      </c>
      <c r="FM61" s="37">
        <f>SUMIFS(Lançamentos!$F:$F,Lançamentos!$A:$A,FM$19,Lançamentos!$C:$C,"Honorários Jurídicos")</f>
        <v>0</v>
      </c>
      <c r="FN61" s="37">
        <f>SUMIFS(Lançamentos!$F:$F,Lançamentos!$A:$A,FN$19,Lançamentos!$C:$C,"Honorários Jurídicos")</f>
        <v>0</v>
      </c>
      <c r="FO61" s="37">
        <f>SUMIFS(Lançamentos!$F:$F,Lançamentos!$A:$A,FO$19,Lançamentos!$C:$C,"Honorários Jurídicos")</f>
        <v>0</v>
      </c>
      <c r="FP61" s="37">
        <f>SUMIFS(Lançamentos!$F:$F,Lançamentos!$A:$A,FP$19,Lançamentos!$C:$C,"Honorários Jurídicos")</f>
        <v>0</v>
      </c>
      <c r="FQ61" s="37">
        <f>SUMIFS(Lançamentos!$F:$F,Lançamentos!$A:$A,FQ$19,Lançamentos!$C:$C,"Honorários Jurídicos")</f>
        <v>0</v>
      </c>
      <c r="FR61" s="37">
        <f>SUMIFS(Lançamentos!$F:$F,Lançamentos!$A:$A,FR$19,Lançamentos!$C:$C,"Honorários Jurídicos")</f>
        <v>0</v>
      </c>
      <c r="FS61" s="37">
        <f>SUMIFS(Lançamentos!$F:$F,Lançamentos!$A:$A,FS$19,Lançamentos!$C:$C,"Honorários Jurídicos")</f>
        <v>0</v>
      </c>
      <c r="FT61" s="37">
        <f>SUMIFS(Lançamentos!$F:$F,Lançamentos!$A:$A,FT$19,Lançamentos!$C:$C,"Honorários Jurídicos")</f>
        <v>0</v>
      </c>
      <c r="FU61" s="37">
        <f>SUMIFS(Lançamentos!$F:$F,Lançamentos!$A:$A,FU$19,Lançamentos!$C:$C,"Honorários Jurídicos")</f>
        <v>0</v>
      </c>
      <c r="FV61" s="37">
        <f>SUMIFS(Lançamentos!$F:$F,Lançamentos!$A:$A,FV$19,Lançamentos!$C:$C,"Honorários Jurídicos")</f>
        <v>0</v>
      </c>
      <c r="FW61" s="37">
        <f>SUMIFS(Lançamentos!$F:$F,Lançamentos!$A:$A,FW$19,Lançamentos!$C:$C,"Honorários Jurídicos")</f>
        <v>0</v>
      </c>
      <c r="FX61" s="37">
        <f>SUMIFS(Lançamentos!$F:$F,Lançamentos!$A:$A,FX$19,Lançamentos!$C:$C,"Honorários Jurídicos")</f>
        <v>0</v>
      </c>
      <c r="FY61" s="37">
        <f>SUMIFS(Lançamentos!$F:$F,Lançamentos!$A:$A,FY$19,Lançamentos!$C:$C,"Honorários Jurídicos")</f>
        <v>0</v>
      </c>
      <c r="FZ61" s="37">
        <f>SUMIFS(Lançamentos!$F:$F,Lançamentos!$A:$A,FZ$19,Lançamentos!$C:$C,"Honorários Jurídicos")</f>
        <v>0</v>
      </c>
      <c r="GA61" s="37">
        <f>SUMIFS(Lançamentos!$F:$F,Lançamentos!$A:$A,GA$19,Lançamentos!$C:$C,"Honorários Jurídicos")</f>
        <v>0</v>
      </c>
      <c r="GB61" s="37">
        <f>SUMIFS(Lançamentos!$F:$F,Lançamentos!$A:$A,GB$19,Lançamentos!$C:$C,"Honorários Jurídicos")</f>
        <v>0</v>
      </c>
      <c r="GC61" s="37">
        <f>SUMIFS(Lançamentos!$F:$F,Lançamentos!$A:$A,GC$19,Lançamentos!$C:$C,"Honorários Jurídicos")</f>
        <v>0</v>
      </c>
      <c r="GD61" s="37">
        <f>SUMIFS(Lançamentos!$F:$F,Lançamentos!$A:$A,GD$19,Lançamentos!$C:$C,"Honorários Jurídicos")</f>
        <v>0</v>
      </c>
      <c r="GE61" s="37">
        <f>SUMIFS(Lançamentos!$F:$F,Lançamentos!$A:$A,GE$19,Lançamentos!$C:$C,"Honorários Jurídicos")</f>
        <v>0</v>
      </c>
      <c r="GF61" s="37">
        <f>SUMIFS(Lançamentos!$F:$F,Lançamentos!$A:$A,GF$19,Lançamentos!$C:$C,"Honorários Jurídicos")</f>
        <v>0</v>
      </c>
      <c r="GG61" s="37">
        <f>SUMIFS(Lançamentos!$F:$F,Lançamentos!$A:$A,GG$19,Lançamentos!$C:$C,"Honorários Jurídicos")</f>
        <v>0</v>
      </c>
      <c r="GH61" s="37">
        <f>SUMIFS(Lançamentos!$F:$F,Lançamentos!$A:$A,GH$19,Lançamentos!$C:$C,"Honorários Jurídicos")</f>
        <v>0</v>
      </c>
      <c r="GI61" s="37">
        <f>SUMIFS(Lançamentos!$F:$F,Lançamentos!$A:$A,GI$19,Lançamentos!$C:$C,"Honorários Jurídicos")</f>
        <v>0</v>
      </c>
      <c r="GJ61" s="37">
        <f>SUMIFS(Lançamentos!$F:$F,Lançamentos!$A:$A,GJ$19,Lançamentos!$C:$C,"Honorários Jurídicos")</f>
        <v>0</v>
      </c>
      <c r="GK61" s="37">
        <f>SUMIFS(Lançamentos!$F:$F,Lançamentos!$A:$A,GK$19,Lançamentos!$C:$C,"Honorários Jurídicos")</f>
        <v>0</v>
      </c>
      <c r="GL61" s="37">
        <f>SUMIFS(Lançamentos!$F:$F,Lançamentos!$A:$A,GL$19,Lançamentos!$C:$C,"Honorários Jurídicos")</f>
        <v>0</v>
      </c>
      <c r="GM61" s="37">
        <f>SUMIFS(Lançamentos!$F:$F,Lançamentos!$A:$A,GM$19,Lançamentos!$C:$C,"Honorários Jurídicos")</f>
        <v>0</v>
      </c>
      <c r="GN61" s="37">
        <f>SUMIFS(Lançamentos!$F:$F,Lançamentos!$A:$A,GN$19,Lançamentos!$C:$C,"Honorários Jurídicos")</f>
        <v>0</v>
      </c>
      <c r="GO61" s="37">
        <f>SUMIFS(Lançamentos!$F:$F,Lançamentos!$A:$A,GO$19,Lançamentos!$C:$C,"Honorários Jurídicos")</f>
        <v>0</v>
      </c>
      <c r="GP61" s="37">
        <f>SUMIFS(Lançamentos!$F:$F,Lançamentos!$A:$A,GP$19,Lançamentos!$C:$C,"Honorários Jurídicos")</f>
        <v>0</v>
      </c>
      <c r="GQ61" s="37">
        <f>SUMIFS(Lançamentos!$F:$F,Lançamentos!$A:$A,GQ$19,Lançamentos!$C:$C,"Honorários Jurídicos")</f>
        <v>0</v>
      </c>
      <c r="GR61" s="37">
        <f>SUMIFS(Lançamentos!$F:$F,Lançamentos!$A:$A,GR$19,Lançamentos!$C:$C,"Honorários Jurídicos")</f>
        <v>0</v>
      </c>
      <c r="GS61" s="37">
        <f>SUMIFS(Lançamentos!$F:$F,Lançamentos!$A:$A,GS$19,Lançamentos!$C:$C,"Honorários Jurídicos")</f>
        <v>0</v>
      </c>
      <c r="GT61" s="37">
        <f>SUMIFS(Lançamentos!$F:$F,Lançamentos!$A:$A,GT$19,Lançamentos!$C:$C,"Honorários Jurídicos")</f>
        <v>0</v>
      </c>
      <c r="GU61" s="37">
        <f>SUMIFS(Lançamentos!$F:$F,Lançamentos!$A:$A,GU$19,Lançamentos!$C:$C,"Honorários Jurídicos")</f>
        <v>0</v>
      </c>
      <c r="GV61" s="37">
        <f>SUMIFS(Lançamentos!$F:$F,Lançamentos!$A:$A,GV$19,Lançamentos!$C:$C,"Honorários Jurídicos")</f>
        <v>0</v>
      </c>
      <c r="GW61" s="37">
        <f>SUMIFS(Lançamentos!$F:$F,Lançamentos!$A:$A,GW$19,Lançamentos!$C:$C,"Honorários Jurídicos")</f>
        <v>0</v>
      </c>
      <c r="GX61" s="37">
        <f>SUMIFS(Lançamentos!$F:$F,Lançamentos!$A:$A,GX$19,Lançamentos!$C:$C,"Honorários Jurídicos")</f>
        <v>0</v>
      </c>
      <c r="GY61" s="37">
        <f>SUMIFS(Lançamentos!$F:$F,Lançamentos!$A:$A,GY$19,Lançamentos!$C:$C,"Honorários Jurídicos")</f>
        <v>0</v>
      </c>
      <c r="GZ61" s="37">
        <f>SUMIFS(Lançamentos!$F:$F,Lançamentos!$A:$A,GZ$19,Lançamentos!$C:$C,"Honorários Jurídicos")</f>
        <v>0</v>
      </c>
      <c r="HA61" s="37">
        <f>SUMIFS(Lançamentos!$F:$F,Lançamentos!$A:$A,HA$19,Lançamentos!$C:$C,"Honorários Jurídicos")</f>
        <v>0</v>
      </c>
      <c r="HB61" s="37">
        <f>SUMIFS(Lançamentos!$F:$F,Lançamentos!$A:$A,HB$19,Lançamentos!$C:$C,"Honorários Jurídicos")</f>
        <v>0</v>
      </c>
      <c r="HC61" s="37">
        <f>SUMIFS(Lançamentos!$F:$F,Lançamentos!$A:$A,HC$19,Lançamentos!$C:$C,"Honorários Jurídicos")</f>
        <v>0</v>
      </c>
      <c r="HD61" s="37">
        <f>SUMIFS(Lançamentos!$F:$F,Lançamentos!$A:$A,HD$19,Lançamentos!$C:$C,"Honorários Jurídicos")</f>
        <v>0</v>
      </c>
      <c r="HE61" s="37">
        <f>SUMIFS(Lançamentos!$F:$F,Lançamentos!$A:$A,HE$19,Lançamentos!$C:$C,"Honorários Jurídicos")</f>
        <v>0</v>
      </c>
      <c r="HF61" s="37">
        <f>SUMIFS(Lançamentos!$F:$F,Lançamentos!$A:$A,HF$19,Lançamentos!$C:$C,"Honorários Jurídicos")</f>
        <v>0</v>
      </c>
      <c r="HG61" s="37">
        <f>SUMIFS(Lançamentos!$F:$F,Lançamentos!$A:$A,HG$19,Lançamentos!$C:$C,"Honorários Jurídicos")</f>
        <v>0</v>
      </c>
      <c r="HH61" s="37">
        <f>SUMIFS(Lançamentos!$F:$F,Lançamentos!$A:$A,HH$19,Lançamentos!$C:$C,"Honorários Jurídicos")</f>
        <v>0</v>
      </c>
      <c r="HI61" s="37">
        <f>SUMIFS(Lançamentos!$F:$F,Lançamentos!$A:$A,HI$19,Lançamentos!$C:$C,"Honorários Jurídicos")</f>
        <v>0</v>
      </c>
      <c r="HJ61" s="37">
        <f>SUMIFS(Lançamentos!$F:$F,Lançamentos!$A:$A,HJ$19,Lançamentos!$C:$C,"Honorários Jurídicos")</f>
        <v>0</v>
      </c>
      <c r="HK61" s="37">
        <f>SUMIFS(Lançamentos!$F:$F,Lançamentos!$A:$A,HK$19,Lançamentos!$C:$C,"Honorários Jurídicos")</f>
        <v>0</v>
      </c>
      <c r="HL61" s="37">
        <f>SUMIFS(Lançamentos!$F:$F,Lançamentos!$A:$A,HL$19,Lançamentos!$C:$C,"Honorários Jurídicos")</f>
        <v>0</v>
      </c>
      <c r="HM61" s="37">
        <f>SUMIFS(Lançamentos!$F:$F,Lançamentos!$A:$A,HM$19,Lançamentos!$C:$C,"Honorários Jurídicos")</f>
        <v>0</v>
      </c>
      <c r="HN61" s="37">
        <f>SUMIFS(Lançamentos!$F:$F,Lançamentos!$A:$A,HN$19,Lançamentos!$C:$C,"Honorários Jurídicos")</f>
        <v>0</v>
      </c>
      <c r="HO61" s="37">
        <f>SUMIFS(Lançamentos!$F:$F,Lançamentos!$A:$A,HO$19,Lançamentos!$C:$C,"Honorários Jurídicos")</f>
        <v>0</v>
      </c>
      <c r="HP61" s="37">
        <f>SUMIFS(Lançamentos!$F:$F,Lançamentos!$A:$A,HP$19,Lançamentos!$C:$C,"Honorários Jurídicos")</f>
        <v>0</v>
      </c>
      <c r="HQ61" s="37">
        <f>SUMIFS(Lançamentos!$F:$F,Lançamentos!$A:$A,HQ$19,Lançamentos!$C:$C,"Honorários Jurídicos")</f>
        <v>0</v>
      </c>
      <c r="HR61" s="37">
        <f>SUMIFS(Lançamentos!$F:$F,Lançamentos!$A:$A,HR$19,Lançamentos!$C:$C,"Honorários Jurídicos")</f>
        <v>0</v>
      </c>
      <c r="HS61" s="37">
        <f>SUMIFS(Lançamentos!$F:$F,Lançamentos!$A:$A,HS$19,Lançamentos!$C:$C,"Honorários Jurídicos")</f>
        <v>0</v>
      </c>
      <c r="HT61" s="37">
        <f>SUMIFS(Lançamentos!$F:$F,Lançamentos!$A:$A,HT$19,Lançamentos!$C:$C,"Honorários Jurídicos")</f>
        <v>0</v>
      </c>
      <c r="HU61" s="37">
        <f>SUMIFS(Lançamentos!$F:$F,Lançamentos!$A:$A,HU$19,Lançamentos!$C:$C,"Honorários Jurídicos")</f>
        <v>0</v>
      </c>
      <c r="HV61" s="37">
        <f>SUMIFS(Lançamentos!$F:$F,Lançamentos!$A:$A,HV$19,Lançamentos!$C:$C,"Honorários Jurídicos")</f>
        <v>0</v>
      </c>
      <c r="HW61" s="37">
        <f>SUMIFS(Lançamentos!$F:$F,Lançamentos!$A:$A,HW$19,Lançamentos!$C:$C,"Honorários Jurídicos")</f>
        <v>0</v>
      </c>
      <c r="HX61" s="37">
        <f>SUMIFS(Lançamentos!$F:$F,Lançamentos!$A:$A,HX$19,Lançamentos!$C:$C,"Honorários Jurídicos")</f>
        <v>0</v>
      </c>
      <c r="HY61" s="37">
        <f>SUMIFS(Lançamentos!$F:$F,Lançamentos!$A:$A,HY$19,Lançamentos!$C:$C,"Honorários Jurídicos")</f>
        <v>0</v>
      </c>
      <c r="HZ61" s="37">
        <f>SUMIFS(Lançamentos!$F:$F,Lançamentos!$A:$A,HZ$19,Lançamentos!$C:$C,"Honorários Jurídicos")</f>
        <v>0</v>
      </c>
      <c r="IA61" s="37">
        <f>SUMIFS(Lançamentos!$F:$F,Lançamentos!$A:$A,IA$19,Lançamentos!$C:$C,"Honorários Jurídicos")</f>
        <v>0</v>
      </c>
      <c r="IB61" s="37">
        <f>SUMIFS(Lançamentos!$F:$F,Lançamentos!$A:$A,IB$19,Lançamentos!$C:$C,"Honorários Jurídicos")</f>
        <v>0</v>
      </c>
      <c r="IC61" s="37">
        <f>SUMIFS(Lançamentos!$F:$F,Lançamentos!$A:$A,IC$19,Lançamentos!$C:$C,"Honorários Jurídicos")</f>
        <v>0</v>
      </c>
      <c r="ID61" s="37">
        <f>SUMIFS(Lançamentos!$F:$F,Lançamentos!$A:$A,ID$19,Lançamentos!$C:$C,"Honorários Jurídicos")</f>
        <v>0</v>
      </c>
      <c r="IE61" s="37">
        <f>SUMIFS(Lançamentos!$F:$F,Lançamentos!$A:$A,IE$19,Lançamentos!$C:$C,"Honorários Jurídicos")</f>
        <v>0</v>
      </c>
      <c r="IF61" s="37">
        <f>SUMIFS(Lançamentos!$F:$F,Lançamentos!$A:$A,IF$19,Lançamentos!$C:$C,"Honorários Jurídicos")</f>
        <v>0</v>
      </c>
      <c r="IG61" s="37">
        <f>SUMIFS(Lançamentos!$F:$F,Lançamentos!$A:$A,IG$19,Lançamentos!$C:$C,"Honorários Jurídicos")</f>
        <v>0</v>
      </c>
      <c r="IH61" s="37">
        <f>SUMIFS(Lançamentos!$F:$F,Lançamentos!$A:$A,IH$19,Lançamentos!$C:$C,"Honorários Jurídicos")</f>
        <v>0</v>
      </c>
      <c r="II61" s="37">
        <f>SUMIFS(Lançamentos!$F:$F,Lançamentos!$A:$A,II$19,Lançamentos!$C:$C,"Honorários Jurídicos")</f>
        <v>0</v>
      </c>
      <c r="IJ61" s="37">
        <f>SUMIFS(Lançamentos!$F:$F,Lançamentos!$A:$A,IJ$19,Lançamentos!$C:$C,"Honorários Jurídicos")</f>
        <v>0</v>
      </c>
      <c r="IK61" s="37">
        <f>SUMIFS(Lançamentos!$F:$F,Lançamentos!$A:$A,IK$19,Lançamentos!$C:$C,"Honorários Jurídicos")</f>
        <v>0</v>
      </c>
      <c r="IL61" s="37">
        <f>SUMIFS(Lançamentos!$F:$F,Lançamentos!$A:$A,IL$19,Lançamentos!$C:$C,"Honorários Jurídicos")</f>
        <v>0</v>
      </c>
    </row>
    <row r="62" spans="1:246" x14ac:dyDescent="0.3">
      <c r="A62" t="s">
        <v>100</v>
      </c>
      <c r="B62" s="37">
        <f>SUMIFS(Lançamentos!$F:$F,Lançamentos!$A:$A,B$19,Lançamentos!$C:$C,"Equipamentos e Informática")</f>
        <v>0</v>
      </c>
      <c r="C62" s="37">
        <f>SUMIFS(Lançamentos!$F:$F,Lançamentos!$A:$A,C$19,Lançamentos!$C:$C,"Equipamentos e Informática")</f>
        <v>0</v>
      </c>
      <c r="D62" s="37">
        <f>SUMIFS(Lançamentos!$F:$F,Lançamentos!$A:$A,D$19,Lançamentos!$C:$C,"Equipamentos e Informática")</f>
        <v>0</v>
      </c>
      <c r="E62" s="37">
        <f>SUMIFS(Lançamentos!$F:$F,Lançamentos!$A:$A,E$19,Lançamentos!$C:$C,"Equipamentos e Informática")</f>
        <v>0</v>
      </c>
      <c r="F62" s="37">
        <f>SUMIFS(Lançamentos!$F:$F,Lançamentos!$A:$A,F$19,Lançamentos!$C:$C,"Equipamentos e Informática")</f>
        <v>0</v>
      </c>
      <c r="G62" s="37">
        <f>SUMIFS(Lançamentos!$F:$F,Lançamentos!$A:$A,G$19,Lançamentos!$C:$C,"Equipamentos e Informática")</f>
        <v>0</v>
      </c>
      <c r="H62" s="37">
        <f>SUMIFS(Lançamentos!$F:$F,Lançamentos!$A:$A,H$19,Lançamentos!$C:$C,"Equipamentos e Informática")</f>
        <v>0</v>
      </c>
      <c r="I62" s="37">
        <f>SUMIFS(Lançamentos!$F:$F,Lançamentos!$A:$A,I$19,Lançamentos!$C:$C,"Equipamentos e Informática")</f>
        <v>0</v>
      </c>
      <c r="J62" s="37">
        <f>SUMIFS(Lançamentos!$F:$F,Lançamentos!$A:$A,J$19,Lançamentos!$C:$C,"Equipamentos e Informática")</f>
        <v>0</v>
      </c>
      <c r="K62" s="37">
        <f>SUMIFS(Lançamentos!$F:$F,Lançamentos!$A:$A,K$19,Lançamentos!$C:$C,"Equipamentos e Informática")</f>
        <v>0</v>
      </c>
      <c r="L62" s="37">
        <f>SUMIFS(Lançamentos!$F:$F,Lançamentos!$A:$A,L$19,Lançamentos!$C:$C,"Equipamentos e Informática")</f>
        <v>0</v>
      </c>
      <c r="M62" s="37">
        <f>SUMIFS(Lançamentos!$F:$F,Lançamentos!$A:$A,M$19,Lançamentos!$C:$C,"Equipamentos e Informática")</f>
        <v>0</v>
      </c>
      <c r="N62" s="37">
        <f>SUMIFS(Lançamentos!$F:$F,Lançamentos!$A:$A,N$19,Lançamentos!$C:$C,"Equipamentos e Informática")</f>
        <v>0</v>
      </c>
      <c r="O62" s="37">
        <f>SUMIFS(Lançamentos!$F:$F,Lançamentos!$A:$A,O$19,Lançamentos!$C:$C,"Equipamentos e Informática")</f>
        <v>0</v>
      </c>
      <c r="P62" s="37">
        <f>SUMIFS(Lançamentos!$F:$F,Lançamentos!$A:$A,P$19,Lançamentos!$C:$C,"Equipamentos e Informática")</f>
        <v>0</v>
      </c>
      <c r="Q62" s="37">
        <f>SUMIFS(Lançamentos!$F:$F,Lançamentos!$A:$A,Q$19,Lançamentos!$C:$C,"Equipamentos e Informática")</f>
        <v>0</v>
      </c>
      <c r="R62" s="37">
        <f>SUMIFS(Lançamentos!$F:$F,Lançamentos!$A:$A,R$19,Lançamentos!$C:$C,"Equipamentos e Informática")</f>
        <v>0</v>
      </c>
      <c r="S62" s="37">
        <f>SUMIFS(Lançamentos!$F:$F,Lançamentos!$A:$A,S$19,Lançamentos!$C:$C,"Equipamentos e Informática")</f>
        <v>0</v>
      </c>
      <c r="T62" s="37">
        <f>SUMIFS(Lançamentos!$F:$F,Lançamentos!$A:$A,T$19,Lançamentos!$C:$C,"Equipamentos e Informática")</f>
        <v>0</v>
      </c>
      <c r="U62" s="37">
        <f>SUMIFS(Lançamentos!$F:$F,Lançamentos!$A:$A,U$19,Lançamentos!$C:$C,"Equipamentos e Informática")</f>
        <v>0</v>
      </c>
      <c r="V62" s="37">
        <f>SUMIFS(Lançamentos!$F:$F,Lançamentos!$A:$A,V$19,Lançamentos!$C:$C,"Equipamentos e Informática")</f>
        <v>0</v>
      </c>
      <c r="W62" s="37">
        <f>SUMIFS(Lançamentos!$F:$F,Lançamentos!$A:$A,W$19,Lançamentos!$C:$C,"Equipamentos e Informática")</f>
        <v>0</v>
      </c>
      <c r="X62" s="37">
        <f>SUMIFS(Lançamentos!$F:$F,Lançamentos!$A:$A,X$19,Lançamentos!$C:$C,"Equipamentos e Informática")</f>
        <v>0</v>
      </c>
      <c r="Y62" s="37">
        <f>SUMIFS(Lançamentos!$F:$F,Lançamentos!$A:$A,Y$19,Lançamentos!$C:$C,"Equipamentos e Informática")</f>
        <v>0</v>
      </c>
      <c r="Z62" s="37">
        <f>SUMIFS(Lançamentos!$F:$F,Lançamentos!$A:$A,Z$19,Lançamentos!$C:$C,"Equipamentos e Informática")</f>
        <v>0</v>
      </c>
      <c r="AA62" s="37">
        <f>SUMIFS(Lançamentos!$F:$F,Lançamentos!$A:$A,AA$19,Lançamentos!$C:$C,"Equipamentos e Informática")</f>
        <v>0</v>
      </c>
      <c r="AB62" s="37">
        <f>SUMIFS(Lançamentos!$F:$F,Lançamentos!$A:$A,AB$19,Lançamentos!$C:$C,"Equipamentos e Informática")</f>
        <v>0</v>
      </c>
      <c r="AC62" s="37">
        <f>SUMIFS(Lançamentos!$F:$F,Lançamentos!$A:$A,AC$19,Lançamentos!$C:$C,"Equipamentos e Informática")</f>
        <v>0</v>
      </c>
      <c r="AD62" s="37">
        <f>SUMIFS(Lançamentos!$F:$F,Lançamentos!$A:$A,AD$19,Lançamentos!$C:$C,"Equipamentos e Informática")</f>
        <v>0</v>
      </c>
      <c r="AE62" s="37">
        <f>SUMIFS(Lançamentos!$F:$F,Lançamentos!$A:$A,AE$19,Lançamentos!$C:$C,"Equipamentos e Informática")</f>
        <v>0</v>
      </c>
      <c r="AF62" s="37">
        <f>SUMIFS(Lançamentos!$F:$F,Lançamentos!$A:$A,AF$19,Lançamentos!$C:$C,"Equipamentos e Informática")</f>
        <v>0</v>
      </c>
      <c r="AG62" s="37">
        <f>SUMIFS(Lançamentos!$F:$F,Lançamentos!$A:$A,AG$19,Lançamentos!$C:$C,"Equipamentos e Informática")</f>
        <v>0</v>
      </c>
      <c r="AH62" s="37">
        <f>SUMIFS(Lançamentos!$F:$F,Lançamentos!$A:$A,AH$19,Lançamentos!$C:$C,"Equipamentos e Informática")</f>
        <v>0</v>
      </c>
      <c r="AI62" s="37">
        <f>SUMIFS(Lançamentos!$F:$F,Lançamentos!$A:$A,AI$19,Lançamentos!$C:$C,"Equipamentos e Informática")</f>
        <v>0</v>
      </c>
      <c r="AJ62" s="37">
        <f>SUMIFS(Lançamentos!$F:$F,Lançamentos!$A:$A,AJ$19,Lançamentos!$C:$C,"Equipamentos e Informática")</f>
        <v>0</v>
      </c>
      <c r="AK62" s="37">
        <f>SUMIFS(Lançamentos!$F:$F,Lançamentos!$A:$A,AK$19,Lançamentos!$C:$C,"Equipamentos e Informática")</f>
        <v>0</v>
      </c>
      <c r="AL62" s="37">
        <f>SUMIFS(Lançamentos!$F:$F,Lançamentos!$A:$A,AL$19,Lançamentos!$C:$C,"Equipamentos e Informática")</f>
        <v>0</v>
      </c>
      <c r="AM62" s="37">
        <f>SUMIFS(Lançamentos!$F:$F,Lançamentos!$A:$A,AM$19,Lançamentos!$C:$C,"Equipamentos e Informática")</f>
        <v>0</v>
      </c>
      <c r="AN62" s="37">
        <f>SUMIFS(Lançamentos!$F:$F,Lançamentos!$A:$A,AN$19,Lançamentos!$C:$C,"Equipamentos e Informática")</f>
        <v>0</v>
      </c>
      <c r="AO62" s="37">
        <f>SUMIFS(Lançamentos!$F:$F,Lançamentos!$A:$A,AO$19,Lançamentos!$C:$C,"Equipamentos e Informática")</f>
        <v>0</v>
      </c>
      <c r="AP62" s="37">
        <f>SUMIFS(Lançamentos!$F:$F,Lançamentos!$A:$A,AP$19,Lançamentos!$C:$C,"Equipamentos e Informática")</f>
        <v>0</v>
      </c>
      <c r="AQ62" s="37">
        <f>SUMIFS(Lançamentos!$F:$F,Lançamentos!$A:$A,AQ$19,Lançamentos!$C:$C,"Equipamentos e Informática")</f>
        <v>0</v>
      </c>
      <c r="AR62" s="37">
        <f>SUMIFS(Lançamentos!$F:$F,Lançamentos!$A:$A,AR$19,Lançamentos!$C:$C,"Equipamentos e Informática")</f>
        <v>0</v>
      </c>
      <c r="AS62" s="37">
        <f>SUMIFS(Lançamentos!$F:$F,Lançamentos!$A:$A,AS$19,Lançamentos!$C:$C,"Equipamentos e Informática")</f>
        <v>0</v>
      </c>
      <c r="AT62" s="37">
        <f>SUMIFS(Lançamentos!$F:$F,Lançamentos!$A:$A,AT$19,Lançamentos!$C:$C,"Equipamentos e Informática")</f>
        <v>0</v>
      </c>
      <c r="AU62" s="37">
        <f>SUMIFS(Lançamentos!$F:$F,Lançamentos!$A:$A,AU$19,Lançamentos!$C:$C,"Equipamentos e Informática")</f>
        <v>0</v>
      </c>
      <c r="AV62" s="37">
        <f>SUMIFS(Lançamentos!$F:$F,Lançamentos!$A:$A,AV$19,Lançamentos!$C:$C,"Equipamentos e Informática")</f>
        <v>0</v>
      </c>
      <c r="AW62" s="37">
        <f>SUMIFS(Lançamentos!$F:$F,Lançamentos!$A:$A,AW$19,Lançamentos!$C:$C,"Equipamentos e Informática")</f>
        <v>0</v>
      </c>
      <c r="AX62" s="37">
        <f>SUMIFS(Lançamentos!$F:$F,Lançamentos!$A:$A,AX$19,Lançamentos!$C:$C,"Equipamentos e Informática")</f>
        <v>0</v>
      </c>
      <c r="AY62" s="37">
        <f>SUMIFS(Lançamentos!$F:$F,Lançamentos!$A:$A,AY$19,Lançamentos!$C:$C,"Equipamentos e Informática")</f>
        <v>0</v>
      </c>
      <c r="AZ62" s="37">
        <f>SUMIFS(Lançamentos!$F:$F,Lançamentos!$A:$A,AZ$19,Lançamentos!$C:$C,"Equipamentos e Informática")</f>
        <v>0</v>
      </c>
      <c r="BA62" s="37">
        <f>SUMIFS(Lançamentos!$F:$F,Lançamentos!$A:$A,BA$19,Lançamentos!$C:$C,"Equipamentos e Informática")</f>
        <v>0</v>
      </c>
      <c r="BB62" s="37">
        <f>SUMIFS(Lançamentos!$F:$F,Lançamentos!$A:$A,BB$19,Lançamentos!$C:$C,"Equipamentos e Informática")</f>
        <v>0</v>
      </c>
      <c r="BC62" s="37">
        <f>SUMIFS(Lançamentos!$F:$F,Lançamentos!$A:$A,BC$19,Lançamentos!$C:$C,"Equipamentos e Informática")</f>
        <v>0</v>
      </c>
      <c r="BD62" s="37">
        <f>SUMIFS(Lançamentos!$F:$F,Lançamentos!$A:$A,BD$19,Lançamentos!$C:$C,"Equipamentos e Informática")</f>
        <v>0</v>
      </c>
      <c r="BE62" s="37">
        <f>SUMIFS(Lançamentos!$F:$F,Lançamentos!$A:$A,BE$19,Lançamentos!$C:$C,"Equipamentos e Informática")</f>
        <v>0</v>
      </c>
      <c r="BF62" s="37">
        <f>SUMIFS(Lançamentos!$F:$F,Lançamentos!$A:$A,BF$19,Lançamentos!$C:$C,"Equipamentos e Informática")</f>
        <v>0</v>
      </c>
      <c r="BG62" s="37">
        <f>SUMIFS(Lançamentos!$F:$F,Lançamentos!$A:$A,BG$19,Lançamentos!$C:$C,"Equipamentos e Informática")</f>
        <v>0</v>
      </c>
      <c r="BH62" s="37">
        <f>SUMIFS(Lançamentos!$F:$F,Lançamentos!$A:$A,BH$19,Lançamentos!$C:$C,"Equipamentos e Informática")</f>
        <v>0</v>
      </c>
      <c r="BI62" s="37">
        <f>SUMIFS(Lançamentos!$F:$F,Lançamentos!$A:$A,BI$19,Lançamentos!$C:$C,"Equipamentos e Informática")</f>
        <v>0</v>
      </c>
      <c r="BJ62" s="37">
        <f>SUMIFS(Lançamentos!$F:$F,Lançamentos!$A:$A,BJ$19,Lançamentos!$C:$C,"Equipamentos e Informática")</f>
        <v>0</v>
      </c>
      <c r="BK62" s="37">
        <f>SUMIFS(Lançamentos!$F:$F,Lançamentos!$A:$A,BK$19,Lançamentos!$C:$C,"Equipamentos e Informática")</f>
        <v>0</v>
      </c>
      <c r="BL62" s="37">
        <f>SUMIFS(Lançamentos!$F:$F,Lançamentos!$A:$A,BL$19,Lançamentos!$C:$C,"Equipamentos e Informática")</f>
        <v>0</v>
      </c>
      <c r="BM62" s="37">
        <f>SUMIFS(Lançamentos!$F:$F,Lançamentos!$A:$A,BM$19,Lançamentos!$C:$C,"Equipamentos e Informática")</f>
        <v>0</v>
      </c>
      <c r="BN62" s="37">
        <f>SUMIFS(Lançamentos!$F:$F,Lançamentos!$A:$A,BN$19,Lançamentos!$C:$C,"Equipamentos e Informática")</f>
        <v>0</v>
      </c>
      <c r="BO62" s="37">
        <f>SUMIFS(Lançamentos!$F:$F,Lançamentos!$A:$A,BO$19,Lançamentos!$C:$C,"Equipamentos e Informática")</f>
        <v>0</v>
      </c>
      <c r="BP62" s="37">
        <f>SUMIFS(Lançamentos!$F:$F,Lançamentos!$A:$A,BP$19,Lançamentos!$C:$C,"Equipamentos e Informática")</f>
        <v>0</v>
      </c>
      <c r="BQ62" s="37">
        <f>SUMIFS(Lançamentos!$F:$F,Lançamentos!$A:$A,BQ$19,Lançamentos!$C:$C,"Equipamentos e Informática")</f>
        <v>0</v>
      </c>
      <c r="BR62" s="37">
        <f>SUMIFS(Lançamentos!$F:$F,Lançamentos!$A:$A,BR$19,Lançamentos!$C:$C,"Equipamentos e Informática")</f>
        <v>0</v>
      </c>
      <c r="BS62" s="37">
        <f>SUMIFS(Lançamentos!$F:$F,Lançamentos!$A:$A,BS$19,Lançamentos!$C:$C,"Equipamentos e Informática")</f>
        <v>0</v>
      </c>
      <c r="BT62" s="37">
        <f>SUMIFS(Lançamentos!$F:$F,Lançamentos!$A:$A,BT$19,Lançamentos!$C:$C,"Equipamentos e Informática")</f>
        <v>0</v>
      </c>
      <c r="BU62" s="37">
        <f>SUMIFS(Lançamentos!$F:$F,Lançamentos!$A:$A,BU$19,Lançamentos!$C:$C,"Equipamentos e Informática")</f>
        <v>0</v>
      </c>
      <c r="BV62" s="37">
        <f>SUMIFS(Lançamentos!$F:$F,Lançamentos!$A:$A,BV$19,Lançamentos!$C:$C,"Equipamentos e Informática")</f>
        <v>0</v>
      </c>
      <c r="BW62" s="37">
        <f>SUMIFS(Lançamentos!$F:$F,Lançamentos!$A:$A,BW$19,Lançamentos!$C:$C,"Equipamentos e Informática")</f>
        <v>0</v>
      </c>
      <c r="BX62" s="37">
        <f>SUMIFS(Lançamentos!$F:$F,Lançamentos!$A:$A,BX$19,Lançamentos!$C:$C,"Equipamentos e Informática")</f>
        <v>0</v>
      </c>
      <c r="BY62" s="37">
        <f>SUMIFS(Lançamentos!$F:$F,Lançamentos!$A:$A,BY$19,Lançamentos!$C:$C,"Equipamentos e Informática")</f>
        <v>0</v>
      </c>
      <c r="BZ62" s="37">
        <f>SUMIFS(Lançamentos!$F:$F,Lançamentos!$A:$A,BZ$19,Lançamentos!$C:$C,"Equipamentos e Informática")</f>
        <v>0</v>
      </c>
      <c r="CA62" s="37">
        <f>SUMIFS(Lançamentos!$F:$F,Lançamentos!$A:$A,CA$19,Lançamentos!$C:$C,"Equipamentos e Informática")</f>
        <v>0</v>
      </c>
      <c r="CB62" s="37">
        <f>SUMIFS(Lançamentos!$F:$F,Lançamentos!$A:$A,CB$19,Lançamentos!$C:$C,"Equipamentos e Informática")</f>
        <v>0</v>
      </c>
      <c r="CC62" s="37">
        <f>SUMIFS(Lançamentos!$F:$F,Lançamentos!$A:$A,CC$19,Lançamentos!$C:$C,"Equipamentos e Informática")</f>
        <v>0</v>
      </c>
      <c r="CD62" s="37">
        <f>SUMIFS(Lançamentos!$F:$F,Lançamentos!$A:$A,CD$19,Lançamentos!$C:$C,"Equipamentos e Informática")</f>
        <v>0</v>
      </c>
      <c r="CE62" s="37">
        <f>SUMIFS(Lançamentos!$F:$F,Lançamentos!$A:$A,CE$19,Lançamentos!$C:$C,"Equipamentos e Informática")</f>
        <v>0</v>
      </c>
      <c r="CF62" s="37">
        <f>SUMIFS(Lançamentos!$F:$F,Lançamentos!$A:$A,CF$19,Lançamentos!$C:$C,"Equipamentos e Informática")</f>
        <v>0</v>
      </c>
      <c r="CG62" s="37">
        <f>SUMIFS(Lançamentos!$F:$F,Lançamentos!$A:$A,CG$19,Lançamentos!$C:$C,"Equipamentos e Informática")</f>
        <v>0</v>
      </c>
      <c r="CH62" s="37">
        <f>SUMIFS(Lançamentos!$F:$F,Lançamentos!$A:$A,CH$19,Lançamentos!$C:$C,"Equipamentos e Informática")</f>
        <v>0</v>
      </c>
      <c r="CI62" s="37">
        <f>SUMIFS(Lançamentos!$F:$F,Lançamentos!$A:$A,CI$19,Lançamentos!$C:$C,"Equipamentos e Informática")</f>
        <v>0</v>
      </c>
      <c r="CJ62" s="37">
        <f>SUMIFS(Lançamentos!$F:$F,Lançamentos!$A:$A,CJ$19,Lançamentos!$C:$C,"Equipamentos e Informática")</f>
        <v>0</v>
      </c>
      <c r="CK62" s="37">
        <f>SUMIFS(Lançamentos!$F:$F,Lançamentos!$A:$A,CK$19,Lançamentos!$C:$C,"Equipamentos e Informática")</f>
        <v>0</v>
      </c>
      <c r="CL62" s="37">
        <f>SUMIFS(Lançamentos!$F:$F,Lançamentos!$A:$A,CL$19,Lançamentos!$C:$C,"Equipamentos e Informática")</f>
        <v>0</v>
      </c>
      <c r="CM62" s="37">
        <f>SUMIFS(Lançamentos!$F:$F,Lançamentos!$A:$A,CM$19,Lançamentos!$C:$C,"Equipamentos e Informática")</f>
        <v>0</v>
      </c>
      <c r="CN62" s="37">
        <f>SUMIFS(Lançamentos!$F:$F,Lançamentos!$A:$A,CN$19,Lançamentos!$C:$C,"Equipamentos e Informática")</f>
        <v>0</v>
      </c>
      <c r="CO62" s="37">
        <f>SUMIFS(Lançamentos!$F:$F,Lançamentos!$A:$A,CO$19,Lançamentos!$C:$C,"Equipamentos e Informática")</f>
        <v>0</v>
      </c>
      <c r="CP62" s="37">
        <f>SUMIFS(Lançamentos!$F:$F,Lançamentos!$A:$A,CP$19,Lançamentos!$C:$C,"Equipamentos e Informática")</f>
        <v>0</v>
      </c>
      <c r="CQ62" s="37">
        <f>SUMIFS(Lançamentos!$F:$F,Lançamentos!$A:$A,CQ$19,Lançamentos!$C:$C,"Equipamentos e Informática")</f>
        <v>0</v>
      </c>
      <c r="CR62" s="37">
        <f>SUMIFS(Lançamentos!$F:$F,Lançamentos!$A:$A,CR$19,Lançamentos!$C:$C,"Equipamentos e Informática")</f>
        <v>0</v>
      </c>
      <c r="CS62" s="37">
        <f>SUMIFS(Lançamentos!$F:$F,Lançamentos!$A:$A,CS$19,Lançamentos!$C:$C,"Equipamentos e Informática")</f>
        <v>0</v>
      </c>
      <c r="CT62" s="37">
        <f>SUMIFS(Lançamentos!$F:$F,Lançamentos!$A:$A,CT$19,Lançamentos!$C:$C,"Equipamentos e Informática")</f>
        <v>0</v>
      </c>
      <c r="CU62" s="37">
        <f>SUMIFS(Lançamentos!$F:$F,Lançamentos!$A:$A,CU$19,Lançamentos!$C:$C,"Equipamentos e Informática")</f>
        <v>0</v>
      </c>
      <c r="CV62" s="37">
        <f>SUMIFS(Lançamentos!$F:$F,Lançamentos!$A:$A,CV$19,Lançamentos!$C:$C,"Equipamentos e Informática")</f>
        <v>0</v>
      </c>
      <c r="CW62" s="37">
        <f>SUMIFS(Lançamentos!$F:$F,Lançamentos!$A:$A,CW$19,Lançamentos!$C:$C,"Equipamentos e Informática")</f>
        <v>0</v>
      </c>
      <c r="CX62" s="37">
        <f>SUMIFS(Lançamentos!$F:$F,Lançamentos!$A:$A,CX$19,Lançamentos!$C:$C,"Equipamentos e Informática")</f>
        <v>0</v>
      </c>
      <c r="CY62" s="37">
        <f>SUMIFS(Lançamentos!$F:$F,Lançamentos!$A:$A,CY$19,Lançamentos!$C:$C,"Equipamentos e Informática")</f>
        <v>0</v>
      </c>
      <c r="CZ62" s="37">
        <f>SUMIFS(Lançamentos!$F:$F,Lançamentos!$A:$A,CZ$19,Lançamentos!$C:$C,"Equipamentos e Informática")</f>
        <v>0</v>
      </c>
      <c r="DA62" s="37">
        <f>SUMIFS(Lançamentos!$F:$F,Lançamentos!$A:$A,DA$19,Lançamentos!$C:$C,"Equipamentos e Informática")</f>
        <v>0</v>
      </c>
      <c r="DB62" s="37">
        <f>SUMIFS(Lançamentos!$F:$F,Lançamentos!$A:$A,DB$19,Lançamentos!$C:$C,"Equipamentos e Informática")</f>
        <v>0</v>
      </c>
      <c r="DC62" s="37">
        <f>SUMIFS(Lançamentos!$F:$F,Lançamentos!$A:$A,DC$19,Lançamentos!$C:$C,"Equipamentos e Informática")</f>
        <v>0</v>
      </c>
      <c r="DD62" s="37">
        <f>SUMIFS(Lançamentos!$F:$F,Lançamentos!$A:$A,DD$19,Lançamentos!$C:$C,"Equipamentos e Informática")</f>
        <v>0</v>
      </c>
      <c r="DE62" s="37">
        <f>SUMIFS(Lançamentos!$F:$F,Lançamentos!$A:$A,DE$19,Lançamentos!$C:$C,"Equipamentos e Informática")</f>
        <v>0</v>
      </c>
      <c r="DF62" s="37">
        <f>SUMIFS(Lançamentos!$F:$F,Lançamentos!$A:$A,DF$19,Lançamentos!$C:$C,"Equipamentos e Informática")</f>
        <v>0</v>
      </c>
      <c r="DG62" s="37">
        <f>SUMIFS(Lançamentos!$F:$F,Lançamentos!$A:$A,DG$19,Lançamentos!$C:$C,"Equipamentos e Informática")</f>
        <v>0</v>
      </c>
      <c r="DH62" s="37">
        <f>SUMIFS(Lançamentos!$F:$F,Lançamentos!$A:$A,DH$19,Lançamentos!$C:$C,"Equipamentos e Informática")</f>
        <v>0</v>
      </c>
      <c r="DI62" s="37">
        <f>SUMIFS(Lançamentos!$F:$F,Lançamentos!$A:$A,DI$19,Lançamentos!$C:$C,"Equipamentos e Informática")</f>
        <v>0</v>
      </c>
      <c r="DJ62" s="37">
        <f>SUMIFS(Lançamentos!$F:$F,Lançamentos!$A:$A,DJ$19,Lançamentos!$C:$C,"Equipamentos e Informática")</f>
        <v>0</v>
      </c>
      <c r="DK62" s="37">
        <f>SUMIFS(Lançamentos!$F:$F,Lançamentos!$A:$A,DK$19,Lançamentos!$C:$C,"Equipamentos e Informática")</f>
        <v>0</v>
      </c>
      <c r="DL62" s="37">
        <f>SUMIFS(Lançamentos!$F:$F,Lançamentos!$A:$A,DL$19,Lançamentos!$C:$C,"Equipamentos e Informática")</f>
        <v>0</v>
      </c>
      <c r="DM62" s="37">
        <f>SUMIFS(Lançamentos!$F:$F,Lançamentos!$A:$A,DM$19,Lançamentos!$C:$C,"Equipamentos e Informática")</f>
        <v>0</v>
      </c>
      <c r="DN62" s="37">
        <f>SUMIFS(Lançamentos!$F:$F,Lançamentos!$A:$A,DN$19,Lançamentos!$C:$C,"Equipamentos e Informática")</f>
        <v>0</v>
      </c>
      <c r="DO62" s="37">
        <f>SUMIFS(Lançamentos!$F:$F,Lançamentos!$A:$A,DO$19,Lançamentos!$C:$C,"Equipamentos e Informática")</f>
        <v>0</v>
      </c>
      <c r="DP62" s="37">
        <f>SUMIFS(Lançamentos!$F:$F,Lançamentos!$A:$A,DP$19,Lançamentos!$C:$C,"Equipamentos e Informática")</f>
        <v>0</v>
      </c>
      <c r="DQ62" s="37">
        <f>SUMIFS(Lançamentos!$F:$F,Lançamentos!$A:$A,DQ$19,Lançamentos!$C:$C,"Equipamentos e Informática")</f>
        <v>0</v>
      </c>
      <c r="DR62" s="37">
        <f>SUMIFS(Lançamentos!$F:$F,Lançamentos!$A:$A,DR$19,Lançamentos!$C:$C,"Equipamentos e Informática")</f>
        <v>0</v>
      </c>
      <c r="DS62" s="37">
        <f>SUMIFS(Lançamentos!$F:$F,Lançamentos!$A:$A,DS$19,Lançamentos!$C:$C,"Equipamentos e Informática")</f>
        <v>0</v>
      </c>
      <c r="DT62" s="37">
        <f>SUMIFS(Lançamentos!$F:$F,Lançamentos!$A:$A,DT$19,Lançamentos!$C:$C,"Equipamentos e Informática")</f>
        <v>0</v>
      </c>
      <c r="DU62" s="37">
        <f>SUMIFS(Lançamentos!$F:$F,Lançamentos!$A:$A,DU$19,Lançamentos!$C:$C,"Equipamentos e Informática")</f>
        <v>0</v>
      </c>
      <c r="DV62" s="37">
        <f>SUMIFS(Lançamentos!$F:$F,Lançamentos!$A:$A,DV$19,Lançamentos!$C:$C,"Equipamentos e Informática")</f>
        <v>0</v>
      </c>
      <c r="DW62" s="37">
        <f>SUMIFS(Lançamentos!$F:$F,Lançamentos!$A:$A,DW$19,Lançamentos!$C:$C,"Equipamentos e Informática")</f>
        <v>0</v>
      </c>
      <c r="DX62" s="37">
        <f>SUMIFS(Lançamentos!$F:$F,Lançamentos!$A:$A,DX$19,Lançamentos!$C:$C,"Equipamentos e Informática")</f>
        <v>0</v>
      </c>
      <c r="DY62" s="37">
        <f>SUMIFS(Lançamentos!$F:$F,Lançamentos!$A:$A,DY$19,Lançamentos!$C:$C,"Equipamentos e Informática")</f>
        <v>0</v>
      </c>
      <c r="DZ62" s="37">
        <f>SUMIFS(Lançamentos!$F:$F,Lançamentos!$A:$A,DZ$19,Lançamentos!$C:$C,"Equipamentos e Informática")</f>
        <v>0</v>
      </c>
      <c r="EA62" s="37">
        <f>SUMIFS(Lançamentos!$F:$F,Lançamentos!$A:$A,EA$19,Lançamentos!$C:$C,"Equipamentos e Informática")</f>
        <v>0</v>
      </c>
      <c r="EB62" s="37">
        <f>SUMIFS(Lançamentos!$F:$F,Lançamentos!$A:$A,EB$19,Lançamentos!$C:$C,"Equipamentos e Informática")</f>
        <v>0</v>
      </c>
      <c r="EC62" s="37">
        <f>SUMIFS(Lançamentos!$F:$F,Lançamentos!$A:$A,EC$19,Lançamentos!$C:$C,"Equipamentos e Informática")</f>
        <v>0</v>
      </c>
      <c r="ED62" s="37">
        <f>SUMIFS(Lançamentos!$F:$F,Lançamentos!$A:$A,ED$19,Lançamentos!$C:$C,"Equipamentos e Informática")</f>
        <v>0</v>
      </c>
      <c r="EE62" s="37">
        <f>SUMIFS(Lançamentos!$F:$F,Lançamentos!$A:$A,EE$19,Lançamentos!$C:$C,"Equipamentos e Informática")</f>
        <v>0</v>
      </c>
      <c r="EF62" s="37">
        <f>SUMIFS(Lançamentos!$F:$F,Lançamentos!$A:$A,EF$19,Lançamentos!$C:$C,"Equipamentos e Informática")</f>
        <v>0</v>
      </c>
      <c r="EG62" s="37">
        <f>SUMIFS(Lançamentos!$F:$F,Lançamentos!$A:$A,EG$19,Lançamentos!$C:$C,"Equipamentos e Informática")</f>
        <v>0</v>
      </c>
      <c r="EH62" s="37">
        <f>SUMIFS(Lançamentos!$F:$F,Lançamentos!$A:$A,EH$19,Lançamentos!$C:$C,"Equipamentos e Informática")</f>
        <v>0</v>
      </c>
      <c r="EI62" s="37">
        <f>SUMIFS(Lançamentos!$F:$F,Lançamentos!$A:$A,EI$19,Lançamentos!$C:$C,"Equipamentos e Informática")</f>
        <v>0</v>
      </c>
      <c r="EJ62" s="37">
        <f>SUMIFS(Lançamentos!$F:$F,Lançamentos!$A:$A,EJ$19,Lançamentos!$C:$C,"Equipamentos e Informática")</f>
        <v>0</v>
      </c>
      <c r="EK62" s="37">
        <f>SUMIFS(Lançamentos!$F:$F,Lançamentos!$A:$A,EK$19,Lançamentos!$C:$C,"Equipamentos e Informática")</f>
        <v>0</v>
      </c>
      <c r="EL62" s="37">
        <f>SUMIFS(Lançamentos!$F:$F,Lançamentos!$A:$A,EL$19,Lançamentos!$C:$C,"Equipamentos e Informática")</f>
        <v>0</v>
      </c>
      <c r="EM62" s="37">
        <f>SUMIFS(Lançamentos!$F:$F,Lançamentos!$A:$A,EM$19,Lançamentos!$C:$C,"Equipamentos e Informática")</f>
        <v>0</v>
      </c>
      <c r="EN62" s="37">
        <f>SUMIFS(Lançamentos!$F:$F,Lançamentos!$A:$A,EN$19,Lançamentos!$C:$C,"Equipamentos e Informática")</f>
        <v>0</v>
      </c>
      <c r="EO62" s="37">
        <f>SUMIFS(Lançamentos!$F:$F,Lançamentos!$A:$A,EO$19,Lançamentos!$C:$C,"Equipamentos e Informática")</f>
        <v>0</v>
      </c>
      <c r="EP62" s="37">
        <f>SUMIFS(Lançamentos!$F:$F,Lançamentos!$A:$A,EP$19,Lançamentos!$C:$C,"Equipamentos e Informática")</f>
        <v>0</v>
      </c>
      <c r="EQ62" s="37">
        <f>SUMIFS(Lançamentos!$F:$F,Lançamentos!$A:$A,EQ$19,Lançamentos!$C:$C,"Equipamentos e Informática")</f>
        <v>0</v>
      </c>
      <c r="ER62" s="37">
        <f>SUMIFS(Lançamentos!$F:$F,Lançamentos!$A:$A,ER$19,Lançamentos!$C:$C,"Equipamentos e Informática")</f>
        <v>0</v>
      </c>
      <c r="ES62" s="37">
        <f>SUMIFS(Lançamentos!$F:$F,Lançamentos!$A:$A,ES$19,Lançamentos!$C:$C,"Equipamentos e Informática")</f>
        <v>0</v>
      </c>
      <c r="ET62" s="37">
        <f>SUMIFS(Lançamentos!$F:$F,Lançamentos!$A:$A,ET$19,Lançamentos!$C:$C,"Equipamentos e Informática")</f>
        <v>0</v>
      </c>
      <c r="EU62" s="37">
        <f>SUMIFS(Lançamentos!$F:$F,Lançamentos!$A:$A,EU$19,Lançamentos!$C:$C,"Equipamentos e Informática")</f>
        <v>0</v>
      </c>
      <c r="EV62" s="37">
        <f>SUMIFS(Lançamentos!$F:$F,Lançamentos!$A:$A,EV$19,Lançamentos!$C:$C,"Equipamentos e Informática")</f>
        <v>0</v>
      </c>
      <c r="EW62" s="37">
        <f>SUMIFS(Lançamentos!$F:$F,Lançamentos!$A:$A,EW$19,Lançamentos!$C:$C,"Equipamentos e Informática")</f>
        <v>0</v>
      </c>
      <c r="EX62" s="37">
        <f>SUMIFS(Lançamentos!$F:$F,Lançamentos!$A:$A,EX$19,Lançamentos!$C:$C,"Equipamentos e Informática")</f>
        <v>0</v>
      </c>
      <c r="EY62" s="37">
        <f>SUMIFS(Lançamentos!$F:$F,Lançamentos!$A:$A,EY$19,Lançamentos!$C:$C,"Equipamentos e Informática")</f>
        <v>0</v>
      </c>
      <c r="EZ62" s="37">
        <f>SUMIFS(Lançamentos!$F:$F,Lançamentos!$A:$A,EZ$19,Lançamentos!$C:$C,"Equipamentos e Informática")</f>
        <v>0</v>
      </c>
      <c r="FA62" s="37">
        <f>SUMIFS(Lançamentos!$F:$F,Lançamentos!$A:$A,FA$19,Lançamentos!$C:$C,"Equipamentos e Informática")</f>
        <v>0</v>
      </c>
      <c r="FB62" s="37">
        <f>SUMIFS(Lançamentos!$F:$F,Lançamentos!$A:$A,FB$19,Lançamentos!$C:$C,"Equipamentos e Informática")</f>
        <v>0</v>
      </c>
      <c r="FC62" s="37">
        <f>SUMIFS(Lançamentos!$F:$F,Lançamentos!$A:$A,FC$19,Lançamentos!$C:$C,"Equipamentos e Informática")</f>
        <v>0</v>
      </c>
      <c r="FD62" s="37">
        <f>SUMIFS(Lançamentos!$F:$F,Lançamentos!$A:$A,FD$19,Lançamentos!$C:$C,"Equipamentos e Informática")</f>
        <v>0</v>
      </c>
      <c r="FE62" s="37">
        <f>SUMIFS(Lançamentos!$F:$F,Lançamentos!$A:$A,FE$19,Lançamentos!$C:$C,"Equipamentos e Informática")</f>
        <v>0</v>
      </c>
      <c r="FF62" s="37">
        <f>SUMIFS(Lançamentos!$F:$F,Lançamentos!$A:$A,FF$19,Lançamentos!$C:$C,"Equipamentos e Informática")</f>
        <v>0</v>
      </c>
      <c r="FG62" s="37">
        <f>SUMIFS(Lançamentos!$F:$F,Lançamentos!$A:$A,FG$19,Lançamentos!$C:$C,"Equipamentos e Informática")</f>
        <v>0</v>
      </c>
      <c r="FH62" s="37">
        <f>SUMIFS(Lançamentos!$F:$F,Lançamentos!$A:$A,FH$19,Lançamentos!$C:$C,"Equipamentos e Informática")</f>
        <v>0</v>
      </c>
      <c r="FI62" s="37">
        <f>SUMIFS(Lançamentos!$F:$F,Lançamentos!$A:$A,FI$19,Lançamentos!$C:$C,"Equipamentos e Informática")</f>
        <v>0</v>
      </c>
      <c r="FJ62" s="37">
        <f>SUMIFS(Lançamentos!$F:$F,Lançamentos!$A:$A,FJ$19,Lançamentos!$C:$C,"Equipamentos e Informática")</f>
        <v>0</v>
      </c>
      <c r="FK62" s="37">
        <f>SUMIFS(Lançamentos!$F:$F,Lançamentos!$A:$A,FK$19,Lançamentos!$C:$C,"Equipamentos e Informática")</f>
        <v>0</v>
      </c>
      <c r="FL62" s="37">
        <f>SUMIFS(Lançamentos!$F:$F,Lançamentos!$A:$A,FL$19,Lançamentos!$C:$C,"Equipamentos e Informática")</f>
        <v>0</v>
      </c>
      <c r="FM62" s="37">
        <f>SUMIFS(Lançamentos!$F:$F,Lançamentos!$A:$A,FM$19,Lançamentos!$C:$C,"Equipamentos e Informática")</f>
        <v>0</v>
      </c>
      <c r="FN62" s="37">
        <f>SUMIFS(Lançamentos!$F:$F,Lançamentos!$A:$A,FN$19,Lançamentos!$C:$C,"Equipamentos e Informática")</f>
        <v>0</v>
      </c>
      <c r="FO62" s="37">
        <f>SUMIFS(Lançamentos!$F:$F,Lançamentos!$A:$A,FO$19,Lançamentos!$C:$C,"Equipamentos e Informática")</f>
        <v>0</v>
      </c>
      <c r="FP62" s="37">
        <f>SUMIFS(Lançamentos!$F:$F,Lançamentos!$A:$A,FP$19,Lançamentos!$C:$C,"Equipamentos e Informática")</f>
        <v>0</v>
      </c>
      <c r="FQ62" s="37">
        <f>SUMIFS(Lançamentos!$F:$F,Lançamentos!$A:$A,FQ$19,Lançamentos!$C:$C,"Equipamentos e Informática")</f>
        <v>0</v>
      </c>
      <c r="FR62" s="37">
        <f>SUMIFS(Lançamentos!$F:$F,Lançamentos!$A:$A,FR$19,Lançamentos!$C:$C,"Equipamentos e Informática")</f>
        <v>0</v>
      </c>
      <c r="FS62" s="37">
        <f>SUMIFS(Lançamentos!$F:$F,Lançamentos!$A:$A,FS$19,Lançamentos!$C:$C,"Equipamentos e Informática")</f>
        <v>0</v>
      </c>
      <c r="FT62" s="37">
        <f>SUMIFS(Lançamentos!$F:$F,Lançamentos!$A:$A,FT$19,Lançamentos!$C:$C,"Equipamentos e Informática")</f>
        <v>0</v>
      </c>
      <c r="FU62" s="37">
        <f>SUMIFS(Lançamentos!$F:$F,Lançamentos!$A:$A,FU$19,Lançamentos!$C:$C,"Equipamentos e Informática")</f>
        <v>0</v>
      </c>
      <c r="FV62" s="37">
        <f>SUMIFS(Lançamentos!$F:$F,Lançamentos!$A:$A,FV$19,Lançamentos!$C:$C,"Equipamentos e Informática")</f>
        <v>0</v>
      </c>
      <c r="FW62" s="37">
        <f>SUMIFS(Lançamentos!$F:$F,Lançamentos!$A:$A,FW$19,Lançamentos!$C:$C,"Equipamentos e Informática")</f>
        <v>0</v>
      </c>
      <c r="FX62" s="37">
        <f>SUMIFS(Lançamentos!$F:$F,Lançamentos!$A:$A,FX$19,Lançamentos!$C:$C,"Equipamentos e Informática")</f>
        <v>0</v>
      </c>
      <c r="FY62" s="37">
        <f>SUMIFS(Lançamentos!$F:$F,Lançamentos!$A:$A,FY$19,Lançamentos!$C:$C,"Equipamentos e Informática")</f>
        <v>0</v>
      </c>
      <c r="FZ62" s="37">
        <f>SUMIFS(Lançamentos!$F:$F,Lançamentos!$A:$A,FZ$19,Lançamentos!$C:$C,"Equipamentos e Informática")</f>
        <v>0</v>
      </c>
      <c r="GA62" s="37">
        <f>SUMIFS(Lançamentos!$F:$F,Lançamentos!$A:$A,GA$19,Lançamentos!$C:$C,"Equipamentos e Informática")</f>
        <v>0</v>
      </c>
      <c r="GB62" s="37">
        <f>SUMIFS(Lançamentos!$F:$F,Lançamentos!$A:$A,GB$19,Lançamentos!$C:$C,"Equipamentos e Informática")</f>
        <v>0</v>
      </c>
      <c r="GC62" s="37">
        <f>SUMIFS(Lançamentos!$F:$F,Lançamentos!$A:$A,GC$19,Lançamentos!$C:$C,"Equipamentos e Informática")</f>
        <v>0</v>
      </c>
      <c r="GD62" s="37">
        <f>SUMIFS(Lançamentos!$F:$F,Lançamentos!$A:$A,GD$19,Lançamentos!$C:$C,"Equipamentos e Informática")</f>
        <v>0</v>
      </c>
      <c r="GE62" s="37">
        <f>SUMIFS(Lançamentos!$F:$F,Lançamentos!$A:$A,GE$19,Lançamentos!$C:$C,"Equipamentos e Informática")</f>
        <v>0</v>
      </c>
      <c r="GF62" s="37">
        <f>SUMIFS(Lançamentos!$F:$F,Lançamentos!$A:$A,GF$19,Lançamentos!$C:$C,"Equipamentos e Informática")</f>
        <v>0</v>
      </c>
      <c r="GG62" s="37">
        <f>SUMIFS(Lançamentos!$F:$F,Lançamentos!$A:$A,GG$19,Lançamentos!$C:$C,"Equipamentos e Informática")</f>
        <v>0</v>
      </c>
      <c r="GH62" s="37">
        <f>SUMIFS(Lançamentos!$F:$F,Lançamentos!$A:$A,GH$19,Lançamentos!$C:$C,"Equipamentos e Informática")</f>
        <v>0</v>
      </c>
      <c r="GI62" s="37">
        <f>SUMIFS(Lançamentos!$F:$F,Lançamentos!$A:$A,GI$19,Lançamentos!$C:$C,"Equipamentos e Informática")</f>
        <v>0</v>
      </c>
      <c r="GJ62" s="37">
        <f>SUMIFS(Lançamentos!$F:$F,Lançamentos!$A:$A,GJ$19,Lançamentos!$C:$C,"Equipamentos e Informática")</f>
        <v>0</v>
      </c>
      <c r="GK62" s="37">
        <f>SUMIFS(Lançamentos!$F:$F,Lançamentos!$A:$A,GK$19,Lançamentos!$C:$C,"Equipamentos e Informática")</f>
        <v>0</v>
      </c>
      <c r="GL62" s="37">
        <f>SUMIFS(Lançamentos!$F:$F,Lançamentos!$A:$A,GL$19,Lançamentos!$C:$C,"Equipamentos e Informática")</f>
        <v>0</v>
      </c>
      <c r="GM62" s="37">
        <f>SUMIFS(Lançamentos!$F:$F,Lançamentos!$A:$A,GM$19,Lançamentos!$C:$C,"Equipamentos e Informática")</f>
        <v>0</v>
      </c>
      <c r="GN62" s="37">
        <f>SUMIFS(Lançamentos!$F:$F,Lançamentos!$A:$A,GN$19,Lançamentos!$C:$C,"Equipamentos e Informática")</f>
        <v>0</v>
      </c>
      <c r="GO62" s="37">
        <f>SUMIFS(Lançamentos!$F:$F,Lançamentos!$A:$A,GO$19,Lançamentos!$C:$C,"Equipamentos e Informática")</f>
        <v>0</v>
      </c>
      <c r="GP62" s="37">
        <f>SUMIFS(Lançamentos!$F:$F,Lançamentos!$A:$A,GP$19,Lançamentos!$C:$C,"Equipamentos e Informática")</f>
        <v>0</v>
      </c>
      <c r="GQ62" s="37">
        <f>SUMIFS(Lançamentos!$F:$F,Lançamentos!$A:$A,GQ$19,Lançamentos!$C:$C,"Equipamentos e Informática")</f>
        <v>0</v>
      </c>
      <c r="GR62" s="37">
        <f>SUMIFS(Lançamentos!$F:$F,Lançamentos!$A:$A,GR$19,Lançamentos!$C:$C,"Equipamentos e Informática")</f>
        <v>0</v>
      </c>
      <c r="GS62" s="37">
        <f>SUMIFS(Lançamentos!$F:$F,Lançamentos!$A:$A,GS$19,Lançamentos!$C:$C,"Equipamentos e Informática")</f>
        <v>0</v>
      </c>
      <c r="GT62" s="37">
        <f>SUMIFS(Lançamentos!$F:$F,Lançamentos!$A:$A,GT$19,Lançamentos!$C:$C,"Equipamentos e Informática")</f>
        <v>0</v>
      </c>
      <c r="GU62" s="37">
        <f>SUMIFS(Lançamentos!$F:$F,Lançamentos!$A:$A,GU$19,Lançamentos!$C:$C,"Equipamentos e Informática")</f>
        <v>0</v>
      </c>
      <c r="GV62" s="37">
        <f>SUMIFS(Lançamentos!$F:$F,Lançamentos!$A:$A,GV$19,Lançamentos!$C:$C,"Equipamentos e Informática")</f>
        <v>0</v>
      </c>
      <c r="GW62" s="37">
        <f>SUMIFS(Lançamentos!$F:$F,Lançamentos!$A:$A,GW$19,Lançamentos!$C:$C,"Equipamentos e Informática")</f>
        <v>0</v>
      </c>
      <c r="GX62" s="37">
        <f>SUMIFS(Lançamentos!$F:$F,Lançamentos!$A:$A,GX$19,Lançamentos!$C:$C,"Equipamentos e Informática")</f>
        <v>0</v>
      </c>
      <c r="GY62" s="37">
        <f>SUMIFS(Lançamentos!$F:$F,Lançamentos!$A:$A,GY$19,Lançamentos!$C:$C,"Equipamentos e Informática")</f>
        <v>0</v>
      </c>
      <c r="GZ62" s="37">
        <f>SUMIFS(Lançamentos!$F:$F,Lançamentos!$A:$A,GZ$19,Lançamentos!$C:$C,"Equipamentos e Informática")</f>
        <v>0</v>
      </c>
      <c r="HA62" s="37">
        <f>SUMIFS(Lançamentos!$F:$F,Lançamentos!$A:$A,HA$19,Lançamentos!$C:$C,"Equipamentos e Informática")</f>
        <v>0</v>
      </c>
      <c r="HB62" s="37">
        <f>SUMIFS(Lançamentos!$F:$F,Lançamentos!$A:$A,HB$19,Lançamentos!$C:$C,"Equipamentos e Informática")</f>
        <v>0</v>
      </c>
      <c r="HC62" s="37">
        <f>SUMIFS(Lançamentos!$F:$F,Lançamentos!$A:$A,HC$19,Lançamentos!$C:$C,"Equipamentos e Informática")</f>
        <v>0</v>
      </c>
      <c r="HD62" s="37">
        <f>SUMIFS(Lançamentos!$F:$F,Lançamentos!$A:$A,HD$19,Lançamentos!$C:$C,"Equipamentos e Informática")</f>
        <v>0</v>
      </c>
      <c r="HE62" s="37">
        <f>SUMIFS(Lançamentos!$F:$F,Lançamentos!$A:$A,HE$19,Lançamentos!$C:$C,"Equipamentos e Informática")</f>
        <v>0</v>
      </c>
      <c r="HF62" s="37">
        <f>SUMIFS(Lançamentos!$F:$F,Lançamentos!$A:$A,HF$19,Lançamentos!$C:$C,"Equipamentos e Informática")</f>
        <v>0</v>
      </c>
      <c r="HG62" s="37">
        <f>SUMIFS(Lançamentos!$F:$F,Lançamentos!$A:$A,HG$19,Lançamentos!$C:$C,"Equipamentos e Informática")</f>
        <v>0</v>
      </c>
      <c r="HH62" s="37">
        <f>SUMIFS(Lançamentos!$F:$F,Lançamentos!$A:$A,HH$19,Lançamentos!$C:$C,"Equipamentos e Informática")</f>
        <v>0</v>
      </c>
      <c r="HI62" s="37">
        <f>SUMIFS(Lançamentos!$F:$F,Lançamentos!$A:$A,HI$19,Lançamentos!$C:$C,"Equipamentos e Informática")</f>
        <v>0</v>
      </c>
      <c r="HJ62" s="37">
        <f>SUMIFS(Lançamentos!$F:$F,Lançamentos!$A:$A,HJ$19,Lançamentos!$C:$C,"Equipamentos e Informática")</f>
        <v>0</v>
      </c>
      <c r="HK62" s="37">
        <f>SUMIFS(Lançamentos!$F:$F,Lançamentos!$A:$A,HK$19,Lançamentos!$C:$C,"Equipamentos e Informática")</f>
        <v>0</v>
      </c>
      <c r="HL62" s="37">
        <f>SUMIFS(Lançamentos!$F:$F,Lançamentos!$A:$A,HL$19,Lançamentos!$C:$C,"Equipamentos e Informática")</f>
        <v>0</v>
      </c>
      <c r="HM62" s="37">
        <f>SUMIFS(Lançamentos!$F:$F,Lançamentos!$A:$A,HM$19,Lançamentos!$C:$C,"Equipamentos e Informática")</f>
        <v>0</v>
      </c>
      <c r="HN62" s="37">
        <f>SUMIFS(Lançamentos!$F:$F,Lançamentos!$A:$A,HN$19,Lançamentos!$C:$C,"Equipamentos e Informática")</f>
        <v>0</v>
      </c>
      <c r="HO62" s="37">
        <f>SUMIFS(Lançamentos!$F:$F,Lançamentos!$A:$A,HO$19,Lançamentos!$C:$C,"Equipamentos e Informática")</f>
        <v>0</v>
      </c>
      <c r="HP62" s="37">
        <f>SUMIFS(Lançamentos!$F:$F,Lançamentos!$A:$A,HP$19,Lançamentos!$C:$C,"Equipamentos e Informática")</f>
        <v>0</v>
      </c>
      <c r="HQ62" s="37">
        <f>SUMIFS(Lançamentos!$F:$F,Lançamentos!$A:$A,HQ$19,Lançamentos!$C:$C,"Equipamentos e Informática")</f>
        <v>0</v>
      </c>
      <c r="HR62" s="37">
        <f>SUMIFS(Lançamentos!$F:$F,Lançamentos!$A:$A,HR$19,Lançamentos!$C:$C,"Equipamentos e Informática")</f>
        <v>0</v>
      </c>
      <c r="HS62" s="37">
        <f>SUMIFS(Lançamentos!$F:$F,Lançamentos!$A:$A,HS$19,Lançamentos!$C:$C,"Equipamentos e Informática")</f>
        <v>0</v>
      </c>
      <c r="HT62" s="37">
        <f>SUMIFS(Lançamentos!$F:$F,Lançamentos!$A:$A,HT$19,Lançamentos!$C:$C,"Equipamentos e Informática")</f>
        <v>0</v>
      </c>
      <c r="HU62" s="37">
        <f>SUMIFS(Lançamentos!$F:$F,Lançamentos!$A:$A,HU$19,Lançamentos!$C:$C,"Equipamentos e Informática")</f>
        <v>0</v>
      </c>
      <c r="HV62" s="37">
        <f>SUMIFS(Lançamentos!$F:$F,Lançamentos!$A:$A,HV$19,Lançamentos!$C:$C,"Equipamentos e Informática")</f>
        <v>0</v>
      </c>
      <c r="HW62" s="37">
        <f>SUMIFS(Lançamentos!$F:$F,Lançamentos!$A:$A,HW$19,Lançamentos!$C:$C,"Equipamentos e Informática")</f>
        <v>0</v>
      </c>
      <c r="HX62" s="37">
        <f>SUMIFS(Lançamentos!$F:$F,Lançamentos!$A:$A,HX$19,Lançamentos!$C:$C,"Equipamentos e Informática")</f>
        <v>0</v>
      </c>
      <c r="HY62" s="37">
        <f>SUMIFS(Lançamentos!$F:$F,Lançamentos!$A:$A,HY$19,Lançamentos!$C:$C,"Equipamentos e Informática")</f>
        <v>0</v>
      </c>
      <c r="HZ62" s="37">
        <f>SUMIFS(Lançamentos!$F:$F,Lançamentos!$A:$A,HZ$19,Lançamentos!$C:$C,"Equipamentos e Informática")</f>
        <v>0</v>
      </c>
      <c r="IA62" s="37">
        <f>SUMIFS(Lançamentos!$F:$F,Lançamentos!$A:$A,IA$19,Lançamentos!$C:$C,"Equipamentos e Informática")</f>
        <v>0</v>
      </c>
      <c r="IB62" s="37">
        <f>SUMIFS(Lançamentos!$F:$F,Lançamentos!$A:$A,IB$19,Lançamentos!$C:$C,"Equipamentos e Informática")</f>
        <v>0</v>
      </c>
      <c r="IC62" s="37">
        <f>SUMIFS(Lançamentos!$F:$F,Lançamentos!$A:$A,IC$19,Lançamentos!$C:$C,"Equipamentos e Informática")</f>
        <v>0</v>
      </c>
      <c r="ID62" s="37">
        <f>SUMIFS(Lançamentos!$F:$F,Lançamentos!$A:$A,ID$19,Lançamentos!$C:$C,"Equipamentos e Informática")</f>
        <v>0</v>
      </c>
      <c r="IE62" s="37">
        <f>SUMIFS(Lançamentos!$F:$F,Lançamentos!$A:$A,IE$19,Lançamentos!$C:$C,"Equipamentos e Informática")</f>
        <v>0</v>
      </c>
      <c r="IF62" s="37">
        <f>SUMIFS(Lançamentos!$F:$F,Lançamentos!$A:$A,IF$19,Lançamentos!$C:$C,"Equipamentos e Informática")</f>
        <v>0</v>
      </c>
      <c r="IG62" s="37">
        <f>SUMIFS(Lançamentos!$F:$F,Lançamentos!$A:$A,IG$19,Lançamentos!$C:$C,"Equipamentos e Informática")</f>
        <v>0</v>
      </c>
      <c r="IH62" s="37">
        <f>SUMIFS(Lançamentos!$F:$F,Lançamentos!$A:$A,IH$19,Lançamentos!$C:$C,"Equipamentos e Informática")</f>
        <v>0</v>
      </c>
      <c r="II62" s="37">
        <f>SUMIFS(Lançamentos!$F:$F,Lançamentos!$A:$A,II$19,Lançamentos!$C:$C,"Equipamentos e Informática")</f>
        <v>0</v>
      </c>
      <c r="IJ62" s="37">
        <f>SUMIFS(Lançamentos!$F:$F,Lançamentos!$A:$A,IJ$19,Lançamentos!$C:$C,"Equipamentos e Informática")</f>
        <v>0</v>
      </c>
      <c r="IK62" s="37">
        <f>SUMIFS(Lançamentos!$F:$F,Lançamentos!$A:$A,IK$19,Lançamentos!$C:$C,"Equipamentos e Informática")</f>
        <v>0</v>
      </c>
      <c r="IL62" s="37">
        <f>SUMIFS(Lançamentos!$F:$F,Lançamentos!$A:$A,IL$19,Lançamentos!$C:$C,"Equipamentos e Informática")</f>
        <v>0</v>
      </c>
    </row>
    <row r="63" spans="1:246" x14ac:dyDescent="0.3">
      <c r="A63" t="s">
        <v>101</v>
      </c>
      <c r="B63" s="37">
        <f>SUMIFS(Lançamentos!$F:$F,Lançamentos!$A:$A,B$19,Lançamentos!$C:$C,"Móveis e Utensílios")</f>
        <v>0</v>
      </c>
      <c r="C63" s="37">
        <f>SUMIFS(Lançamentos!$F:$F,Lançamentos!$A:$A,C$19,Lançamentos!$C:$C,"Móveis e Utensílios")</f>
        <v>0</v>
      </c>
      <c r="D63" s="37">
        <f>SUMIFS(Lançamentos!$F:$F,Lançamentos!$A:$A,D$19,Lançamentos!$C:$C,"Móveis e Utensílios")</f>
        <v>0</v>
      </c>
      <c r="E63" s="37">
        <f>SUMIFS(Lançamentos!$F:$F,Lançamentos!$A:$A,E$19,Lançamentos!$C:$C,"Móveis e Utensílios")</f>
        <v>0</v>
      </c>
      <c r="F63" s="37">
        <f>SUMIFS(Lançamentos!$F:$F,Lançamentos!$A:$A,F$19,Lançamentos!$C:$C,"Móveis e Utensílios")</f>
        <v>0</v>
      </c>
      <c r="G63" s="37">
        <f>SUMIFS(Lançamentos!$F:$F,Lançamentos!$A:$A,G$19,Lançamentos!$C:$C,"Móveis e Utensílios")</f>
        <v>0</v>
      </c>
      <c r="H63" s="37">
        <f>SUMIFS(Lançamentos!$F:$F,Lançamentos!$A:$A,H$19,Lançamentos!$C:$C,"Móveis e Utensílios")</f>
        <v>0</v>
      </c>
      <c r="I63" s="37">
        <f>SUMIFS(Lançamentos!$F:$F,Lançamentos!$A:$A,I$19,Lançamentos!$C:$C,"Móveis e Utensílios")</f>
        <v>0</v>
      </c>
      <c r="J63" s="37">
        <f>SUMIFS(Lançamentos!$F:$F,Lançamentos!$A:$A,J$19,Lançamentos!$C:$C,"Móveis e Utensílios")</f>
        <v>0</v>
      </c>
      <c r="K63" s="37">
        <f>SUMIFS(Lançamentos!$F:$F,Lançamentos!$A:$A,K$19,Lançamentos!$C:$C,"Móveis e Utensílios")</f>
        <v>0</v>
      </c>
      <c r="L63" s="37">
        <f>SUMIFS(Lançamentos!$F:$F,Lançamentos!$A:$A,L$19,Lançamentos!$C:$C,"Móveis e Utensílios")</f>
        <v>0</v>
      </c>
      <c r="M63" s="37">
        <f>SUMIFS(Lançamentos!$F:$F,Lançamentos!$A:$A,M$19,Lançamentos!$C:$C,"Móveis e Utensílios")</f>
        <v>0</v>
      </c>
      <c r="N63" s="37">
        <f>SUMIFS(Lançamentos!$F:$F,Lançamentos!$A:$A,N$19,Lançamentos!$C:$C,"Móveis e Utensílios")</f>
        <v>0</v>
      </c>
      <c r="O63" s="37">
        <f>SUMIFS(Lançamentos!$F:$F,Lançamentos!$A:$A,O$19,Lançamentos!$C:$C,"Móveis e Utensílios")</f>
        <v>0</v>
      </c>
      <c r="P63" s="37">
        <f>SUMIFS(Lançamentos!$F:$F,Lançamentos!$A:$A,P$19,Lançamentos!$C:$C,"Móveis e Utensílios")</f>
        <v>0</v>
      </c>
      <c r="Q63" s="37">
        <f>SUMIFS(Lançamentos!$F:$F,Lançamentos!$A:$A,Q$19,Lançamentos!$C:$C,"Móveis e Utensílios")</f>
        <v>0</v>
      </c>
      <c r="R63" s="37">
        <f>SUMIFS(Lançamentos!$F:$F,Lançamentos!$A:$A,R$19,Lançamentos!$C:$C,"Móveis e Utensílios")</f>
        <v>0</v>
      </c>
      <c r="S63" s="37">
        <f>SUMIFS(Lançamentos!$F:$F,Lançamentos!$A:$A,S$19,Lançamentos!$C:$C,"Móveis e Utensílios")</f>
        <v>0</v>
      </c>
      <c r="T63" s="37">
        <f>SUMIFS(Lançamentos!$F:$F,Lançamentos!$A:$A,T$19,Lançamentos!$C:$C,"Móveis e Utensílios")</f>
        <v>0</v>
      </c>
      <c r="U63" s="37">
        <f>SUMIFS(Lançamentos!$F:$F,Lançamentos!$A:$A,U$19,Lançamentos!$C:$C,"Móveis e Utensílios")</f>
        <v>0</v>
      </c>
      <c r="V63" s="37">
        <f>SUMIFS(Lançamentos!$F:$F,Lançamentos!$A:$A,V$19,Lançamentos!$C:$C,"Móveis e Utensílios")</f>
        <v>0</v>
      </c>
      <c r="W63" s="37">
        <f>SUMIFS(Lançamentos!$F:$F,Lançamentos!$A:$A,W$19,Lançamentos!$C:$C,"Móveis e Utensílios")</f>
        <v>0</v>
      </c>
      <c r="X63" s="37">
        <f>SUMIFS(Lançamentos!$F:$F,Lançamentos!$A:$A,X$19,Lançamentos!$C:$C,"Móveis e Utensílios")</f>
        <v>0</v>
      </c>
      <c r="Y63" s="37">
        <f>SUMIFS(Lançamentos!$F:$F,Lançamentos!$A:$A,Y$19,Lançamentos!$C:$C,"Móveis e Utensílios")</f>
        <v>0</v>
      </c>
      <c r="Z63" s="37">
        <f>SUMIFS(Lançamentos!$F:$F,Lançamentos!$A:$A,Z$19,Lançamentos!$C:$C,"Móveis e Utensílios")</f>
        <v>0</v>
      </c>
      <c r="AA63" s="37">
        <f>SUMIFS(Lançamentos!$F:$F,Lançamentos!$A:$A,AA$19,Lançamentos!$C:$C,"Móveis e Utensílios")</f>
        <v>0</v>
      </c>
      <c r="AB63" s="37">
        <f>SUMIFS(Lançamentos!$F:$F,Lançamentos!$A:$A,AB$19,Lançamentos!$C:$C,"Móveis e Utensílios")</f>
        <v>0</v>
      </c>
      <c r="AC63" s="37">
        <f>SUMIFS(Lançamentos!$F:$F,Lançamentos!$A:$A,AC$19,Lançamentos!$C:$C,"Móveis e Utensílios")</f>
        <v>0</v>
      </c>
      <c r="AD63" s="37">
        <f>SUMIFS(Lançamentos!$F:$F,Lançamentos!$A:$A,AD$19,Lançamentos!$C:$C,"Móveis e Utensílios")</f>
        <v>0</v>
      </c>
      <c r="AE63" s="37">
        <f>SUMIFS(Lançamentos!$F:$F,Lançamentos!$A:$A,AE$19,Lançamentos!$C:$C,"Móveis e Utensílios")</f>
        <v>0</v>
      </c>
      <c r="AF63" s="37">
        <f>SUMIFS(Lançamentos!$F:$F,Lançamentos!$A:$A,AF$19,Lançamentos!$C:$C,"Móveis e Utensílios")</f>
        <v>0</v>
      </c>
      <c r="AG63" s="37">
        <f>SUMIFS(Lançamentos!$F:$F,Lançamentos!$A:$A,AG$19,Lançamentos!$C:$C,"Móveis e Utensílios")</f>
        <v>0</v>
      </c>
      <c r="AH63" s="37">
        <f>SUMIFS(Lançamentos!$F:$F,Lançamentos!$A:$A,AH$19,Lançamentos!$C:$C,"Móveis e Utensílios")</f>
        <v>0</v>
      </c>
      <c r="AI63" s="37">
        <f>SUMIFS(Lançamentos!$F:$F,Lançamentos!$A:$A,AI$19,Lançamentos!$C:$C,"Móveis e Utensílios")</f>
        <v>0</v>
      </c>
      <c r="AJ63" s="37">
        <f>SUMIFS(Lançamentos!$F:$F,Lançamentos!$A:$A,AJ$19,Lançamentos!$C:$C,"Móveis e Utensílios")</f>
        <v>0</v>
      </c>
      <c r="AK63" s="37">
        <f>SUMIFS(Lançamentos!$F:$F,Lançamentos!$A:$A,AK$19,Lançamentos!$C:$C,"Móveis e Utensílios")</f>
        <v>0</v>
      </c>
      <c r="AL63" s="37">
        <f>SUMIFS(Lançamentos!$F:$F,Lançamentos!$A:$A,AL$19,Lançamentos!$C:$C,"Móveis e Utensílios")</f>
        <v>0</v>
      </c>
      <c r="AM63" s="37">
        <f>SUMIFS(Lançamentos!$F:$F,Lançamentos!$A:$A,AM$19,Lançamentos!$C:$C,"Móveis e Utensílios")</f>
        <v>0</v>
      </c>
      <c r="AN63" s="37">
        <f>SUMIFS(Lançamentos!$F:$F,Lançamentos!$A:$A,AN$19,Lançamentos!$C:$C,"Móveis e Utensílios")</f>
        <v>0</v>
      </c>
      <c r="AO63" s="37">
        <f>SUMIFS(Lançamentos!$F:$F,Lançamentos!$A:$A,AO$19,Lançamentos!$C:$C,"Móveis e Utensílios")</f>
        <v>0</v>
      </c>
      <c r="AP63" s="37">
        <f>SUMIFS(Lançamentos!$F:$F,Lançamentos!$A:$A,AP$19,Lançamentos!$C:$C,"Móveis e Utensílios")</f>
        <v>0</v>
      </c>
      <c r="AQ63" s="37">
        <f>SUMIFS(Lançamentos!$F:$F,Lançamentos!$A:$A,AQ$19,Lançamentos!$C:$C,"Móveis e Utensílios")</f>
        <v>0</v>
      </c>
      <c r="AR63" s="37">
        <f>SUMIFS(Lançamentos!$F:$F,Lançamentos!$A:$A,AR$19,Lançamentos!$C:$C,"Móveis e Utensílios")</f>
        <v>0</v>
      </c>
      <c r="AS63" s="37">
        <f>SUMIFS(Lançamentos!$F:$F,Lançamentos!$A:$A,AS$19,Lançamentos!$C:$C,"Móveis e Utensílios")</f>
        <v>0</v>
      </c>
      <c r="AT63" s="37">
        <f>SUMIFS(Lançamentos!$F:$F,Lançamentos!$A:$A,AT$19,Lançamentos!$C:$C,"Móveis e Utensílios")</f>
        <v>0</v>
      </c>
      <c r="AU63" s="37">
        <f>SUMIFS(Lançamentos!$F:$F,Lançamentos!$A:$A,AU$19,Lançamentos!$C:$C,"Móveis e Utensílios")</f>
        <v>0</v>
      </c>
      <c r="AV63" s="37">
        <f>SUMIFS(Lançamentos!$F:$F,Lançamentos!$A:$A,AV$19,Lançamentos!$C:$C,"Móveis e Utensílios")</f>
        <v>0</v>
      </c>
      <c r="AW63" s="37">
        <f>SUMIFS(Lançamentos!$F:$F,Lançamentos!$A:$A,AW$19,Lançamentos!$C:$C,"Móveis e Utensílios")</f>
        <v>0</v>
      </c>
      <c r="AX63" s="37">
        <f>SUMIFS(Lançamentos!$F:$F,Lançamentos!$A:$A,AX$19,Lançamentos!$C:$C,"Móveis e Utensílios")</f>
        <v>0</v>
      </c>
      <c r="AY63" s="37">
        <f>SUMIFS(Lançamentos!$F:$F,Lançamentos!$A:$A,AY$19,Lançamentos!$C:$C,"Móveis e Utensílios")</f>
        <v>0</v>
      </c>
      <c r="AZ63" s="37">
        <f>SUMIFS(Lançamentos!$F:$F,Lançamentos!$A:$A,AZ$19,Lançamentos!$C:$C,"Móveis e Utensílios")</f>
        <v>0</v>
      </c>
      <c r="BA63" s="37">
        <f>SUMIFS(Lançamentos!$F:$F,Lançamentos!$A:$A,BA$19,Lançamentos!$C:$C,"Móveis e Utensílios")</f>
        <v>0</v>
      </c>
      <c r="BB63" s="37">
        <f>SUMIFS(Lançamentos!$F:$F,Lançamentos!$A:$A,BB$19,Lançamentos!$C:$C,"Móveis e Utensílios")</f>
        <v>0</v>
      </c>
      <c r="BC63" s="37">
        <f>SUMIFS(Lançamentos!$F:$F,Lançamentos!$A:$A,BC$19,Lançamentos!$C:$C,"Móveis e Utensílios")</f>
        <v>0</v>
      </c>
      <c r="BD63" s="37">
        <f>SUMIFS(Lançamentos!$F:$F,Lançamentos!$A:$A,BD$19,Lançamentos!$C:$C,"Móveis e Utensílios")</f>
        <v>0</v>
      </c>
      <c r="BE63" s="37">
        <f>SUMIFS(Lançamentos!$F:$F,Lançamentos!$A:$A,BE$19,Lançamentos!$C:$C,"Móveis e Utensílios")</f>
        <v>0</v>
      </c>
      <c r="BF63" s="37">
        <f>SUMIFS(Lançamentos!$F:$F,Lançamentos!$A:$A,BF$19,Lançamentos!$C:$C,"Móveis e Utensílios")</f>
        <v>0</v>
      </c>
      <c r="BG63" s="37">
        <f>SUMIFS(Lançamentos!$F:$F,Lançamentos!$A:$A,BG$19,Lançamentos!$C:$C,"Móveis e Utensílios")</f>
        <v>0</v>
      </c>
      <c r="BH63" s="37">
        <f>SUMIFS(Lançamentos!$F:$F,Lançamentos!$A:$A,BH$19,Lançamentos!$C:$C,"Móveis e Utensílios")</f>
        <v>0</v>
      </c>
      <c r="BI63" s="37">
        <f>SUMIFS(Lançamentos!$F:$F,Lançamentos!$A:$A,BI$19,Lançamentos!$C:$C,"Móveis e Utensílios")</f>
        <v>0</v>
      </c>
      <c r="BJ63" s="37">
        <f>SUMIFS(Lançamentos!$F:$F,Lançamentos!$A:$A,BJ$19,Lançamentos!$C:$C,"Móveis e Utensílios")</f>
        <v>0</v>
      </c>
      <c r="BK63" s="37">
        <f>SUMIFS(Lançamentos!$F:$F,Lançamentos!$A:$A,BK$19,Lançamentos!$C:$C,"Móveis e Utensílios")</f>
        <v>0</v>
      </c>
      <c r="BL63" s="37">
        <f>SUMIFS(Lançamentos!$F:$F,Lançamentos!$A:$A,BL$19,Lançamentos!$C:$C,"Móveis e Utensílios")</f>
        <v>0</v>
      </c>
      <c r="BM63" s="37">
        <f>SUMIFS(Lançamentos!$F:$F,Lançamentos!$A:$A,BM$19,Lançamentos!$C:$C,"Móveis e Utensílios")</f>
        <v>0</v>
      </c>
      <c r="BN63" s="37">
        <f>SUMIFS(Lançamentos!$F:$F,Lançamentos!$A:$A,BN$19,Lançamentos!$C:$C,"Móveis e Utensílios")</f>
        <v>0</v>
      </c>
      <c r="BO63" s="37">
        <f>SUMIFS(Lançamentos!$F:$F,Lançamentos!$A:$A,BO$19,Lançamentos!$C:$C,"Móveis e Utensílios")</f>
        <v>0</v>
      </c>
      <c r="BP63" s="37">
        <f>SUMIFS(Lançamentos!$F:$F,Lançamentos!$A:$A,BP$19,Lançamentos!$C:$C,"Móveis e Utensílios")</f>
        <v>0</v>
      </c>
      <c r="BQ63" s="37">
        <f>SUMIFS(Lançamentos!$F:$F,Lançamentos!$A:$A,BQ$19,Lançamentos!$C:$C,"Móveis e Utensílios")</f>
        <v>0</v>
      </c>
      <c r="BR63" s="37">
        <f>SUMIFS(Lançamentos!$F:$F,Lançamentos!$A:$A,BR$19,Lançamentos!$C:$C,"Móveis e Utensílios")</f>
        <v>0</v>
      </c>
      <c r="BS63" s="37">
        <f>SUMIFS(Lançamentos!$F:$F,Lançamentos!$A:$A,BS$19,Lançamentos!$C:$C,"Móveis e Utensílios")</f>
        <v>0</v>
      </c>
      <c r="BT63" s="37">
        <f>SUMIFS(Lançamentos!$F:$F,Lançamentos!$A:$A,BT$19,Lançamentos!$C:$C,"Móveis e Utensílios")</f>
        <v>0</v>
      </c>
      <c r="BU63" s="37">
        <f>SUMIFS(Lançamentos!$F:$F,Lançamentos!$A:$A,BU$19,Lançamentos!$C:$C,"Móveis e Utensílios")</f>
        <v>0</v>
      </c>
      <c r="BV63" s="37">
        <f>SUMIFS(Lançamentos!$F:$F,Lançamentos!$A:$A,BV$19,Lançamentos!$C:$C,"Móveis e Utensílios")</f>
        <v>0</v>
      </c>
      <c r="BW63" s="37">
        <f>SUMIFS(Lançamentos!$F:$F,Lançamentos!$A:$A,BW$19,Lançamentos!$C:$C,"Móveis e Utensílios")</f>
        <v>0</v>
      </c>
      <c r="BX63" s="37">
        <f>SUMIFS(Lançamentos!$F:$F,Lançamentos!$A:$A,BX$19,Lançamentos!$C:$C,"Móveis e Utensílios")</f>
        <v>0</v>
      </c>
      <c r="BY63" s="37">
        <f>SUMIFS(Lançamentos!$F:$F,Lançamentos!$A:$A,BY$19,Lançamentos!$C:$C,"Móveis e Utensílios")</f>
        <v>0</v>
      </c>
      <c r="BZ63" s="37">
        <f>SUMIFS(Lançamentos!$F:$F,Lançamentos!$A:$A,BZ$19,Lançamentos!$C:$C,"Móveis e Utensílios")</f>
        <v>0</v>
      </c>
      <c r="CA63" s="37">
        <f>SUMIFS(Lançamentos!$F:$F,Lançamentos!$A:$A,CA$19,Lançamentos!$C:$C,"Móveis e Utensílios")</f>
        <v>0</v>
      </c>
      <c r="CB63" s="37">
        <f>SUMIFS(Lançamentos!$F:$F,Lançamentos!$A:$A,CB$19,Lançamentos!$C:$C,"Móveis e Utensílios")</f>
        <v>0</v>
      </c>
      <c r="CC63" s="37">
        <f>SUMIFS(Lançamentos!$F:$F,Lançamentos!$A:$A,CC$19,Lançamentos!$C:$C,"Móveis e Utensílios")</f>
        <v>0</v>
      </c>
      <c r="CD63" s="37">
        <f>SUMIFS(Lançamentos!$F:$F,Lançamentos!$A:$A,CD$19,Lançamentos!$C:$C,"Móveis e Utensílios")</f>
        <v>0</v>
      </c>
      <c r="CE63" s="37">
        <f>SUMIFS(Lançamentos!$F:$F,Lançamentos!$A:$A,CE$19,Lançamentos!$C:$C,"Móveis e Utensílios")</f>
        <v>0</v>
      </c>
      <c r="CF63" s="37">
        <f>SUMIFS(Lançamentos!$F:$F,Lançamentos!$A:$A,CF$19,Lançamentos!$C:$C,"Móveis e Utensílios")</f>
        <v>0</v>
      </c>
      <c r="CG63" s="37">
        <f>SUMIFS(Lançamentos!$F:$F,Lançamentos!$A:$A,CG$19,Lançamentos!$C:$C,"Móveis e Utensílios")</f>
        <v>0</v>
      </c>
      <c r="CH63" s="37">
        <f>SUMIFS(Lançamentos!$F:$F,Lançamentos!$A:$A,CH$19,Lançamentos!$C:$C,"Móveis e Utensílios")</f>
        <v>0</v>
      </c>
      <c r="CI63" s="37">
        <f>SUMIFS(Lançamentos!$F:$F,Lançamentos!$A:$A,CI$19,Lançamentos!$C:$C,"Móveis e Utensílios")</f>
        <v>0</v>
      </c>
      <c r="CJ63" s="37">
        <f>SUMIFS(Lançamentos!$F:$F,Lançamentos!$A:$A,CJ$19,Lançamentos!$C:$C,"Móveis e Utensílios")</f>
        <v>0</v>
      </c>
      <c r="CK63" s="37">
        <f>SUMIFS(Lançamentos!$F:$F,Lançamentos!$A:$A,CK$19,Lançamentos!$C:$C,"Móveis e Utensílios")</f>
        <v>0</v>
      </c>
      <c r="CL63" s="37">
        <f>SUMIFS(Lançamentos!$F:$F,Lançamentos!$A:$A,CL$19,Lançamentos!$C:$C,"Móveis e Utensílios")</f>
        <v>0</v>
      </c>
      <c r="CM63" s="37">
        <f>SUMIFS(Lançamentos!$F:$F,Lançamentos!$A:$A,CM$19,Lançamentos!$C:$C,"Móveis e Utensílios")</f>
        <v>0</v>
      </c>
      <c r="CN63" s="37">
        <f>SUMIFS(Lançamentos!$F:$F,Lançamentos!$A:$A,CN$19,Lançamentos!$C:$C,"Móveis e Utensílios")</f>
        <v>0</v>
      </c>
      <c r="CO63" s="37">
        <f>SUMIFS(Lançamentos!$F:$F,Lançamentos!$A:$A,CO$19,Lançamentos!$C:$C,"Móveis e Utensílios")</f>
        <v>0</v>
      </c>
      <c r="CP63" s="37">
        <f>SUMIFS(Lançamentos!$F:$F,Lançamentos!$A:$A,CP$19,Lançamentos!$C:$C,"Móveis e Utensílios")</f>
        <v>0</v>
      </c>
      <c r="CQ63" s="37">
        <f>SUMIFS(Lançamentos!$F:$F,Lançamentos!$A:$A,CQ$19,Lançamentos!$C:$C,"Móveis e Utensílios")</f>
        <v>0</v>
      </c>
      <c r="CR63" s="37">
        <f>SUMIFS(Lançamentos!$F:$F,Lançamentos!$A:$A,CR$19,Lançamentos!$C:$C,"Móveis e Utensílios")</f>
        <v>0</v>
      </c>
      <c r="CS63" s="37">
        <f>SUMIFS(Lançamentos!$F:$F,Lançamentos!$A:$A,CS$19,Lançamentos!$C:$C,"Móveis e Utensílios")</f>
        <v>0</v>
      </c>
      <c r="CT63" s="37">
        <f>SUMIFS(Lançamentos!$F:$F,Lançamentos!$A:$A,CT$19,Lançamentos!$C:$C,"Móveis e Utensílios")</f>
        <v>0</v>
      </c>
      <c r="CU63" s="37">
        <f>SUMIFS(Lançamentos!$F:$F,Lançamentos!$A:$A,CU$19,Lançamentos!$C:$C,"Móveis e Utensílios")</f>
        <v>0</v>
      </c>
      <c r="CV63" s="37">
        <f>SUMIFS(Lançamentos!$F:$F,Lançamentos!$A:$A,CV$19,Lançamentos!$C:$C,"Móveis e Utensílios")</f>
        <v>0</v>
      </c>
      <c r="CW63" s="37">
        <f>SUMIFS(Lançamentos!$F:$F,Lançamentos!$A:$A,CW$19,Lançamentos!$C:$C,"Móveis e Utensílios")</f>
        <v>0</v>
      </c>
      <c r="CX63" s="37">
        <f>SUMIFS(Lançamentos!$F:$F,Lançamentos!$A:$A,CX$19,Lançamentos!$C:$C,"Móveis e Utensílios")</f>
        <v>0</v>
      </c>
      <c r="CY63" s="37">
        <f>SUMIFS(Lançamentos!$F:$F,Lançamentos!$A:$A,CY$19,Lançamentos!$C:$C,"Móveis e Utensílios")</f>
        <v>0</v>
      </c>
      <c r="CZ63" s="37">
        <f>SUMIFS(Lançamentos!$F:$F,Lançamentos!$A:$A,CZ$19,Lançamentos!$C:$C,"Móveis e Utensílios")</f>
        <v>0</v>
      </c>
      <c r="DA63" s="37">
        <f>SUMIFS(Lançamentos!$F:$F,Lançamentos!$A:$A,DA$19,Lançamentos!$C:$C,"Móveis e Utensílios")</f>
        <v>0</v>
      </c>
      <c r="DB63" s="37">
        <f>SUMIFS(Lançamentos!$F:$F,Lançamentos!$A:$A,DB$19,Lançamentos!$C:$C,"Móveis e Utensílios")</f>
        <v>0</v>
      </c>
      <c r="DC63" s="37">
        <f>SUMIFS(Lançamentos!$F:$F,Lançamentos!$A:$A,DC$19,Lançamentos!$C:$C,"Móveis e Utensílios")</f>
        <v>0</v>
      </c>
      <c r="DD63" s="37">
        <f>SUMIFS(Lançamentos!$F:$F,Lançamentos!$A:$A,DD$19,Lançamentos!$C:$C,"Móveis e Utensílios")</f>
        <v>0</v>
      </c>
      <c r="DE63" s="37">
        <f>SUMIFS(Lançamentos!$F:$F,Lançamentos!$A:$A,DE$19,Lançamentos!$C:$C,"Móveis e Utensílios")</f>
        <v>0</v>
      </c>
      <c r="DF63" s="37">
        <f>SUMIFS(Lançamentos!$F:$F,Lançamentos!$A:$A,DF$19,Lançamentos!$C:$C,"Móveis e Utensílios")</f>
        <v>0</v>
      </c>
      <c r="DG63" s="37">
        <f>SUMIFS(Lançamentos!$F:$F,Lançamentos!$A:$A,DG$19,Lançamentos!$C:$C,"Móveis e Utensílios")</f>
        <v>0</v>
      </c>
      <c r="DH63" s="37">
        <f>SUMIFS(Lançamentos!$F:$F,Lançamentos!$A:$A,DH$19,Lançamentos!$C:$C,"Móveis e Utensílios")</f>
        <v>0</v>
      </c>
      <c r="DI63" s="37">
        <f>SUMIFS(Lançamentos!$F:$F,Lançamentos!$A:$A,DI$19,Lançamentos!$C:$C,"Móveis e Utensílios")</f>
        <v>0</v>
      </c>
      <c r="DJ63" s="37">
        <f>SUMIFS(Lançamentos!$F:$F,Lançamentos!$A:$A,DJ$19,Lançamentos!$C:$C,"Móveis e Utensílios")</f>
        <v>0</v>
      </c>
      <c r="DK63" s="37">
        <f>SUMIFS(Lançamentos!$F:$F,Lançamentos!$A:$A,DK$19,Lançamentos!$C:$C,"Móveis e Utensílios")</f>
        <v>0</v>
      </c>
      <c r="DL63" s="37">
        <f>SUMIFS(Lançamentos!$F:$F,Lançamentos!$A:$A,DL$19,Lançamentos!$C:$C,"Móveis e Utensílios")</f>
        <v>0</v>
      </c>
      <c r="DM63" s="37">
        <f>SUMIFS(Lançamentos!$F:$F,Lançamentos!$A:$A,DM$19,Lançamentos!$C:$C,"Móveis e Utensílios")</f>
        <v>0</v>
      </c>
      <c r="DN63" s="37">
        <f>SUMIFS(Lançamentos!$F:$F,Lançamentos!$A:$A,DN$19,Lançamentos!$C:$C,"Móveis e Utensílios")</f>
        <v>0</v>
      </c>
      <c r="DO63" s="37">
        <f>SUMIFS(Lançamentos!$F:$F,Lançamentos!$A:$A,DO$19,Lançamentos!$C:$C,"Móveis e Utensílios")</f>
        <v>0</v>
      </c>
      <c r="DP63" s="37">
        <f>SUMIFS(Lançamentos!$F:$F,Lançamentos!$A:$A,DP$19,Lançamentos!$C:$C,"Móveis e Utensílios")</f>
        <v>0</v>
      </c>
      <c r="DQ63" s="37">
        <f>SUMIFS(Lançamentos!$F:$F,Lançamentos!$A:$A,DQ$19,Lançamentos!$C:$C,"Móveis e Utensílios")</f>
        <v>0</v>
      </c>
      <c r="DR63" s="37">
        <f>SUMIFS(Lançamentos!$F:$F,Lançamentos!$A:$A,DR$19,Lançamentos!$C:$C,"Móveis e Utensílios")</f>
        <v>0</v>
      </c>
      <c r="DS63" s="37">
        <f>SUMIFS(Lançamentos!$F:$F,Lançamentos!$A:$A,DS$19,Lançamentos!$C:$C,"Móveis e Utensílios")</f>
        <v>0</v>
      </c>
      <c r="DT63" s="37">
        <f>SUMIFS(Lançamentos!$F:$F,Lançamentos!$A:$A,DT$19,Lançamentos!$C:$C,"Móveis e Utensílios")</f>
        <v>0</v>
      </c>
      <c r="DU63" s="37">
        <f>SUMIFS(Lançamentos!$F:$F,Lançamentos!$A:$A,DU$19,Lançamentos!$C:$C,"Móveis e Utensílios")</f>
        <v>0</v>
      </c>
      <c r="DV63" s="37">
        <f>SUMIFS(Lançamentos!$F:$F,Lançamentos!$A:$A,DV$19,Lançamentos!$C:$C,"Móveis e Utensílios")</f>
        <v>0</v>
      </c>
      <c r="DW63" s="37">
        <f>SUMIFS(Lançamentos!$F:$F,Lançamentos!$A:$A,DW$19,Lançamentos!$C:$C,"Móveis e Utensílios")</f>
        <v>0</v>
      </c>
      <c r="DX63" s="37">
        <f>SUMIFS(Lançamentos!$F:$F,Lançamentos!$A:$A,DX$19,Lançamentos!$C:$C,"Móveis e Utensílios")</f>
        <v>0</v>
      </c>
      <c r="DY63" s="37">
        <f>SUMIFS(Lançamentos!$F:$F,Lançamentos!$A:$A,DY$19,Lançamentos!$C:$C,"Móveis e Utensílios")</f>
        <v>0</v>
      </c>
      <c r="DZ63" s="37">
        <f>SUMIFS(Lançamentos!$F:$F,Lançamentos!$A:$A,DZ$19,Lançamentos!$C:$C,"Móveis e Utensílios")</f>
        <v>0</v>
      </c>
      <c r="EA63" s="37">
        <f>SUMIFS(Lançamentos!$F:$F,Lançamentos!$A:$A,EA$19,Lançamentos!$C:$C,"Móveis e Utensílios")</f>
        <v>0</v>
      </c>
      <c r="EB63" s="37">
        <f>SUMIFS(Lançamentos!$F:$F,Lançamentos!$A:$A,EB$19,Lançamentos!$C:$C,"Móveis e Utensílios")</f>
        <v>0</v>
      </c>
      <c r="EC63" s="37">
        <f>SUMIFS(Lançamentos!$F:$F,Lançamentos!$A:$A,EC$19,Lançamentos!$C:$C,"Móveis e Utensílios")</f>
        <v>0</v>
      </c>
      <c r="ED63" s="37">
        <f>SUMIFS(Lançamentos!$F:$F,Lançamentos!$A:$A,ED$19,Lançamentos!$C:$C,"Móveis e Utensílios")</f>
        <v>0</v>
      </c>
      <c r="EE63" s="37">
        <f>SUMIFS(Lançamentos!$F:$F,Lançamentos!$A:$A,EE$19,Lançamentos!$C:$C,"Móveis e Utensílios")</f>
        <v>0</v>
      </c>
      <c r="EF63" s="37">
        <f>SUMIFS(Lançamentos!$F:$F,Lançamentos!$A:$A,EF$19,Lançamentos!$C:$C,"Móveis e Utensílios")</f>
        <v>0</v>
      </c>
      <c r="EG63" s="37">
        <f>SUMIFS(Lançamentos!$F:$F,Lançamentos!$A:$A,EG$19,Lançamentos!$C:$C,"Móveis e Utensílios")</f>
        <v>0</v>
      </c>
      <c r="EH63" s="37">
        <f>SUMIFS(Lançamentos!$F:$F,Lançamentos!$A:$A,EH$19,Lançamentos!$C:$C,"Móveis e Utensílios")</f>
        <v>0</v>
      </c>
      <c r="EI63" s="37">
        <f>SUMIFS(Lançamentos!$F:$F,Lançamentos!$A:$A,EI$19,Lançamentos!$C:$C,"Móveis e Utensílios")</f>
        <v>0</v>
      </c>
      <c r="EJ63" s="37">
        <f>SUMIFS(Lançamentos!$F:$F,Lançamentos!$A:$A,EJ$19,Lançamentos!$C:$C,"Móveis e Utensílios")</f>
        <v>0</v>
      </c>
      <c r="EK63" s="37">
        <f>SUMIFS(Lançamentos!$F:$F,Lançamentos!$A:$A,EK$19,Lançamentos!$C:$C,"Móveis e Utensílios")</f>
        <v>0</v>
      </c>
      <c r="EL63" s="37">
        <f>SUMIFS(Lançamentos!$F:$F,Lançamentos!$A:$A,EL$19,Lançamentos!$C:$C,"Móveis e Utensílios")</f>
        <v>0</v>
      </c>
      <c r="EM63" s="37">
        <f>SUMIFS(Lançamentos!$F:$F,Lançamentos!$A:$A,EM$19,Lançamentos!$C:$C,"Móveis e Utensílios")</f>
        <v>0</v>
      </c>
      <c r="EN63" s="37">
        <f>SUMIFS(Lançamentos!$F:$F,Lançamentos!$A:$A,EN$19,Lançamentos!$C:$C,"Móveis e Utensílios")</f>
        <v>0</v>
      </c>
      <c r="EO63" s="37">
        <f>SUMIFS(Lançamentos!$F:$F,Lançamentos!$A:$A,EO$19,Lançamentos!$C:$C,"Móveis e Utensílios")</f>
        <v>0</v>
      </c>
      <c r="EP63" s="37">
        <f>SUMIFS(Lançamentos!$F:$F,Lançamentos!$A:$A,EP$19,Lançamentos!$C:$C,"Móveis e Utensílios")</f>
        <v>0</v>
      </c>
      <c r="EQ63" s="37">
        <f>SUMIFS(Lançamentos!$F:$F,Lançamentos!$A:$A,EQ$19,Lançamentos!$C:$C,"Móveis e Utensílios")</f>
        <v>0</v>
      </c>
      <c r="ER63" s="37">
        <f>SUMIFS(Lançamentos!$F:$F,Lançamentos!$A:$A,ER$19,Lançamentos!$C:$C,"Móveis e Utensílios")</f>
        <v>0</v>
      </c>
      <c r="ES63" s="37">
        <f>SUMIFS(Lançamentos!$F:$F,Lançamentos!$A:$A,ES$19,Lançamentos!$C:$C,"Móveis e Utensílios")</f>
        <v>0</v>
      </c>
      <c r="ET63" s="37">
        <f>SUMIFS(Lançamentos!$F:$F,Lançamentos!$A:$A,ET$19,Lançamentos!$C:$C,"Móveis e Utensílios")</f>
        <v>0</v>
      </c>
      <c r="EU63" s="37">
        <f>SUMIFS(Lançamentos!$F:$F,Lançamentos!$A:$A,EU$19,Lançamentos!$C:$C,"Móveis e Utensílios")</f>
        <v>0</v>
      </c>
      <c r="EV63" s="37">
        <f>SUMIFS(Lançamentos!$F:$F,Lançamentos!$A:$A,EV$19,Lançamentos!$C:$C,"Móveis e Utensílios")</f>
        <v>0</v>
      </c>
      <c r="EW63" s="37">
        <f>SUMIFS(Lançamentos!$F:$F,Lançamentos!$A:$A,EW$19,Lançamentos!$C:$C,"Móveis e Utensílios")</f>
        <v>0</v>
      </c>
      <c r="EX63" s="37">
        <f>SUMIFS(Lançamentos!$F:$F,Lançamentos!$A:$A,EX$19,Lançamentos!$C:$C,"Móveis e Utensílios")</f>
        <v>0</v>
      </c>
      <c r="EY63" s="37">
        <f>SUMIFS(Lançamentos!$F:$F,Lançamentos!$A:$A,EY$19,Lançamentos!$C:$C,"Móveis e Utensílios")</f>
        <v>0</v>
      </c>
      <c r="EZ63" s="37">
        <f>SUMIFS(Lançamentos!$F:$F,Lançamentos!$A:$A,EZ$19,Lançamentos!$C:$C,"Móveis e Utensílios")</f>
        <v>0</v>
      </c>
      <c r="FA63" s="37">
        <f>SUMIFS(Lançamentos!$F:$F,Lançamentos!$A:$A,FA$19,Lançamentos!$C:$C,"Móveis e Utensílios")</f>
        <v>0</v>
      </c>
      <c r="FB63" s="37">
        <f>SUMIFS(Lançamentos!$F:$F,Lançamentos!$A:$A,FB$19,Lançamentos!$C:$C,"Móveis e Utensílios")</f>
        <v>0</v>
      </c>
      <c r="FC63" s="37">
        <f>SUMIFS(Lançamentos!$F:$F,Lançamentos!$A:$A,FC$19,Lançamentos!$C:$C,"Móveis e Utensílios")</f>
        <v>0</v>
      </c>
      <c r="FD63" s="37">
        <f>SUMIFS(Lançamentos!$F:$F,Lançamentos!$A:$A,FD$19,Lançamentos!$C:$C,"Móveis e Utensílios")</f>
        <v>0</v>
      </c>
      <c r="FE63" s="37">
        <f>SUMIFS(Lançamentos!$F:$F,Lançamentos!$A:$A,FE$19,Lançamentos!$C:$C,"Móveis e Utensílios")</f>
        <v>0</v>
      </c>
      <c r="FF63" s="37">
        <f>SUMIFS(Lançamentos!$F:$F,Lançamentos!$A:$A,FF$19,Lançamentos!$C:$C,"Móveis e Utensílios")</f>
        <v>0</v>
      </c>
      <c r="FG63" s="37">
        <f>SUMIFS(Lançamentos!$F:$F,Lançamentos!$A:$A,FG$19,Lançamentos!$C:$C,"Móveis e Utensílios")</f>
        <v>0</v>
      </c>
      <c r="FH63" s="37">
        <f>SUMIFS(Lançamentos!$F:$F,Lançamentos!$A:$A,FH$19,Lançamentos!$C:$C,"Móveis e Utensílios")</f>
        <v>0</v>
      </c>
      <c r="FI63" s="37">
        <f>SUMIFS(Lançamentos!$F:$F,Lançamentos!$A:$A,FI$19,Lançamentos!$C:$C,"Móveis e Utensílios")</f>
        <v>0</v>
      </c>
      <c r="FJ63" s="37">
        <f>SUMIFS(Lançamentos!$F:$F,Lançamentos!$A:$A,FJ$19,Lançamentos!$C:$C,"Móveis e Utensílios")</f>
        <v>0</v>
      </c>
      <c r="FK63" s="37">
        <f>SUMIFS(Lançamentos!$F:$F,Lançamentos!$A:$A,FK$19,Lançamentos!$C:$C,"Móveis e Utensílios")</f>
        <v>0</v>
      </c>
      <c r="FL63" s="37">
        <f>SUMIFS(Lançamentos!$F:$F,Lançamentos!$A:$A,FL$19,Lançamentos!$C:$C,"Móveis e Utensílios")</f>
        <v>0</v>
      </c>
      <c r="FM63" s="37">
        <f>SUMIFS(Lançamentos!$F:$F,Lançamentos!$A:$A,FM$19,Lançamentos!$C:$C,"Móveis e Utensílios")</f>
        <v>0</v>
      </c>
      <c r="FN63" s="37">
        <f>SUMIFS(Lançamentos!$F:$F,Lançamentos!$A:$A,FN$19,Lançamentos!$C:$C,"Móveis e Utensílios")</f>
        <v>0</v>
      </c>
      <c r="FO63" s="37">
        <f>SUMIFS(Lançamentos!$F:$F,Lançamentos!$A:$A,FO$19,Lançamentos!$C:$C,"Móveis e Utensílios")</f>
        <v>0</v>
      </c>
      <c r="FP63" s="37">
        <f>SUMIFS(Lançamentos!$F:$F,Lançamentos!$A:$A,FP$19,Lançamentos!$C:$C,"Móveis e Utensílios")</f>
        <v>0</v>
      </c>
      <c r="FQ63" s="37">
        <f>SUMIFS(Lançamentos!$F:$F,Lançamentos!$A:$A,FQ$19,Lançamentos!$C:$C,"Móveis e Utensílios")</f>
        <v>0</v>
      </c>
      <c r="FR63" s="37">
        <f>SUMIFS(Lançamentos!$F:$F,Lançamentos!$A:$A,FR$19,Lançamentos!$C:$C,"Móveis e Utensílios")</f>
        <v>0</v>
      </c>
      <c r="FS63" s="37">
        <f>SUMIFS(Lançamentos!$F:$F,Lançamentos!$A:$A,FS$19,Lançamentos!$C:$C,"Móveis e Utensílios")</f>
        <v>0</v>
      </c>
      <c r="FT63" s="37">
        <f>SUMIFS(Lançamentos!$F:$F,Lançamentos!$A:$A,FT$19,Lançamentos!$C:$C,"Móveis e Utensílios")</f>
        <v>0</v>
      </c>
      <c r="FU63" s="37">
        <f>SUMIFS(Lançamentos!$F:$F,Lançamentos!$A:$A,FU$19,Lançamentos!$C:$C,"Móveis e Utensílios")</f>
        <v>0</v>
      </c>
      <c r="FV63" s="37">
        <f>SUMIFS(Lançamentos!$F:$F,Lançamentos!$A:$A,FV$19,Lançamentos!$C:$C,"Móveis e Utensílios")</f>
        <v>0</v>
      </c>
      <c r="FW63" s="37">
        <f>SUMIFS(Lançamentos!$F:$F,Lançamentos!$A:$A,FW$19,Lançamentos!$C:$C,"Móveis e Utensílios")</f>
        <v>0</v>
      </c>
      <c r="FX63" s="37">
        <f>SUMIFS(Lançamentos!$F:$F,Lançamentos!$A:$A,FX$19,Lançamentos!$C:$C,"Móveis e Utensílios")</f>
        <v>0</v>
      </c>
      <c r="FY63" s="37">
        <f>SUMIFS(Lançamentos!$F:$F,Lançamentos!$A:$A,FY$19,Lançamentos!$C:$C,"Móveis e Utensílios")</f>
        <v>0</v>
      </c>
      <c r="FZ63" s="37">
        <f>SUMIFS(Lançamentos!$F:$F,Lançamentos!$A:$A,FZ$19,Lançamentos!$C:$C,"Móveis e Utensílios")</f>
        <v>0</v>
      </c>
      <c r="GA63" s="37">
        <f>SUMIFS(Lançamentos!$F:$F,Lançamentos!$A:$A,GA$19,Lançamentos!$C:$C,"Móveis e Utensílios")</f>
        <v>0</v>
      </c>
      <c r="GB63" s="37">
        <f>SUMIFS(Lançamentos!$F:$F,Lançamentos!$A:$A,GB$19,Lançamentos!$C:$C,"Móveis e Utensílios")</f>
        <v>0</v>
      </c>
      <c r="GC63" s="37">
        <f>SUMIFS(Lançamentos!$F:$F,Lançamentos!$A:$A,GC$19,Lançamentos!$C:$C,"Móveis e Utensílios")</f>
        <v>0</v>
      </c>
      <c r="GD63" s="37">
        <f>SUMIFS(Lançamentos!$F:$F,Lançamentos!$A:$A,GD$19,Lançamentos!$C:$C,"Móveis e Utensílios")</f>
        <v>0</v>
      </c>
      <c r="GE63" s="37">
        <f>SUMIFS(Lançamentos!$F:$F,Lançamentos!$A:$A,GE$19,Lançamentos!$C:$C,"Móveis e Utensílios")</f>
        <v>0</v>
      </c>
      <c r="GF63" s="37">
        <f>SUMIFS(Lançamentos!$F:$F,Lançamentos!$A:$A,GF$19,Lançamentos!$C:$C,"Móveis e Utensílios")</f>
        <v>0</v>
      </c>
      <c r="GG63" s="37">
        <f>SUMIFS(Lançamentos!$F:$F,Lançamentos!$A:$A,GG$19,Lançamentos!$C:$C,"Móveis e Utensílios")</f>
        <v>0</v>
      </c>
      <c r="GH63" s="37">
        <f>SUMIFS(Lançamentos!$F:$F,Lançamentos!$A:$A,GH$19,Lançamentos!$C:$C,"Móveis e Utensílios")</f>
        <v>0</v>
      </c>
      <c r="GI63" s="37">
        <f>SUMIFS(Lançamentos!$F:$F,Lançamentos!$A:$A,GI$19,Lançamentos!$C:$C,"Móveis e Utensílios")</f>
        <v>0</v>
      </c>
      <c r="GJ63" s="37">
        <f>SUMIFS(Lançamentos!$F:$F,Lançamentos!$A:$A,GJ$19,Lançamentos!$C:$C,"Móveis e Utensílios")</f>
        <v>0</v>
      </c>
      <c r="GK63" s="37">
        <f>SUMIFS(Lançamentos!$F:$F,Lançamentos!$A:$A,GK$19,Lançamentos!$C:$C,"Móveis e Utensílios")</f>
        <v>0</v>
      </c>
      <c r="GL63" s="37">
        <f>SUMIFS(Lançamentos!$F:$F,Lançamentos!$A:$A,GL$19,Lançamentos!$C:$C,"Móveis e Utensílios")</f>
        <v>0</v>
      </c>
      <c r="GM63" s="37">
        <f>SUMIFS(Lançamentos!$F:$F,Lançamentos!$A:$A,GM$19,Lançamentos!$C:$C,"Móveis e Utensílios")</f>
        <v>0</v>
      </c>
      <c r="GN63" s="37">
        <f>SUMIFS(Lançamentos!$F:$F,Lançamentos!$A:$A,GN$19,Lançamentos!$C:$C,"Móveis e Utensílios")</f>
        <v>0</v>
      </c>
      <c r="GO63" s="37">
        <f>SUMIFS(Lançamentos!$F:$F,Lançamentos!$A:$A,GO$19,Lançamentos!$C:$C,"Móveis e Utensílios")</f>
        <v>0</v>
      </c>
      <c r="GP63" s="37">
        <f>SUMIFS(Lançamentos!$F:$F,Lançamentos!$A:$A,GP$19,Lançamentos!$C:$C,"Móveis e Utensílios")</f>
        <v>0</v>
      </c>
      <c r="GQ63" s="37">
        <f>SUMIFS(Lançamentos!$F:$F,Lançamentos!$A:$A,GQ$19,Lançamentos!$C:$C,"Móveis e Utensílios")</f>
        <v>0</v>
      </c>
      <c r="GR63" s="37">
        <f>SUMIFS(Lançamentos!$F:$F,Lançamentos!$A:$A,GR$19,Lançamentos!$C:$C,"Móveis e Utensílios")</f>
        <v>0</v>
      </c>
      <c r="GS63" s="37">
        <f>SUMIFS(Lançamentos!$F:$F,Lançamentos!$A:$A,GS$19,Lançamentos!$C:$C,"Móveis e Utensílios")</f>
        <v>0</v>
      </c>
      <c r="GT63" s="37">
        <f>SUMIFS(Lançamentos!$F:$F,Lançamentos!$A:$A,GT$19,Lançamentos!$C:$C,"Móveis e Utensílios")</f>
        <v>0</v>
      </c>
      <c r="GU63" s="37">
        <f>SUMIFS(Lançamentos!$F:$F,Lançamentos!$A:$A,GU$19,Lançamentos!$C:$C,"Móveis e Utensílios")</f>
        <v>0</v>
      </c>
      <c r="GV63" s="37">
        <f>SUMIFS(Lançamentos!$F:$F,Lançamentos!$A:$A,GV$19,Lançamentos!$C:$C,"Móveis e Utensílios")</f>
        <v>0</v>
      </c>
      <c r="GW63" s="37">
        <f>SUMIFS(Lançamentos!$F:$F,Lançamentos!$A:$A,GW$19,Lançamentos!$C:$C,"Móveis e Utensílios")</f>
        <v>0</v>
      </c>
      <c r="GX63" s="37">
        <f>SUMIFS(Lançamentos!$F:$F,Lançamentos!$A:$A,GX$19,Lançamentos!$C:$C,"Móveis e Utensílios")</f>
        <v>0</v>
      </c>
      <c r="GY63" s="37">
        <f>SUMIFS(Lançamentos!$F:$F,Lançamentos!$A:$A,GY$19,Lançamentos!$C:$C,"Móveis e Utensílios")</f>
        <v>0</v>
      </c>
      <c r="GZ63" s="37">
        <f>SUMIFS(Lançamentos!$F:$F,Lançamentos!$A:$A,GZ$19,Lançamentos!$C:$C,"Móveis e Utensílios")</f>
        <v>0</v>
      </c>
      <c r="HA63" s="37">
        <f>SUMIFS(Lançamentos!$F:$F,Lançamentos!$A:$A,HA$19,Lançamentos!$C:$C,"Móveis e Utensílios")</f>
        <v>0</v>
      </c>
      <c r="HB63" s="37">
        <f>SUMIFS(Lançamentos!$F:$F,Lançamentos!$A:$A,HB$19,Lançamentos!$C:$C,"Móveis e Utensílios")</f>
        <v>0</v>
      </c>
      <c r="HC63" s="37">
        <f>SUMIFS(Lançamentos!$F:$F,Lançamentos!$A:$A,HC$19,Lançamentos!$C:$C,"Móveis e Utensílios")</f>
        <v>0</v>
      </c>
      <c r="HD63" s="37">
        <f>SUMIFS(Lançamentos!$F:$F,Lançamentos!$A:$A,HD$19,Lançamentos!$C:$C,"Móveis e Utensílios")</f>
        <v>0</v>
      </c>
      <c r="HE63" s="37">
        <f>SUMIFS(Lançamentos!$F:$F,Lançamentos!$A:$A,HE$19,Lançamentos!$C:$C,"Móveis e Utensílios")</f>
        <v>0</v>
      </c>
      <c r="HF63" s="37">
        <f>SUMIFS(Lançamentos!$F:$F,Lançamentos!$A:$A,HF$19,Lançamentos!$C:$C,"Móveis e Utensílios")</f>
        <v>0</v>
      </c>
      <c r="HG63" s="37">
        <f>SUMIFS(Lançamentos!$F:$F,Lançamentos!$A:$A,HG$19,Lançamentos!$C:$C,"Móveis e Utensílios")</f>
        <v>0</v>
      </c>
      <c r="HH63" s="37">
        <f>SUMIFS(Lançamentos!$F:$F,Lançamentos!$A:$A,HH$19,Lançamentos!$C:$C,"Móveis e Utensílios")</f>
        <v>0</v>
      </c>
      <c r="HI63" s="37">
        <f>SUMIFS(Lançamentos!$F:$F,Lançamentos!$A:$A,HI$19,Lançamentos!$C:$C,"Móveis e Utensílios")</f>
        <v>0</v>
      </c>
      <c r="HJ63" s="37">
        <f>SUMIFS(Lançamentos!$F:$F,Lançamentos!$A:$A,HJ$19,Lançamentos!$C:$C,"Móveis e Utensílios")</f>
        <v>0</v>
      </c>
      <c r="HK63" s="37">
        <f>SUMIFS(Lançamentos!$F:$F,Lançamentos!$A:$A,HK$19,Lançamentos!$C:$C,"Móveis e Utensílios")</f>
        <v>0</v>
      </c>
      <c r="HL63" s="37">
        <f>SUMIFS(Lançamentos!$F:$F,Lançamentos!$A:$A,HL$19,Lançamentos!$C:$C,"Móveis e Utensílios")</f>
        <v>0</v>
      </c>
      <c r="HM63" s="37">
        <f>SUMIFS(Lançamentos!$F:$F,Lançamentos!$A:$A,HM$19,Lançamentos!$C:$C,"Móveis e Utensílios")</f>
        <v>0</v>
      </c>
      <c r="HN63" s="37">
        <f>SUMIFS(Lançamentos!$F:$F,Lançamentos!$A:$A,HN$19,Lançamentos!$C:$C,"Móveis e Utensílios")</f>
        <v>0</v>
      </c>
      <c r="HO63" s="37">
        <f>SUMIFS(Lançamentos!$F:$F,Lançamentos!$A:$A,HO$19,Lançamentos!$C:$C,"Móveis e Utensílios")</f>
        <v>0</v>
      </c>
      <c r="HP63" s="37">
        <f>SUMIFS(Lançamentos!$F:$F,Lançamentos!$A:$A,HP$19,Lançamentos!$C:$C,"Móveis e Utensílios")</f>
        <v>0</v>
      </c>
      <c r="HQ63" s="37">
        <f>SUMIFS(Lançamentos!$F:$F,Lançamentos!$A:$A,HQ$19,Lançamentos!$C:$C,"Móveis e Utensílios")</f>
        <v>0</v>
      </c>
      <c r="HR63" s="37">
        <f>SUMIFS(Lançamentos!$F:$F,Lançamentos!$A:$A,HR$19,Lançamentos!$C:$C,"Móveis e Utensílios")</f>
        <v>0</v>
      </c>
      <c r="HS63" s="37">
        <f>SUMIFS(Lançamentos!$F:$F,Lançamentos!$A:$A,HS$19,Lançamentos!$C:$C,"Móveis e Utensílios")</f>
        <v>0</v>
      </c>
      <c r="HT63" s="37">
        <f>SUMIFS(Lançamentos!$F:$F,Lançamentos!$A:$A,HT$19,Lançamentos!$C:$C,"Móveis e Utensílios")</f>
        <v>0</v>
      </c>
      <c r="HU63" s="37">
        <f>SUMIFS(Lançamentos!$F:$F,Lançamentos!$A:$A,HU$19,Lançamentos!$C:$C,"Móveis e Utensílios")</f>
        <v>0</v>
      </c>
      <c r="HV63" s="37">
        <f>SUMIFS(Lançamentos!$F:$F,Lançamentos!$A:$A,HV$19,Lançamentos!$C:$C,"Móveis e Utensílios")</f>
        <v>0</v>
      </c>
      <c r="HW63" s="37">
        <f>SUMIFS(Lançamentos!$F:$F,Lançamentos!$A:$A,HW$19,Lançamentos!$C:$C,"Móveis e Utensílios")</f>
        <v>0</v>
      </c>
      <c r="HX63" s="37">
        <f>SUMIFS(Lançamentos!$F:$F,Lançamentos!$A:$A,HX$19,Lançamentos!$C:$C,"Móveis e Utensílios")</f>
        <v>0</v>
      </c>
      <c r="HY63" s="37">
        <f>SUMIFS(Lançamentos!$F:$F,Lançamentos!$A:$A,HY$19,Lançamentos!$C:$C,"Móveis e Utensílios")</f>
        <v>0</v>
      </c>
      <c r="HZ63" s="37">
        <f>SUMIFS(Lançamentos!$F:$F,Lançamentos!$A:$A,HZ$19,Lançamentos!$C:$C,"Móveis e Utensílios")</f>
        <v>0</v>
      </c>
      <c r="IA63" s="37">
        <f>SUMIFS(Lançamentos!$F:$F,Lançamentos!$A:$A,IA$19,Lançamentos!$C:$C,"Móveis e Utensílios")</f>
        <v>0</v>
      </c>
      <c r="IB63" s="37">
        <f>SUMIFS(Lançamentos!$F:$F,Lançamentos!$A:$A,IB$19,Lançamentos!$C:$C,"Móveis e Utensílios")</f>
        <v>0</v>
      </c>
      <c r="IC63" s="37">
        <f>SUMIFS(Lançamentos!$F:$F,Lançamentos!$A:$A,IC$19,Lançamentos!$C:$C,"Móveis e Utensílios")</f>
        <v>0</v>
      </c>
      <c r="ID63" s="37">
        <f>SUMIFS(Lançamentos!$F:$F,Lançamentos!$A:$A,ID$19,Lançamentos!$C:$C,"Móveis e Utensílios")</f>
        <v>0</v>
      </c>
      <c r="IE63" s="37">
        <f>SUMIFS(Lançamentos!$F:$F,Lançamentos!$A:$A,IE$19,Lançamentos!$C:$C,"Móveis e Utensílios")</f>
        <v>0</v>
      </c>
      <c r="IF63" s="37">
        <f>SUMIFS(Lançamentos!$F:$F,Lançamentos!$A:$A,IF$19,Lançamentos!$C:$C,"Móveis e Utensílios")</f>
        <v>0</v>
      </c>
      <c r="IG63" s="37">
        <f>SUMIFS(Lançamentos!$F:$F,Lançamentos!$A:$A,IG$19,Lançamentos!$C:$C,"Móveis e Utensílios")</f>
        <v>0</v>
      </c>
      <c r="IH63" s="37">
        <f>SUMIFS(Lançamentos!$F:$F,Lançamentos!$A:$A,IH$19,Lançamentos!$C:$C,"Móveis e Utensílios")</f>
        <v>0</v>
      </c>
      <c r="II63" s="37">
        <f>SUMIFS(Lançamentos!$F:$F,Lançamentos!$A:$A,II$19,Lançamentos!$C:$C,"Móveis e Utensílios")</f>
        <v>0</v>
      </c>
      <c r="IJ63" s="37">
        <f>SUMIFS(Lançamentos!$F:$F,Lançamentos!$A:$A,IJ$19,Lançamentos!$C:$C,"Móveis e Utensílios")</f>
        <v>0</v>
      </c>
      <c r="IK63" s="37">
        <f>SUMIFS(Lançamentos!$F:$F,Lançamentos!$A:$A,IK$19,Lançamentos!$C:$C,"Móveis e Utensílios")</f>
        <v>0</v>
      </c>
      <c r="IL63" s="37">
        <f>SUMIFS(Lançamentos!$F:$F,Lançamentos!$A:$A,IL$19,Lançamentos!$C:$C,"Móveis e Utensílios")</f>
        <v>0</v>
      </c>
    </row>
    <row r="64" spans="1:246" x14ac:dyDescent="0.3">
      <c r="A64" t="s">
        <v>102</v>
      </c>
      <c r="B64" s="37">
        <f>SUMIFS(Lançamentos!$F:$F,Lançamentos!$A:$A,B$19,Lançamentos!$C:$C,"Refeições e Confraternizações")</f>
        <v>0</v>
      </c>
      <c r="C64" s="37">
        <f>SUMIFS(Lançamentos!$F:$F,Lançamentos!$A:$A,C$19,Lançamentos!$C:$C,"Refeições e Confraternizações")</f>
        <v>0</v>
      </c>
      <c r="D64" s="37">
        <f>SUMIFS(Lançamentos!$F:$F,Lançamentos!$A:$A,D$19,Lançamentos!$C:$C,"Refeições e Confraternizações")</f>
        <v>0</v>
      </c>
      <c r="E64" s="37">
        <f>SUMIFS(Lançamentos!$F:$F,Lançamentos!$A:$A,E$19,Lançamentos!$C:$C,"Refeições e Confraternizações")</f>
        <v>0</v>
      </c>
      <c r="F64" s="37">
        <f>SUMIFS(Lançamentos!$F:$F,Lançamentos!$A:$A,F$19,Lançamentos!$C:$C,"Refeições e Confraternizações")</f>
        <v>0</v>
      </c>
      <c r="G64" s="37">
        <f>SUMIFS(Lançamentos!$F:$F,Lançamentos!$A:$A,G$19,Lançamentos!$C:$C,"Refeições e Confraternizações")</f>
        <v>0</v>
      </c>
      <c r="H64" s="37">
        <f>SUMIFS(Lançamentos!$F:$F,Lançamentos!$A:$A,H$19,Lançamentos!$C:$C,"Refeições e Confraternizações")</f>
        <v>0</v>
      </c>
      <c r="I64" s="37">
        <f>SUMIFS(Lançamentos!$F:$F,Lançamentos!$A:$A,I$19,Lançamentos!$C:$C,"Refeições e Confraternizações")</f>
        <v>0</v>
      </c>
      <c r="J64" s="37">
        <f>SUMIFS(Lançamentos!$F:$F,Lançamentos!$A:$A,J$19,Lançamentos!$C:$C,"Refeições e Confraternizações")</f>
        <v>0</v>
      </c>
      <c r="K64" s="37">
        <f>SUMIFS(Lançamentos!$F:$F,Lançamentos!$A:$A,K$19,Lançamentos!$C:$C,"Refeições e Confraternizações")</f>
        <v>0</v>
      </c>
      <c r="L64" s="37">
        <f>SUMIFS(Lançamentos!$F:$F,Lançamentos!$A:$A,L$19,Lançamentos!$C:$C,"Refeições e Confraternizações")</f>
        <v>0</v>
      </c>
      <c r="M64" s="37">
        <f>SUMIFS(Lançamentos!$F:$F,Lançamentos!$A:$A,M$19,Lançamentos!$C:$C,"Refeições e Confraternizações")</f>
        <v>0</v>
      </c>
      <c r="N64" s="37">
        <f>SUMIFS(Lançamentos!$F:$F,Lançamentos!$A:$A,N$19,Lançamentos!$C:$C,"Refeições e Confraternizações")</f>
        <v>0</v>
      </c>
      <c r="O64" s="37">
        <f>SUMIFS(Lançamentos!$F:$F,Lançamentos!$A:$A,O$19,Lançamentos!$C:$C,"Refeições e Confraternizações")</f>
        <v>0</v>
      </c>
      <c r="P64" s="37">
        <f>SUMIFS(Lançamentos!$F:$F,Lançamentos!$A:$A,P$19,Lançamentos!$C:$C,"Refeições e Confraternizações")</f>
        <v>0</v>
      </c>
      <c r="Q64" s="37">
        <f>SUMIFS(Lançamentos!$F:$F,Lançamentos!$A:$A,Q$19,Lançamentos!$C:$C,"Refeições e Confraternizações")</f>
        <v>0</v>
      </c>
      <c r="R64" s="37">
        <f>SUMIFS(Lançamentos!$F:$F,Lançamentos!$A:$A,R$19,Lançamentos!$C:$C,"Refeições e Confraternizações")</f>
        <v>0</v>
      </c>
      <c r="S64" s="37">
        <f>SUMIFS(Lançamentos!$F:$F,Lançamentos!$A:$A,S$19,Lançamentos!$C:$C,"Refeições e Confraternizações")</f>
        <v>0</v>
      </c>
      <c r="T64" s="37">
        <f>SUMIFS(Lançamentos!$F:$F,Lançamentos!$A:$A,T$19,Lançamentos!$C:$C,"Refeições e Confraternizações")</f>
        <v>0</v>
      </c>
      <c r="U64" s="37">
        <f>SUMIFS(Lançamentos!$F:$F,Lançamentos!$A:$A,U$19,Lançamentos!$C:$C,"Refeições e Confraternizações")</f>
        <v>0</v>
      </c>
      <c r="V64" s="37">
        <f>SUMIFS(Lançamentos!$F:$F,Lançamentos!$A:$A,V$19,Lançamentos!$C:$C,"Refeições e Confraternizações")</f>
        <v>0</v>
      </c>
      <c r="W64" s="37">
        <f>SUMIFS(Lançamentos!$F:$F,Lançamentos!$A:$A,W$19,Lançamentos!$C:$C,"Refeições e Confraternizações")</f>
        <v>0</v>
      </c>
      <c r="X64" s="37">
        <f>SUMIFS(Lançamentos!$F:$F,Lançamentos!$A:$A,X$19,Lançamentos!$C:$C,"Refeições e Confraternizações")</f>
        <v>0</v>
      </c>
      <c r="Y64" s="37">
        <f>SUMIFS(Lançamentos!$F:$F,Lançamentos!$A:$A,Y$19,Lançamentos!$C:$C,"Refeições e Confraternizações")</f>
        <v>0</v>
      </c>
      <c r="Z64" s="37">
        <f>SUMIFS(Lançamentos!$F:$F,Lançamentos!$A:$A,Z$19,Lançamentos!$C:$C,"Refeições e Confraternizações")</f>
        <v>0</v>
      </c>
      <c r="AA64" s="37">
        <f>SUMIFS(Lançamentos!$F:$F,Lançamentos!$A:$A,AA$19,Lançamentos!$C:$C,"Refeições e Confraternizações")</f>
        <v>0</v>
      </c>
      <c r="AB64" s="37">
        <f>SUMIFS(Lançamentos!$F:$F,Lançamentos!$A:$A,AB$19,Lançamentos!$C:$C,"Refeições e Confraternizações")</f>
        <v>0</v>
      </c>
      <c r="AC64" s="37">
        <f>SUMIFS(Lançamentos!$F:$F,Lançamentos!$A:$A,AC$19,Lançamentos!$C:$C,"Refeições e Confraternizações")</f>
        <v>0</v>
      </c>
      <c r="AD64" s="37">
        <f>SUMIFS(Lançamentos!$F:$F,Lançamentos!$A:$A,AD$19,Lançamentos!$C:$C,"Refeições e Confraternizações")</f>
        <v>0</v>
      </c>
      <c r="AE64" s="37">
        <f>SUMIFS(Lançamentos!$F:$F,Lançamentos!$A:$A,AE$19,Lançamentos!$C:$C,"Refeições e Confraternizações")</f>
        <v>0</v>
      </c>
      <c r="AF64" s="37">
        <f>SUMIFS(Lançamentos!$F:$F,Lançamentos!$A:$A,AF$19,Lançamentos!$C:$C,"Refeições e Confraternizações")</f>
        <v>0</v>
      </c>
      <c r="AG64" s="37">
        <f>SUMIFS(Lançamentos!$F:$F,Lançamentos!$A:$A,AG$19,Lançamentos!$C:$C,"Refeições e Confraternizações")</f>
        <v>0</v>
      </c>
      <c r="AH64" s="37">
        <f>SUMIFS(Lançamentos!$F:$F,Lançamentos!$A:$A,AH$19,Lançamentos!$C:$C,"Refeições e Confraternizações")</f>
        <v>0</v>
      </c>
      <c r="AI64" s="37">
        <f>SUMIFS(Lançamentos!$F:$F,Lançamentos!$A:$A,AI$19,Lançamentos!$C:$C,"Refeições e Confraternizações")</f>
        <v>0</v>
      </c>
      <c r="AJ64" s="37">
        <f>SUMIFS(Lançamentos!$F:$F,Lançamentos!$A:$A,AJ$19,Lançamentos!$C:$C,"Refeições e Confraternizações")</f>
        <v>0</v>
      </c>
      <c r="AK64" s="37">
        <f>SUMIFS(Lançamentos!$F:$F,Lançamentos!$A:$A,AK$19,Lançamentos!$C:$C,"Refeições e Confraternizações")</f>
        <v>0</v>
      </c>
      <c r="AL64" s="37">
        <f>SUMIFS(Lançamentos!$F:$F,Lançamentos!$A:$A,AL$19,Lançamentos!$C:$C,"Refeições e Confraternizações")</f>
        <v>0</v>
      </c>
      <c r="AM64" s="37">
        <f>SUMIFS(Lançamentos!$F:$F,Lançamentos!$A:$A,AM$19,Lançamentos!$C:$C,"Refeições e Confraternizações")</f>
        <v>0</v>
      </c>
      <c r="AN64" s="37">
        <f>SUMIFS(Lançamentos!$F:$F,Lançamentos!$A:$A,AN$19,Lançamentos!$C:$C,"Refeições e Confraternizações")</f>
        <v>0</v>
      </c>
      <c r="AO64" s="37">
        <f>SUMIFS(Lançamentos!$F:$F,Lançamentos!$A:$A,AO$19,Lançamentos!$C:$C,"Refeições e Confraternizações")</f>
        <v>0</v>
      </c>
      <c r="AP64" s="37">
        <f>SUMIFS(Lançamentos!$F:$F,Lançamentos!$A:$A,AP$19,Lançamentos!$C:$C,"Refeições e Confraternizações")</f>
        <v>0</v>
      </c>
      <c r="AQ64" s="37">
        <f>SUMIFS(Lançamentos!$F:$F,Lançamentos!$A:$A,AQ$19,Lançamentos!$C:$C,"Refeições e Confraternizações")</f>
        <v>0</v>
      </c>
      <c r="AR64" s="37">
        <f>SUMIFS(Lançamentos!$F:$F,Lançamentos!$A:$A,AR$19,Lançamentos!$C:$C,"Refeições e Confraternizações")</f>
        <v>0</v>
      </c>
      <c r="AS64" s="37">
        <f>SUMIFS(Lançamentos!$F:$F,Lançamentos!$A:$A,AS$19,Lançamentos!$C:$C,"Refeições e Confraternizações")</f>
        <v>0</v>
      </c>
      <c r="AT64" s="37">
        <f>SUMIFS(Lançamentos!$F:$F,Lançamentos!$A:$A,AT$19,Lançamentos!$C:$C,"Refeições e Confraternizações")</f>
        <v>0</v>
      </c>
      <c r="AU64" s="37">
        <f>SUMIFS(Lançamentos!$F:$F,Lançamentos!$A:$A,AU$19,Lançamentos!$C:$C,"Refeições e Confraternizações")</f>
        <v>0</v>
      </c>
      <c r="AV64" s="37">
        <f>SUMIFS(Lançamentos!$F:$F,Lançamentos!$A:$A,AV$19,Lançamentos!$C:$C,"Refeições e Confraternizações")</f>
        <v>0</v>
      </c>
      <c r="AW64" s="37">
        <f>SUMIFS(Lançamentos!$F:$F,Lançamentos!$A:$A,AW$19,Lançamentos!$C:$C,"Refeições e Confraternizações")</f>
        <v>0</v>
      </c>
      <c r="AX64" s="37">
        <f>SUMIFS(Lançamentos!$F:$F,Lançamentos!$A:$A,AX$19,Lançamentos!$C:$C,"Refeições e Confraternizações")</f>
        <v>0</v>
      </c>
      <c r="AY64" s="37">
        <f>SUMIFS(Lançamentos!$F:$F,Lançamentos!$A:$A,AY$19,Lançamentos!$C:$C,"Refeições e Confraternizações")</f>
        <v>0</v>
      </c>
      <c r="AZ64" s="37">
        <f>SUMIFS(Lançamentos!$F:$F,Lançamentos!$A:$A,AZ$19,Lançamentos!$C:$C,"Refeições e Confraternizações")</f>
        <v>0</v>
      </c>
      <c r="BA64" s="37">
        <f>SUMIFS(Lançamentos!$F:$F,Lançamentos!$A:$A,BA$19,Lançamentos!$C:$C,"Refeições e Confraternizações")</f>
        <v>0</v>
      </c>
      <c r="BB64" s="37">
        <f>SUMIFS(Lançamentos!$F:$F,Lançamentos!$A:$A,BB$19,Lançamentos!$C:$C,"Refeições e Confraternizações")</f>
        <v>0</v>
      </c>
      <c r="BC64" s="37">
        <f>SUMIFS(Lançamentos!$F:$F,Lançamentos!$A:$A,BC$19,Lançamentos!$C:$C,"Refeições e Confraternizações")</f>
        <v>0</v>
      </c>
      <c r="BD64" s="37">
        <f>SUMIFS(Lançamentos!$F:$F,Lançamentos!$A:$A,BD$19,Lançamentos!$C:$C,"Refeições e Confraternizações")</f>
        <v>0</v>
      </c>
      <c r="BE64" s="37">
        <f>SUMIFS(Lançamentos!$F:$F,Lançamentos!$A:$A,BE$19,Lançamentos!$C:$C,"Refeições e Confraternizações")</f>
        <v>0</v>
      </c>
      <c r="BF64" s="37">
        <f>SUMIFS(Lançamentos!$F:$F,Lançamentos!$A:$A,BF$19,Lançamentos!$C:$C,"Refeições e Confraternizações")</f>
        <v>0</v>
      </c>
      <c r="BG64" s="37">
        <f>SUMIFS(Lançamentos!$F:$F,Lançamentos!$A:$A,BG$19,Lançamentos!$C:$C,"Refeições e Confraternizações")</f>
        <v>0</v>
      </c>
      <c r="BH64" s="37">
        <f>SUMIFS(Lançamentos!$F:$F,Lançamentos!$A:$A,BH$19,Lançamentos!$C:$C,"Refeições e Confraternizações")</f>
        <v>0</v>
      </c>
      <c r="BI64" s="37">
        <f>SUMIFS(Lançamentos!$F:$F,Lançamentos!$A:$A,BI$19,Lançamentos!$C:$C,"Refeições e Confraternizações")</f>
        <v>0</v>
      </c>
      <c r="BJ64" s="37">
        <f>SUMIFS(Lançamentos!$F:$F,Lançamentos!$A:$A,BJ$19,Lançamentos!$C:$C,"Refeições e Confraternizações")</f>
        <v>0</v>
      </c>
      <c r="BK64" s="37">
        <f>SUMIFS(Lançamentos!$F:$F,Lançamentos!$A:$A,BK$19,Lançamentos!$C:$C,"Refeições e Confraternizações")</f>
        <v>0</v>
      </c>
      <c r="BL64" s="37">
        <f>SUMIFS(Lançamentos!$F:$F,Lançamentos!$A:$A,BL$19,Lançamentos!$C:$C,"Refeições e Confraternizações")</f>
        <v>0</v>
      </c>
      <c r="BM64" s="37">
        <f>SUMIFS(Lançamentos!$F:$F,Lançamentos!$A:$A,BM$19,Lançamentos!$C:$C,"Refeições e Confraternizações")</f>
        <v>0</v>
      </c>
      <c r="BN64" s="37">
        <f>SUMIFS(Lançamentos!$F:$F,Lançamentos!$A:$A,BN$19,Lançamentos!$C:$C,"Refeições e Confraternizações")</f>
        <v>0</v>
      </c>
      <c r="BO64" s="37">
        <f>SUMIFS(Lançamentos!$F:$F,Lançamentos!$A:$A,BO$19,Lançamentos!$C:$C,"Refeições e Confraternizações")</f>
        <v>0</v>
      </c>
      <c r="BP64" s="37">
        <f>SUMIFS(Lançamentos!$F:$F,Lançamentos!$A:$A,BP$19,Lançamentos!$C:$C,"Refeições e Confraternizações")</f>
        <v>0</v>
      </c>
      <c r="BQ64" s="37">
        <f>SUMIFS(Lançamentos!$F:$F,Lançamentos!$A:$A,BQ$19,Lançamentos!$C:$C,"Refeições e Confraternizações")</f>
        <v>0</v>
      </c>
      <c r="BR64" s="37">
        <f>SUMIFS(Lançamentos!$F:$F,Lançamentos!$A:$A,BR$19,Lançamentos!$C:$C,"Refeições e Confraternizações")</f>
        <v>0</v>
      </c>
      <c r="BS64" s="37">
        <f>SUMIFS(Lançamentos!$F:$F,Lançamentos!$A:$A,BS$19,Lançamentos!$C:$C,"Refeições e Confraternizações")</f>
        <v>0</v>
      </c>
      <c r="BT64" s="37">
        <f>SUMIFS(Lançamentos!$F:$F,Lançamentos!$A:$A,BT$19,Lançamentos!$C:$C,"Refeições e Confraternizações")</f>
        <v>0</v>
      </c>
      <c r="BU64" s="37">
        <f>SUMIFS(Lançamentos!$F:$F,Lançamentos!$A:$A,BU$19,Lançamentos!$C:$C,"Refeições e Confraternizações")</f>
        <v>0</v>
      </c>
      <c r="BV64" s="37">
        <f>SUMIFS(Lançamentos!$F:$F,Lançamentos!$A:$A,BV$19,Lançamentos!$C:$C,"Refeições e Confraternizações")</f>
        <v>0</v>
      </c>
      <c r="BW64" s="37">
        <f>SUMIFS(Lançamentos!$F:$F,Lançamentos!$A:$A,BW$19,Lançamentos!$C:$C,"Refeições e Confraternizações")</f>
        <v>0</v>
      </c>
      <c r="BX64" s="37">
        <f>SUMIFS(Lançamentos!$F:$F,Lançamentos!$A:$A,BX$19,Lançamentos!$C:$C,"Refeições e Confraternizações")</f>
        <v>0</v>
      </c>
      <c r="BY64" s="37">
        <f>SUMIFS(Lançamentos!$F:$F,Lançamentos!$A:$A,BY$19,Lançamentos!$C:$C,"Refeições e Confraternizações")</f>
        <v>0</v>
      </c>
      <c r="BZ64" s="37">
        <f>SUMIFS(Lançamentos!$F:$F,Lançamentos!$A:$A,BZ$19,Lançamentos!$C:$C,"Refeições e Confraternizações")</f>
        <v>0</v>
      </c>
      <c r="CA64" s="37">
        <f>SUMIFS(Lançamentos!$F:$F,Lançamentos!$A:$A,CA$19,Lançamentos!$C:$C,"Refeições e Confraternizações")</f>
        <v>0</v>
      </c>
      <c r="CB64" s="37">
        <f>SUMIFS(Lançamentos!$F:$F,Lançamentos!$A:$A,CB$19,Lançamentos!$C:$C,"Refeições e Confraternizações")</f>
        <v>0</v>
      </c>
      <c r="CC64" s="37">
        <f>SUMIFS(Lançamentos!$F:$F,Lançamentos!$A:$A,CC$19,Lançamentos!$C:$C,"Refeições e Confraternizações")</f>
        <v>0</v>
      </c>
      <c r="CD64" s="37">
        <f>SUMIFS(Lançamentos!$F:$F,Lançamentos!$A:$A,CD$19,Lançamentos!$C:$C,"Refeições e Confraternizações")</f>
        <v>0</v>
      </c>
      <c r="CE64" s="37">
        <f>SUMIFS(Lançamentos!$F:$F,Lançamentos!$A:$A,CE$19,Lançamentos!$C:$C,"Refeições e Confraternizações")</f>
        <v>0</v>
      </c>
      <c r="CF64" s="37">
        <f>SUMIFS(Lançamentos!$F:$F,Lançamentos!$A:$A,CF$19,Lançamentos!$C:$C,"Refeições e Confraternizações")</f>
        <v>0</v>
      </c>
      <c r="CG64" s="37">
        <f>SUMIFS(Lançamentos!$F:$F,Lançamentos!$A:$A,CG$19,Lançamentos!$C:$C,"Refeições e Confraternizações")</f>
        <v>0</v>
      </c>
      <c r="CH64" s="37">
        <f>SUMIFS(Lançamentos!$F:$F,Lançamentos!$A:$A,CH$19,Lançamentos!$C:$C,"Refeições e Confraternizações")</f>
        <v>0</v>
      </c>
      <c r="CI64" s="37">
        <f>SUMIFS(Lançamentos!$F:$F,Lançamentos!$A:$A,CI$19,Lançamentos!$C:$C,"Refeições e Confraternizações")</f>
        <v>0</v>
      </c>
      <c r="CJ64" s="37">
        <f>SUMIFS(Lançamentos!$F:$F,Lançamentos!$A:$A,CJ$19,Lançamentos!$C:$C,"Refeições e Confraternizações")</f>
        <v>0</v>
      </c>
      <c r="CK64" s="37">
        <f>SUMIFS(Lançamentos!$F:$F,Lançamentos!$A:$A,CK$19,Lançamentos!$C:$C,"Refeições e Confraternizações")</f>
        <v>0</v>
      </c>
      <c r="CL64" s="37">
        <f>SUMIFS(Lançamentos!$F:$F,Lançamentos!$A:$A,CL$19,Lançamentos!$C:$C,"Refeições e Confraternizações")</f>
        <v>0</v>
      </c>
      <c r="CM64" s="37">
        <f>SUMIFS(Lançamentos!$F:$F,Lançamentos!$A:$A,CM$19,Lançamentos!$C:$C,"Refeições e Confraternizações")</f>
        <v>0</v>
      </c>
      <c r="CN64" s="37">
        <f>SUMIFS(Lançamentos!$F:$F,Lançamentos!$A:$A,CN$19,Lançamentos!$C:$C,"Refeições e Confraternizações")</f>
        <v>0</v>
      </c>
      <c r="CO64" s="37">
        <f>SUMIFS(Lançamentos!$F:$F,Lançamentos!$A:$A,CO$19,Lançamentos!$C:$C,"Refeições e Confraternizações")</f>
        <v>0</v>
      </c>
      <c r="CP64" s="37">
        <f>SUMIFS(Lançamentos!$F:$F,Lançamentos!$A:$A,CP$19,Lançamentos!$C:$C,"Refeições e Confraternizações")</f>
        <v>0</v>
      </c>
      <c r="CQ64" s="37">
        <f>SUMIFS(Lançamentos!$F:$F,Lançamentos!$A:$A,CQ$19,Lançamentos!$C:$C,"Refeições e Confraternizações")</f>
        <v>0</v>
      </c>
      <c r="CR64" s="37">
        <f>SUMIFS(Lançamentos!$F:$F,Lançamentos!$A:$A,CR$19,Lançamentos!$C:$C,"Refeições e Confraternizações")</f>
        <v>0</v>
      </c>
      <c r="CS64" s="37">
        <f>SUMIFS(Lançamentos!$F:$F,Lançamentos!$A:$A,CS$19,Lançamentos!$C:$C,"Refeições e Confraternizações")</f>
        <v>0</v>
      </c>
      <c r="CT64" s="37">
        <f>SUMIFS(Lançamentos!$F:$F,Lançamentos!$A:$A,CT$19,Lançamentos!$C:$C,"Refeições e Confraternizações")</f>
        <v>0</v>
      </c>
      <c r="CU64" s="37">
        <f>SUMIFS(Lançamentos!$F:$F,Lançamentos!$A:$A,CU$19,Lançamentos!$C:$C,"Refeições e Confraternizações")</f>
        <v>0</v>
      </c>
      <c r="CV64" s="37">
        <f>SUMIFS(Lançamentos!$F:$F,Lançamentos!$A:$A,CV$19,Lançamentos!$C:$C,"Refeições e Confraternizações")</f>
        <v>0</v>
      </c>
      <c r="CW64" s="37">
        <f>SUMIFS(Lançamentos!$F:$F,Lançamentos!$A:$A,CW$19,Lançamentos!$C:$C,"Refeições e Confraternizações")</f>
        <v>0</v>
      </c>
      <c r="CX64" s="37">
        <f>SUMIFS(Lançamentos!$F:$F,Lançamentos!$A:$A,CX$19,Lançamentos!$C:$C,"Refeições e Confraternizações")</f>
        <v>0</v>
      </c>
      <c r="CY64" s="37">
        <f>SUMIFS(Lançamentos!$F:$F,Lançamentos!$A:$A,CY$19,Lançamentos!$C:$C,"Refeições e Confraternizações")</f>
        <v>0</v>
      </c>
      <c r="CZ64" s="37">
        <f>SUMIFS(Lançamentos!$F:$F,Lançamentos!$A:$A,CZ$19,Lançamentos!$C:$C,"Refeições e Confraternizações")</f>
        <v>0</v>
      </c>
      <c r="DA64" s="37">
        <f>SUMIFS(Lançamentos!$F:$F,Lançamentos!$A:$A,DA$19,Lançamentos!$C:$C,"Refeições e Confraternizações")</f>
        <v>0</v>
      </c>
      <c r="DB64" s="37">
        <f>SUMIFS(Lançamentos!$F:$F,Lançamentos!$A:$A,DB$19,Lançamentos!$C:$C,"Refeições e Confraternizações")</f>
        <v>0</v>
      </c>
      <c r="DC64" s="37">
        <f>SUMIFS(Lançamentos!$F:$F,Lançamentos!$A:$A,DC$19,Lançamentos!$C:$C,"Refeições e Confraternizações")</f>
        <v>0</v>
      </c>
      <c r="DD64" s="37">
        <f>SUMIFS(Lançamentos!$F:$F,Lançamentos!$A:$A,DD$19,Lançamentos!$C:$C,"Refeições e Confraternizações")</f>
        <v>0</v>
      </c>
      <c r="DE64" s="37">
        <f>SUMIFS(Lançamentos!$F:$F,Lançamentos!$A:$A,DE$19,Lançamentos!$C:$C,"Refeições e Confraternizações")</f>
        <v>0</v>
      </c>
      <c r="DF64" s="37">
        <f>SUMIFS(Lançamentos!$F:$F,Lançamentos!$A:$A,DF$19,Lançamentos!$C:$C,"Refeições e Confraternizações")</f>
        <v>0</v>
      </c>
      <c r="DG64" s="37">
        <f>SUMIFS(Lançamentos!$F:$F,Lançamentos!$A:$A,DG$19,Lançamentos!$C:$C,"Refeições e Confraternizações")</f>
        <v>0</v>
      </c>
      <c r="DH64" s="37">
        <f>SUMIFS(Lançamentos!$F:$F,Lançamentos!$A:$A,DH$19,Lançamentos!$C:$C,"Refeições e Confraternizações")</f>
        <v>0</v>
      </c>
      <c r="DI64" s="37">
        <f>SUMIFS(Lançamentos!$F:$F,Lançamentos!$A:$A,DI$19,Lançamentos!$C:$C,"Refeições e Confraternizações")</f>
        <v>0</v>
      </c>
      <c r="DJ64" s="37">
        <f>SUMIFS(Lançamentos!$F:$F,Lançamentos!$A:$A,DJ$19,Lançamentos!$C:$C,"Refeições e Confraternizações")</f>
        <v>0</v>
      </c>
      <c r="DK64" s="37">
        <f>SUMIFS(Lançamentos!$F:$F,Lançamentos!$A:$A,DK$19,Lançamentos!$C:$C,"Refeições e Confraternizações")</f>
        <v>0</v>
      </c>
      <c r="DL64" s="37">
        <f>SUMIFS(Lançamentos!$F:$F,Lançamentos!$A:$A,DL$19,Lançamentos!$C:$C,"Refeições e Confraternizações")</f>
        <v>0</v>
      </c>
      <c r="DM64" s="37">
        <f>SUMIFS(Lançamentos!$F:$F,Lançamentos!$A:$A,DM$19,Lançamentos!$C:$C,"Refeições e Confraternizações")</f>
        <v>0</v>
      </c>
      <c r="DN64" s="37">
        <f>SUMIFS(Lançamentos!$F:$F,Lançamentos!$A:$A,DN$19,Lançamentos!$C:$C,"Refeições e Confraternizações")</f>
        <v>0</v>
      </c>
      <c r="DO64" s="37">
        <f>SUMIFS(Lançamentos!$F:$F,Lançamentos!$A:$A,DO$19,Lançamentos!$C:$C,"Refeições e Confraternizações")</f>
        <v>0</v>
      </c>
      <c r="DP64" s="37">
        <f>SUMIFS(Lançamentos!$F:$F,Lançamentos!$A:$A,DP$19,Lançamentos!$C:$C,"Refeições e Confraternizações")</f>
        <v>0</v>
      </c>
      <c r="DQ64" s="37">
        <f>SUMIFS(Lançamentos!$F:$F,Lançamentos!$A:$A,DQ$19,Lançamentos!$C:$C,"Refeições e Confraternizações")</f>
        <v>0</v>
      </c>
      <c r="DR64" s="37">
        <f>SUMIFS(Lançamentos!$F:$F,Lançamentos!$A:$A,DR$19,Lançamentos!$C:$C,"Refeições e Confraternizações")</f>
        <v>0</v>
      </c>
      <c r="DS64" s="37">
        <f>SUMIFS(Lançamentos!$F:$F,Lançamentos!$A:$A,DS$19,Lançamentos!$C:$C,"Refeições e Confraternizações")</f>
        <v>0</v>
      </c>
      <c r="DT64" s="37">
        <f>SUMIFS(Lançamentos!$F:$F,Lançamentos!$A:$A,DT$19,Lançamentos!$C:$C,"Refeições e Confraternizações")</f>
        <v>0</v>
      </c>
      <c r="DU64" s="37">
        <f>SUMIFS(Lançamentos!$F:$F,Lançamentos!$A:$A,DU$19,Lançamentos!$C:$C,"Refeições e Confraternizações")</f>
        <v>0</v>
      </c>
      <c r="DV64" s="37">
        <f>SUMIFS(Lançamentos!$F:$F,Lançamentos!$A:$A,DV$19,Lançamentos!$C:$C,"Refeições e Confraternizações")</f>
        <v>0</v>
      </c>
      <c r="DW64" s="37">
        <f>SUMIFS(Lançamentos!$F:$F,Lançamentos!$A:$A,DW$19,Lançamentos!$C:$C,"Refeições e Confraternizações")</f>
        <v>0</v>
      </c>
      <c r="DX64" s="37">
        <f>SUMIFS(Lançamentos!$F:$F,Lançamentos!$A:$A,DX$19,Lançamentos!$C:$C,"Refeições e Confraternizações")</f>
        <v>0</v>
      </c>
      <c r="DY64" s="37">
        <f>SUMIFS(Lançamentos!$F:$F,Lançamentos!$A:$A,DY$19,Lançamentos!$C:$C,"Refeições e Confraternizações")</f>
        <v>0</v>
      </c>
      <c r="DZ64" s="37">
        <f>SUMIFS(Lançamentos!$F:$F,Lançamentos!$A:$A,DZ$19,Lançamentos!$C:$C,"Refeições e Confraternizações")</f>
        <v>0</v>
      </c>
      <c r="EA64" s="37">
        <f>SUMIFS(Lançamentos!$F:$F,Lançamentos!$A:$A,EA$19,Lançamentos!$C:$C,"Refeições e Confraternizações")</f>
        <v>0</v>
      </c>
      <c r="EB64" s="37">
        <f>SUMIFS(Lançamentos!$F:$F,Lançamentos!$A:$A,EB$19,Lançamentos!$C:$C,"Refeições e Confraternizações")</f>
        <v>0</v>
      </c>
      <c r="EC64" s="37">
        <f>SUMIFS(Lançamentos!$F:$F,Lançamentos!$A:$A,EC$19,Lançamentos!$C:$C,"Refeições e Confraternizações")</f>
        <v>0</v>
      </c>
      <c r="ED64" s="37">
        <f>SUMIFS(Lançamentos!$F:$F,Lançamentos!$A:$A,ED$19,Lançamentos!$C:$C,"Refeições e Confraternizações")</f>
        <v>0</v>
      </c>
      <c r="EE64" s="37">
        <f>SUMIFS(Lançamentos!$F:$F,Lançamentos!$A:$A,EE$19,Lançamentos!$C:$C,"Refeições e Confraternizações")</f>
        <v>0</v>
      </c>
      <c r="EF64" s="37">
        <f>SUMIFS(Lançamentos!$F:$F,Lançamentos!$A:$A,EF$19,Lançamentos!$C:$C,"Refeições e Confraternizações")</f>
        <v>0</v>
      </c>
      <c r="EG64" s="37">
        <f>SUMIFS(Lançamentos!$F:$F,Lançamentos!$A:$A,EG$19,Lançamentos!$C:$C,"Refeições e Confraternizações")</f>
        <v>0</v>
      </c>
      <c r="EH64" s="37">
        <f>SUMIFS(Lançamentos!$F:$F,Lançamentos!$A:$A,EH$19,Lançamentos!$C:$C,"Refeições e Confraternizações")</f>
        <v>0</v>
      </c>
      <c r="EI64" s="37">
        <f>SUMIFS(Lançamentos!$F:$F,Lançamentos!$A:$A,EI$19,Lançamentos!$C:$C,"Refeições e Confraternizações")</f>
        <v>0</v>
      </c>
      <c r="EJ64" s="37">
        <f>SUMIFS(Lançamentos!$F:$F,Lançamentos!$A:$A,EJ$19,Lançamentos!$C:$C,"Refeições e Confraternizações")</f>
        <v>0</v>
      </c>
      <c r="EK64" s="37">
        <f>SUMIFS(Lançamentos!$F:$F,Lançamentos!$A:$A,EK$19,Lançamentos!$C:$C,"Refeições e Confraternizações")</f>
        <v>0</v>
      </c>
      <c r="EL64" s="37">
        <f>SUMIFS(Lançamentos!$F:$F,Lançamentos!$A:$A,EL$19,Lançamentos!$C:$C,"Refeições e Confraternizações")</f>
        <v>0</v>
      </c>
      <c r="EM64" s="37">
        <f>SUMIFS(Lançamentos!$F:$F,Lançamentos!$A:$A,EM$19,Lançamentos!$C:$C,"Refeições e Confraternizações")</f>
        <v>0</v>
      </c>
      <c r="EN64" s="37">
        <f>SUMIFS(Lançamentos!$F:$F,Lançamentos!$A:$A,EN$19,Lançamentos!$C:$C,"Refeições e Confraternizações")</f>
        <v>0</v>
      </c>
      <c r="EO64" s="37">
        <f>SUMIFS(Lançamentos!$F:$F,Lançamentos!$A:$A,EO$19,Lançamentos!$C:$C,"Refeições e Confraternizações")</f>
        <v>0</v>
      </c>
      <c r="EP64" s="37">
        <f>SUMIFS(Lançamentos!$F:$F,Lançamentos!$A:$A,EP$19,Lançamentos!$C:$C,"Refeições e Confraternizações")</f>
        <v>0</v>
      </c>
      <c r="EQ64" s="37">
        <f>SUMIFS(Lançamentos!$F:$F,Lançamentos!$A:$A,EQ$19,Lançamentos!$C:$C,"Refeições e Confraternizações")</f>
        <v>0</v>
      </c>
      <c r="ER64" s="37">
        <f>SUMIFS(Lançamentos!$F:$F,Lançamentos!$A:$A,ER$19,Lançamentos!$C:$C,"Refeições e Confraternizações")</f>
        <v>0</v>
      </c>
      <c r="ES64" s="37">
        <f>SUMIFS(Lançamentos!$F:$F,Lançamentos!$A:$A,ES$19,Lançamentos!$C:$C,"Refeições e Confraternizações")</f>
        <v>0</v>
      </c>
      <c r="ET64" s="37">
        <f>SUMIFS(Lançamentos!$F:$F,Lançamentos!$A:$A,ET$19,Lançamentos!$C:$C,"Refeições e Confraternizações")</f>
        <v>0</v>
      </c>
      <c r="EU64" s="37">
        <f>SUMIFS(Lançamentos!$F:$F,Lançamentos!$A:$A,EU$19,Lançamentos!$C:$C,"Refeições e Confraternizações")</f>
        <v>0</v>
      </c>
      <c r="EV64" s="37">
        <f>SUMIFS(Lançamentos!$F:$F,Lançamentos!$A:$A,EV$19,Lançamentos!$C:$C,"Refeições e Confraternizações")</f>
        <v>0</v>
      </c>
      <c r="EW64" s="37">
        <f>SUMIFS(Lançamentos!$F:$F,Lançamentos!$A:$A,EW$19,Lançamentos!$C:$C,"Refeições e Confraternizações")</f>
        <v>0</v>
      </c>
      <c r="EX64" s="37">
        <f>SUMIFS(Lançamentos!$F:$F,Lançamentos!$A:$A,EX$19,Lançamentos!$C:$C,"Refeições e Confraternizações")</f>
        <v>0</v>
      </c>
      <c r="EY64" s="37">
        <f>SUMIFS(Lançamentos!$F:$F,Lançamentos!$A:$A,EY$19,Lançamentos!$C:$C,"Refeições e Confraternizações")</f>
        <v>0</v>
      </c>
      <c r="EZ64" s="37">
        <f>SUMIFS(Lançamentos!$F:$F,Lançamentos!$A:$A,EZ$19,Lançamentos!$C:$C,"Refeições e Confraternizações")</f>
        <v>0</v>
      </c>
      <c r="FA64" s="37">
        <f>SUMIFS(Lançamentos!$F:$F,Lançamentos!$A:$A,FA$19,Lançamentos!$C:$C,"Refeições e Confraternizações")</f>
        <v>0</v>
      </c>
      <c r="FB64" s="37">
        <f>SUMIFS(Lançamentos!$F:$F,Lançamentos!$A:$A,FB$19,Lançamentos!$C:$C,"Refeições e Confraternizações")</f>
        <v>0</v>
      </c>
      <c r="FC64" s="37">
        <f>SUMIFS(Lançamentos!$F:$F,Lançamentos!$A:$A,FC$19,Lançamentos!$C:$C,"Refeições e Confraternizações")</f>
        <v>0</v>
      </c>
      <c r="FD64" s="37">
        <f>SUMIFS(Lançamentos!$F:$F,Lançamentos!$A:$A,FD$19,Lançamentos!$C:$C,"Refeições e Confraternizações")</f>
        <v>0</v>
      </c>
      <c r="FE64" s="37">
        <f>SUMIFS(Lançamentos!$F:$F,Lançamentos!$A:$A,FE$19,Lançamentos!$C:$C,"Refeições e Confraternizações")</f>
        <v>0</v>
      </c>
      <c r="FF64" s="37">
        <f>SUMIFS(Lançamentos!$F:$F,Lançamentos!$A:$A,FF$19,Lançamentos!$C:$C,"Refeições e Confraternizações")</f>
        <v>0</v>
      </c>
      <c r="FG64" s="37">
        <f>SUMIFS(Lançamentos!$F:$F,Lançamentos!$A:$A,FG$19,Lançamentos!$C:$C,"Refeições e Confraternizações")</f>
        <v>0</v>
      </c>
      <c r="FH64" s="37">
        <f>SUMIFS(Lançamentos!$F:$F,Lançamentos!$A:$A,FH$19,Lançamentos!$C:$C,"Refeições e Confraternizações")</f>
        <v>0</v>
      </c>
      <c r="FI64" s="37">
        <f>SUMIFS(Lançamentos!$F:$F,Lançamentos!$A:$A,FI$19,Lançamentos!$C:$C,"Refeições e Confraternizações")</f>
        <v>0</v>
      </c>
      <c r="FJ64" s="37">
        <f>SUMIFS(Lançamentos!$F:$F,Lançamentos!$A:$A,FJ$19,Lançamentos!$C:$C,"Refeições e Confraternizações")</f>
        <v>0</v>
      </c>
      <c r="FK64" s="37">
        <f>SUMIFS(Lançamentos!$F:$F,Lançamentos!$A:$A,FK$19,Lançamentos!$C:$C,"Refeições e Confraternizações")</f>
        <v>0</v>
      </c>
      <c r="FL64" s="37">
        <f>SUMIFS(Lançamentos!$F:$F,Lançamentos!$A:$A,FL$19,Lançamentos!$C:$C,"Refeições e Confraternizações")</f>
        <v>0</v>
      </c>
      <c r="FM64" s="37">
        <f>SUMIFS(Lançamentos!$F:$F,Lançamentos!$A:$A,FM$19,Lançamentos!$C:$C,"Refeições e Confraternizações")</f>
        <v>0</v>
      </c>
      <c r="FN64" s="37">
        <f>SUMIFS(Lançamentos!$F:$F,Lançamentos!$A:$A,FN$19,Lançamentos!$C:$C,"Refeições e Confraternizações")</f>
        <v>0</v>
      </c>
      <c r="FO64" s="37">
        <f>SUMIFS(Lançamentos!$F:$F,Lançamentos!$A:$A,FO$19,Lançamentos!$C:$C,"Refeições e Confraternizações")</f>
        <v>0</v>
      </c>
      <c r="FP64" s="37">
        <f>SUMIFS(Lançamentos!$F:$F,Lançamentos!$A:$A,FP$19,Lançamentos!$C:$C,"Refeições e Confraternizações")</f>
        <v>0</v>
      </c>
      <c r="FQ64" s="37">
        <f>SUMIFS(Lançamentos!$F:$F,Lançamentos!$A:$A,FQ$19,Lançamentos!$C:$C,"Refeições e Confraternizações")</f>
        <v>0</v>
      </c>
      <c r="FR64" s="37">
        <f>SUMIFS(Lançamentos!$F:$F,Lançamentos!$A:$A,FR$19,Lançamentos!$C:$C,"Refeições e Confraternizações")</f>
        <v>0</v>
      </c>
      <c r="FS64" s="37">
        <f>SUMIFS(Lançamentos!$F:$F,Lançamentos!$A:$A,FS$19,Lançamentos!$C:$C,"Refeições e Confraternizações")</f>
        <v>0</v>
      </c>
      <c r="FT64" s="37">
        <f>SUMIFS(Lançamentos!$F:$F,Lançamentos!$A:$A,FT$19,Lançamentos!$C:$C,"Refeições e Confraternizações")</f>
        <v>0</v>
      </c>
      <c r="FU64" s="37">
        <f>SUMIFS(Lançamentos!$F:$F,Lançamentos!$A:$A,FU$19,Lançamentos!$C:$C,"Refeições e Confraternizações")</f>
        <v>0</v>
      </c>
      <c r="FV64" s="37">
        <f>SUMIFS(Lançamentos!$F:$F,Lançamentos!$A:$A,FV$19,Lançamentos!$C:$C,"Refeições e Confraternizações")</f>
        <v>0</v>
      </c>
      <c r="FW64" s="37">
        <f>SUMIFS(Lançamentos!$F:$F,Lançamentos!$A:$A,FW$19,Lançamentos!$C:$C,"Refeições e Confraternizações")</f>
        <v>0</v>
      </c>
      <c r="FX64" s="37">
        <f>SUMIFS(Lançamentos!$F:$F,Lançamentos!$A:$A,FX$19,Lançamentos!$C:$C,"Refeições e Confraternizações")</f>
        <v>0</v>
      </c>
      <c r="FY64" s="37">
        <f>SUMIFS(Lançamentos!$F:$F,Lançamentos!$A:$A,FY$19,Lançamentos!$C:$C,"Refeições e Confraternizações")</f>
        <v>0</v>
      </c>
      <c r="FZ64" s="37">
        <f>SUMIFS(Lançamentos!$F:$F,Lançamentos!$A:$A,FZ$19,Lançamentos!$C:$C,"Refeições e Confraternizações")</f>
        <v>0</v>
      </c>
      <c r="GA64" s="37">
        <f>SUMIFS(Lançamentos!$F:$F,Lançamentos!$A:$A,GA$19,Lançamentos!$C:$C,"Refeições e Confraternizações")</f>
        <v>0</v>
      </c>
      <c r="GB64" s="37">
        <f>SUMIFS(Lançamentos!$F:$F,Lançamentos!$A:$A,GB$19,Lançamentos!$C:$C,"Refeições e Confraternizações")</f>
        <v>0</v>
      </c>
      <c r="GC64" s="37">
        <f>SUMIFS(Lançamentos!$F:$F,Lançamentos!$A:$A,GC$19,Lançamentos!$C:$C,"Refeições e Confraternizações")</f>
        <v>0</v>
      </c>
      <c r="GD64" s="37">
        <f>SUMIFS(Lançamentos!$F:$F,Lançamentos!$A:$A,GD$19,Lançamentos!$C:$C,"Refeições e Confraternizações")</f>
        <v>0</v>
      </c>
      <c r="GE64" s="37">
        <f>SUMIFS(Lançamentos!$F:$F,Lançamentos!$A:$A,GE$19,Lançamentos!$C:$C,"Refeições e Confraternizações")</f>
        <v>0</v>
      </c>
      <c r="GF64" s="37">
        <f>SUMIFS(Lançamentos!$F:$F,Lançamentos!$A:$A,GF$19,Lançamentos!$C:$C,"Refeições e Confraternizações")</f>
        <v>0</v>
      </c>
      <c r="GG64" s="37">
        <f>SUMIFS(Lançamentos!$F:$F,Lançamentos!$A:$A,GG$19,Lançamentos!$C:$C,"Refeições e Confraternizações")</f>
        <v>0</v>
      </c>
      <c r="GH64" s="37">
        <f>SUMIFS(Lançamentos!$F:$F,Lançamentos!$A:$A,GH$19,Lançamentos!$C:$C,"Refeições e Confraternizações")</f>
        <v>0</v>
      </c>
      <c r="GI64" s="37">
        <f>SUMIFS(Lançamentos!$F:$F,Lançamentos!$A:$A,GI$19,Lançamentos!$C:$C,"Refeições e Confraternizações")</f>
        <v>0</v>
      </c>
      <c r="GJ64" s="37">
        <f>SUMIFS(Lançamentos!$F:$F,Lançamentos!$A:$A,GJ$19,Lançamentos!$C:$C,"Refeições e Confraternizações")</f>
        <v>0</v>
      </c>
      <c r="GK64" s="37">
        <f>SUMIFS(Lançamentos!$F:$F,Lançamentos!$A:$A,GK$19,Lançamentos!$C:$C,"Refeições e Confraternizações")</f>
        <v>0</v>
      </c>
      <c r="GL64" s="37">
        <f>SUMIFS(Lançamentos!$F:$F,Lançamentos!$A:$A,GL$19,Lançamentos!$C:$C,"Refeições e Confraternizações")</f>
        <v>0</v>
      </c>
      <c r="GM64" s="37">
        <f>SUMIFS(Lançamentos!$F:$F,Lançamentos!$A:$A,GM$19,Lançamentos!$C:$C,"Refeições e Confraternizações")</f>
        <v>0</v>
      </c>
      <c r="GN64" s="37">
        <f>SUMIFS(Lançamentos!$F:$F,Lançamentos!$A:$A,GN$19,Lançamentos!$C:$C,"Refeições e Confraternizações")</f>
        <v>0</v>
      </c>
      <c r="GO64" s="37">
        <f>SUMIFS(Lançamentos!$F:$F,Lançamentos!$A:$A,GO$19,Lançamentos!$C:$C,"Refeições e Confraternizações")</f>
        <v>0</v>
      </c>
      <c r="GP64" s="37">
        <f>SUMIFS(Lançamentos!$F:$F,Lançamentos!$A:$A,GP$19,Lançamentos!$C:$C,"Refeições e Confraternizações")</f>
        <v>0</v>
      </c>
      <c r="GQ64" s="37">
        <f>SUMIFS(Lançamentos!$F:$F,Lançamentos!$A:$A,GQ$19,Lançamentos!$C:$C,"Refeições e Confraternizações")</f>
        <v>0</v>
      </c>
      <c r="GR64" s="37">
        <f>SUMIFS(Lançamentos!$F:$F,Lançamentos!$A:$A,GR$19,Lançamentos!$C:$C,"Refeições e Confraternizações")</f>
        <v>0</v>
      </c>
      <c r="GS64" s="37">
        <f>SUMIFS(Lançamentos!$F:$F,Lançamentos!$A:$A,GS$19,Lançamentos!$C:$C,"Refeições e Confraternizações")</f>
        <v>0</v>
      </c>
      <c r="GT64" s="37">
        <f>SUMIFS(Lançamentos!$F:$F,Lançamentos!$A:$A,GT$19,Lançamentos!$C:$C,"Refeições e Confraternizações")</f>
        <v>0</v>
      </c>
      <c r="GU64" s="37">
        <f>SUMIFS(Lançamentos!$F:$F,Lançamentos!$A:$A,GU$19,Lançamentos!$C:$C,"Refeições e Confraternizações")</f>
        <v>0</v>
      </c>
      <c r="GV64" s="37">
        <f>SUMIFS(Lançamentos!$F:$F,Lançamentos!$A:$A,GV$19,Lançamentos!$C:$C,"Refeições e Confraternizações")</f>
        <v>0</v>
      </c>
      <c r="GW64" s="37">
        <f>SUMIFS(Lançamentos!$F:$F,Lançamentos!$A:$A,GW$19,Lançamentos!$C:$C,"Refeições e Confraternizações")</f>
        <v>0</v>
      </c>
      <c r="GX64" s="37">
        <f>SUMIFS(Lançamentos!$F:$F,Lançamentos!$A:$A,GX$19,Lançamentos!$C:$C,"Refeições e Confraternizações")</f>
        <v>0</v>
      </c>
      <c r="GY64" s="37">
        <f>SUMIFS(Lançamentos!$F:$F,Lançamentos!$A:$A,GY$19,Lançamentos!$C:$C,"Refeições e Confraternizações")</f>
        <v>0</v>
      </c>
      <c r="GZ64" s="37">
        <f>SUMIFS(Lançamentos!$F:$F,Lançamentos!$A:$A,GZ$19,Lançamentos!$C:$C,"Refeições e Confraternizações")</f>
        <v>0</v>
      </c>
      <c r="HA64" s="37">
        <f>SUMIFS(Lançamentos!$F:$F,Lançamentos!$A:$A,HA$19,Lançamentos!$C:$C,"Refeições e Confraternizações")</f>
        <v>0</v>
      </c>
      <c r="HB64" s="37">
        <f>SUMIFS(Lançamentos!$F:$F,Lançamentos!$A:$A,HB$19,Lançamentos!$C:$C,"Refeições e Confraternizações")</f>
        <v>0</v>
      </c>
      <c r="HC64" s="37">
        <f>SUMIFS(Lançamentos!$F:$F,Lançamentos!$A:$A,HC$19,Lançamentos!$C:$C,"Refeições e Confraternizações")</f>
        <v>0</v>
      </c>
      <c r="HD64" s="37">
        <f>SUMIFS(Lançamentos!$F:$F,Lançamentos!$A:$A,HD$19,Lançamentos!$C:$C,"Refeições e Confraternizações")</f>
        <v>0</v>
      </c>
      <c r="HE64" s="37">
        <f>SUMIFS(Lançamentos!$F:$F,Lançamentos!$A:$A,HE$19,Lançamentos!$C:$C,"Refeições e Confraternizações")</f>
        <v>0</v>
      </c>
      <c r="HF64" s="37">
        <f>SUMIFS(Lançamentos!$F:$F,Lançamentos!$A:$A,HF$19,Lançamentos!$C:$C,"Refeições e Confraternizações")</f>
        <v>0</v>
      </c>
      <c r="HG64" s="37">
        <f>SUMIFS(Lançamentos!$F:$F,Lançamentos!$A:$A,HG$19,Lançamentos!$C:$C,"Refeições e Confraternizações")</f>
        <v>0</v>
      </c>
      <c r="HH64" s="37">
        <f>SUMIFS(Lançamentos!$F:$F,Lançamentos!$A:$A,HH$19,Lançamentos!$C:$C,"Refeições e Confraternizações")</f>
        <v>0</v>
      </c>
      <c r="HI64" s="37">
        <f>SUMIFS(Lançamentos!$F:$F,Lançamentos!$A:$A,HI$19,Lançamentos!$C:$C,"Refeições e Confraternizações")</f>
        <v>0</v>
      </c>
      <c r="HJ64" s="37">
        <f>SUMIFS(Lançamentos!$F:$F,Lançamentos!$A:$A,HJ$19,Lançamentos!$C:$C,"Refeições e Confraternizações")</f>
        <v>0</v>
      </c>
      <c r="HK64" s="37">
        <f>SUMIFS(Lançamentos!$F:$F,Lançamentos!$A:$A,HK$19,Lançamentos!$C:$C,"Refeições e Confraternizações")</f>
        <v>0</v>
      </c>
      <c r="HL64" s="37">
        <f>SUMIFS(Lançamentos!$F:$F,Lançamentos!$A:$A,HL$19,Lançamentos!$C:$C,"Refeições e Confraternizações")</f>
        <v>0</v>
      </c>
      <c r="HM64" s="37">
        <f>SUMIFS(Lançamentos!$F:$F,Lançamentos!$A:$A,HM$19,Lançamentos!$C:$C,"Refeições e Confraternizações")</f>
        <v>0</v>
      </c>
      <c r="HN64" s="37">
        <f>SUMIFS(Lançamentos!$F:$F,Lançamentos!$A:$A,HN$19,Lançamentos!$C:$C,"Refeições e Confraternizações")</f>
        <v>0</v>
      </c>
      <c r="HO64" s="37">
        <f>SUMIFS(Lançamentos!$F:$F,Lançamentos!$A:$A,HO$19,Lançamentos!$C:$C,"Refeições e Confraternizações")</f>
        <v>0</v>
      </c>
      <c r="HP64" s="37">
        <f>SUMIFS(Lançamentos!$F:$F,Lançamentos!$A:$A,HP$19,Lançamentos!$C:$C,"Refeições e Confraternizações")</f>
        <v>0</v>
      </c>
      <c r="HQ64" s="37">
        <f>SUMIFS(Lançamentos!$F:$F,Lançamentos!$A:$A,HQ$19,Lançamentos!$C:$C,"Refeições e Confraternizações")</f>
        <v>0</v>
      </c>
      <c r="HR64" s="37">
        <f>SUMIFS(Lançamentos!$F:$F,Lançamentos!$A:$A,HR$19,Lançamentos!$C:$C,"Refeições e Confraternizações")</f>
        <v>0</v>
      </c>
      <c r="HS64" s="37">
        <f>SUMIFS(Lançamentos!$F:$F,Lançamentos!$A:$A,HS$19,Lançamentos!$C:$C,"Refeições e Confraternizações")</f>
        <v>0</v>
      </c>
      <c r="HT64" s="37">
        <f>SUMIFS(Lançamentos!$F:$F,Lançamentos!$A:$A,HT$19,Lançamentos!$C:$C,"Refeições e Confraternizações")</f>
        <v>0</v>
      </c>
      <c r="HU64" s="37">
        <f>SUMIFS(Lançamentos!$F:$F,Lançamentos!$A:$A,HU$19,Lançamentos!$C:$C,"Refeições e Confraternizações")</f>
        <v>0</v>
      </c>
      <c r="HV64" s="37">
        <f>SUMIFS(Lançamentos!$F:$F,Lançamentos!$A:$A,HV$19,Lançamentos!$C:$C,"Refeições e Confraternizações")</f>
        <v>0</v>
      </c>
      <c r="HW64" s="37">
        <f>SUMIFS(Lançamentos!$F:$F,Lançamentos!$A:$A,HW$19,Lançamentos!$C:$C,"Refeições e Confraternizações")</f>
        <v>0</v>
      </c>
      <c r="HX64" s="37">
        <f>SUMIFS(Lançamentos!$F:$F,Lançamentos!$A:$A,HX$19,Lançamentos!$C:$C,"Refeições e Confraternizações")</f>
        <v>0</v>
      </c>
      <c r="HY64" s="37">
        <f>SUMIFS(Lançamentos!$F:$F,Lançamentos!$A:$A,HY$19,Lançamentos!$C:$C,"Refeições e Confraternizações")</f>
        <v>0</v>
      </c>
      <c r="HZ64" s="37">
        <f>SUMIFS(Lançamentos!$F:$F,Lançamentos!$A:$A,HZ$19,Lançamentos!$C:$C,"Refeições e Confraternizações")</f>
        <v>0</v>
      </c>
      <c r="IA64" s="37">
        <f>SUMIFS(Lançamentos!$F:$F,Lançamentos!$A:$A,IA$19,Lançamentos!$C:$C,"Refeições e Confraternizações")</f>
        <v>0</v>
      </c>
      <c r="IB64" s="37">
        <f>SUMIFS(Lançamentos!$F:$F,Lançamentos!$A:$A,IB$19,Lançamentos!$C:$C,"Refeições e Confraternizações")</f>
        <v>0</v>
      </c>
      <c r="IC64" s="37">
        <f>SUMIFS(Lançamentos!$F:$F,Lançamentos!$A:$A,IC$19,Lançamentos!$C:$C,"Refeições e Confraternizações")</f>
        <v>0</v>
      </c>
      <c r="ID64" s="37">
        <f>SUMIFS(Lançamentos!$F:$F,Lançamentos!$A:$A,ID$19,Lançamentos!$C:$C,"Refeições e Confraternizações")</f>
        <v>0</v>
      </c>
      <c r="IE64" s="37">
        <f>SUMIFS(Lançamentos!$F:$F,Lançamentos!$A:$A,IE$19,Lançamentos!$C:$C,"Refeições e Confraternizações")</f>
        <v>0</v>
      </c>
      <c r="IF64" s="37">
        <f>SUMIFS(Lançamentos!$F:$F,Lançamentos!$A:$A,IF$19,Lançamentos!$C:$C,"Refeições e Confraternizações")</f>
        <v>0</v>
      </c>
      <c r="IG64" s="37">
        <f>SUMIFS(Lançamentos!$F:$F,Lançamentos!$A:$A,IG$19,Lançamentos!$C:$C,"Refeições e Confraternizações")</f>
        <v>0</v>
      </c>
      <c r="IH64" s="37">
        <f>SUMIFS(Lançamentos!$F:$F,Lançamentos!$A:$A,IH$19,Lançamentos!$C:$C,"Refeições e Confraternizações")</f>
        <v>0</v>
      </c>
      <c r="II64" s="37">
        <f>SUMIFS(Lançamentos!$F:$F,Lançamentos!$A:$A,II$19,Lançamentos!$C:$C,"Refeições e Confraternizações")</f>
        <v>0</v>
      </c>
      <c r="IJ64" s="37">
        <f>SUMIFS(Lançamentos!$F:$F,Lançamentos!$A:$A,IJ$19,Lançamentos!$C:$C,"Refeições e Confraternizações")</f>
        <v>0</v>
      </c>
      <c r="IK64" s="37">
        <f>SUMIFS(Lançamentos!$F:$F,Lançamentos!$A:$A,IK$19,Lançamentos!$C:$C,"Refeições e Confraternizações")</f>
        <v>0</v>
      </c>
      <c r="IL64" s="37">
        <f>SUMIFS(Lançamentos!$F:$F,Lançamentos!$A:$A,IL$19,Lançamentos!$C:$C,"Refeições e Confraternizações")</f>
        <v>0</v>
      </c>
    </row>
    <row r="65" spans="1:246" x14ac:dyDescent="0.3">
      <c r="A65" t="s">
        <v>103</v>
      </c>
      <c r="B65" s="37">
        <f>SUMIFS(Lançamentos!$F:$F,Lançamentos!$A:$A,B$19,Lançamentos!$C:$C,"Correios e Entregas")</f>
        <v>0</v>
      </c>
      <c r="C65" s="37">
        <f>SUMIFS(Lançamentos!$F:$F,Lançamentos!$A:$A,C$19,Lançamentos!$C:$C,"Correios e Entregas")</f>
        <v>0</v>
      </c>
      <c r="D65" s="37">
        <f>SUMIFS(Lançamentos!$F:$F,Lançamentos!$A:$A,D$19,Lançamentos!$C:$C,"Correios e Entregas")</f>
        <v>0</v>
      </c>
      <c r="E65" s="37">
        <f>SUMIFS(Lançamentos!$F:$F,Lançamentos!$A:$A,E$19,Lançamentos!$C:$C,"Correios e Entregas")</f>
        <v>0</v>
      </c>
      <c r="F65" s="37">
        <f>SUMIFS(Lançamentos!$F:$F,Lançamentos!$A:$A,F$19,Lançamentos!$C:$C,"Correios e Entregas")</f>
        <v>0</v>
      </c>
      <c r="G65" s="37">
        <f>SUMIFS(Lançamentos!$F:$F,Lançamentos!$A:$A,G$19,Lançamentos!$C:$C,"Correios e Entregas")</f>
        <v>0</v>
      </c>
      <c r="H65" s="37">
        <f>SUMIFS(Lançamentos!$F:$F,Lançamentos!$A:$A,H$19,Lançamentos!$C:$C,"Correios e Entregas")</f>
        <v>0</v>
      </c>
      <c r="I65" s="37">
        <f>SUMIFS(Lançamentos!$F:$F,Lançamentos!$A:$A,I$19,Lançamentos!$C:$C,"Correios e Entregas")</f>
        <v>0</v>
      </c>
      <c r="J65" s="37">
        <f>SUMIFS(Lançamentos!$F:$F,Lançamentos!$A:$A,J$19,Lançamentos!$C:$C,"Correios e Entregas")</f>
        <v>0</v>
      </c>
      <c r="K65" s="37">
        <f>SUMIFS(Lançamentos!$F:$F,Lançamentos!$A:$A,K$19,Lançamentos!$C:$C,"Correios e Entregas")</f>
        <v>0</v>
      </c>
      <c r="L65" s="37">
        <f>SUMIFS(Lançamentos!$F:$F,Lançamentos!$A:$A,L$19,Lançamentos!$C:$C,"Correios e Entregas")</f>
        <v>0</v>
      </c>
      <c r="M65" s="37">
        <f>SUMIFS(Lançamentos!$F:$F,Lançamentos!$A:$A,M$19,Lançamentos!$C:$C,"Correios e Entregas")</f>
        <v>0</v>
      </c>
      <c r="N65" s="37">
        <f>SUMIFS(Lançamentos!$F:$F,Lançamentos!$A:$A,N$19,Lançamentos!$C:$C,"Correios e Entregas")</f>
        <v>0</v>
      </c>
      <c r="O65" s="37">
        <f>SUMIFS(Lançamentos!$F:$F,Lançamentos!$A:$A,O$19,Lançamentos!$C:$C,"Correios e Entregas")</f>
        <v>0</v>
      </c>
      <c r="P65" s="37">
        <f>SUMIFS(Lançamentos!$F:$F,Lançamentos!$A:$A,P$19,Lançamentos!$C:$C,"Correios e Entregas")</f>
        <v>0</v>
      </c>
      <c r="Q65" s="37">
        <f>SUMIFS(Lançamentos!$F:$F,Lançamentos!$A:$A,Q$19,Lançamentos!$C:$C,"Correios e Entregas")</f>
        <v>0</v>
      </c>
      <c r="R65" s="37">
        <f>SUMIFS(Lançamentos!$F:$F,Lançamentos!$A:$A,R$19,Lançamentos!$C:$C,"Correios e Entregas")</f>
        <v>0</v>
      </c>
      <c r="S65" s="37">
        <f>SUMIFS(Lançamentos!$F:$F,Lançamentos!$A:$A,S$19,Lançamentos!$C:$C,"Correios e Entregas")</f>
        <v>0</v>
      </c>
      <c r="T65" s="37">
        <f>SUMIFS(Lançamentos!$F:$F,Lançamentos!$A:$A,T$19,Lançamentos!$C:$C,"Correios e Entregas")</f>
        <v>0</v>
      </c>
      <c r="U65" s="37">
        <f>SUMIFS(Lançamentos!$F:$F,Lançamentos!$A:$A,U$19,Lançamentos!$C:$C,"Correios e Entregas")</f>
        <v>0</v>
      </c>
      <c r="V65" s="37">
        <f>SUMIFS(Lançamentos!$F:$F,Lançamentos!$A:$A,V$19,Lançamentos!$C:$C,"Correios e Entregas")</f>
        <v>0</v>
      </c>
      <c r="W65" s="37">
        <f>SUMIFS(Lançamentos!$F:$F,Lançamentos!$A:$A,W$19,Lançamentos!$C:$C,"Correios e Entregas")</f>
        <v>0</v>
      </c>
      <c r="X65" s="37">
        <f>SUMIFS(Lançamentos!$F:$F,Lançamentos!$A:$A,X$19,Lançamentos!$C:$C,"Correios e Entregas")</f>
        <v>0</v>
      </c>
      <c r="Y65" s="37">
        <f>SUMIFS(Lançamentos!$F:$F,Lançamentos!$A:$A,Y$19,Lançamentos!$C:$C,"Correios e Entregas")</f>
        <v>0</v>
      </c>
      <c r="Z65" s="37">
        <f>SUMIFS(Lançamentos!$F:$F,Lançamentos!$A:$A,Z$19,Lançamentos!$C:$C,"Correios e Entregas")</f>
        <v>0</v>
      </c>
      <c r="AA65" s="37">
        <f>SUMIFS(Lançamentos!$F:$F,Lançamentos!$A:$A,AA$19,Lançamentos!$C:$C,"Correios e Entregas")</f>
        <v>0</v>
      </c>
      <c r="AB65" s="37">
        <f>SUMIFS(Lançamentos!$F:$F,Lançamentos!$A:$A,AB$19,Lançamentos!$C:$C,"Correios e Entregas")</f>
        <v>0</v>
      </c>
      <c r="AC65" s="37">
        <f>SUMIFS(Lançamentos!$F:$F,Lançamentos!$A:$A,AC$19,Lançamentos!$C:$C,"Correios e Entregas")</f>
        <v>0</v>
      </c>
      <c r="AD65" s="37">
        <f>SUMIFS(Lançamentos!$F:$F,Lançamentos!$A:$A,AD$19,Lançamentos!$C:$C,"Correios e Entregas")</f>
        <v>0</v>
      </c>
      <c r="AE65" s="37">
        <f>SUMIFS(Lançamentos!$F:$F,Lançamentos!$A:$A,AE$19,Lançamentos!$C:$C,"Correios e Entregas")</f>
        <v>0</v>
      </c>
      <c r="AF65" s="37">
        <f>SUMIFS(Lançamentos!$F:$F,Lançamentos!$A:$A,AF$19,Lançamentos!$C:$C,"Correios e Entregas")</f>
        <v>0</v>
      </c>
      <c r="AG65" s="37">
        <f>SUMIFS(Lançamentos!$F:$F,Lançamentos!$A:$A,AG$19,Lançamentos!$C:$C,"Correios e Entregas")</f>
        <v>0</v>
      </c>
      <c r="AH65" s="37">
        <f>SUMIFS(Lançamentos!$F:$F,Lançamentos!$A:$A,AH$19,Lançamentos!$C:$C,"Correios e Entregas")</f>
        <v>0</v>
      </c>
      <c r="AI65" s="37">
        <f>SUMIFS(Lançamentos!$F:$F,Lançamentos!$A:$A,AI$19,Lançamentos!$C:$C,"Correios e Entregas")</f>
        <v>0</v>
      </c>
      <c r="AJ65" s="37">
        <f>SUMIFS(Lançamentos!$F:$F,Lançamentos!$A:$A,AJ$19,Lançamentos!$C:$C,"Correios e Entregas")</f>
        <v>0</v>
      </c>
      <c r="AK65" s="37">
        <f>SUMIFS(Lançamentos!$F:$F,Lançamentos!$A:$A,AK$19,Lançamentos!$C:$C,"Correios e Entregas")</f>
        <v>0</v>
      </c>
      <c r="AL65" s="37">
        <f>SUMIFS(Lançamentos!$F:$F,Lançamentos!$A:$A,AL$19,Lançamentos!$C:$C,"Correios e Entregas")</f>
        <v>0</v>
      </c>
      <c r="AM65" s="37">
        <f>SUMIFS(Lançamentos!$F:$F,Lançamentos!$A:$A,AM$19,Lançamentos!$C:$C,"Correios e Entregas")</f>
        <v>0</v>
      </c>
      <c r="AN65" s="37">
        <f>SUMIFS(Lançamentos!$F:$F,Lançamentos!$A:$A,AN$19,Lançamentos!$C:$C,"Correios e Entregas")</f>
        <v>0</v>
      </c>
      <c r="AO65" s="37">
        <f>SUMIFS(Lançamentos!$F:$F,Lançamentos!$A:$A,AO$19,Lançamentos!$C:$C,"Correios e Entregas")</f>
        <v>0</v>
      </c>
      <c r="AP65" s="37">
        <f>SUMIFS(Lançamentos!$F:$F,Lançamentos!$A:$A,AP$19,Lançamentos!$C:$C,"Correios e Entregas")</f>
        <v>0</v>
      </c>
      <c r="AQ65" s="37">
        <f>SUMIFS(Lançamentos!$F:$F,Lançamentos!$A:$A,AQ$19,Lançamentos!$C:$C,"Correios e Entregas")</f>
        <v>0</v>
      </c>
      <c r="AR65" s="37">
        <f>SUMIFS(Lançamentos!$F:$F,Lançamentos!$A:$A,AR$19,Lançamentos!$C:$C,"Correios e Entregas")</f>
        <v>0</v>
      </c>
      <c r="AS65" s="37">
        <f>SUMIFS(Lançamentos!$F:$F,Lançamentos!$A:$A,AS$19,Lançamentos!$C:$C,"Correios e Entregas")</f>
        <v>0</v>
      </c>
      <c r="AT65" s="37">
        <f>SUMIFS(Lançamentos!$F:$F,Lançamentos!$A:$A,AT$19,Lançamentos!$C:$C,"Correios e Entregas")</f>
        <v>0</v>
      </c>
      <c r="AU65" s="37">
        <f>SUMIFS(Lançamentos!$F:$F,Lançamentos!$A:$A,AU$19,Lançamentos!$C:$C,"Correios e Entregas")</f>
        <v>0</v>
      </c>
      <c r="AV65" s="37">
        <f>SUMIFS(Lançamentos!$F:$F,Lançamentos!$A:$A,AV$19,Lançamentos!$C:$C,"Correios e Entregas")</f>
        <v>0</v>
      </c>
      <c r="AW65" s="37">
        <f>SUMIFS(Lançamentos!$F:$F,Lançamentos!$A:$A,AW$19,Lançamentos!$C:$C,"Correios e Entregas")</f>
        <v>0</v>
      </c>
      <c r="AX65" s="37">
        <f>SUMIFS(Lançamentos!$F:$F,Lançamentos!$A:$A,AX$19,Lançamentos!$C:$C,"Correios e Entregas")</f>
        <v>0</v>
      </c>
      <c r="AY65" s="37">
        <f>SUMIFS(Lançamentos!$F:$F,Lançamentos!$A:$A,AY$19,Lançamentos!$C:$C,"Correios e Entregas")</f>
        <v>0</v>
      </c>
      <c r="AZ65" s="37">
        <f>SUMIFS(Lançamentos!$F:$F,Lançamentos!$A:$A,AZ$19,Lançamentos!$C:$C,"Correios e Entregas")</f>
        <v>0</v>
      </c>
      <c r="BA65" s="37">
        <f>SUMIFS(Lançamentos!$F:$F,Lançamentos!$A:$A,BA$19,Lançamentos!$C:$C,"Correios e Entregas")</f>
        <v>0</v>
      </c>
      <c r="BB65" s="37">
        <f>SUMIFS(Lançamentos!$F:$F,Lançamentos!$A:$A,BB$19,Lançamentos!$C:$C,"Correios e Entregas")</f>
        <v>0</v>
      </c>
      <c r="BC65" s="37">
        <f>SUMIFS(Lançamentos!$F:$F,Lançamentos!$A:$A,BC$19,Lançamentos!$C:$C,"Correios e Entregas")</f>
        <v>0</v>
      </c>
      <c r="BD65" s="37">
        <f>SUMIFS(Lançamentos!$F:$F,Lançamentos!$A:$A,BD$19,Lançamentos!$C:$C,"Correios e Entregas")</f>
        <v>0</v>
      </c>
      <c r="BE65" s="37">
        <f>SUMIFS(Lançamentos!$F:$F,Lançamentos!$A:$A,BE$19,Lançamentos!$C:$C,"Correios e Entregas")</f>
        <v>0</v>
      </c>
      <c r="BF65" s="37">
        <f>SUMIFS(Lançamentos!$F:$F,Lançamentos!$A:$A,BF$19,Lançamentos!$C:$C,"Correios e Entregas")</f>
        <v>0</v>
      </c>
      <c r="BG65" s="37">
        <f>SUMIFS(Lançamentos!$F:$F,Lançamentos!$A:$A,BG$19,Lançamentos!$C:$C,"Correios e Entregas")</f>
        <v>0</v>
      </c>
      <c r="BH65" s="37">
        <f>SUMIFS(Lançamentos!$F:$F,Lançamentos!$A:$A,BH$19,Lançamentos!$C:$C,"Correios e Entregas")</f>
        <v>0</v>
      </c>
      <c r="BI65" s="37">
        <f>SUMIFS(Lançamentos!$F:$F,Lançamentos!$A:$A,BI$19,Lançamentos!$C:$C,"Correios e Entregas")</f>
        <v>0</v>
      </c>
      <c r="BJ65" s="37">
        <f>SUMIFS(Lançamentos!$F:$F,Lançamentos!$A:$A,BJ$19,Lançamentos!$C:$C,"Correios e Entregas")</f>
        <v>0</v>
      </c>
      <c r="BK65" s="37">
        <f>SUMIFS(Lançamentos!$F:$F,Lançamentos!$A:$A,BK$19,Lançamentos!$C:$C,"Correios e Entregas")</f>
        <v>0</v>
      </c>
      <c r="BL65" s="37">
        <f>SUMIFS(Lançamentos!$F:$F,Lançamentos!$A:$A,BL$19,Lançamentos!$C:$C,"Correios e Entregas")</f>
        <v>0</v>
      </c>
      <c r="BM65" s="37">
        <f>SUMIFS(Lançamentos!$F:$F,Lançamentos!$A:$A,BM$19,Lançamentos!$C:$C,"Correios e Entregas")</f>
        <v>0</v>
      </c>
      <c r="BN65" s="37">
        <f>SUMIFS(Lançamentos!$F:$F,Lançamentos!$A:$A,BN$19,Lançamentos!$C:$C,"Correios e Entregas")</f>
        <v>0</v>
      </c>
      <c r="BO65" s="37">
        <f>SUMIFS(Lançamentos!$F:$F,Lançamentos!$A:$A,BO$19,Lançamentos!$C:$C,"Correios e Entregas")</f>
        <v>0</v>
      </c>
      <c r="BP65" s="37">
        <f>SUMIFS(Lançamentos!$F:$F,Lançamentos!$A:$A,BP$19,Lançamentos!$C:$C,"Correios e Entregas")</f>
        <v>0</v>
      </c>
      <c r="BQ65" s="37">
        <f>SUMIFS(Lançamentos!$F:$F,Lançamentos!$A:$A,BQ$19,Lançamentos!$C:$C,"Correios e Entregas")</f>
        <v>0</v>
      </c>
      <c r="BR65" s="37">
        <f>SUMIFS(Lançamentos!$F:$F,Lançamentos!$A:$A,BR$19,Lançamentos!$C:$C,"Correios e Entregas")</f>
        <v>0</v>
      </c>
      <c r="BS65" s="37">
        <f>SUMIFS(Lançamentos!$F:$F,Lançamentos!$A:$A,BS$19,Lançamentos!$C:$C,"Correios e Entregas")</f>
        <v>0</v>
      </c>
      <c r="BT65" s="37">
        <f>SUMIFS(Lançamentos!$F:$F,Lançamentos!$A:$A,BT$19,Lançamentos!$C:$C,"Correios e Entregas")</f>
        <v>0</v>
      </c>
      <c r="BU65" s="37">
        <f>SUMIFS(Lançamentos!$F:$F,Lançamentos!$A:$A,BU$19,Lançamentos!$C:$C,"Correios e Entregas")</f>
        <v>0</v>
      </c>
      <c r="BV65" s="37">
        <f>SUMIFS(Lançamentos!$F:$F,Lançamentos!$A:$A,BV$19,Lançamentos!$C:$C,"Correios e Entregas")</f>
        <v>0</v>
      </c>
      <c r="BW65" s="37">
        <f>SUMIFS(Lançamentos!$F:$F,Lançamentos!$A:$A,BW$19,Lançamentos!$C:$C,"Correios e Entregas")</f>
        <v>0</v>
      </c>
      <c r="BX65" s="37">
        <f>SUMIFS(Lançamentos!$F:$F,Lançamentos!$A:$A,BX$19,Lançamentos!$C:$C,"Correios e Entregas")</f>
        <v>0</v>
      </c>
      <c r="BY65" s="37">
        <f>SUMIFS(Lançamentos!$F:$F,Lançamentos!$A:$A,BY$19,Lançamentos!$C:$C,"Correios e Entregas")</f>
        <v>0</v>
      </c>
      <c r="BZ65" s="37">
        <f>SUMIFS(Lançamentos!$F:$F,Lançamentos!$A:$A,BZ$19,Lançamentos!$C:$C,"Correios e Entregas")</f>
        <v>0</v>
      </c>
      <c r="CA65" s="37">
        <f>SUMIFS(Lançamentos!$F:$F,Lançamentos!$A:$A,CA$19,Lançamentos!$C:$C,"Correios e Entregas")</f>
        <v>0</v>
      </c>
      <c r="CB65" s="37">
        <f>SUMIFS(Lançamentos!$F:$F,Lançamentos!$A:$A,CB$19,Lançamentos!$C:$C,"Correios e Entregas")</f>
        <v>0</v>
      </c>
      <c r="CC65" s="37">
        <f>SUMIFS(Lançamentos!$F:$F,Lançamentos!$A:$A,CC$19,Lançamentos!$C:$C,"Correios e Entregas")</f>
        <v>0</v>
      </c>
      <c r="CD65" s="37">
        <f>SUMIFS(Lançamentos!$F:$F,Lançamentos!$A:$A,CD$19,Lançamentos!$C:$C,"Correios e Entregas")</f>
        <v>0</v>
      </c>
      <c r="CE65" s="37">
        <f>SUMIFS(Lançamentos!$F:$F,Lançamentos!$A:$A,CE$19,Lançamentos!$C:$C,"Correios e Entregas")</f>
        <v>0</v>
      </c>
      <c r="CF65" s="37">
        <f>SUMIFS(Lançamentos!$F:$F,Lançamentos!$A:$A,CF$19,Lançamentos!$C:$C,"Correios e Entregas")</f>
        <v>0</v>
      </c>
      <c r="CG65" s="37">
        <f>SUMIFS(Lançamentos!$F:$F,Lançamentos!$A:$A,CG$19,Lançamentos!$C:$C,"Correios e Entregas")</f>
        <v>0</v>
      </c>
      <c r="CH65" s="37">
        <f>SUMIFS(Lançamentos!$F:$F,Lançamentos!$A:$A,CH$19,Lançamentos!$C:$C,"Correios e Entregas")</f>
        <v>0</v>
      </c>
      <c r="CI65" s="37">
        <f>SUMIFS(Lançamentos!$F:$F,Lançamentos!$A:$A,CI$19,Lançamentos!$C:$C,"Correios e Entregas")</f>
        <v>0</v>
      </c>
      <c r="CJ65" s="37">
        <f>SUMIFS(Lançamentos!$F:$F,Lançamentos!$A:$A,CJ$19,Lançamentos!$C:$C,"Correios e Entregas")</f>
        <v>0</v>
      </c>
      <c r="CK65" s="37">
        <f>SUMIFS(Lançamentos!$F:$F,Lançamentos!$A:$A,CK$19,Lançamentos!$C:$C,"Correios e Entregas")</f>
        <v>0</v>
      </c>
      <c r="CL65" s="37">
        <f>SUMIFS(Lançamentos!$F:$F,Lançamentos!$A:$A,CL$19,Lançamentos!$C:$C,"Correios e Entregas")</f>
        <v>0</v>
      </c>
      <c r="CM65" s="37">
        <f>SUMIFS(Lançamentos!$F:$F,Lançamentos!$A:$A,CM$19,Lançamentos!$C:$C,"Correios e Entregas")</f>
        <v>0</v>
      </c>
      <c r="CN65" s="37">
        <f>SUMIFS(Lançamentos!$F:$F,Lançamentos!$A:$A,CN$19,Lançamentos!$C:$C,"Correios e Entregas")</f>
        <v>0</v>
      </c>
      <c r="CO65" s="37">
        <f>SUMIFS(Lançamentos!$F:$F,Lançamentos!$A:$A,CO$19,Lançamentos!$C:$C,"Correios e Entregas")</f>
        <v>0</v>
      </c>
      <c r="CP65" s="37">
        <f>SUMIFS(Lançamentos!$F:$F,Lançamentos!$A:$A,CP$19,Lançamentos!$C:$C,"Correios e Entregas")</f>
        <v>0</v>
      </c>
      <c r="CQ65" s="37">
        <f>SUMIFS(Lançamentos!$F:$F,Lançamentos!$A:$A,CQ$19,Lançamentos!$C:$C,"Correios e Entregas")</f>
        <v>0</v>
      </c>
      <c r="CR65" s="37">
        <f>SUMIFS(Lançamentos!$F:$F,Lançamentos!$A:$A,CR$19,Lançamentos!$C:$C,"Correios e Entregas")</f>
        <v>0</v>
      </c>
      <c r="CS65" s="37">
        <f>SUMIFS(Lançamentos!$F:$F,Lançamentos!$A:$A,CS$19,Lançamentos!$C:$C,"Correios e Entregas")</f>
        <v>0</v>
      </c>
      <c r="CT65" s="37">
        <f>SUMIFS(Lançamentos!$F:$F,Lançamentos!$A:$A,CT$19,Lançamentos!$C:$C,"Correios e Entregas")</f>
        <v>0</v>
      </c>
      <c r="CU65" s="37">
        <f>SUMIFS(Lançamentos!$F:$F,Lançamentos!$A:$A,CU$19,Lançamentos!$C:$C,"Correios e Entregas")</f>
        <v>0</v>
      </c>
      <c r="CV65" s="37">
        <f>SUMIFS(Lançamentos!$F:$F,Lançamentos!$A:$A,CV$19,Lançamentos!$C:$C,"Correios e Entregas")</f>
        <v>0</v>
      </c>
      <c r="CW65" s="37">
        <f>SUMIFS(Lançamentos!$F:$F,Lançamentos!$A:$A,CW$19,Lançamentos!$C:$C,"Correios e Entregas")</f>
        <v>0</v>
      </c>
      <c r="CX65" s="37">
        <f>SUMIFS(Lançamentos!$F:$F,Lançamentos!$A:$A,CX$19,Lançamentos!$C:$C,"Correios e Entregas")</f>
        <v>0</v>
      </c>
      <c r="CY65" s="37">
        <f>SUMIFS(Lançamentos!$F:$F,Lançamentos!$A:$A,CY$19,Lançamentos!$C:$C,"Correios e Entregas")</f>
        <v>0</v>
      </c>
      <c r="CZ65" s="37">
        <f>SUMIFS(Lançamentos!$F:$F,Lançamentos!$A:$A,CZ$19,Lançamentos!$C:$C,"Correios e Entregas")</f>
        <v>0</v>
      </c>
      <c r="DA65" s="37">
        <f>SUMIFS(Lançamentos!$F:$F,Lançamentos!$A:$A,DA$19,Lançamentos!$C:$C,"Correios e Entregas")</f>
        <v>0</v>
      </c>
      <c r="DB65" s="37">
        <f>SUMIFS(Lançamentos!$F:$F,Lançamentos!$A:$A,DB$19,Lançamentos!$C:$C,"Correios e Entregas")</f>
        <v>0</v>
      </c>
      <c r="DC65" s="37">
        <f>SUMIFS(Lançamentos!$F:$F,Lançamentos!$A:$A,DC$19,Lançamentos!$C:$C,"Correios e Entregas")</f>
        <v>0</v>
      </c>
      <c r="DD65" s="37">
        <f>SUMIFS(Lançamentos!$F:$F,Lançamentos!$A:$A,DD$19,Lançamentos!$C:$C,"Correios e Entregas")</f>
        <v>0</v>
      </c>
      <c r="DE65" s="37">
        <f>SUMIFS(Lançamentos!$F:$F,Lançamentos!$A:$A,DE$19,Lançamentos!$C:$C,"Correios e Entregas")</f>
        <v>0</v>
      </c>
      <c r="DF65" s="37">
        <f>SUMIFS(Lançamentos!$F:$F,Lançamentos!$A:$A,DF$19,Lançamentos!$C:$C,"Correios e Entregas")</f>
        <v>0</v>
      </c>
      <c r="DG65" s="37">
        <f>SUMIFS(Lançamentos!$F:$F,Lançamentos!$A:$A,DG$19,Lançamentos!$C:$C,"Correios e Entregas")</f>
        <v>0</v>
      </c>
      <c r="DH65" s="37">
        <f>SUMIFS(Lançamentos!$F:$F,Lançamentos!$A:$A,DH$19,Lançamentos!$C:$C,"Correios e Entregas")</f>
        <v>0</v>
      </c>
      <c r="DI65" s="37">
        <f>SUMIFS(Lançamentos!$F:$F,Lançamentos!$A:$A,DI$19,Lançamentos!$C:$C,"Correios e Entregas")</f>
        <v>0</v>
      </c>
      <c r="DJ65" s="37">
        <f>SUMIFS(Lançamentos!$F:$F,Lançamentos!$A:$A,DJ$19,Lançamentos!$C:$C,"Correios e Entregas")</f>
        <v>0</v>
      </c>
      <c r="DK65" s="37">
        <f>SUMIFS(Lançamentos!$F:$F,Lançamentos!$A:$A,DK$19,Lançamentos!$C:$C,"Correios e Entregas")</f>
        <v>0</v>
      </c>
      <c r="DL65" s="37">
        <f>SUMIFS(Lançamentos!$F:$F,Lançamentos!$A:$A,DL$19,Lançamentos!$C:$C,"Correios e Entregas")</f>
        <v>0</v>
      </c>
      <c r="DM65" s="37">
        <f>SUMIFS(Lançamentos!$F:$F,Lançamentos!$A:$A,DM$19,Lançamentos!$C:$C,"Correios e Entregas")</f>
        <v>0</v>
      </c>
      <c r="DN65" s="37">
        <f>SUMIFS(Lançamentos!$F:$F,Lançamentos!$A:$A,DN$19,Lançamentos!$C:$C,"Correios e Entregas")</f>
        <v>0</v>
      </c>
      <c r="DO65" s="37">
        <f>SUMIFS(Lançamentos!$F:$F,Lançamentos!$A:$A,DO$19,Lançamentos!$C:$C,"Correios e Entregas")</f>
        <v>0</v>
      </c>
      <c r="DP65" s="37">
        <f>SUMIFS(Lançamentos!$F:$F,Lançamentos!$A:$A,DP$19,Lançamentos!$C:$C,"Correios e Entregas")</f>
        <v>0</v>
      </c>
      <c r="DQ65" s="37">
        <f>SUMIFS(Lançamentos!$F:$F,Lançamentos!$A:$A,DQ$19,Lançamentos!$C:$C,"Correios e Entregas")</f>
        <v>0</v>
      </c>
      <c r="DR65" s="37">
        <f>SUMIFS(Lançamentos!$F:$F,Lançamentos!$A:$A,DR$19,Lançamentos!$C:$C,"Correios e Entregas")</f>
        <v>0</v>
      </c>
      <c r="DS65" s="37">
        <f>SUMIFS(Lançamentos!$F:$F,Lançamentos!$A:$A,DS$19,Lançamentos!$C:$C,"Correios e Entregas")</f>
        <v>0</v>
      </c>
      <c r="DT65" s="37">
        <f>SUMIFS(Lançamentos!$F:$F,Lançamentos!$A:$A,DT$19,Lançamentos!$C:$C,"Correios e Entregas")</f>
        <v>0</v>
      </c>
      <c r="DU65" s="37">
        <f>SUMIFS(Lançamentos!$F:$F,Lançamentos!$A:$A,DU$19,Lançamentos!$C:$C,"Correios e Entregas")</f>
        <v>0</v>
      </c>
      <c r="DV65" s="37">
        <f>SUMIFS(Lançamentos!$F:$F,Lançamentos!$A:$A,DV$19,Lançamentos!$C:$C,"Correios e Entregas")</f>
        <v>0</v>
      </c>
      <c r="DW65" s="37">
        <f>SUMIFS(Lançamentos!$F:$F,Lançamentos!$A:$A,DW$19,Lançamentos!$C:$C,"Correios e Entregas")</f>
        <v>0</v>
      </c>
      <c r="DX65" s="37">
        <f>SUMIFS(Lançamentos!$F:$F,Lançamentos!$A:$A,DX$19,Lançamentos!$C:$C,"Correios e Entregas")</f>
        <v>0</v>
      </c>
      <c r="DY65" s="37">
        <f>SUMIFS(Lançamentos!$F:$F,Lançamentos!$A:$A,DY$19,Lançamentos!$C:$C,"Correios e Entregas")</f>
        <v>0</v>
      </c>
      <c r="DZ65" s="37">
        <f>SUMIFS(Lançamentos!$F:$F,Lançamentos!$A:$A,DZ$19,Lançamentos!$C:$C,"Correios e Entregas")</f>
        <v>0</v>
      </c>
      <c r="EA65" s="37">
        <f>SUMIFS(Lançamentos!$F:$F,Lançamentos!$A:$A,EA$19,Lançamentos!$C:$C,"Correios e Entregas")</f>
        <v>0</v>
      </c>
      <c r="EB65" s="37">
        <f>SUMIFS(Lançamentos!$F:$F,Lançamentos!$A:$A,EB$19,Lançamentos!$C:$C,"Correios e Entregas")</f>
        <v>0</v>
      </c>
      <c r="EC65" s="37">
        <f>SUMIFS(Lançamentos!$F:$F,Lançamentos!$A:$A,EC$19,Lançamentos!$C:$C,"Correios e Entregas")</f>
        <v>0</v>
      </c>
      <c r="ED65" s="37">
        <f>SUMIFS(Lançamentos!$F:$F,Lançamentos!$A:$A,ED$19,Lançamentos!$C:$C,"Correios e Entregas")</f>
        <v>0</v>
      </c>
      <c r="EE65" s="37">
        <f>SUMIFS(Lançamentos!$F:$F,Lançamentos!$A:$A,EE$19,Lançamentos!$C:$C,"Correios e Entregas")</f>
        <v>0</v>
      </c>
      <c r="EF65" s="37">
        <f>SUMIFS(Lançamentos!$F:$F,Lançamentos!$A:$A,EF$19,Lançamentos!$C:$C,"Correios e Entregas")</f>
        <v>0</v>
      </c>
      <c r="EG65" s="37">
        <f>SUMIFS(Lançamentos!$F:$F,Lançamentos!$A:$A,EG$19,Lançamentos!$C:$C,"Correios e Entregas")</f>
        <v>0</v>
      </c>
      <c r="EH65" s="37">
        <f>SUMIFS(Lançamentos!$F:$F,Lançamentos!$A:$A,EH$19,Lançamentos!$C:$C,"Correios e Entregas")</f>
        <v>0</v>
      </c>
      <c r="EI65" s="37">
        <f>SUMIFS(Lançamentos!$F:$F,Lançamentos!$A:$A,EI$19,Lançamentos!$C:$C,"Correios e Entregas")</f>
        <v>0</v>
      </c>
      <c r="EJ65" s="37">
        <f>SUMIFS(Lançamentos!$F:$F,Lançamentos!$A:$A,EJ$19,Lançamentos!$C:$C,"Correios e Entregas")</f>
        <v>0</v>
      </c>
      <c r="EK65" s="37">
        <f>SUMIFS(Lançamentos!$F:$F,Lançamentos!$A:$A,EK$19,Lançamentos!$C:$C,"Correios e Entregas")</f>
        <v>0</v>
      </c>
      <c r="EL65" s="37">
        <f>SUMIFS(Lançamentos!$F:$F,Lançamentos!$A:$A,EL$19,Lançamentos!$C:$C,"Correios e Entregas")</f>
        <v>0</v>
      </c>
      <c r="EM65" s="37">
        <f>SUMIFS(Lançamentos!$F:$F,Lançamentos!$A:$A,EM$19,Lançamentos!$C:$C,"Correios e Entregas")</f>
        <v>0</v>
      </c>
      <c r="EN65" s="37">
        <f>SUMIFS(Lançamentos!$F:$F,Lançamentos!$A:$A,EN$19,Lançamentos!$C:$C,"Correios e Entregas")</f>
        <v>0</v>
      </c>
      <c r="EO65" s="37">
        <f>SUMIFS(Lançamentos!$F:$F,Lançamentos!$A:$A,EO$19,Lançamentos!$C:$C,"Correios e Entregas")</f>
        <v>0</v>
      </c>
      <c r="EP65" s="37">
        <f>SUMIFS(Lançamentos!$F:$F,Lançamentos!$A:$A,EP$19,Lançamentos!$C:$C,"Correios e Entregas")</f>
        <v>0</v>
      </c>
      <c r="EQ65" s="37">
        <f>SUMIFS(Lançamentos!$F:$F,Lançamentos!$A:$A,EQ$19,Lançamentos!$C:$C,"Correios e Entregas")</f>
        <v>0</v>
      </c>
      <c r="ER65" s="37">
        <f>SUMIFS(Lançamentos!$F:$F,Lançamentos!$A:$A,ER$19,Lançamentos!$C:$C,"Correios e Entregas")</f>
        <v>0</v>
      </c>
      <c r="ES65" s="37">
        <f>SUMIFS(Lançamentos!$F:$F,Lançamentos!$A:$A,ES$19,Lançamentos!$C:$C,"Correios e Entregas")</f>
        <v>0</v>
      </c>
      <c r="ET65" s="37">
        <f>SUMIFS(Lançamentos!$F:$F,Lançamentos!$A:$A,ET$19,Lançamentos!$C:$C,"Correios e Entregas")</f>
        <v>0</v>
      </c>
      <c r="EU65" s="37">
        <f>SUMIFS(Lançamentos!$F:$F,Lançamentos!$A:$A,EU$19,Lançamentos!$C:$C,"Correios e Entregas")</f>
        <v>0</v>
      </c>
      <c r="EV65" s="37">
        <f>SUMIFS(Lançamentos!$F:$F,Lançamentos!$A:$A,EV$19,Lançamentos!$C:$C,"Correios e Entregas")</f>
        <v>0</v>
      </c>
      <c r="EW65" s="37">
        <f>SUMIFS(Lançamentos!$F:$F,Lançamentos!$A:$A,EW$19,Lançamentos!$C:$C,"Correios e Entregas")</f>
        <v>0</v>
      </c>
      <c r="EX65" s="37">
        <f>SUMIFS(Lançamentos!$F:$F,Lançamentos!$A:$A,EX$19,Lançamentos!$C:$C,"Correios e Entregas")</f>
        <v>0</v>
      </c>
      <c r="EY65" s="37">
        <f>SUMIFS(Lançamentos!$F:$F,Lançamentos!$A:$A,EY$19,Lançamentos!$C:$C,"Correios e Entregas")</f>
        <v>0</v>
      </c>
      <c r="EZ65" s="37">
        <f>SUMIFS(Lançamentos!$F:$F,Lançamentos!$A:$A,EZ$19,Lançamentos!$C:$C,"Correios e Entregas")</f>
        <v>0</v>
      </c>
      <c r="FA65" s="37">
        <f>SUMIFS(Lançamentos!$F:$F,Lançamentos!$A:$A,FA$19,Lançamentos!$C:$C,"Correios e Entregas")</f>
        <v>0</v>
      </c>
      <c r="FB65" s="37">
        <f>SUMIFS(Lançamentos!$F:$F,Lançamentos!$A:$A,FB$19,Lançamentos!$C:$C,"Correios e Entregas")</f>
        <v>0</v>
      </c>
      <c r="FC65" s="37">
        <f>SUMIFS(Lançamentos!$F:$F,Lançamentos!$A:$A,FC$19,Lançamentos!$C:$C,"Correios e Entregas")</f>
        <v>0</v>
      </c>
      <c r="FD65" s="37">
        <f>SUMIFS(Lançamentos!$F:$F,Lançamentos!$A:$A,FD$19,Lançamentos!$C:$C,"Correios e Entregas")</f>
        <v>0</v>
      </c>
      <c r="FE65" s="37">
        <f>SUMIFS(Lançamentos!$F:$F,Lançamentos!$A:$A,FE$19,Lançamentos!$C:$C,"Correios e Entregas")</f>
        <v>0</v>
      </c>
      <c r="FF65" s="37">
        <f>SUMIFS(Lançamentos!$F:$F,Lançamentos!$A:$A,FF$19,Lançamentos!$C:$C,"Correios e Entregas")</f>
        <v>0</v>
      </c>
      <c r="FG65" s="37">
        <f>SUMIFS(Lançamentos!$F:$F,Lançamentos!$A:$A,FG$19,Lançamentos!$C:$C,"Correios e Entregas")</f>
        <v>0</v>
      </c>
      <c r="FH65" s="37">
        <f>SUMIFS(Lançamentos!$F:$F,Lançamentos!$A:$A,FH$19,Lançamentos!$C:$C,"Correios e Entregas")</f>
        <v>0</v>
      </c>
      <c r="FI65" s="37">
        <f>SUMIFS(Lançamentos!$F:$F,Lançamentos!$A:$A,FI$19,Lançamentos!$C:$C,"Correios e Entregas")</f>
        <v>0</v>
      </c>
      <c r="FJ65" s="37">
        <f>SUMIFS(Lançamentos!$F:$F,Lançamentos!$A:$A,FJ$19,Lançamentos!$C:$C,"Correios e Entregas")</f>
        <v>0</v>
      </c>
      <c r="FK65" s="37">
        <f>SUMIFS(Lançamentos!$F:$F,Lançamentos!$A:$A,FK$19,Lançamentos!$C:$C,"Correios e Entregas")</f>
        <v>0</v>
      </c>
      <c r="FL65" s="37">
        <f>SUMIFS(Lançamentos!$F:$F,Lançamentos!$A:$A,FL$19,Lançamentos!$C:$C,"Correios e Entregas")</f>
        <v>0</v>
      </c>
      <c r="FM65" s="37">
        <f>SUMIFS(Lançamentos!$F:$F,Lançamentos!$A:$A,FM$19,Lançamentos!$C:$C,"Correios e Entregas")</f>
        <v>0</v>
      </c>
      <c r="FN65" s="37">
        <f>SUMIFS(Lançamentos!$F:$F,Lançamentos!$A:$A,FN$19,Lançamentos!$C:$C,"Correios e Entregas")</f>
        <v>0</v>
      </c>
      <c r="FO65" s="37">
        <f>SUMIFS(Lançamentos!$F:$F,Lançamentos!$A:$A,FO$19,Lançamentos!$C:$C,"Correios e Entregas")</f>
        <v>0</v>
      </c>
      <c r="FP65" s="37">
        <f>SUMIFS(Lançamentos!$F:$F,Lançamentos!$A:$A,FP$19,Lançamentos!$C:$C,"Correios e Entregas")</f>
        <v>0</v>
      </c>
      <c r="FQ65" s="37">
        <f>SUMIFS(Lançamentos!$F:$F,Lançamentos!$A:$A,FQ$19,Lançamentos!$C:$C,"Correios e Entregas")</f>
        <v>0</v>
      </c>
      <c r="FR65" s="37">
        <f>SUMIFS(Lançamentos!$F:$F,Lançamentos!$A:$A,FR$19,Lançamentos!$C:$C,"Correios e Entregas")</f>
        <v>0</v>
      </c>
      <c r="FS65" s="37">
        <f>SUMIFS(Lançamentos!$F:$F,Lançamentos!$A:$A,FS$19,Lançamentos!$C:$C,"Correios e Entregas")</f>
        <v>0</v>
      </c>
      <c r="FT65" s="37">
        <f>SUMIFS(Lançamentos!$F:$F,Lançamentos!$A:$A,FT$19,Lançamentos!$C:$C,"Correios e Entregas")</f>
        <v>0</v>
      </c>
      <c r="FU65" s="37">
        <f>SUMIFS(Lançamentos!$F:$F,Lançamentos!$A:$A,FU$19,Lançamentos!$C:$C,"Correios e Entregas")</f>
        <v>0</v>
      </c>
      <c r="FV65" s="37">
        <f>SUMIFS(Lançamentos!$F:$F,Lançamentos!$A:$A,FV$19,Lançamentos!$C:$C,"Correios e Entregas")</f>
        <v>0</v>
      </c>
      <c r="FW65" s="37">
        <f>SUMIFS(Lançamentos!$F:$F,Lançamentos!$A:$A,FW$19,Lançamentos!$C:$C,"Correios e Entregas")</f>
        <v>0</v>
      </c>
      <c r="FX65" s="37">
        <f>SUMIFS(Lançamentos!$F:$F,Lançamentos!$A:$A,FX$19,Lançamentos!$C:$C,"Correios e Entregas")</f>
        <v>0</v>
      </c>
      <c r="FY65" s="37">
        <f>SUMIFS(Lançamentos!$F:$F,Lançamentos!$A:$A,FY$19,Lançamentos!$C:$C,"Correios e Entregas")</f>
        <v>0</v>
      </c>
      <c r="FZ65" s="37">
        <f>SUMIFS(Lançamentos!$F:$F,Lançamentos!$A:$A,FZ$19,Lançamentos!$C:$C,"Correios e Entregas")</f>
        <v>0</v>
      </c>
      <c r="GA65" s="37">
        <f>SUMIFS(Lançamentos!$F:$F,Lançamentos!$A:$A,GA$19,Lançamentos!$C:$C,"Correios e Entregas")</f>
        <v>0</v>
      </c>
      <c r="GB65" s="37">
        <f>SUMIFS(Lançamentos!$F:$F,Lançamentos!$A:$A,GB$19,Lançamentos!$C:$C,"Correios e Entregas")</f>
        <v>0</v>
      </c>
      <c r="GC65" s="37">
        <f>SUMIFS(Lançamentos!$F:$F,Lançamentos!$A:$A,GC$19,Lançamentos!$C:$C,"Correios e Entregas")</f>
        <v>0</v>
      </c>
      <c r="GD65" s="37">
        <f>SUMIFS(Lançamentos!$F:$F,Lançamentos!$A:$A,GD$19,Lançamentos!$C:$C,"Correios e Entregas")</f>
        <v>0</v>
      </c>
      <c r="GE65" s="37">
        <f>SUMIFS(Lançamentos!$F:$F,Lançamentos!$A:$A,GE$19,Lançamentos!$C:$C,"Correios e Entregas")</f>
        <v>0</v>
      </c>
      <c r="GF65" s="37">
        <f>SUMIFS(Lançamentos!$F:$F,Lançamentos!$A:$A,GF$19,Lançamentos!$C:$C,"Correios e Entregas")</f>
        <v>0</v>
      </c>
      <c r="GG65" s="37">
        <f>SUMIFS(Lançamentos!$F:$F,Lançamentos!$A:$A,GG$19,Lançamentos!$C:$C,"Correios e Entregas")</f>
        <v>0</v>
      </c>
      <c r="GH65" s="37">
        <f>SUMIFS(Lançamentos!$F:$F,Lançamentos!$A:$A,GH$19,Lançamentos!$C:$C,"Correios e Entregas")</f>
        <v>0</v>
      </c>
      <c r="GI65" s="37">
        <f>SUMIFS(Lançamentos!$F:$F,Lançamentos!$A:$A,GI$19,Lançamentos!$C:$C,"Correios e Entregas")</f>
        <v>0</v>
      </c>
      <c r="GJ65" s="37">
        <f>SUMIFS(Lançamentos!$F:$F,Lançamentos!$A:$A,GJ$19,Lançamentos!$C:$C,"Correios e Entregas")</f>
        <v>0</v>
      </c>
      <c r="GK65" s="37">
        <f>SUMIFS(Lançamentos!$F:$F,Lançamentos!$A:$A,GK$19,Lançamentos!$C:$C,"Correios e Entregas")</f>
        <v>0</v>
      </c>
      <c r="GL65" s="37">
        <f>SUMIFS(Lançamentos!$F:$F,Lançamentos!$A:$A,GL$19,Lançamentos!$C:$C,"Correios e Entregas")</f>
        <v>0</v>
      </c>
      <c r="GM65" s="37">
        <f>SUMIFS(Lançamentos!$F:$F,Lançamentos!$A:$A,GM$19,Lançamentos!$C:$C,"Correios e Entregas")</f>
        <v>0</v>
      </c>
      <c r="GN65" s="37">
        <f>SUMIFS(Lançamentos!$F:$F,Lançamentos!$A:$A,GN$19,Lançamentos!$C:$C,"Correios e Entregas")</f>
        <v>0</v>
      </c>
      <c r="GO65" s="37">
        <f>SUMIFS(Lançamentos!$F:$F,Lançamentos!$A:$A,GO$19,Lançamentos!$C:$C,"Correios e Entregas")</f>
        <v>0</v>
      </c>
      <c r="GP65" s="37">
        <f>SUMIFS(Lançamentos!$F:$F,Lançamentos!$A:$A,GP$19,Lançamentos!$C:$C,"Correios e Entregas")</f>
        <v>0</v>
      </c>
      <c r="GQ65" s="37">
        <f>SUMIFS(Lançamentos!$F:$F,Lançamentos!$A:$A,GQ$19,Lançamentos!$C:$C,"Correios e Entregas")</f>
        <v>0</v>
      </c>
      <c r="GR65" s="37">
        <f>SUMIFS(Lançamentos!$F:$F,Lançamentos!$A:$A,GR$19,Lançamentos!$C:$C,"Correios e Entregas")</f>
        <v>0</v>
      </c>
      <c r="GS65" s="37">
        <f>SUMIFS(Lançamentos!$F:$F,Lançamentos!$A:$A,GS$19,Lançamentos!$C:$C,"Correios e Entregas")</f>
        <v>0</v>
      </c>
      <c r="GT65" s="37">
        <f>SUMIFS(Lançamentos!$F:$F,Lançamentos!$A:$A,GT$19,Lançamentos!$C:$C,"Correios e Entregas")</f>
        <v>0</v>
      </c>
      <c r="GU65" s="37">
        <f>SUMIFS(Lançamentos!$F:$F,Lançamentos!$A:$A,GU$19,Lançamentos!$C:$C,"Correios e Entregas")</f>
        <v>0</v>
      </c>
      <c r="GV65" s="37">
        <f>SUMIFS(Lançamentos!$F:$F,Lançamentos!$A:$A,GV$19,Lançamentos!$C:$C,"Correios e Entregas")</f>
        <v>0</v>
      </c>
      <c r="GW65" s="37">
        <f>SUMIFS(Lançamentos!$F:$F,Lançamentos!$A:$A,GW$19,Lançamentos!$C:$C,"Correios e Entregas")</f>
        <v>0</v>
      </c>
      <c r="GX65" s="37">
        <f>SUMIFS(Lançamentos!$F:$F,Lançamentos!$A:$A,GX$19,Lançamentos!$C:$C,"Correios e Entregas")</f>
        <v>0</v>
      </c>
      <c r="GY65" s="37">
        <f>SUMIFS(Lançamentos!$F:$F,Lançamentos!$A:$A,GY$19,Lançamentos!$C:$C,"Correios e Entregas")</f>
        <v>0</v>
      </c>
      <c r="GZ65" s="37">
        <f>SUMIFS(Lançamentos!$F:$F,Lançamentos!$A:$A,GZ$19,Lançamentos!$C:$C,"Correios e Entregas")</f>
        <v>0</v>
      </c>
      <c r="HA65" s="37">
        <f>SUMIFS(Lançamentos!$F:$F,Lançamentos!$A:$A,HA$19,Lançamentos!$C:$C,"Correios e Entregas")</f>
        <v>0</v>
      </c>
      <c r="HB65" s="37">
        <f>SUMIFS(Lançamentos!$F:$F,Lançamentos!$A:$A,HB$19,Lançamentos!$C:$C,"Correios e Entregas")</f>
        <v>0</v>
      </c>
      <c r="HC65" s="37">
        <f>SUMIFS(Lançamentos!$F:$F,Lançamentos!$A:$A,HC$19,Lançamentos!$C:$C,"Correios e Entregas")</f>
        <v>0</v>
      </c>
      <c r="HD65" s="37">
        <f>SUMIFS(Lançamentos!$F:$F,Lançamentos!$A:$A,HD$19,Lançamentos!$C:$C,"Correios e Entregas")</f>
        <v>0</v>
      </c>
      <c r="HE65" s="37">
        <f>SUMIFS(Lançamentos!$F:$F,Lançamentos!$A:$A,HE$19,Lançamentos!$C:$C,"Correios e Entregas")</f>
        <v>0</v>
      </c>
      <c r="HF65" s="37">
        <f>SUMIFS(Lançamentos!$F:$F,Lançamentos!$A:$A,HF$19,Lançamentos!$C:$C,"Correios e Entregas")</f>
        <v>0</v>
      </c>
      <c r="HG65" s="37">
        <f>SUMIFS(Lançamentos!$F:$F,Lançamentos!$A:$A,HG$19,Lançamentos!$C:$C,"Correios e Entregas")</f>
        <v>0</v>
      </c>
      <c r="HH65" s="37">
        <f>SUMIFS(Lançamentos!$F:$F,Lançamentos!$A:$A,HH$19,Lançamentos!$C:$C,"Correios e Entregas")</f>
        <v>0</v>
      </c>
      <c r="HI65" s="37">
        <f>SUMIFS(Lançamentos!$F:$F,Lançamentos!$A:$A,HI$19,Lançamentos!$C:$C,"Correios e Entregas")</f>
        <v>0</v>
      </c>
      <c r="HJ65" s="37">
        <f>SUMIFS(Lançamentos!$F:$F,Lançamentos!$A:$A,HJ$19,Lançamentos!$C:$C,"Correios e Entregas")</f>
        <v>0</v>
      </c>
      <c r="HK65" s="37">
        <f>SUMIFS(Lançamentos!$F:$F,Lançamentos!$A:$A,HK$19,Lançamentos!$C:$C,"Correios e Entregas")</f>
        <v>0</v>
      </c>
      <c r="HL65" s="37">
        <f>SUMIFS(Lançamentos!$F:$F,Lançamentos!$A:$A,HL$19,Lançamentos!$C:$C,"Correios e Entregas")</f>
        <v>0</v>
      </c>
      <c r="HM65" s="37">
        <f>SUMIFS(Lançamentos!$F:$F,Lançamentos!$A:$A,HM$19,Lançamentos!$C:$C,"Correios e Entregas")</f>
        <v>0</v>
      </c>
      <c r="HN65" s="37">
        <f>SUMIFS(Lançamentos!$F:$F,Lançamentos!$A:$A,HN$19,Lançamentos!$C:$C,"Correios e Entregas")</f>
        <v>0</v>
      </c>
      <c r="HO65" s="37">
        <f>SUMIFS(Lançamentos!$F:$F,Lançamentos!$A:$A,HO$19,Lançamentos!$C:$C,"Correios e Entregas")</f>
        <v>0</v>
      </c>
      <c r="HP65" s="37">
        <f>SUMIFS(Lançamentos!$F:$F,Lançamentos!$A:$A,HP$19,Lançamentos!$C:$C,"Correios e Entregas")</f>
        <v>0</v>
      </c>
      <c r="HQ65" s="37">
        <f>SUMIFS(Lançamentos!$F:$F,Lançamentos!$A:$A,HQ$19,Lançamentos!$C:$C,"Correios e Entregas")</f>
        <v>0</v>
      </c>
      <c r="HR65" s="37">
        <f>SUMIFS(Lançamentos!$F:$F,Lançamentos!$A:$A,HR$19,Lançamentos!$C:$C,"Correios e Entregas")</f>
        <v>0</v>
      </c>
      <c r="HS65" s="37">
        <f>SUMIFS(Lançamentos!$F:$F,Lançamentos!$A:$A,HS$19,Lançamentos!$C:$C,"Correios e Entregas")</f>
        <v>0</v>
      </c>
      <c r="HT65" s="37">
        <f>SUMIFS(Lançamentos!$F:$F,Lançamentos!$A:$A,HT$19,Lançamentos!$C:$C,"Correios e Entregas")</f>
        <v>0</v>
      </c>
      <c r="HU65" s="37">
        <f>SUMIFS(Lançamentos!$F:$F,Lançamentos!$A:$A,HU$19,Lançamentos!$C:$C,"Correios e Entregas")</f>
        <v>0</v>
      </c>
      <c r="HV65" s="37">
        <f>SUMIFS(Lançamentos!$F:$F,Lançamentos!$A:$A,HV$19,Lançamentos!$C:$C,"Correios e Entregas")</f>
        <v>0</v>
      </c>
      <c r="HW65" s="37">
        <f>SUMIFS(Lançamentos!$F:$F,Lançamentos!$A:$A,HW$19,Lançamentos!$C:$C,"Correios e Entregas")</f>
        <v>0</v>
      </c>
      <c r="HX65" s="37">
        <f>SUMIFS(Lançamentos!$F:$F,Lançamentos!$A:$A,HX$19,Lançamentos!$C:$C,"Correios e Entregas")</f>
        <v>0</v>
      </c>
      <c r="HY65" s="37">
        <f>SUMIFS(Lançamentos!$F:$F,Lançamentos!$A:$A,HY$19,Lançamentos!$C:$C,"Correios e Entregas")</f>
        <v>0</v>
      </c>
      <c r="HZ65" s="37">
        <f>SUMIFS(Lançamentos!$F:$F,Lançamentos!$A:$A,HZ$19,Lançamentos!$C:$C,"Correios e Entregas")</f>
        <v>0</v>
      </c>
      <c r="IA65" s="37">
        <f>SUMIFS(Lançamentos!$F:$F,Lançamentos!$A:$A,IA$19,Lançamentos!$C:$C,"Correios e Entregas")</f>
        <v>0</v>
      </c>
      <c r="IB65" s="37">
        <f>SUMIFS(Lançamentos!$F:$F,Lançamentos!$A:$A,IB$19,Lançamentos!$C:$C,"Correios e Entregas")</f>
        <v>0</v>
      </c>
      <c r="IC65" s="37">
        <f>SUMIFS(Lançamentos!$F:$F,Lançamentos!$A:$A,IC$19,Lançamentos!$C:$C,"Correios e Entregas")</f>
        <v>0</v>
      </c>
      <c r="ID65" s="37">
        <f>SUMIFS(Lançamentos!$F:$F,Lançamentos!$A:$A,ID$19,Lançamentos!$C:$C,"Correios e Entregas")</f>
        <v>0</v>
      </c>
      <c r="IE65" s="37">
        <f>SUMIFS(Lançamentos!$F:$F,Lançamentos!$A:$A,IE$19,Lançamentos!$C:$C,"Correios e Entregas")</f>
        <v>0</v>
      </c>
      <c r="IF65" s="37">
        <f>SUMIFS(Lançamentos!$F:$F,Lançamentos!$A:$A,IF$19,Lançamentos!$C:$C,"Correios e Entregas")</f>
        <v>0</v>
      </c>
      <c r="IG65" s="37">
        <f>SUMIFS(Lançamentos!$F:$F,Lançamentos!$A:$A,IG$19,Lançamentos!$C:$C,"Correios e Entregas")</f>
        <v>0</v>
      </c>
      <c r="IH65" s="37">
        <f>SUMIFS(Lançamentos!$F:$F,Lançamentos!$A:$A,IH$19,Lançamentos!$C:$C,"Correios e Entregas")</f>
        <v>0</v>
      </c>
      <c r="II65" s="37">
        <f>SUMIFS(Lançamentos!$F:$F,Lançamentos!$A:$A,II$19,Lançamentos!$C:$C,"Correios e Entregas")</f>
        <v>0</v>
      </c>
      <c r="IJ65" s="37">
        <f>SUMIFS(Lançamentos!$F:$F,Lançamentos!$A:$A,IJ$19,Lançamentos!$C:$C,"Correios e Entregas")</f>
        <v>0</v>
      </c>
      <c r="IK65" s="37">
        <f>SUMIFS(Lançamentos!$F:$F,Lançamentos!$A:$A,IK$19,Lançamentos!$C:$C,"Correios e Entregas")</f>
        <v>0</v>
      </c>
      <c r="IL65" s="37">
        <f>SUMIFS(Lançamentos!$F:$F,Lançamentos!$A:$A,IL$19,Lançamentos!$C:$C,"Correios e Entregas")</f>
        <v>0</v>
      </c>
    </row>
    <row r="66" spans="1:246" x14ac:dyDescent="0.3">
      <c r="A66" t="s">
        <v>104</v>
      </c>
      <c r="B66" s="37">
        <f>SUMIFS(Lançamentos!$F:$F,Lançamentos!$A:$A,B$19,Lançamentos!$C:$C,"Taxas e Anuidades")</f>
        <v>0</v>
      </c>
      <c r="C66" s="37">
        <f>SUMIFS(Lançamentos!$F:$F,Lançamentos!$A:$A,C$19,Lançamentos!$C:$C,"Taxas e Anuidades")</f>
        <v>0</v>
      </c>
      <c r="D66" s="37">
        <f>SUMIFS(Lançamentos!$F:$F,Lançamentos!$A:$A,D$19,Lançamentos!$C:$C,"Taxas e Anuidades")</f>
        <v>0</v>
      </c>
      <c r="E66" s="37">
        <f>SUMIFS(Lançamentos!$F:$F,Lançamentos!$A:$A,E$19,Lançamentos!$C:$C,"Taxas e Anuidades")</f>
        <v>0</v>
      </c>
      <c r="F66" s="37">
        <f>SUMIFS(Lançamentos!$F:$F,Lançamentos!$A:$A,F$19,Lançamentos!$C:$C,"Taxas e Anuidades")</f>
        <v>0</v>
      </c>
      <c r="G66" s="37">
        <f>SUMIFS(Lançamentos!$F:$F,Lançamentos!$A:$A,G$19,Lançamentos!$C:$C,"Taxas e Anuidades")</f>
        <v>0</v>
      </c>
      <c r="H66" s="37">
        <f>SUMIFS(Lançamentos!$F:$F,Lançamentos!$A:$A,H$19,Lançamentos!$C:$C,"Taxas e Anuidades")</f>
        <v>0</v>
      </c>
      <c r="I66" s="37">
        <f>SUMIFS(Lançamentos!$F:$F,Lançamentos!$A:$A,I$19,Lançamentos!$C:$C,"Taxas e Anuidades")</f>
        <v>0</v>
      </c>
      <c r="J66" s="37">
        <f>SUMIFS(Lançamentos!$F:$F,Lançamentos!$A:$A,J$19,Lançamentos!$C:$C,"Taxas e Anuidades")</f>
        <v>0</v>
      </c>
      <c r="K66" s="37">
        <f>SUMIFS(Lançamentos!$F:$F,Lançamentos!$A:$A,K$19,Lançamentos!$C:$C,"Taxas e Anuidades")</f>
        <v>0</v>
      </c>
      <c r="L66" s="37">
        <f>SUMIFS(Lançamentos!$F:$F,Lançamentos!$A:$A,L$19,Lançamentos!$C:$C,"Taxas e Anuidades")</f>
        <v>0</v>
      </c>
      <c r="M66" s="37">
        <f>SUMIFS(Lançamentos!$F:$F,Lançamentos!$A:$A,M$19,Lançamentos!$C:$C,"Taxas e Anuidades")</f>
        <v>0</v>
      </c>
      <c r="N66" s="37">
        <f>SUMIFS(Lançamentos!$F:$F,Lançamentos!$A:$A,N$19,Lançamentos!$C:$C,"Taxas e Anuidades")</f>
        <v>0</v>
      </c>
      <c r="O66" s="37">
        <f>SUMIFS(Lançamentos!$F:$F,Lançamentos!$A:$A,O$19,Lançamentos!$C:$C,"Taxas e Anuidades")</f>
        <v>0</v>
      </c>
      <c r="P66" s="37">
        <f>SUMIFS(Lançamentos!$F:$F,Lançamentos!$A:$A,P$19,Lançamentos!$C:$C,"Taxas e Anuidades")</f>
        <v>0</v>
      </c>
      <c r="Q66" s="37">
        <f>SUMIFS(Lançamentos!$F:$F,Lançamentos!$A:$A,Q$19,Lançamentos!$C:$C,"Taxas e Anuidades")</f>
        <v>0</v>
      </c>
      <c r="R66" s="37">
        <f>SUMIFS(Lançamentos!$F:$F,Lançamentos!$A:$A,R$19,Lançamentos!$C:$C,"Taxas e Anuidades")</f>
        <v>0</v>
      </c>
      <c r="S66" s="37">
        <f>SUMIFS(Lançamentos!$F:$F,Lançamentos!$A:$A,S$19,Lançamentos!$C:$C,"Taxas e Anuidades")</f>
        <v>0</v>
      </c>
      <c r="T66" s="37">
        <f>SUMIFS(Lançamentos!$F:$F,Lançamentos!$A:$A,T$19,Lançamentos!$C:$C,"Taxas e Anuidades")</f>
        <v>0</v>
      </c>
      <c r="U66" s="37">
        <f>SUMIFS(Lançamentos!$F:$F,Lançamentos!$A:$A,U$19,Lançamentos!$C:$C,"Taxas e Anuidades")</f>
        <v>0</v>
      </c>
      <c r="V66" s="37">
        <f>SUMIFS(Lançamentos!$F:$F,Lançamentos!$A:$A,V$19,Lançamentos!$C:$C,"Taxas e Anuidades")</f>
        <v>0</v>
      </c>
      <c r="W66" s="37">
        <f>SUMIFS(Lançamentos!$F:$F,Lançamentos!$A:$A,W$19,Lançamentos!$C:$C,"Taxas e Anuidades")</f>
        <v>0</v>
      </c>
      <c r="X66" s="37">
        <f>SUMIFS(Lançamentos!$F:$F,Lançamentos!$A:$A,X$19,Lançamentos!$C:$C,"Taxas e Anuidades")</f>
        <v>0</v>
      </c>
      <c r="Y66" s="37">
        <f>SUMIFS(Lançamentos!$F:$F,Lançamentos!$A:$A,Y$19,Lançamentos!$C:$C,"Taxas e Anuidades")</f>
        <v>0</v>
      </c>
      <c r="Z66" s="37">
        <f>SUMIFS(Lançamentos!$F:$F,Lançamentos!$A:$A,Z$19,Lançamentos!$C:$C,"Taxas e Anuidades")</f>
        <v>0</v>
      </c>
      <c r="AA66" s="37">
        <f>SUMIFS(Lançamentos!$F:$F,Lançamentos!$A:$A,AA$19,Lançamentos!$C:$C,"Taxas e Anuidades")</f>
        <v>0</v>
      </c>
      <c r="AB66" s="37">
        <f>SUMIFS(Lançamentos!$F:$F,Lançamentos!$A:$A,AB$19,Lançamentos!$C:$C,"Taxas e Anuidades")</f>
        <v>0</v>
      </c>
      <c r="AC66" s="37">
        <f>SUMIFS(Lançamentos!$F:$F,Lançamentos!$A:$A,AC$19,Lançamentos!$C:$C,"Taxas e Anuidades")</f>
        <v>0</v>
      </c>
      <c r="AD66" s="37">
        <f>SUMIFS(Lançamentos!$F:$F,Lançamentos!$A:$A,AD$19,Lançamentos!$C:$C,"Taxas e Anuidades")</f>
        <v>0</v>
      </c>
      <c r="AE66" s="37">
        <f>SUMIFS(Lançamentos!$F:$F,Lançamentos!$A:$A,AE$19,Lançamentos!$C:$C,"Taxas e Anuidades")</f>
        <v>0</v>
      </c>
      <c r="AF66" s="37">
        <f>SUMIFS(Lançamentos!$F:$F,Lançamentos!$A:$A,AF$19,Lançamentos!$C:$C,"Taxas e Anuidades")</f>
        <v>0</v>
      </c>
      <c r="AG66" s="37">
        <f>SUMIFS(Lançamentos!$F:$F,Lançamentos!$A:$A,AG$19,Lançamentos!$C:$C,"Taxas e Anuidades")</f>
        <v>0</v>
      </c>
      <c r="AH66" s="37">
        <f>SUMIFS(Lançamentos!$F:$F,Lançamentos!$A:$A,AH$19,Lançamentos!$C:$C,"Taxas e Anuidades")</f>
        <v>0</v>
      </c>
      <c r="AI66" s="37">
        <f>SUMIFS(Lançamentos!$F:$F,Lançamentos!$A:$A,AI$19,Lançamentos!$C:$C,"Taxas e Anuidades")</f>
        <v>0</v>
      </c>
      <c r="AJ66" s="37">
        <f>SUMIFS(Lançamentos!$F:$F,Lançamentos!$A:$A,AJ$19,Lançamentos!$C:$C,"Taxas e Anuidades")</f>
        <v>0</v>
      </c>
      <c r="AK66" s="37">
        <f>SUMIFS(Lançamentos!$F:$F,Lançamentos!$A:$A,AK$19,Lançamentos!$C:$C,"Taxas e Anuidades")</f>
        <v>0</v>
      </c>
      <c r="AL66" s="37">
        <f>SUMIFS(Lançamentos!$F:$F,Lançamentos!$A:$A,AL$19,Lançamentos!$C:$C,"Taxas e Anuidades")</f>
        <v>0</v>
      </c>
      <c r="AM66" s="37">
        <f>SUMIFS(Lançamentos!$F:$F,Lançamentos!$A:$A,AM$19,Lançamentos!$C:$C,"Taxas e Anuidades")</f>
        <v>0</v>
      </c>
      <c r="AN66" s="37">
        <f>SUMIFS(Lançamentos!$F:$F,Lançamentos!$A:$A,AN$19,Lançamentos!$C:$C,"Taxas e Anuidades")</f>
        <v>0</v>
      </c>
      <c r="AO66" s="37">
        <f>SUMIFS(Lançamentos!$F:$F,Lançamentos!$A:$A,AO$19,Lançamentos!$C:$C,"Taxas e Anuidades")</f>
        <v>0</v>
      </c>
      <c r="AP66" s="37">
        <f>SUMIFS(Lançamentos!$F:$F,Lançamentos!$A:$A,AP$19,Lançamentos!$C:$C,"Taxas e Anuidades")</f>
        <v>0</v>
      </c>
      <c r="AQ66" s="37">
        <f>SUMIFS(Lançamentos!$F:$F,Lançamentos!$A:$A,AQ$19,Lançamentos!$C:$C,"Taxas e Anuidades")</f>
        <v>0</v>
      </c>
      <c r="AR66" s="37">
        <f>SUMIFS(Lançamentos!$F:$F,Lançamentos!$A:$A,AR$19,Lançamentos!$C:$C,"Taxas e Anuidades")</f>
        <v>0</v>
      </c>
      <c r="AS66" s="37">
        <f>SUMIFS(Lançamentos!$F:$F,Lançamentos!$A:$A,AS$19,Lançamentos!$C:$C,"Taxas e Anuidades")</f>
        <v>0</v>
      </c>
      <c r="AT66" s="37">
        <f>SUMIFS(Lançamentos!$F:$F,Lançamentos!$A:$A,AT$19,Lançamentos!$C:$C,"Taxas e Anuidades")</f>
        <v>0</v>
      </c>
      <c r="AU66" s="37">
        <f>SUMIFS(Lançamentos!$F:$F,Lançamentos!$A:$A,AU$19,Lançamentos!$C:$C,"Taxas e Anuidades")</f>
        <v>0</v>
      </c>
      <c r="AV66" s="37">
        <f>SUMIFS(Lançamentos!$F:$F,Lançamentos!$A:$A,AV$19,Lançamentos!$C:$C,"Taxas e Anuidades")</f>
        <v>0</v>
      </c>
      <c r="AW66" s="37">
        <f>SUMIFS(Lançamentos!$F:$F,Lançamentos!$A:$A,AW$19,Lançamentos!$C:$C,"Taxas e Anuidades")</f>
        <v>0</v>
      </c>
      <c r="AX66" s="37">
        <f>SUMIFS(Lançamentos!$F:$F,Lançamentos!$A:$A,AX$19,Lançamentos!$C:$C,"Taxas e Anuidades")</f>
        <v>0</v>
      </c>
      <c r="AY66" s="37">
        <f>SUMIFS(Lançamentos!$F:$F,Lançamentos!$A:$A,AY$19,Lançamentos!$C:$C,"Taxas e Anuidades")</f>
        <v>0</v>
      </c>
      <c r="AZ66" s="37">
        <f>SUMIFS(Lançamentos!$F:$F,Lançamentos!$A:$A,AZ$19,Lançamentos!$C:$C,"Taxas e Anuidades")</f>
        <v>0</v>
      </c>
      <c r="BA66" s="37">
        <f>SUMIFS(Lançamentos!$F:$F,Lançamentos!$A:$A,BA$19,Lançamentos!$C:$C,"Taxas e Anuidades")</f>
        <v>0</v>
      </c>
      <c r="BB66" s="37">
        <f>SUMIFS(Lançamentos!$F:$F,Lançamentos!$A:$A,BB$19,Lançamentos!$C:$C,"Taxas e Anuidades")</f>
        <v>0</v>
      </c>
      <c r="BC66" s="37">
        <f>SUMIFS(Lançamentos!$F:$F,Lançamentos!$A:$A,BC$19,Lançamentos!$C:$C,"Taxas e Anuidades")</f>
        <v>0</v>
      </c>
      <c r="BD66" s="37">
        <f>SUMIFS(Lançamentos!$F:$F,Lançamentos!$A:$A,BD$19,Lançamentos!$C:$C,"Taxas e Anuidades")</f>
        <v>0</v>
      </c>
      <c r="BE66" s="37">
        <f>SUMIFS(Lançamentos!$F:$F,Lançamentos!$A:$A,BE$19,Lançamentos!$C:$C,"Taxas e Anuidades")</f>
        <v>0</v>
      </c>
      <c r="BF66" s="37">
        <f>SUMIFS(Lançamentos!$F:$F,Lançamentos!$A:$A,BF$19,Lançamentos!$C:$C,"Taxas e Anuidades")</f>
        <v>0</v>
      </c>
      <c r="BG66" s="37">
        <f>SUMIFS(Lançamentos!$F:$F,Lançamentos!$A:$A,BG$19,Lançamentos!$C:$C,"Taxas e Anuidades")</f>
        <v>0</v>
      </c>
      <c r="BH66" s="37">
        <f>SUMIFS(Lançamentos!$F:$F,Lançamentos!$A:$A,BH$19,Lançamentos!$C:$C,"Taxas e Anuidades")</f>
        <v>0</v>
      </c>
      <c r="BI66" s="37">
        <f>SUMIFS(Lançamentos!$F:$F,Lançamentos!$A:$A,BI$19,Lançamentos!$C:$C,"Taxas e Anuidades")</f>
        <v>0</v>
      </c>
      <c r="BJ66" s="37">
        <f>SUMIFS(Lançamentos!$F:$F,Lançamentos!$A:$A,BJ$19,Lançamentos!$C:$C,"Taxas e Anuidades")</f>
        <v>0</v>
      </c>
      <c r="BK66" s="37">
        <f>SUMIFS(Lançamentos!$F:$F,Lançamentos!$A:$A,BK$19,Lançamentos!$C:$C,"Taxas e Anuidades")</f>
        <v>0</v>
      </c>
      <c r="BL66" s="37">
        <f>SUMIFS(Lançamentos!$F:$F,Lançamentos!$A:$A,BL$19,Lançamentos!$C:$C,"Taxas e Anuidades")</f>
        <v>0</v>
      </c>
      <c r="BM66" s="37">
        <f>SUMIFS(Lançamentos!$F:$F,Lançamentos!$A:$A,BM$19,Lançamentos!$C:$C,"Taxas e Anuidades")</f>
        <v>0</v>
      </c>
      <c r="BN66" s="37">
        <f>SUMIFS(Lançamentos!$F:$F,Lançamentos!$A:$A,BN$19,Lançamentos!$C:$C,"Taxas e Anuidades")</f>
        <v>0</v>
      </c>
      <c r="BO66" s="37">
        <f>SUMIFS(Lançamentos!$F:$F,Lançamentos!$A:$A,BO$19,Lançamentos!$C:$C,"Taxas e Anuidades")</f>
        <v>0</v>
      </c>
      <c r="BP66" s="37">
        <f>SUMIFS(Lançamentos!$F:$F,Lançamentos!$A:$A,BP$19,Lançamentos!$C:$C,"Taxas e Anuidades")</f>
        <v>0</v>
      </c>
      <c r="BQ66" s="37">
        <f>SUMIFS(Lançamentos!$F:$F,Lançamentos!$A:$A,BQ$19,Lançamentos!$C:$C,"Taxas e Anuidades")</f>
        <v>0</v>
      </c>
      <c r="BR66" s="37">
        <f>SUMIFS(Lançamentos!$F:$F,Lançamentos!$A:$A,BR$19,Lançamentos!$C:$C,"Taxas e Anuidades")</f>
        <v>0</v>
      </c>
      <c r="BS66" s="37">
        <f>SUMIFS(Lançamentos!$F:$F,Lançamentos!$A:$A,BS$19,Lançamentos!$C:$C,"Taxas e Anuidades")</f>
        <v>0</v>
      </c>
      <c r="BT66" s="37">
        <f>SUMIFS(Lançamentos!$F:$F,Lançamentos!$A:$A,BT$19,Lançamentos!$C:$C,"Taxas e Anuidades")</f>
        <v>0</v>
      </c>
      <c r="BU66" s="37">
        <f>SUMIFS(Lançamentos!$F:$F,Lançamentos!$A:$A,BU$19,Lançamentos!$C:$C,"Taxas e Anuidades")</f>
        <v>0</v>
      </c>
      <c r="BV66" s="37">
        <f>SUMIFS(Lançamentos!$F:$F,Lançamentos!$A:$A,BV$19,Lançamentos!$C:$C,"Taxas e Anuidades")</f>
        <v>0</v>
      </c>
      <c r="BW66" s="37">
        <f>SUMIFS(Lançamentos!$F:$F,Lançamentos!$A:$A,BW$19,Lançamentos!$C:$C,"Taxas e Anuidades")</f>
        <v>0</v>
      </c>
      <c r="BX66" s="37">
        <f>SUMIFS(Lançamentos!$F:$F,Lançamentos!$A:$A,BX$19,Lançamentos!$C:$C,"Taxas e Anuidades")</f>
        <v>0</v>
      </c>
      <c r="BY66" s="37">
        <f>SUMIFS(Lançamentos!$F:$F,Lançamentos!$A:$A,BY$19,Lançamentos!$C:$C,"Taxas e Anuidades")</f>
        <v>0</v>
      </c>
      <c r="BZ66" s="37">
        <f>SUMIFS(Lançamentos!$F:$F,Lançamentos!$A:$A,BZ$19,Lançamentos!$C:$C,"Taxas e Anuidades")</f>
        <v>0</v>
      </c>
      <c r="CA66" s="37">
        <f>SUMIFS(Lançamentos!$F:$F,Lançamentos!$A:$A,CA$19,Lançamentos!$C:$C,"Taxas e Anuidades")</f>
        <v>0</v>
      </c>
      <c r="CB66" s="37">
        <f>SUMIFS(Lançamentos!$F:$F,Lançamentos!$A:$A,CB$19,Lançamentos!$C:$C,"Taxas e Anuidades")</f>
        <v>0</v>
      </c>
      <c r="CC66" s="37">
        <f>SUMIFS(Lançamentos!$F:$F,Lançamentos!$A:$A,CC$19,Lançamentos!$C:$C,"Taxas e Anuidades")</f>
        <v>0</v>
      </c>
      <c r="CD66" s="37">
        <f>SUMIFS(Lançamentos!$F:$F,Lançamentos!$A:$A,CD$19,Lançamentos!$C:$C,"Taxas e Anuidades")</f>
        <v>0</v>
      </c>
      <c r="CE66" s="37">
        <f>SUMIFS(Lançamentos!$F:$F,Lançamentos!$A:$A,CE$19,Lançamentos!$C:$C,"Taxas e Anuidades")</f>
        <v>0</v>
      </c>
      <c r="CF66" s="37">
        <f>SUMIFS(Lançamentos!$F:$F,Lançamentos!$A:$A,CF$19,Lançamentos!$C:$C,"Taxas e Anuidades")</f>
        <v>0</v>
      </c>
      <c r="CG66" s="37">
        <f>SUMIFS(Lançamentos!$F:$F,Lançamentos!$A:$A,CG$19,Lançamentos!$C:$C,"Taxas e Anuidades")</f>
        <v>0</v>
      </c>
      <c r="CH66" s="37">
        <f>SUMIFS(Lançamentos!$F:$F,Lançamentos!$A:$A,CH$19,Lançamentos!$C:$C,"Taxas e Anuidades")</f>
        <v>0</v>
      </c>
      <c r="CI66" s="37">
        <f>SUMIFS(Lançamentos!$F:$F,Lançamentos!$A:$A,CI$19,Lançamentos!$C:$C,"Taxas e Anuidades")</f>
        <v>0</v>
      </c>
      <c r="CJ66" s="37">
        <f>SUMIFS(Lançamentos!$F:$F,Lançamentos!$A:$A,CJ$19,Lançamentos!$C:$C,"Taxas e Anuidades")</f>
        <v>0</v>
      </c>
      <c r="CK66" s="37">
        <f>SUMIFS(Lançamentos!$F:$F,Lançamentos!$A:$A,CK$19,Lançamentos!$C:$C,"Taxas e Anuidades")</f>
        <v>0</v>
      </c>
      <c r="CL66" s="37">
        <f>SUMIFS(Lançamentos!$F:$F,Lançamentos!$A:$A,CL$19,Lançamentos!$C:$C,"Taxas e Anuidades")</f>
        <v>0</v>
      </c>
      <c r="CM66" s="37">
        <f>SUMIFS(Lançamentos!$F:$F,Lançamentos!$A:$A,CM$19,Lançamentos!$C:$C,"Taxas e Anuidades")</f>
        <v>0</v>
      </c>
      <c r="CN66" s="37">
        <f>SUMIFS(Lançamentos!$F:$F,Lançamentos!$A:$A,CN$19,Lançamentos!$C:$C,"Taxas e Anuidades")</f>
        <v>0</v>
      </c>
      <c r="CO66" s="37">
        <f>SUMIFS(Lançamentos!$F:$F,Lançamentos!$A:$A,CO$19,Lançamentos!$C:$C,"Taxas e Anuidades")</f>
        <v>0</v>
      </c>
      <c r="CP66" s="37">
        <f>SUMIFS(Lançamentos!$F:$F,Lançamentos!$A:$A,CP$19,Lançamentos!$C:$C,"Taxas e Anuidades")</f>
        <v>0</v>
      </c>
      <c r="CQ66" s="37">
        <f>SUMIFS(Lançamentos!$F:$F,Lançamentos!$A:$A,CQ$19,Lançamentos!$C:$C,"Taxas e Anuidades")</f>
        <v>0</v>
      </c>
      <c r="CR66" s="37">
        <f>SUMIFS(Lançamentos!$F:$F,Lançamentos!$A:$A,CR$19,Lançamentos!$C:$C,"Taxas e Anuidades")</f>
        <v>0</v>
      </c>
      <c r="CS66" s="37">
        <f>SUMIFS(Lançamentos!$F:$F,Lançamentos!$A:$A,CS$19,Lançamentos!$C:$C,"Taxas e Anuidades")</f>
        <v>0</v>
      </c>
      <c r="CT66" s="37">
        <f>SUMIFS(Lançamentos!$F:$F,Lançamentos!$A:$A,CT$19,Lançamentos!$C:$C,"Taxas e Anuidades")</f>
        <v>0</v>
      </c>
      <c r="CU66" s="37">
        <f>SUMIFS(Lançamentos!$F:$F,Lançamentos!$A:$A,CU$19,Lançamentos!$C:$C,"Taxas e Anuidades")</f>
        <v>0</v>
      </c>
      <c r="CV66" s="37">
        <f>SUMIFS(Lançamentos!$F:$F,Lançamentos!$A:$A,CV$19,Lançamentos!$C:$C,"Taxas e Anuidades")</f>
        <v>0</v>
      </c>
      <c r="CW66" s="37">
        <f>SUMIFS(Lançamentos!$F:$F,Lançamentos!$A:$A,CW$19,Lançamentos!$C:$C,"Taxas e Anuidades")</f>
        <v>0</v>
      </c>
      <c r="CX66" s="37">
        <f>SUMIFS(Lançamentos!$F:$F,Lançamentos!$A:$A,CX$19,Lançamentos!$C:$C,"Taxas e Anuidades")</f>
        <v>0</v>
      </c>
      <c r="CY66" s="37">
        <f>SUMIFS(Lançamentos!$F:$F,Lançamentos!$A:$A,CY$19,Lançamentos!$C:$C,"Taxas e Anuidades")</f>
        <v>0</v>
      </c>
      <c r="CZ66" s="37">
        <f>SUMIFS(Lançamentos!$F:$F,Lançamentos!$A:$A,CZ$19,Lançamentos!$C:$C,"Taxas e Anuidades")</f>
        <v>0</v>
      </c>
      <c r="DA66" s="37">
        <f>SUMIFS(Lançamentos!$F:$F,Lançamentos!$A:$A,DA$19,Lançamentos!$C:$C,"Taxas e Anuidades")</f>
        <v>0</v>
      </c>
      <c r="DB66" s="37">
        <f>SUMIFS(Lançamentos!$F:$F,Lançamentos!$A:$A,DB$19,Lançamentos!$C:$C,"Taxas e Anuidades")</f>
        <v>0</v>
      </c>
      <c r="DC66" s="37">
        <f>SUMIFS(Lançamentos!$F:$F,Lançamentos!$A:$A,DC$19,Lançamentos!$C:$C,"Taxas e Anuidades")</f>
        <v>0</v>
      </c>
      <c r="DD66" s="37">
        <f>SUMIFS(Lançamentos!$F:$F,Lançamentos!$A:$A,DD$19,Lançamentos!$C:$C,"Taxas e Anuidades")</f>
        <v>0</v>
      </c>
      <c r="DE66" s="37">
        <f>SUMIFS(Lançamentos!$F:$F,Lançamentos!$A:$A,DE$19,Lançamentos!$C:$C,"Taxas e Anuidades")</f>
        <v>0</v>
      </c>
      <c r="DF66" s="37">
        <f>SUMIFS(Lançamentos!$F:$F,Lançamentos!$A:$A,DF$19,Lançamentos!$C:$C,"Taxas e Anuidades")</f>
        <v>0</v>
      </c>
      <c r="DG66" s="37">
        <f>SUMIFS(Lançamentos!$F:$F,Lançamentos!$A:$A,DG$19,Lançamentos!$C:$C,"Taxas e Anuidades")</f>
        <v>0</v>
      </c>
      <c r="DH66" s="37">
        <f>SUMIFS(Lançamentos!$F:$F,Lançamentos!$A:$A,DH$19,Lançamentos!$C:$C,"Taxas e Anuidades")</f>
        <v>0</v>
      </c>
      <c r="DI66" s="37">
        <f>SUMIFS(Lançamentos!$F:$F,Lançamentos!$A:$A,DI$19,Lançamentos!$C:$C,"Taxas e Anuidades")</f>
        <v>0</v>
      </c>
      <c r="DJ66" s="37">
        <f>SUMIFS(Lançamentos!$F:$F,Lançamentos!$A:$A,DJ$19,Lançamentos!$C:$C,"Taxas e Anuidades")</f>
        <v>0</v>
      </c>
      <c r="DK66" s="37">
        <f>SUMIFS(Lançamentos!$F:$F,Lançamentos!$A:$A,DK$19,Lançamentos!$C:$C,"Taxas e Anuidades")</f>
        <v>0</v>
      </c>
      <c r="DL66" s="37">
        <f>SUMIFS(Lançamentos!$F:$F,Lançamentos!$A:$A,DL$19,Lançamentos!$C:$C,"Taxas e Anuidades")</f>
        <v>0</v>
      </c>
      <c r="DM66" s="37">
        <f>SUMIFS(Lançamentos!$F:$F,Lançamentos!$A:$A,DM$19,Lançamentos!$C:$C,"Taxas e Anuidades")</f>
        <v>0</v>
      </c>
      <c r="DN66" s="37">
        <f>SUMIFS(Lançamentos!$F:$F,Lançamentos!$A:$A,DN$19,Lançamentos!$C:$C,"Taxas e Anuidades")</f>
        <v>0</v>
      </c>
      <c r="DO66" s="37">
        <f>SUMIFS(Lançamentos!$F:$F,Lançamentos!$A:$A,DO$19,Lançamentos!$C:$C,"Taxas e Anuidades")</f>
        <v>0</v>
      </c>
      <c r="DP66" s="37">
        <f>SUMIFS(Lançamentos!$F:$F,Lançamentos!$A:$A,DP$19,Lançamentos!$C:$C,"Taxas e Anuidades")</f>
        <v>0</v>
      </c>
      <c r="DQ66" s="37">
        <f>SUMIFS(Lançamentos!$F:$F,Lançamentos!$A:$A,DQ$19,Lançamentos!$C:$C,"Taxas e Anuidades")</f>
        <v>0</v>
      </c>
      <c r="DR66" s="37">
        <f>SUMIFS(Lançamentos!$F:$F,Lançamentos!$A:$A,DR$19,Lançamentos!$C:$C,"Taxas e Anuidades")</f>
        <v>0</v>
      </c>
      <c r="DS66" s="37">
        <f>SUMIFS(Lançamentos!$F:$F,Lançamentos!$A:$A,DS$19,Lançamentos!$C:$C,"Taxas e Anuidades")</f>
        <v>0</v>
      </c>
      <c r="DT66" s="37">
        <f>SUMIFS(Lançamentos!$F:$F,Lançamentos!$A:$A,DT$19,Lançamentos!$C:$C,"Taxas e Anuidades")</f>
        <v>0</v>
      </c>
      <c r="DU66" s="37">
        <f>SUMIFS(Lançamentos!$F:$F,Lançamentos!$A:$A,DU$19,Lançamentos!$C:$C,"Taxas e Anuidades")</f>
        <v>0</v>
      </c>
      <c r="DV66" s="37">
        <f>SUMIFS(Lançamentos!$F:$F,Lançamentos!$A:$A,DV$19,Lançamentos!$C:$C,"Taxas e Anuidades")</f>
        <v>0</v>
      </c>
      <c r="DW66" s="37">
        <f>SUMIFS(Lançamentos!$F:$F,Lançamentos!$A:$A,DW$19,Lançamentos!$C:$C,"Taxas e Anuidades")</f>
        <v>0</v>
      </c>
      <c r="DX66" s="37">
        <f>SUMIFS(Lançamentos!$F:$F,Lançamentos!$A:$A,DX$19,Lançamentos!$C:$C,"Taxas e Anuidades")</f>
        <v>0</v>
      </c>
      <c r="DY66" s="37">
        <f>SUMIFS(Lançamentos!$F:$F,Lançamentos!$A:$A,DY$19,Lançamentos!$C:$C,"Taxas e Anuidades")</f>
        <v>0</v>
      </c>
      <c r="DZ66" s="37">
        <f>SUMIFS(Lançamentos!$F:$F,Lançamentos!$A:$A,DZ$19,Lançamentos!$C:$C,"Taxas e Anuidades")</f>
        <v>0</v>
      </c>
      <c r="EA66" s="37">
        <f>SUMIFS(Lançamentos!$F:$F,Lançamentos!$A:$A,EA$19,Lançamentos!$C:$C,"Taxas e Anuidades")</f>
        <v>0</v>
      </c>
      <c r="EB66" s="37">
        <f>SUMIFS(Lançamentos!$F:$F,Lançamentos!$A:$A,EB$19,Lançamentos!$C:$C,"Taxas e Anuidades")</f>
        <v>0</v>
      </c>
      <c r="EC66" s="37">
        <f>SUMIFS(Lançamentos!$F:$F,Lançamentos!$A:$A,EC$19,Lançamentos!$C:$C,"Taxas e Anuidades")</f>
        <v>0</v>
      </c>
      <c r="ED66" s="37">
        <f>SUMIFS(Lançamentos!$F:$F,Lançamentos!$A:$A,ED$19,Lançamentos!$C:$C,"Taxas e Anuidades")</f>
        <v>0</v>
      </c>
      <c r="EE66" s="37">
        <f>SUMIFS(Lançamentos!$F:$F,Lançamentos!$A:$A,EE$19,Lançamentos!$C:$C,"Taxas e Anuidades")</f>
        <v>0</v>
      </c>
      <c r="EF66" s="37">
        <f>SUMIFS(Lançamentos!$F:$F,Lançamentos!$A:$A,EF$19,Lançamentos!$C:$C,"Taxas e Anuidades")</f>
        <v>0</v>
      </c>
      <c r="EG66" s="37">
        <f>SUMIFS(Lançamentos!$F:$F,Lançamentos!$A:$A,EG$19,Lançamentos!$C:$C,"Taxas e Anuidades")</f>
        <v>0</v>
      </c>
      <c r="EH66" s="37">
        <f>SUMIFS(Lançamentos!$F:$F,Lançamentos!$A:$A,EH$19,Lançamentos!$C:$C,"Taxas e Anuidades")</f>
        <v>0</v>
      </c>
      <c r="EI66" s="37">
        <f>SUMIFS(Lançamentos!$F:$F,Lançamentos!$A:$A,EI$19,Lançamentos!$C:$C,"Taxas e Anuidades")</f>
        <v>0</v>
      </c>
      <c r="EJ66" s="37">
        <f>SUMIFS(Lançamentos!$F:$F,Lançamentos!$A:$A,EJ$19,Lançamentos!$C:$C,"Taxas e Anuidades")</f>
        <v>0</v>
      </c>
      <c r="EK66" s="37">
        <f>SUMIFS(Lançamentos!$F:$F,Lançamentos!$A:$A,EK$19,Lançamentos!$C:$C,"Taxas e Anuidades")</f>
        <v>0</v>
      </c>
      <c r="EL66" s="37">
        <f>SUMIFS(Lançamentos!$F:$F,Lançamentos!$A:$A,EL$19,Lançamentos!$C:$C,"Taxas e Anuidades")</f>
        <v>0</v>
      </c>
      <c r="EM66" s="37">
        <f>SUMIFS(Lançamentos!$F:$F,Lançamentos!$A:$A,EM$19,Lançamentos!$C:$C,"Taxas e Anuidades")</f>
        <v>0</v>
      </c>
      <c r="EN66" s="37">
        <f>SUMIFS(Lançamentos!$F:$F,Lançamentos!$A:$A,EN$19,Lançamentos!$C:$C,"Taxas e Anuidades")</f>
        <v>0</v>
      </c>
      <c r="EO66" s="37">
        <f>SUMIFS(Lançamentos!$F:$F,Lançamentos!$A:$A,EO$19,Lançamentos!$C:$C,"Taxas e Anuidades")</f>
        <v>0</v>
      </c>
      <c r="EP66" s="37">
        <f>SUMIFS(Lançamentos!$F:$F,Lançamentos!$A:$A,EP$19,Lançamentos!$C:$C,"Taxas e Anuidades")</f>
        <v>0</v>
      </c>
      <c r="EQ66" s="37">
        <f>SUMIFS(Lançamentos!$F:$F,Lançamentos!$A:$A,EQ$19,Lançamentos!$C:$C,"Taxas e Anuidades")</f>
        <v>0</v>
      </c>
      <c r="ER66" s="37">
        <f>SUMIFS(Lançamentos!$F:$F,Lançamentos!$A:$A,ER$19,Lançamentos!$C:$C,"Taxas e Anuidades")</f>
        <v>0</v>
      </c>
      <c r="ES66" s="37">
        <f>SUMIFS(Lançamentos!$F:$F,Lançamentos!$A:$A,ES$19,Lançamentos!$C:$C,"Taxas e Anuidades")</f>
        <v>0</v>
      </c>
      <c r="ET66" s="37">
        <f>SUMIFS(Lançamentos!$F:$F,Lançamentos!$A:$A,ET$19,Lançamentos!$C:$C,"Taxas e Anuidades")</f>
        <v>0</v>
      </c>
      <c r="EU66" s="37">
        <f>SUMIFS(Lançamentos!$F:$F,Lançamentos!$A:$A,EU$19,Lançamentos!$C:$C,"Taxas e Anuidades")</f>
        <v>0</v>
      </c>
      <c r="EV66" s="37">
        <f>SUMIFS(Lançamentos!$F:$F,Lançamentos!$A:$A,EV$19,Lançamentos!$C:$C,"Taxas e Anuidades")</f>
        <v>0</v>
      </c>
      <c r="EW66" s="37">
        <f>SUMIFS(Lançamentos!$F:$F,Lançamentos!$A:$A,EW$19,Lançamentos!$C:$C,"Taxas e Anuidades")</f>
        <v>0</v>
      </c>
      <c r="EX66" s="37">
        <f>SUMIFS(Lançamentos!$F:$F,Lançamentos!$A:$A,EX$19,Lançamentos!$C:$C,"Taxas e Anuidades")</f>
        <v>0</v>
      </c>
      <c r="EY66" s="37">
        <f>SUMIFS(Lançamentos!$F:$F,Lançamentos!$A:$A,EY$19,Lançamentos!$C:$C,"Taxas e Anuidades")</f>
        <v>0</v>
      </c>
      <c r="EZ66" s="37">
        <f>SUMIFS(Lançamentos!$F:$F,Lançamentos!$A:$A,EZ$19,Lançamentos!$C:$C,"Taxas e Anuidades")</f>
        <v>0</v>
      </c>
      <c r="FA66" s="37">
        <f>SUMIFS(Lançamentos!$F:$F,Lançamentos!$A:$A,FA$19,Lançamentos!$C:$C,"Taxas e Anuidades")</f>
        <v>0</v>
      </c>
      <c r="FB66" s="37">
        <f>SUMIFS(Lançamentos!$F:$F,Lançamentos!$A:$A,FB$19,Lançamentos!$C:$C,"Taxas e Anuidades")</f>
        <v>0</v>
      </c>
      <c r="FC66" s="37">
        <f>SUMIFS(Lançamentos!$F:$F,Lançamentos!$A:$A,FC$19,Lançamentos!$C:$C,"Taxas e Anuidades")</f>
        <v>0</v>
      </c>
      <c r="FD66" s="37">
        <f>SUMIFS(Lançamentos!$F:$F,Lançamentos!$A:$A,FD$19,Lançamentos!$C:$C,"Taxas e Anuidades")</f>
        <v>0</v>
      </c>
      <c r="FE66" s="37">
        <f>SUMIFS(Lançamentos!$F:$F,Lançamentos!$A:$A,FE$19,Lançamentos!$C:$C,"Taxas e Anuidades")</f>
        <v>0</v>
      </c>
      <c r="FF66" s="37">
        <f>SUMIFS(Lançamentos!$F:$F,Lançamentos!$A:$A,FF$19,Lançamentos!$C:$C,"Taxas e Anuidades")</f>
        <v>0</v>
      </c>
      <c r="FG66" s="37">
        <f>SUMIFS(Lançamentos!$F:$F,Lançamentos!$A:$A,FG$19,Lançamentos!$C:$C,"Taxas e Anuidades")</f>
        <v>0</v>
      </c>
      <c r="FH66" s="37">
        <f>SUMIFS(Lançamentos!$F:$F,Lançamentos!$A:$A,FH$19,Lançamentos!$C:$C,"Taxas e Anuidades")</f>
        <v>0</v>
      </c>
      <c r="FI66" s="37">
        <f>SUMIFS(Lançamentos!$F:$F,Lançamentos!$A:$A,FI$19,Lançamentos!$C:$C,"Taxas e Anuidades")</f>
        <v>0</v>
      </c>
      <c r="FJ66" s="37">
        <f>SUMIFS(Lançamentos!$F:$F,Lançamentos!$A:$A,FJ$19,Lançamentos!$C:$C,"Taxas e Anuidades")</f>
        <v>0</v>
      </c>
      <c r="FK66" s="37">
        <f>SUMIFS(Lançamentos!$F:$F,Lançamentos!$A:$A,FK$19,Lançamentos!$C:$C,"Taxas e Anuidades")</f>
        <v>0</v>
      </c>
      <c r="FL66" s="37">
        <f>SUMIFS(Lançamentos!$F:$F,Lançamentos!$A:$A,FL$19,Lançamentos!$C:$C,"Taxas e Anuidades")</f>
        <v>0</v>
      </c>
      <c r="FM66" s="37">
        <f>SUMIFS(Lançamentos!$F:$F,Lançamentos!$A:$A,FM$19,Lançamentos!$C:$C,"Taxas e Anuidades")</f>
        <v>0</v>
      </c>
      <c r="FN66" s="37">
        <f>SUMIFS(Lançamentos!$F:$F,Lançamentos!$A:$A,FN$19,Lançamentos!$C:$C,"Taxas e Anuidades")</f>
        <v>0</v>
      </c>
      <c r="FO66" s="37">
        <f>SUMIFS(Lançamentos!$F:$F,Lançamentos!$A:$A,FO$19,Lançamentos!$C:$C,"Taxas e Anuidades")</f>
        <v>0</v>
      </c>
      <c r="FP66" s="37">
        <f>SUMIFS(Lançamentos!$F:$F,Lançamentos!$A:$A,FP$19,Lançamentos!$C:$C,"Taxas e Anuidades")</f>
        <v>0</v>
      </c>
      <c r="FQ66" s="37">
        <f>SUMIFS(Lançamentos!$F:$F,Lançamentos!$A:$A,FQ$19,Lançamentos!$C:$C,"Taxas e Anuidades")</f>
        <v>0</v>
      </c>
      <c r="FR66" s="37">
        <f>SUMIFS(Lançamentos!$F:$F,Lançamentos!$A:$A,FR$19,Lançamentos!$C:$C,"Taxas e Anuidades")</f>
        <v>0</v>
      </c>
      <c r="FS66" s="37">
        <f>SUMIFS(Lançamentos!$F:$F,Lançamentos!$A:$A,FS$19,Lançamentos!$C:$C,"Taxas e Anuidades")</f>
        <v>0</v>
      </c>
      <c r="FT66" s="37">
        <f>SUMIFS(Lançamentos!$F:$F,Lançamentos!$A:$A,FT$19,Lançamentos!$C:$C,"Taxas e Anuidades")</f>
        <v>0</v>
      </c>
      <c r="FU66" s="37">
        <f>SUMIFS(Lançamentos!$F:$F,Lançamentos!$A:$A,FU$19,Lançamentos!$C:$C,"Taxas e Anuidades")</f>
        <v>0</v>
      </c>
      <c r="FV66" s="37">
        <f>SUMIFS(Lançamentos!$F:$F,Lançamentos!$A:$A,FV$19,Lançamentos!$C:$C,"Taxas e Anuidades")</f>
        <v>0</v>
      </c>
      <c r="FW66" s="37">
        <f>SUMIFS(Lançamentos!$F:$F,Lançamentos!$A:$A,FW$19,Lançamentos!$C:$C,"Taxas e Anuidades")</f>
        <v>0</v>
      </c>
      <c r="FX66" s="37">
        <f>SUMIFS(Lançamentos!$F:$F,Lançamentos!$A:$A,FX$19,Lançamentos!$C:$C,"Taxas e Anuidades")</f>
        <v>0</v>
      </c>
      <c r="FY66" s="37">
        <f>SUMIFS(Lançamentos!$F:$F,Lançamentos!$A:$A,FY$19,Lançamentos!$C:$C,"Taxas e Anuidades")</f>
        <v>0</v>
      </c>
      <c r="FZ66" s="37">
        <f>SUMIFS(Lançamentos!$F:$F,Lançamentos!$A:$A,FZ$19,Lançamentos!$C:$C,"Taxas e Anuidades")</f>
        <v>0</v>
      </c>
      <c r="GA66" s="37">
        <f>SUMIFS(Lançamentos!$F:$F,Lançamentos!$A:$A,GA$19,Lançamentos!$C:$C,"Taxas e Anuidades")</f>
        <v>0</v>
      </c>
      <c r="GB66" s="37">
        <f>SUMIFS(Lançamentos!$F:$F,Lançamentos!$A:$A,GB$19,Lançamentos!$C:$C,"Taxas e Anuidades")</f>
        <v>0</v>
      </c>
      <c r="GC66" s="37">
        <f>SUMIFS(Lançamentos!$F:$F,Lançamentos!$A:$A,GC$19,Lançamentos!$C:$C,"Taxas e Anuidades")</f>
        <v>0</v>
      </c>
      <c r="GD66" s="37">
        <f>SUMIFS(Lançamentos!$F:$F,Lançamentos!$A:$A,GD$19,Lançamentos!$C:$C,"Taxas e Anuidades")</f>
        <v>0</v>
      </c>
      <c r="GE66" s="37">
        <f>SUMIFS(Lançamentos!$F:$F,Lançamentos!$A:$A,GE$19,Lançamentos!$C:$C,"Taxas e Anuidades")</f>
        <v>0</v>
      </c>
      <c r="GF66" s="37">
        <f>SUMIFS(Lançamentos!$F:$F,Lançamentos!$A:$A,GF$19,Lançamentos!$C:$C,"Taxas e Anuidades")</f>
        <v>0</v>
      </c>
      <c r="GG66" s="37">
        <f>SUMIFS(Lançamentos!$F:$F,Lançamentos!$A:$A,GG$19,Lançamentos!$C:$C,"Taxas e Anuidades")</f>
        <v>0</v>
      </c>
      <c r="GH66" s="37">
        <f>SUMIFS(Lançamentos!$F:$F,Lançamentos!$A:$A,GH$19,Lançamentos!$C:$C,"Taxas e Anuidades")</f>
        <v>0</v>
      </c>
      <c r="GI66" s="37">
        <f>SUMIFS(Lançamentos!$F:$F,Lançamentos!$A:$A,GI$19,Lançamentos!$C:$C,"Taxas e Anuidades")</f>
        <v>0</v>
      </c>
      <c r="GJ66" s="37">
        <f>SUMIFS(Lançamentos!$F:$F,Lançamentos!$A:$A,GJ$19,Lançamentos!$C:$C,"Taxas e Anuidades")</f>
        <v>0</v>
      </c>
      <c r="GK66" s="37">
        <f>SUMIFS(Lançamentos!$F:$F,Lançamentos!$A:$A,GK$19,Lançamentos!$C:$C,"Taxas e Anuidades")</f>
        <v>0</v>
      </c>
      <c r="GL66" s="37">
        <f>SUMIFS(Lançamentos!$F:$F,Lançamentos!$A:$A,GL$19,Lançamentos!$C:$C,"Taxas e Anuidades")</f>
        <v>0</v>
      </c>
      <c r="GM66" s="37">
        <f>SUMIFS(Lançamentos!$F:$F,Lançamentos!$A:$A,GM$19,Lançamentos!$C:$C,"Taxas e Anuidades")</f>
        <v>0</v>
      </c>
      <c r="GN66" s="37">
        <f>SUMIFS(Lançamentos!$F:$F,Lançamentos!$A:$A,GN$19,Lançamentos!$C:$C,"Taxas e Anuidades")</f>
        <v>0</v>
      </c>
      <c r="GO66" s="37">
        <f>SUMIFS(Lançamentos!$F:$F,Lançamentos!$A:$A,GO$19,Lançamentos!$C:$C,"Taxas e Anuidades")</f>
        <v>0</v>
      </c>
      <c r="GP66" s="37">
        <f>SUMIFS(Lançamentos!$F:$F,Lançamentos!$A:$A,GP$19,Lançamentos!$C:$C,"Taxas e Anuidades")</f>
        <v>0</v>
      </c>
      <c r="GQ66" s="37">
        <f>SUMIFS(Lançamentos!$F:$F,Lançamentos!$A:$A,GQ$19,Lançamentos!$C:$C,"Taxas e Anuidades")</f>
        <v>0</v>
      </c>
      <c r="GR66" s="37">
        <f>SUMIFS(Lançamentos!$F:$F,Lançamentos!$A:$A,GR$19,Lançamentos!$C:$C,"Taxas e Anuidades")</f>
        <v>0</v>
      </c>
      <c r="GS66" s="37">
        <f>SUMIFS(Lançamentos!$F:$F,Lançamentos!$A:$A,GS$19,Lançamentos!$C:$C,"Taxas e Anuidades")</f>
        <v>0</v>
      </c>
      <c r="GT66" s="37">
        <f>SUMIFS(Lançamentos!$F:$F,Lançamentos!$A:$A,GT$19,Lançamentos!$C:$C,"Taxas e Anuidades")</f>
        <v>0</v>
      </c>
      <c r="GU66" s="37">
        <f>SUMIFS(Lançamentos!$F:$F,Lançamentos!$A:$A,GU$19,Lançamentos!$C:$C,"Taxas e Anuidades")</f>
        <v>0</v>
      </c>
      <c r="GV66" s="37">
        <f>SUMIFS(Lançamentos!$F:$F,Lançamentos!$A:$A,GV$19,Lançamentos!$C:$C,"Taxas e Anuidades")</f>
        <v>0</v>
      </c>
      <c r="GW66" s="37">
        <f>SUMIFS(Lançamentos!$F:$F,Lançamentos!$A:$A,GW$19,Lançamentos!$C:$C,"Taxas e Anuidades")</f>
        <v>0</v>
      </c>
      <c r="GX66" s="37">
        <f>SUMIFS(Lançamentos!$F:$F,Lançamentos!$A:$A,GX$19,Lançamentos!$C:$C,"Taxas e Anuidades")</f>
        <v>0</v>
      </c>
      <c r="GY66" s="37">
        <f>SUMIFS(Lançamentos!$F:$F,Lançamentos!$A:$A,GY$19,Lançamentos!$C:$C,"Taxas e Anuidades")</f>
        <v>0</v>
      </c>
      <c r="GZ66" s="37">
        <f>SUMIFS(Lançamentos!$F:$F,Lançamentos!$A:$A,GZ$19,Lançamentos!$C:$C,"Taxas e Anuidades")</f>
        <v>0</v>
      </c>
      <c r="HA66" s="37">
        <f>SUMIFS(Lançamentos!$F:$F,Lançamentos!$A:$A,HA$19,Lançamentos!$C:$C,"Taxas e Anuidades")</f>
        <v>0</v>
      </c>
      <c r="HB66" s="37">
        <f>SUMIFS(Lançamentos!$F:$F,Lançamentos!$A:$A,HB$19,Lançamentos!$C:$C,"Taxas e Anuidades")</f>
        <v>0</v>
      </c>
      <c r="HC66" s="37">
        <f>SUMIFS(Lançamentos!$F:$F,Lançamentos!$A:$A,HC$19,Lançamentos!$C:$C,"Taxas e Anuidades")</f>
        <v>0</v>
      </c>
      <c r="HD66" s="37">
        <f>SUMIFS(Lançamentos!$F:$F,Lançamentos!$A:$A,HD$19,Lançamentos!$C:$C,"Taxas e Anuidades")</f>
        <v>0</v>
      </c>
      <c r="HE66" s="37">
        <f>SUMIFS(Lançamentos!$F:$F,Lançamentos!$A:$A,HE$19,Lançamentos!$C:$C,"Taxas e Anuidades")</f>
        <v>0</v>
      </c>
      <c r="HF66" s="37">
        <f>SUMIFS(Lançamentos!$F:$F,Lançamentos!$A:$A,HF$19,Lançamentos!$C:$C,"Taxas e Anuidades")</f>
        <v>0</v>
      </c>
      <c r="HG66" s="37">
        <f>SUMIFS(Lançamentos!$F:$F,Lançamentos!$A:$A,HG$19,Lançamentos!$C:$C,"Taxas e Anuidades")</f>
        <v>0</v>
      </c>
      <c r="HH66" s="37">
        <f>SUMIFS(Lançamentos!$F:$F,Lançamentos!$A:$A,HH$19,Lançamentos!$C:$C,"Taxas e Anuidades")</f>
        <v>0</v>
      </c>
      <c r="HI66" s="37">
        <f>SUMIFS(Lançamentos!$F:$F,Lançamentos!$A:$A,HI$19,Lançamentos!$C:$C,"Taxas e Anuidades")</f>
        <v>0</v>
      </c>
      <c r="HJ66" s="37">
        <f>SUMIFS(Lançamentos!$F:$F,Lançamentos!$A:$A,HJ$19,Lançamentos!$C:$C,"Taxas e Anuidades")</f>
        <v>0</v>
      </c>
      <c r="HK66" s="37">
        <f>SUMIFS(Lançamentos!$F:$F,Lançamentos!$A:$A,HK$19,Lançamentos!$C:$C,"Taxas e Anuidades")</f>
        <v>0</v>
      </c>
      <c r="HL66" s="37">
        <f>SUMIFS(Lançamentos!$F:$F,Lançamentos!$A:$A,HL$19,Lançamentos!$C:$C,"Taxas e Anuidades")</f>
        <v>0</v>
      </c>
      <c r="HM66" s="37">
        <f>SUMIFS(Lançamentos!$F:$F,Lançamentos!$A:$A,HM$19,Lançamentos!$C:$C,"Taxas e Anuidades")</f>
        <v>0</v>
      </c>
      <c r="HN66" s="37">
        <f>SUMIFS(Lançamentos!$F:$F,Lançamentos!$A:$A,HN$19,Lançamentos!$C:$C,"Taxas e Anuidades")</f>
        <v>0</v>
      </c>
      <c r="HO66" s="37">
        <f>SUMIFS(Lançamentos!$F:$F,Lançamentos!$A:$A,HO$19,Lançamentos!$C:$C,"Taxas e Anuidades")</f>
        <v>0</v>
      </c>
      <c r="HP66" s="37">
        <f>SUMIFS(Lançamentos!$F:$F,Lançamentos!$A:$A,HP$19,Lançamentos!$C:$C,"Taxas e Anuidades")</f>
        <v>0</v>
      </c>
      <c r="HQ66" s="37">
        <f>SUMIFS(Lançamentos!$F:$F,Lançamentos!$A:$A,HQ$19,Lançamentos!$C:$C,"Taxas e Anuidades")</f>
        <v>0</v>
      </c>
      <c r="HR66" s="37">
        <f>SUMIFS(Lançamentos!$F:$F,Lançamentos!$A:$A,HR$19,Lançamentos!$C:$C,"Taxas e Anuidades")</f>
        <v>0</v>
      </c>
      <c r="HS66" s="37">
        <f>SUMIFS(Lançamentos!$F:$F,Lançamentos!$A:$A,HS$19,Lançamentos!$C:$C,"Taxas e Anuidades")</f>
        <v>0</v>
      </c>
      <c r="HT66" s="37">
        <f>SUMIFS(Lançamentos!$F:$F,Lançamentos!$A:$A,HT$19,Lançamentos!$C:$C,"Taxas e Anuidades")</f>
        <v>0</v>
      </c>
      <c r="HU66" s="37">
        <f>SUMIFS(Lançamentos!$F:$F,Lançamentos!$A:$A,HU$19,Lançamentos!$C:$C,"Taxas e Anuidades")</f>
        <v>0</v>
      </c>
      <c r="HV66" s="37">
        <f>SUMIFS(Lançamentos!$F:$F,Lançamentos!$A:$A,HV$19,Lançamentos!$C:$C,"Taxas e Anuidades")</f>
        <v>0</v>
      </c>
      <c r="HW66" s="37">
        <f>SUMIFS(Lançamentos!$F:$F,Lançamentos!$A:$A,HW$19,Lançamentos!$C:$C,"Taxas e Anuidades")</f>
        <v>0</v>
      </c>
      <c r="HX66" s="37">
        <f>SUMIFS(Lançamentos!$F:$F,Lançamentos!$A:$A,HX$19,Lançamentos!$C:$C,"Taxas e Anuidades")</f>
        <v>0</v>
      </c>
      <c r="HY66" s="37">
        <f>SUMIFS(Lançamentos!$F:$F,Lançamentos!$A:$A,HY$19,Lançamentos!$C:$C,"Taxas e Anuidades")</f>
        <v>0</v>
      </c>
      <c r="HZ66" s="37">
        <f>SUMIFS(Lançamentos!$F:$F,Lançamentos!$A:$A,HZ$19,Lançamentos!$C:$C,"Taxas e Anuidades")</f>
        <v>0</v>
      </c>
      <c r="IA66" s="37">
        <f>SUMIFS(Lançamentos!$F:$F,Lançamentos!$A:$A,IA$19,Lançamentos!$C:$C,"Taxas e Anuidades")</f>
        <v>0</v>
      </c>
      <c r="IB66" s="37">
        <f>SUMIFS(Lançamentos!$F:$F,Lançamentos!$A:$A,IB$19,Lançamentos!$C:$C,"Taxas e Anuidades")</f>
        <v>0</v>
      </c>
      <c r="IC66" s="37">
        <f>SUMIFS(Lançamentos!$F:$F,Lançamentos!$A:$A,IC$19,Lançamentos!$C:$C,"Taxas e Anuidades")</f>
        <v>0</v>
      </c>
      <c r="ID66" s="37">
        <f>SUMIFS(Lançamentos!$F:$F,Lançamentos!$A:$A,ID$19,Lançamentos!$C:$C,"Taxas e Anuidades")</f>
        <v>0</v>
      </c>
      <c r="IE66" s="37">
        <f>SUMIFS(Lançamentos!$F:$F,Lançamentos!$A:$A,IE$19,Lançamentos!$C:$C,"Taxas e Anuidades")</f>
        <v>0</v>
      </c>
      <c r="IF66" s="37">
        <f>SUMIFS(Lançamentos!$F:$F,Lançamentos!$A:$A,IF$19,Lançamentos!$C:$C,"Taxas e Anuidades")</f>
        <v>0</v>
      </c>
      <c r="IG66" s="37">
        <f>SUMIFS(Lançamentos!$F:$F,Lançamentos!$A:$A,IG$19,Lançamentos!$C:$C,"Taxas e Anuidades")</f>
        <v>0</v>
      </c>
      <c r="IH66" s="37">
        <f>SUMIFS(Lançamentos!$F:$F,Lançamentos!$A:$A,IH$19,Lançamentos!$C:$C,"Taxas e Anuidades")</f>
        <v>0</v>
      </c>
      <c r="II66" s="37">
        <f>SUMIFS(Lançamentos!$F:$F,Lançamentos!$A:$A,II$19,Lançamentos!$C:$C,"Taxas e Anuidades")</f>
        <v>0</v>
      </c>
      <c r="IJ66" s="37">
        <f>SUMIFS(Lançamentos!$F:$F,Lançamentos!$A:$A,IJ$19,Lançamentos!$C:$C,"Taxas e Anuidades")</f>
        <v>0</v>
      </c>
      <c r="IK66" s="37">
        <f>SUMIFS(Lançamentos!$F:$F,Lançamentos!$A:$A,IK$19,Lançamentos!$C:$C,"Taxas e Anuidades")</f>
        <v>0</v>
      </c>
      <c r="IL66" s="37">
        <f>SUMIFS(Lançamentos!$F:$F,Lançamentos!$A:$A,IL$19,Lançamentos!$C:$C,"Taxas e Anuidades")</f>
        <v>0</v>
      </c>
    </row>
    <row r="67" spans="1:246" x14ac:dyDescent="0.3">
      <c r="A67" t="s">
        <v>105</v>
      </c>
      <c r="B67" s="37">
        <f>SUMIFS(Lançamentos!$F:$F,Lançamentos!$A:$A,B$19,Lançamentos!$C:$C,"IOF")</f>
        <v>0</v>
      </c>
      <c r="C67" s="37">
        <f>SUMIFS(Lançamentos!$F:$F,Lançamentos!$A:$A,C$19,Lançamentos!$C:$C,"IOF")</f>
        <v>0</v>
      </c>
      <c r="D67" s="37">
        <f>SUMIFS(Lançamentos!$F:$F,Lançamentos!$A:$A,D$19,Lançamentos!$C:$C,"IOF")</f>
        <v>0</v>
      </c>
      <c r="E67" s="37">
        <f>SUMIFS(Lançamentos!$F:$F,Lançamentos!$A:$A,E$19,Lançamentos!$C:$C,"IOF")</f>
        <v>0</v>
      </c>
      <c r="F67" s="37">
        <f>SUMIFS(Lançamentos!$F:$F,Lançamentos!$A:$A,F$19,Lançamentos!$C:$C,"IOF")</f>
        <v>0</v>
      </c>
      <c r="G67" s="37">
        <f>SUMIFS(Lançamentos!$F:$F,Lançamentos!$A:$A,G$19,Lançamentos!$C:$C,"IOF")</f>
        <v>0</v>
      </c>
      <c r="H67" s="37">
        <f>SUMIFS(Lançamentos!$F:$F,Lançamentos!$A:$A,H$19,Lançamentos!$C:$C,"IOF")</f>
        <v>0</v>
      </c>
      <c r="I67" s="37">
        <f>SUMIFS(Lançamentos!$F:$F,Lançamentos!$A:$A,I$19,Lançamentos!$C:$C,"IOF")</f>
        <v>0</v>
      </c>
      <c r="J67" s="37">
        <f>SUMIFS(Lançamentos!$F:$F,Lançamentos!$A:$A,J$19,Lançamentos!$C:$C,"IOF")</f>
        <v>0</v>
      </c>
      <c r="K67" s="37">
        <f>SUMIFS(Lançamentos!$F:$F,Lançamentos!$A:$A,K$19,Lançamentos!$C:$C,"IOF")</f>
        <v>0</v>
      </c>
      <c r="L67" s="37">
        <f>SUMIFS(Lançamentos!$F:$F,Lançamentos!$A:$A,L$19,Lançamentos!$C:$C,"IOF")</f>
        <v>0</v>
      </c>
      <c r="M67" s="37">
        <f>SUMIFS(Lançamentos!$F:$F,Lançamentos!$A:$A,M$19,Lançamentos!$C:$C,"IOF")</f>
        <v>0</v>
      </c>
      <c r="N67" s="37">
        <f>SUMIFS(Lançamentos!$F:$F,Lançamentos!$A:$A,N$19,Lançamentos!$C:$C,"IOF")</f>
        <v>0</v>
      </c>
      <c r="O67" s="37">
        <f>SUMIFS(Lançamentos!$F:$F,Lançamentos!$A:$A,O$19,Lançamentos!$C:$C,"IOF")</f>
        <v>0</v>
      </c>
      <c r="P67" s="37">
        <f>SUMIFS(Lançamentos!$F:$F,Lançamentos!$A:$A,P$19,Lançamentos!$C:$C,"IOF")</f>
        <v>0</v>
      </c>
      <c r="Q67" s="37">
        <f>SUMIFS(Lançamentos!$F:$F,Lançamentos!$A:$A,Q$19,Lançamentos!$C:$C,"IOF")</f>
        <v>0</v>
      </c>
      <c r="R67" s="37">
        <f>SUMIFS(Lançamentos!$F:$F,Lançamentos!$A:$A,R$19,Lançamentos!$C:$C,"IOF")</f>
        <v>0</v>
      </c>
      <c r="S67" s="37">
        <f>SUMIFS(Lançamentos!$F:$F,Lançamentos!$A:$A,S$19,Lançamentos!$C:$C,"IOF")</f>
        <v>0</v>
      </c>
      <c r="T67" s="37">
        <f>SUMIFS(Lançamentos!$F:$F,Lançamentos!$A:$A,T$19,Lançamentos!$C:$C,"IOF")</f>
        <v>0</v>
      </c>
      <c r="U67" s="37">
        <f>SUMIFS(Lançamentos!$F:$F,Lançamentos!$A:$A,U$19,Lançamentos!$C:$C,"IOF")</f>
        <v>0</v>
      </c>
      <c r="V67" s="37">
        <f>SUMIFS(Lançamentos!$F:$F,Lançamentos!$A:$A,V$19,Lançamentos!$C:$C,"IOF")</f>
        <v>0</v>
      </c>
      <c r="W67" s="37">
        <f>SUMIFS(Lançamentos!$F:$F,Lançamentos!$A:$A,W$19,Lançamentos!$C:$C,"IOF")</f>
        <v>0</v>
      </c>
      <c r="X67" s="37">
        <f>SUMIFS(Lançamentos!$F:$F,Lançamentos!$A:$A,X$19,Lançamentos!$C:$C,"IOF")</f>
        <v>0</v>
      </c>
      <c r="Y67" s="37">
        <f>SUMIFS(Lançamentos!$F:$F,Lançamentos!$A:$A,Y$19,Lançamentos!$C:$C,"IOF")</f>
        <v>0</v>
      </c>
      <c r="Z67" s="37">
        <f>SUMIFS(Lançamentos!$F:$F,Lançamentos!$A:$A,Z$19,Lançamentos!$C:$C,"IOF")</f>
        <v>0</v>
      </c>
      <c r="AA67" s="37">
        <f>SUMIFS(Lançamentos!$F:$F,Lançamentos!$A:$A,AA$19,Lançamentos!$C:$C,"IOF")</f>
        <v>0</v>
      </c>
      <c r="AB67" s="37">
        <f>SUMIFS(Lançamentos!$F:$F,Lançamentos!$A:$A,AB$19,Lançamentos!$C:$C,"IOF")</f>
        <v>0</v>
      </c>
      <c r="AC67" s="37">
        <f>SUMIFS(Lançamentos!$F:$F,Lançamentos!$A:$A,AC$19,Lançamentos!$C:$C,"IOF")</f>
        <v>0</v>
      </c>
      <c r="AD67" s="37">
        <f>SUMIFS(Lançamentos!$F:$F,Lançamentos!$A:$A,AD$19,Lançamentos!$C:$C,"IOF")</f>
        <v>0</v>
      </c>
      <c r="AE67" s="37">
        <f>SUMIFS(Lançamentos!$F:$F,Lançamentos!$A:$A,AE$19,Lançamentos!$C:$C,"IOF")</f>
        <v>0</v>
      </c>
      <c r="AF67" s="37">
        <f>SUMIFS(Lançamentos!$F:$F,Lançamentos!$A:$A,AF$19,Lançamentos!$C:$C,"IOF")</f>
        <v>0</v>
      </c>
      <c r="AG67" s="37">
        <f>SUMIFS(Lançamentos!$F:$F,Lançamentos!$A:$A,AG$19,Lançamentos!$C:$C,"IOF")</f>
        <v>0</v>
      </c>
      <c r="AH67" s="37">
        <f>SUMIFS(Lançamentos!$F:$F,Lançamentos!$A:$A,AH$19,Lançamentos!$C:$C,"IOF")</f>
        <v>0</v>
      </c>
      <c r="AI67" s="37">
        <f>SUMIFS(Lançamentos!$F:$F,Lançamentos!$A:$A,AI$19,Lançamentos!$C:$C,"IOF")</f>
        <v>0</v>
      </c>
      <c r="AJ67" s="37">
        <f>SUMIFS(Lançamentos!$F:$F,Lançamentos!$A:$A,AJ$19,Lançamentos!$C:$C,"IOF")</f>
        <v>0</v>
      </c>
      <c r="AK67" s="37">
        <f>SUMIFS(Lançamentos!$F:$F,Lançamentos!$A:$A,AK$19,Lançamentos!$C:$C,"IOF")</f>
        <v>0</v>
      </c>
      <c r="AL67" s="37">
        <f>SUMIFS(Lançamentos!$F:$F,Lançamentos!$A:$A,AL$19,Lançamentos!$C:$C,"IOF")</f>
        <v>0</v>
      </c>
      <c r="AM67" s="37">
        <f>SUMIFS(Lançamentos!$F:$F,Lançamentos!$A:$A,AM$19,Lançamentos!$C:$C,"IOF")</f>
        <v>0</v>
      </c>
      <c r="AN67" s="37">
        <f>SUMIFS(Lançamentos!$F:$F,Lançamentos!$A:$A,AN$19,Lançamentos!$C:$C,"IOF")</f>
        <v>0</v>
      </c>
      <c r="AO67" s="37">
        <f>SUMIFS(Lançamentos!$F:$F,Lançamentos!$A:$A,AO$19,Lançamentos!$C:$C,"IOF")</f>
        <v>0</v>
      </c>
      <c r="AP67" s="37">
        <f>SUMIFS(Lançamentos!$F:$F,Lançamentos!$A:$A,AP$19,Lançamentos!$C:$C,"IOF")</f>
        <v>0</v>
      </c>
      <c r="AQ67" s="37">
        <f>SUMIFS(Lançamentos!$F:$F,Lançamentos!$A:$A,AQ$19,Lançamentos!$C:$C,"IOF")</f>
        <v>0</v>
      </c>
      <c r="AR67" s="37">
        <f>SUMIFS(Lançamentos!$F:$F,Lançamentos!$A:$A,AR$19,Lançamentos!$C:$C,"IOF")</f>
        <v>0</v>
      </c>
      <c r="AS67" s="37">
        <f>SUMIFS(Lançamentos!$F:$F,Lançamentos!$A:$A,AS$19,Lançamentos!$C:$C,"IOF")</f>
        <v>0</v>
      </c>
      <c r="AT67" s="37">
        <f>SUMIFS(Lançamentos!$F:$F,Lançamentos!$A:$A,AT$19,Lançamentos!$C:$C,"IOF")</f>
        <v>0</v>
      </c>
      <c r="AU67" s="37">
        <f>SUMIFS(Lançamentos!$F:$F,Lançamentos!$A:$A,AU$19,Lançamentos!$C:$C,"IOF")</f>
        <v>0</v>
      </c>
      <c r="AV67" s="37">
        <f>SUMIFS(Lançamentos!$F:$F,Lançamentos!$A:$A,AV$19,Lançamentos!$C:$C,"IOF")</f>
        <v>0</v>
      </c>
      <c r="AW67" s="37">
        <f>SUMIFS(Lançamentos!$F:$F,Lançamentos!$A:$A,AW$19,Lançamentos!$C:$C,"IOF")</f>
        <v>0</v>
      </c>
      <c r="AX67" s="37">
        <f>SUMIFS(Lançamentos!$F:$F,Lançamentos!$A:$A,AX$19,Lançamentos!$C:$C,"IOF")</f>
        <v>0</v>
      </c>
      <c r="AY67" s="37">
        <f>SUMIFS(Lançamentos!$F:$F,Lançamentos!$A:$A,AY$19,Lançamentos!$C:$C,"IOF")</f>
        <v>0</v>
      </c>
      <c r="AZ67" s="37">
        <f>SUMIFS(Lançamentos!$F:$F,Lançamentos!$A:$A,AZ$19,Lançamentos!$C:$C,"IOF")</f>
        <v>0</v>
      </c>
      <c r="BA67" s="37">
        <f>SUMIFS(Lançamentos!$F:$F,Lançamentos!$A:$A,BA$19,Lançamentos!$C:$C,"IOF")</f>
        <v>0</v>
      </c>
      <c r="BB67" s="37">
        <f>SUMIFS(Lançamentos!$F:$F,Lançamentos!$A:$A,BB$19,Lançamentos!$C:$C,"IOF")</f>
        <v>0</v>
      </c>
      <c r="BC67" s="37">
        <f>SUMIFS(Lançamentos!$F:$F,Lançamentos!$A:$A,BC$19,Lançamentos!$C:$C,"IOF")</f>
        <v>0</v>
      </c>
      <c r="BD67" s="37">
        <f>SUMIFS(Lançamentos!$F:$F,Lançamentos!$A:$A,BD$19,Lançamentos!$C:$C,"IOF")</f>
        <v>0</v>
      </c>
      <c r="BE67" s="37">
        <f>SUMIFS(Lançamentos!$F:$F,Lançamentos!$A:$A,BE$19,Lançamentos!$C:$C,"IOF")</f>
        <v>0</v>
      </c>
      <c r="BF67" s="37">
        <f>SUMIFS(Lançamentos!$F:$F,Lançamentos!$A:$A,BF$19,Lançamentos!$C:$C,"IOF")</f>
        <v>0</v>
      </c>
      <c r="BG67" s="37">
        <f>SUMIFS(Lançamentos!$F:$F,Lançamentos!$A:$A,BG$19,Lançamentos!$C:$C,"IOF")</f>
        <v>0</v>
      </c>
      <c r="BH67" s="37">
        <f>SUMIFS(Lançamentos!$F:$F,Lançamentos!$A:$A,BH$19,Lançamentos!$C:$C,"IOF")</f>
        <v>0</v>
      </c>
      <c r="BI67" s="37">
        <f>SUMIFS(Lançamentos!$F:$F,Lançamentos!$A:$A,BI$19,Lançamentos!$C:$C,"IOF")</f>
        <v>0</v>
      </c>
      <c r="BJ67" s="37">
        <f>SUMIFS(Lançamentos!$F:$F,Lançamentos!$A:$A,BJ$19,Lançamentos!$C:$C,"IOF")</f>
        <v>0</v>
      </c>
      <c r="BK67" s="37">
        <f>SUMIFS(Lançamentos!$F:$F,Lançamentos!$A:$A,BK$19,Lançamentos!$C:$C,"IOF")</f>
        <v>0</v>
      </c>
      <c r="BL67" s="37">
        <f>SUMIFS(Lançamentos!$F:$F,Lançamentos!$A:$A,BL$19,Lançamentos!$C:$C,"IOF")</f>
        <v>0</v>
      </c>
      <c r="BM67" s="37">
        <f>SUMIFS(Lançamentos!$F:$F,Lançamentos!$A:$A,BM$19,Lançamentos!$C:$C,"IOF")</f>
        <v>0</v>
      </c>
      <c r="BN67" s="37">
        <f>SUMIFS(Lançamentos!$F:$F,Lançamentos!$A:$A,BN$19,Lançamentos!$C:$C,"IOF")</f>
        <v>0</v>
      </c>
      <c r="BO67" s="37">
        <f>SUMIFS(Lançamentos!$F:$F,Lançamentos!$A:$A,BO$19,Lançamentos!$C:$C,"IOF")</f>
        <v>0</v>
      </c>
      <c r="BP67" s="37">
        <f>SUMIFS(Lançamentos!$F:$F,Lançamentos!$A:$A,BP$19,Lançamentos!$C:$C,"IOF")</f>
        <v>0</v>
      </c>
      <c r="BQ67" s="37">
        <f>SUMIFS(Lançamentos!$F:$F,Lançamentos!$A:$A,BQ$19,Lançamentos!$C:$C,"IOF")</f>
        <v>0</v>
      </c>
      <c r="BR67" s="37">
        <f>SUMIFS(Lançamentos!$F:$F,Lançamentos!$A:$A,BR$19,Lançamentos!$C:$C,"IOF")</f>
        <v>0</v>
      </c>
      <c r="BS67" s="37">
        <f>SUMIFS(Lançamentos!$F:$F,Lançamentos!$A:$A,BS$19,Lançamentos!$C:$C,"IOF")</f>
        <v>0</v>
      </c>
      <c r="BT67" s="37">
        <f>SUMIFS(Lançamentos!$F:$F,Lançamentos!$A:$A,BT$19,Lançamentos!$C:$C,"IOF")</f>
        <v>0</v>
      </c>
      <c r="BU67" s="37">
        <f>SUMIFS(Lançamentos!$F:$F,Lançamentos!$A:$A,BU$19,Lançamentos!$C:$C,"IOF")</f>
        <v>0</v>
      </c>
      <c r="BV67" s="37">
        <f>SUMIFS(Lançamentos!$F:$F,Lançamentos!$A:$A,BV$19,Lançamentos!$C:$C,"IOF")</f>
        <v>0</v>
      </c>
      <c r="BW67" s="37">
        <f>SUMIFS(Lançamentos!$F:$F,Lançamentos!$A:$A,BW$19,Lançamentos!$C:$C,"IOF")</f>
        <v>0</v>
      </c>
      <c r="BX67" s="37">
        <f>SUMIFS(Lançamentos!$F:$F,Lançamentos!$A:$A,BX$19,Lançamentos!$C:$C,"IOF")</f>
        <v>0</v>
      </c>
      <c r="BY67" s="37">
        <f>SUMIFS(Lançamentos!$F:$F,Lançamentos!$A:$A,BY$19,Lançamentos!$C:$C,"IOF")</f>
        <v>0</v>
      </c>
      <c r="BZ67" s="37">
        <f>SUMIFS(Lançamentos!$F:$F,Lançamentos!$A:$A,BZ$19,Lançamentos!$C:$C,"IOF")</f>
        <v>0</v>
      </c>
      <c r="CA67" s="37">
        <f>SUMIFS(Lançamentos!$F:$F,Lançamentos!$A:$A,CA$19,Lançamentos!$C:$C,"IOF")</f>
        <v>0</v>
      </c>
      <c r="CB67" s="37">
        <f>SUMIFS(Lançamentos!$F:$F,Lançamentos!$A:$A,CB$19,Lançamentos!$C:$C,"IOF")</f>
        <v>0</v>
      </c>
      <c r="CC67" s="37">
        <f>SUMIFS(Lançamentos!$F:$F,Lançamentos!$A:$A,CC$19,Lançamentos!$C:$C,"IOF")</f>
        <v>0</v>
      </c>
      <c r="CD67" s="37">
        <f>SUMIFS(Lançamentos!$F:$F,Lançamentos!$A:$A,CD$19,Lançamentos!$C:$C,"IOF")</f>
        <v>0</v>
      </c>
      <c r="CE67" s="37">
        <f>SUMIFS(Lançamentos!$F:$F,Lançamentos!$A:$A,CE$19,Lançamentos!$C:$C,"IOF")</f>
        <v>0</v>
      </c>
      <c r="CF67" s="37">
        <f>SUMIFS(Lançamentos!$F:$F,Lançamentos!$A:$A,CF$19,Lançamentos!$C:$C,"IOF")</f>
        <v>0</v>
      </c>
      <c r="CG67" s="37">
        <f>SUMIFS(Lançamentos!$F:$F,Lançamentos!$A:$A,CG$19,Lançamentos!$C:$C,"IOF")</f>
        <v>0</v>
      </c>
      <c r="CH67" s="37">
        <f>SUMIFS(Lançamentos!$F:$F,Lançamentos!$A:$A,CH$19,Lançamentos!$C:$C,"IOF")</f>
        <v>0</v>
      </c>
      <c r="CI67" s="37">
        <f>SUMIFS(Lançamentos!$F:$F,Lançamentos!$A:$A,CI$19,Lançamentos!$C:$C,"IOF")</f>
        <v>0</v>
      </c>
      <c r="CJ67" s="37">
        <f>SUMIFS(Lançamentos!$F:$F,Lançamentos!$A:$A,CJ$19,Lançamentos!$C:$C,"IOF")</f>
        <v>0</v>
      </c>
      <c r="CK67" s="37">
        <f>SUMIFS(Lançamentos!$F:$F,Lançamentos!$A:$A,CK$19,Lançamentos!$C:$C,"IOF")</f>
        <v>0</v>
      </c>
      <c r="CL67" s="37">
        <f>SUMIFS(Lançamentos!$F:$F,Lançamentos!$A:$A,CL$19,Lançamentos!$C:$C,"IOF")</f>
        <v>0</v>
      </c>
      <c r="CM67" s="37">
        <f>SUMIFS(Lançamentos!$F:$F,Lançamentos!$A:$A,CM$19,Lançamentos!$C:$C,"IOF")</f>
        <v>0</v>
      </c>
      <c r="CN67" s="37">
        <f>SUMIFS(Lançamentos!$F:$F,Lançamentos!$A:$A,CN$19,Lançamentos!$C:$C,"IOF")</f>
        <v>0</v>
      </c>
      <c r="CO67" s="37">
        <f>SUMIFS(Lançamentos!$F:$F,Lançamentos!$A:$A,CO$19,Lançamentos!$C:$C,"IOF")</f>
        <v>0</v>
      </c>
      <c r="CP67" s="37">
        <f>SUMIFS(Lançamentos!$F:$F,Lançamentos!$A:$A,CP$19,Lançamentos!$C:$C,"IOF")</f>
        <v>0</v>
      </c>
      <c r="CQ67" s="37">
        <f>SUMIFS(Lançamentos!$F:$F,Lançamentos!$A:$A,CQ$19,Lançamentos!$C:$C,"IOF")</f>
        <v>0</v>
      </c>
      <c r="CR67" s="37">
        <f>SUMIFS(Lançamentos!$F:$F,Lançamentos!$A:$A,CR$19,Lançamentos!$C:$C,"IOF")</f>
        <v>0</v>
      </c>
      <c r="CS67" s="37">
        <f>SUMIFS(Lançamentos!$F:$F,Lançamentos!$A:$A,CS$19,Lançamentos!$C:$C,"IOF")</f>
        <v>0</v>
      </c>
      <c r="CT67" s="37">
        <f>SUMIFS(Lançamentos!$F:$F,Lançamentos!$A:$A,CT$19,Lançamentos!$C:$C,"IOF")</f>
        <v>0</v>
      </c>
      <c r="CU67" s="37">
        <f>SUMIFS(Lançamentos!$F:$F,Lançamentos!$A:$A,CU$19,Lançamentos!$C:$C,"IOF")</f>
        <v>0</v>
      </c>
      <c r="CV67" s="37">
        <f>SUMIFS(Lançamentos!$F:$F,Lançamentos!$A:$A,CV$19,Lançamentos!$C:$C,"IOF")</f>
        <v>0</v>
      </c>
      <c r="CW67" s="37">
        <f>SUMIFS(Lançamentos!$F:$F,Lançamentos!$A:$A,CW$19,Lançamentos!$C:$C,"IOF")</f>
        <v>0</v>
      </c>
      <c r="CX67" s="37">
        <f>SUMIFS(Lançamentos!$F:$F,Lançamentos!$A:$A,CX$19,Lançamentos!$C:$C,"IOF")</f>
        <v>0</v>
      </c>
      <c r="CY67" s="37">
        <f>SUMIFS(Lançamentos!$F:$F,Lançamentos!$A:$A,CY$19,Lançamentos!$C:$C,"IOF")</f>
        <v>0</v>
      </c>
      <c r="CZ67" s="37">
        <f>SUMIFS(Lançamentos!$F:$F,Lançamentos!$A:$A,CZ$19,Lançamentos!$C:$C,"IOF")</f>
        <v>0</v>
      </c>
      <c r="DA67" s="37">
        <f>SUMIFS(Lançamentos!$F:$F,Lançamentos!$A:$A,DA$19,Lançamentos!$C:$C,"IOF")</f>
        <v>0</v>
      </c>
      <c r="DB67" s="37">
        <f>SUMIFS(Lançamentos!$F:$F,Lançamentos!$A:$A,DB$19,Lançamentos!$C:$C,"IOF")</f>
        <v>0</v>
      </c>
      <c r="DC67" s="37">
        <f>SUMIFS(Lançamentos!$F:$F,Lançamentos!$A:$A,DC$19,Lançamentos!$C:$C,"IOF")</f>
        <v>0</v>
      </c>
      <c r="DD67" s="37">
        <f>SUMIFS(Lançamentos!$F:$F,Lançamentos!$A:$A,DD$19,Lançamentos!$C:$C,"IOF")</f>
        <v>0</v>
      </c>
      <c r="DE67" s="37">
        <f>SUMIFS(Lançamentos!$F:$F,Lançamentos!$A:$A,DE$19,Lançamentos!$C:$C,"IOF")</f>
        <v>0</v>
      </c>
      <c r="DF67" s="37">
        <f>SUMIFS(Lançamentos!$F:$F,Lançamentos!$A:$A,DF$19,Lançamentos!$C:$C,"IOF")</f>
        <v>0</v>
      </c>
      <c r="DG67" s="37">
        <f>SUMIFS(Lançamentos!$F:$F,Lançamentos!$A:$A,DG$19,Lançamentos!$C:$C,"IOF")</f>
        <v>0</v>
      </c>
      <c r="DH67" s="37">
        <f>SUMIFS(Lançamentos!$F:$F,Lançamentos!$A:$A,DH$19,Lançamentos!$C:$C,"IOF")</f>
        <v>0</v>
      </c>
      <c r="DI67" s="37">
        <f>SUMIFS(Lançamentos!$F:$F,Lançamentos!$A:$A,DI$19,Lançamentos!$C:$C,"IOF")</f>
        <v>0</v>
      </c>
      <c r="DJ67" s="37">
        <f>SUMIFS(Lançamentos!$F:$F,Lançamentos!$A:$A,DJ$19,Lançamentos!$C:$C,"IOF")</f>
        <v>0</v>
      </c>
      <c r="DK67" s="37">
        <f>SUMIFS(Lançamentos!$F:$F,Lançamentos!$A:$A,DK$19,Lançamentos!$C:$C,"IOF")</f>
        <v>0</v>
      </c>
      <c r="DL67" s="37">
        <f>SUMIFS(Lançamentos!$F:$F,Lançamentos!$A:$A,DL$19,Lançamentos!$C:$C,"IOF")</f>
        <v>0</v>
      </c>
      <c r="DM67" s="37">
        <f>SUMIFS(Lançamentos!$F:$F,Lançamentos!$A:$A,DM$19,Lançamentos!$C:$C,"IOF")</f>
        <v>0</v>
      </c>
      <c r="DN67" s="37">
        <f>SUMIFS(Lançamentos!$F:$F,Lançamentos!$A:$A,DN$19,Lançamentos!$C:$C,"IOF")</f>
        <v>0</v>
      </c>
      <c r="DO67" s="37">
        <f>SUMIFS(Lançamentos!$F:$F,Lançamentos!$A:$A,DO$19,Lançamentos!$C:$C,"IOF")</f>
        <v>0</v>
      </c>
      <c r="DP67" s="37">
        <f>SUMIFS(Lançamentos!$F:$F,Lançamentos!$A:$A,DP$19,Lançamentos!$C:$C,"IOF")</f>
        <v>0</v>
      </c>
      <c r="DQ67" s="37">
        <f>SUMIFS(Lançamentos!$F:$F,Lançamentos!$A:$A,DQ$19,Lançamentos!$C:$C,"IOF")</f>
        <v>0</v>
      </c>
      <c r="DR67" s="37">
        <f>SUMIFS(Lançamentos!$F:$F,Lançamentos!$A:$A,DR$19,Lançamentos!$C:$C,"IOF")</f>
        <v>0</v>
      </c>
      <c r="DS67" s="37">
        <f>SUMIFS(Lançamentos!$F:$F,Lançamentos!$A:$A,DS$19,Lançamentos!$C:$C,"IOF")</f>
        <v>0</v>
      </c>
      <c r="DT67" s="37">
        <f>SUMIFS(Lançamentos!$F:$F,Lançamentos!$A:$A,DT$19,Lançamentos!$C:$C,"IOF")</f>
        <v>0</v>
      </c>
      <c r="DU67" s="37">
        <f>SUMIFS(Lançamentos!$F:$F,Lançamentos!$A:$A,DU$19,Lançamentos!$C:$C,"IOF")</f>
        <v>0</v>
      </c>
      <c r="DV67" s="37">
        <f>SUMIFS(Lançamentos!$F:$F,Lançamentos!$A:$A,DV$19,Lançamentos!$C:$C,"IOF")</f>
        <v>0</v>
      </c>
      <c r="DW67" s="37">
        <f>SUMIFS(Lançamentos!$F:$F,Lançamentos!$A:$A,DW$19,Lançamentos!$C:$C,"IOF")</f>
        <v>0</v>
      </c>
      <c r="DX67" s="37">
        <f>SUMIFS(Lançamentos!$F:$F,Lançamentos!$A:$A,DX$19,Lançamentos!$C:$C,"IOF")</f>
        <v>0</v>
      </c>
      <c r="DY67" s="37">
        <f>SUMIFS(Lançamentos!$F:$F,Lançamentos!$A:$A,DY$19,Lançamentos!$C:$C,"IOF")</f>
        <v>0</v>
      </c>
      <c r="DZ67" s="37">
        <f>SUMIFS(Lançamentos!$F:$F,Lançamentos!$A:$A,DZ$19,Lançamentos!$C:$C,"IOF")</f>
        <v>0</v>
      </c>
      <c r="EA67" s="37">
        <f>SUMIFS(Lançamentos!$F:$F,Lançamentos!$A:$A,EA$19,Lançamentos!$C:$C,"IOF")</f>
        <v>0</v>
      </c>
      <c r="EB67" s="37">
        <f>SUMIFS(Lançamentos!$F:$F,Lançamentos!$A:$A,EB$19,Lançamentos!$C:$C,"IOF")</f>
        <v>0</v>
      </c>
      <c r="EC67" s="37">
        <f>SUMIFS(Lançamentos!$F:$F,Lançamentos!$A:$A,EC$19,Lançamentos!$C:$C,"IOF")</f>
        <v>0</v>
      </c>
      <c r="ED67" s="37">
        <f>SUMIFS(Lançamentos!$F:$F,Lançamentos!$A:$A,ED$19,Lançamentos!$C:$C,"IOF")</f>
        <v>0</v>
      </c>
      <c r="EE67" s="37">
        <f>SUMIFS(Lançamentos!$F:$F,Lançamentos!$A:$A,EE$19,Lançamentos!$C:$C,"IOF")</f>
        <v>0</v>
      </c>
      <c r="EF67" s="37">
        <f>SUMIFS(Lançamentos!$F:$F,Lançamentos!$A:$A,EF$19,Lançamentos!$C:$C,"IOF")</f>
        <v>0</v>
      </c>
      <c r="EG67" s="37">
        <f>SUMIFS(Lançamentos!$F:$F,Lançamentos!$A:$A,EG$19,Lançamentos!$C:$C,"IOF")</f>
        <v>0</v>
      </c>
      <c r="EH67" s="37">
        <f>SUMIFS(Lançamentos!$F:$F,Lançamentos!$A:$A,EH$19,Lançamentos!$C:$C,"IOF")</f>
        <v>0</v>
      </c>
      <c r="EI67" s="37">
        <f>SUMIFS(Lançamentos!$F:$F,Lançamentos!$A:$A,EI$19,Lançamentos!$C:$C,"IOF")</f>
        <v>0</v>
      </c>
      <c r="EJ67" s="37">
        <f>SUMIFS(Lançamentos!$F:$F,Lançamentos!$A:$A,EJ$19,Lançamentos!$C:$C,"IOF")</f>
        <v>0</v>
      </c>
      <c r="EK67" s="37">
        <f>SUMIFS(Lançamentos!$F:$F,Lançamentos!$A:$A,EK$19,Lançamentos!$C:$C,"IOF")</f>
        <v>0</v>
      </c>
      <c r="EL67" s="37">
        <f>SUMIFS(Lançamentos!$F:$F,Lançamentos!$A:$A,EL$19,Lançamentos!$C:$C,"IOF")</f>
        <v>0</v>
      </c>
      <c r="EM67" s="37">
        <f>SUMIFS(Lançamentos!$F:$F,Lançamentos!$A:$A,EM$19,Lançamentos!$C:$C,"IOF")</f>
        <v>0</v>
      </c>
      <c r="EN67" s="37">
        <f>SUMIFS(Lançamentos!$F:$F,Lançamentos!$A:$A,EN$19,Lançamentos!$C:$C,"IOF")</f>
        <v>0</v>
      </c>
      <c r="EO67" s="37">
        <f>SUMIFS(Lançamentos!$F:$F,Lançamentos!$A:$A,EO$19,Lançamentos!$C:$C,"IOF")</f>
        <v>0</v>
      </c>
      <c r="EP67" s="37">
        <f>SUMIFS(Lançamentos!$F:$F,Lançamentos!$A:$A,EP$19,Lançamentos!$C:$C,"IOF")</f>
        <v>0</v>
      </c>
      <c r="EQ67" s="37">
        <f>SUMIFS(Lançamentos!$F:$F,Lançamentos!$A:$A,EQ$19,Lançamentos!$C:$C,"IOF")</f>
        <v>0</v>
      </c>
      <c r="ER67" s="37">
        <f>SUMIFS(Lançamentos!$F:$F,Lançamentos!$A:$A,ER$19,Lançamentos!$C:$C,"IOF")</f>
        <v>0</v>
      </c>
      <c r="ES67" s="37">
        <f>SUMIFS(Lançamentos!$F:$F,Lançamentos!$A:$A,ES$19,Lançamentos!$C:$C,"IOF")</f>
        <v>0</v>
      </c>
      <c r="ET67" s="37">
        <f>SUMIFS(Lançamentos!$F:$F,Lançamentos!$A:$A,ET$19,Lançamentos!$C:$C,"IOF")</f>
        <v>0</v>
      </c>
      <c r="EU67" s="37">
        <f>SUMIFS(Lançamentos!$F:$F,Lançamentos!$A:$A,EU$19,Lançamentos!$C:$C,"IOF")</f>
        <v>0</v>
      </c>
      <c r="EV67" s="37">
        <f>SUMIFS(Lançamentos!$F:$F,Lançamentos!$A:$A,EV$19,Lançamentos!$C:$C,"IOF")</f>
        <v>0</v>
      </c>
      <c r="EW67" s="37">
        <f>SUMIFS(Lançamentos!$F:$F,Lançamentos!$A:$A,EW$19,Lançamentos!$C:$C,"IOF")</f>
        <v>0</v>
      </c>
      <c r="EX67" s="37">
        <f>SUMIFS(Lançamentos!$F:$F,Lançamentos!$A:$A,EX$19,Lançamentos!$C:$C,"IOF")</f>
        <v>0</v>
      </c>
      <c r="EY67" s="37">
        <f>SUMIFS(Lançamentos!$F:$F,Lançamentos!$A:$A,EY$19,Lançamentos!$C:$C,"IOF")</f>
        <v>0</v>
      </c>
      <c r="EZ67" s="37">
        <f>SUMIFS(Lançamentos!$F:$F,Lançamentos!$A:$A,EZ$19,Lançamentos!$C:$C,"IOF")</f>
        <v>0</v>
      </c>
      <c r="FA67" s="37">
        <f>SUMIFS(Lançamentos!$F:$F,Lançamentos!$A:$A,FA$19,Lançamentos!$C:$C,"IOF")</f>
        <v>0</v>
      </c>
      <c r="FB67" s="37">
        <f>SUMIFS(Lançamentos!$F:$F,Lançamentos!$A:$A,FB$19,Lançamentos!$C:$C,"IOF")</f>
        <v>0</v>
      </c>
      <c r="FC67" s="37">
        <f>SUMIFS(Lançamentos!$F:$F,Lançamentos!$A:$A,FC$19,Lançamentos!$C:$C,"IOF")</f>
        <v>0</v>
      </c>
      <c r="FD67" s="37">
        <f>SUMIFS(Lançamentos!$F:$F,Lançamentos!$A:$A,FD$19,Lançamentos!$C:$C,"IOF")</f>
        <v>0</v>
      </c>
      <c r="FE67" s="37">
        <f>SUMIFS(Lançamentos!$F:$F,Lançamentos!$A:$A,FE$19,Lançamentos!$C:$C,"IOF")</f>
        <v>0</v>
      </c>
      <c r="FF67" s="37">
        <f>SUMIFS(Lançamentos!$F:$F,Lançamentos!$A:$A,FF$19,Lançamentos!$C:$C,"IOF")</f>
        <v>0</v>
      </c>
      <c r="FG67" s="37">
        <f>SUMIFS(Lançamentos!$F:$F,Lançamentos!$A:$A,FG$19,Lançamentos!$C:$C,"IOF")</f>
        <v>0</v>
      </c>
      <c r="FH67" s="37">
        <f>SUMIFS(Lançamentos!$F:$F,Lançamentos!$A:$A,FH$19,Lançamentos!$C:$C,"IOF")</f>
        <v>0</v>
      </c>
      <c r="FI67" s="37">
        <f>SUMIFS(Lançamentos!$F:$F,Lançamentos!$A:$A,FI$19,Lançamentos!$C:$C,"IOF")</f>
        <v>0</v>
      </c>
      <c r="FJ67" s="37">
        <f>SUMIFS(Lançamentos!$F:$F,Lançamentos!$A:$A,FJ$19,Lançamentos!$C:$C,"IOF")</f>
        <v>0</v>
      </c>
      <c r="FK67" s="37">
        <f>SUMIFS(Lançamentos!$F:$F,Lançamentos!$A:$A,FK$19,Lançamentos!$C:$C,"IOF")</f>
        <v>0</v>
      </c>
      <c r="FL67" s="37">
        <f>SUMIFS(Lançamentos!$F:$F,Lançamentos!$A:$A,FL$19,Lançamentos!$C:$C,"IOF")</f>
        <v>0</v>
      </c>
      <c r="FM67" s="37">
        <f>SUMIFS(Lançamentos!$F:$F,Lançamentos!$A:$A,FM$19,Lançamentos!$C:$C,"IOF")</f>
        <v>0</v>
      </c>
      <c r="FN67" s="37">
        <f>SUMIFS(Lançamentos!$F:$F,Lançamentos!$A:$A,FN$19,Lançamentos!$C:$C,"IOF")</f>
        <v>0</v>
      </c>
      <c r="FO67" s="37">
        <f>SUMIFS(Lançamentos!$F:$F,Lançamentos!$A:$A,FO$19,Lançamentos!$C:$C,"IOF")</f>
        <v>0</v>
      </c>
      <c r="FP67" s="37">
        <f>SUMIFS(Lançamentos!$F:$F,Lançamentos!$A:$A,FP$19,Lançamentos!$C:$C,"IOF")</f>
        <v>0</v>
      </c>
      <c r="FQ67" s="37">
        <f>SUMIFS(Lançamentos!$F:$F,Lançamentos!$A:$A,FQ$19,Lançamentos!$C:$C,"IOF")</f>
        <v>0</v>
      </c>
      <c r="FR67" s="37">
        <f>SUMIFS(Lançamentos!$F:$F,Lançamentos!$A:$A,FR$19,Lançamentos!$C:$C,"IOF")</f>
        <v>0</v>
      </c>
      <c r="FS67" s="37">
        <f>SUMIFS(Lançamentos!$F:$F,Lançamentos!$A:$A,FS$19,Lançamentos!$C:$C,"IOF")</f>
        <v>0</v>
      </c>
      <c r="FT67" s="37">
        <f>SUMIFS(Lançamentos!$F:$F,Lançamentos!$A:$A,FT$19,Lançamentos!$C:$C,"IOF")</f>
        <v>0</v>
      </c>
      <c r="FU67" s="37">
        <f>SUMIFS(Lançamentos!$F:$F,Lançamentos!$A:$A,FU$19,Lançamentos!$C:$C,"IOF")</f>
        <v>0</v>
      </c>
      <c r="FV67" s="37">
        <f>SUMIFS(Lançamentos!$F:$F,Lançamentos!$A:$A,FV$19,Lançamentos!$C:$C,"IOF")</f>
        <v>0</v>
      </c>
      <c r="FW67" s="37">
        <f>SUMIFS(Lançamentos!$F:$F,Lançamentos!$A:$A,FW$19,Lançamentos!$C:$C,"IOF")</f>
        <v>0</v>
      </c>
      <c r="FX67" s="37">
        <f>SUMIFS(Lançamentos!$F:$F,Lançamentos!$A:$A,FX$19,Lançamentos!$C:$C,"IOF")</f>
        <v>0</v>
      </c>
      <c r="FY67" s="37">
        <f>SUMIFS(Lançamentos!$F:$F,Lançamentos!$A:$A,FY$19,Lançamentos!$C:$C,"IOF")</f>
        <v>0</v>
      </c>
      <c r="FZ67" s="37">
        <f>SUMIFS(Lançamentos!$F:$F,Lançamentos!$A:$A,FZ$19,Lançamentos!$C:$C,"IOF")</f>
        <v>0</v>
      </c>
      <c r="GA67" s="37">
        <f>SUMIFS(Lançamentos!$F:$F,Lançamentos!$A:$A,GA$19,Lançamentos!$C:$C,"IOF")</f>
        <v>0</v>
      </c>
      <c r="GB67" s="37">
        <f>SUMIFS(Lançamentos!$F:$F,Lançamentos!$A:$A,GB$19,Lançamentos!$C:$C,"IOF")</f>
        <v>0</v>
      </c>
      <c r="GC67" s="37">
        <f>SUMIFS(Lançamentos!$F:$F,Lançamentos!$A:$A,GC$19,Lançamentos!$C:$C,"IOF")</f>
        <v>0</v>
      </c>
      <c r="GD67" s="37">
        <f>SUMIFS(Lançamentos!$F:$F,Lançamentos!$A:$A,GD$19,Lançamentos!$C:$C,"IOF")</f>
        <v>0</v>
      </c>
      <c r="GE67" s="37">
        <f>SUMIFS(Lançamentos!$F:$F,Lançamentos!$A:$A,GE$19,Lançamentos!$C:$C,"IOF")</f>
        <v>0</v>
      </c>
      <c r="GF67" s="37">
        <f>SUMIFS(Lançamentos!$F:$F,Lançamentos!$A:$A,GF$19,Lançamentos!$C:$C,"IOF")</f>
        <v>0</v>
      </c>
      <c r="GG67" s="37">
        <f>SUMIFS(Lançamentos!$F:$F,Lançamentos!$A:$A,GG$19,Lançamentos!$C:$C,"IOF")</f>
        <v>0</v>
      </c>
      <c r="GH67" s="37">
        <f>SUMIFS(Lançamentos!$F:$F,Lançamentos!$A:$A,GH$19,Lançamentos!$C:$C,"IOF")</f>
        <v>0</v>
      </c>
      <c r="GI67" s="37">
        <f>SUMIFS(Lançamentos!$F:$F,Lançamentos!$A:$A,GI$19,Lançamentos!$C:$C,"IOF")</f>
        <v>0</v>
      </c>
      <c r="GJ67" s="37">
        <f>SUMIFS(Lançamentos!$F:$F,Lançamentos!$A:$A,GJ$19,Lançamentos!$C:$C,"IOF")</f>
        <v>0</v>
      </c>
      <c r="GK67" s="37">
        <f>SUMIFS(Lançamentos!$F:$F,Lançamentos!$A:$A,GK$19,Lançamentos!$C:$C,"IOF")</f>
        <v>0</v>
      </c>
      <c r="GL67" s="37">
        <f>SUMIFS(Lançamentos!$F:$F,Lançamentos!$A:$A,GL$19,Lançamentos!$C:$C,"IOF")</f>
        <v>0</v>
      </c>
      <c r="GM67" s="37">
        <f>SUMIFS(Lançamentos!$F:$F,Lançamentos!$A:$A,GM$19,Lançamentos!$C:$C,"IOF")</f>
        <v>0</v>
      </c>
      <c r="GN67" s="37">
        <f>SUMIFS(Lançamentos!$F:$F,Lançamentos!$A:$A,GN$19,Lançamentos!$C:$C,"IOF")</f>
        <v>0</v>
      </c>
      <c r="GO67" s="37">
        <f>SUMIFS(Lançamentos!$F:$F,Lançamentos!$A:$A,GO$19,Lançamentos!$C:$C,"IOF")</f>
        <v>0</v>
      </c>
      <c r="GP67" s="37">
        <f>SUMIFS(Lançamentos!$F:$F,Lançamentos!$A:$A,GP$19,Lançamentos!$C:$C,"IOF")</f>
        <v>0</v>
      </c>
      <c r="GQ67" s="37">
        <f>SUMIFS(Lançamentos!$F:$F,Lançamentos!$A:$A,GQ$19,Lançamentos!$C:$C,"IOF")</f>
        <v>0</v>
      </c>
      <c r="GR67" s="37">
        <f>SUMIFS(Lançamentos!$F:$F,Lançamentos!$A:$A,GR$19,Lançamentos!$C:$C,"IOF")</f>
        <v>0</v>
      </c>
      <c r="GS67" s="37">
        <f>SUMIFS(Lançamentos!$F:$F,Lançamentos!$A:$A,GS$19,Lançamentos!$C:$C,"IOF")</f>
        <v>0</v>
      </c>
      <c r="GT67" s="37">
        <f>SUMIFS(Lançamentos!$F:$F,Lançamentos!$A:$A,GT$19,Lançamentos!$C:$C,"IOF")</f>
        <v>0</v>
      </c>
      <c r="GU67" s="37">
        <f>SUMIFS(Lançamentos!$F:$F,Lançamentos!$A:$A,GU$19,Lançamentos!$C:$C,"IOF")</f>
        <v>0</v>
      </c>
      <c r="GV67" s="37">
        <f>SUMIFS(Lançamentos!$F:$F,Lançamentos!$A:$A,GV$19,Lançamentos!$C:$C,"IOF")</f>
        <v>0</v>
      </c>
      <c r="GW67" s="37">
        <f>SUMIFS(Lançamentos!$F:$F,Lançamentos!$A:$A,GW$19,Lançamentos!$C:$C,"IOF")</f>
        <v>0</v>
      </c>
      <c r="GX67" s="37">
        <f>SUMIFS(Lançamentos!$F:$F,Lançamentos!$A:$A,GX$19,Lançamentos!$C:$C,"IOF")</f>
        <v>0</v>
      </c>
      <c r="GY67" s="37">
        <f>SUMIFS(Lançamentos!$F:$F,Lançamentos!$A:$A,GY$19,Lançamentos!$C:$C,"IOF")</f>
        <v>0</v>
      </c>
      <c r="GZ67" s="37">
        <f>SUMIFS(Lançamentos!$F:$F,Lançamentos!$A:$A,GZ$19,Lançamentos!$C:$C,"IOF")</f>
        <v>0</v>
      </c>
      <c r="HA67" s="37">
        <f>SUMIFS(Lançamentos!$F:$F,Lançamentos!$A:$A,HA$19,Lançamentos!$C:$C,"IOF")</f>
        <v>0</v>
      </c>
      <c r="HB67" s="37">
        <f>SUMIFS(Lançamentos!$F:$F,Lançamentos!$A:$A,HB$19,Lançamentos!$C:$C,"IOF")</f>
        <v>0</v>
      </c>
      <c r="HC67" s="37">
        <f>SUMIFS(Lançamentos!$F:$F,Lançamentos!$A:$A,HC$19,Lançamentos!$C:$C,"IOF")</f>
        <v>0</v>
      </c>
      <c r="HD67" s="37">
        <f>SUMIFS(Lançamentos!$F:$F,Lançamentos!$A:$A,HD$19,Lançamentos!$C:$C,"IOF")</f>
        <v>0</v>
      </c>
      <c r="HE67" s="37">
        <f>SUMIFS(Lançamentos!$F:$F,Lançamentos!$A:$A,HE$19,Lançamentos!$C:$C,"IOF")</f>
        <v>0</v>
      </c>
      <c r="HF67" s="37">
        <f>SUMIFS(Lançamentos!$F:$F,Lançamentos!$A:$A,HF$19,Lançamentos!$C:$C,"IOF")</f>
        <v>0</v>
      </c>
      <c r="HG67" s="37">
        <f>SUMIFS(Lançamentos!$F:$F,Lançamentos!$A:$A,HG$19,Lançamentos!$C:$C,"IOF")</f>
        <v>0</v>
      </c>
      <c r="HH67" s="37">
        <f>SUMIFS(Lançamentos!$F:$F,Lançamentos!$A:$A,HH$19,Lançamentos!$C:$C,"IOF")</f>
        <v>0</v>
      </c>
      <c r="HI67" s="37">
        <f>SUMIFS(Lançamentos!$F:$F,Lançamentos!$A:$A,HI$19,Lançamentos!$C:$C,"IOF")</f>
        <v>0</v>
      </c>
      <c r="HJ67" s="37">
        <f>SUMIFS(Lançamentos!$F:$F,Lançamentos!$A:$A,HJ$19,Lançamentos!$C:$C,"IOF")</f>
        <v>0</v>
      </c>
      <c r="HK67" s="37">
        <f>SUMIFS(Lançamentos!$F:$F,Lançamentos!$A:$A,HK$19,Lançamentos!$C:$C,"IOF")</f>
        <v>0</v>
      </c>
      <c r="HL67" s="37">
        <f>SUMIFS(Lançamentos!$F:$F,Lançamentos!$A:$A,HL$19,Lançamentos!$C:$C,"IOF")</f>
        <v>0</v>
      </c>
      <c r="HM67" s="37">
        <f>SUMIFS(Lançamentos!$F:$F,Lançamentos!$A:$A,HM$19,Lançamentos!$C:$C,"IOF")</f>
        <v>0</v>
      </c>
      <c r="HN67" s="37">
        <f>SUMIFS(Lançamentos!$F:$F,Lançamentos!$A:$A,HN$19,Lançamentos!$C:$C,"IOF")</f>
        <v>0</v>
      </c>
      <c r="HO67" s="37">
        <f>SUMIFS(Lançamentos!$F:$F,Lançamentos!$A:$A,HO$19,Lançamentos!$C:$C,"IOF")</f>
        <v>0</v>
      </c>
      <c r="HP67" s="37">
        <f>SUMIFS(Lançamentos!$F:$F,Lançamentos!$A:$A,HP$19,Lançamentos!$C:$C,"IOF")</f>
        <v>0</v>
      </c>
      <c r="HQ67" s="37">
        <f>SUMIFS(Lançamentos!$F:$F,Lançamentos!$A:$A,HQ$19,Lançamentos!$C:$C,"IOF")</f>
        <v>0</v>
      </c>
      <c r="HR67" s="37">
        <f>SUMIFS(Lançamentos!$F:$F,Lançamentos!$A:$A,HR$19,Lançamentos!$C:$C,"IOF")</f>
        <v>0</v>
      </c>
      <c r="HS67" s="37">
        <f>SUMIFS(Lançamentos!$F:$F,Lançamentos!$A:$A,HS$19,Lançamentos!$C:$C,"IOF")</f>
        <v>0</v>
      </c>
      <c r="HT67" s="37">
        <f>SUMIFS(Lançamentos!$F:$F,Lançamentos!$A:$A,HT$19,Lançamentos!$C:$C,"IOF")</f>
        <v>0</v>
      </c>
      <c r="HU67" s="37">
        <f>SUMIFS(Lançamentos!$F:$F,Lançamentos!$A:$A,HU$19,Lançamentos!$C:$C,"IOF")</f>
        <v>0</v>
      </c>
      <c r="HV67" s="37">
        <f>SUMIFS(Lançamentos!$F:$F,Lançamentos!$A:$A,HV$19,Lançamentos!$C:$C,"IOF")</f>
        <v>0</v>
      </c>
      <c r="HW67" s="37">
        <f>SUMIFS(Lançamentos!$F:$F,Lançamentos!$A:$A,HW$19,Lançamentos!$C:$C,"IOF")</f>
        <v>0</v>
      </c>
      <c r="HX67" s="37">
        <f>SUMIFS(Lançamentos!$F:$F,Lançamentos!$A:$A,HX$19,Lançamentos!$C:$C,"IOF")</f>
        <v>0</v>
      </c>
      <c r="HY67" s="37">
        <f>SUMIFS(Lançamentos!$F:$F,Lançamentos!$A:$A,HY$19,Lançamentos!$C:$C,"IOF")</f>
        <v>0</v>
      </c>
      <c r="HZ67" s="37">
        <f>SUMIFS(Lançamentos!$F:$F,Lançamentos!$A:$A,HZ$19,Lançamentos!$C:$C,"IOF")</f>
        <v>0</v>
      </c>
      <c r="IA67" s="37">
        <f>SUMIFS(Lançamentos!$F:$F,Lançamentos!$A:$A,IA$19,Lançamentos!$C:$C,"IOF")</f>
        <v>0</v>
      </c>
      <c r="IB67" s="37">
        <f>SUMIFS(Lançamentos!$F:$F,Lançamentos!$A:$A,IB$19,Lançamentos!$C:$C,"IOF")</f>
        <v>0</v>
      </c>
      <c r="IC67" s="37">
        <f>SUMIFS(Lançamentos!$F:$F,Lançamentos!$A:$A,IC$19,Lançamentos!$C:$C,"IOF")</f>
        <v>0</v>
      </c>
      <c r="ID67" s="37">
        <f>SUMIFS(Lançamentos!$F:$F,Lançamentos!$A:$A,ID$19,Lançamentos!$C:$C,"IOF")</f>
        <v>0</v>
      </c>
      <c r="IE67" s="37">
        <f>SUMIFS(Lançamentos!$F:$F,Lançamentos!$A:$A,IE$19,Lançamentos!$C:$C,"IOF")</f>
        <v>0</v>
      </c>
      <c r="IF67" s="37">
        <f>SUMIFS(Lançamentos!$F:$F,Lançamentos!$A:$A,IF$19,Lançamentos!$C:$C,"IOF")</f>
        <v>0</v>
      </c>
      <c r="IG67" s="37">
        <f>SUMIFS(Lançamentos!$F:$F,Lançamentos!$A:$A,IG$19,Lançamentos!$C:$C,"IOF")</f>
        <v>0</v>
      </c>
      <c r="IH67" s="37">
        <f>SUMIFS(Lançamentos!$F:$F,Lançamentos!$A:$A,IH$19,Lançamentos!$C:$C,"IOF")</f>
        <v>0</v>
      </c>
      <c r="II67" s="37">
        <f>SUMIFS(Lançamentos!$F:$F,Lançamentos!$A:$A,II$19,Lançamentos!$C:$C,"IOF")</f>
        <v>0</v>
      </c>
      <c r="IJ67" s="37">
        <f>SUMIFS(Lançamentos!$F:$F,Lançamentos!$A:$A,IJ$19,Lançamentos!$C:$C,"IOF")</f>
        <v>0</v>
      </c>
      <c r="IK67" s="37">
        <f>SUMIFS(Lançamentos!$F:$F,Lançamentos!$A:$A,IK$19,Lançamentos!$C:$C,"IOF")</f>
        <v>0</v>
      </c>
      <c r="IL67" s="37">
        <f>SUMIFS(Lançamentos!$F:$F,Lançamentos!$A:$A,IL$19,Lançamentos!$C:$C,"IOF")</f>
        <v>0</v>
      </c>
    </row>
    <row r="68" spans="1:246" x14ac:dyDescent="0.3">
      <c r="A68" t="s">
        <v>106</v>
      </c>
      <c r="B68" s="37">
        <f>SUMIFS(Lançamentos!$F:$F,Lançamentos!$A:$A,B$19,Lançamentos!$C:$C,"Cartão de Crédito")</f>
        <v>0</v>
      </c>
      <c r="C68" s="37">
        <f>SUMIFS(Lançamentos!$F:$F,Lançamentos!$A:$A,C$19,Lançamentos!$C:$C,"Cartão de Crédito")</f>
        <v>0</v>
      </c>
      <c r="D68" s="37">
        <f>SUMIFS(Lançamentos!$F:$F,Lançamentos!$A:$A,D$19,Lançamentos!$C:$C,"Cartão de Crédito")</f>
        <v>0</v>
      </c>
      <c r="E68" s="37">
        <f>SUMIFS(Lançamentos!$F:$F,Lançamentos!$A:$A,E$19,Lançamentos!$C:$C,"Cartão de Crédito")</f>
        <v>0</v>
      </c>
      <c r="F68" s="37">
        <f>SUMIFS(Lançamentos!$F:$F,Lançamentos!$A:$A,F$19,Lançamentos!$C:$C,"Cartão de Crédito")</f>
        <v>0</v>
      </c>
      <c r="G68" s="37">
        <f>SUMIFS(Lançamentos!$F:$F,Lançamentos!$A:$A,G$19,Lançamentos!$C:$C,"Cartão de Crédito")</f>
        <v>0</v>
      </c>
      <c r="H68" s="37">
        <f>SUMIFS(Lançamentos!$F:$F,Lançamentos!$A:$A,H$19,Lançamentos!$C:$C,"Cartão de Crédito")</f>
        <v>0</v>
      </c>
      <c r="I68" s="37">
        <f>SUMIFS(Lançamentos!$F:$F,Lançamentos!$A:$A,I$19,Lançamentos!$C:$C,"Cartão de Crédito")</f>
        <v>0</v>
      </c>
      <c r="J68" s="37">
        <f>SUMIFS(Lançamentos!$F:$F,Lançamentos!$A:$A,J$19,Lançamentos!$C:$C,"Cartão de Crédito")</f>
        <v>0</v>
      </c>
      <c r="K68" s="37">
        <f>SUMIFS(Lançamentos!$F:$F,Lançamentos!$A:$A,K$19,Lançamentos!$C:$C,"Cartão de Crédito")</f>
        <v>0</v>
      </c>
      <c r="L68" s="37">
        <f>SUMIFS(Lançamentos!$F:$F,Lançamentos!$A:$A,L$19,Lançamentos!$C:$C,"Cartão de Crédito")</f>
        <v>0</v>
      </c>
      <c r="M68" s="37">
        <f>SUMIFS(Lançamentos!$F:$F,Lançamentos!$A:$A,M$19,Lançamentos!$C:$C,"Cartão de Crédito")</f>
        <v>0</v>
      </c>
      <c r="N68" s="37">
        <f>SUMIFS(Lançamentos!$F:$F,Lançamentos!$A:$A,N$19,Lançamentos!$C:$C,"Cartão de Crédito")</f>
        <v>0</v>
      </c>
      <c r="O68" s="37">
        <f>SUMIFS(Lançamentos!$F:$F,Lançamentos!$A:$A,O$19,Lançamentos!$C:$C,"Cartão de Crédito")</f>
        <v>0</v>
      </c>
      <c r="P68" s="37">
        <f>SUMIFS(Lançamentos!$F:$F,Lançamentos!$A:$A,P$19,Lançamentos!$C:$C,"Cartão de Crédito")</f>
        <v>0</v>
      </c>
      <c r="Q68" s="37">
        <f>SUMIFS(Lançamentos!$F:$F,Lançamentos!$A:$A,Q$19,Lançamentos!$C:$C,"Cartão de Crédito")</f>
        <v>0</v>
      </c>
      <c r="R68" s="37">
        <f>SUMIFS(Lançamentos!$F:$F,Lançamentos!$A:$A,R$19,Lançamentos!$C:$C,"Cartão de Crédito")</f>
        <v>0</v>
      </c>
      <c r="S68" s="37">
        <f>SUMIFS(Lançamentos!$F:$F,Lançamentos!$A:$A,S$19,Lançamentos!$C:$C,"Cartão de Crédito")</f>
        <v>0</v>
      </c>
      <c r="T68" s="37">
        <f>SUMIFS(Lançamentos!$F:$F,Lançamentos!$A:$A,T$19,Lançamentos!$C:$C,"Cartão de Crédito")</f>
        <v>0</v>
      </c>
      <c r="U68" s="37">
        <f>SUMIFS(Lançamentos!$F:$F,Lançamentos!$A:$A,U$19,Lançamentos!$C:$C,"Cartão de Crédito")</f>
        <v>0</v>
      </c>
      <c r="V68" s="37">
        <f>SUMIFS(Lançamentos!$F:$F,Lançamentos!$A:$A,V$19,Lançamentos!$C:$C,"Cartão de Crédito")</f>
        <v>0</v>
      </c>
      <c r="W68" s="37">
        <f>SUMIFS(Lançamentos!$F:$F,Lançamentos!$A:$A,W$19,Lançamentos!$C:$C,"Cartão de Crédito")</f>
        <v>0</v>
      </c>
      <c r="X68" s="37">
        <f>SUMIFS(Lançamentos!$F:$F,Lançamentos!$A:$A,X$19,Lançamentos!$C:$C,"Cartão de Crédito")</f>
        <v>0</v>
      </c>
      <c r="Y68" s="37">
        <f>SUMIFS(Lançamentos!$F:$F,Lançamentos!$A:$A,Y$19,Lançamentos!$C:$C,"Cartão de Crédito")</f>
        <v>0</v>
      </c>
      <c r="Z68" s="37">
        <f>SUMIFS(Lançamentos!$F:$F,Lançamentos!$A:$A,Z$19,Lançamentos!$C:$C,"Cartão de Crédito")</f>
        <v>0</v>
      </c>
      <c r="AA68" s="37">
        <f>SUMIFS(Lançamentos!$F:$F,Lançamentos!$A:$A,AA$19,Lançamentos!$C:$C,"Cartão de Crédito")</f>
        <v>0</v>
      </c>
      <c r="AB68" s="37">
        <f>SUMIFS(Lançamentos!$F:$F,Lançamentos!$A:$A,AB$19,Lançamentos!$C:$C,"Cartão de Crédito")</f>
        <v>0</v>
      </c>
      <c r="AC68" s="37">
        <f>SUMIFS(Lançamentos!$F:$F,Lançamentos!$A:$A,AC$19,Lançamentos!$C:$C,"Cartão de Crédito")</f>
        <v>0</v>
      </c>
      <c r="AD68" s="37">
        <f>SUMIFS(Lançamentos!$F:$F,Lançamentos!$A:$A,AD$19,Lançamentos!$C:$C,"Cartão de Crédito")</f>
        <v>0</v>
      </c>
      <c r="AE68" s="37">
        <f>SUMIFS(Lançamentos!$F:$F,Lançamentos!$A:$A,AE$19,Lançamentos!$C:$C,"Cartão de Crédito")</f>
        <v>0</v>
      </c>
      <c r="AF68" s="37">
        <f>SUMIFS(Lançamentos!$F:$F,Lançamentos!$A:$A,AF$19,Lançamentos!$C:$C,"Cartão de Crédito")</f>
        <v>0</v>
      </c>
      <c r="AG68" s="37">
        <f>SUMIFS(Lançamentos!$F:$F,Lançamentos!$A:$A,AG$19,Lançamentos!$C:$C,"Cartão de Crédito")</f>
        <v>0</v>
      </c>
      <c r="AH68" s="37">
        <f>SUMIFS(Lançamentos!$F:$F,Lançamentos!$A:$A,AH$19,Lançamentos!$C:$C,"Cartão de Crédito")</f>
        <v>0</v>
      </c>
      <c r="AI68" s="37">
        <f>SUMIFS(Lançamentos!$F:$F,Lançamentos!$A:$A,AI$19,Lançamentos!$C:$C,"Cartão de Crédito")</f>
        <v>0</v>
      </c>
      <c r="AJ68" s="37">
        <f>SUMIFS(Lançamentos!$F:$F,Lançamentos!$A:$A,AJ$19,Lançamentos!$C:$C,"Cartão de Crédito")</f>
        <v>0</v>
      </c>
      <c r="AK68" s="37">
        <f>SUMIFS(Lançamentos!$F:$F,Lançamentos!$A:$A,AK$19,Lançamentos!$C:$C,"Cartão de Crédito")</f>
        <v>0</v>
      </c>
      <c r="AL68" s="37">
        <f>SUMIFS(Lançamentos!$F:$F,Lançamentos!$A:$A,AL$19,Lançamentos!$C:$C,"Cartão de Crédito")</f>
        <v>0</v>
      </c>
      <c r="AM68" s="37">
        <f>SUMIFS(Lançamentos!$F:$F,Lançamentos!$A:$A,AM$19,Lançamentos!$C:$C,"Cartão de Crédito")</f>
        <v>0</v>
      </c>
      <c r="AN68" s="37">
        <f>SUMIFS(Lançamentos!$F:$F,Lançamentos!$A:$A,AN$19,Lançamentos!$C:$C,"Cartão de Crédito")</f>
        <v>0</v>
      </c>
      <c r="AO68" s="37">
        <f>SUMIFS(Lançamentos!$F:$F,Lançamentos!$A:$A,AO$19,Lançamentos!$C:$C,"Cartão de Crédito")</f>
        <v>0</v>
      </c>
      <c r="AP68" s="37">
        <f>SUMIFS(Lançamentos!$F:$F,Lançamentos!$A:$A,AP$19,Lançamentos!$C:$C,"Cartão de Crédito")</f>
        <v>0</v>
      </c>
      <c r="AQ68" s="37">
        <f>SUMIFS(Lançamentos!$F:$F,Lançamentos!$A:$A,AQ$19,Lançamentos!$C:$C,"Cartão de Crédito")</f>
        <v>0</v>
      </c>
      <c r="AR68" s="37">
        <f>SUMIFS(Lançamentos!$F:$F,Lançamentos!$A:$A,AR$19,Lançamentos!$C:$C,"Cartão de Crédito")</f>
        <v>0</v>
      </c>
      <c r="AS68" s="37">
        <f>SUMIFS(Lançamentos!$F:$F,Lançamentos!$A:$A,AS$19,Lançamentos!$C:$C,"Cartão de Crédito")</f>
        <v>0</v>
      </c>
      <c r="AT68" s="37">
        <f>SUMIFS(Lançamentos!$F:$F,Lançamentos!$A:$A,AT$19,Lançamentos!$C:$C,"Cartão de Crédito")</f>
        <v>0</v>
      </c>
      <c r="AU68" s="37">
        <f>SUMIFS(Lançamentos!$F:$F,Lançamentos!$A:$A,AU$19,Lançamentos!$C:$C,"Cartão de Crédito")</f>
        <v>0</v>
      </c>
      <c r="AV68" s="37">
        <f>SUMIFS(Lançamentos!$F:$F,Lançamentos!$A:$A,AV$19,Lançamentos!$C:$C,"Cartão de Crédito")</f>
        <v>0</v>
      </c>
      <c r="AW68" s="37">
        <f>SUMIFS(Lançamentos!$F:$F,Lançamentos!$A:$A,AW$19,Lançamentos!$C:$C,"Cartão de Crédito")</f>
        <v>0</v>
      </c>
      <c r="AX68" s="37">
        <f>SUMIFS(Lançamentos!$F:$F,Lançamentos!$A:$A,AX$19,Lançamentos!$C:$C,"Cartão de Crédito")</f>
        <v>0</v>
      </c>
      <c r="AY68" s="37">
        <f>SUMIFS(Lançamentos!$F:$F,Lançamentos!$A:$A,AY$19,Lançamentos!$C:$C,"Cartão de Crédito")</f>
        <v>0</v>
      </c>
      <c r="AZ68" s="37">
        <f>SUMIFS(Lançamentos!$F:$F,Lançamentos!$A:$A,AZ$19,Lançamentos!$C:$C,"Cartão de Crédito")</f>
        <v>0</v>
      </c>
      <c r="BA68" s="37">
        <f>SUMIFS(Lançamentos!$F:$F,Lançamentos!$A:$A,BA$19,Lançamentos!$C:$C,"Cartão de Crédito")</f>
        <v>0</v>
      </c>
      <c r="BB68" s="37">
        <f>SUMIFS(Lançamentos!$F:$F,Lançamentos!$A:$A,BB$19,Lançamentos!$C:$C,"Cartão de Crédito")</f>
        <v>0</v>
      </c>
      <c r="BC68" s="37">
        <f>SUMIFS(Lançamentos!$F:$F,Lançamentos!$A:$A,BC$19,Lançamentos!$C:$C,"Cartão de Crédito")</f>
        <v>0</v>
      </c>
      <c r="BD68" s="37">
        <f>SUMIFS(Lançamentos!$F:$F,Lançamentos!$A:$A,BD$19,Lançamentos!$C:$C,"Cartão de Crédito")</f>
        <v>0</v>
      </c>
      <c r="BE68" s="37">
        <f>SUMIFS(Lançamentos!$F:$F,Lançamentos!$A:$A,BE$19,Lançamentos!$C:$C,"Cartão de Crédito")</f>
        <v>0</v>
      </c>
      <c r="BF68" s="37">
        <f>SUMIFS(Lançamentos!$F:$F,Lançamentos!$A:$A,BF$19,Lançamentos!$C:$C,"Cartão de Crédito")</f>
        <v>0</v>
      </c>
      <c r="BG68" s="37">
        <f>SUMIFS(Lançamentos!$F:$F,Lançamentos!$A:$A,BG$19,Lançamentos!$C:$C,"Cartão de Crédito")</f>
        <v>0</v>
      </c>
      <c r="BH68" s="37">
        <f>SUMIFS(Lançamentos!$F:$F,Lançamentos!$A:$A,BH$19,Lançamentos!$C:$C,"Cartão de Crédito")</f>
        <v>0</v>
      </c>
      <c r="BI68" s="37">
        <f>SUMIFS(Lançamentos!$F:$F,Lançamentos!$A:$A,BI$19,Lançamentos!$C:$C,"Cartão de Crédito")</f>
        <v>0</v>
      </c>
      <c r="BJ68" s="37">
        <f>SUMIFS(Lançamentos!$F:$F,Lançamentos!$A:$A,BJ$19,Lançamentos!$C:$C,"Cartão de Crédito")</f>
        <v>0</v>
      </c>
      <c r="BK68" s="37">
        <f>SUMIFS(Lançamentos!$F:$F,Lançamentos!$A:$A,BK$19,Lançamentos!$C:$C,"Cartão de Crédito")</f>
        <v>0</v>
      </c>
      <c r="BL68" s="37">
        <f>SUMIFS(Lançamentos!$F:$F,Lançamentos!$A:$A,BL$19,Lançamentos!$C:$C,"Cartão de Crédito")</f>
        <v>0</v>
      </c>
      <c r="BM68" s="37">
        <f>SUMIFS(Lançamentos!$F:$F,Lançamentos!$A:$A,BM$19,Lançamentos!$C:$C,"Cartão de Crédito")</f>
        <v>0</v>
      </c>
      <c r="BN68" s="37">
        <f>SUMIFS(Lançamentos!$F:$F,Lançamentos!$A:$A,BN$19,Lançamentos!$C:$C,"Cartão de Crédito")</f>
        <v>0</v>
      </c>
      <c r="BO68" s="37">
        <f>SUMIFS(Lançamentos!$F:$F,Lançamentos!$A:$A,BO$19,Lançamentos!$C:$C,"Cartão de Crédito")</f>
        <v>0</v>
      </c>
      <c r="BP68" s="37">
        <f>SUMIFS(Lançamentos!$F:$F,Lançamentos!$A:$A,BP$19,Lançamentos!$C:$C,"Cartão de Crédito")</f>
        <v>0</v>
      </c>
      <c r="BQ68" s="37">
        <f>SUMIFS(Lançamentos!$F:$F,Lançamentos!$A:$A,BQ$19,Lançamentos!$C:$C,"Cartão de Crédito")</f>
        <v>0</v>
      </c>
      <c r="BR68" s="37">
        <f>SUMIFS(Lançamentos!$F:$F,Lançamentos!$A:$A,BR$19,Lançamentos!$C:$C,"Cartão de Crédito")</f>
        <v>0</v>
      </c>
      <c r="BS68" s="37">
        <f>SUMIFS(Lançamentos!$F:$F,Lançamentos!$A:$A,BS$19,Lançamentos!$C:$C,"Cartão de Crédito")</f>
        <v>0</v>
      </c>
      <c r="BT68" s="37">
        <f>SUMIFS(Lançamentos!$F:$F,Lançamentos!$A:$A,BT$19,Lançamentos!$C:$C,"Cartão de Crédito")</f>
        <v>0</v>
      </c>
      <c r="BU68" s="37">
        <f>SUMIFS(Lançamentos!$F:$F,Lançamentos!$A:$A,BU$19,Lançamentos!$C:$C,"Cartão de Crédito")</f>
        <v>0</v>
      </c>
      <c r="BV68" s="37">
        <f>SUMIFS(Lançamentos!$F:$F,Lançamentos!$A:$A,BV$19,Lançamentos!$C:$C,"Cartão de Crédito")</f>
        <v>0</v>
      </c>
      <c r="BW68" s="37">
        <f>SUMIFS(Lançamentos!$F:$F,Lançamentos!$A:$A,BW$19,Lançamentos!$C:$C,"Cartão de Crédito")</f>
        <v>0</v>
      </c>
      <c r="BX68" s="37">
        <f>SUMIFS(Lançamentos!$F:$F,Lançamentos!$A:$A,BX$19,Lançamentos!$C:$C,"Cartão de Crédito")</f>
        <v>0</v>
      </c>
      <c r="BY68" s="37">
        <f>SUMIFS(Lançamentos!$F:$F,Lançamentos!$A:$A,BY$19,Lançamentos!$C:$C,"Cartão de Crédito")</f>
        <v>0</v>
      </c>
      <c r="BZ68" s="37">
        <f>SUMIFS(Lançamentos!$F:$F,Lançamentos!$A:$A,BZ$19,Lançamentos!$C:$C,"Cartão de Crédito")</f>
        <v>0</v>
      </c>
      <c r="CA68" s="37">
        <f>SUMIFS(Lançamentos!$F:$F,Lançamentos!$A:$A,CA$19,Lançamentos!$C:$C,"Cartão de Crédito")</f>
        <v>0</v>
      </c>
      <c r="CB68" s="37">
        <f>SUMIFS(Lançamentos!$F:$F,Lançamentos!$A:$A,CB$19,Lançamentos!$C:$C,"Cartão de Crédito")</f>
        <v>0</v>
      </c>
      <c r="CC68" s="37">
        <f>SUMIFS(Lançamentos!$F:$F,Lançamentos!$A:$A,CC$19,Lançamentos!$C:$C,"Cartão de Crédito")</f>
        <v>0</v>
      </c>
      <c r="CD68" s="37">
        <f>SUMIFS(Lançamentos!$F:$F,Lançamentos!$A:$A,CD$19,Lançamentos!$C:$C,"Cartão de Crédito")</f>
        <v>0</v>
      </c>
      <c r="CE68" s="37">
        <f>SUMIFS(Lançamentos!$F:$F,Lançamentos!$A:$A,CE$19,Lançamentos!$C:$C,"Cartão de Crédito")</f>
        <v>0</v>
      </c>
      <c r="CF68" s="37">
        <f>SUMIFS(Lançamentos!$F:$F,Lançamentos!$A:$A,CF$19,Lançamentos!$C:$C,"Cartão de Crédito")</f>
        <v>0</v>
      </c>
      <c r="CG68" s="37">
        <f>SUMIFS(Lançamentos!$F:$F,Lançamentos!$A:$A,CG$19,Lançamentos!$C:$C,"Cartão de Crédito")</f>
        <v>0</v>
      </c>
      <c r="CH68" s="37">
        <f>SUMIFS(Lançamentos!$F:$F,Lançamentos!$A:$A,CH$19,Lançamentos!$C:$C,"Cartão de Crédito")</f>
        <v>0</v>
      </c>
      <c r="CI68" s="37">
        <f>SUMIFS(Lançamentos!$F:$F,Lançamentos!$A:$A,CI$19,Lançamentos!$C:$C,"Cartão de Crédito")</f>
        <v>0</v>
      </c>
      <c r="CJ68" s="37">
        <f>SUMIFS(Lançamentos!$F:$F,Lançamentos!$A:$A,CJ$19,Lançamentos!$C:$C,"Cartão de Crédito")</f>
        <v>0</v>
      </c>
      <c r="CK68" s="37">
        <f>SUMIFS(Lançamentos!$F:$F,Lançamentos!$A:$A,CK$19,Lançamentos!$C:$C,"Cartão de Crédito")</f>
        <v>0</v>
      </c>
      <c r="CL68" s="37">
        <f>SUMIFS(Lançamentos!$F:$F,Lançamentos!$A:$A,CL$19,Lançamentos!$C:$C,"Cartão de Crédito")</f>
        <v>0</v>
      </c>
      <c r="CM68" s="37">
        <f>SUMIFS(Lançamentos!$F:$F,Lançamentos!$A:$A,CM$19,Lançamentos!$C:$C,"Cartão de Crédito")</f>
        <v>0</v>
      </c>
      <c r="CN68" s="37">
        <f>SUMIFS(Lançamentos!$F:$F,Lançamentos!$A:$A,CN$19,Lançamentos!$C:$C,"Cartão de Crédito")</f>
        <v>0</v>
      </c>
      <c r="CO68" s="37">
        <f>SUMIFS(Lançamentos!$F:$F,Lançamentos!$A:$A,CO$19,Lançamentos!$C:$C,"Cartão de Crédito")</f>
        <v>0</v>
      </c>
      <c r="CP68" s="37">
        <f>SUMIFS(Lançamentos!$F:$F,Lançamentos!$A:$A,CP$19,Lançamentos!$C:$C,"Cartão de Crédito")</f>
        <v>0</v>
      </c>
      <c r="CQ68" s="37">
        <f>SUMIFS(Lançamentos!$F:$F,Lançamentos!$A:$A,CQ$19,Lançamentos!$C:$C,"Cartão de Crédito")</f>
        <v>0</v>
      </c>
      <c r="CR68" s="37">
        <f>SUMIFS(Lançamentos!$F:$F,Lançamentos!$A:$A,CR$19,Lançamentos!$C:$C,"Cartão de Crédito")</f>
        <v>0</v>
      </c>
      <c r="CS68" s="37">
        <f>SUMIFS(Lançamentos!$F:$F,Lançamentos!$A:$A,CS$19,Lançamentos!$C:$C,"Cartão de Crédito")</f>
        <v>0</v>
      </c>
      <c r="CT68" s="37">
        <f>SUMIFS(Lançamentos!$F:$F,Lançamentos!$A:$A,CT$19,Lançamentos!$C:$C,"Cartão de Crédito")</f>
        <v>0</v>
      </c>
      <c r="CU68" s="37">
        <f>SUMIFS(Lançamentos!$F:$F,Lançamentos!$A:$A,CU$19,Lançamentos!$C:$C,"Cartão de Crédito")</f>
        <v>0</v>
      </c>
      <c r="CV68" s="37">
        <f>SUMIFS(Lançamentos!$F:$F,Lançamentos!$A:$A,CV$19,Lançamentos!$C:$C,"Cartão de Crédito")</f>
        <v>0</v>
      </c>
      <c r="CW68" s="37">
        <f>SUMIFS(Lançamentos!$F:$F,Lançamentos!$A:$A,CW$19,Lançamentos!$C:$C,"Cartão de Crédito")</f>
        <v>0</v>
      </c>
      <c r="CX68" s="37">
        <f>SUMIFS(Lançamentos!$F:$F,Lançamentos!$A:$A,CX$19,Lançamentos!$C:$C,"Cartão de Crédito")</f>
        <v>0</v>
      </c>
      <c r="CY68" s="37">
        <f>SUMIFS(Lançamentos!$F:$F,Lançamentos!$A:$A,CY$19,Lançamentos!$C:$C,"Cartão de Crédito")</f>
        <v>0</v>
      </c>
      <c r="CZ68" s="37">
        <f>SUMIFS(Lançamentos!$F:$F,Lançamentos!$A:$A,CZ$19,Lançamentos!$C:$C,"Cartão de Crédito")</f>
        <v>0</v>
      </c>
      <c r="DA68" s="37">
        <f>SUMIFS(Lançamentos!$F:$F,Lançamentos!$A:$A,DA$19,Lançamentos!$C:$C,"Cartão de Crédito")</f>
        <v>0</v>
      </c>
      <c r="DB68" s="37">
        <f>SUMIFS(Lançamentos!$F:$F,Lançamentos!$A:$A,DB$19,Lançamentos!$C:$C,"Cartão de Crédito")</f>
        <v>0</v>
      </c>
      <c r="DC68" s="37">
        <f>SUMIFS(Lançamentos!$F:$F,Lançamentos!$A:$A,DC$19,Lançamentos!$C:$C,"Cartão de Crédito")</f>
        <v>0</v>
      </c>
      <c r="DD68" s="37">
        <f>SUMIFS(Lançamentos!$F:$F,Lançamentos!$A:$A,DD$19,Lançamentos!$C:$C,"Cartão de Crédito")</f>
        <v>0</v>
      </c>
      <c r="DE68" s="37">
        <f>SUMIFS(Lançamentos!$F:$F,Lançamentos!$A:$A,DE$19,Lançamentos!$C:$C,"Cartão de Crédito")</f>
        <v>0</v>
      </c>
      <c r="DF68" s="37">
        <f>SUMIFS(Lançamentos!$F:$F,Lançamentos!$A:$A,DF$19,Lançamentos!$C:$C,"Cartão de Crédito")</f>
        <v>0</v>
      </c>
      <c r="DG68" s="37">
        <f>SUMIFS(Lançamentos!$F:$F,Lançamentos!$A:$A,DG$19,Lançamentos!$C:$C,"Cartão de Crédito")</f>
        <v>0</v>
      </c>
      <c r="DH68" s="37">
        <f>SUMIFS(Lançamentos!$F:$F,Lançamentos!$A:$A,DH$19,Lançamentos!$C:$C,"Cartão de Crédito")</f>
        <v>0</v>
      </c>
      <c r="DI68" s="37">
        <f>SUMIFS(Lançamentos!$F:$F,Lançamentos!$A:$A,DI$19,Lançamentos!$C:$C,"Cartão de Crédito")</f>
        <v>0</v>
      </c>
      <c r="DJ68" s="37">
        <f>SUMIFS(Lançamentos!$F:$F,Lançamentos!$A:$A,DJ$19,Lançamentos!$C:$C,"Cartão de Crédito")</f>
        <v>0</v>
      </c>
      <c r="DK68" s="37">
        <f>SUMIFS(Lançamentos!$F:$F,Lançamentos!$A:$A,DK$19,Lançamentos!$C:$C,"Cartão de Crédito")</f>
        <v>0</v>
      </c>
      <c r="DL68" s="37">
        <f>SUMIFS(Lançamentos!$F:$F,Lançamentos!$A:$A,DL$19,Lançamentos!$C:$C,"Cartão de Crédito")</f>
        <v>0</v>
      </c>
      <c r="DM68" s="37">
        <f>SUMIFS(Lançamentos!$F:$F,Lançamentos!$A:$A,DM$19,Lançamentos!$C:$C,"Cartão de Crédito")</f>
        <v>0</v>
      </c>
      <c r="DN68" s="37">
        <f>SUMIFS(Lançamentos!$F:$F,Lançamentos!$A:$A,DN$19,Lançamentos!$C:$C,"Cartão de Crédito")</f>
        <v>0</v>
      </c>
      <c r="DO68" s="37">
        <f>SUMIFS(Lançamentos!$F:$F,Lançamentos!$A:$A,DO$19,Lançamentos!$C:$C,"Cartão de Crédito")</f>
        <v>0</v>
      </c>
      <c r="DP68" s="37">
        <f>SUMIFS(Lançamentos!$F:$F,Lançamentos!$A:$A,DP$19,Lançamentos!$C:$C,"Cartão de Crédito")</f>
        <v>0</v>
      </c>
      <c r="DQ68" s="37">
        <f>SUMIFS(Lançamentos!$F:$F,Lançamentos!$A:$A,DQ$19,Lançamentos!$C:$C,"Cartão de Crédito")</f>
        <v>0</v>
      </c>
      <c r="DR68" s="37">
        <f>SUMIFS(Lançamentos!$F:$F,Lançamentos!$A:$A,DR$19,Lançamentos!$C:$C,"Cartão de Crédito")</f>
        <v>0</v>
      </c>
      <c r="DS68" s="37">
        <f>SUMIFS(Lançamentos!$F:$F,Lançamentos!$A:$A,DS$19,Lançamentos!$C:$C,"Cartão de Crédito")</f>
        <v>0</v>
      </c>
      <c r="DT68" s="37">
        <f>SUMIFS(Lançamentos!$F:$F,Lançamentos!$A:$A,DT$19,Lançamentos!$C:$C,"Cartão de Crédito")</f>
        <v>0</v>
      </c>
      <c r="DU68" s="37">
        <f>SUMIFS(Lançamentos!$F:$F,Lançamentos!$A:$A,DU$19,Lançamentos!$C:$C,"Cartão de Crédito")</f>
        <v>0</v>
      </c>
      <c r="DV68" s="37">
        <f>SUMIFS(Lançamentos!$F:$F,Lançamentos!$A:$A,DV$19,Lançamentos!$C:$C,"Cartão de Crédito")</f>
        <v>0</v>
      </c>
      <c r="DW68" s="37">
        <f>SUMIFS(Lançamentos!$F:$F,Lançamentos!$A:$A,DW$19,Lançamentos!$C:$C,"Cartão de Crédito")</f>
        <v>0</v>
      </c>
      <c r="DX68" s="37">
        <f>SUMIFS(Lançamentos!$F:$F,Lançamentos!$A:$A,DX$19,Lançamentos!$C:$C,"Cartão de Crédito")</f>
        <v>0</v>
      </c>
      <c r="DY68" s="37">
        <f>SUMIFS(Lançamentos!$F:$F,Lançamentos!$A:$A,DY$19,Lançamentos!$C:$C,"Cartão de Crédito")</f>
        <v>0</v>
      </c>
      <c r="DZ68" s="37">
        <f>SUMIFS(Lançamentos!$F:$F,Lançamentos!$A:$A,DZ$19,Lançamentos!$C:$C,"Cartão de Crédito")</f>
        <v>0</v>
      </c>
      <c r="EA68" s="37">
        <f>SUMIFS(Lançamentos!$F:$F,Lançamentos!$A:$A,EA$19,Lançamentos!$C:$C,"Cartão de Crédito")</f>
        <v>0</v>
      </c>
      <c r="EB68" s="37">
        <f>SUMIFS(Lançamentos!$F:$F,Lançamentos!$A:$A,EB$19,Lançamentos!$C:$C,"Cartão de Crédito")</f>
        <v>0</v>
      </c>
      <c r="EC68" s="37">
        <f>SUMIFS(Lançamentos!$F:$F,Lançamentos!$A:$A,EC$19,Lançamentos!$C:$C,"Cartão de Crédito")</f>
        <v>0</v>
      </c>
      <c r="ED68" s="37">
        <f>SUMIFS(Lançamentos!$F:$F,Lançamentos!$A:$A,ED$19,Lançamentos!$C:$C,"Cartão de Crédito")</f>
        <v>0</v>
      </c>
      <c r="EE68" s="37">
        <f>SUMIFS(Lançamentos!$F:$F,Lançamentos!$A:$A,EE$19,Lançamentos!$C:$C,"Cartão de Crédito")</f>
        <v>0</v>
      </c>
      <c r="EF68" s="37">
        <f>SUMIFS(Lançamentos!$F:$F,Lançamentos!$A:$A,EF$19,Lançamentos!$C:$C,"Cartão de Crédito")</f>
        <v>0</v>
      </c>
      <c r="EG68" s="37">
        <f>SUMIFS(Lançamentos!$F:$F,Lançamentos!$A:$A,EG$19,Lançamentos!$C:$C,"Cartão de Crédito")</f>
        <v>0</v>
      </c>
      <c r="EH68" s="37">
        <f>SUMIFS(Lançamentos!$F:$F,Lançamentos!$A:$A,EH$19,Lançamentos!$C:$C,"Cartão de Crédito")</f>
        <v>0</v>
      </c>
      <c r="EI68" s="37">
        <f>SUMIFS(Lançamentos!$F:$F,Lançamentos!$A:$A,EI$19,Lançamentos!$C:$C,"Cartão de Crédito")</f>
        <v>0</v>
      </c>
      <c r="EJ68" s="37">
        <f>SUMIFS(Lançamentos!$F:$F,Lançamentos!$A:$A,EJ$19,Lançamentos!$C:$C,"Cartão de Crédito")</f>
        <v>0</v>
      </c>
      <c r="EK68" s="37">
        <f>SUMIFS(Lançamentos!$F:$F,Lançamentos!$A:$A,EK$19,Lançamentos!$C:$C,"Cartão de Crédito")</f>
        <v>0</v>
      </c>
      <c r="EL68" s="37">
        <f>SUMIFS(Lançamentos!$F:$F,Lançamentos!$A:$A,EL$19,Lançamentos!$C:$C,"Cartão de Crédito")</f>
        <v>0</v>
      </c>
      <c r="EM68" s="37">
        <f>SUMIFS(Lançamentos!$F:$F,Lançamentos!$A:$A,EM$19,Lançamentos!$C:$C,"Cartão de Crédito")</f>
        <v>0</v>
      </c>
      <c r="EN68" s="37">
        <f>SUMIFS(Lançamentos!$F:$F,Lançamentos!$A:$A,EN$19,Lançamentos!$C:$C,"Cartão de Crédito")</f>
        <v>0</v>
      </c>
      <c r="EO68" s="37">
        <f>SUMIFS(Lançamentos!$F:$F,Lançamentos!$A:$A,EO$19,Lançamentos!$C:$C,"Cartão de Crédito")</f>
        <v>0</v>
      </c>
      <c r="EP68" s="37">
        <f>SUMIFS(Lançamentos!$F:$F,Lançamentos!$A:$A,EP$19,Lançamentos!$C:$C,"Cartão de Crédito")</f>
        <v>0</v>
      </c>
      <c r="EQ68" s="37">
        <f>SUMIFS(Lançamentos!$F:$F,Lançamentos!$A:$A,EQ$19,Lançamentos!$C:$C,"Cartão de Crédito")</f>
        <v>0</v>
      </c>
      <c r="ER68" s="37">
        <f>SUMIFS(Lançamentos!$F:$F,Lançamentos!$A:$A,ER$19,Lançamentos!$C:$C,"Cartão de Crédito")</f>
        <v>0</v>
      </c>
      <c r="ES68" s="37">
        <f>SUMIFS(Lançamentos!$F:$F,Lançamentos!$A:$A,ES$19,Lançamentos!$C:$C,"Cartão de Crédito")</f>
        <v>0</v>
      </c>
      <c r="ET68" s="37">
        <f>SUMIFS(Lançamentos!$F:$F,Lançamentos!$A:$A,ET$19,Lançamentos!$C:$C,"Cartão de Crédito")</f>
        <v>0</v>
      </c>
      <c r="EU68" s="37">
        <f>SUMIFS(Lançamentos!$F:$F,Lançamentos!$A:$A,EU$19,Lançamentos!$C:$C,"Cartão de Crédito")</f>
        <v>0</v>
      </c>
      <c r="EV68" s="37">
        <f>SUMIFS(Lançamentos!$F:$F,Lançamentos!$A:$A,EV$19,Lançamentos!$C:$C,"Cartão de Crédito")</f>
        <v>0</v>
      </c>
      <c r="EW68" s="37">
        <f>SUMIFS(Lançamentos!$F:$F,Lançamentos!$A:$A,EW$19,Lançamentos!$C:$C,"Cartão de Crédito")</f>
        <v>0</v>
      </c>
      <c r="EX68" s="37">
        <f>SUMIFS(Lançamentos!$F:$F,Lançamentos!$A:$A,EX$19,Lançamentos!$C:$C,"Cartão de Crédito")</f>
        <v>0</v>
      </c>
      <c r="EY68" s="37">
        <f>SUMIFS(Lançamentos!$F:$F,Lançamentos!$A:$A,EY$19,Lançamentos!$C:$C,"Cartão de Crédito")</f>
        <v>0</v>
      </c>
      <c r="EZ68" s="37">
        <f>SUMIFS(Lançamentos!$F:$F,Lançamentos!$A:$A,EZ$19,Lançamentos!$C:$C,"Cartão de Crédito")</f>
        <v>0</v>
      </c>
      <c r="FA68" s="37">
        <f>SUMIFS(Lançamentos!$F:$F,Lançamentos!$A:$A,FA$19,Lançamentos!$C:$C,"Cartão de Crédito")</f>
        <v>0</v>
      </c>
      <c r="FB68" s="37">
        <f>SUMIFS(Lançamentos!$F:$F,Lançamentos!$A:$A,FB$19,Lançamentos!$C:$C,"Cartão de Crédito")</f>
        <v>0</v>
      </c>
      <c r="FC68" s="37">
        <f>SUMIFS(Lançamentos!$F:$F,Lançamentos!$A:$A,FC$19,Lançamentos!$C:$C,"Cartão de Crédito")</f>
        <v>0</v>
      </c>
      <c r="FD68" s="37">
        <f>SUMIFS(Lançamentos!$F:$F,Lançamentos!$A:$A,FD$19,Lançamentos!$C:$C,"Cartão de Crédito")</f>
        <v>0</v>
      </c>
      <c r="FE68" s="37">
        <f>SUMIFS(Lançamentos!$F:$F,Lançamentos!$A:$A,FE$19,Lançamentos!$C:$C,"Cartão de Crédito")</f>
        <v>0</v>
      </c>
      <c r="FF68" s="37">
        <f>SUMIFS(Lançamentos!$F:$F,Lançamentos!$A:$A,FF$19,Lançamentos!$C:$C,"Cartão de Crédito")</f>
        <v>0</v>
      </c>
      <c r="FG68" s="37">
        <f>SUMIFS(Lançamentos!$F:$F,Lançamentos!$A:$A,FG$19,Lançamentos!$C:$C,"Cartão de Crédito")</f>
        <v>0</v>
      </c>
      <c r="FH68" s="37">
        <f>SUMIFS(Lançamentos!$F:$F,Lançamentos!$A:$A,FH$19,Lançamentos!$C:$C,"Cartão de Crédito")</f>
        <v>0</v>
      </c>
      <c r="FI68" s="37">
        <f>SUMIFS(Lançamentos!$F:$F,Lançamentos!$A:$A,FI$19,Lançamentos!$C:$C,"Cartão de Crédito")</f>
        <v>0</v>
      </c>
      <c r="FJ68" s="37">
        <f>SUMIFS(Lançamentos!$F:$F,Lançamentos!$A:$A,FJ$19,Lançamentos!$C:$C,"Cartão de Crédito")</f>
        <v>0</v>
      </c>
      <c r="FK68" s="37">
        <f>SUMIFS(Lançamentos!$F:$F,Lançamentos!$A:$A,FK$19,Lançamentos!$C:$C,"Cartão de Crédito")</f>
        <v>0</v>
      </c>
      <c r="FL68" s="37">
        <f>SUMIFS(Lançamentos!$F:$F,Lançamentos!$A:$A,FL$19,Lançamentos!$C:$C,"Cartão de Crédito")</f>
        <v>0</v>
      </c>
      <c r="FM68" s="37">
        <f>SUMIFS(Lançamentos!$F:$F,Lançamentos!$A:$A,FM$19,Lançamentos!$C:$C,"Cartão de Crédito")</f>
        <v>0</v>
      </c>
      <c r="FN68" s="37">
        <f>SUMIFS(Lançamentos!$F:$F,Lançamentos!$A:$A,FN$19,Lançamentos!$C:$C,"Cartão de Crédito")</f>
        <v>0</v>
      </c>
      <c r="FO68" s="37">
        <f>SUMIFS(Lançamentos!$F:$F,Lançamentos!$A:$A,FO$19,Lançamentos!$C:$C,"Cartão de Crédito")</f>
        <v>0</v>
      </c>
      <c r="FP68" s="37">
        <f>SUMIFS(Lançamentos!$F:$F,Lançamentos!$A:$A,FP$19,Lançamentos!$C:$C,"Cartão de Crédito")</f>
        <v>0</v>
      </c>
      <c r="FQ68" s="37">
        <f>SUMIFS(Lançamentos!$F:$F,Lançamentos!$A:$A,FQ$19,Lançamentos!$C:$C,"Cartão de Crédito")</f>
        <v>0</v>
      </c>
      <c r="FR68" s="37">
        <f>SUMIFS(Lançamentos!$F:$F,Lançamentos!$A:$A,FR$19,Lançamentos!$C:$C,"Cartão de Crédito")</f>
        <v>0</v>
      </c>
      <c r="FS68" s="37">
        <f>SUMIFS(Lançamentos!$F:$F,Lançamentos!$A:$A,FS$19,Lançamentos!$C:$C,"Cartão de Crédito")</f>
        <v>0</v>
      </c>
      <c r="FT68" s="37">
        <f>SUMIFS(Lançamentos!$F:$F,Lançamentos!$A:$A,FT$19,Lançamentos!$C:$C,"Cartão de Crédito")</f>
        <v>0</v>
      </c>
      <c r="FU68" s="37">
        <f>SUMIFS(Lançamentos!$F:$F,Lançamentos!$A:$A,FU$19,Lançamentos!$C:$C,"Cartão de Crédito")</f>
        <v>0</v>
      </c>
      <c r="FV68" s="37">
        <f>SUMIFS(Lançamentos!$F:$F,Lançamentos!$A:$A,FV$19,Lançamentos!$C:$C,"Cartão de Crédito")</f>
        <v>0</v>
      </c>
      <c r="FW68" s="37">
        <f>SUMIFS(Lançamentos!$F:$F,Lançamentos!$A:$A,FW$19,Lançamentos!$C:$C,"Cartão de Crédito")</f>
        <v>0</v>
      </c>
      <c r="FX68" s="37">
        <f>SUMIFS(Lançamentos!$F:$F,Lançamentos!$A:$A,FX$19,Lançamentos!$C:$C,"Cartão de Crédito")</f>
        <v>0</v>
      </c>
      <c r="FY68" s="37">
        <f>SUMIFS(Lançamentos!$F:$F,Lançamentos!$A:$A,FY$19,Lançamentos!$C:$C,"Cartão de Crédito")</f>
        <v>0</v>
      </c>
      <c r="FZ68" s="37">
        <f>SUMIFS(Lançamentos!$F:$F,Lançamentos!$A:$A,FZ$19,Lançamentos!$C:$C,"Cartão de Crédito")</f>
        <v>0</v>
      </c>
      <c r="GA68" s="37">
        <f>SUMIFS(Lançamentos!$F:$F,Lançamentos!$A:$A,GA$19,Lançamentos!$C:$C,"Cartão de Crédito")</f>
        <v>0</v>
      </c>
      <c r="GB68" s="37">
        <f>SUMIFS(Lançamentos!$F:$F,Lançamentos!$A:$A,GB$19,Lançamentos!$C:$C,"Cartão de Crédito")</f>
        <v>0</v>
      </c>
      <c r="GC68" s="37">
        <f>SUMIFS(Lançamentos!$F:$F,Lançamentos!$A:$A,GC$19,Lançamentos!$C:$C,"Cartão de Crédito")</f>
        <v>0</v>
      </c>
      <c r="GD68" s="37">
        <f>SUMIFS(Lançamentos!$F:$F,Lançamentos!$A:$A,GD$19,Lançamentos!$C:$C,"Cartão de Crédito")</f>
        <v>0</v>
      </c>
      <c r="GE68" s="37">
        <f>SUMIFS(Lançamentos!$F:$F,Lançamentos!$A:$A,GE$19,Lançamentos!$C:$C,"Cartão de Crédito")</f>
        <v>0</v>
      </c>
      <c r="GF68" s="37">
        <f>SUMIFS(Lançamentos!$F:$F,Lançamentos!$A:$A,GF$19,Lançamentos!$C:$C,"Cartão de Crédito")</f>
        <v>0</v>
      </c>
      <c r="GG68" s="37">
        <f>SUMIFS(Lançamentos!$F:$F,Lançamentos!$A:$A,GG$19,Lançamentos!$C:$C,"Cartão de Crédito")</f>
        <v>0</v>
      </c>
      <c r="GH68" s="37">
        <f>SUMIFS(Lançamentos!$F:$F,Lançamentos!$A:$A,GH$19,Lançamentos!$C:$C,"Cartão de Crédito")</f>
        <v>0</v>
      </c>
      <c r="GI68" s="37">
        <f>SUMIFS(Lançamentos!$F:$F,Lançamentos!$A:$A,GI$19,Lançamentos!$C:$C,"Cartão de Crédito")</f>
        <v>0</v>
      </c>
      <c r="GJ68" s="37">
        <f>SUMIFS(Lançamentos!$F:$F,Lançamentos!$A:$A,GJ$19,Lançamentos!$C:$C,"Cartão de Crédito")</f>
        <v>0</v>
      </c>
      <c r="GK68" s="37">
        <f>SUMIFS(Lançamentos!$F:$F,Lançamentos!$A:$A,GK$19,Lançamentos!$C:$C,"Cartão de Crédito")</f>
        <v>0</v>
      </c>
      <c r="GL68" s="37">
        <f>SUMIFS(Lançamentos!$F:$F,Lançamentos!$A:$A,GL$19,Lançamentos!$C:$C,"Cartão de Crédito")</f>
        <v>0</v>
      </c>
      <c r="GM68" s="37">
        <f>SUMIFS(Lançamentos!$F:$F,Lançamentos!$A:$A,GM$19,Lançamentos!$C:$C,"Cartão de Crédito")</f>
        <v>0</v>
      </c>
      <c r="GN68" s="37">
        <f>SUMIFS(Lançamentos!$F:$F,Lançamentos!$A:$A,GN$19,Lançamentos!$C:$C,"Cartão de Crédito")</f>
        <v>0</v>
      </c>
      <c r="GO68" s="37">
        <f>SUMIFS(Lançamentos!$F:$F,Lançamentos!$A:$A,GO$19,Lançamentos!$C:$C,"Cartão de Crédito")</f>
        <v>0</v>
      </c>
      <c r="GP68" s="37">
        <f>SUMIFS(Lançamentos!$F:$F,Lançamentos!$A:$A,GP$19,Lançamentos!$C:$C,"Cartão de Crédito")</f>
        <v>0</v>
      </c>
      <c r="GQ68" s="37">
        <f>SUMIFS(Lançamentos!$F:$F,Lançamentos!$A:$A,GQ$19,Lançamentos!$C:$C,"Cartão de Crédito")</f>
        <v>0</v>
      </c>
      <c r="GR68" s="37">
        <f>SUMIFS(Lançamentos!$F:$F,Lançamentos!$A:$A,GR$19,Lançamentos!$C:$C,"Cartão de Crédito")</f>
        <v>0</v>
      </c>
      <c r="GS68" s="37">
        <f>SUMIFS(Lançamentos!$F:$F,Lançamentos!$A:$A,GS$19,Lançamentos!$C:$C,"Cartão de Crédito")</f>
        <v>0</v>
      </c>
      <c r="GT68" s="37">
        <f>SUMIFS(Lançamentos!$F:$F,Lançamentos!$A:$A,GT$19,Lançamentos!$C:$C,"Cartão de Crédito")</f>
        <v>0</v>
      </c>
      <c r="GU68" s="37">
        <f>SUMIFS(Lançamentos!$F:$F,Lançamentos!$A:$A,GU$19,Lançamentos!$C:$C,"Cartão de Crédito")</f>
        <v>0</v>
      </c>
      <c r="GV68" s="37">
        <f>SUMIFS(Lançamentos!$F:$F,Lançamentos!$A:$A,GV$19,Lançamentos!$C:$C,"Cartão de Crédito")</f>
        <v>0</v>
      </c>
      <c r="GW68" s="37">
        <f>SUMIFS(Lançamentos!$F:$F,Lançamentos!$A:$A,GW$19,Lançamentos!$C:$C,"Cartão de Crédito")</f>
        <v>0</v>
      </c>
      <c r="GX68" s="37">
        <f>SUMIFS(Lançamentos!$F:$F,Lançamentos!$A:$A,GX$19,Lançamentos!$C:$C,"Cartão de Crédito")</f>
        <v>0</v>
      </c>
      <c r="GY68" s="37">
        <f>SUMIFS(Lançamentos!$F:$F,Lançamentos!$A:$A,GY$19,Lançamentos!$C:$C,"Cartão de Crédito")</f>
        <v>0</v>
      </c>
      <c r="GZ68" s="37">
        <f>SUMIFS(Lançamentos!$F:$F,Lançamentos!$A:$A,GZ$19,Lançamentos!$C:$C,"Cartão de Crédito")</f>
        <v>0</v>
      </c>
      <c r="HA68" s="37">
        <f>SUMIFS(Lançamentos!$F:$F,Lançamentos!$A:$A,HA$19,Lançamentos!$C:$C,"Cartão de Crédito")</f>
        <v>0</v>
      </c>
      <c r="HB68" s="37">
        <f>SUMIFS(Lançamentos!$F:$F,Lançamentos!$A:$A,HB$19,Lançamentos!$C:$C,"Cartão de Crédito")</f>
        <v>0</v>
      </c>
      <c r="HC68" s="37">
        <f>SUMIFS(Lançamentos!$F:$F,Lançamentos!$A:$A,HC$19,Lançamentos!$C:$C,"Cartão de Crédito")</f>
        <v>0</v>
      </c>
      <c r="HD68" s="37">
        <f>SUMIFS(Lançamentos!$F:$F,Lançamentos!$A:$A,HD$19,Lançamentos!$C:$C,"Cartão de Crédito")</f>
        <v>0</v>
      </c>
      <c r="HE68" s="37">
        <f>SUMIFS(Lançamentos!$F:$F,Lançamentos!$A:$A,HE$19,Lançamentos!$C:$C,"Cartão de Crédito")</f>
        <v>0</v>
      </c>
      <c r="HF68" s="37">
        <f>SUMIFS(Lançamentos!$F:$F,Lançamentos!$A:$A,HF$19,Lançamentos!$C:$C,"Cartão de Crédito")</f>
        <v>0</v>
      </c>
      <c r="HG68" s="37">
        <f>SUMIFS(Lançamentos!$F:$F,Lançamentos!$A:$A,HG$19,Lançamentos!$C:$C,"Cartão de Crédito")</f>
        <v>0</v>
      </c>
      <c r="HH68" s="37">
        <f>SUMIFS(Lançamentos!$F:$F,Lançamentos!$A:$A,HH$19,Lançamentos!$C:$C,"Cartão de Crédito")</f>
        <v>0</v>
      </c>
      <c r="HI68" s="37">
        <f>SUMIFS(Lançamentos!$F:$F,Lançamentos!$A:$A,HI$19,Lançamentos!$C:$C,"Cartão de Crédito")</f>
        <v>0</v>
      </c>
      <c r="HJ68" s="37">
        <f>SUMIFS(Lançamentos!$F:$F,Lançamentos!$A:$A,HJ$19,Lançamentos!$C:$C,"Cartão de Crédito")</f>
        <v>0</v>
      </c>
      <c r="HK68" s="37">
        <f>SUMIFS(Lançamentos!$F:$F,Lançamentos!$A:$A,HK$19,Lançamentos!$C:$C,"Cartão de Crédito")</f>
        <v>0</v>
      </c>
      <c r="HL68" s="37">
        <f>SUMIFS(Lançamentos!$F:$F,Lançamentos!$A:$A,HL$19,Lançamentos!$C:$C,"Cartão de Crédito")</f>
        <v>0</v>
      </c>
      <c r="HM68" s="37">
        <f>SUMIFS(Lançamentos!$F:$F,Lançamentos!$A:$A,HM$19,Lançamentos!$C:$C,"Cartão de Crédito")</f>
        <v>0</v>
      </c>
      <c r="HN68" s="37">
        <f>SUMIFS(Lançamentos!$F:$F,Lançamentos!$A:$A,HN$19,Lançamentos!$C:$C,"Cartão de Crédito")</f>
        <v>0</v>
      </c>
      <c r="HO68" s="37">
        <f>SUMIFS(Lançamentos!$F:$F,Lançamentos!$A:$A,HO$19,Lançamentos!$C:$C,"Cartão de Crédito")</f>
        <v>0</v>
      </c>
      <c r="HP68" s="37">
        <f>SUMIFS(Lançamentos!$F:$F,Lançamentos!$A:$A,HP$19,Lançamentos!$C:$C,"Cartão de Crédito")</f>
        <v>0</v>
      </c>
      <c r="HQ68" s="37">
        <f>SUMIFS(Lançamentos!$F:$F,Lançamentos!$A:$A,HQ$19,Lançamentos!$C:$C,"Cartão de Crédito")</f>
        <v>0</v>
      </c>
      <c r="HR68" s="37">
        <f>SUMIFS(Lançamentos!$F:$F,Lançamentos!$A:$A,HR$19,Lançamentos!$C:$C,"Cartão de Crédito")</f>
        <v>0</v>
      </c>
      <c r="HS68" s="37">
        <f>SUMIFS(Lançamentos!$F:$F,Lançamentos!$A:$A,HS$19,Lançamentos!$C:$C,"Cartão de Crédito")</f>
        <v>0</v>
      </c>
      <c r="HT68" s="37">
        <f>SUMIFS(Lançamentos!$F:$F,Lançamentos!$A:$A,HT$19,Lançamentos!$C:$C,"Cartão de Crédito")</f>
        <v>0</v>
      </c>
      <c r="HU68" s="37">
        <f>SUMIFS(Lançamentos!$F:$F,Lançamentos!$A:$A,HU$19,Lançamentos!$C:$C,"Cartão de Crédito")</f>
        <v>0</v>
      </c>
      <c r="HV68" s="37">
        <f>SUMIFS(Lançamentos!$F:$F,Lançamentos!$A:$A,HV$19,Lançamentos!$C:$C,"Cartão de Crédito")</f>
        <v>0</v>
      </c>
      <c r="HW68" s="37">
        <f>SUMIFS(Lançamentos!$F:$F,Lançamentos!$A:$A,HW$19,Lançamentos!$C:$C,"Cartão de Crédito")</f>
        <v>0</v>
      </c>
      <c r="HX68" s="37">
        <f>SUMIFS(Lançamentos!$F:$F,Lançamentos!$A:$A,HX$19,Lançamentos!$C:$C,"Cartão de Crédito")</f>
        <v>0</v>
      </c>
      <c r="HY68" s="37">
        <f>SUMIFS(Lançamentos!$F:$F,Lançamentos!$A:$A,HY$19,Lançamentos!$C:$C,"Cartão de Crédito")</f>
        <v>0</v>
      </c>
      <c r="HZ68" s="37">
        <f>SUMIFS(Lançamentos!$F:$F,Lançamentos!$A:$A,HZ$19,Lançamentos!$C:$C,"Cartão de Crédito")</f>
        <v>0</v>
      </c>
      <c r="IA68" s="37">
        <f>SUMIFS(Lançamentos!$F:$F,Lançamentos!$A:$A,IA$19,Lançamentos!$C:$C,"Cartão de Crédito")</f>
        <v>0</v>
      </c>
      <c r="IB68" s="37">
        <f>SUMIFS(Lançamentos!$F:$F,Lançamentos!$A:$A,IB$19,Lançamentos!$C:$C,"Cartão de Crédito")</f>
        <v>0</v>
      </c>
      <c r="IC68" s="37">
        <f>SUMIFS(Lançamentos!$F:$F,Lançamentos!$A:$A,IC$19,Lançamentos!$C:$C,"Cartão de Crédito")</f>
        <v>0</v>
      </c>
      <c r="ID68" s="37">
        <f>SUMIFS(Lançamentos!$F:$F,Lançamentos!$A:$A,ID$19,Lançamentos!$C:$C,"Cartão de Crédito")</f>
        <v>0</v>
      </c>
      <c r="IE68" s="37">
        <f>SUMIFS(Lançamentos!$F:$F,Lançamentos!$A:$A,IE$19,Lançamentos!$C:$C,"Cartão de Crédito")</f>
        <v>0</v>
      </c>
      <c r="IF68" s="37">
        <f>SUMIFS(Lançamentos!$F:$F,Lançamentos!$A:$A,IF$19,Lançamentos!$C:$C,"Cartão de Crédito")</f>
        <v>0</v>
      </c>
      <c r="IG68" s="37">
        <f>SUMIFS(Lançamentos!$F:$F,Lançamentos!$A:$A,IG$19,Lançamentos!$C:$C,"Cartão de Crédito")</f>
        <v>0</v>
      </c>
      <c r="IH68" s="37">
        <f>SUMIFS(Lançamentos!$F:$F,Lançamentos!$A:$A,IH$19,Lançamentos!$C:$C,"Cartão de Crédito")</f>
        <v>0</v>
      </c>
      <c r="II68" s="37">
        <f>SUMIFS(Lançamentos!$F:$F,Lançamentos!$A:$A,II$19,Lançamentos!$C:$C,"Cartão de Crédito")</f>
        <v>0</v>
      </c>
      <c r="IJ68" s="37">
        <f>SUMIFS(Lançamentos!$F:$F,Lançamentos!$A:$A,IJ$19,Lançamentos!$C:$C,"Cartão de Crédito")</f>
        <v>0</v>
      </c>
      <c r="IK68" s="37">
        <f>SUMIFS(Lançamentos!$F:$F,Lançamentos!$A:$A,IK$19,Lançamentos!$C:$C,"Cartão de Crédito")</f>
        <v>0</v>
      </c>
      <c r="IL68" s="37">
        <f>SUMIFS(Lançamentos!$F:$F,Lançamentos!$A:$A,IL$19,Lançamentos!$C:$C,"Cartão de Crédito")</f>
        <v>0</v>
      </c>
    </row>
    <row r="69" spans="1:246" x14ac:dyDescent="0.3">
      <c r="A69" t="s">
        <v>107</v>
      </c>
      <c r="B69" s="37">
        <f>SUMIFS(Lançamentos!$F:$F,Lançamentos!$A:$A,B$19,Lançamentos!$C:$C,"Multas e Juros")</f>
        <v>0</v>
      </c>
      <c r="C69" s="37">
        <f>SUMIFS(Lançamentos!$F:$F,Lançamentos!$A:$A,C$19,Lançamentos!$C:$C,"Multas e Juros")</f>
        <v>0</v>
      </c>
      <c r="D69" s="37">
        <f>SUMIFS(Lançamentos!$F:$F,Lançamentos!$A:$A,D$19,Lançamentos!$C:$C,"Multas e Juros")</f>
        <v>0</v>
      </c>
      <c r="E69" s="37">
        <f>SUMIFS(Lançamentos!$F:$F,Lançamentos!$A:$A,E$19,Lançamentos!$C:$C,"Multas e Juros")</f>
        <v>0</v>
      </c>
      <c r="F69" s="37">
        <f>SUMIFS(Lançamentos!$F:$F,Lançamentos!$A:$A,F$19,Lançamentos!$C:$C,"Multas e Juros")</f>
        <v>0</v>
      </c>
      <c r="G69" s="37">
        <f>SUMIFS(Lançamentos!$F:$F,Lançamentos!$A:$A,G$19,Lançamentos!$C:$C,"Multas e Juros")</f>
        <v>0</v>
      </c>
      <c r="H69" s="37">
        <f>SUMIFS(Lançamentos!$F:$F,Lançamentos!$A:$A,H$19,Lançamentos!$C:$C,"Multas e Juros")</f>
        <v>0</v>
      </c>
      <c r="I69" s="37">
        <f>SUMIFS(Lançamentos!$F:$F,Lançamentos!$A:$A,I$19,Lançamentos!$C:$C,"Multas e Juros")</f>
        <v>0</v>
      </c>
      <c r="J69" s="37">
        <f>SUMIFS(Lançamentos!$F:$F,Lançamentos!$A:$A,J$19,Lançamentos!$C:$C,"Multas e Juros")</f>
        <v>0</v>
      </c>
      <c r="K69" s="37">
        <f>SUMIFS(Lançamentos!$F:$F,Lançamentos!$A:$A,K$19,Lançamentos!$C:$C,"Multas e Juros")</f>
        <v>0</v>
      </c>
      <c r="L69" s="37">
        <f>SUMIFS(Lançamentos!$F:$F,Lançamentos!$A:$A,L$19,Lançamentos!$C:$C,"Multas e Juros")</f>
        <v>0</v>
      </c>
      <c r="M69" s="37">
        <f>SUMIFS(Lançamentos!$F:$F,Lançamentos!$A:$A,M$19,Lançamentos!$C:$C,"Multas e Juros")</f>
        <v>0</v>
      </c>
      <c r="N69" s="37">
        <f>SUMIFS(Lançamentos!$F:$F,Lançamentos!$A:$A,N$19,Lançamentos!$C:$C,"Multas e Juros")</f>
        <v>0</v>
      </c>
      <c r="O69" s="37">
        <f>SUMIFS(Lançamentos!$F:$F,Lançamentos!$A:$A,O$19,Lançamentos!$C:$C,"Multas e Juros")</f>
        <v>0</v>
      </c>
      <c r="P69" s="37">
        <f>SUMIFS(Lançamentos!$F:$F,Lançamentos!$A:$A,P$19,Lançamentos!$C:$C,"Multas e Juros")</f>
        <v>0</v>
      </c>
      <c r="Q69" s="37">
        <f>SUMIFS(Lançamentos!$F:$F,Lançamentos!$A:$A,Q$19,Lançamentos!$C:$C,"Multas e Juros")</f>
        <v>0</v>
      </c>
      <c r="R69" s="37">
        <f>SUMIFS(Lançamentos!$F:$F,Lançamentos!$A:$A,R$19,Lançamentos!$C:$C,"Multas e Juros")</f>
        <v>0</v>
      </c>
      <c r="S69" s="37">
        <f>SUMIFS(Lançamentos!$F:$F,Lançamentos!$A:$A,S$19,Lançamentos!$C:$C,"Multas e Juros")</f>
        <v>0</v>
      </c>
      <c r="T69" s="37">
        <f>SUMIFS(Lançamentos!$F:$F,Lançamentos!$A:$A,T$19,Lançamentos!$C:$C,"Multas e Juros")</f>
        <v>0</v>
      </c>
      <c r="U69" s="37">
        <f>SUMIFS(Lançamentos!$F:$F,Lançamentos!$A:$A,U$19,Lançamentos!$C:$C,"Multas e Juros")</f>
        <v>0</v>
      </c>
      <c r="V69" s="37">
        <f>SUMIFS(Lançamentos!$F:$F,Lançamentos!$A:$A,V$19,Lançamentos!$C:$C,"Multas e Juros")</f>
        <v>0</v>
      </c>
      <c r="W69" s="37">
        <f>SUMIFS(Lançamentos!$F:$F,Lançamentos!$A:$A,W$19,Lançamentos!$C:$C,"Multas e Juros")</f>
        <v>0</v>
      </c>
      <c r="X69" s="37">
        <f>SUMIFS(Lançamentos!$F:$F,Lançamentos!$A:$A,X$19,Lançamentos!$C:$C,"Multas e Juros")</f>
        <v>0</v>
      </c>
      <c r="Y69" s="37">
        <f>SUMIFS(Lançamentos!$F:$F,Lançamentos!$A:$A,Y$19,Lançamentos!$C:$C,"Multas e Juros")</f>
        <v>0</v>
      </c>
      <c r="Z69" s="37">
        <f>SUMIFS(Lançamentos!$F:$F,Lançamentos!$A:$A,Z$19,Lançamentos!$C:$C,"Multas e Juros")</f>
        <v>0</v>
      </c>
      <c r="AA69" s="37">
        <f>SUMIFS(Lançamentos!$F:$F,Lançamentos!$A:$A,AA$19,Lançamentos!$C:$C,"Multas e Juros")</f>
        <v>0</v>
      </c>
      <c r="AB69" s="37">
        <f>SUMIFS(Lançamentos!$F:$F,Lançamentos!$A:$A,AB$19,Lançamentos!$C:$C,"Multas e Juros")</f>
        <v>0</v>
      </c>
      <c r="AC69" s="37">
        <f>SUMIFS(Lançamentos!$F:$F,Lançamentos!$A:$A,AC$19,Lançamentos!$C:$C,"Multas e Juros")</f>
        <v>0</v>
      </c>
      <c r="AD69" s="37">
        <f>SUMIFS(Lançamentos!$F:$F,Lançamentos!$A:$A,AD$19,Lançamentos!$C:$C,"Multas e Juros")</f>
        <v>0</v>
      </c>
      <c r="AE69" s="37">
        <f>SUMIFS(Lançamentos!$F:$F,Lançamentos!$A:$A,AE$19,Lançamentos!$C:$C,"Multas e Juros")</f>
        <v>0</v>
      </c>
      <c r="AF69" s="37">
        <f>SUMIFS(Lançamentos!$F:$F,Lançamentos!$A:$A,AF$19,Lançamentos!$C:$C,"Multas e Juros")</f>
        <v>0</v>
      </c>
      <c r="AG69" s="37">
        <f>SUMIFS(Lançamentos!$F:$F,Lançamentos!$A:$A,AG$19,Lançamentos!$C:$C,"Multas e Juros")</f>
        <v>0</v>
      </c>
      <c r="AH69" s="37">
        <f>SUMIFS(Lançamentos!$F:$F,Lançamentos!$A:$A,AH$19,Lançamentos!$C:$C,"Multas e Juros")</f>
        <v>0</v>
      </c>
      <c r="AI69" s="37">
        <f>SUMIFS(Lançamentos!$F:$F,Lançamentos!$A:$A,AI$19,Lançamentos!$C:$C,"Multas e Juros")</f>
        <v>0</v>
      </c>
      <c r="AJ69" s="37">
        <f>SUMIFS(Lançamentos!$F:$F,Lançamentos!$A:$A,AJ$19,Lançamentos!$C:$C,"Multas e Juros")</f>
        <v>0</v>
      </c>
      <c r="AK69" s="37">
        <f>SUMIFS(Lançamentos!$F:$F,Lançamentos!$A:$A,AK$19,Lançamentos!$C:$C,"Multas e Juros")</f>
        <v>0</v>
      </c>
      <c r="AL69" s="37">
        <f>SUMIFS(Lançamentos!$F:$F,Lançamentos!$A:$A,AL$19,Lançamentos!$C:$C,"Multas e Juros")</f>
        <v>0</v>
      </c>
      <c r="AM69" s="37">
        <f>SUMIFS(Lançamentos!$F:$F,Lançamentos!$A:$A,AM$19,Lançamentos!$C:$C,"Multas e Juros")</f>
        <v>0</v>
      </c>
      <c r="AN69" s="37">
        <f>SUMIFS(Lançamentos!$F:$F,Lançamentos!$A:$A,AN$19,Lançamentos!$C:$C,"Multas e Juros")</f>
        <v>0</v>
      </c>
      <c r="AO69" s="37">
        <f>SUMIFS(Lançamentos!$F:$F,Lançamentos!$A:$A,AO$19,Lançamentos!$C:$C,"Multas e Juros")</f>
        <v>0</v>
      </c>
      <c r="AP69" s="37">
        <f>SUMIFS(Lançamentos!$F:$F,Lançamentos!$A:$A,AP$19,Lançamentos!$C:$C,"Multas e Juros")</f>
        <v>0</v>
      </c>
      <c r="AQ69" s="37">
        <f>SUMIFS(Lançamentos!$F:$F,Lançamentos!$A:$A,AQ$19,Lançamentos!$C:$C,"Multas e Juros")</f>
        <v>0</v>
      </c>
      <c r="AR69" s="37">
        <f>SUMIFS(Lançamentos!$F:$F,Lançamentos!$A:$A,AR$19,Lançamentos!$C:$C,"Multas e Juros")</f>
        <v>0</v>
      </c>
      <c r="AS69" s="37">
        <f>SUMIFS(Lançamentos!$F:$F,Lançamentos!$A:$A,AS$19,Lançamentos!$C:$C,"Multas e Juros")</f>
        <v>0</v>
      </c>
      <c r="AT69" s="37">
        <f>SUMIFS(Lançamentos!$F:$F,Lançamentos!$A:$A,AT$19,Lançamentos!$C:$C,"Multas e Juros")</f>
        <v>0</v>
      </c>
      <c r="AU69" s="37">
        <f>SUMIFS(Lançamentos!$F:$F,Lançamentos!$A:$A,AU$19,Lançamentos!$C:$C,"Multas e Juros")</f>
        <v>0</v>
      </c>
      <c r="AV69" s="37">
        <f>SUMIFS(Lançamentos!$F:$F,Lançamentos!$A:$A,AV$19,Lançamentos!$C:$C,"Multas e Juros")</f>
        <v>0</v>
      </c>
      <c r="AW69" s="37">
        <f>SUMIFS(Lançamentos!$F:$F,Lançamentos!$A:$A,AW$19,Lançamentos!$C:$C,"Multas e Juros")</f>
        <v>0</v>
      </c>
      <c r="AX69" s="37">
        <f>SUMIFS(Lançamentos!$F:$F,Lançamentos!$A:$A,AX$19,Lançamentos!$C:$C,"Multas e Juros")</f>
        <v>0</v>
      </c>
      <c r="AY69" s="37">
        <f>SUMIFS(Lançamentos!$F:$F,Lançamentos!$A:$A,AY$19,Lançamentos!$C:$C,"Multas e Juros")</f>
        <v>0</v>
      </c>
      <c r="AZ69" s="37">
        <f>SUMIFS(Lançamentos!$F:$F,Lançamentos!$A:$A,AZ$19,Lançamentos!$C:$C,"Multas e Juros")</f>
        <v>0</v>
      </c>
      <c r="BA69" s="37">
        <f>SUMIFS(Lançamentos!$F:$F,Lançamentos!$A:$A,BA$19,Lançamentos!$C:$C,"Multas e Juros")</f>
        <v>0</v>
      </c>
      <c r="BB69" s="37">
        <f>SUMIFS(Lançamentos!$F:$F,Lançamentos!$A:$A,BB$19,Lançamentos!$C:$C,"Multas e Juros")</f>
        <v>0</v>
      </c>
      <c r="BC69" s="37">
        <f>SUMIFS(Lançamentos!$F:$F,Lançamentos!$A:$A,BC$19,Lançamentos!$C:$C,"Multas e Juros")</f>
        <v>0</v>
      </c>
      <c r="BD69" s="37">
        <f>SUMIFS(Lançamentos!$F:$F,Lançamentos!$A:$A,BD$19,Lançamentos!$C:$C,"Multas e Juros")</f>
        <v>0</v>
      </c>
      <c r="BE69" s="37">
        <f>SUMIFS(Lançamentos!$F:$F,Lançamentos!$A:$A,BE$19,Lançamentos!$C:$C,"Multas e Juros")</f>
        <v>0</v>
      </c>
      <c r="BF69" s="37">
        <f>SUMIFS(Lançamentos!$F:$F,Lançamentos!$A:$A,BF$19,Lançamentos!$C:$C,"Multas e Juros")</f>
        <v>0</v>
      </c>
      <c r="BG69" s="37">
        <f>SUMIFS(Lançamentos!$F:$F,Lançamentos!$A:$A,BG$19,Lançamentos!$C:$C,"Multas e Juros")</f>
        <v>0</v>
      </c>
      <c r="BH69" s="37">
        <f>SUMIFS(Lançamentos!$F:$F,Lançamentos!$A:$A,BH$19,Lançamentos!$C:$C,"Multas e Juros")</f>
        <v>0</v>
      </c>
      <c r="BI69" s="37">
        <f>SUMIFS(Lançamentos!$F:$F,Lançamentos!$A:$A,BI$19,Lançamentos!$C:$C,"Multas e Juros")</f>
        <v>0</v>
      </c>
      <c r="BJ69" s="37">
        <f>SUMIFS(Lançamentos!$F:$F,Lançamentos!$A:$A,BJ$19,Lançamentos!$C:$C,"Multas e Juros")</f>
        <v>0</v>
      </c>
      <c r="BK69" s="37">
        <f>SUMIFS(Lançamentos!$F:$F,Lançamentos!$A:$A,BK$19,Lançamentos!$C:$C,"Multas e Juros")</f>
        <v>0</v>
      </c>
      <c r="BL69" s="37">
        <f>SUMIFS(Lançamentos!$F:$F,Lançamentos!$A:$A,BL$19,Lançamentos!$C:$C,"Multas e Juros")</f>
        <v>0</v>
      </c>
      <c r="BM69" s="37">
        <f>SUMIFS(Lançamentos!$F:$F,Lançamentos!$A:$A,BM$19,Lançamentos!$C:$C,"Multas e Juros")</f>
        <v>0</v>
      </c>
      <c r="BN69" s="37">
        <f>SUMIFS(Lançamentos!$F:$F,Lançamentos!$A:$A,BN$19,Lançamentos!$C:$C,"Multas e Juros")</f>
        <v>0</v>
      </c>
      <c r="BO69" s="37">
        <f>SUMIFS(Lançamentos!$F:$F,Lançamentos!$A:$A,BO$19,Lançamentos!$C:$C,"Multas e Juros")</f>
        <v>0</v>
      </c>
      <c r="BP69" s="37">
        <f>SUMIFS(Lançamentos!$F:$F,Lançamentos!$A:$A,BP$19,Lançamentos!$C:$C,"Multas e Juros")</f>
        <v>0</v>
      </c>
      <c r="BQ69" s="37">
        <f>SUMIFS(Lançamentos!$F:$F,Lançamentos!$A:$A,BQ$19,Lançamentos!$C:$C,"Multas e Juros")</f>
        <v>0</v>
      </c>
      <c r="BR69" s="37">
        <f>SUMIFS(Lançamentos!$F:$F,Lançamentos!$A:$A,BR$19,Lançamentos!$C:$C,"Multas e Juros")</f>
        <v>0</v>
      </c>
      <c r="BS69" s="37">
        <f>SUMIFS(Lançamentos!$F:$F,Lançamentos!$A:$A,BS$19,Lançamentos!$C:$C,"Multas e Juros")</f>
        <v>0</v>
      </c>
      <c r="BT69" s="37">
        <f>SUMIFS(Lançamentos!$F:$F,Lançamentos!$A:$A,BT$19,Lançamentos!$C:$C,"Multas e Juros")</f>
        <v>0</v>
      </c>
      <c r="BU69" s="37">
        <f>SUMIFS(Lançamentos!$F:$F,Lançamentos!$A:$A,BU$19,Lançamentos!$C:$C,"Multas e Juros")</f>
        <v>0</v>
      </c>
      <c r="BV69" s="37">
        <f>SUMIFS(Lançamentos!$F:$F,Lançamentos!$A:$A,BV$19,Lançamentos!$C:$C,"Multas e Juros")</f>
        <v>0</v>
      </c>
      <c r="BW69" s="37">
        <f>SUMIFS(Lançamentos!$F:$F,Lançamentos!$A:$A,BW$19,Lançamentos!$C:$C,"Multas e Juros")</f>
        <v>0</v>
      </c>
      <c r="BX69" s="37">
        <f>SUMIFS(Lançamentos!$F:$F,Lançamentos!$A:$A,BX$19,Lançamentos!$C:$C,"Multas e Juros")</f>
        <v>0</v>
      </c>
      <c r="BY69" s="37">
        <f>SUMIFS(Lançamentos!$F:$F,Lançamentos!$A:$A,BY$19,Lançamentos!$C:$C,"Multas e Juros")</f>
        <v>0</v>
      </c>
      <c r="BZ69" s="37">
        <f>SUMIFS(Lançamentos!$F:$F,Lançamentos!$A:$A,BZ$19,Lançamentos!$C:$C,"Multas e Juros")</f>
        <v>0</v>
      </c>
      <c r="CA69" s="37">
        <f>SUMIFS(Lançamentos!$F:$F,Lançamentos!$A:$A,CA$19,Lançamentos!$C:$C,"Multas e Juros")</f>
        <v>0</v>
      </c>
      <c r="CB69" s="37">
        <f>SUMIFS(Lançamentos!$F:$F,Lançamentos!$A:$A,CB$19,Lançamentos!$C:$C,"Multas e Juros")</f>
        <v>0</v>
      </c>
      <c r="CC69" s="37">
        <f>SUMIFS(Lançamentos!$F:$F,Lançamentos!$A:$A,CC$19,Lançamentos!$C:$C,"Multas e Juros")</f>
        <v>0</v>
      </c>
      <c r="CD69" s="37">
        <f>SUMIFS(Lançamentos!$F:$F,Lançamentos!$A:$A,CD$19,Lançamentos!$C:$C,"Multas e Juros")</f>
        <v>0</v>
      </c>
      <c r="CE69" s="37">
        <f>SUMIFS(Lançamentos!$F:$F,Lançamentos!$A:$A,CE$19,Lançamentos!$C:$C,"Multas e Juros")</f>
        <v>0</v>
      </c>
      <c r="CF69" s="37">
        <f>SUMIFS(Lançamentos!$F:$F,Lançamentos!$A:$A,CF$19,Lançamentos!$C:$C,"Multas e Juros")</f>
        <v>0</v>
      </c>
      <c r="CG69" s="37">
        <f>SUMIFS(Lançamentos!$F:$F,Lançamentos!$A:$A,CG$19,Lançamentos!$C:$C,"Multas e Juros")</f>
        <v>0</v>
      </c>
      <c r="CH69" s="37">
        <f>SUMIFS(Lançamentos!$F:$F,Lançamentos!$A:$A,CH$19,Lançamentos!$C:$C,"Multas e Juros")</f>
        <v>0</v>
      </c>
      <c r="CI69" s="37">
        <f>SUMIFS(Lançamentos!$F:$F,Lançamentos!$A:$A,CI$19,Lançamentos!$C:$C,"Multas e Juros")</f>
        <v>0</v>
      </c>
      <c r="CJ69" s="37">
        <f>SUMIFS(Lançamentos!$F:$F,Lançamentos!$A:$A,CJ$19,Lançamentos!$C:$C,"Multas e Juros")</f>
        <v>0</v>
      </c>
      <c r="CK69" s="37">
        <f>SUMIFS(Lançamentos!$F:$F,Lançamentos!$A:$A,CK$19,Lançamentos!$C:$C,"Multas e Juros")</f>
        <v>0</v>
      </c>
      <c r="CL69" s="37">
        <f>SUMIFS(Lançamentos!$F:$F,Lançamentos!$A:$A,CL$19,Lançamentos!$C:$C,"Multas e Juros")</f>
        <v>0</v>
      </c>
      <c r="CM69" s="37">
        <f>SUMIFS(Lançamentos!$F:$F,Lançamentos!$A:$A,CM$19,Lançamentos!$C:$C,"Multas e Juros")</f>
        <v>0</v>
      </c>
      <c r="CN69" s="37">
        <f>SUMIFS(Lançamentos!$F:$F,Lançamentos!$A:$A,CN$19,Lançamentos!$C:$C,"Multas e Juros")</f>
        <v>0</v>
      </c>
      <c r="CO69" s="37">
        <f>SUMIFS(Lançamentos!$F:$F,Lançamentos!$A:$A,CO$19,Lançamentos!$C:$C,"Multas e Juros")</f>
        <v>0</v>
      </c>
      <c r="CP69" s="37">
        <f>SUMIFS(Lançamentos!$F:$F,Lançamentos!$A:$A,CP$19,Lançamentos!$C:$C,"Multas e Juros")</f>
        <v>0</v>
      </c>
      <c r="CQ69" s="37">
        <f>SUMIFS(Lançamentos!$F:$F,Lançamentos!$A:$A,CQ$19,Lançamentos!$C:$C,"Multas e Juros")</f>
        <v>0</v>
      </c>
      <c r="CR69" s="37">
        <f>SUMIFS(Lançamentos!$F:$F,Lançamentos!$A:$A,CR$19,Lançamentos!$C:$C,"Multas e Juros")</f>
        <v>0</v>
      </c>
      <c r="CS69" s="37">
        <f>SUMIFS(Lançamentos!$F:$F,Lançamentos!$A:$A,CS$19,Lançamentos!$C:$C,"Multas e Juros")</f>
        <v>0</v>
      </c>
      <c r="CT69" s="37">
        <f>SUMIFS(Lançamentos!$F:$F,Lançamentos!$A:$A,CT$19,Lançamentos!$C:$C,"Multas e Juros")</f>
        <v>0</v>
      </c>
      <c r="CU69" s="37">
        <f>SUMIFS(Lançamentos!$F:$F,Lançamentos!$A:$A,CU$19,Lançamentos!$C:$C,"Multas e Juros")</f>
        <v>0</v>
      </c>
      <c r="CV69" s="37">
        <f>SUMIFS(Lançamentos!$F:$F,Lançamentos!$A:$A,CV$19,Lançamentos!$C:$C,"Multas e Juros")</f>
        <v>0</v>
      </c>
      <c r="CW69" s="37">
        <f>SUMIFS(Lançamentos!$F:$F,Lançamentos!$A:$A,CW$19,Lançamentos!$C:$C,"Multas e Juros")</f>
        <v>0</v>
      </c>
      <c r="CX69" s="37">
        <f>SUMIFS(Lançamentos!$F:$F,Lançamentos!$A:$A,CX$19,Lançamentos!$C:$C,"Multas e Juros")</f>
        <v>0</v>
      </c>
      <c r="CY69" s="37">
        <f>SUMIFS(Lançamentos!$F:$F,Lançamentos!$A:$A,CY$19,Lançamentos!$C:$C,"Multas e Juros")</f>
        <v>0</v>
      </c>
      <c r="CZ69" s="37">
        <f>SUMIFS(Lançamentos!$F:$F,Lançamentos!$A:$A,CZ$19,Lançamentos!$C:$C,"Multas e Juros")</f>
        <v>0</v>
      </c>
      <c r="DA69" s="37">
        <f>SUMIFS(Lançamentos!$F:$F,Lançamentos!$A:$A,DA$19,Lançamentos!$C:$C,"Multas e Juros")</f>
        <v>0</v>
      </c>
      <c r="DB69" s="37">
        <f>SUMIFS(Lançamentos!$F:$F,Lançamentos!$A:$A,DB$19,Lançamentos!$C:$C,"Multas e Juros")</f>
        <v>0</v>
      </c>
      <c r="DC69" s="37">
        <f>SUMIFS(Lançamentos!$F:$F,Lançamentos!$A:$A,DC$19,Lançamentos!$C:$C,"Multas e Juros")</f>
        <v>0</v>
      </c>
      <c r="DD69" s="37">
        <f>SUMIFS(Lançamentos!$F:$F,Lançamentos!$A:$A,DD$19,Lançamentos!$C:$C,"Multas e Juros")</f>
        <v>0</v>
      </c>
      <c r="DE69" s="37">
        <f>SUMIFS(Lançamentos!$F:$F,Lançamentos!$A:$A,DE$19,Lançamentos!$C:$C,"Multas e Juros")</f>
        <v>0</v>
      </c>
      <c r="DF69" s="37">
        <f>SUMIFS(Lançamentos!$F:$F,Lançamentos!$A:$A,DF$19,Lançamentos!$C:$C,"Multas e Juros")</f>
        <v>0</v>
      </c>
      <c r="DG69" s="37">
        <f>SUMIFS(Lançamentos!$F:$F,Lançamentos!$A:$A,DG$19,Lançamentos!$C:$C,"Multas e Juros")</f>
        <v>0</v>
      </c>
      <c r="DH69" s="37">
        <f>SUMIFS(Lançamentos!$F:$F,Lançamentos!$A:$A,DH$19,Lançamentos!$C:$C,"Multas e Juros")</f>
        <v>0</v>
      </c>
      <c r="DI69" s="37">
        <f>SUMIFS(Lançamentos!$F:$F,Lançamentos!$A:$A,DI$19,Lançamentos!$C:$C,"Multas e Juros")</f>
        <v>0</v>
      </c>
      <c r="DJ69" s="37">
        <f>SUMIFS(Lançamentos!$F:$F,Lançamentos!$A:$A,DJ$19,Lançamentos!$C:$C,"Multas e Juros")</f>
        <v>0</v>
      </c>
      <c r="DK69" s="37">
        <f>SUMIFS(Lançamentos!$F:$F,Lançamentos!$A:$A,DK$19,Lançamentos!$C:$C,"Multas e Juros")</f>
        <v>0</v>
      </c>
      <c r="DL69" s="37">
        <f>SUMIFS(Lançamentos!$F:$F,Lançamentos!$A:$A,DL$19,Lançamentos!$C:$C,"Multas e Juros")</f>
        <v>0</v>
      </c>
      <c r="DM69" s="37">
        <f>SUMIFS(Lançamentos!$F:$F,Lançamentos!$A:$A,DM$19,Lançamentos!$C:$C,"Multas e Juros")</f>
        <v>0</v>
      </c>
      <c r="DN69" s="37">
        <f>SUMIFS(Lançamentos!$F:$F,Lançamentos!$A:$A,DN$19,Lançamentos!$C:$C,"Multas e Juros")</f>
        <v>0</v>
      </c>
      <c r="DO69" s="37">
        <f>SUMIFS(Lançamentos!$F:$F,Lançamentos!$A:$A,DO$19,Lançamentos!$C:$C,"Multas e Juros")</f>
        <v>0</v>
      </c>
      <c r="DP69" s="37">
        <f>SUMIFS(Lançamentos!$F:$F,Lançamentos!$A:$A,DP$19,Lançamentos!$C:$C,"Multas e Juros")</f>
        <v>0</v>
      </c>
      <c r="DQ69" s="37">
        <f>SUMIFS(Lançamentos!$F:$F,Lançamentos!$A:$A,DQ$19,Lançamentos!$C:$C,"Multas e Juros")</f>
        <v>0</v>
      </c>
      <c r="DR69" s="37">
        <f>SUMIFS(Lançamentos!$F:$F,Lançamentos!$A:$A,DR$19,Lançamentos!$C:$C,"Multas e Juros")</f>
        <v>0</v>
      </c>
      <c r="DS69" s="37">
        <f>SUMIFS(Lançamentos!$F:$F,Lançamentos!$A:$A,DS$19,Lançamentos!$C:$C,"Multas e Juros")</f>
        <v>0</v>
      </c>
      <c r="DT69" s="37">
        <f>SUMIFS(Lançamentos!$F:$F,Lançamentos!$A:$A,DT$19,Lançamentos!$C:$C,"Multas e Juros")</f>
        <v>0</v>
      </c>
      <c r="DU69" s="37">
        <f>SUMIFS(Lançamentos!$F:$F,Lançamentos!$A:$A,DU$19,Lançamentos!$C:$C,"Multas e Juros")</f>
        <v>0</v>
      </c>
      <c r="DV69" s="37">
        <f>SUMIFS(Lançamentos!$F:$F,Lançamentos!$A:$A,DV$19,Lançamentos!$C:$C,"Multas e Juros")</f>
        <v>0</v>
      </c>
      <c r="DW69" s="37">
        <f>SUMIFS(Lançamentos!$F:$F,Lançamentos!$A:$A,DW$19,Lançamentos!$C:$C,"Multas e Juros")</f>
        <v>0</v>
      </c>
      <c r="DX69" s="37">
        <f>SUMIFS(Lançamentos!$F:$F,Lançamentos!$A:$A,DX$19,Lançamentos!$C:$C,"Multas e Juros")</f>
        <v>0</v>
      </c>
      <c r="DY69" s="37">
        <f>SUMIFS(Lançamentos!$F:$F,Lançamentos!$A:$A,DY$19,Lançamentos!$C:$C,"Multas e Juros")</f>
        <v>0</v>
      </c>
      <c r="DZ69" s="37">
        <f>SUMIFS(Lançamentos!$F:$F,Lançamentos!$A:$A,DZ$19,Lançamentos!$C:$C,"Multas e Juros")</f>
        <v>0</v>
      </c>
      <c r="EA69" s="37">
        <f>SUMIFS(Lançamentos!$F:$F,Lançamentos!$A:$A,EA$19,Lançamentos!$C:$C,"Multas e Juros")</f>
        <v>0</v>
      </c>
      <c r="EB69" s="37">
        <f>SUMIFS(Lançamentos!$F:$F,Lançamentos!$A:$A,EB$19,Lançamentos!$C:$C,"Multas e Juros")</f>
        <v>0</v>
      </c>
      <c r="EC69" s="37">
        <f>SUMIFS(Lançamentos!$F:$F,Lançamentos!$A:$A,EC$19,Lançamentos!$C:$C,"Multas e Juros")</f>
        <v>0</v>
      </c>
      <c r="ED69" s="37">
        <f>SUMIFS(Lançamentos!$F:$F,Lançamentos!$A:$A,ED$19,Lançamentos!$C:$C,"Multas e Juros")</f>
        <v>0</v>
      </c>
      <c r="EE69" s="37">
        <f>SUMIFS(Lançamentos!$F:$F,Lançamentos!$A:$A,EE$19,Lançamentos!$C:$C,"Multas e Juros")</f>
        <v>0</v>
      </c>
      <c r="EF69" s="37">
        <f>SUMIFS(Lançamentos!$F:$F,Lançamentos!$A:$A,EF$19,Lançamentos!$C:$C,"Multas e Juros")</f>
        <v>0</v>
      </c>
      <c r="EG69" s="37">
        <f>SUMIFS(Lançamentos!$F:$F,Lançamentos!$A:$A,EG$19,Lançamentos!$C:$C,"Multas e Juros")</f>
        <v>0</v>
      </c>
      <c r="EH69" s="37">
        <f>SUMIFS(Lançamentos!$F:$F,Lançamentos!$A:$A,EH$19,Lançamentos!$C:$C,"Multas e Juros")</f>
        <v>0</v>
      </c>
      <c r="EI69" s="37">
        <f>SUMIFS(Lançamentos!$F:$F,Lançamentos!$A:$A,EI$19,Lançamentos!$C:$C,"Multas e Juros")</f>
        <v>0</v>
      </c>
      <c r="EJ69" s="37">
        <f>SUMIFS(Lançamentos!$F:$F,Lançamentos!$A:$A,EJ$19,Lançamentos!$C:$C,"Multas e Juros")</f>
        <v>0</v>
      </c>
      <c r="EK69" s="37">
        <f>SUMIFS(Lançamentos!$F:$F,Lançamentos!$A:$A,EK$19,Lançamentos!$C:$C,"Multas e Juros")</f>
        <v>0</v>
      </c>
      <c r="EL69" s="37">
        <f>SUMIFS(Lançamentos!$F:$F,Lançamentos!$A:$A,EL$19,Lançamentos!$C:$C,"Multas e Juros")</f>
        <v>0</v>
      </c>
      <c r="EM69" s="37">
        <f>SUMIFS(Lançamentos!$F:$F,Lançamentos!$A:$A,EM$19,Lançamentos!$C:$C,"Multas e Juros")</f>
        <v>0</v>
      </c>
      <c r="EN69" s="37">
        <f>SUMIFS(Lançamentos!$F:$F,Lançamentos!$A:$A,EN$19,Lançamentos!$C:$C,"Multas e Juros")</f>
        <v>0</v>
      </c>
      <c r="EO69" s="37">
        <f>SUMIFS(Lançamentos!$F:$F,Lançamentos!$A:$A,EO$19,Lançamentos!$C:$C,"Multas e Juros")</f>
        <v>0</v>
      </c>
      <c r="EP69" s="37">
        <f>SUMIFS(Lançamentos!$F:$F,Lançamentos!$A:$A,EP$19,Lançamentos!$C:$C,"Multas e Juros")</f>
        <v>0</v>
      </c>
      <c r="EQ69" s="37">
        <f>SUMIFS(Lançamentos!$F:$F,Lançamentos!$A:$A,EQ$19,Lançamentos!$C:$C,"Multas e Juros")</f>
        <v>0</v>
      </c>
      <c r="ER69" s="37">
        <f>SUMIFS(Lançamentos!$F:$F,Lançamentos!$A:$A,ER$19,Lançamentos!$C:$C,"Multas e Juros")</f>
        <v>0</v>
      </c>
      <c r="ES69" s="37">
        <f>SUMIFS(Lançamentos!$F:$F,Lançamentos!$A:$A,ES$19,Lançamentos!$C:$C,"Multas e Juros")</f>
        <v>0</v>
      </c>
      <c r="ET69" s="37">
        <f>SUMIFS(Lançamentos!$F:$F,Lançamentos!$A:$A,ET$19,Lançamentos!$C:$C,"Multas e Juros")</f>
        <v>0</v>
      </c>
      <c r="EU69" s="37">
        <f>SUMIFS(Lançamentos!$F:$F,Lançamentos!$A:$A,EU$19,Lançamentos!$C:$C,"Multas e Juros")</f>
        <v>0</v>
      </c>
      <c r="EV69" s="37">
        <f>SUMIFS(Lançamentos!$F:$F,Lançamentos!$A:$A,EV$19,Lançamentos!$C:$C,"Multas e Juros")</f>
        <v>0</v>
      </c>
      <c r="EW69" s="37">
        <f>SUMIFS(Lançamentos!$F:$F,Lançamentos!$A:$A,EW$19,Lançamentos!$C:$C,"Multas e Juros")</f>
        <v>0</v>
      </c>
      <c r="EX69" s="37">
        <f>SUMIFS(Lançamentos!$F:$F,Lançamentos!$A:$A,EX$19,Lançamentos!$C:$C,"Multas e Juros")</f>
        <v>0</v>
      </c>
      <c r="EY69" s="37">
        <f>SUMIFS(Lançamentos!$F:$F,Lançamentos!$A:$A,EY$19,Lançamentos!$C:$C,"Multas e Juros")</f>
        <v>0</v>
      </c>
      <c r="EZ69" s="37">
        <f>SUMIFS(Lançamentos!$F:$F,Lançamentos!$A:$A,EZ$19,Lançamentos!$C:$C,"Multas e Juros")</f>
        <v>0</v>
      </c>
      <c r="FA69" s="37">
        <f>SUMIFS(Lançamentos!$F:$F,Lançamentos!$A:$A,FA$19,Lançamentos!$C:$C,"Multas e Juros")</f>
        <v>0</v>
      </c>
      <c r="FB69" s="37">
        <f>SUMIFS(Lançamentos!$F:$F,Lançamentos!$A:$A,FB$19,Lançamentos!$C:$C,"Multas e Juros")</f>
        <v>0</v>
      </c>
      <c r="FC69" s="37">
        <f>SUMIFS(Lançamentos!$F:$F,Lançamentos!$A:$A,FC$19,Lançamentos!$C:$C,"Multas e Juros")</f>
        <v>0</v>
      </c>
      <c r="FD69" s="37">
        <f>SUMIFS(Lançamentos!$F:$F,Lançamentos!$A:$A,FD$19,Lançamentos!$C:$C,"Multas e Juros")</f>
        <v>0</v>
      </c>
      <c r="FE69" s="37">
        <f>SUMIFS(Lançamentos!$F:$F,Lançamentos!$A:$A,FE$19,Lançamentos!$C:$C,"Multas e Juros")</f>
        <v>0</v>
      </c>
      <c r="FF69" s="37">
        <f>SUMIFS(Lançamentos!$F:$F,Lançamentos!$A:$A,FF$19,Lançamentos!$C:$C,"Multas e Juros")</f>
        <v>0</v>
      </c>
      <c r="FG69" s="37">
        <f>SUMIFS(Lançamentos!$F:$F,Lançamentos!$A:$A,FG$19,Lançamentos!$C:$C,"Multas e Juros")</f>
        <v>0</v>
      </c>
      <c r="FH69" s="37">
        <f>SUMIFS(Lançamentos!$F:$F,Lançamentos!$A:$A,FH$19,Lançamentos!$C:$C,"Multas e Juros")</f>
        <v>0</v>
      </c>
      <c r="FI69" s="37">
        <f>SUMIFS(Lançamentos!$F:$F,Lançamentos!$A:$A,FI$19,Lançamentos!$C:$C,"Multas e Juros")</f>
        <v>0</v>
      </c>
      <c r="FJ69" s="37">
        <f>SUMIFS(Lançamentos!$F:$F,Lançamentos!$A:$A,FJ$19,Lançamentos!$C:$C,"Multas e Juros")</f>
        <v>0</v>
      </c>
      <c r="FK69" s="37">
        <f>SUMIFS(Lançamentos!$F:$F,Lançamentos!$A:$A,FK$19,Lançamentos!$C:$C,"Multas e Juros")</f>
        <v>0</v>
      </c>
      <c r="FL69" s="37">
        <f>SUMIFS(Lançamentos!$F:$F,Lançamentos!$A:$A,FL$19,Lançamentos!$C:$C,"Multas e Juros")</f>
        <v>0</v>
      </c>
      <c r="FM69" s="37">
        <f>SUMIFS(Lançamentos!$F:$F,Lançamentos!$A:$A,FM$19,Lançamentos!$C:$C,"Multas e Juros")</f>
        <v>0</v>
      </c>
      <c r="FN69" s="37">
        <f>SUMIFS(Lançamentos!$F:$F,Lançamentos!$A:$A,FN$19,Lançamentos!$C:$C,"Multas e Juros")</f>
        <v>0</v>
      </c>
      <c r="FO69" s="37">
        <f>SUMIFS(Lançamentos!$F:$F,Lançamentos!$A:$A,FO$19,Lançamentos!$C:$C,"Multas e Juros")</f>
        <v>0</v>
      </c>
      <c r="FP69" s="37">
        <f>SUMIFS(Lançamentos!$F:$F,Lançamentos!$A:$A,FP$19,Lançamentos!$C:$C,"Multas e Juros")</f>
        <v>0</v>
      </c>
      <c r="FQ69" s="37">
        <f>SUMIFS(Lançamentos!$F:$F,Lançamentos!$A:$A,FQ$19,Lançamentos!$C:$C,"Multas e Juros")</f>
        <v>0</v>
      </c>
      <c r="FR69" s="37">
        <f>SUMIFS(Lançamentos!$F:$F,Lançamentos!$A:$A,FR$19,Lançamentos!$C:$C,"Multas e Juros")</f>
        <v>0</v>
      </c>
      <c r="FS69" s="37">
        <f>SUMIFS(Lançamentos!$F:$F,Lançamentos!$A:$A,FS$19,Lançamentos!$C:$C,"Multas e Juros")</f>
        <v>0</v>
      </c>
      <c r="FT69" s="37">
        <f>SUMIFS(Lançamentos!$F:$F,Lançamentos!$A:$A,FT$19,Lançamentos!$C:$C,"Multas e Juros")</f>
        <v>0</v>
      </c>
      <c r="FU69" s="37">
        <f>SUMIFS(Lançamentos!$F:$F,Lançamentos!$A:$A,FU$19,Lançamentos!$C:$C,"Multas e Juros")</f>
        <v>0</v>
      </c>
      <c r="FV69" s="37">
        <f>SUMIFS(Lançamentos!$F:$F,Lançamentos!$A:$A,FV$19,Lançamentos!$C:$C,"Multas e Juros")</f>
        <v>0</v>
      </c>
      <c r="FW69" s="37">
        <f>SUMIFS(Lançamentos!$F:$F,Lançamentos!$A:$A,FW$19,Lançamentos!$C:$C,"Multas e Juros")</f>
        <v>0</v>
      </c>
      <c r="FX69" s="37">
        <f>SUMIFS(Lançamentos!$F:$F,Lançamentos!$A:$A,FX$19,Lançamentos!$C:$C,"Multas e Juros")</f>
        <v>0</v>
      </c>
      <c r="FY69" s="37">
        <f>SUMIFS(Lançamentos!$F:$F,Lançamentos!$A:$A,FY$19,Lançamentos!$C:$C,"Multas e Juros")</f>
        <v>0</v>
      </c>
      <c r="FZ69" s="37">
        <f>SUMIFS(Lançamentos!$F:$F,Lançamentos!$A:$A,FZ$19,Lançamentos!$C:$C,"Multas e Juros")</f>
        <v>0</v>
      </c>
      <c r="GA69" s="37">
        <f>SUMIFS(Lançamentos!$F:$F,Lançamentos!$A:$A,GA$19,Lançamentos!$C:$C,"Multas e Juros")</f>
        <v>0</v>
      </c>
      <c r="GB69" s="37">
        <f>SUMIFS(Lançamentos!$F:$F,Lançamentos!$A:$A,GB$19,Lançamentos!$C:$C,"Multas e Juros")</f>
        <v>0</v>
      </c>
      <c r="GC69" s="37">
        <f>SUMIFS(Lançamentos!$F:$F,Lançamentos!$A:$A,GC$19,Lançamentos!$C:$C,"Multas e Juros")</f>
        <v>0</v>
      </c>
      <c r="GD69" s="37">
        <f>SUMIFS(Lançamentos!$F:$F,Lançamentos!$A:$A,GD$19,Lançamentos!$C:$C,"Multas e Juros")</f>
        <v>0</v>
      </c>
      <c r="GE69" s="37">
        <f>SUMIFS(Lançamentos!$F:$F,Lançamentos!$A:$A,GE$19,Lançamentos!$C:$C,"Multas e Juros")</f>
        <v>0</v>
      </c>
      <c r="GF69" s="37">
        <f>SUMIFS(Lançamentos!$F:$F,Lançamentos!$A:$A,GF$19,Lançamentos!$C:$C,"Multas e Juros")</f>
        <v>0</v>
      </c>
      <c r="GG69" s="37">
        <f>SUMIFS(Lançamentos!$F:$F,Lançamentos!$A:$A,GG$19,Lançamentos!$C:$C,"Multas e Juros")</f>
        <v>0</v>
      </c>
      <c r="GH69" s="37">
        <f>SUMIFS(Lançamentos!$F:$F,Lançamentos!$A:$A,GH$19,Lançamentos!$C:$C,"Multas e Juros")</f>
        <v>0</v>
      </c>
      <c r="GI69" s="37">
        <f>SUMIFS(Lançamentos!$F:$F,Lançamentos!$A:$A,GI$19,Lançamentos!$C:$C,"Multas e Juros")</f>
        <v>0</v>
      </c>
      <c r="GJ69" s="37">
        <f>SUMIFS(Lançamentos!$F:$F,Lançamentos!$A:$A,GJ$19,Lançamentos!$C:$C,"Multas e Juros")</f>
        <v>0</v>
      </c>
      <c r="GK69" s="37">
        <f>SUMIFS(Lançamentos!$F:$F,Lançamentos!$A:$A,GK$19,Lançamentos!$C:$C,"Multas e Juros")</f>
        <v>0</v>
      </c>
      <c r="GL69" s="37">
        <f>SUMIFS(Lançamentos!$F:$F,Lançamentos!$A:$A,GL$19,Lançamentos!$C:$C,"Multas e Juros")</f>
        <v>0</v>
      </c>
      <c r="GM69" s="37">
        <f>SUMIFS(Lançamentos!$F:$F,Lançamentos!$A:$A,GM$19,Lançamentos!$C:$C,"Multas e Juros")</f>
        <v>0</v>
      </c>
      <c r="GN69" s="37">
        <f>SUMIFS(Lançamentos!$F:$F,Lançamentos!$A:$A,GN$19,Lançamentos!$C:$C,"Multas e Juros")</f>
        <v>0</v>
      </c>
      <c r="GO69" s="37">
        <f>SUMIFS(Lançamentos!$F:$F,Lançamentos!$A:$A,GO$19,Lançamentos!$C:$C,"Multas e Juros")</f>
        <v>0</v>
      </c>
      <c r="GP69" s="37">
        <f>SUMIFS(Lançamentos!$F:$F,Lançamentos!$A:$A,GP$19,Lançamentos!$C:$C,"Multas e Juros")</f>
        <v>0</v>
      </c>
      <c r="GQ69" s="37">
        <f>SUMIFS(Lançamentos!$F:$F,Lançamentos!$A:$A,GQ$19,Lançamentos!$C:$C,"Multas e Juros")</f>
        <v>0</v>
      </c>
      <c r="GR69" s="37">
        <f>SUMIFS(Lançamentos!$F:$F,Lançamentos!$A:$A,GR$19,Lançamentos!$C:$C,"Multas e Juros")</f>
        <v>0</v>
      </c>
      <c r="GS69" s="37">
        <f>SUMIFS(Lançamentos!$F:$F,Lançamentos!$A:$A,GS$19,Lançamentos!$C:$C,"Multas e Juros")</f>
        <v>0</v>
      </c>
      <c r="GT69" s="37">
        <f>SUMIFS(Lançamentos!$F:$F,Lançamentos!$A:$A,GT$19,Lançamentos!$C:$C,"Multas e Juros")</f>
        <v>0</v>
      </c>
      <c r="GU69" s="37">
        <f>SUMIFS(Lançamentos!$F:$F,Lançamentos!$A:$A,GU$19,Lançamentos!$C:$C,"Multas e Juros")</f>
        <v>0</v>
      </c>
      <c r="GV69" s="37">
        <f>SUMIFS(Lançamentos!$F:$F,Lançamentos!$A:$A,GV$19,Lançamentos!$C:$C,"Multas e Juros")</f>
        <v>0</v>
      </c>
      <c r="GW69" s="37">
        <f>SUMIFS(Lançamentos!$F:$F,Lançamentos!$A:$A,GW$19,Lançamentos!$C:$C,"Multas e Juros")</f>
        <v>0</v>
      </c>
      <c r="GX69" s="37">
        <f>SUMIFS(Lançamentos!$F:$F,Lançamentos!$A:$A,GX$19,Lançamentos!$C:$C,"Multas e Juros")</f>
        <v>0</v>
      </c>
      <c r="GY69" s="37">
        <f>SUMIFS(Lançamentos!$F:$F,Lançamentos!$A:$A,GY$19,Lançamentos!$C:$C,"Multas e Juros")</f>
        <v>0</v>
      </c>
      <c r="GZ69" s="37">
        <f>SUMIFS(Lançamentos!$F:$F,Lançamentos!$A:$A,GZ$19,Lançamentos!$C:$C,"Multas e Juros")</f>
        <v>0</v>
      </c>
      <c r="HA69" s="37">
        <f>SUMIFS(Lançamentos!$F:$F,Lançamentos!$A:$A,HA$19,Lançamentos!$C:$C,"Multas e Juros")</f>
        <v>0</v>
      </c>
      <c r="HB69" s="37">
        <f>SUMIFS(Lançamentos!$F:$F,Lançamentos!$A:$A,HB$19,Lançamentos!$C:$C,"Multas e Juros")</f>
        <v>0</v>
      </c>
      <c r="HC69" s="37">
        <f>SUMIFS(Lançamentos!$F:$F,Lançamentos!$A:$A,HC$19,Lançamentos!$C:$C,"Multas e Juros")</f>
        <v>0</v>
      </c>
      <c r="HD69" s="37">
        <f>SUMIFS(Lançamentos!$F:$F,Lançamentos!$A:$A,HD$19,Lançamentos!$C:$C,"Multas e Juros")</f>
        <v>0</v>
      </c>
      <c r="HE69" s="37">
        <f>SUMIFS(Lançamentos!$F:$F,Lançamentos!$A:$A,HE$19,Lançamentos!$C:$C,"Multas e Juros")</f>
        <v>0</v>
      </c>
      <c r="HF69" s="37">
        <f>SUMIFS(Lançamentos!$F:$F,Lançamentos!$A:$A,HF$19,Lançamentos!$C:$C,"Multas e Juros")</f>
        <v>0</v>
      </c>
      <c r="HG69" s="37">
        <f>SUMIFS(Lançamentos!$F:$F,Lançamentos!$A:$A,HG$19,Lançamentos!$C:$C,"Multas e Juros")</f>
        <v>0</v>
      </c>
      <c r="HH69" s="37">
        <f>SUMIFS(Lançamentos!$F:$F,Lançamentos!$A:$A,HH$19,Lançamentos!$C:$C,"Multas e Juros")</f>
        <v>0</v>
      </c>
      <c r="HI69" s="37">
        <f>SUMIFS(Lançamentos!$F:$F,Lançamentos!$A:$A,HI$19,Lançamentos!$C:$C,"Multas e Juros")</f>
        <v>0</v>
      </c>
      <c r="HJ69" s="37">
        <f>SUMIFS(Lançamentos!$F:$F,Lançamentos!$A:$A,HJ$19,Lançamentos!$C:$C,"Multas e Juros")</f>
        <v>0</v>
      </c>
      <c r="HK69" s="37">
        <f>SUMIFS(Lançamentos!$F:$F,Lançamentos!$A:$A,HK$19,Lançamentos!$C:$C,"Multas e Juros")</f>
        <v>0</v>
      </c>
      <c r="HL69" s="37">
        <f>SUMIFS(Lançamentos!$F:$F,Lançamentos!$A:$A,HL$19,Lançamentos!$C:$C,"Multas e Juros")</f>
        <v>0</v>
      </c>
      <c r="HM69" s="37">
        <f>SUMIFS(Lançamentos!$F:$F,Lançamentos!$A:$A,HM$19,Lançamentos!$C:$C,"Multas e Juros")</f>
        <v>0</v>
      </c>
      <c r="HN69" s="37">
        <f>SUMIFS(Lançamentos!$F:$F,Lançamentos!$A:$A,HN$19,Lançamentos!$C:$C,"Multas e Juros")</f>
        <v>0</v>
      </c>
      <c r="HO69" s="37">
        <f>SUMIFS(Lançamentos!$F:$F,Lançamentos!$A:$A,HO$19,Lançamentos!$C:$C,"Multas e Juros")</f>
        <v>0</v>
      </c>
      <c r="HP69" s="37">
        <f>SUMIFS(Lançamentos!$F:$F,Lançamentos!$A:$A,HP$19,Lançamentos!$C:$C,"Multas e Juros")</f>
        <v>0</v>
      </c>
      <c r="HQ69" s="37">
        <f>SUMIFS(Lançamentos!$F:$F,Lançamentos!$A:$A,HQ$19,Lançamentos!$C:$C,"Multas e Juros")</f>
        <v>0</v>
      </c>
      <c r="HR69" s="37">
        <f>SUMIFS(Lançamentos!$F:$F,Lançamentos!$A:$A,HR$19,Lançamentos!$C:$C,"Multas e Juros")</f>
        <v>0</v>
      </c>
      <c r="HS69" s="37">
        <f>SUMIFS(Lançamentos!$F:$F,Lançamentos!$A:$A,HS$19,Lançamentos!$C:$C,"Multas e Juros")</f>
        <v>0</v>
      </c>
      <c r="HT69" s="37">
        <f>SUMIFS(Lançamentos!$F:$F,Lançamentos!$A:$A,HT$19,Lançamentos!$C:$C,"Multas e Juros")</f>
        <v>0</v>
      </c>
      <c r="HU69" s="37">
        <f>SUMIFS(Lançamentos!$F:$F,Lançamentos!$A:$A,HU$19,Lançamentos!$C:$C,"Multas e Juros")</f>
        <v>0</v>
      </c>
      <c r="HV69" s="37">
        <f>SUMIFS(Lançamentos!$F:$F,Lançamentos!$A:$A,HV$19,Lançamentos!$C:$C,"Multas e Juros")</f>
        <v>0</v>
      </c>
      <c r="HW69" s="37">
        <f>SUMIFS(Lançamentos!$F:$F,Lançamentos!$A:$A,HW$19,Lançamentos!$C:$C,"Multas e Juros")</f>
        <v>0</v>
      </c>
      <c r="HX69" s="37">
        <f>SUMIFS(Lançamentos!$F:$F,Lançamentos!$A:$A,HX$19,Lançamentos!$C:$C,"Multas e Juros")</f>
        <v>0</v>
      </c>
      <c r="HY69" s="37">
        <f>SUMIFS(Lançamentos!$F:$F,Lançamentos!$A:$A,HY$19,Lançamentos!$C:$C,"Multas e Juros")</f>
        <v>0</v>
      </c>
      <c r="HZ69" s="37">
        <f>SUMIFS(Lançamentos!$F:$F,Lançamentos!$A:$A,HZ$19,Lançamentos!$C:$C,"Multas e Juros")</f>
        <v>0</v>
      </c>
      <c r="IA69" s="37">
        <f>SUMIFS(Lançamentos!$F:$F,Lançamentos!$A:$A,IA$19,Lançamentos!$C:$C,"Multas e Juros")</f>
        <v>0</v>
      </c>
      <c r="IB69" s="37">
        <f>SUMIFS(Lançamentos!$F:$F,Lançamentos!$A:$A,IB$19,Lançamentos!$C:$C,"Multas e Juros")</f>
        <v>0</v>
      </c>
      <c r="IC69" s="37">
        <f>SUMIFS(Lançamentos!$F:$F,Lançamentos!$A:$A,IC$19,Lançamentos!$C:$C,"Multas e Juros")</f>
        <v>0</v>
      </c>
      <c r="ID69" s="37">
        <f>SUMIFS(Lançamentos!$F:$F,Lançamentos!$A:$A,ID$19,Lançamentos!$C:$C,"Multas e Juros")</f>
        <v>0</v>
      </c>
      <c r="IE69" s="37">
        <f>SUMIFS(Lançamentos!$F:$F,Lançamentos!$A:$A,IE$19,Lançamentos!$C:$C,"Multas e Juros")</f>
        <v>0</v>
      </c>
      <c r="IF69" s="37">
        <f>SUMIFS(Lançamentos!$F:$F,Lançamentos!$A:$A,IF$19,Lançamentos!$C:$C,"Multas e Juros")</f>
        <v>0</v>
      </c>
      <c r="IG69" s="37">
        <f>SUMIFS(Lançamentos!$F:$F,Lançamentos!$A:$A,IG$19,Lançamentos!$C:$C,"Multas e Juros")</f>
        <v>0</v>
      </c>
      <c r="IH69" s="37">
        <f>SUMIFS(Lançamentos!$F:$F,Lançamentos!$A:$A,IH$19,Lançamentos!$C:$C,"Multas e Juros")</f>
        <v>0</v>
      </c>
      <c r="II69" s="37">
        <f>SUMIFS(Lançamentos!$F:$F,Lançamentos!$A:$A,II$19,Lançamentos!$C:$C,"Multas e Juros")</f>
        <v>0</v>
      </c>
      <c r="IJ69" s="37">
        <f>SUMIFS(Lançamentos!$F:$F,Lançamentos!$A:$A,IJ$19,Lançamentos!$C:$C,"Multas e Juros")</f>
        <v>0</v>
      </c>
      <c r="IK69" s="37">
        <f>SUMIFS(Lançamentos!$F:$F,Lançamentos!$A:$A,IK$19,Lançamentos!$C:$C,"Multas e Juros")</f>
        <v>0</v>
      </c>
      <c r="IL69" s="37">
        <f>SUMIFS(Lançamentos!$F:$F,Lançamentos!$A:$A,IL$19,Lançamentos!$C:$C,"Multas e Juros")</f>
        <v>0</v>
      </c>
    </row>
    <row r="70" spans="1:246" x14ac:dyDescent="0.3">
      <c r="A70" t="s">
        <v>108</v>
      </c>
      <c r="B70" s="37">
        <f>SUMIFS(Lançamentos!$F:$F,Lançamentos!$A:$A,B$19,Lançamentos!$C:$C,"Pagamento de Fornecedores")</f>
        <v>0</v>
      </c>
      <c r="C70" s="37">
        <f>SUMIFS(Lançamentos!$F:$F,Lançamentos!$A:$A,C$19,Lançamentos!$C:$C,"Pagamento de Fornecedores")</f>
        <v>0</v>
      </c>
      <c r="D70" s="37">
        <f>SUMIFS(Lançamentos!$F:$F,Lançamentos!$A:$A,D$19,Lançamentos!$C:$C,"Pagamento de Fornecedores")</f>
        <v>0</v>
      </c>
      <c r="E70" s="37">
        <f>SUMIFS(Lançamentos!$F:$F,Lançamentos!$A:$A,E$19,Lançamentos!$C:$C,"Pagamento de Fornecedores")</f>
        <v>0</v>
      </c>
      <c r="F70" s="37">
        <f>SUMIFS(Lançamentos!$F:$F,Lançamentos!$A:$A,F$19,Lançamentos!$C:$C,"Pagamento de Fornecedores")</f>
        <v>0</v>
      </c>
      <c r="G70" s="37">
        <f>SUMIFS(Lançamentos!$F:$F,Lançamentos!$A:$A,G$19,Lançamentos!$C:$C,"Pagamento de Fornecedores")</f>
        <v>0</v>
      </c>
      <c r="H70" s="37">
        <f>SUMIFS(Lançamentos!$F:$F,Lançamentos!$A:$A,H$19,Lançamentos!$C:$C,"Pagamento de Fornecedores")</f>
        <v>0</v>
      </c>
      <c r="I70" s="37">
        <f>SUMIFS(Lançamentos!$F:$F,Lançamentos!$A:$A,I$19,Lançamentos!$C:$C,"Pagamento de Fornecedores")</f>
        <v>0</v>
      </c>
      <c r="J70" s="37">
        <f>SUMIFS(Lançamentos!$F:$F,Lançamentos!$A:$A,J$19,Lançamentos!$C:$C,"Pagamento de Fornecedores")</f>
        <v>0</v>
      </c>
      <c r="K70" s="37">
        <f>SUMIFS(Lançamentos!$F:$F,Lançamentos!$A:$A,K$19,Lançamentos!$C:$C,"Pagamento de Fornecedores")</f>
        <v>0</v>
      </c>
      <c r="L70" s="37">
        <f>SUMIFS(Lançamentos!$F:$F,Lançamentos!$A:$A,L$19,Lançamentos!$C:$C,"Pagamento de Fornecedores")</f>
        <v>0</v>
      </c>
      <c r="M70" s="37">
        <f>SUMIFS(Lançamentos!$F:$F,Lançamentos!$A:$A,M$19,Lançamentos!$C:$C,"Pagamento de Fornecedores")</f>
        <v>0</v>
      </c>
      <c r="N70" s="37">
        <f>SUMIFS(Lançamentos!$F:$F,Lançamentos!$A:$A,N$19,Lançamentos!$C:$C,"Pagamento de Fornecedores")</f>
        <v>0</v>
      </c>
      <c r="O70" s="37">
        <f>SUMIFS(Lançamentos!$F:$F,Lançamentos!$A:$A,O$19,Lançamentos!$C:$C,"Pagamento de Fornecedores")</f>
        <v>0</v>
      </c>
      <c r="P70" s="37">
        <f>SUMIFS(Lançamentos!$F:$F,Lançamentos!$A:$A,P$19,Lançamentos!$C:$C,"Pagamento de Fornecedores")</f>
        <v>0</v>
      </c>
      <c r="Q70" s="37">
        <f>SUMIFS(Lançamentos!$F:$F,Lançamentos!$A:$A,Q$19,Lançamentos!$C:$C,"Pagamento de Fornecedores")</f>
        <v>0</v>
      </c>
      <c r="R70" s="37">
        <f>SUMIFS(Lançamentos!$F:$F,Lançamentos!$A:$A,R$19,Lançamentos!$C:$C,"Pagamento de Fornecedores")</f>
        <v>0</v>
      </c>
      <c r="S70" s="37">
        <f>SUMIFS(Lançamentos!$F:$F,Lançamentos!$A:$A,S$19,Lançamentos!$C:$C,"Pagamento de Fornecedores")</f>
        <v>0</v>
      </c>
      <c r="T70" s="37">
        <f>SUMIFS(Lançamentos!$F:$F,Lançamentos!$A:$A,T$19,Lançamentos!$C:$C,"Pagamento de Fornecedores")</f>
        <v>0</v>
      </c>
      <c r="U70" s="37">
        <f>SUMIFS(Lançamentos!$F:$F,Lançamentos!$A:$A,U$19,Lançamentos!$C:$C,"Pagamento de Fornecedores")</f>
        <v>0</v>
      </c>
      <c r="V70" s="37">
        <f>SUMIFS(Lançamentos!$F:$F,Lançamentos!$A:$A,V$19,Lançamentos!$C:$C,"Pagamento de Fornecedores")</f>
        <v>0</v>
      </c>
      <c r="W70" s="37">
        <f>SUMIFS(Lançamentos!$F:$F,Lançamentos!$A:$A,W$19,Lançamentos!$C:$C,"Pagamento de Fornecedores")</f>
        <v>0</v>
      </c>
      <c r="X70" s="37">
        <f>SUMIFS(Lançamentos!$F:$F,Lançamentos!$A:$A,X$19,Lançamentos!$C:$C,"Pagamento de Fornecedores")</f>
        <v>0</v>
      </c>
      <c r="Y70" s="37">
        <f>SUMIFS(Lançamentos!$F:$F,Lançamentos!$A:$A,Y$19,Lançamentos!$C:$C,"Pagamento de Fornecedores")</f>
        <v>0</v>
      </c>
      <c r="Z70" s="37">
        <f>SUMIFS(Lançamentos!$F:$F,Lançamentos!$A:$A,Z$19,Lançamentos!$C:$C,"Pagamento de Fornecedores")</f>
        <v>0</v>
      </c>
      <c r="AA70" s="37">
        <f>SUMIFS(Lançamentos!$F:$F,Lançamentos!$A:$A,AA$19,Lançamentos!$C:$C,"Pagamento de Fornecedores")</f>
        <v>0</v>
      </c>
      <c r="AB70" s="37">
        <f>SUMIFS(Lançamentos!$F:$F,Lançamentos!$A:$A,AB$19,Lançamentos!$C:$C,"Pagamento de Fornecedores")</f>
        <v>0</v>
      </c>
      <c r="AC70" s="37">
        <f>SUMIFS(Lançamentos!$F:$F,Lançamentos!$A:$A,AC$19,Lançamentos!$C:$C,"Pagamento de Fornecedores")</f>
        <v>0</v>
      </c>
      <c r="AD70" s="37">
        <f>SUMIFS(Lançamentos!$F:$F,Lançamentos!$A:$A,AD$19,Lançamentos!$C:$C,"Pagamento de Fornecedores")</f>
        <v>0</v>
      </c>
      <c r="AE70" s="37">
        <f>SUMIFS(Lançamentos!$F:$F,Lançamentos!$A:$A,AE$19,Lançamentos!$C:$C,"Pagamento de Fornecedores")</f>
        <v>0</v>
      </c>
      <c r="AF70" s="37">
        <f>SUMIFS(Lançamentos!$F:$F,Lançamentos!$A:$A,AF$19,Lançamentos!$C:$C,"Pagamento de Fornecedores")</f>
        <v>0</v>
      </c>
      <c r="AG70" s="37">
        <f>SUMIFS(Lançamentos!$F:$F,Lançamentos!$A:$A,AG$19,Lançamentos!$C:$C,"Pagamento de Fornecedores")</f>
        <v>-2258.86</v>
      </c>
      <c r="AH70" s="37">
        <f>SUMIFS(Lançamentos!$F:$F,Lançamentos!$A:$A,AH$19,Lançamentos!$C:$C,"Pagamento de Fornecedores")</f>
        <v>-1720.7199999999998</v>
      </c>
      <c r="AI70" s="37">
        <f>SUMIFS(Lançamentos!$F:$F,Lançamentos!$A:$A,AI$19,Lançamentos!$C:$C,"Pagamento de Fornecedores")</f>
        <v>-463.5</v>
      </c>
      <c r="AJ70" s="37">
        <f>SUMIFS(Lançamentos!$F:$F,Lançamentos!$A:$A,AJ$19,Lançamentos!$C:$C,"Pagamento de Fornecedores")</f>
        <v>0</v>
      </c>
      <c r="AK70" s="37">
        <f>SUMIFS(Lançamentos!$F:$F,Lançamentos!$A:$A,AK$19,Lançamentos!$C:$C,"Pagamento de Fornecedores")</f>
        <v>-4785.6900000000005</v>
      </c>
      <c r="AL70" s="37">
        <f>SUMIFS(Lançamentos!$F:$F,Lançamentos!$A:$A,AL$19,Lançamentos!$C:$C,"Pagamento de Fornecedores")</f>
        <v>0</v>
      </c>
      <c r="AM70" s="37">
        <f>SUMIFS(Lançamentos!$F:$F,Lançamentos!$A:$A,AM$19,Lançamentos!$C:$C,"Pagamento de Fornecedores")</f>
        <v>0</v>
      </c>
      <c r="AN70" s="37">
        <f>SUMIFS(Lançamentos!$F:$F,Lançamentos!$A:$A,AN$19,Lançamentos!$C:$C,"Pagamento de Fornecedores")</f>
        <v>-5636.92</v>
      </c>
      <c r="AO70" s="37">
        <f>SUMIFS(Lançamentos!$F:$F,Lançamentos!$A:$A,AO$19,Lançamentos!$C:$C,"Pagamento de Fornecedores")</f>
        <v>0</v>
      </c>
      <c r="AP70" s="37">
        <f>SUMIFS(Lançamentos!$F:$F,Lançamentos!$A:$A,AP$19,Lançamentos!$C:$C,"Pagamento de Fornecedores")</f>
        <v>0</v>
      </c>
      <c r="AQ70" s="37">
        <f>SUMIFS(Lançamentos!$F:$F,Lançamentos!$A:$A,AQ$19,Lançamentos!$C:$C,"Pagamento de Fornecedores")</f>
        <v>0</v>
      </c>
      <c r="AR70" s="37">
        <f>SUMIFS(Lançamentos!$F:$F,Lançamentos!$A:$A,AR$19,Lançamentos!$C:$C,"Pagamento de Fornecedores")</f>
        <v>0</v>
      </c>
      <c r="AS70" s="37">
        <f>SUMIFS(Lançamentos!$F:$F,Lançamentos!$A:$A,AS$19,Lançamentos!$C:$C,"Pagamento de Fornecedores")</f>
        <v>0</v>
      </c>
      <c r="AT70" s="37">
        <f>SUMIFS(Lançamentos!$F:$F,Lançamentos!$A:$A,AT$19,Lançamentos!$C:$C,"Pagamento de Fornecedores")</f>
        <v>0</v>
      </c>
      <c r="AU70" s="37">
        <f>SUMIFS(Lançamentos!$F:$F,Lançamentos!$A:$A,AU$19,Lançamentos!$C:$C,"Pagamento de Fornecedores")</f>
        <v>0</v>
      </c>
      <c r="AV70" s="37">
        <f>SUMIFS(Lançamentos!$F:$F,Lançamentos!$A:$A,AV$19,Lançamentos!$C:$C,"Pagamento de Fornecedores")</f>
        <v>0</v>
      </c>
      <c r="AW70" s="37">
        <f>SUMIFS(Lançamentos!$F:$F,Lançamentos!$A:$A,AW$19,Lançamentos!$C:$C,"Pagamento de Fornecedores")</f>
        <v>0</v>
      </c>
      <c r="AX70" s="37">
        <f>SUMIFS(Lançamentos!$F:$F,Lançamentos!$A:$A,AX$19,Lançamentos!$C:$C,"Pagamento de Fornecedores")</f>
        <v>0</v>
      </c>
      <c r="AY70" s="37">
        <f>SUMIFS(Lançamentos!$F:$F,Lançamentos!$A:$A,AY$19,Lançamentos!$C:$C,"Pagamento de Fornecedores")</f>
        <v>0</v>
      </c>
      <c r="AZ70" s="37">
        <f>SUMIFS(Lançamentos!$F:$F,Lançamentos!$A:$A,AZ$19,Lançamentos!$C:$C,"Pagamento de Fornecedores")</f>
        <v>0</v>
      </c>
      <c r="BA70" s="37">
        <f>SUMIFS(Lançamentos!$F:$F,Lançamentos!$A:$A,BA$19,Lançamentos!$C:$C,"Pagamento de Fornecedores")</f>
        <v>0</v>
      </c>
      <c r="BB70" s="37">
        <f>SUMIFS(Lançamentos!$F:$F,Lançamentos!$A:$A,BB$19,Lançamentos!$C:$C,"Pagamento de Fornecedores")</f>
        <v>0</v>
      </c>
      <c r="BC70" s="37">
        <f>SUMIFS(Lançamentos!$F:$F,Lançamentos!$A:$A,BC$19,Lançamentos!$C:$C,"Pagamento de Fornecedores")</f>
        <v>0</v>
      </c>
      <c r="BD70" s="37">
        <f>SUMIFS(Lançamentos!$F:$F,Lançamentos!$A:$A,BD$19,Lançamentos!$C:$C,"Pagamento de Fornecedores")</f>
        <v>0</v>
      </c>
      <c r="BE70" s="37">
        <f>SUMIFS(Lançamentos!$F:$F,Lançamentos!$A:$A,BE$19,Lançamentos!$C:$C,"Pagamento de Fornecedores")</f>
        <v>0</v>
      </c>
      <c r="BF70" s="37">
        <f>SUMIFS(Lançamentos!$F:$F,Lançamentos!$A:$A,BF$19,Lançamentos!$C:$C,"Pagamento de Fornecedores")</f>
        <v>0</v>
      </c>
      <c r="BG70" s="37">
        <f>SUMIFS(Lançamentos!$F:$F,Lançamentos!$A:$A,BG$19,Lançamentos!$C:$C,"Pagamento de Fornecedores")</f>
        <v>0</v>
      </c>
      <c r="BH70" s="37">
        <f>SUMIFS(Lançamentos!$F:$F,Lançamentos!$A:$A,BH$19,Lançamentos!$C:$C,"Pagamento de Fornecedores")</f>
        <v>0</v>
      </c>
      <c r="BI70" s="37">
        <f>SUMIFS(Lançamentos!$F:$F,Lançamentos!$A:$A,BI$19,Lançamentos!$C:$C,"Pagamento de Fornecedores")</f>
        <v>0</v>
      </c>
      <c r="BJ70" s="37">
        <f>SUMIFS(Lançamentos!$F:$F,Lançamentos!$A:$A,BJ$19,Lançamentos!$C:$C,"Pagamento de Fornecedores")</f>
        <v>0</v>
      </c>
      <c r="BK70" s="37">
        <f>SUMIFS(Lançamentos!$F:$F,Lançamentos!$A:$A,BK$19,Lançamentos!$C:$C,"Pagamento de Fornecedores")</f>
        <v>0</v>
      </c>
      <c r="BL70" s="37">
        <f>SUMIFS(Lançamentos!$F:$F,Lançamentos!$A:$A,BL$19,Lançamentos!$C:$C,"Pagamento de Fornecedores")</f>
        <v>0</v>
      </c>
      <c r="BM70" s="37">
        <f>SUMIFS(Lançamentos!$F:$F,Lançamentos!$A:$A,BM$19,Lançamentos!$C:$C,"Pagamento de Fornecedores")</f>
        <v>0</v>
      </c>
      <c r="BN70" s="37">
        <f>SUMIFS(Lançamentos!$F:$F,Lançamentos!$A:$A,BN$19,Lançamentos!$C:$C,"Pagamento de Fornecedores")</f>
        <v>0</v>
      </c>
      <c r="BO70" s="37">
        <f>SUMIFS(Lançamentos!$F:$F,Lançamentos!$A:$A,BO$19,Lançamentos!$C:$C,"Pagamento de Fornecedores")</f>
        <v>0</v>
      </c>
      <c r="BP70" s="37">
        <f>SUMIFS(Lançamentos!$F:$F,Lançamentos!$A:$A,BP$19,Lançamentos!$C:$C,"Pagamento de Fornecedores")</f>
        <v>0</v>
      </c>
      <c r="BQ70" s="37">
        <f>SUMIFS(Lançamentos!$F:$F,Lançamentos!$A:$A,BQ$19,Lançamentos!$C:$C,"Pagamento de Fornecedores")</f>
        <v>0</v>
      </c>
      <c r="BR70" s="37">
        <f>SUMIFS(Lançamentos!$F:$F,Lançamentos!$A:$A,BR$19,Lançamentos!$C:$C,"Pagamento de Fornecedores")</f>
        <v>0</v>
      </c>
      <c r="BS70" s="37">
        <f>SUMIFS(Lançamentos!$F:$F,Lançamentos!$A:$A,BS$19,Lançamentos!$C:$C,"Pagamento de Fornecedores")</f>
        <v>0</v>
      </c>
      <c r="BT70" s="37">
        <f>SUMIFS(Lançamentos!$F:$F,Lançamentos!$A:$A,BT$19,Lançamentos!$C:$C,"Pagamento de Fornecedores")</f>
        <v>0</v>
      </c>
      <c r="BU70" s="37">
        <f>SUMIFS(Lançamentos!$F:$F,Lançamentos!$A:$A,BU$19,Lançamentos!$C:$C,"Pagamento de Fornecedores")</f>
        <v>0</v>
      </c>
      <c r="BV70" s="37">
        <f>SUMIFS(Lançamentos!$F:$F,Lançamentos!$A:$A,BV$19,Lançamentos!$C:$C,"Pagamento de Fornecedores")</f>
        <v>0</v>
      </c>
      <c r="BW70" s="37">
        <f>SUMIFS(Lançamentos!$F:$F,Lançamentos!$A:$A,BW$19,Lançamentos!$C:$C,"Pagamento de Fornecedores")</f>
        <v>0</v>
      </c>
      <c r="BX70" s="37">
        <f>SUMIFS(Lançamentos!$F:$F,Lançamentos!$A:$A,BX$19,Lançamentos!$C:$C,"Pagamento de Fornecedores")</f>
        <v>0</v>
      </c>
      <c r="BY70" s="37">
        <f>SUMIFS(Lançamentos!$F:$F,Lançamentos!$A:$A,BY$19,Lançamentos!$C:$C,"Pagamento de Fornecedores")</f>
        <v>0</v>
      </c>
      <c r="BZ70" s="37">
        <f>SUMIFS(Lançamentos!$F:$F,Lançamentos!$A:$A,BZ$19,Lançamentos!$C:$C,"Pagamento de Fornecedores")</f>
        <v>0</v>
      </c>
      <c r="CA70" s="37">
        <f>SUMIFS(Lançamentos!$F:$F,Lançamentos!$A:$A,CA$19,Lançamentos!$C:$C,"Pagamento de Fornecedores")</f>
        <v>0</v>
      </c>
      <c r="CB70" s="37">
        <f>SUMIFS(Lançamentos!$F:$F,Lançamentos!$A:$A,CB$19,Lançamentos!$C:$C,"Pagamento de Fornecedores")</f>
        <v>0</v>
      </c>
      <c r="CC70" s="37">
        <f>SUMIFS(Lançamentos!$F:$F,Lançamentos!$A:$A,CC$19,Lançamentos!$C:$C,"Pagamento de Fornecedores")</f>
        <v>0</v>
      </c>
      <c r="CD70" s="37">
        <f>SUMIFS(Lançamentos!$F:$F,Lançamentos!$A:$A,CD$19,Lançamentos!$C:$C,"Pagamento de Fornecedores")</f>
        <v>0</v>
      </c>
      <c r="CE70" s="37">
        <f>SUMIFS(Lançamentos!$F:$F,Lançamentos!$A:$A,CE$19,Lançamentos!$C:$C,"Pagamento de Fornecedores")</f>
        <v>0</v>
      </c>
      <c r="CF70" s="37">
        <f>SUMIFS(Lançamentos!$F:$F,Lançamentos!$A:$A,CF$19,Lançamentos!$C:$C,"Pagamento de Fornecedores")</f>
        <v>0</v>
      </c>
      <c r="CG70" s="37">
        <f>SUMIFS(Lançamentos!$F:$F,Lançamentos!$A:$A,CG$19,Lançamentos!$C:$C,"Pagamento de Fornecedores")</f>
        <v>0</v>
      </c>
      <c r="CH70" s="37">
        <f>SUMIFS(Lançamentos!$F:$F,Lançamentos!$A:$A,CH$19,Lançamentos!$C:$C,"Pagamento de Fornecedores")</f>
        <v>0</v>
      </c>
      <c r="CI70" s="37">
        <f>SUMIFS(Lançamentos!$F:$F,Lançamentos!$A:$A,CI$19,Lançamentos!$C:$C,"Pagamento de Fornecedores")</f>
        <v>0</v>
      </c>
      <c r="CJ70" s="37">
        <f>SUMIFS(Lançamentos!$F:$F,Lançamentos!$A:$A,CJ$19,Lançamentos!$C:$C,"Pagamento de Fornecedores")</f>
        <v>0</v>
      </c>
      <c r="CK70" s="37">
        <f>SUMIFS(Lançamentos!$F:$F,Lançamentos!$A:$A,CK$19,Lançamentos!$C:$C,"Pagamento de Fornecedores")</f>
        <v>0</v>
      </c>
      <c r="CL70" s="37">
        <f>SUMIFS(Lançamentos!$F:$F,Lançamentos!$A:$A,CL$19,Lançamentos!$C:$C,"Pagamento de Fornecedores")</f>
        <v>0</v>
      </c>
      <c r="CM70" s="37">
        <f>SUMIFS(Lançamentos!$F:$F,Lançamentos!$A:$A,CM$19,Lançamentos!$C:$C,"Pagamento de Fornecedores")</f>
        <v>0</v>
      </c>
      <c r="CN70" s="37">
        <f>SUMIFS(Lançamentos!$F:$F,Lançamentos!$A:$A,CN$19,Lançamentos!$C:$C,"Pagamento de Fornecedores")</f>
        <v>0</v>
      </c>
      <c r="CO70" s="37">
        <f>SUMIFS(Lançamentos!$F:$F,Lançamentos!$A:$A,CO$19,Lançamentos!$C:$C,"Pagamento de Fornecedores")</f>
        <v>0</v>
      </c>
      <c r="CP70" s="37">
        <f>SUMIFS(Lançamentos!$F:$F,Lançamentos!$A:$A,CP$19,Lançamentos!$C:$C,"Pagamento de Fornecedores")</f>
        <v>0</v>
      </c>
      <c r="CQ70" s="37">
        <f>SUMIFS(Lançamentos!$F:$F,Lançamentos!$A:$A,CQ$19,Lançamentos!$C:$C,"Pagamento de Fornecedores")</f>
        <v>0</v>
      </c>
      <c r="CR70" s="37">
        <f>SUMIFS(Lançamentos!$F:$F,Lançamentos!$A:$A,CR$19,Lançamentos!$C:$C,"Pagamento de Fornecedores")</f>
        <v>0</v>
      </c>
      <c r="CS70" s="37">
        <f>SUMIFS(Lançamentos!$F:$F,Lançamentos!$A:$A,CS$19,Lançamentos!$C:$C,"Pagamento de Fornecedores")</f>
        <v>0</v>
      </c>
      <c r="CT70" s="37">
        <f>SUMIFS(Lançamentos!$F:$F,Lançamentos!$A:$A,CT$19,Lançamentos!$C:$C,"Pagamento de Fornecedores")</f>
        <v>0</v>
      </c>
      <c r="CU70" s="37">
        <f>SUMIFS(Lançamentos!$F:$F,Lançamentos!$A:$A,CU$19,Lançamentos!$C:$C,"Pagamento de Fornecedores")</f>
        <v>0</v>
      </c>
      <c r="CV70" s="37">
        <f>SUMIFS(Lançamentos!$F:$F,Lançamentos!$A:$A,CV$19,Lançamentos!$C:$C,"Pagamento de Fornecedores")</f>
        <v>0</v>
      </c>
      <c r="CW70" s="37">
        <f>SUMIFS(Lançamentos!$F:$F,Lançamentos!$A:$A,CW$19,Lançamentos!$C:$C,"Pagamento de Fornecedores")</f>
        <v>0</v>
      </c>
      <c r="CX70" s="37">
        <f>SUMIFS(Lançamentos!$F:$F,Lançamentos!$A:$A,CX$19,Lançamentos!$C:$C,"Pagamento de Fornecedores")</f>
        <v>0</v>
      </c>
      <c r="CY70" s="37">
        <f>SUMIFS(Lançamentos!$F:$F,Lançamentos!$A:$A,CY$19,Lançamentos!$C:$C,"Pagamento de Fornecedores")</f>
        <v>0</v>
      </c>
      <c r="CZ70" s="37">
        <f>SUMIFS(Lançamentos!$F:$F,Lançamentos!$A:$A,CZ$19,Lançamentos!$C:$C,"Pagamento de Fornecedores")</f>
        <v>0</v>
      </c>
      <c r="DA70" s="37">
        <f>SUMIFS(Lançamentos!$F:$F,Lançamentos!$A:$A,DA$19,Lançamentos!$C:$C,"Pagamento de Fornecedores")</f>
        <v>0</v>
      </c>
      <c r="DB70" s="37">
        <f>SUMIFS(Lançamentos!$F:$F,Lançamentos!$A:$A,DB$19,Lançamentos!$C:$C,"Pagamento de Fornecedores")</f>
        <v>0</v>
      </c>
      <c r="DC70" s="37">
        <f>SUMIFS(Lançamentos!$F:$F,Lançamentos!$A:$A,DC$19,Lançamentos!$C:$C,"Pagamento de Fornecedores")</f>
        <v>0</v>
      </c>
      <c r="DD70" s="37">
        <f>SUMIFS(Lançamentos!$F:$F,Lançamentos!$A:$A,DD$19,Lançamentos!$C:$C,"Pagamento de Fornecedores")</f>
        <v>0</v>
      </c>
      <c r="DE70" s="37">
        <f>SUMIFS(Lançamentos!$F:$F,Lançamentos!$A:$A,DE$19,Lançamentos!$C:$C,"Pagamento de Fornecedores")</f>
        <v>0</v>
      </c>
      <c r="DF70" s="37">
        <f>SUMIFS(Lançamentos!$F:$F,Lançamentos!$A:$A,DF$19,Lançamentos!$C:$C,"Pagamento de Fornecedores")</f>
        <v>0</v>
      </c>
      <c r="DG70" s="37">
        <f>SUMIFS(Lançamentos!$F:$F,Lançamentos!$A:$A,DG$19,Lançamentos!$C:$C,"Pagamento de Fornecedores")</f>
        <v>0</v>
      </c>
      <c r="DH70" s="37">
        <f>SUMIFS(Lançamentos!$F:$F,Lançamentos!$A:$A,DH$19,Lançamentos!$C:$C,"Pagamento de Fornecedores")</f>
        <v>0</v>
      </c>
      <c r="DI70" s="37">
        <f>SUMIFS(Lançamentos!$F:$F,Lançamentos!$A:$A,DI$19,Lançamentos!$C:$C,"Pagamento de Fornecedores")</f>
        <v>0</v>
      </c>
      <c r="DJ70" s="37">
        <f>SUMIFS(Lançamentos!$F:$F,Lançamentos!$A:$A,DJ$19,Lançamentos!$C:$C,"Pagamento de Fornecedores")</f>
        <v>0</v>
      </c>
      <c r="DK70" s="37">
        <f>SUMIFS(Lançamentos!$F:$F,Lançamentos!$A:$A,DK$19,Lançamentos!$C:$C,"Pagamento de Fornecedores")</f>
        <v>0</v>
      </c>
      <c r="DL70" s="37">
        <f>SUMIFS(Lançamentos!$F:$F,Lançamentos!$A:$A,DL$19,Lançamentos!$C:$C,"Pagamento de Fornecedores")</f>
        <v>0</v>
      </c>
      <c r="DM70" s="37">
        <f>SUMIFS(Lançamentos!$F:$F,Lançamentos!$A:$A,DM$19,Lançamentos!$C:$C,"Pagamento de Fornecedores")</f>
        <v>0</v>
      </c>
      <c r="DN70" s="37">
        <f>SUMIFS(Lançamentos!$F:$F,Lançamentos!$A:$A,DN$19,Lançamentos!$C:$C,"Pagamento de Fornecedores")</f>
        <v>0</v>
      </c>
      <c r="DO70" s="37">
        <f>SUMIFS(Lançamentos!$F:$F,Lançamentos!$A:$A,DO$19,Lançamentos!$C:$C,"Pagamento de Fornecedores")</f>
        <v>0</v>
      </c>
      <c r="DP70" s="37">
        <f>SUMIFS(Lançamentos!$F:$F,Lançamentos!$A:$A,DP$19,Lançamentos!$C:$C,"Pagamento de Fornecedores")</f>
        <v>0</v>
      </c>
      <c r="DQ70" s="37">
        <f>SUMIFS(Lançamentos!$F:$F,Lançamentos!$A:$A,DQ$19,Lançamentos!$C:$C,"Pagamento de Fornecedores")</f>
        <v>0</v>
      </c>
      <c r="DR70" s="37">
        <f>SUMIFS(Lançamentos!$F:$F,Lançamentos!$A:$A,DR$19,Lançamentos!$C:$C,"Pagamento de Fornecedores")</f>
        <v>0</v>
      </c>
      <c r="DS70" s="37">
        <f>SUMIFS(Lançamentos!$F:$F,Lançamentos!$A:$A,DS$19,Lançamentos!$C:$C,"Pagamento de Fornecedores")</f>
        <v>0</v>
      </c>
      <c r="DT70" s="37">
        <f>SUMIFS(Lançamentos!$F:$F,Lançamentos!$A:$A,DT$19,Lançamentos!$C:$C,"Pagamento de Fornecedores")</f>
        <v>0</v>
      </c>
      <c r="DU70" s="37">
        <f>SUMIFS(Lançamentos!$F:$F,Lançamentos!$A:$A,DU$19,Lançamentos!$C:$C,"Pagamento de Fornecedores")</f>
        <v>0</v>
      </c>
      <c r="DV70" s="37">
        <f>SUMIFS(Lançamentos!$F:$F,Lançamentos!$A:$A,DV$19,Lançamentos!$C:$C,"Pagamento de Fornecedores")</f>
        <v>0</v>
      </c>
      <c r="DW70" s="37">
        <f>SUMIFS(Lançamentos!$F:$F,Lançamentos!$A:$A,DW$19,Lançamentos!$C:$C,"Pagamento de Fornecedores")</f>
        <v>0</v>
      </c>
      <c r="DX70" s="37">
        <f>SUMIFS(Lançamentos!$F:$F,Lançamentos!$A:$A,DX$19,Lançamentos!$C:$C,"Pagamento de Fornecedores")</f>
        <v>0</v>
      </c>
      <c r="DY70" s="37">
        <f>SUMIFS(Lançamentos!$F:$F,Lançamentos!$A:$A,DY$19,Lançamentos!$C:$C,"Pagamento de Fornecedores")</f>
        <v>0</v>
      </c>
      <c r="DZ70" s="37">
        <f>SUMIFS(Lançamentos!$F:$F,Lançamentos!$A:$A,DZ$19,Lançamentos!$C:$C,"Pagamento de Fornecedores")</f>
        <v>0</v>
      </c>
      <c r="EA70" s="37">
        <f>SUMIFS(Lançamentos!$F:$F,Lançamentos!$A:$A,EA$19,Lançamentos!$C:$C,"Pagamento de Fornecedores")</f>
        <v>0</v>
      </c>
      <c r="EB70" s="37">
        <f>SUMIFS(Lançamentos!$F:$F,Lançamentos!$A:$A,EB$19,Lançamentos!$C:$C,"Pagamento de Fornecedores")</f>
        <v>0</v>
      </c>
      <c r="EC70" s="37">
        <f>SUMIFS(Lançamentos!$F:$F,Lançamentos!$A:$A,EC$19,Lançamentos!$C:$C,"Pagamento de Fornecedores")</f>
        <v>0</v>
      </c>
      <c r="ED70" s="37">
        <f>SUMIFS(Lançamentos!$F:$F,Lançamentos!$A:$A,ED$19,Lançamentos!$C:$C,"Pagamento de Fornecedores")</f>
        <v>0</v>
      </c>
      <c r="EE70" s="37">
        <f>SUMIFS(Lançamentos!$F:$F,Lançamentos!$A:$A,EE$19,Lançamentos!$C:$C,"Pagamento de Fornecedores")</f>
        <v>0</v>
      </c>
      <c r="EF70" s="37">
        <f>SUMIFS(Lançamentos!$F:$F,Lançamentos!$A:$A,EF$19,Lançamentos!$C:$C,"Pagamento de Fornecedores")</f>
        <v>0</v>
      </c>
      <c r="EG70" s="37">
        <f>SUMIFS(Lançamentos!$F:$F,Lançamentos!$A:$A,EG$19,Lançamentos!$C:$C,"Pagamento de Fornecedores")</f>
        <v>0</v>
      </c>
      <c r="EH70" s="37">
        <f>SUMIFS(Lançamentos!$F:$F,Lançamentos!$A:$A,EH$19,Lançamentos!$C:$C,"Pagamento de Fornecedores")</f>
        <v>0</v>
      </c>
      <c r="EI70" s="37">
        <f>SUMIFS(Lançamentos!$F:$F,Lançamentos!$A:$A,EI$19,Lançamentos!$C:$C,"Pagamento de Fornecedores")</f>
        <v>0</v>
      </c>
      <c r="EJ70" s="37">
        <f>SUMIFS(Lançamentos!$F:$F,Lançamentos!$A:$A,EJ$19,Lançamentos!$C:$C,"Pagamento de Fornecedores")</f>
        <v>0</v>
      </c>
      <c r="EK70" s="37">
        <f>SUMIFS(Lançamentos!$F:$F,Lançamentos!$A:$A,EK$19,Lançamentos!$C:$C,"Pagamento de Fornecedores")</f>
        <v>0</v>
      </c>
      <c r="EL70" s="37">
        <f>SUMIFS(Lançamentos!$F:$F,Lançamentos!$A:$A,EL$19,Lançamentos!$C:$C,"Pagamento de Fornecedores")</f>
        <v>0</v>
      </c>
      <c r="EM70" s="37">
        <f>SUMIFS(Lançamentos!$F:$F,Lançamentos!$A:$A,EM$19,Lançamentos!$C:$C,"Pagamento de Fornecedores")</f>
        <v>0</v>
      </c>
      <c r="EN70" s="37">
        <f>SUMIFS(Lançamentos!$F:$F,Lançamentos!$A:$A,EN$19,Lançamentos!$C:$C,"Pagamento de Fornecedores")</f>
        <v>0</v>
      </c>
      <c r="EO70" s="37">
        <f>SUMIFS(Lançamentos!$F:$F,Lançamentos!$A:$A,EO$19,Lançamentos!$C:$C,"Pagamento de Fornecedores")</f>
        <v>0</v>
      </c>
      <c r="EP70" s="37">
        <f>SUMIFS(Lançamentos!$F:$F,Lançamentos!$A:$A,EP$19,Lançamentos!$C:$C,"Pagamento de Fornecedores")</f>
        <v>0</v>
      </c>
      <c r="EQ70" s="37">
        <f>SUMIFS(Lançamentos!$F:$F,Lançamentos!$A:$A,EQ$19,Lançamentos!$C:$C,"Pagamento de Fornecedores")</f>
        <v>0</v>
      </c>
      <c r="ER70" s="37">
        <f>SUMIFS(Lançamentos!$F:$F,Lançamentos!$A:$A,ER$19,Lançamentos!$C:$C,"Pagamento de Fornecedores")</f>
        <v>0</v>
      </c>
      <c r="ES70" s="37">
        <f>SUMIFS(Lançamentos!$F:$F,Lançamentos!$A:$A,ES$19,Lançamentos!$C:$C,"Pagamento de Fornecedores")</f>
        <v>0</v>
      </c>
      <c r="ET70" s="37">
        <f>SUMIFS(Lançamentos!$F:$F,Lançamentos!$A:$A,ET$19,Lançamentos!$C:$C,"Pagamento de Fornecedores")</f>
        <v>0</v>
      </c>
      <c r="EU70" s="37">
        <f>SUMIFS(Lançamentos!$F:$F,Lançamentos!$A:$A,EU$19,Lançamentos!$C:$C,"Pagamento de Fornecedores")</f>
        <v>0</v>
      </c>
      <c r="EV70" s="37">
        <f>SUMIFS(Lançamentos!$F:$F,Lançamentos!$A:$A,EV$19,Lançamentos!$C:$C,"Pagamento de Fornecedores")</f>
        <v>0</v>
      </c>
      <c r="EW70" s="37">
        <f>SUMIFS(Lançamentos!$F:$F,Lançamentos!$A:$A,EW$19,Lançamentos!$C:$C,"Pagamento de Fornecedores")</f>
        <v>0</v>
      </c>
      <c r="EX70" s="37">
        <f>SUMIFS(Lançamentos!$F:$F,Lançamentos!$A:$A,EX$19,Lançamentos!$C:$C,"Pagamento de Fornecedores")</f>
        <v>0</v>
      </c>
      <c r="EY70" s="37">
        <f>SUMIFS(Lançamentos!$F:$F,Lançamentos!$A:$A,EY$19,Lançamentos!$C:$C,"Pagamento de Fornecedores")</f>
        <v>0</v>
      </c>
      <c r="EZ70" s="37">
        <f>SUMIFS(Lançamentos!$F:$F,Lançamentos!$A:$A,EZ$19,Lançamentos!$C:$C,"Pagamento de Fornecedores")</f>
        <v>0</v>
      </c>
      <c r="FA70" s="37">
        <f>SUMIFS(Lançamentos!$F:$F,Lançamentos!$A:$A,FA$19,Lançamentos!$C:$C,"Pagamento de Fornecedores")</f>
        <v>0</v>
      </c>
      <c r="FB70" s="37">
        <f>SUMIFS(Lançamentos!$F:$F,Lançamentos!$A:$A,FB$19,Lançamentos!$C:$C,"Pagamento de Fornecedores")</f>
        <v>0</v>
      </c>
      <c r="FC70" s="37">
        <f>SUMIFS(Lançamentos!$F:$F,Lançamentos!$A:$A,FC$19,Lançamentos!$C:$C,"Pagamento de Fornecedores")</f>
        <v>0</v>
      </c>
      <c r="FD70" s="37">
        <f>SUMIFS(Lançamentos!$F:$F,Lançamentos!$A:$A,FD$19,Lançamentos!$C:$C,"Pagamento de Fornecedores")</f>
        <v>0</v>
      </c>
      <c r="FE70" s="37">
        <f>SUMIFS(Lançamentos!$F:$F,Lançamentos!$A:$A,FE$19,Lançamentos!$C:$C,"Pagamento de Fornecedores")</f>
        <v>0</v>
      </c>
      <c r="FF70" s="37">
        <f>SUMIFS(Lançamentos!$F:$F,Lançamentos!$A:$A,FF$19,Lançamentos!$C:$C,"Pagamento de Fornecedores")</f>
        <v>0</v>
      </c>
      <c r="FG70" s="37">
        <f>SUMIFS(Lançamentos!$F:$F,Lançamentos!$A:$A,FG$19,Lançamentos!$C:$C,"Pagamento de Fornecedores")</f>
        <v>0</v>
      </c>
      <c r="FH70" s="37">
        <f>SUMIFS(Lançamentos!$F:$F,Lançamentos!$A:$A,FH$19,Lançamentos!$C:$C,"Pagamento de Fornecedores")</f>
        <v>0</v>
      </c>
      <c r="FI70" s="37">
        <f>SUMIFS(Lançamentos!$F:$F,Lançamentos!$A:$A,FI$19,Lançamentos!$C:$C,"Pagamento de Fornecedores")</f>
        <v>0</v>
      </c>
      <c r="FJ70" s="37">
        <f>SUMIFS(Lançamentos!$F:$F,Lançamentos!$A:$A,FJ$19,Lançamentos!$C:$C,"Pagamento de Fornecedores")</f>
        <v>0</v>
      </c>
      <c r="FK70" s="37">
        <f>SUMIFS(Lançamentos!$F:$F,Lançamentos!$A:$A,FK$19,Lançamentos!$C:$C,"Pagamento de Fornecedores")</f>
        <v>0</v>
      </c>
      <c r="FL70" s="37">
        <f>SUMIFS(Lançamentos!$F:$F,Lançamentos!$A:$A,FL$19,Lançamentos!$C:$C,"Pagamento de Fornecedores")</f>
        <v>0</v>
      </c>
      <c r="FM70" s="37">
        <f>SUMIFS(Lançamentos!$F:$F,Lançamentos!$A:$A,FM$19,Lançamentos!$C:$C,"Pagamento de Fornecedores")</f>
        <v>0</v>
      </c>
      <c r="FN70" s="37">
        <f>SUMIFS(Lançamentos!$F:$F,Lançamentos!$A:$A,FN$19,Lançamentos!$C:$C,"Pagamento de Fornecedores")</f>
        <v>0</v>
      </c>
      <c r="FO70" s="37">
        <f>SUMIFS(Lançamentos!$F:$F,Lançamentos!$A:$A,FO$19,Lançamentos!$C:$C,"Pagamento de Fornecedores")</f>
        <v>0</v>
      </c>
      <c r="FP70" s="37">
        <f>SUMIFS(Lançamentos!$F:$F,Lançamentos!$A:$A,FP$19,Lançamentos!$C:$C,"Pagamento de Fornecedores")</f>
        <v>0</v>
      </c>
      <c r="FQ70" s="37">
        <f>SUMIFS(Lançamentos!$F:$F,Lançamentos!$A:$A,FQ$19,Lançamentos!$C:$C,"Pagamento de Fornecedores")</f>
        <v>0</v>
      </c>
      <c r="FR70" s="37">
        <f>SUMIFS(Lançamentos!$F:$F,Lançamentos!$A:$A,FR$19,Lançamentos!$C:$C,"Pagamento de Fornecedores")</f>
        <v>0</v>
      </c>
      <c r="FS70" s="37">
        <f>SUMIFS(Lançamentos!$F:$F,Lançamentos!$A:$A,FS$19,Lançamentos!$C:$C,"Pagamento de Fornecedores")</f>
        <v>0</v>
      </c>
      <c r="FT70" s="37">
        <f>SUMIFS(Lançamentos!$F:$F,Lançamentos!$A:$A,FT$19,Lançamentos!$C:$C,"Pagamento de Fornecedores")</f>
        <v>0</v>
      </c>
      <c r="FU70" s="37">
        <f>SUMIFS(Lançamentos!$F:$F,Lançamentos!$A:$A,FU$19,Lançamentos!$C:$C,"Pagamento de Fornecedores")</f>
        <v>0</v>
      </c>
      <c r="FV70" s="37">
        <f>SUMIFS(Lançamentos!$F:$F,Lançamentos!$A:$A,FV$19,Lançamentos!$C:$C,"Pagamento de Fornecedores")</f>
        <v>0</v>
      </c>
      <c r="FW70" s="37">
        <f>SUMIFS(Lançamentos!$F:$F,Lançamentos!$A:$A,FW$19,Lançamentos!$C:$C,"Pagamento de Fornecedores")</f>
        <v>0</v>
      </c>
      <c r="FX70" s="37">
        <f>SUMIFS(Lançamentos!$F:$F,Lançamentos!$A:$A,FX$19,Lançamentos!$C:$C,"Pagamento de Fornecedores")</f>
        <v>0</v>
      </c>
      <c r="FY70" s="37">
        <f>SUMIFS(Lançamentos!$F:$F,Lançamentos!$A:$A,FY$19,Lançamentos!$C:$C,"Pagamento de Fornecedores")</f>
        <v>0</v>
      </c>
      <c r="FZ70" s="37">
        <f>SUMIFS(Lançamentos!$F:$F,Lançamentos!$A:$A,FZ$19,Lançamentos!$C:$C,"Pagamento de Fornecedores")</f>
        <v>0</v>
      </c>
      <c r="GA70" s="37">
        <f>SUMIFS(Lançamentos!$F:$F,Lançamentos!$A:$A,GA$19,Lançamentos!$C:$C,"Pagamento de Fornecedores")</f>
        <v>0</v>
      </c>
      <c r="GB70" s="37">
        <f>SUMIFS(Lançamentos!$F:$F,Lançamentos!$A:$A,GB$19,Lançamentos!$C:$C,"Pagamento de Fornecedores")</f>
        <v>0</v>
      </c>
      <c r="GC70" s="37">
        <f>SUMIFS(Lançamentos!$F:$F,Lançamentos!$A:$A,GC$19,Lançamentos!$C:$C,"Pagamento de Fornecedores")</f>
        <v>0</v>
      </c>
      <c r="GD70" s="37">
        <f>SUMIFS(Lançamentos!$F:$F,Lançamentos!$A:$A,GD$19,Lançamentos!$C:$C,"Pagamento de Fornecedores")</f>
        <v>0</v>
      </c>
      <c r="GE70" s="37">
        <f>SUMIFS(Lançamentos!$F:$F,Lançamentos!$A:$A,GE$19,Lançamentos!$C:$C,"Pagamento de Fornecedores")</f>
        <v>0</v>
      </c>
      <c r="GF70" s="37">
        <f>SUMIFS(Lançamentos!$F:$F,Lançamentos!$A:$A,GF$19,Lançamentos!$C:$C,"Pagamento de Fornecedores")</f>
        <v>0</v>
      </c>
      <c r="GG70" s="37">
        <f>SUMIFS(Lançamentos!$F:$F,Lançamentos!$A:$A,GG$19,Lançamentos!$C:$C,"Pagamento de Fornecedores")</f>
        <v>0</v>
      </c>
      <c r="GH70" s="37">
        <f>SUMIFS(Lançamentos!$F:$F,Lançamentos!$A:$A,GH$19,Lançamentos!$C:$C,"Pagamento de Fornecedores")</f>
        <v>0</v>
      </c>
      <c r="GI70" s="37">
        <f>SUMIFS(Lançamentos!$F:$F,Lançamentos!$A:$A,GI$19,Lançamentos!$C:$C,"Pagamento de Fornecedores")</f>
        <v>0</v>
      </c>
      <c r="GJ70" s="37">
        <f>SUMIFS(Lançamentos!$F:$F,Lançamentos!$A:$A,GJ$19,Lançamentos!$C:$C,"Pagamento de Fornecedores")</f>
        <v>0</v>
      </c>
      <c r="GK70" s="37">
        <f>SUMIFS(Lançamentos!$F:$F,Lançamentos!$A:$A,GK$19,Lançamentos!$C:$C,"Pagamento de Fornecedores")</f>
        <v>0</v>
      </c>
      <c r="GL70" s="37">
        <f>SUMIFS(Lançamentos!$F:$F,Lançamentos!$A:$A,GL$19,Lançamentos!$C:$C,"Pagamento de Fornecedores")</f>
        <v>0</v>
      </c>
      <c r="GM70" s="37">
        <f>SUMIFS(Lançamentos!$F:$F,Lançamentos!$A:$A,GM$19,Lançamentos!$C:$C,"Pagamento de Fornecedores")</f>
        <v>0</v>
      </c>
      <c r="GN70" s="37">
        <f>SUMIFS(Lançamentos!$F:$F,Lançamentos!$A:$A,GN$19,Lançamentos!$C:$C,"Pagamento de Fornecedores")</f>
        <v>0</v>
      </c>
      <c r="GO70" s="37">
        <f>SUMIFS(Lançamentos!$F:$F,Lançamentos!$A:$A,GO$19,Lançamentos!$C:$C,"Pagamento de Fornecedores")</f>
        <v>0</v>
      </c>
      <c r="GP70" s="37">
        <f>SUMIFS(Lançamentos!$F:$F,Lançamentos!$A:$A,GP$19,Lançamentos!$C:$C,"Pagamento de Fornecedores")</f>
        <v>0</v>
      </c>
      <c r="GQ70" s="37">
        <f>SUMIFS(Lançamentos!$F:$F,Lançamentos!$A:$A,GQ$19,Lançamentos!$C:$C,"Pagamento de Fornecedores")</f>
        <v>0</v>
      </c>
      <c r="GR70" s="37">
        <f>SUMIFS(Lançamentos!$F:$F,Lançamentos!$A:$A,GR$19,Lançamentos!$C:$C,"Pagamento de Fornecedores")</f>
        <v>0</v>
      </c>
      <c r="GS70" s="37">
        <f>SUMIFS(Lançamentos!$F:$F,Lançamentos!$A:$A,GS$19,Lançamentos!$C:$C,"Pagamento de Fornecedores")</f>
        <v>0</v>
      </c>
      <c r="GT70" s="37">
        <f>SUMIFS(Lançamentos!$F:$F,Lançamentos!$A:$A,GT$19,Lançamentos!$C:$C,"Pagamento de Fornecedores")</f>
        <v>0</v>
      </c>
      <c r="GU70" s="37">
        <f>SUMIFS(Lançamentos!$F:$F,Lançamentos!$A:$A,GU$19,Lançamentos!$C:$C,"Pagamento de Fornecedores")</f>
        <v>0</v>
      </c>
      <c r="GV70" s="37">
        <f>SUMIFS(Lançamentos!$F:$F,Lançamentos!$A:$A,GV$19,Lançamentos!$C:$C,"Pagamento de Fornecedores")</f>
        <v>0</v>
      </c>
      <c r="GW70" s="37">
        <f>SUMIFS(Lançamentos!$F:$F,Lançamentos!$A:$A,GW$19,Lançamentos!$C:$C,"Pagamento de Fornecedores")</f>
        <v>0</v>
      </c>
      <c r="GX70" s="37">
        <f>SUMIFS(Lançamentos!$F:$F,Lançamentos!$A:$A,GX$19,Lançamentos!$C:$C,"Pagamento de Fornecedores")</f>
        <v>0</v>
      </c>
      <c r="GY70" s="37">
        <f>SUMIFS(Lançamentos!$F:$F,Lançamentos!$A:$A,GY$19,Lançamentos!$C:$C,"Pagamento de Fornecedores")</f>
        <v>0</v>
      </c>
      <c r="GZ70" s="37">
        <f>SUMIFS(Lançamentos!$F:$F,Lançamentos!$A:$A,GZ$19,Lançamentos!$C:$C,"Pagamento de Fornecedores")</f>
        <v>0</v>
      </c>
      <c r="HA70" s="37">
        <f>SUMIFS(Lançamentos!$F:$F,Lançamentos!$A:$A,HA$19,Lançamentos!$C:$C,"Pagamento de Fornecedores")</f>
        <v>0</v>
      </c>
      <c r="HB70" s="37">
        <f>SUMIFS(Lançamentos!$F:$F,Lançamentos!$A:$A,HB$19,Lançamentos!$C:$C,"Pagamento de Fornecedores")</f>
        <v>0</v>
      </c>
      <c r="HC70" s="37">
        <f>SUMIFS(Lançamentos!$F:$F,Lançamentos!$A:$A,HC$19,Lançamentos!$C:$C,"Pagamento de Fornecedores")</f>
        <v>0</v>
      </c>
      <c r="HD70" s="37">
        <f>SUMIFS(Lançamentos!$F:$F,Lançamentos!$A:$A,HD$19,Lançamentos!$C:$C,"Pagamento de Fornecedores")</f>
        <v>0</v>
      </c>
      <c r="HE70" s="37">
        <f>SUMIFS(Lançamentos!$F:$F,Lançamentos!$A:$A,HE$19,Lançamentos!$C:$C,"Pagamento de Fornecedores")</f>
        <v>0</v>
      </c>
      <c r="HF70" s="37">
        <f>SUMIFS(Lançamentos!$F:$F,Lançamentos!$A:$A,HF$19,Lançamentos!$C:$C,"Pagamento de Fornecedores")</f>
        <v>0</v>
      </c>
      <c r="HG70" s="37">
        <f>SUMIFS(Lançamentos!$F:$F,Lançamentos!$A:$A,HG$19,Lançamentos!$C:$C,"Pagamento de Fornecedores")</f>
        <v>0</v>
      </c>
      <c r="HH70" s="37">
        <f>SUMIFS(Lançamentos!$F:$F,Lançamentos!$A:$A,HH$19,Lançamentos!$C:$C,"Pagamento de Fornecedores")</f>
        <v>0</v>
      </c>
      <c r="HI70" s="37">
        <f>SUMIFS(Lançamentos!$F:$F,Lançamentos!$A:$A,HI$19,Lançamentos!$C:$C,"Pagamento de Fornecedores")</f>
        <v>0</v>
      </c>
      <c r="HJ70" s="37">
        <f>SUMIFS(Lançamentos!$F:$F,Lançamentos!$A:$A,HJ$19,Lançamentos!$C:$C,"Pagamento de Fornecedores")</f>
        <v>0</v>
      </c>
      <c r="HK70" s="37">
        <f>SUMIFS(Lançamentos!$F:$F,Lançamentos!$A:$A,HK$19,Lançamentos!$C:$C,"Pagamento de Fornecedores")</f>
        <v>0</v>
      </c>
      <c r="HL70" s="37">
        <f>SUMIFS(Lançamentos!$F:$F,Lançamentos!$A:$A,HL$19,Lançamentos!$C:$C,"Pagamento de Fornecedores")</f>
        <v>0</v>
      </c>
      <c r="HM70" s="37">
        <f>SUMIFS(Lançamentos!$F:$F,Lançamentos!$A:$A,HM$19,Lançamentos!$C:$C,"Pagamento de Fornecedores")</f>
        <v>0</v>
      </c>
      <c r="HN70" s="37">
        <f>SUMIFS(Lançamentos!$F:$F,Lançamentos!$A:$A,HN$19,Lançamentos!$C:$C,"Pagamento de Fornecedores")</f>
        <v>0</v>
      </c>
      <c r="HO70" s="37">
        <f>SUMIFS(Lançamentos!$F:$F,Lançamentos!$A:$A,HO$19,Lançamentos!$C:$C,"Pagamento de Fornecedores")</f>
        <v>0</v>
      </c>
      <c r="HP70" s="37">
        <f>SUMIFS(Lançamentos!$F:$F,Lançamentos!$A:$A,HP$19,Lançamentos!$C:$C,"Pagamento de Fornecedores")</f>
        <v>0</v>
      </c>
      <c r="HQ70" s="37">
        <f>SUMIFS(Lançamentos!$F:$F,Lançamentos!$A:$A,HQ$19,Lançamentos!$C:$C,"Pagamento de Fornecedores")</f>
        <v>0</v>
      </c>
      <c r="HR70" s="37">
        <f>SUMIFS(Lançamentos!$F:$F,Lançamentos!$A:$A,HR$19,Lançamentos!$C:$C,"Pagamento de Fornecedores")</f>
        <v>0</v>
      </c>
      <c r="HS70" s="37">
        <f>SUMIFS(Lançamentos!$F:$F,Lançamentos!$A:$A,HS$19,Lançamentos!$C:$C,"Pagamento de Fornecedores")</f>
        <v>0</v>
      </c>
      <c r="HT70" s="37">
        <f>SUMIFS(Lançamentos!$F:$F,Lançamentos!$A:$A,HT$19,Lançamentos!$C:$C,"Pagamento de Fornecedores")</f>
        <v>0</v>
      </c>
      <c r="HU70" s="37">
        <f>SUMIFS(Lançamentos!$F:$F,Lançamentos!$A:$A,HU$19,Lançamentos!$C:$C,"Pagamento de Fornecedores")</f>
        <v>0</v>
      </c>
      <c r="HV70" s="37">
        <f>SUMIFS(Lançamentos!$F:$F,Lançamentos!$A:$A,HV$19,Lançamentos!$C:$C,"Pagamento de Fornecedores")</f>
        <v>0</v>
      </c>
      <c r="HW70" s="37">
        <f>SUMIFS(Lançamentos!$F:$F,Lançamentos!$A:$A,HW$19,Lançamentos!$C:$C,"Pagamento de Fornecedores")</f>
        <v>0</v>
      </c>
      <c r="HX70" s="37">
        <f>SUMIFS(Lançamentos!$F:$F,Lançamentos!$A:$A,HX$19,Lançamentos!$C:$C,"Pagamento de Fornecedores")</f>
        <v>0</v>
      </c>
      <c r="HY70" s="37">
        <f>SUMIFS(Lançamentos!$F:$F,Lançamentos!$A:$A,HY$19,Lançamentos!$C:$C,"Pagamento de Fornecedores")</f>
        <v>0</v>
      </c>
      <c r="HZ70" s="37">
        <f>SUMIFS(Lançamentos!$F:$F,Lançamentos!$A:$A,HZ$19,Lançamentos!$C:$C,"Pagamento de Fornecedores")</f>
        <v>0</v>
      </c>
      <c r="IA70" s="37">
        <f>SUMIFS(Lançamentos!$F:$F,Lançamentos!$A:$A,IA$19,Lançamentos!$C:$C,"Pagamento de Fornecedores")</f>
        <v>0</v>
      </c>
      <c r="IB70" s="37">
        <f>SUMIFS(Lançamentos!$F:$F,Lançamentos!$A:$A,IB$19,Lançamentos!$C:$C,"Pagamento de Fornecedores")</f>
        <v>0</v>
      </c>
      <c r="IC70" s="37">
        <f>SUMIFS(Lançamentos!$F:$F,Lançamentos!$A:$A,IC$19,Lançamentos!$C:$C,"Pagamento de Fornecedores")</f>
        <v>0</v>
      </c>
      <c r="ID70" s="37">
        <f>SUMIFS(Lançamentos!$F:$F,Lançamentos!$A:$A,ID$19,Lançamentos!$C:$C,"Pagamento de Fornecedores")</f>
        <v>0</v>
      </c>
      <c r="IE70" s="37">
        <f>SUMIFS(Lançamentos!$F:$F,Lançamentos!$A:$A,IE$19,Lançamentos!$C:$C,"Pagamento de Fornecedores")</f>
        <v>0</v>
      </c>
      <c r="IF70" s="37">
        <f>SUMIFS(Lançamentos!$F:$F,Lançamentos!$A:$A,IF$19,Lançamentos!$C:$C,"Pagamento de Fornecedores")</f>
        <v>0</v>
      </c>
      <c r="IG70" s="37">
        <f>SUMIFS(Lançamentos!$F:$F,Lançamentos!$A:$A,IG$19,Lançamentos!$C:$C,"Pagamento de Fornecedores")</f>
        <v>0</v>
      </c>
      <c r="IH70" s="37">
        <f>SUMIFS(Lançamentos!$F:$F,Lançamentos!$A:$A,IH$19,Lançamentos!$C:$C,"Pagamento de Fornecedores")</f>
        <v>0</v>
      </c>
      <c r="II70" s="37">
        <f>SUMIFS(Lançamentos!$F:$F,Lançamentos!$A:$A,II$19,Lançamentos!$C:$C,"Pagamento de Fornecedores")</f>
        <v>0</v>
      </c>
      <c r="IJ70" s="37">
        <f>SUMIFS(Lançamentos!$F:$F,Lançamentos!$A:$A,IJ$19,Lançamentos!$C:$C,"Pagamento de Fornecedores")</f>
        <v>0</v>
      </c>
      <c r="IK70" s="37">
        <f>SUMIFS(Lançamentos!$F:$F,Lançamentos!$A:$A,IK$19,Lançamentos!$C:$C,"Pagamento de Fornecedores")</f>
        <v>0</v>
      </c>
      <c r="IL70" s="37">
        <f>SUMIFS(Lançamentos!$F:$F,Lançamentos!$A:$A,IL$19,Lançamentos!$C:$C,"Pagamento de Fornecedores")</f>
        <v>0</v>
      </c>
    </row>
    <row r="71" spans="1:246" x14ac:dyDescent="0.3">
      <c r="A71" t="s">
        <v>109</v>
      </c>
      <c r="B71" s="37">
        <f>SUMIFS(Lançamentos!$F:$F,Lançamentos!$A:$A,B$19,Lançamentos!$C:$C,"Retirada de Sócios")</f>
        <v>0</v>
      </c>
      <c r="C71" s="37">
        <f>SUMIFS(Lançamentos!$F:$F,Lançamentos!$A:$A,C$19,Lançamentos!$C:$C,"Retirada de Sócios")</f>
        <v>0</v>
      </c>
      <c r="D71" s="37">
        <f>SUMIFS(Lançamentos!$F:$F,Lançamentos!$A:$A,D$19,Lançamentos!$C:$C,"Retirada de Sócios")</f>
        <v>0</v>
      </c>
      <c r="E71" s="37">
        <f>SUMIFS(Lançamentos!$F:$F,Lançamentos!$A:$A,E$19,Lançamentos!$C:$C,"Retirada de Sócios")</f>
        <v>0</v>
      </c>
      <c r="F71" s="37">
        <f>SUMIFS(Lançamentos!$F:$F,Lançamentos!$A:$A,F$19,Lançamentos!$C:$C,"Retirada de Sócios")</f>
        <v>0</v>
      </c>
      <c r="G71" s="37">
        <f>SUMIFS(Lançamentos!$F:$F,Lançamentos!$A:$A,G$19,Lançamentos!$C:$C,"Retirada de Sócios")</f>
        <v>0</v>
      </c>
      <c r="H71" s="37">
        <f>SUMIFS(Lançamentos!$F:$F,Lançamentos!$A:$A,H$19,Lançamentos!$C:$C,"Retirada de Sócios")</f>
        <v>0</v>
      </c>
      <c r="I71" s="37">
        <f>SUMIFS(Lançamentos!$F:$F,Lançamentos!$A:$A,I$19,Lançamentos!$C:$C,"Retirada de Sócios")</f>
        <v>0</v>
      </c>
      <c r="J71" s="37">
        <f>SUMIFS(Lançamentos!$F:$F,Lançamentos!$A:$A,J$19,Lançamentos!$C:$C,"Retirada de Sócios")</f>
        <v>0</v>
      </c>
      <c r="K71" s="37">
        <f>SUMIFS(Lançamentos!$F:$F,Lançamentos!$A:$A,K$19,Lançamentos!$C:$C,"Retirada de Sócios")</f>
        <v>0</v>
      </c>
      <c r="L71" s="37">
        <f>SUMIFS(Lançamentos!$F:$F,Lançamentos!$A:$A,L$19,Lançamentos!$C:$C,"Retirada de Sócios")</f>
        <v>0</v>
      </c>
      <c r="M71" s="37">
        <f>SUMIFS(Lançamentos!$F:$F,Lançamentos!$A:$A,M$19,Lançamentos!$C:$C,"Retirada de Sócios")</f>
        <v>0</v>
      </c>
      <c r="N71" s="37">
        <f>SUMIFS(Lançamentos!$F:$F,Lançamentos!$A:$A,N$19,Lançamentos!$C:$C,"Retirada de Sócios")</f>
        <v>0</v>
      </c>
      <c r="O71" s="37">
        <f>SUMIFS(Lançamentos!$F:$F,Lançamentos!$A:$A,O$19,Lançamentos!$C:$C,"Retirada de Sócios")</f>
        <v>0</v>
      </c>
      <c r="P71" s="37">
        <f>SUMIFS(Lançamentos!$F:$F,Lançamentos!$A:$A,P$19,Lançamentos!$C:$C,"Retirada de Sócios")</f>
        <v>0</v>
      </c>
      <c r="Q71" s="37">
        <f>SUMIFS(Lançamentos!$F:$F,Lançamentos!$A:$A,Q$19,Lançamentos!$C:$C,"Retirada de Sócios")</f>
        <v>0</v>
      </c>
      <c r="R71" s="37">
        <f>SUMIFS(Lançamentos!$F:$F,Lançamentos!$A:$A,R$19,Lançamentos!$C:$C,"Retirada de Sócios")</f>
        <v>0</v>
      </c>
      <c r="S71" s="37">
        <f>SUMIFS(Lançamentos!$F:$F,Lançamentos!$A:$A,S$19,Lançamentos!$C:$C,"Retirada de Sócios")</f>
        <v>0</v>
      </c>
      <c r="T71" s="37">
        <f>SUMIFS(Lançamentos!$F:$F,Lançamentos!$A:$A,T$19,Lançamentos!$C:$C,"Retirada de Sócios")</f>
        <v>0</v>
      </c>
      <c r="U71" s="37">
        <f>SUMIFS(Lançamentos!$F:$F,Lançamentos!$A:$A,U$19,Lançamentos!$C:$C,"Retirada de Sócios")</f>
        <v>0</v>
      </c>
      <c r="V71" s="37">
        <f>SUMIFS(Lançamentos!$F:$F,Lançamentos!$A:$A,V$19,Lançamentos!$C:$C,"Retirada de Sócios")</f>
        <v>0</v>
      </c>
      <c r="W71" s="37">
        <f>SUMIFS(Lançamentos!$F:$F,Lançamentos!$A:$A,W$19,Lançamentos!$C:$C,"Retirada de Sócios")</f>
        <v>0</v>
      </c>
      <c r="X71" s="37">
        <f>SUMIFS(Lançamentos!$F:$F,Lançamentos!$A:$A,X$19,Lançamentos!$C:$C,"Retirada de Sócios")</f>
        <v>0</v>
      </c>
      <c r="Y71" s="37">
        <f>SUMIFS(Lançamentos!$F:$F,Lançamentos!$A:$A,Y$19,Lançamentos!$C:$C,"Retirada de Sócios")</f>
        <v>0</v>
      </c>
      <c r="Z71" s="37">
        <f>SUMIFS(Lançamentos!$F:$F,Lançamentos!$A:$A,Z$19,Lançamentos!$C:$C,"Retirada de Sócios")</f>
        <v>0</v>
      </c>
      <c r="AA71" s="37">
        <f>SUMIFS(Lançamentos!$F:$F,Lançamentos!$A:$A,AA$19,Lançamentos!$C:$C,"Retirada de Sócios")</f>
        <v>0</v>
      </c>
      <c r="AB71" s="37">
        <f>SUMIFS(Lançamentos!$F:$F,Lançamentos!$A:$A,AB$19,Lançamentos!$C:$C,"Retirada de Sócios")</f>
        <v>0</v>
      </c>
      <c r="AC71" s="37">
        <f>SUMIFS(Lançamentos!$F:$F,Lançamentos!$A:$A,AC$19,Lançamentos!$C:$C,"Retirada de Sócios")</f>
        <v>0</v>
      </c>
      <c r="AD71" s="37">
        <f>SUMIFS(Lançamentos!$F:$F,Lançamentos!$A:$A,AD$19,Lançamentos!$C:$C,"Retirada de Sócios")</f>
        <v>0</v>
      </c>
      <c r="AE71" s="37">
        <f>SUMIFS(Lançamentos!$F:$F,Lançamentos!$A:$A,AE$19,Lançamentos!$C:$C,"Retirada de Sócios")</f>
        <v>0</v>
      </c>
      <c r="AF71" s="37">
        <f>SUMIFS(Lançamentos!$F:$F,Lançamentos!$A:$A,AF$19,Lançamentos!$C:$C,"Retirada de Sócios")</f>
        <v>0</v>
      </c>
      <c r="AG71" s="37">
        <f>SUMIFS(Lançamentos!$F:$F,Lançamentos!$A:$A,AG$19,Lançamentos!$C:$C,"Retirada de Sócios")</f>
        <v>0</v>
      </c>
      <c r="AH71" s="37">
        <f>SUMIFS(Lançamentos!$F:$F,Lançamentos!$A:$A,AH$19,Lançamentos!$C:$C,"Retirada de Sócios")</f>
        <v>0</v>
      </c>
      <c r="AI71" s="37">
        <f>SUMIFS(Lançamentos!$F:$F,Lançamentos!$A:$A,AI$19,Lançamentos!$C:$C,"Retirada de Sócios")</f>
        <v>0</v>
      </c>
      <c r="AJ71" s="37">
        <f>SUMIFS(Lançamentos!$F:$F,Lançamentos!$A:$A,AJ$19,Lançamentos!$C:$C,"Retirada de Sócios")</f>
        <v>0</v>
      </c>
      <c r="AK71" s="37">
        <f>SUMIFS(Lançamentos!$F:$F,Lançamentos!$A:$A,AK$19,Lançamentos!$C:$C,"Retirada de Sócios")</f>
        <v>0</v>
      </c>
      <c r="AL71" s="37">
        <f>SUMIFS(Lançamentos!$F:$F,Lançamentos!$A:$A,AL$19,Lançamentos!$C:$C,"Retirada de Sócios")</f>
        <v>0</v>
      </c>
      <c r="AM71" s="37">
        <f>SUMIFS(Lançamentos!$F:$F,Lançamentos!$A:$A,AM$19,Lançamentos!$C:$C,"Retirada de Sócios")</f>
        <v>0</v>
      </c>
      <c r="AN71" s="37">
        <f>SUMIFS(Lançamentos!$F:$F,Lançamentos!$A:$A,AN$19,Lançamentos!$C:$C,"Retirada de Sócios")</f>
        <v>0</v>
      </c>
      <c r="AO71" s="37">
        <f>SUMIFS(Lançamentos!$F:$F,Lançamentos!$A:$A,AO$19,Lançamentos!$C:$C,"Retirada de Sócios")</f>
        <v>0</v>
      </c>
      <c r="AP71" s="37">
        <f>SUMIFS(Lançamentos!$F:$F,Lançamentos!$A:$A,AP$19,Lançamentos!$C:$C,"Retirada de Sócios")</f>
        <v>0</v>
      </c>
      <c r="AQ71" s="37">
        <f>SUMIFS(Lançamentos!$F:$F,Lançamentos!$A:$A,AQ$19,Lançamentos!$C:$C,"Retirada de Sócios")</f>
        <v>0</v>
      </c>
      <c r="AR71" s="37">
        <f>SUMIFS(Lançamentos!$F:$F,Lançamentos!$A:$A,AR$19,Lançamentos!$C:$C,"Retirada de Sócios")</f>
        <v>0</v>
      </c>
      <c r="AS71" s="37">
        <f>SUMIFS(Lançamentos!$F:$F,Lançamentos!$A:$A,AS$19,Lançamentos!$C:$C,"Retirada de Sócios")</f>
        <v>0</v>
      </c>
      <c r="AT71" s="37">
        <f>SUMIFS(Lançamentos!$F:$F,Lançamentos!$A:$A,AT$19,Lançamentos!$C:$C,"Retirada de Sócios")</f>
        <v>0</v>
      </c>
      <c r="AU71" s="37">
        <f>SUMIFS(Lançamentos!$F:$F,Lançamentos!$A:$A,AU$19,Lançamentos!$C:$C,"Retirada de Sócios")</f>
        <v>0</v>
      </c>
      <c r="AV71" s="37">
        <f>SUMIFS(Lançamentos!$F:$F,Lançamentos!$A:$A,AV$19,Lançamentos!$C:$C,"Retirada de Sócios")</f>
        <v>0</v>
      </c>
      <c r="AW71" s="37">
        <f>SUMIFS(Lançamentos!$F:$F,Lançamentos!$A:$A,AW$19,Lançamentos!$C:$C,"Retirada de Sócios")</f>
        <v>0</v>
      </c>
      <c r="AX71" s="37">
        <f>SUMIFS(Lançamentos!$F:$F,Lançamentos!$A:$A,AX$19,Lançamentos!$C:$C,"Retirada de Sócios")</f>
        <v>0</v>
      </c>
      <c r="AY71" s="37">
        <f>SUMIFS(Lançamentos!$F:$F,Lançamentos!$A:$A,AY$19,Lançamentos!$C:$C,"Retirada de Sócios")</f>
        <v>0</v>
      </c>
      <c r="AZ71" s="37">
        <f>SUMIFS(Lançamentos!$F:$F,Lançamentos!$A:$A,AZ$19,Lançamentos!$C:$C,"Retirada de Sócios")</f>
        <v>0</v>
      </c>
      <c r="BA71" s="37">
        <f>SUMIFS(Lançamentos!$F:$F,Lançamentos!$A:$A,BA$19,Lançamentos!$C:$C,"Retirada de Sócios")</f>
        <v>0</v>
      </c>
      <c r="BB71" s="37">
        <f>SUMIFS(Lançamentos!$F:$F,Lançamentos!$A:$A,BB$19,Lançamentos!$C:$C,"Retirada de Sócios")</f>
        <v>0</v>
      </c>
      <c r="BC71" s="37">
        <f>SUMIFS(Lançamentos!$F:$F,Lançamentos!$A:$A,BC$19,Lançamentos!$C:$C,"Retirada de Sócios")</f>
        <v>0</v>
      </c>
      <c r="BD71" s="37">
        <f>SUMIFS(Lançamentos!$F:$F,Lançamentos!$A:$A,BD$19,Lançamentos!$C:$C,"Retirada de Sócios")</f>
        <v>0</v>
      </c>
      <c r="BE71" s="37">
        <f>SUMIFS(Lançamentos!$F:$F,Lançamentos!$A:$A,BE$19,Lançamentos!$C:$C,"Retirada de Sócios")</f>
        <v>0</v>
      </c>
      <c r="BF71" s="37">
        <f>SUMIFS(Lançamentos!$F:$F,Lançamentos!$A:$A,BF$19,Lançamentos!$C:$C,"Retirada de Sócios")</f>
        <v>0</v>
      </c>
      <c r="BG71" s="37">
        <f>SUMIFS(Lançamentos!$F:$F,Lançamentos!$A:$A,BG$19,Lançamentos!$C:$C,"Retirada de Sócios")</f>
        <v>0</v>
      </c>
      <c r="BH71" s="37">
        <f>SUMIFS(Lançamentos!$F:$F,Lançamentos!$A:$A,BH$19,Lançamentos!$C:$C,"Retirada de Sócios")</f>
        <v>0</v>
      </c>
      <c r="BI71" s="37">
        <f>SUMIFS(Lançamentos!$F:$F,Lançamentos!$A:$A,BI$19,Lançamentos!$C:$C,"Retirada de Sócios")</f>
        <v>0</v>
      </c>
      <c r="BJ71" s="37">
        <f>SUMIFS(Lançamentos!$F:$F,Lançamentos!$A:$A,BJ$19,Lançamentos!$C:$C,"Retirada de Sócios")</f>
        <v>0</v>
      </c>
      <c r="BK71" s="37">
        <f>SUMIFS(Lançamentos!$F:$F,Lançamentos!$A:$A,BK$19,Lançamentos!$C:$C,"Retirada de Sócios")</f>
        <v>0</v>
      </c>
      <c r="BL71" s="37">
        <f>SUMIFS(Lançamentos!$F:$F,Lançamentos!$A:$A,BL$19,Lançamentos!$C:$C,"Retirada de Sócios")</f>
        <v>0</v>
      </c>
      <c r="BM71" s="37">
        <f>SUMIFS(Lançamentos!$F:$F,Lançamentos!$A:$A,BM$19,Lançamentos!$C:$C,"Retirada de Sócios")</f>
        <v>0</v>
      </c>
      <c r="BN71" s="37">
        <f>SUMIFS(Lançamentos!$F:$F,Lançamentos!$A:$A,BN$19,Lançamentos!$C:$C,"Retirada de Sócios")</f>
        <v>0</v>
      </c>
      <c r="BO71" s="37">
        <f>SUMIFS(Lançamentos!$F:$F,Lançamentos!$A:$A,BO$19,Lançamentos!$C:$C,"Retirada de Sócios")</f>
        <v>0</v>
      </c>
      <c r="BP71" s="37">
        <f>SUMIFS(Lançamentos!$F:$F,Lançamentos!$A:$A,BP$19,Lançamentos!$C:$C,"Retirada de Sócios")</f>
        <v>0</v>
      </c>
      <c r="BQ71" s="37">
        <f>SUMIFS(Lançamentos!$F:$F,Lançamentos!$A:$A,BQ$19,Lançamentos!$C:$C,"Retirada de Sócios")</f>
        <v>0</v>
      </c>
      <c r="BR71" s="37">
        <f>SUMIFS(Lançamentos!$F:$F,Lançamentos!$A:$A,BR$19,Lançamentos!$C:$C,"Retirada de Sócios")</f>
        <v>0</v>
      </c>
      <c r="BS71" s="37">
        <f>SUMIFS(Lançamentos!$F:$F,Lançamentos!$A:$A,BS$19,Lançamentos!$C:$C,"Retirada de Sócios")</f>
        <v>0</v>
      </c>
      <c r="BT71" s="37">
        <f>SUMIFS(Lançamentos!$F:$F,Lançamentos!$A:$A,BT$19,Lançamentos!$C:$C,"Retirada de Sócios")</f>
        <v>0</v>
      </c>
      <c r="BU71" s="37">
        <f>SUMIFS(Lançamentos!$F:$F,Lançamentos!$A:$A,BU$19,Lançamentos!$C:$C,"Retirada de Sócios")</f>
        <v>0</v>
      </c>
      <c r="BV71" s="37">
        <f>SUMIFS(Lançamentos!$F:$F,Lançamentos!$A:$A,BV$19,Lançamentos!$C:$C,"Retirada de Sócios")</f>
        <v>0</v>
      </c>
      <c r="BW71" s="37">
        <f>SUMIFS(Lançamentos!$F:$F,Lançamentos!$A:$A,BW$19,Lançamentos!$C:$C,"Retirada de Sócios")</f>
        <v>0</v>
      </c>
      <c r="BX71" s="37">
        <f>SUMIFS(Lançamentos!$F:$F,Lançamentos!$A:$A,BX$19,Lançamentos!$C:$C,"Retirada de Sócios")</f>
        <v>0</v>
      </c>
      <c r="BY71" s="37">
        <f>SUMIFS(Lançamentos!$F:$F,Lançamentos!$A:$A,BY$19,Lançamentos!$C:$C,"Retirada de Sócios")</f>
        <v>0</v>
      </c>
      <c r="BZ71" s="37">
        <f>SUMIFS(Lançamentos!$F:$F,Lançamentos!$A:$A,BZ$19,Lançamentos!$C:$C,"Retirada de Sócios")</f>
        <v>0</v>
      </c>
      <c r="CA71" s="37">
        <f>SUMIFS(Lançamentos!$F:$F,Lançamentos!$A:$A,CA$19,Lançamentos!$C:$C,"Retirada de Sócios")</f>
        <v>0</v>
      </c>
      <c r="CB71" s="37">
        <f>SUMIFS(Lançamentos!$F:$F,Lançamentos!$A:$A,CB$19,Lançamentos!$C:$C,"Retirada de Sócios")</f>
        <v>0</v>
      </c>
      <c r="CC71" s="37">
        <f>SUMIFS(Lançamentos!$F:$F,Lançamentos!$A:$A,CC$19,Lançamentos!$C:$C,"Retirada de Sócios")</f>
        <v>0</v>
      </c>
      <c r="CD71" s="37">
        <f>SUMIFS(Lançamentos!$F:$F,Lançamentos!$A:$A,CD$19,Lançamentos!$C:$C,"Retirada de Sócios")</f>
        <v>0</v>
      </c>
      <c r="CE71" s="37">
        <f>SUMIFS(Lançamentos!$F:$F,Lançamentos!$A:$A,CE$19,Lançamentos!$C:$C,"Retirada de Sócios")</f>
        <v>0</v>
      </c>
      <c r="CF71" s="37">
        <f>SUMIFS(Lançamentos!$F:$F,Lançamentos!$A:$A,CF$19,Lançamentos!$C:$C,"Retirada de Sócios")</f>
        <v>0</v>
      </c>
      <c r="CG71" s="37">
        <f>SUMIFS(Lançamentos!$F:$F,Lançamentos!$A:$A,CG$19,Lançamentos!$C:$C,"Retirada de Sócios")</f>
        <v>0</v>
      </c>
      <c r="CH71" s="37">
        <f>SUMIFS(Lançamentos!$F:$F,Lançamentos!$A:$A,CH$19,Lançamentos!$C:$C,"Retirada de Sócios")</f>
        <v>0</v>
      </c>
      <c r="CI71" s="37">
        <f>SUMIFS(Lançamentos!$F:$F,Lançamentos!$A:$A,CI$19,Lançamentos!$C:$C,"Retirada de Sócios")</f>
        <v>0</v>
      </c>
      <c r="CJ71" s="37">
        <f>SUMIFS(Lançamentos!$F:$F,Lançamentos!$A:$A,CJ$19,Lançamentos!$C:$C,"Retirada de Sócios")</f>
        <v>0</v>
      </c>
      <c r="CK71" s="37">
        <f>SUMIFS(Lançamentos!$F:$F,Lançamentos!$A:$A,CK$19,Lançamentos!$C:$C,"Retirada de Sócios")</f>
        <v>0</v>
      </c>
      <c r="CL71" s="37">
        <f>SUMIFS(Lançamentos!$F:$F,Lançamentos!$A:$A,CL$19,Lançamentos!$C:$C,"Retirada de Sócios")</f>
        <v>0</v>
      </c>
      <c r="CM71" s="37">
        <f>SUMIFS(Lançamentos!$F:$F,Lançamentos!$A:$A,CM$19,Lançamentos!$C:$C,"Retirada de Sócios")</f>
        <v>0</v>
      </c>
      <c r="CN71" s="37">
        <f>SUMIFS(Lançamentos!$F:$F,Lançamentos!$A:$A,CN$19,Lançamentos!$C:$C,"Retirada de Sócios")</f>
        <v>0</v>
      </c>
      <c r="CO71" s="37">
        <f>SUMIFS(Lançamentos!$F:$F,Lançamentos!$A:$A,CO$19,Lançamentos!$C:$C,"Retirada de Sócios")</f>
        <v>0</v>
      </c>
      <c r="CP71" s="37">
        <f>SUMIFS(Lançamentos!$F:$F,Lançamentos!$A:$A,CP$19,Lançamentos!$C:$C,"Retirada de Sócios")</f>
        <v>0</v>
      </c>
      <c r="CQ71" s="37">
        <f>SUMIFS(Lançamentos!$F:$F,Lançamentos!$A:$A,CQ$19,Lançamentos!$C:$C,"Retirada de Sócios")</f>
        <v>0</v>
      </c>
      <c r="CR71" s="37">
        <f>SUMIFS(Lançamentos!$F:$F,Lançamentos!$A:$A,CR$19,Lançamentos!$C:$C,"Retirada de Sócios")</f>
        <v>0</v>
      </c>
      <c r="CS71" s="37">
        <f>SUMIFS(Lançamentos!$F:$F,Lançamentos!$A:$A,CS$19,Lançamentos!$C:$C,"Retirada de Sócios")</f>
        <v>0</v>
      </c>
      <c r="CT71" s="37">
        <f>SUMIFS(Lançamentos!$F:$F,Lançamentos!$A:$A,CT$19,Lançamentos!$C:$C,"Retirada de Sócios")</f>
        <v>0</v>
      </c>
      <c r="CU71" s="37">
        <f>SUMIFS(Lançamentos!$F:$F,Lançamentos!$A:$A,CU$19,Lançamentos!$C:$C,"Retirada de Sócios")</f>
        <v>0</v>
      </c>
      <c r="CV71" s="37">
        <f>SUMIFS(Lançamentos!$F:$F,Lançamentos!$A:$A,CV$19,Lançamentos!$C:$C,"Retirada de Sócios")</f>
        <v>0</v>
      </c>
      <c r="CW71" s="37">
        <f>SUMIFS(Lançamentos!$F:$F,Lançamentos!$A:$A,CW$19,Lançamentos!$C:$C,"Retirada de Sócios")</f>
        <v>0</v>
      </c>
      <c r="CX71" s="37">
        <f>SUMIFS(Lançamentos!$F:$F,Lançamentos!$A:$A,CX$19,Lançamentos!$C:$C,"Retirada de Sócios")</f>
        <v>0</v>
      </c>
      <c r="CY71" s="37">
        <f>SUMIFS(Lançamentos!$F:$F,Lançamentos!$A:$A,CY$19,Lançamentos!$C:$C,"Retirada de Sócios")</f>
        <v>0</v>
      </c>
      <c r="CZ71" s="37">
        <f>SUMIFS(Lançamentos!$F:$F,Lançamentos!$A:$A,CZ$19,Lançamentos!$C:$C,"Retirada de Sócios")</f>
        <v>0</v>
      </c>
      <c r="DA71" s="37">
        <f>SUMIFS(Lançamentos!$F:$F,Lançamentos!$A:$A,DA$19,Lançamentos!$C:$C,"Retirada de Sócios")</f>
        <v>0</v>
      </c>
      <c r="DB71" s="37">
        <f>SUMIFS(Lançamentos!$F:$F,Lançamentos!$A:$A,DB$19,Lançamentos!$C:$C,"Retirada de Sócios")</f>
        <v>0</v>
      </c>
      <c r="DC71" s="37">
        <f>SUMIFS(Lançamentos!$F:$F,Lançamentos!$A:$A,DC$19,Lançamentos!$C:$C,"Retirada de Sócios")</f>
        <v>0</v>
      </c>
      <c r="DD71" s="37">
        <f>SUMIFS(Lançamentos!$F:$F,Lançamentos!$A:$A,DD$19,Lançamentos!$C:$C,"Retirada de Sócios")</f>
        <v>0</v>
      </c>
      <c r="DE71" s="37">
        <f>SUMIFS(Lançamentos!$F:$F,Lançamentos!$A:$A,DE$19,Lançamentos!$C:$C,"Retirada de Sócios")</f>
        <v>0</v>
      </c>
      <c r="DF71" s="37">
        <f>SUMIFS(Lançamentos!$F:$F,Lançamentos!$A:$A,DF$19,Lançamentos!$C:$C,"Retirada de Sócios")</f>
        <v>0</v>
      </c>
      <c r="DG71" s="37">
        <f>SUMIFS(Lançamentos!$F:$F,Lançamentos!$A:$A,DG$19,Lançamentos!$C:$C,"Retirada de Sócios")</f>
        <v>0</v>
      </c>
      <c r="DH71" s="37">
        <f>SUMIFS(Lançamentos!$F:$F,Lançamentos!$A:$A,DH$19,Lançamentos!$C:$C,"Retirada de Sócios")</f>
        <v>0</v>
      </c>
      <c r="DI71" s="37">
        <f>SUMIFS(Lançamentos!$F:$F,Lançamentos!$A:$A,DI$19,Lançamentos!$C:$C,"Retirada de Sócios")</f>
        <v>0</v>
      </c>
      <c r="DJ71" s="37">
        <f>SUMIFS(Lançamentos!$F:$F,Lançamentos!$A:$A,DJ$19,Lançamentos!$C:$C,"Retirada de Sócios")</f>
        <v>0</v>
      </c>
      <c r="DK71" s="37">
        <f>SUMIFS(Lançamentos!$F:$F,Lançamentos!$A:$A,DK$19,Lançamentos!$C:$C,"Retirada de Sócios")</f>
        <v>0</v>
      </c>
      <c r="DL71" s="37">
        <f>SUMIFS(Lançamentos!$F:$F,Lançamentos!$A:$A,DL$19,Lançamentos!$C:$C,"Retirada de Sócios")</f>
        <v>0</v>
      </c>
      <c r="DM71" s="37">
        <f>SUMIFS(Lançamentos!$F:$F,Lançamentos!$A:$A,DM$19,Lançamentos!$C:$C,"Retirada de Sócios")</f>
        <v>0</v>
      </c>
      <c r="DN71" s="37">
        <f>SUMIFS(Lançamentos!$F:$F,Lançamentos!$A:$A,DN$19,Lançamentos!$C:$C,"Retirada de Sócios")</f>
        <v>0</v>
      </c>
      <c r="DO71" s="37">
        <f>SUMIFS(Lançamentos!$F:$F,Lançamentos!$A:$A,DO$19,Lançamentos!$C:$C,"Retirada de Sócios")</f>
        <v>0</v>
      </c>
      <c r="DP71" s="37">
        <f>SUMIFS(Lançamentos!$F:$F,Lançamentos!$A:$A,DP$19,Lançamentos!$C:$C,"Retirada de Sócios")</f>
        <v>0</v>
      </c>
      <c r="DQ71" s="37">
        <f>SUMIFS(Lançamentos!$F:$F,Lançamentos!$A:$A,DQ$19,Lançamentos!$C:$C,"Retirada de Sócios")</f>
        <v>0</v>
      </c>
      <c r="DR71" s="37">
        <f>SUMIFS(Lançamentos!$F:$F,Lançamentos!$A:$A,DR$19,Lançamentos!$C:$C,"Retirada de Sócios")</f>
        <v>0</v>
      </c>
      <c r="DS71" s="37">
        <f>SUMIFS(Lançamentos!$F:$F,Lançamentos!$A:$A,DS$19,Lançamentos!$C:$C,"Retirada de Sócios")</f>
        <v>0</v>
      </c>
      <c r="DT71" s="37">
        <f>SUMIFS(Lançamentos!$F:$F,Lançamentos!$A:$A,DT$19,Lançamentos!$C:$C,"Retirada de Sócios")</f>
        <v>0</v>
      </c>
      <c r="DU71" s="37">
        <f>SUMIFS(Lançamentos!$F:$F,Lançamentos!$A:$A,DU$19,Lançamentos!$C:$C,"Retirada de Sócios")</f>
        <v>0</v>
      </c>
      <c r="DV71" s="37">
        <f>SUMIFS(Lançamentos!$F:$F,Lançamentos!$A:$A,DV$19,Lançamentos!$C:$C,"Retirada de Sócios")</f>
        <v>0</v>
      </c>
      <c r="DW71" s="37">
        <f>SUMIFS(Lançamentos!$F:$F,Lançamentos!$A:$A,DW$19,Lançamentos!$C:$C,"Retirada de Sócios")</f>
        <v>0</v>
      </c>
      <c r="DX71" s="37">
        <f>SUMIFS(Lançamentos!$F:$F,Lançamentos!$A:$A,DX$19,Lançamentos!$C:$C,"Retirada de Sócios")</f>
        <v>0</v>
      </c>
      <c r="DY71" s="37">
        <f>SUMIFS(Lançamentos!$F:$F,Lançamentos!$A:$A,DY$19,Lançamentos!$C:$C,"Retirada de Sócios")</f>
        <v>0</v>
      </c>
      <c r="DZ71" s="37">
        <f>SUMIFS(Lançamentos!$F:$F,Lançamentos!$A:$A,DZ$19,Lançamentos!$C:$C,"Retirada de Sócios")</f>
        <v>0</v>
      </c>
      <c r="EA71" s="37">
        <f>SUMIFS(Lançamentos!$F:$F,Lançamentos!$A:$A,EA$19,Lançamentos!$C:$C,"Retirada de Sócios")</f>
        <v>0</v>
      </c>
      <c r="EB71" s="37">
        <f>SUMIFS(Lançamentos!$F:$F,Lançamentos!$A:$A,EB$19,Lançamentos!$C:$C,"Retirada de Sócios")</f>
        <v>0</v>
      </c>
      <c r="EC71" s="37">
        <f>SUMIFS(Lançamentos!$F:$F,Lançamentos!$A:$A,EC$19,Lançamentos!$C:$C,"Retirada de Sócios")</f>
        <v>0</v>
      </c>
      <c r="ED71" s="37">
        <f>SUMIFS(Lançamentos!$F:$F,Lançamentos!$A:$A,ED$19,Lançamentos!$C:$C,"Retirada de Sócios")</f>
        <v>0</v>
      </c>
      <c r="EE71" s="37">
        <f>SUMIFS(Lançamentos!$F:$F,Lançamentos!$A:$A,EE$19,Lançamentos!$C:$C,"Retirada de Sócios")</f>
        <v>0</v>
      </c>
      <c r="EF71" s="37">
        <f>SUMIFS(Lançamentos!$F:$F,Lançamentos!$A:$A,EF$19,Lançamentos!$C:$C,"Retirada de Sócios")</f>
        <v>0</v>
      </c>
      <c r="EG71" s="37">
        <f>SUMIFS(Lançamentos!$F:$F,Lançamentos!$A:$A,EG$19,Lançamentos!$C:$C,"Retirada de Sócios")</f>
        <v>0</v>
      </c>
      <c r="EH71" s="37">
        <f>SUMIFS(Lançamentos!$F:$F,Lançamentos!$A:$A,EH$19,Lançamentos!$C:$C,"Retirada de Sócios")</f>
        <v>0</v>
      </c>
      <c r="EI71" s="37">
        <f>SUMIFS(Lançamentos!$F:$F,Lançamentos!$A:$A,EI$19,Lançamentos!$C:$C,"Retirada de Sócios")</f>
        <v>0</v>
      </c>
      <c r="EJ71" s="37">
        <f>SUMIFS(Lançamentos!$F:$F,Lançamentos!$A:$A,EJ$19,Lançamentos!$C:$C,"Retirada de Sócios")</f>
        <v>0</v>
      </c>
      <c r="EK71" s="37">
        <f>SUMIFS(Lançamentos!$F:$F,Lançamentos!$A:$A,EK$19,Lançamentos!$C:$C,"Retirada de Sócios")</f>
        <v>0</v>
      </c>
      <c r="EL71" s="37">
        <f>SUMIFS(Lançamentos!$F:$F,Lançamentos!$A:$A,EL$19,Lançamentos!$C:$C,"Retirada de Sócios")</f>
        <v>0</v>
      </c>
      <c r="EM71" s="37">
        <f>SUMIFS(Lançamentos!$F:$F,Lançamentos!$A:$A,EM$19,Lançamentos!$C:$C,"Retirada de Sócios")</f>
        <v>0</v>
      </c>
      <c r="EN71" s="37">
        <f>SUMIFS(Lançamentos!$F:$F,Lançamentos!$A:$A,EN$19,Lançamentos!$C:$C,"Retirada de Sócios")</f>
        <v>0</v>
      </c>
      <c r="EO71" s="37">
        <f>SUMIFS(Lançamentos!$F:$F,Lançamentos!$A:$A,EO$19,Lançamentos!$C:$C,"Retirada de Sócios")</f>
        <v>0</v>
      </c>
      <c r="EP71" s="37">
        <f>SUMIFS(Lançamentos!$F:$F,Lançamentos!$A:$A,EP$19,Lançamentos!$C:$C,"Retirada de Sócios")</f>
        <v>0</v>
      </c>
      <c r="EQ71" s="37">
        <f>SUMIFS(Lançamentos!$F:$F,Lançamentos!$A:$A,EQ$19,Lançamentos!$C:$C,"Retirada de Sócios")</f>
        <v>0</v>
      </c>
      <c r="ER71" s="37">
        <f>SUMIFS(Lançamentos!$F:$F,Lançamentos!$A:$A,ER$19,Lançamentos!$C:$C,"Retirada de Sócios")</f>
        <v>0</v>
      </c>
      <c r="ES71" s="37">
        <f>SUMIFS(Lançamentos!$F:$F,Lançamentos!$A:$A,ES$19,Lançamentos!$C:$C,"Retirada de Sócios")</f>
        <v>0</v>
      </c>
      <c r="ET71" s="37">
        <f>SUMIFS(Lançamentos!$F:$F,Lançamentos!$A:$A,ET$19,Lançamentos!$C:$C,"Retirada de Sócios")</f>
        <v>0</v>
      </c>
      <c r="EU71" s="37">
        <f>SUMIFS(Lançamentos!$F:$F,Lançamentos!$A:$A,EU$19,Lançamentos!$C:$C,"Retirada de Sócios")</f>
        <v>0</v>
      </c>
      <c r="EV71" s="37">
        <f>SUMIFS(Lançamentos!$F:$F,Lançamentos!$A:$A,EV$19,Lançamentos!$C:$C,"Retirada de Sócios")</f>
        <v>0</v>
      </c>
      <c r="EW71" s="37">
        <f>SUMIFS(Lançamentos!$F:$F,Lançamentos!$A:$A,EW$19,Lançamentos!$C:$C,"Retirada de Sócios")</f>
        <v>0</v>
      </c>
      <c r="EX71" s="37">
        <f>SUMIFS(Lançamentos!$F:$F,Lançamentos!$A:$A,EX$19,Lançamentos!$C:$C,"Retirada de Sócios")</f>
        <v>0</v>
      </c>
      <c r="EY71" s="37">
        <f>SUMIFS(Lançamentos!$F:$F,Lançamentos!$A:$A,EY$19,Lançamentos!$C:$C,"Retirada de Sócios")</f>
        <v>0</v>
      </c>
      <c r="EZ71" s="37">
        <f>SUMIFS(Lançamentos!$F:$F,Lançamentos!$A:$A,EZ$19,Lançamentos!$C:$C,"Retirada de Sócios")</f>
        <v>0</v>
      </c>
      <c r="FA71" s="37">
        <f>SUMIFS(Lançamentos!$F:$F,Lançamentos!$A:$A,FA$19,Lançamentos!$C:$C,"Retirada de Sócios")</f>
        <v>0</v>
      </c>
      <c r="FB71" s="37">
        <f>SUMIFS(Lançamentos!$F:$F,Lançamentos!$A:$A,FB$19,Lançamentos!$C:$C,"Retirada de Sócios")</f>
        <v>0</v>
      </c>
      <c r="FC71" s="37">
        <f>SUMIFS(Lançamentos!$F:$F,Lançamentos!$A:$A,FC$19,Lançamentos!$C:$C,"Retirada de Sócios")</f>
        <v>0</v>
      </c>
      <c r="FD71" s="37">
        <f>SUMIFS(Lançamentos!$F:$F,Lançamentos!$A:$A,FD$19,Lançamentos!$C:$C,"Retirada de Sócios")</f>
        <v>0</v>
      </c>
      <c r="FE71" s="37">
        <f>SUMIFS(Lançamentos!$F:$F,Lançamentos!$A:$A,FE$19,Lançamentos!$C:$C,"Retirada de Sócios")</f>
        <v>0</v>
      </c>
      <c r="FF71" s="37">
        <f>SUMIFS(Lançamentos!$F:$F,Lançamentos!$A:$A,FF$19,Lançamentos!$C:$C,"Retirada de Sócios")</f>
        <v>0</v>
      </c>
      <c r="FG71" s="37">
        <f>SUMIFS(Lançamentos!$F:$F,Lançamentos!$A:$A,FG$19,Lançamentos!$C:$C,"Retirada de Sócios")</f>
        <v>0</v>
      </c>
      <c r="FH71" s="37">
        <f>SUMIFS(Lançamentos!$F:$F,Lançamentos!$A:$A,FH$19,Lançamentos!$C:$C,"Retirada de Sócios")</f>
        <v>0</v>
      </c>
      <c r="FI71" s="37">
        <f>SUMIFS(Lançamentos!$F:$F,Lançamentos!$A:$A,FI$19,Lançamentos!$C:$C,"Retirada de Sócios")</f>
        <v>0</v>
      </c>
      <c r="FJ71" s="37">
        <f>SUMIFS(Lançamentos!$F:$F,Lançamentos!$A:$A,FJ$19,Lançamentos!$C:$C,"Retirada de Sócios")</f>
        <v>0</v>
      </c>
      <c r="FK71" s="37">
        <f>SUMIFS(Lançamentos!$F:$F,Lançamentos!$A:$A,FK$19,Lançamentos!$C:$C,"Retirada de Sócios")</f>
        <v>0</v>
      </c>
      <c r="FL71" s="37">
        <f>SUMIFS(Lançamentos!$F:$F,Lançamentos!$A:$A,FL$19,Lançamentos!$C:$C,"Retirada de Sócios")</f>
        <v>0</v>
      </c>
      <c r="FM71" s="37">
        <f>SUMIFS(Lançamentos!$F:$F,Lançamentos!$A:$A,FM$19,Lançamentos!$C:$C,"Retirada de Sócios")</f>
        <v>0</v>
      </c>
      <c r="FN71" s="37">
        <f>SUMIFS(Lançamentos!$F:$F,Lançamentos!$A:$A,FN$19,Lançamentos!$C:$C,"Retirada de Sócios")</f>
        <v>0</v>
      </c>
      <c r="FO71" s="37">
        <f>SUMIFS(Lançamentos!$F:$F,Lançamentos!$A:$A,FO$19,Lançamentos!$C:$C,"Retirada de Sócios")</f>
        <v>0</v>
      </c>
      <c r="FP71" s="37">
        <f>SUMIFS(Lançamentos!$F:$F,Lançamentos!$A:$A,FP$19,Lançamentos!$C:$C,"Retirada de Sócios")</f>
        <v>0</v>
      </c>
      <c r="FQ71" s="37">
        <f>SUMIFS(Lançamentos!$F:$F,Lançamentos!$A:$A,FQ$19,Lançamentos!$C:$C,"Retirada de Sócios")</f>
        <v>0</v>
      </c>
      <c r="FR71" s="37">
        <f>SUMIFS(Lançamentos!$F:$F,Lançamentos!$A:$A,FR$19,Lançamentos!$C:$C,"Retirada de Sócios")</f>
        <v>0</v>
      </c>
      <c r="FS71" s="37">
        <f>SUMIFS(Lançamentos!$F:$F,Lançamentos!$A:$A,FS$19,Lançamentos!$C:$C,"Retirada de Sócios")</f>
        <v>0</v>
      </c>
      <c r="FT71" s="37">
        <f>SUMIFS(Lançamentos!$F:$F,Lançamentos!$A:$A,FT$19,Lançamentos!$C:$C,"Retirada de Sócios")</f>
        <v>0</v>
      </c>
      <c r="FU71" s="37">
        <f>SUMIFS(Lançamentos!$F:$F,Lançamentos!$A:$A,FU$19,Lançamentos!$C:$C,"Retirada de Sócios")</f>
        <v>0</v>
      </c>
      <c r="FV71" s="37">
        <f>SUMIFS(Lançamentos!$F:$F,Lançamentos!$A:$A,FV$19,Lançamentos!$C:$C,"Retirada de Sócios")</f>
        <v>0</v>
      </c>
      <c r="FW71" s="37">
        <f>SUMIFS(Lançamentos!$F:$F,Lançamentos!$A:$A,FW$19,Lançamentos!$C:$C,"Retirada de Sócios")</f>
        <v>0</v>
      </c>
      <c r="FX71" s="37">
        <f>SUMIFS(Lançamentos!$F:$F,Lançamentos!$A:$A,FX$19,Lançamentos!$C:$C,"Retirada de Sócios")</f>
        <v>0</v>
      </c>
      <c r="FY71" s="37">
        <f>SUMIFS(Lançamentos!$F:$F,Lançamentos!$A:$A,FY$19,Lançamentos!$C:$C,"Retirada de Sócios")</f>
        <v>0</v>
      </c>
      <c r="FZ71" s="37">
        <f>SUMIFS(Lançamentos!$F:$F,Lançamentos!$A:$A,FZ$19,Lançamentos!$C:$C,"Retirada de Sócios")</f>
        <v>0</v>
      </c>
      <c r="GA71" s="37">
        <f>SUMIFS(Lançamentos!$F:$F,Lançamentos!$A:$A,GA$19,Lançamentos!$C:$C,"Retirada de Sócios")</f>
        <v>0</v>
      </c>
      <c r="GB71" s="37">
        <f>SUMIFS(Lançamentos!$F:$F,Lançamentos!$A:$A,GB$19,Lançamentos!$C:$C,"Retirada de Sócios")</f>
        <v>0</v>
      </c>
      <c r="GC71" s="37">
        <f>SUMIFS(Lançamentos!$F:$F,Lançamentos!$A:$A,GC$19,Lançamentos!$C:$C,"Retirada de Sócios")</f>
        <v>0</v>
      </c>
      <c r="GD71" s="37">
        <f>SUMIFS(Lançamentos!$F:$F,Lançamentos!$A:$A,GD$19,Lançamentos!$C:$C,"Retirada de Sócios")</f>
        <v>0</v>
      </c>
      <c r="GE71" s="37">
        <f>SUMIFS(Lançamentos!$F:$F,Lançamentos!$A:$A,GE$19,Lançamentos!$C:$C,"Retirada de Sócios")</f>
        <v>0</v>
      </c>
      <c r="GF71" s="37">
        <f>SUMIFS(Lançamentos!$F:$F,Lançamentos!$A:$A,GF$19,Lançamentos!$C:$C,"Retirada de Sócios")</f>
        <v>0</v>
      </c>
      <c r="GG71" s="37">
        <f>SUMIFS(Lançamentos!$F:$F,Lançamentos!$A:$A,GG$19,Lançamentos!$C:$C,"Retirada de Sócios")</f>
        <v>0</v>
      </c>
      <c r="GH71" s="37">
        <f>SUMIFS(Lançamentos!$F:$F,Lançamentos!$A:$A,GH$19,Lançamentos!$C:$C,"Retirada de Sócios")</f>
        <v>0</v>
      </c>
      <c r="GI71" s="37">
        <f>SUMIFS(Lançamentos!$F:$F,Lançamentos!$A:$A,GI$19,Lançamentos!$C:$C,"Retirada de Sócios")</f>
        <v>0</v>
      </c>
      <c r="GJ71" s="37">
        <f>SUMIFS(Lançamentos!$F:$F,Lançamentos!$A:$A,GJ$19,Lançamentos!$C:$C,"Retirada de Sócios")</f>
        <v>0</v>
      </c>
      <c r="GK71" s="37">
        <f>SUMIFS(Lançamentos!$F:$F,Lançamentos!$A:$A,GK$19,Lançamentos!$C:$C,"Retirada de Sócios")</f>
        <v>0</v>
      </c>
      <c r="GL71" s="37">
        <f>SUMIFS(Lançamentos!$F:$F,Lançamentos!$A:$A,GL$19,Lançamentos!$C:$C,"Retirada de Sócios")</f>
        <v>0</v>
      </c>
      <c r="GM71" s="37">
        <f>SUMIFS(Lançamentos!$F:$F,Lançamentos!$A:$A,GM$19,Lançamentos!$C:$C,"Retirada de Sócios")</f>
        <v>0</v>
      </c>
      <c r="GN71" s="37">
        <f>SUMIFS(Lançamentos!$F:$F,Lançamentos!$A:$A,GN$19,Lançamentos!$C:$C,"Retirada de Sócios")</f>
        <v>0</v>
      </c>
      <c r="GO71" s="37">
        <f>SUMIFS(Lançamentos!$F:$F,Lançamentos!$A:$A,GO$19,Lançamentos!$C:$C,"Retirada de Sócios")</f>
        <v>0</v>
      </c>
      <c r="GP71" s="37">
        <f>SUMIFS(Lançamentos!$F:$F,Lançamentos!$A:$A,GP$19,Lançamentos!$C:$C,"Retirada de Sócios")</f>
        <v>0</v>
      </c>
      <c r="GQ71" s="37">
        <f>SUMIFS(Lançamentos!$F:$F,Lançamentos!$A:$A,GQ$19,Lançamentos!$C:$C,"Retirada de Sócios")</f>
        <v>0</v>
      </c>
      <c r="GR71" s="37">
        <f>SUMIFS(Lançamentos!$F:$F,Lançamentos!$A:$A,GR$19,Lançamentos!$C:$C,"Retirada de Sócios")</f>
        <v>0</v>
      </c>
      <c r="GS71" s="37">
        <f>SUMIFS(Lançamentos!$F:$F,Lançamentos!$A:$A,GS$19,Lançamentos!$C:$C,"Retirada de Sócios")</f>
        <v>0</v>
      </c>
      <c r="GT71" s="37">
        <f>SUMIFS(Lançamentos!$F:$F,Lançamentos!$A:$A,GT$19,Lançamentos!$C:$C,"Retirada de Sócios")</f>
        <v>0</v>
      </c>
      <c r="GU71" s="37">
        <f>SUMIFS(Lançamentos!$F:$F,Lançamentos!$A:$A,GU$19,Lançamentos!$C:$C,"Retirada de Sócios")</f>
        <v>0</v>
      </c>
      <c r="GV71" s="37">
        <f>SUMIFS(Lançamentos!$F:$F,Lançamentos!$A:$A,GV$19,Lançamentos!$C:$C,"Retirada de Sócios")</f>
        <v>0</v>
      </c>
      <c r="GW71" s="37">
        <f>SUMIFS(Lançamentos!$F:$F,Lançamentos!$A:$A,GW$19,Lançamentos!$C:$C,"Retirada de Sócios")</f>
        <v>0</v>
      </c>
      <c r="GX71" s="37">
        <f>SUMIFS(Lançamentos!$F:$F,Lançamentos!$A:$A,GX$19,Lançamentos!$C:$C,"Retirada de Sócios")</f>
        <v>0</v>
      </c>
      <c r="GY71" s="37">
        <f>SUMIFS(Lançamentos!$F:$F,Lançamentos!$A:$A,GY$19,Lançamentos!$C:$C,"Retirada de Sócios")</f>
        <v>0</v>
      </c>
      <c r="GZ71" s="37">
        <f>SUMIFS(Lançamentos!$F:$F,Lançamentos!$A:$A,GZ$19,Lançamentos!$C:$C,"Retirada de Sócios")</f>
        <v>0</v>
      </c>
      <c r="HA71" s="37">
        <f>SUMIFS(Lançamentos!$F:$F,Lançamentos!$A:$A,HA$19,Lançamentos!$C:$C,"Retirada de Sócios")</f>
        <v>0</v>
      </c>
      <c r="HB71" s="37">
        <f>SUMIFS(Lançamentos!$F:$F,Lançamentos!$A:$A,HB$19,Lançamentos!$C:$C,"Retirada de Sócios")</f>
        <v>0</v>
      </c>
      <c r="HC71" s="37">
        <f>SUMIFS(Lançamentos!$F:$F,Lançamentos!$A:$A,HC$19,Lançamentos!$C:$C,"Retirada de Sócios")</f>
        <v>0</v>
      </c>
      <c r="HD71" s="37">
        <f>SUMIFS(Lançamentos!$F:$F,Lançamentos!$A:$A,HD$19,Lançamentos!$C:$C,"Retirada de Sócios")</f>
        <v>0</v>
      </c>
      <c r="HE71" s="37">
        <f>SUMIFS(Lançamentos!$F:$F,Lançamentos!$A:$A,HE$19,Lançamentos!$C:$C,"Retirada de Sócios")</f>
        <v>0</v>
      </c>
      <c r="HF71" s="37">
        <f>SUMIFS(Lançamentos!$F:$F,Lançamentos!$A:$A,HF$19,Lançamentos!$C:$C,"Retirada de Sócios")</f>
        <v>0</v>
      </c>
      <c r="HG71" s="37">
        <f>SUMIFS(Lançamentos!$F:$F,Lançamentos!$A:$A,HG$19,Lançamentos!$C:$C,"Retirada de Sócios")</f>
        <v>0</v>
      </c>
      <c r="HH71" s="37">
        <f>SUMIFS(Lançamentos!$F:$F,Lançamentos!$A:$A,HH$19,Lançamentos!$C:$C,"Retirada de Sócios")</f>
        <v>0</v>
      </c>
      <c r="HI71" s="37">
        <f>SUMIFS(Lançamentos!$F:$F,Lançamentos!$A:$A,HI$19,Lançamentos!$C:$C,"Retirada de Sócios")</f>
        <v>0</v>
      </c>
      <c r="HJ71" s="37">
        <f>SUMIFS(Lançamentos!$F:$F,Lançamentos!$A:$A,HJ$19,Lançamentos!$C:$C,"Retirada de Sócios")</f>
        <v>0</v>
      </c>
      <c r="HK71" s="37">
        <f>SUMIFS(Lançamentos!$F:$F,Lançamentos!$A:$A,HK$19,Lançamentos!$C:$C,"Retirada de Sócios")</f>
        <v>0</v>
      </c>
      <c r="HL71" s="37">
        <f>SUMIFS(Lançamentos!$F:$F,Lançamentos!$A:$A,HL$19,Lançamentos!$C:$C,"Retirada de Sócios")</f>
        <v>0</v>
      </c>
      <c r="HM71" s="37">
        <f>SUMIFS(Lançamentos!$F:$F,Lançamentos!$A:$A,HM$19,Lançamentos!$C:$C,"Retirada de Sócios")</f>
        <v>0</v>
      </c>
      <c r="HN71" s="37">
        <f>SUMIFS(Lançamentos!$F:$F,Lançamentos!$A:$A,HN$19,Lançamentos!$C:$C,"Retirada de Sócios")</f>
        <v>0</v>
      </c>
      <c r="HO71" s="37">
        <f>SUMIFS(Lançamentos!$F:$F,Lançamentos!$A:$A,HO$19,Lançamentos!$C:$C,"Retirada de Sócios")</f>
        <v>0</v>
      </c>
      <c r="HP71" s="37">
        <f>SUMIFS(Lançamentos!$F:$F,Lançamentos!$A:$A,HP$19,Lançamentos!$C:$C,"Retirada de Sócios")</f>
        <v>0</v>
      </c>
      <c r="HQ71" s="37">
        <f>SUMIFS(Lançamentos!$F:$F,Lançamentos!$A:$A,HQ$19,Lançamentos!$C:$C,"Retirada de Sócios")</f>
        <v>0</v>
      </c>
      <c r="HR71" s="37">
        <f>SUMIFS(Lançamentos!$F:$F,Lançamentos!$A:$A,HR$19,Lançamentos!$C:$C,"Retirada de Sócios")</f>
        <v>0</v>
      </c>
      <c r="HS71" s="37">
        <f>SUMIFS(Lançamentos!$F:$F,Lançamentos!$A:$A,HS$19,Lançamentos!$C:$C,"Retirada de Sócios")</f>
        <v>0</v>
      </c>
      <c r="HT71" s="37">
        <f>SUMIFS(Lançamentos!$F:$F,Lançamentos!$A:$A,HT$19,Lançamentos!$C:$C,"Retirada de Sócios")</f>
        <v>0</v>
      </c>
      <c r="HU71" s="37">
        <f>SUMIFS(Lançamentos!$F:$F,Lançamentos!$A:$A,HU$19,Lançamentos!$C:$C,"Retirada de Sócios")</f>
        <v>0</v>
      </c>
      <c r="HV71" s="37">
        <f>SUMIFS(Lançamentos!$F:$F,Lançamentos!$A:$A,HV$19,Lançamentos!$C:$C,"Retirada de Sócios")</f>
        <v>0</v>
      </c>
      <c r="HW71" s="37">
        <f>SUMIFS(Lançamentos!$F:$F,Lançamentos!$A:$A,HW$19,Lançamentos!$C:$C,"Retirada de Sócios")</f>
        <v>0</v>
      </c>
      <c r="HX71" s="37">
        <f>SUMIFS(Lançamentos!$F:$F,Lançamentos!$A:$A,HX$19,Lançamentos!$C:$C,"Retirada de Sócios")</f>
        <v>0</v>
      </c>
      <c r="HY71" s="37">
        <f>SUMIFS(Lançamentos!$F:$F,Lançamentos!$A:$A,HY$19,Lançamentos!$C:$C,"Retirada de Sócios")</f>
        <v>0</v>
      </c>
      <c r="HZ71" s="37">
        <f>SUMIFS(Lançamentos!$F:$F,Lançamentos!$A:$A,HZ$19,Lançamentos!$C:$C,"Retirada de Sócios")</f>
        <v>0</v>
      </c>
      <c r="IA71" s="37">
        <f>SUMIFS(Lançamentos!$F:$F,Lançamentos!$A:$A,IA$19,Lançamentos!$C:$C,"Retirada de Sócios")</f>
        <v>0</v>
      </c>
      <c r="IB71" s="37">
        <f>SUMIFS(Lançamentos!$F:$F,Lançamentos!$A:$A,IB$19,Lançamentos!$C:$C,"Retirada de Sócios")</f>
        <v>0</v>
      </c>
      <c r="IC71" s="37">
        <f>SUMIFS(Lançamentos!$F:$F,Lançamentos!$A:$A,IC$19,Lançamentos!$C:$C,"Retirada de Sócios")</f>
        <v>0</v>
      </c>
      <c r="ID71" s="37">
        <f>SUMIFS(Lançamentos!$F:$F,Lançamentos!$A:$A,ID$19,Lançamentos!$C:$C,"Retirada de Sócios")</f>
        <v>0</v>
      </c>
      <c r="IE71" s="37">
        <f>SUMIFS(Lançamentos!$F:$F,Lançamentos!$A:$A,IE$19,Lançamentos!$C:$C,"Retirada de Sócios")</f>
        <v>0</v>
      </c>
      <c r="IF71" s="37">
        <f>SUMIFS(Lançamentos!$F:$F,Lançamentos!$A:$A,IF$19,Lançamentos!$C:$C,"Retirada de Sócios")</f>
        <v>0</v>
      </c>
      <c r="IG71" s="37">
        <f>SUMIFS(Lançamentos!$F:$F,Lançamentos!$A:$A,IG$19,Lançamentos!$C:$C,"Retirada de Sócios")</f>
        <v>0</v>
      </c>
      <c r="IH71" s="37">
        <f>SUMIFS(Lançamentos!$F:$F,Lançamentos!$A:$A,IH$19,Lançamentos!$C:$C,"Retirada de Sócios")</f>
        <v>0</v>
      </c>
      <c r="II71" s="37">
        <f>SUMIFS(Lançamentos!$F:$F,Lançamentos!$A:$A,II$19,Lançamentos!$C:$C,"Retirada de Sócios")</f>
        <v>0</v>
      </c>
      <c r="IJ71" s="37">
        <f>SUMIFS(Lançamentos!$F:$F,Lançamentos!$A:$A,IJ$19,Lançamentos!$C:$C,"Retirada de Sócios")</f>
        <v>0</v>
      </c>
      <c r="IK71" s="37">
        <f>SUMIFS(Lançamentos!$F:$F,Lançamentos!$A:$A,IK$19,Lançamentos!$C:$C,"Retirada de Sócios")</f>
        <v>0</v>
      </c>
      <c r="IL71" s="37">
        <f>SUMIFS(Lançamentos!$F:$F,Lançamentos!$A:$A,IL$19,Lançamentos!$C:$C,"Retirada de Sócios")</f>
        <v>0</v>
      </c>
    </row>
    <row r="72" spans="1:246" x14ac:dyDescent="0.3">
      <c r="A72" t="s">
        <v>110</v>
      </c>
      <c r="B72" s="37">
        <f>SUMIFS(Lançamentos!$F:$F,Lançamentos!$A:$A,B$19,Lançamentos!$C:$C,"INSS / FGTS")</f>
        <v>0</v>
      </c>
      <c r="C72" s="37">
        <f>SUMIFS(Lançamentos!$F:$F,Lançamentos!$A:$A,C$19,Lançamentos!$C:$C,"INSS / FGTS")</f>
        <v>0</v>
      </c>
      <c r="D72" s="37">
        <f>SUMIFS(Lançamentos!$F:$F,Lançamentos!$A:$A,D$19,Lançamentos!$C:$C,"INSS / FGTS")</f>
        <v>0</v>
      </c>
      <c r="E72" s="37">
        <f>SUMIFS(Lançamentos!$F:$F,Lançamentos!$A:$A,E$19,Lançamentos!$C:$C,"INSS / FGTS")</f>
        <v>0</v>
      </c>
      <c r="F72" s="37">
        <f>SUMIFS(Lançamentos!$F:$F,Lançamentos!$A:$A,F$19,Lançamentos!$C:$C,"INSS / FGTS")</f>
        <v>0</v>
      </c>
      <c r="G72" s="37">
        <f>SUMIFS(Lançamentos!$F:$F,Lançamentos!$A:$A,G$19,Lançamentos!$C:$C,"INSS / FGTS")</f>
        <v>0</v>
      </c>
      <c r="H72" s="37">
        <f>SUMIFS(Lançamentos!$F:$F,Lançamentos!$A:$A,H$19,Lançamentos!$C:$C,"INSS / FGTS")</f>
        <v>0</v>
      </c>
      <c r="I72" s="37">
        <f>SUMIFS(Lançamentos!$F:$F,Lançamentos!$A:$A,I$19,Lançamentos!$C:$C,"INSS / FGTS")</f>
        <v>0</v>
      </c>
      <c r="J72" s="37">
        <f>SUMIFS(Lançamentos!$F:$F,Lançamentos!$A:$A,J$19,Lançamentos!$C:$C,"INSS / FGTS")</f>
        <v>0</v>
      </c>
      <c r="K72" s="37">
        <f>SUMIFS(Lançamentos!$F:$F,Lançamentos!$A:$A,K$19,Lançamentos!$C:$C,"INSS / FGTS")</f>
        <v>0</v>
      </c>
      <c r="L72" s="37">
        <f>SUMIFS(Lançamentos!$F:$F,Lançamentos!$A:$A,L$19,Lançamentos!$C:$C,"INSS / FGTS")</f>
        <v>0</v>
      </c>
      <c r="M72" s="37">
        <f>SUMIFS(Lançamentos!$F:$F,Lançamentos!$A:$A,M$19,Lançamentos!$C:$C,"INSS / FGTS")</f>
        <v>0</v>
      </c>
      <c r="N72" s="37">
        <f>SUMIFS(Lançamentos!$F:$F,Lançamentos!$A:$A,N$19,Lançamentos!$C:$C,"INSS / FGTS")</f>
        <v>0</v>
      </c>
      <c r="O72" s="37">
        <f>SUMIFS(Lançamentos!$F:$F,Lançamentos!$A:$A,O$19,Lançamentos!$C:$C,"INSS / FGTS")</f>
        <v>0</v>
      </c>
      <c r="P72" s="37">
        <f>SUMIFS(Lançamentos!$F:$F,Lançamentos!$A:$A,P$19,Lançamentos!$C:$C,"INSS / FGTS")</f>
        <v>0</v>
      </c>
      <c r="Q72" s="37">
        <f>SUMIFS(Lançamentos!$F:$F,Lançamentos!$A:$A,Q$19,Lançamentos!$C:$C,"INSS / FGTS")</f>
        <v>0</v>
      </c>
      <c r="R72" s="37">
        <f>SUMIFS(Lançamentos!$F:$F,Lançamentos!$A:$A,R$19,Lançamentos!$C:$C,"INSS / FGTS")</f>
        <v>0</v>
      </c>
      <c r="S72" s="37">
        <f>SUMIFS(Lançamentos!$F:$F,Lançamentos!$A:$A,S$19,Lançamentos!$C:$C,"INSS / FGTS")</f>
        <v>0</v>
      </c>
      <c r="T72" s="37">
        <f>SUMIFS(Lançamentos!$F:$F,Lançamentos!$A:$A,T$19,Lançamentos!$C:$C,"INSS / FGTS")</f>
        <v>0</v>
      </c>
      <c r="U72" s="37">
        <f>SUMIFS(Lançamentos!$F:$F,Lançamentos!$A:$A,U$19,Lançamentos!$C:$C,"INSS / FGTS")</f>
        <v>0</v>
      </c>
      <c r="V72" s="37">
        <f>SUMIFS(Lançamentos!$F:$F,Lançamentos!$A:$A,V$19,Lançamentos!$C:$C,"INSS / FGTS")</f>
        <v>0</v>
      </c>
      <c r="W72" s="37">
        <f>SUMIFS(Lançamentos!$F:$F,Lançamentos!$A:$A,W$19,Lançamentos!$C:$C,"INSS / FGTS")</f>
        <v>0</v>
      </c>
      <c r="X72" s="37">
        <f>SUMIFS(Lançamentos!$F:$F,Lançamentos!$A:$A,X$19,Lançamentos!$C:$C,"INSS / FGTS")</f>
        <v>0</v>
      </c>
      <c r="Y72" s="37">
        <f>SUMIFS(Lançamentos!$F:$F,Lançamentos!$A:$A,Y$19,Lançamentos!$C:$C,"INSS / FGTS")</f>
        <v>0</v>
      </c>
      <c r="Z72" s="37">
        <f>SUMIFS(Lançamentos!$F:$F,Lançamentos!$A:$A,Z$19,Lançamentos!$C:$C,"INSS / FGTS")</f>
        <v>0</v>
      </c>
      <c r="AA72" s="37">
        <f>SUMIFS(Lançamentos!$F:$F,Lançamentos!$A:$A,AA$19,Lançamentos!$C:$C,"INSS / FGTS")</f>
        <v>0</v>
      </c>
      <c r="AB72" s="37">
        <f>SUMIFS(Lançamentos!$F:$F,Lançamentos!$A:$A,AB$19,Lançamentos!$C:$C,"INSS / FGTS")</f>
        <v>0</v>
      </c>
      <c r="AC72" s="37">
        <f>SUMIFS(Lançamentos!$F:$F,Lançamentos!$A:$A,AC$19,Lançamentos!$C:$C,"INSS / FGTS")</f>
        <v>0</v>
      </c>
      <c r="AD72" s="37">
        <f>SUMIFS(Lançamentos!$F:$F,Lançamentos!$A:$A,AD$19,Lançamentos!$C:$C,"INSS / FGTS")</f>
        <v>0</v>
      </c>
      <c r="AE72" s="37">
        <f>SUMIFS(Lançamentos!$F:$F,Lançamentos!$A:$A,AE$19,Lançamentos!$C:$C,"INSS / FGTS")</f>
        <v>0</v>
      </c>
      <c r="AF72" s="37">
        <f>SUMIFS(Lançamentos!$F:$F,Lançamentos!$A:$A,AF$19,Lançamentos!$C:$C,"INSS / FGTS")</f>
        <v>0</v>
      </c>
      <c r="AG72" s="37">
        <f>SUMIFS(Lançamentos!$F:$F,Lançamentos!$A:$A,AG$19,Lançamentos!$C:$C,"INSS / FGTS")</f>
        <v>0</v>
      </c>
      <c r="AH72" s="37">
        <f>SUMIFS(Lançamentos!$F:$F,Lançamentos!$A:$A,AH$19,Lançamentos!$C:$C,"INSS / FGTS")</f>
        <v>0</v>
      </c>
      <c r="AI72" s="37">
        <f>SUMIFS(Lançamentos!$F:$F,Lançamentos!$A:$A,AI$19,Lançamentos!$C:$C,"INSS / FGTS")</f>
        <v>0</v>
      </c>
      <c r="AJ72" s="37">
        <f>SUMIFS(Lançamentos!$F:$F,Lançamentos!$A:$A,AJ$19,Lançamentos!$C:$C,"INSS / FGTS")</f>
        <v>0</v>
      </c>
      <c r="AK72" s="37">
        <f>SUMIFS(Lançamentos!$F:$F,Lançamentos!$A:$A,AK$19,Lançamentos!$C:$C,"INSS / FGTS")</f>
        <v>0</v>
      </c>
      <c r="AL72" s="37">
        <f>SUMIFS(Lançamentos!$F:$F,Lançamentos!$A:$A,AL$19,Lançamentos!$C:$C,"INSS / FGTS")</f>
        <v>0</v>
      </c>
      <c r="AM72" s="37">
        <f>SUMIFS(Lançamentos!$F:$F,Lançamentos!$A:$A,AM$19,Lançamentos!$C:$C,"INSS / FGTS")</f>
        <v>0</v>
      </c>
      <c r="AN72" s="37">
        <f>SUMIFS(Lançamentos!$F:$F,Lançamentos!$A:$A,AN$19,Lançamentos!$C:$C,"INSS / FGTS")</f>
        <v>0</v>
      </c>
      <c r="AO72" s="37">
        <f>SUMIFS(Lançamentos!$F:$F,Lançamentos!$A:$A,AO$19,Lançamentos!$C:$C,"INSS / FGTS")</f>
        <v>0</v>
      </c>
      <c r="AP72" s="37">
        <f>SUMIFS(Lançamentos!$F:$F,Lançamentos!$A:$A,AP$19,Lançamentos!$C:$C,"INSS / FGTS")</f>
        <v>0</v>
      </c>
      <c r="AQ72" s="37">
        <f>SUMIFS(Lançamentos!$F:$F,Lançamentos!$A:$A,AQ$19,Lançamentos!$C:$C,"INSS / FGTS")</f>
        <v>0</v>
      </c>
      <c r="AR72" s="37">
        <f>SUMIFS(Lançamentos!$F:$F,Lançamentos!$A:$A,AR$19,Lançamentos!$C:$C,"INSS / FGTS")</f>
        <v>0</v>
      </c>
      <c r="AS72" s="37">
        <f>SUMIFS(Lançamentos!$F:$F,Lançamentos!$A:$A,AS$19,Lançamentos!$C:$C,"INSS / FGTS")</f>
        <v>0</v>
      </c>
      <c r="AT72" s="37">
        <f>SUMIFS(Lançamentos!$F:$F,Lançamentos!$A:$A,AT$19,Lançamentos!$C:$C,"INSS / FGTS")</f>
        <v>0</v>
      </c>
      <c r="AU72" s="37">
        <f>SUMIFS(Lançamentos!$F:$F,Lançamentos!$A:$A,AU$19,Lançamentos!$C:$C,"INSS / FGTS")</f>
        <v>0</v>
      </c>
      <c r="AV72" s="37">
        <f>SUMIFS(Lançamentos!$F:$F,Lançamentos!$A:$A,AV$19,Lançamentos!$C:$C,"INSS / FGTS")</f>
        <v>0</v>
      </c>
      <c r="AW72" s="37">
        <f>SUMIFS(Lançamentos!$F:$F,Lançamentos!$A:$A,AW$19,Lançamentos!$C:$C,"INSS / FGTS")</f>
        <v>0</v>
      </c>
      <c r="AX72" s="37">
        <f>SUMIFS(Lançamentos!$F:$F,Lançamentos!$A:$A,AX$19,Lançamentos!$C:$C,"INSS / FGTS")</f>
        <v>0</v>
      </c>
      <c r="AY72" s="37">
        <f>SUMIFS(Lançamentos!$F:$F,Lançamentos!$A:$A,AY$19,Lançamentos!$C:$C,"INSS / FGTS")</f>
        <v>0</v>
      </c>
      <c r="AZ72" s="37">
        <f>SUMIFS(Lançamentos!$F:$F,Lançamentos!$A:$A,AZ$19,Lançamentos!$C:$C,"INSS / FGTS")</f>
        <v>0</v>
      </c>
      <c r="BA72" s="37">
        <f>SUMIFS(Lançamentos!$F:$F,Lançamentos!$A:$A,BA$19,Lançamentos!$C:$C,"INSS / FGTS")</f>
        <v>0</v>
      </c>
      <c r="BB72" s="37">
        <f>SUMIFS(Lançamentos!$F:$F,Lançamentos!$A:$A,BB$19,Lançamentos!$C:$C,"INSS / FGTS")</f>
        <v>0</v>
      </c>
      <c r="BC72" s="37">
        <f>SUMIFS(Lançamentos!$F:$F,Lançamentos!$A:$A,BC$19,Lançamentos!$C:$C,"INSS / FGTS")</f>
        <v>0</v>
      </c>
      <c r="BD72" s="37">
        <f>SUMIFS(Lançamentos!$F:$F,Lançamentos!$A:$A,BD$19,Lançamentos!$C:$C,"INSS / FGTS")</f>
        <v>0</v>
      </c>
      <c r="BE72" s="37">
        <f>SUMIFS(Lançamentos!$F:$F,Lançamentos!$A:$A,BE$19,Lançamentos!$C:$C,"INSS / FGTS")</f>
        <v>0</v>
      </c>
      <c r="BF72" s="37">
        <f>SUMIFS(Lançamentos!$F:$F,Lançamentos!$A:$A,BF$19,Lançamentos!$C:$C,"INSS / FGTS")</f>
        <v>0</v>
      </c>
      <c r="BG72" s="37">
        <f>SUMIFS(Lançamentos!$F:$F,Lançamentos!$A:$A,BG$19,Lançamentos!$C:$C,"INSS / FGTS")</f>
        <v>0</v>
      </c>
      <c r="BH72" s="37">
        <f>SUMIFS(Lançamentos!$F:$F,Lançamentos!$A:$A,BH$19,Lançamentos!$C:$C,"INSS / FGTS")</f>
        <v>0</v>
      </c>
      <c r="BI72" s="37">
        <f>SUMIFS(Lançamentos!$F:$F,Lançamentos!$A:$A,BI$19,Lançamentos!$C:$C,"INSS / FGTS")</f>
        <v>0</v>
      </c>
      <c r="BJ72" s="37">
        <f>SUMIFS(Lançamentos!$F:$F,Lançamentos!$A:$A,BJ$19,Lançamentos!$C:$C,"INSS / FGTS")</f>
        <v>0</v>
      </c>
      <c r="BK72" s="37">
        <f>SUMIFS(Lançamentos!$F:$F,Lançamentos!$A:$A,BK$19,Lançamentos!$C:$C,"INSS / FGTS")</f>
        <v>0</v>
      </c>
      <c r="BL72" s="37">
        <f>SUMIFS(Lançamentos!$F:$F,Lançamentos!$A:$A,BL$19,Lançamentos!$C:$C,"INSS / FGTS")</f>
        <v>0</v>
      </c>
      <c r="BM72" s="37">
        <f>SUMIFS(Lançamentos!$F:$F,Lançamentos!$A:$A,BM$19,Lançamentos!$C:$C,"INSS / FGTS")</f>
        <v>0</v>
      </c>
      <c r="BN72" s="37">
        <f>SUMIFS(Lançamentos!$F:$F,Lançamentos!$A:$A,BN$19,Lançamentos!$C:$C,"INSS / FGTS")</f>
        <v>0</v>
      </c>
      <c r="BO72" s="37">
        <f>SUMIFS(Lançamentos!$F:$F,Lançamentos!$A:$A,BO$19,Lançamentos!$C:$C,"INSS / FGTS")</f>
        <v>0</v>
      </c>
      <c r="BP72" s="37">
        <f>SUMIFS(Lançamentos!$F:$F,Lançamentos!$A:$A,BP$19,Lançamentos!$C:$C,"INSS / FGTS")</f>
        <v>0</v>
      </c>
      <c r="BQ72" s="37">
        <f>SUMIFS(Lançamentos!$F:$F,Lançamentos!$A:$A,BQ$19,Lançamentos!$C:$C,"INSS / FGTS")</f>
        <v>0</v>
      </c>
      <c r="BR72" s="37">
        <f>SUMIFS(Lançamentos!$F:$F,Lançamentos!$A:$A,BR$19,Lançamentos!$C:$C,"INSS / FGTS")</f>
        <v>0</v>
      </c>
      <c r="BS72" s="37">
        <f>SUMIFS(Lançamentos!$F:$F,Lançamentos!$A:$A,BS$19,Lançamentos!$C:$C,"INSS / FGTS")</f>
        <v>0</v>
      </c>
      <c r="BT72" s="37">
        <f>SUMIFS(Lançamentos!$F:$F,Lançamentos!$A:$A,BT$19,Lançamentos!$C:$C,"INSS / FGTS")</f>
        <v>0</v>
      </c>
      <c r="BU72" s="37">
        <f>SUMIFS(Lançamentos!$F:$F,Lançamentos!$A:$A,BU$19,Lançamentos!$C:$C,"INSS / FGTS")</f>
        <v>0</v>
      </c>
      <c r="BV72" s="37">
        <f>SUMIFS(Lançamentos!$F:$F,Lançamentos!$A:$A,BV$19,Lançamentos!$C:$C,"INSS / FGTS")</f>
        <v>0</v>
      </c>
      <c r="BW72" s="37">
        <f>SUMIFS(Lançamentos!$F:$F,Lançamentos!$A:$A,BW$19,Lançamentos!$C:$C,"INSS / FGTS")</f>
        <v>0</v>
      </c>
      <c r="BX72" s="37">
        <f>SUMIFS(Lançamentos!$F:$F,Lançamentos!$A:$A,BX$19,Lançamentos!$C:$C,"INSS / FGTS")</f>
        <v>0</v>
      </c>
      <c r="BY72" s="37">
        <f>SUMIFS(Lançamentos!$F:$F,Lançamentos!$A:$A,BY$19,Lançamentos!$C:$C,"INSS / FGTS")</f>
        <v>0</v>
      </c>
      <c r="BZ72" s="37">
        <f>SUMIFS(Lançamentos!$F:$F,Lançamentos!$A:$A,BZ$19,Lançamentos!$C:$C,"INSS / FGTS")</f>
        <v>0</v>
      </c>
      <c r="CA72" s="37">
        <f>SUMIFS(Lançamentos!$F:$F,Lançamentos!$A:$A,CA$19,Lançamentos!$C:$C,"INSS / FGTS")</f>
        <v>0</v>
      </c>
      <c r="CB72" s="37">
        <f>SUMIFS(Lançamentos!$F:$F,Lançamentos!$A:$A,CB$19,Lançamentos!$C:$C,"INSS / FGTS")</f>
        <v>0</v>
      </c>
      <c r="CC72" s="37">
        <f>SUMIFS(Lançamentos!$F:$F,Lançamentos!$A:$A,CC$19,Lançamentos!$C:$C,"INSS / FGTS")</f>
        <v>0</v>
      </c>
      <c r="CD72" s="37">
        <f>SUMIFS(Lançamentos!$F:$F,Lançamentos!$A:$A,CD$19,Lançamentos!$C:$C,"INSS / FGTS")</f>
        <v>0</v>
      </c>
      <c r="CE72" s="37">
        <f>SUMIFS(Lançamentos!$F:$F,Lançamentos!$A:$A,CE$19,Lançamentos!$C:$C,"INSS / FGTS")</f>
        <v>0</v>
      </c>
      <c r="CF72" s="37">
        <f>SUMIFS(Lançamentos!$F:$F,Lançamentos!$A:$A,CF$19,Lançamentos!$C:$C,"INSS / FGTS")</f>
        <v>0</v>
      </c>
      <c r="CG72" s="37">
        <f>SUMIFS(Lançamentos!$F:$F,Lançamentos!$A:$A,CG$19,Lançamentos!$C:$C,"INSS / FGTS")</f>
        <v>0</v>
      </c>
      <c r="CH72" s="37">
        <f>SUMIFS(Lançamentos!$F:$F,Lançamentos!$A:$A,CH$19,Lançamentos!$C:$C,"INSS / FGTS")</f>
        <v>0</v>
      </c>
      <c r="CI72" s="37">
        <f>SUMIFS(Lançamentos!$F:$F,Lançamentos!$A:$A,CI$19,Lançamentos!$C:$C,"INSS / FGTS")</f>
        <v>0</v>
      </c>
      <c r="CJ72" s="37">
        <f>SUMIFS(Lançamentos!$F:$F,Lançamentos!$A:$A,CJ$19,Lançamentos!$C:$C,"INSS / FGTS")</f>
        <v>0</v>
      </c>
      <c r="CK72" s="37">
        <f>SUMIFS(Lançamentos!$F:$F,Lançamentos!$A:$A,CK$19,Lançamentos!$C:$C,"INSS / FGTS")</f>
        <v>0</v>
      </c>
      <c r="CL72" s="37">
        <f>SUMIFS(Lançamentos!$F:$F,Lançamentos!$A:$A,CL$19,Lançamentos!$C:$C,"INSS / FGTS")</f>
        <v>0</v>
      </c>
      <c r="CM72" s="37">
        <f>SUMIFS(Lançamentos!$F:$F,Lançamentos!$A:$A,CM$19,Lançamentos!$C:$C,"INSS / FGTS")</f>
        <v>0</v>
      </c>
      <c r="CN72" s="37">
        <f>SUMIFS(Lançamentos!$F:$F,Lançamentos!$A:$A,CN$19,Lançamentos!$C:$C,"INSS / FGTS")</f>
        <v>0</v>
      </c>
      <c r="CO72" s="37">
        <f>SUMIFS(Lançamentos!$F:$F,Lançamentos!$A:$A,CO$19,Lançamentos!$C:$C,"INSS / FGTS")</f>
        <v>0</v>
      </c>
      <c r="CP72" s="37">
        <f>SUMIFS(Lançamentos!$F:$F,Lançamentos!$A:$A,CP$19,Lançamentos!$C:$C,"INSS / FGTS")</f>
        <v>0</v>
      </c>
      <c r="CQ72" s="37">
        <f>SUMIFS(Lançamentos!$F:$F,Lançamentos!$A:$A,CQ$19,Lançamentos!$C:$C,"INSS / FGTS")</f>
        <v>0</v>
      </c>
      <c r="CR72" s="37">
        <f>SUMIFS(Lançamentos!$F:$F,Lançamentos!$A:$A,CR$19,Lançamentos!$C:$C,"INSS / FGTS")</f>
        <v>0</v>
      </c>
      <c r="CS72" s="37">
        <f>SUMIFS(Lançamentos!$F:$F,Lançamentos!$A:$A,CS$19,Lançamentos!$C:$C,"INSS / FGTS")</f>
        <v>0</v>
      </c>
      <c r="CT72" s="37">
        <f>SUMIFS(Lançamentos!$F:$F,Lançamentos!$A:$A,CT$19,Lançamentos!$C:$C,"INSS / FGTS")</f>
        <v>0</v>
      </c>
      <c r="CU72" s="37">
        <f>SUMIFS(Lançamentos!$F:$F,Lançamentos!$A:$A,CU$19,Lançamentos!$C:$C,"INSS / FGTS")</f>
        <v>0</v>
      </c>
      <c r="CV72" s="37">
        <f>SUMIFS(Lançamentos!$F:$F,Lançamentos!$A:$A,CV$19,Lançamentos!$C:$C,"INSS / FGTS")</f>
        <v>0</v>
      </c>
      <c r="CW72" s="37">
        <f>SUMIFS(Lançamentos!$F:$F,Lançamentos!$A:$A,CW$19,Lançamentos!$C:$C,"INSS / FGTS")</f>
        <v>0</v>
      </c>
      <c r="CX72" s="37">
        <f>SUMIFS(Lançamentos!$F:$F,Lançamentos!$A:$A,CX$19,Lançamentos!$C:$C,"INSS / FGTS")</f>
        <v>0</v>
      </c>
      <c r="CY72" s="37">
        <f>SUMIFS(Lançamentos!$F:$F,Lançamentos!$A:$A,CY$19,Lançamentos!$C:$C,"INSS / FGTS")</f>
        <v>0</v>
      </c>
      <c r="CZ72" s="37">
        <f>SUMIFS(Lançamentos!$F:$F,Lançamentos!$A:$A,CZ$19,Lançamentos!$C:$C,"INSS / FGTS")</f>
        <v>0</v>
      </c>
      <c r="DA72" s="37">
        <f>SUMIFS(Lançamentos!$F:$F,Lançamentos!$A:$A,DA$19,Lançamentos!$C:$C,"INSS / FGTS")</f>
        <v>0</v>
      </c>
      <c r="DB72" s="37">
        <f>SUMIFS(Lançamentos!$F:$F,Lançamentos!$A:$A,DB$19,Lançamentos!$C:$C,"INSS / FGTS")</f>
        <v>0</v>
      </c>
      <c r="DC72" s="37">
        <f>SUMIFS(Lançamentos!$F:$F,Lançamentos!$A:$A,DC$19,Lançamentos!$C:$C,"INSS / FGTS")</f>
        <v>0</v>
      </c>
      <c r="DD72" s="37">
        <f>SUMIFS(Lançamentos!$F:$F,Lançamentos!$A:$A,DD$19,Lançamentos!$C:$C,"INSS / FGTS")</f>
        <v>0</v>
      </c>
      <c r="DE72" s="37">
        <f>SUMIFS(Lançamentos!$F:$F,Lançamentos!$A:$A,DE$19,Lançamentos!$C:$C,"INSS / FGTS")</f>
        <v>0</v>
      </c>
      <c r="DF72" s="37">
        <f>SUMIFS(Lançamentos!$F:$F,Lançamentos!$A:$A,DF$19,Lançamentos!$C:$C,"INSS / FGTS")</f>
        <v>0</v>
      </c>
      <c r="DG72" s="37">
        <f>SUMIFS(Lançamentos!$F:$F,Lançamentos!$A:$A,DG$19,Lançamentos!$C:$C,"INSS / FGTS")</f>
        <v>0</v>
      </c>
      <c r="DH72" s="37">
        <f>SUMIFS(Lançamentos!$F:$F,Lançamentos!$A:$A,DH$19,Lançamentos!$C:$C,"INSS / FGTS")</f>
        <v>0</v>
      </c>
      <c r="DI72" s="37">
        <f>SUMIFS(Lançamentos!$F:$F,Lançamentos!$A:$A,DI$19,Lançamentos!$C:$C,"INSS / FGTS")</f>
        <v>0</v>
      </c>
      <c r="DJ72" s="37">
        <f>SUMIFS(Lançamentos!$F:$F,Lançamentos!$A:$A,DJ$19,Lançamentos!$C:$C,"INSS / FGTS")</f>
        <v>0</v>
      </c>
      <c r="DK72" s="37">
        <f>SUMIFS(Lançamentos!$F:$F,Lançamentos!$A:$A,DK$19,Lançamentos!$C:$C,"INSS / FGTS")</f>
        <v>0</v>
      </c>
      <c r="DL72" s="37">
        <f>SUMIFS(Lançamentos!$F:$F,Lançamentos!$A:$A,DL$19,Lançamentos!$C:$C,"INSS / FGTS")</f>
        <v>0</v>
      </c>
      <c r="DM72" s="37">
        <f>SUMIFS(Lançamentos!$F:$F,Lançamentos!$A:$A,DM$19,Lançamentos!$C:$C,"INSS / FGTS")</f>
        <v>0</v>
      </c>
      <c r="DN72" s="37">
        <f>SUMIFS(Lançamentos!$F:$F,Lançamentos!$A:$A,DN$19,Lançamentos!$C:$C,"INSS / FGTS")</f>
        <v>0</v>
      </c>
      <c r="DO72" s="37">
        <f>SUMIFS(Lançamentos!$F:$F,Lançamentos!$A:$A,DO$19,Lançamentos!$C:$C,"INSS / FGTS")</f>
        <v>0</v>
      </c>
      <c r="DP72" s="37">
        <f>SUMIFS(Lançamentos!$F:$F,Lançamentos!$A:$A,DP$19,Lançamentos!$C:$C,"INSS / FGTS")</f>
        <v>0</v>
      </c>
      <c r="DQ72" s="37">
        <f>SUMIFS(Lançamentos!$F:$F,Lançamentos!$A:$A,DQ$19,Lançamentos!$C:$C,"INSS / FGTS")</f>
        <v>0</v>
      </c>
      <c r="DR72" s="37">
        <f>SUMIFS(Lançamentos!$F:$F,Lançamentos!$A:$A,DR$19,Lançamentos!$C:$C,"INSS / FGTS")</f>
        <v>0</v>
      </c>
      <c r="DS72" s="37">
        <f>SUMIFS(Lançamentos!$F:$F,Lançamentos!$A:$A,DS$19,Lançamentos!$C:$C,"INSS / FGTS")</f>
        <v>0</v>
      </c>
      <c r="DT72" s="37">
        <f>SUMIFS(Lançamentos!$F:$F,Lançamentos!$A:$A,DT$19,Lançamentos!$C:$C,"INSS / FGTS")</f>
        <v>0</v>
      </c>
      <c r="DU72" s="37">
        <f>SUMIFS(Lançamentos!$F:$F,Lançamentos!$A:$A,DU$19,Lançamentos!$C:$C,"INSS / FGTS")</f>
        <v>0</v>
      </c>
      <c r="DV72" s="37">
        <f>SUMIFS(Lançamentos!$F:$F,Lançamentos!$A:$A,DV$19,Lançamentos!$C:$C,"INSS / FGTS")</f>
        <v>0</v>
      </c>
      <c r="DW72" s="37">
        <f>SUMIFS(Lançamentos!$F:$F,Lançamentos!$A:$A,DW$19,Lançamentos!$C:$C,"INSS / FGTS")</f>
        <v>0</v>
      </c>
      <c r="DX72" s="37">
        <f>SUMIFS(Lançamentos!$F:$F,Lançamentos!$A:$A,DX$19,Lançamentos!$C:$C,"INSS / FGTS")</f>
        <v>0</v>
      </c>
      <c r="DY72" s="37">
        <f>SUMIFS(Lançamentos!$F:$F,Lançamentos!$A:$A,DY$19,Lançamentos!$C:$C,"INSS / FGTS")</f>
        <v>0</v>
      </c>
      <c r="DZ72" s="37">
        <f>SUMIFS(Lançamentos!$F:$F,Lançamentos!$A:$A,DZ$19,Lançamentos!$C:$C,"INSS / FGTS")</f>
        <v>0</v>
      </c>
      <c r="EA72" s="37">
        <f>SUMIFS(Lançamentos!$F:$F,Lançamentos!$A:$A,EA$19,Lançamentos!$C:$C,"INSS / FGTS")</f>
        <v>0</v>
      </c>
      <c r="EB72" s="37">
        <f>SUMIFS(Lançamentos!$F:$F,Lançamentos!$A:$A,EB$19,Lançamentos!$C:$C,"INSS / FGTS")</f>
        <v>0</v>
      </c>
      <c r="EC72" s="37">
        <f>SUMIFS(Lançamentos!$F:$F,Lançamentos!$A:$A,EC$19,Lançamentos!$C:$C,"INSS / FGTS")</f>
        <v>0</v>
      </c>
      <c r="ED72" s="37">
        <f>SUMIFS(Lançamentos!$F:$F,Lançamentos!$A:$A,ED$19,Lançamentos!$C:$C,"INSS / FGTS")</f>
        <v>0</v>
      </c>
      <c r="EE72" s="37">
        <f>SUMIFS(Lançamentos!$F:$F,Lançamentos!$A:$A,EE$19,Lançamentos!$C:$C,"INSS / FGTS")</f>
        <v>0</v>
      </c>
      <c r="EF72" s="37">
        <f>SUMIFS(Lançamentos!$F:$F,Lançamentos!$A:$A,EF$19,Lançamentos!$C:$C,"INSS / FGTS")</f>
        <v>0</v>
      </c>
      <c r="EG72" s="37">
        <f>SUMIFS(Lançamentos!$F:$F,Lançamentos!$A:$A,EG$19,Lançamentos!$C:$C,"INSS / FGTS")</f>
        <v>0</v>
      </c>
      <c r="EH72" s="37">
        <f>SUMIFS(Lançamentos!$F:$F,Lançamentos!$A:$A,EH$19,Lançamentos!$C:$C,"INSS / FGTS")</f>
        <v>0</v>
      </c>
      <c r="EI72" s="37">
        <f>SUMIFS(Lançamentos!$F:$F,Lançamentos!$A:$A,EI$19,Lançamentos!$C:$C,"INSS / FGTS")</f>
        <v>0</v>
      </c>
      <c r="EJ72" s="37">
        <f>SUMIFS(Lançamentos!$F:$F,Lançamentos!$A:$A,EJ$19,Lançamentos!$C:$C,"INSS / FGTS")</f>
        <v>0</v>
      </c>
      <c r="EK72" s="37">
        <f>SUMIFS(Lançamentos!$F:$F,Lançamentos!$A:$A,EK$19,Lançamentos!$C:$C,"INSS / FGTS")</f>
        <v>0</v>
      </c>
      <c r="EL72" s="37">
        <f>SUMIFS(Lançamentos!$F:$F,Lançamentos!$A:$A,EL$19,Lançamentos!$C:$C,"INSS / FGTS")</f>
        <v>0</v>
      </c>
      <c r="EM72" s="37">
        <f>SUMIFS(Lançamentos!$F:$F,Lançamentos!$A:$A,EM$19,Lançamentos!$C:$C,"INSS / FGTS")</f>
        <v>0</v>
      </c>
      <c r="EN72" s="37">
        <f>SUMIFS(Lançamentos!$F:$F,Lançamentos!$A:$A,EN$19,Lançamentos!$C:$C,"INSS / FGTS")</f>
        <v>0</v>
      </c>
      <c r="EO72" s="37">
        <f>SUMIFS(Lançamentos!$F:$F,Lançamentos!$A:$A,EO$19,Lançamentos!$C:$C,"INSS / FGTS")</f>
        <v>0</v>
      </c>
      <c r="EP72" s="37">
        <f>SUMIFS(Lançamentos!$F:$F,Lançamentos!$A:$A,EP$19,Lançamentos!$C:$C,"INSS / FGTS")</f>
        <v>0</v>
      </c>
      <c r="EQ72" s="37">
        <f>SUMIFS(Lançamentos!$F:$F,Lançamentos!$A:$A,EQ$19,Lançamentos!$C:$C,"INSS / FGTS")</f>
        <v>0</v>
      </c>
      <c r="ER72" s="37">
        <f>SUMIFS(Lançamentos!$F:$F,Lançamentos!$A:$A,ER$19,Lançamentos!$C:$C,"INSS / FGTS")</f>
        <v>0</v>
      </c>
      <c r="ES72" s="37">
        <f>SUMIFS(Lançamentos!$F:$F,Lançamentos!$A:$A,ES$19,Lançamentos!$C:$C,"INSS / FGTS")</f>
        <v>0</v>
      </c>
      <c r="ET72" s="37">
        <f>SUMIFS(Lançamentos!$F:$F,Lançamentos!$A:$A,ET$19,Lançamentos!$C:$C,"INSS / FGTS")</f>
        <v>0</v>
      </c>
      <c r="EU72" s="37">
        <f>SUMIFS(Lançamentos!$F:$F,Lançamentos!$A:$A,EU$19,Lançamentos!$C:$C,"INSS / FGTS")</f>
        <v>0</v>
      </c>
      <c r="EV72" s="37">
        <f>SUMIFS(Lançamentos!$F:$F,Lançamentos!$A:$A,EV$19,Lançamentos!$C:$C,"INSS / FGTS")</f>
        <v>0</v>
      </c>
      <c r="EW72" s="37">
        <f>SUMIFS(Lançamentos!$F:$F,Lançamentos!$A:$A,EW$19,Lançamentos!$C:$C,"INSS / FGTS")</f>
        <v>0</v>
      </c>
      <c r="EX72" s="37">
        <f>SUMIFS(Lançamentos!$F:$F,Lançamentos!$A:$A,EX$19,Lançamentos!$C:$C,"INSS / FGTS")</f>
        <v>0</v>
      </c>
      <c r="EY72" s="37">
        <f>SUMIFS(Lançamentos!$F:$F,Lançamentos!$A:$A,EY$19,Lançamentos!$C:$C,"INSS / FGTS")</f>
        <v>0</v>
      </c>
      <c r="EZ72" s="37">
        <f>SUMIFS(Lançamentos!$F:$F,Lançamentos!$A:$A,EZ$19,Lançamentos!$C:$C,"INSS / FGTS")</f>
        <v>0</v>
      </c>
      <c r="FA72" s="37">
        <f>SUMIFS(Lançamentos!$F:$F,Lançamentos!$A:$A,FA$19,Lançamentos!$C:$C,"INSS / FGTS")</f>
        <v>0</v>
      </c>
      <c r="FB72" s="37">
        <f>SUMIFS(Lançamentos!$F:$F,Lançamentos!$A:$A,FB$19,Lançamentos!$C:$C,"INSS / FGTS")</f>
        <v>0</v>
      </c>
      <c r="FC72" s="37">
        <f>SUMIFS(Lançamentos!$F:$F,Lançamentos!$A:$A,FC$19,Lançamentos!$C:$C,"INSS / FGTS")</f>
        <v>0</v>
      </c>
      <c r="FD72" s="37">
        <f>SUMIFS(Lançamentos!$F:$F,Lançamentos!$A:$A,FD$19,Lançamentos!$C:$C,"INSS / FGTS")</f>
        <v>0</v>
      </c>
      <c r="FE72" s="37">
        <f>SUMIFS(Lançamentos!$F:$F,Lançamentos!$A:$A,FE$19,Lançamentos!$C:$C,"INSS / FGTS")</f>
        <v>0</v>
      </c>
      <c r="FF72" s="37">
        <f>SUMIFS(Lançamentos!$F:$F,Lançamentos!$A:$A,FF$19,Lançamentos!$C:$C,"INSS / FGTS")</f>
        <v>0</v>
      </c>
      <c r="FG72" s="37">
        <f>SUMIFS(Lançamentos!$F:$F,Lançamentos!$A:$A,FG$19,Lançamentos!$C:$C,"INSS / FGTS")</f>
        <v>0</v>
      </c>
      <c r="FH72" s="37">
        <f>SUMIFS(Lançamentos!$F:$F,Lançamentos!$A:$A,FH$19,Lançamentos!$C:$C,"INSS / FGTS")</f>
        <v>0</v>
      </c>
      <c r="FI72" s="37">
        <f>SUMIFS(Lançamentos!$F:$F,Lançamentos!$A:$A,FI$19,Lançamentos!$C:$C,"INSS / FGTS")</f>
        <v>0</v>
      </c>
      <c r="FJ72" s="37">
        <f>SUMIFS(Lançamentos!$F:$F,Lançamentos!$A:$A,FJ$19,Lançamentos!$C:$C,"INSS / FGTS")</f>
        <v>0</v>
      </c>
      <c r="FK72" s="37">
        <f>SUMIFS(Lançamentos!$F:$F,Lançamentos!$A:$A,FK$19,Lançamentos!$C:$C,"INSS / FGTS")</f>
        <v>0</v>
      </c>
      <c r="FL72" s="37">
        <f>SUMIFS(Lançamentos!$F:$F,Lançamentos!$A:$A,FL$19,Lançamentos!$C:$C,"INSS / FGTS")</f>
        <v>0</v>
      </c>
      <c r="FM72" s="37">
        <f>SUMIFS(Lançamentos!$F:$F,Lançamentos!$A:$A,FM$19,Lançamentos!$C:$C,"INSS / FGTS")</f>
        <v>0</v>
      </c>
      <c r="FN72" s="37">
        <f>SUMIFS(Lançamentos!$F:$F,Lançamentos!$A:$A,FN$19,Lançamentos!$C:$C,"INSS / FGTS")</f>
        <v>0</v>
      </c>
      <c r="FO72" s="37">
        <f>SUMIFS(Lançamentos!$F:$F,Lançamentos!$A:$A,FO$19,Lançamentos!$C:$C,"INSS / FGTS")</f>
        <v>0</v>
      </c>
      <c r="FP72" s="37">
        <f>SUMIFS(Lançamentos!$F:$F,Lançamentos!$A:$A,FP$19,Lançamentos!$C:$C,"INSS / FGTS")</f>
        <v>0</v>
      </c>
      <c r="FQ72" s="37">
        <f>SUMIFS(Lançamentos!$F:$F,Lançamentos!$A:$A,FQ$19,Lançamentos!$C:$C,"INSS / FGTS")</f>
        <v>0</v>
      </c>
      <c r="FR72" s="37">
        <f>SUMIFS(Lançamentos!$F:$F,Lançamentos!$A:$A,FR$19,Lançamentos!$C:$C,"INSS / FGTS")</f>
        <v>0</v>
      </c>
      <c r="FS72" s="37">
        <f>SUMIFS(Lançamentos!$F:$F,Lançamentos!$A:$A,FS$19,Lançamentos!$C:$C,"INSS / FGTS")</f>
        <v>0</v>
      </c>
      <c r="FT72" s="37">
        <f>SUMIFS(Lançamentos!$F:$F,Lançamentos!$A:$A,FT$19,Lançamentos!$C:$C,"INSS / FGTS")</f>
        <v>0</v>
      </c>
      <c r="FU72" s="37">
        <f>SUMIFS(Lançamentos!$F:$F,Lançamentos!$A:$A,FU$19,Lançamentos!$C:$C,"INSS / FGTS")</f>
        <v>0</v>
      </c>
      <c r="FV72" s="37">
        <f>SUMIFS(Lançamentos!$F:$F,Lançamentos!$A:$A,FV$19,Lançamentos!$C:$C,"INSS / FGTS")</f>
        <v>0</v>
      </c>
      <c r="FW72" s="37">
        <f>SUMIFS(Lançamentos!$F:$F,Lançamentos!$A:$A,FW$19,Lançamentos!$C:$C,"INSS / FGTS")</f>
        <v>0</v>
      </c>
      <c r="FX72" s="37">
        <f>SUMIFS(Lançamentos!$F:$F,Lançamentos!$A:$A,FX$19,Lançamentos!$C:$C,"INSS / FGTS")</f>
        <v>0</v>
      </c>
      <c r="FY72" s="37">
        <f>SUMIFS(Lançamentos!$F:$F,Lançamentos!$A:$A,FY$19,Lançamentos!$C:$C,"INSS / FGTS")</f>
        <v>0</v>
      </c>
      <c r="FZ72" s="37">
        <f>SUMIFS(Lançamentos!$F:$F,Lançamentos!$A:$A,FZ$19,Lançamentos!$C:$C,"INSS / FGTS")</f>
        <v>0</v>
      </c>
      <c r="GA72" s="37">
        <f>SUMIFS(Lançamentos!$F:$F,Lançamentos!$A:$A,GA$19,Lançamentos!$C:$C,"INSS / FGTS")</f>
        <v>0</v>
      </c>
      <c r="GB72" s="37">
        <f>SUMIFS(Lançamentos!$F:$F,Lançamentos!$A:$A,GB$19,Lançamentos!$C:$C,"INSS / FGTS")</f>
        <v>0</v>
      </c>
      <c r="GC72" s="37">
        <f>SUMIFS(Lançamentos!$F:$F,Lançamentos!$A:$A,GC$19,Lançamentos!$C:$C,"INSS / FGTS")</f>
        <v>0</v>
      </c>
      <c r="GD72" s="37">
        <f>SUMIFS(Lançamentos!$F:$F,Lançamentos!$A:$A,GD$19,Lançamentos!$C:$C,"INSS / FGTS")</f>
        <v>0</v>
      </c>
      <c r="GE72" s="37">
        <f>SUMIFS(Lançamentos!$F:$F,Lançamentos!$A:$A,GE$19,Lançamentos!$C:$C,"INSS / FGTS")</f>
        <v>0</v>
      </c>
      <c r="GF72" s="37">
        <f>SUMIFS(Lançamentos!$F:$F,Lançamentos!$A:$A,GF$19,Lançamentos!$C:$C,"INSS / FGTS")</f>
        <v>0</v>
      </c>
      <c r="GG72" s="37">
        <f>SUMIFS(Lançamentos!$F:$F,Lançamentos!$A:$A,GG$19,Lançamentos!$C:$C,"INSS / FGTS")</f>
        <v>0</v>
      </c>
      <c r="GH72" s="37">
        <f>SUMIFS(Lançamentos!$F:$F,Lançamentos!$A:$A,GH$19,Lançamentos!$C:$C,"INSS / FGTS")</f>
        <v>0</v>
      </c>
      <c r="GI72" s="37">
        <f>SUMIFS(Lançamentos!$F:$F,Lançamentos!$A:$A,GI$19,Lançamentos!$C:$C,"INSS / FGTS")</f>
        <v>0</v>
      </c>
      <c r="GJ72" s="37">
        <f>SUMIFS(Lançamentos!$F:$F,Lançamentos!$A:$A,GJ$19,Lançamentos!$C:$C,"INSS / FGTS")</f>
        <v>0</v>
      </c>
      <c r="GK72" s="37">
        <f>SUMIFS(Lançamentos!$F:$F,Lançamentos!$A:$A,GK$19,Lançamentos!$C:$C,"INSS / FGTS")</f>
        <v>0</v>
      </c>
      <c r="GL72" s="37">
        <f>SUMIFS(Lançamentos!$F:$F,Lançamentos!$A:$A,GL$19,Lançamentos!$C:$C,"INSS / FGTS")</f>
        <v>0</v>
      </c>
      <c r="GM72" s="37">
        <f>SUMIFS(Lançamentos!$F:$F,Lançamentos!$A:$A,GM$19,Lançamentos!$C:$C,"INSS / FGTS")</f>
        <v>0</v>
      </c>
      <c r="GN72" s="37">
        <f>SUMIFS(Lançamentos!$F:$F,Lançamentos!$A:$A,GN$19,Lançamentos!$C:$C,"INSS / FGTS")</f>
        <v>0</v>
      </c>
      <c r="GO72" s="37">
        <f>SUMIFS(Lançamentos!$F:$F,Lançamentos!$A:$A,GO$19,Lançamentos!$C:$C,"INSS / FGTS")</f>
        <v>0</v>
      </c>
      <c r="GP72" s="37">
        <f>SUMIFS(Lançamentos!$F:$F,Lançamentos!$A:$A,GP$19,Lançamentos!$C:$C,"INSS / FGTS")</f>
        <v>0</v>
      </c>
      <c r="GQ72" s="37">
        <f>SUMIFS(Lançamentos!$F:$F,Lançamentos!$A:$A,GQ$19,Lançamentos!$C:$C,"INSS / FGTS")</f>
        <v>0</v>
      </c>
      <c r="GR72" s="37">
        <f>SUMIFS(Lançamentos!$F:$F,Lançamentos!$A:$A,GR$19,Lançamentos!$C:$C,"INSS / FGTS")</f>
        <v>0</v>
      </c>
      <c r="GS72" s="37">
        <f>SUMIFS(Lançamentos!$F:$F,Lançamentos!$A:$A,GS$19,Lançamentos!$C:$C,"INSS / FGTS")</f>
        <v>0</v>
      </c>
      <c r="GT72" s="37">
        <f>SUMIFS(Lançamentos!$F:$F,Lançamentos!$A:$A,GT$19,Lançamentos!$C:$C,"INSS / FGTS")</f>
        <v>0</v>
      </c>
      <c r="GU72" s="37">
        <f>SUMIFS(Lançamentos!$F:$F,Lançamentos!$A:$A,GU$19,Lançamentos!$C:$C,"INSS / FGTS")</f>
        <v>0</v>
      </c>
      <c r="GV72" s="37">
        <f>SUMIFS(Lançamentos!$F:$F,Lançamentos!$A:$A,GV$19,Lançamentos!$C:$C,"INSS / FGTS")</f>
        <v>0</v>
      </c>
      <c r="GW72" s="37">
        <f>SUMIFS(Lançamentos!$F:$F,Lançamentos!$A:$A,GW$19,Lançamentos!$C:$C,"INSS / FGTS")</f>
        <v>0</v>
      </c>
      <c r="GX72" s="37">
        <f>SUMIFS(Lançamentos!$F:$F,Lançamentos!$A:$A,GX$19,Lançamentos!$C:$C,"INSS / FGTS")</f>
        <v>0</v>
      </c>
      <c r="GY72" s="37">
        <f>SUMIFS(Lançamentos!$F:$F,Lançamentos!$A:$A,GY$19,Lançamentos!$C:$C,"INSS / FGTS")</f>
        <v>0</v>
      </c>
      <c r="GZ72" s="37">
        <f>SUMIFS(Lançamentos!$F:$F,Lançamentos!$A:$A,GZ$19,Lançamentos!$C:$C,"INSS / FGTS")</f>
        <v>0</v>
      </c>
      <c r="HA72" s="37">
        <f>SUMIFS(Lançamentos!$F:$F,Lançamentos!$A:$A,HA$19,Lançamentos!$C:$C,"INSS / FGTS")</f>
        <v>0</v>
      </c>
      <c r="HB72" s="37">
        <f>SUMIFS(Lançamentos!$F:$F,Lançamentos!$A:$A,HB$19,Lançamentos!$C:$C,"INSS / FGTS")</f>
        <v>0</v>
      </c>
      <c r="HC72" s="37">
        <f>SUMIFS(Lançamentos!$F:$F,Lançamentos!$A:$A,HC$19,Lançamentos!$C:$C,"INSS / FGTS")</f>
        <v>0</v>
      </c>
      <c r="HD72" s="37">
        <f>SUMIFS(Lançamentos!$F:$F,Lançamentos!$A:$A,HD$19,Lançamentos!$C:$C,"INSS / FGTS")</f>
        <v>0</v>
      </c>
      <c r="HE72" s="37">
        <f>SUMIFS(Lançamentos!$F:$F,Lançamentos!$A:$A,HE$19,Lançamentos!$C:$C,"INSS / FGTS")</f>
        <v>0</v>
      </c>
      <c r="HF72" s="37">
        <f>SUMIFS(Lançamentos!$F:$F,Lançamentos!$A:$A,HF$19,Lançamentos!$C:$C,"INSS / FGTS")</f>
        <v>0</v>
      </c>
      <c r="HG72" s="37">
        <f>SUMIFS(Lançamentos!$F:$F,Lançamentos!$A:$A,HG$19,Lançamentos!$C:$C,"INSS / FGTS")</f>
        <v>0</v>
      </c>
      <c r="HH72" s="37">
        <f>SUMIFS(Lançamentos!$F:$F,Lançamentos!$A:$A,HH$19,Lançamentos!$C:$C,"INSS / FGTS")</f>
        <v>0</v>
      </c>
      <c r="HI72" s="37">
        <f>SUMIFS(Lançamentos!$F:$F,Lançamentos!$A:$A,HI$19,Lançamentos!$C:$C,"INSS / FGTS")</f>
        <v>0</v>
      </c>
      <c r="HJ72" s="37">
        <f>SUMIFS(Lançamentos!$F:$F,Lançamentos!$A:$A,HJ$19,Lançamentos!$C:$C,"INSS / FGTS")</f>
        <v>0</v>
      </c>
      <c r="HK72" s="37">
        <f>SUMIFS(Lançamentos!$F:$F,Lançamentos!$A:$A,HK$19,Lançamentos!$C:$C,"INSS / FGTS")</f>
        <v>0</v>
      </c>
      <c r="HL72" s="37">
        <f>SUMIFS(Lançamentos!$F:$F,Lançamentos!$A:$A,HL$19,Lançamentos!$C:$C,"INSS / FGTS")</f>
        <v>0</v>
      </c>
      <c r="HM72" s="37">
        <f>SUMIFS(Lançamentos!$F:$F,Lançamentos!$A:$A,HM$19,Lançamentos!$C:$C,"INSS / FGTS")</f>
        <v>0</v>
      </c>
      <c r="HN72" s="37">
        <f>SUMIFS(Lançamentos!$F:$F,Lançamentos!$A:$A,HN$19,Lançamentos!$C:$C,"INSS / FGTS")</f>
        <v>0</v>
      </c>
      <c r="HO72" s="37">
        <f>SUMIFS(Lançamentos!$F:$F,Lançamentos!$A:$A,HO$19,Lançamentos!$C:$C,"INSS / FGTS")</f>
        <v>0</v>
      </c>
      <c r="HP72" s="37">
        <f>SUMIFS(Lançamentos!$F:$F,Lançamentos!$A:$A,HP$19,Lançamentos!$C:$C,"INSS / FGTS")</f>
        <v>0</v>
      </c>
      <c r="HQ72" s="37">
        <f>SUMIFS(Lançamentos!$F:$F,Lançamentos!$A:$A,HQ$19,Lançamentos!$C:$C,"INSS / FGTS")</f>
        <v>0</v>
      </c>
      <c r="HR72" s="37">
        <f>SUMIFS(Lançamentos!$F:$F,Lançamentos!$A:$A,HR$19,Lançamentos!$C:$C,"INSS / FGTS")</f>
        <v>0</v>
      </c>
      <c r="HS72" s="37">
        <f>SUMIFS(Lançamentos!$F:$F,Lançamentos!$A:$A,HS$19,Lançamentos!$C:$C,"INSS / FGTS")</f>
        <v>0</v>
      </c>
      <c r="HT72" s="37">
        <f>SUMIFS(Lançamentos!$F:$F,Lançamentos!$A:$A,HT$19,Lançamentos!$C:$C,"INSS / FGTS")</f>
        <v>0</v>
      </c>
      <c r="HU72" s="37">
        <f>SUMIFS(Lançamentos!$F:$F,Lançamentos!$A:$A,HU$19,Lançamentos!$C:$C,"INSS / FGTS")</f>
        <v>0</v>
      </c>
      <c r="HV72" s="37">
        <f>SUMIFS(Lançamentos!$F:$F,Lançamentos!$A:$A,HV$19,Lançamentos!$C:$C,"INSS / FGTS")</f>
        <v>0</v>
      </c>
      <c r="HW72" s="37">
        <f>SUMIFS(Lançamentos!$F:$F,Lançamentos!$A:$A,HW$19,Lançamentos!$C:$C,"INSS / FGTS")</f>
        <v>0</v>
      </c>
      <c r="HX72" s="37">
        <f>SUMIFS(Lançamentos!$F:$F,Lançamentos!$A:$A,HX$19,Lançamentos!$C:$C,"INSS / FGTS")</f>
        <v>0</v>
      </c>
      <c r="HY72" s="37">
        <f>SUMIFS(Lançamentos!$F:$F,Lançamentos!$A:$A,HY$19,Lançamentos!$C:$C,"INSS / FGTS")</f>
        <v>0</v>
      </c>
      <c r="HZ72" s="37">
        <f>SUMIFS(Lançamentos!$F:$F,Lançamentos!$A:$A,HZ$19,Lançamentos!$C:$C,"INSS / FGTS")</f>
        <v>0</v>
      </c>
      <c r="IA72" s="37">
        <f>SUMIFS(Lançamentos!$F:$F,Lançamentos!$A:$A,IA$19,Lançamentos!$C:$C,"INSS / FGTS")</f>
        <v>0</v>
      </c>
      <c r="IB72" s="37">
        <f>SUMIFS(Lançamentos!$F:$F,Lançamentos!$A:$A,IB$19,Lançamentos!$C:$C,"INSS / FGTS")</f>
        <v>0</v>
      </c>
      <c r="IC72" s="37">
        <f>SUMIFS(Lançamentos!$F:$F,Lançamentos!$A:$A,IC$19,Lançamentos!$C:$C,"INSS / FGTS")</f>
        <v>0</v>
      </c>
      <c r="ID72" s="37">
        <f>SUMIFS(Lançamentos!$F:$F,Lançamentos!$A:$A,ID$19,Lançamentos!$C:$C,"INSS / FGTS")</f>
        <v>0</v>
      </c>
      <c r="IE72" s="37">
        <f>SUMIFS(Lançamentos!$F:$F,Lançamentos!$A:$A,IE$19,Lançamentos!$C:$C,"INSS / FGTS")</f>
        <v>0</v>
      </c>
      <c r="IF72" s="37">
        <f>SUMIFS(Lançamentos!$F:$F,Lançamentos!$A:$A,IF$19,Lançamentos!$C:$C,"INSS / FGTS")</f>
        <v>0</v>
      </c>
      <c r="IG72" s="37">
        <f>SUMIFS(Lançamentos!$F:$F,Lançamentos!$A:$A,IG$19,Lançamentos!$C:$C,"INSS / FGTS")</f>
        <v>0</v>
      </c>
      <c r="IH72" s="37">
        <f>SUMIFS(Lançamentos!$F:$F,Lançamentos!$A:$A,IH$19,Lançamentos!$C:$C,"INSS / FGTS")</f>
        <v>0</v>
      </c>
      <c r="II72" s="37">
        <f>SUMIFS(Lançamentos!$F:$F,Lançamentos!$A:$A,II$19,Lançamentos!$C:$C,"INSS / FGTS")</f>
        <v>0</v>
      </c>
      <c r="IJ72" s="37">
        <f>SUMIFS(Lançamentos!$F:$F,Lançamentos!$A:$A,IJ$19,Lançamentos!$C:$C,"INSS / FGTS")</f>
        <v>0</v>
      </c>
      <c r="IK72" s="37">
        <f>SUMIFS(Lançamentos!$F:$F,Lançamentos!$A:$A,IK$19,Lançamentos!$C:$C,"INSS / FGTS")</f>
        <v>0</v>
      </c>
      <c r="IL72" s="37">
        <f>SUMIFS(Lançamentos!$F:$F,Lançamentos!$A:$A,IL$19,Lançamentos!$C:$C,"INSS / FGTS")</f>
        <v>0</v>
      </c>
    </row>
    <row r="73" spans="1:246" x14ac:dyDescent="0.3">
      <c r="A73" t="s">
        <v>111</v>
      </c>
      <c r="B73" s="37">
        <f>SUMIFS(Lançamentos!$F:$F,Lançamentos!$A:$A,B$19,Lançamentos!$C:$C,"Simples Nacional / DAS")</f>
        <v>0</v>
      </c>
      <c r="C73" s="37">
        <f>SUMIFS(Lançamentos!$F:$F,Lançamentos!$A:$A,C$19,Lançamentos!$C:$C,"Simples Nacional / DAS")</f>
        <v>0</v>
      </c>
      <c r="D73" s="37">
        <f>SUMIFS(Lançamentos!$F:$F,Lançamentos!$A:$A,D$19,Lançamentos!$C:$C,"Simples Nacional / DAS")</f>
        <v>0</v>
      </c>
      <c r="E73" s="37">
        <f>SUMIFS(Lançamentos!$F:$F,Lançamentos!$A:$A,E$19,Lançamentos!$C:$C,"Simples Nacional / DAS")</f>
        <v>0</v>
      </c>
      <c r="F73" s="37">
        <f>SUMIFS(Lançamentos!$F:$F,Lançamentos!$A:$A,F$19,Lançamentos!$C:$C,"Simples Nacional / DAS")</f>
        <v>0</v>
      </c>
      <c r="G73" s="37">
        <f>SUMIFS(Lançamentos!$F:$F,Lançamentos!$A:$A,G$19,Lançamentos!$C:$C,"Simples Nacional / DAS")</f>
        <v>0</v>
      </c>
      <c r="H73" s="37">
        <f>SUMIFS(Lançamentos!$F:$F,Lançamentos!$A:$A,H$19,Lançamentos!$C:$C,"Simples Nacional / DAS")</f>
        <v>0</v>
      </c>
      <c r="I73" s="37">
        <f>SUMIFS(Lançamentos!$F:$F,Lançamentos!$A:$A,I$19,Lançamentos!$C:$C,"Simples Nacional / DAS")</f>
        <v>0</v>
      </c>
      <c r="J73" s="37">
        <f>SUMIFS(Lançamentos!$F:$F,Lançamentos!$A:$A,J$19,Lançamentos!$C:$C,"Simples Nacional / DAS")</f>
        <v>0</v>
      </c>
      <c r="K73" s="37">
        <f>SUMIFS(Lançamentos!$F:$F,Lançamentos!$A:$A,K$19,Lançamentos!$C:$C,"Simples Nacional / DAS")</f>
        <v>0</v>
      </c>
      <c r="L73" s="37">
        <f>SUMIFS(Lançamentos!$F:$F,Lançamentos!$A:$A,L$19,Lançamentos!$C:$C,"Simples Nacional / DAS")</f>
        <v>0</v>
      </c>
      <c r="M73" s="37">
        <f>SUMIFS(Lançamentos!$F:$F,Lançamentos!$A:$A,M$19,Lançamentos!$C:$C,"Simples Nacional / DAS")</f>
        <v>0</v>
      </c>
      <c r="N73" s="37">
        <f>SUMIFS(Lançamentos!$F:$F,Lançamentos!$A:$A,N$19,Lançamentos!$C:$C,"Simples Nacional / DAS")</f>
        <v>0</v>
      </c>
      <c r="O73" s="37">
        <f>SUMIFS(Lançamentos!$F:$F,Lançamentos!$A:$A,O$19,Lançamentos!$C:$C,"Simples Nacional / DAS")</f>
        <v>0</v>
      </c>
      <c r="P73" s="37">
        <f>SUMIFS(Lançamentos!$F:$F,Lançamentos!$A:$A,P$19,Lançamentos!$C:$C,"Simples Nacional / DAS")</f>
        <v>0</v>
      </c>
      <c r="Q73" s="37">
        <f>SUMIFS(Lançamentos!$F:$F,Lançamentos!$A:$A,Q$19,Lançamentos!$C:$C,"Simples Nacional / DAS")</f>
        <v>0</v>
      </c>
      <c r="R73" s="37">
        <f>SUMIFS(Lançamentos!$F:$F,Lançamentos!$A:$A,R$19,Lançamentos!$C:$C,"Simples Nacional / DAS")</f>
        <v>0</v>
      </c>
      <c r="S73" s="37">
        <f>SUMIFS(Lançamentos!$F:$F,Lançamentos!$A:$A,S$19,Lançamentos!$C:$C,"Simples Nacional / DAS")</f>
        <v>0</v>
      </c>
      <c r="T73" s="37">
        <f>SUMIFS(Lançamentos!$F:$F,Lançamentos!$A:$A,T$19,Lançamentos!$C:$C,"Simples Nacional / DAS")</f>
        <v>0</v>
      </c>
      <c r="U73" s="37">
        <f>SUMIFS(Lançamentos!$F:$F,Lançamentos!$A:$A,U$19,Lançamentos!$C:$C,"Simples Nacional / DAS")</f>
        <v>0</v>
      </c>
      <c r="V73" s="37">
        <f>SUMIFS(Lançamentos!$F:$F,Lançamentos!$A:$A,V$19,Lançamentos!$C:$C,"Simples Nacional / DAS")</f>
        <v>0</v>
      </c>
      <c r="W73" s="37">
        <f>SUMIFS(Lançamentos!$F:$F,Lançamentos!$A:$A,W$19,Lançamentos!$C:$C,"Simples Nacional / DAS")</f>
        <v>0</v>
      </c>
      <c r="X73" s="37">
        <f>SUMIFS(Lançamentos!$F:$F,Lançamentos!$A:$A,X$19,Lançamentos!$C:$C,"Simples Nacional / DAS")</f>
        <v>0</v>
      </c>
      <c r="Y73" s="37">
        <f>SUMIFS(Lançamentos!$F:$F,Lançamentos!$A:$A,Y$19,Lançamentos!$C:$C,"Simples Nacional / DAS")</f>
        <v>0</v>
      </c>
      <c r="Z73" s="37">
        <f>SUMIFS(Lançamentos!$F:$F,Lançamentos!$A:$A,Z$19,Lançamentos!$C:$C,"Simples Nacional / DAS")</f>
        <v>0</v>
      </c>
      <c r="AA73" s="37">
        <f>SUMIFS(Lançamentos!$F:$F,Lançamentos!$A:$A,AA$19,Lançamentos!$C:$C,"Simples Nacional / DAS")</f>
        <v>0</v>
      </c>
      <c r="AB73" s="37">
        <f>SUMIFS(Lançamentos!$F:$F,Lançamentos!$A:$A,AB$19,Lançamentos!$C:$C,"Simples Nacional / DAS")</f>
        <v>0</v>
      </c>
      <c r="AC73" s="37">
        <f>SUMIFS(Lançamentos!$F:$F,Lançamentos!$A:$A,AC$19,Lançamentos!$C:$C,"Simples Nacional / DAS")</f>
        <v>0</v>
      </c>
      <c r="AD73" s="37">
        <f>SUMIFS(Lançamentos!$F:$F,Lançamentos!$A:$A,AD$19,Lançamentos!$C:$C,"Simples Nacional / DAS")</f>
        <v>0</v>
      </c>
      <c r="AE73" s="37">
        <f>SUMIFS(Lançamentos!$F:$F,Lançamentos!$A:$A,AE$19,Lançamentos!$C:$C,"Simples Nacional / DAS")</f>
        <v>0</v>
      </c>
      <c r="AF73" s="37">
        <f>SUMIFS(Lançamentos!$F:$F,Lançamentos!$A:$A,AF$19,Lançamentos!$C:$C,"Simples Nacional / DAS")</f>
        <v>0</v>
      </c>
      <c r="AG73" s="37">
        <f>SUMIFS(Lançamentos!$F:$F,Lançamentos!$A:$A,AG$19,Lançamentos!$C:$C,"Simples Nacional / DAS")</f>
        <v>0</v>
      </c>
      <c r="AH73" s="37">
        <f>SUMIFS(Lançamentos!$F:$F,Lançamentos!$A:$A,AH$19,Lançamentos!$C:$C,"Simples Nacional / DAS")</f>
        <v>0</v>
      </c>
      <c r="AI73" s="37">
        <f>SUMIFS(Lançamentos!$F:$F,Lançamentos!$A:$A,AI$19,Lançamentos!$C:$C,"Simples Nacional / DAS")</f>
        <v>0</v>
      </c>
      <c r="AJ73" s="37">
        <f>SUMIFS(Lançamentos!$F:$F,Lançamentos!$A:$A,AJ$19,Lançamentos!$C:$C,"Simples Nacional / DAS")</f>
        <v>0</v>
      </c>
      <c r="AK73" s="37">
        <f>SUMIFS(Lançamentos!$F:$F,Lançamentos!$A:$A,AK$19,Lançamentos!$C:$C,"Simples Nacional / DAS")</f>
        <v>0</v>
      </c>
      <c r="AL73" s="37">
        <f>SUMIFS(Lançamentos!$F:$F,Lançamentos!$A:$A,AL$19,Lançamentos!$C:$C,"Simples Nacional / DAS")</f>
        <v>0</v>
      </c>
      <c r="AM73" s="37">
        <f>SUMIFS(Lançamentos!$F:$F,Lançamentos!$A:$A,AM$19,Lançamentos!$C:$C,"Simples Nacional / DAS")</f>
        <v>0</v>
      </c>
      <c r="AN73" s="37">
        <f>SUMIFS(Lançamentos!$F:$F,Lançamentos!$A:$A,AN$19,Lançamentos!$C:$C,"Simples Nacional / DAS")</f>
        <v>0</v>
      </c>
      <c r="AO73" s="37">
        <f>SUMIFS(Lançamentos!$F:$F,Lançamentos!$A:$A,AO$19,Lançamentos!$C:$C,"Simples Nacional / DAS")</f>
        <v>0</v>
      </c>
      <c r="AP73" s="37">
        <f>SUMIFS(Lançamentos!$F:$F,Lançamentos!$A:$A,AP$19,Lançamentos!$C:$C,"Simples Nacional / DAS")</f>
        <v>0</v>
      </c>
      <c r="AQ73" s="37">
        <f>SUMIFS(Lançamentos!$F:$F,Lançamentos!$A:$A,AQ$19,Lançamentos!$C:$C,"Simples Nacional / DAS")</f>
        <v>0</v>
      </c>
      <c r="AR73" s="37">
        <f>SUMIFS(Lançamentos!$F:$F,Lançamentos!$A:$A,AR$19,Lançamentos!$C:$C,"Simples Nacional / DAS")</f>
        <v>0</v>
      </c>
      <c r="AS73" s="37">
        <f>SUMIFS(Lançamentos!$F:$F,Lançamentos!$A:$A,AS$19,Lançamentos!$C:$C,"Simples Nacional / DAS")</f>
        <v>0</v>
      </c>
      <c r="AT73" s="37">
        <f>SUMIFS(Lançamentos!$F:$F,Lançamentos!$A:$A,AT$19,Lançamentos!$C:$C,"Simples Nacional / DAS")</f>
        <v>0</v>
      </c>
      <c r="AU73" s="37">
        <f>SUMIFS(Lançamentos!$F:$F,Lançamentos!$A:$A,AU$19,Lançamentos!$C:$C,"Simples Nacional / DAS")</f>
        <v>0</v>
      </c>
      <c r="AV73" s="37">
        <f>SUMIFS(Lançamentos!$F:$F,Lançamentos!$A:$A,AV$19,Lançamentos!$C:$C,"Simples Nacional / DAS")</f>
        <v>0</v>
      </c>
      <c r="AW73" s="37">
        <f>SUMIFS(Lançamentos!$F:$F,Lançamentos!$A:$A,AW$19,Lançamentos!$C:$C,"Simples Nacional / DAS")</f>
        <v>0</v>
      </c>
      <c r="AX73" s="37">
        <f>SUMIFS(Lançamentos!$F:$F,Lançamentos!$A:$A,AX$19,Lançamentos!$C:$C,"Simples Nacional / DAS")</f>
        <v>0</v>
      </c>
      <c r="AY73" s="37">
        <f>SUMIFS(Lançamentos!$F:$F,Lançamentos!$A:$A,AY$19,Lançamentos!$C:$C,"Simples Nacional / DAS")</f>
        <v>0</v>
      </c>
      <c r="AZ73" s="37">
        <f>SUMIFS(Lançamentos!$F:$F,Lançamentos!$A:$A,AZ$19,Lançamentos!$C:$C,"Simples Nacional / DAS")</f>
        <v>0</v>
      </c>
      <c r="BA73" s="37">
        <f>SUMIFS(Lançamentos!$F:$F,Lançamentos!$A:$A,BA$19,Lançamentos!$C:$C,"Simples Nacional / DAS")</f>
        <v>0</v>
      </c>
      <c r="BB73" s="37">
        <f>SUMIFS(Lançamentos!$F:$F,Lançamentos!$A:$A,BB$19,Lançamentos!$C:$C,"Simples Nacional / DAS")</f>
        <v>0</v>
      </c>
      <c r="BC73" s="37">
        <f>SUMIFS(Lançamentos!$F:$F,Lançamentos!$A:$A,BC$19,Lançamentos!$C:$C,"Simples Nacional / DAS")</f>
        <v>0</v>
      </c>
      <c r="BD73" s="37">
        <f>SUMIFS(Lançamentos!$F:$F,Lançamentos!$A:$A,BD$19,Lançamentos!$C:$C,"Simples Nacional / DAS")</f>
        <v>0</v>
      </c>
      <c r="BE73" s="37">
        <f>SUMIFS(Lançamentos!$F:$F,Lançamentos!$A:$A,BE$19,Lançamentos!$C:$C,"Simples Nacional / DAS")</f>
        <v>0</v>
      </c>
      <c r="BF73" s="37">
        <f>SUMIFS(Lançamentos!$F:$F,Lançamentos!$A:$A,BF$19,Lançamentos!$C:$C,"Simples Nacional / DAS")</f>
        <v>0</v>
      </c>
      <c r="BG73" s="37">
        <f>SUMIFS(Lançamentos!$F:$F,Lançamentos!$A:$A,BG$19,Lançamentos!$C:$C,"Simples Nacional / DAS")</f>
        <v>0</v>
      </c>
      <c r="BH73" s="37">
        <f>SUMIFS(Lançamentos!$F:$F,Lançamentos!$A:$A,BH$19,Lançamentos!$C:$C,"Simples Nacional / DAS")</f>
        <v>0</v>
      </c>
      <c r="BI73" s="37">
        <f>SUMIFS(Lançamentos!$F:$F,Lançamentos!$A:$A,BI$19,Lançamentos!$C:$C,"Simples Nacional / DAS")</f>
        <v>0</v>
      </c>
      <c r="BJ73" s="37">
        <f>SUMIFS(Lançamentos!$F:$F,Lançamentos!$A:$A,BJ$19,Lançamentos!$C:$C,"Simples Nacional / DAS")</f>
        <v>0</v>
      </c>
      <c r="BK73" s="37">
        <f>SUMIFS(Lançamentos!$F:$F,Lançamentos!$A:$A,BK$19,Lançamentos!$C:$C,"Simples Nacional / DAS")</f>
        <v>0</v>
      </c>
      <c r="BL73" s="37">
        <f>SUMIFS(Lançamentos!$F:$F,Lançamentos!$A:$A,BL$19,Lançamentos!$C:$C,"Simples Nacional / DAS")</f>
        <v>0</v>
      </c>
      <c r="BM73" s="37">
        <f>SUMIFS(Lançamentos!$F:$F,Lançamentos!$A:$A,BM$19,Lançamentos!$C:$C,"Simples Nacional / DAS")</f>
        <v>0</v>
      </c>
      <c r="BN73" s="37">
        <f>SUMIFS(Lançamentos!$F:$F,Lançamentos!$A:$A,BN$19,Lançamentos!$C:$C,"Simples Nacional / DAS")</f>
        <v>0</v>
      </c>
      <c r="BO73" s="37">
        <f>SUMIFS(Lançamentos!$F:$F,Lançamentos!$A:$A,BO$19,Lançamentos!$C:$C,"Simples Nacional / DAS")</f>
        <v>0</v>
      </c>
      <c r="BP73" s="37">
        <f>SUMIFS(Lançamentos!$F:$F,Lançamentos!$A:$A,BP$19,Lançamentos!$C:$C,"Simples Nacional / DAS")</f>
        <v>0</v>
      </c>
      <c r="BQ73" s="37">
        <f>SUMIFS(Lançamentos!$F:$F,Lançamentos!$A:$A,BQ$19,Lançamentos!$C:$C,"Simples Nacional / DAS")</f>
        <v>0</v>
      </c>
      <c r="BR73" s="37">
        <f>SUMIFS(Lançamentos!$F:$F,Lançamentos!$A:$A,BR$19,Lançamentos!$C:$C,"Simples Nacional / DAS")</f>
        <v>0</v>
      </c>
      <c r="BS73" s="37">
        <f>SUMIFS(Lançamentos!$F:$F,Lançamentos!$A:$A,BS$19,Lançamentos!$C:$C,"Simples Nacional / DAS")</f>
        <v>0</v>
      </c>
      <c r="BT73" s="37">
        <f>SUMIFS(Lançamentos!$F:$F,Lançamentos!$A:$A,BT$19,Lançamentos!$C:$C,"Simples Nacional / DAS")</f>
        <v>0</v>
      </c>
      <c r="BU73" s="37">
        <f>SUMIFS(Lançamentos!$F:$F,Lançamentos!$A:$A,BU$19,Lançamentos!$C:$C,"Simples Nacional / DAS")</f>
        <v>0</v>
      </c>
      <c r="BV73" s="37">
        <f>SUMIFS(Lançamentos!$F:$F,Lançamentos!$A:$A,BV$19,Lançamentos!$C:$C,"Simples Nacional / DAS")</f>
        <v>0</v>
      </c>
      <c r="BW73" s="37">
        <f>SUMIFS(Lançamentos!$F:$F,Lançamentos!$A:$A,BW$19,Lançamentos!$C:$C,"Simples Nacional / DAS")</f>
        <v>0</v>
      </c>
      <c r="BX73" s="37">
        <f>SUMIFS(Lançamentos!$F:$F,Lançamentos!$A:$A,BX$19,Lançamentos!$C:$C,"Simples Nacional / DAS")</f>
        <v>0</v>
      </c>
      <c r="BY73" s="37">
        <f>SUMIFS(Lançamentos!$F:$F,Lançamentos!$A:$A,BY$19,Lançamentos!$C:$C,"Simples Nacional / DAS")</f>
        <v>0</v>
      </c>
      <c r="BZ73" s="37">
        <f>SUMIFS(Lançamentos!$F:$F,Lançamentos!$A:$A,BZ$19,Lançamentos!$C:$C,"Simples Nacional / DAS")</f>
        <v>0</v>
      </c>
      <c r="CA73" s="37">
        <f>SUMIFS(Lançamentos!$F:$F,Lançamentos!$A:$A,CA$19,Lançamentos!$C:$C,"Simples Nacional / DAS")</f>
        <v>0</v>
      </c>
      <c r="CB73" s="37">
        <f>SUMIFS(Lançamentos!$F:$F,Lançamentos!$A:$A,CB$19,Lançamentos!$C:$C,"Simples Nacional / DAS")</f>
        <v>0</v>
      </c>
      <c r="CC73" s="37">
        <f>SUMIFS(Lançamentos!$F:$F,Lançamentos!$A:$A,CC$19,Lançamentos!$C:$C,"Simples Nacional / DAS")</f>
        <v>0</v>
      </c>
      <c r="CD73" s="37">
        <f>SUMIFS(Lançamentos!$F:$F,Lançamentos!$A:$A,CD$19,Lançamentos!$C:$C,"Simples Nacional / DAS")</f>
        <v>0</v>
      </c>
      <c r="CE73" s="37">
        <f>SUMIFS(Lançamentos!$F:$F,Lançamentos!$A:$A,CE$19,Lançamentos!$C:$C,"Simples Nacional / DAS")</f>
        <v>0</v>
      </c>
      <c r="CF73" s="37">
        <f>SUMIFS(Lançamentos!$F:$F,Lançamentos!$A:$A,CF$19,Lançamentos!$C:$C,"Simples Nacional / DAS")</f>
        <v>0</v>
      </c>
      <c r="CG73" s="37">
        <f>SUMIFS(Lançamentos!$F:$F,Lançamentos!$A:$A,CG$19,Lançamentos!$C:$C,"Simples Nacional / DAS")</f>
        <v>0</v>
      </c>
      <c r="CH73" s="37">
        <f>SUMIFS(Lançamentos!$F:$F,Lançamentos!$A:$A,CH$19,Lançamentos!$C:$C,"Simples Nacional / DAS")</f>
        <v>0</v>
      </c>
      <c r="CI73" s="37">
        <f>SUMIFS(Lançamentos!$F:$F,Lançamentos!$A:$A,CI$19,Lançamentos!$C:$C,"Simples Nacional / DAS")</f>
        <v>0</v>
      </c>
      <c r="CJ73" s="37">
        <f>SUMIFS(Lançamentos!$F:$F,Lançamentos!$A:$A,CJ$19,Lançamentos!$C:$C,"Simples Nacional / DAS")</f>
        <v>0</v>
      </c>
      <c r="CK73" s="37">
        <f>SUMIFS(Lançamentos!$F:$F,Lançamentos!$A:$A,CK$19,Lançamentos!$C:$C,"Simples Nacional / DAS")</f>
        <v>0</v>
      </c>
      <c r="CL73" s="37">
        <f>SUMIFS(Lançamentos!$F:$F,Lançamentos!$A:$A,CL$19,Lançamentos!$C:$C,"Simples Nacional / DAS")</f>
        <v>0</v>
      </c>
      <c r="CM73" s="37">
        <f>SUMIFS(Lançamentos!$F:$F,Lançamentos!$A:$A,CM$19,Lançamentos!$C:$C,"Simples Nacional / DAS")</f>
        <v>0</v>
      </c>
      <c r="CN73" s="37">
        <f>SUMIFS(Lançamentos!$F:$F,Lançamentos!$A:$A,CN$19,Lançamentos!$C:$C,"Simples Nacional / DAS")</f>
        <v>0</v>
      </c>
      <c r="CO73" s="37">
        <f>SUMIFS(Lançamentos!$F:$F,Lançamentos!$A:$A,CO$19,Lançamentos!$C:$C,"Simples Nacional / DAS")</f>
        <v>0</v>
      </c>
      <c r="CP73" s="37">
        <f>SUMIFS(Lançamentos!$F:$F,Lançamentos!$A:$A,CP$19,Lançamentos!$C:$C,"Simples Nacional / DAS")</f>
        <v>0</v>
      </c>
      <c r="CQ73" s="37">
        <f>SUMIFS(Lançamentos!$F:$F,Lançamentos!$A:$A,CQ$19,Lançamentos!$C:$C,"Simples Nacional / DAS")</f>
        <v>0</v>
      </c>
      <c r="CR73" s="37">
        <f>SUMIFS(Lançamentos!$F:$F,Lançamentos!$A:$A,CR$19,Lançamentos!$C:$C,"Simples Nacional / DAS")</f>
        <v>0</v>
      </c>
      <c r="CS73" s="37">
        <f>SUMIFS(Lançamentos!$F:$F,Lançamentos!$A:$A,CS$19,Lançamentos!$C:$C,"Simples Nacional / DAS")</f>
        <v>0</v>
      </c>
      <c r="CT73" s="37">
        <f>SUMIFS(Lançamentos!$F:$F,Lançamentos!$A:$A,CT$19,Lançamentos!$C:$C,"Simples Nacional / DAS")</f>
        <v>0</v>
      </c>
      <c r="CU73" s="37">
        <f>SUMIFS(Lançamentos!$F:$F,Lançamentos!$A:$A,CU$19,Lançamentos!$C:$C,"Simples Nacional / DAS")</f>
        <v>0</v>
      </c>
      <c r="CV73" s="37">
        <f>SUMIFS(Lançamentos!$F:$F,Lançamentos!$A:$A,CV$19,Lançamentos!$C:$C,"Simples Nacional / DAS")</f>
        <v>0</v>
      </c>
      <c r="CW73" s="37">
        <f>SUMIFS(Lançamentos!$F:$F,Lançamentos!$A:$A,CW$19,Lançamentos!$C:$C,"Simples Nacional / DAS")</f>
        <v>0</v>
      </c>
      <c r="CX73" s="37">
        <f>SUMIFS(Lançamentos!$F:$F,Lançamentos!$A:$A,CX$19,Lançamentos!$C:$C,"Simples Nacional / DAS")</f>
        <v>0</v>
      </c>
      <c r="CY73" s="37">
        <f>SUMIFS(Lançamentos!$F:$F,Lançamentos!$A:$A,CY$19,Lançamentos!$C:$C,"Simples Nacional / DAS")</f>
        <v>0</v>
      </c>
      <c r="CZ73" s="37">
        <f>SUMIFS(Lançamentos!$F:$F,Lançamentos!$A:$A,CZ$19,Lançamentos!$C:$C,"Simples Nacional / DAS")</f>
        <v>0</v>
      </c>
      <c r="DA73" s="37">
        <f>SUMIFS(Lançamentos!$F:$F,Lançamentos!$A:$A,DA$19,Lançamentos!$C:$C,"Simples Nacional / DAS")</f>
        <v>0</v>
      </c>
      <c r="DB73" s="37">
        <f>SUMIFS(Lançamentos!$F:$F,Lançamentos!$A:$A,DB$19,Lançamentos!$C:$C,"Simples Nacional / DAS")</f>
        <v>0</v>
      </c>
      <c r="DC73" s="37">
        <f>SUMIFS(Lançamentos!$F:$F,Lançamentos!$A:$A,DC$19,Lançamentos!$C:$C,"Simples Nacional / DAS")</f>
        <v>0</v>
      </c>
      <c r="DD73" s="37">
        <f>SUMIFS(Lançamentos!$F:$F,Lançamentos!$A:$A,DD$19,Lançamentos!$C:$C,"Simples Nacional / DAS")</f>
        <v>0</v>
      </c>
      <c r="DE73" s="37">
        <f>SUMIFS(Lançamentos!$F:$F,Lançamentos!$A:$A,DE$19,Lançamentos!$C:$C,"Simples Nacional / DAS")</f>
        <v>0</v>
      </c>
      <c r="DF73" s="37">
        <f>SUMIFS(Lançamentos!$F:$F,Lançamentos!$A:$A,DF$19,Lançamentos!$C:$C,"Simples Nacional / DAS")</f>
        <v>0</v>
      </c>
      <c r="DG73" s="37">
        <f>SUMIFS(Lançamentos!$F:$F,Lançamentos!$A:$A,DG$19,Lançamentos!$C:$C,"Simples Nacional / DAS")</f>
        <v>0</v>
      </c>
      <c r="DH73" s="37">
        <f>SUMIFS(Lançamentos!$F:$F,Lançamentos!$A:$A,DH$19,Lançamentos!$C:$C,"Simples Nacional / DAS")</f>
        <v>0</v>
      </c>
      <c r="DI73" s="37">
        <f>SUMIFS(Lançamentos!$F:$F,Lançamentos!$A:$A,DI$19,Lançamentos!$C:$C,"Simples Nacional / DAS")</f>
        <v>0</v>
      </c>
      <c r="DJ73" s="37">
        <f>SUMIFS(Lançamentos!$F:$F,Lançamentos!$A:$A,DJ$19,Lançamentos!$C:$C,"Simples Nacional / DAS")</f>
        <v>0</v>
      </c>
      <c r="DK73" s="37">
        <f>SUMIFS(Lançamentos!$F:$F,Lançamentos!$A:$A,DK$19,Lançamentos!$C:$C,"Simples Nacional / DAS")</f>
        <v>0</v>
      </c>
      <c r="DL73" s="37">
        <f>SUMIFS(Lançamentos!$F:$F,Lançamentos!$A:$A,DL$19,Lançamentos!$C:$C,"Simples Nacional / DAS")</f>
        <v>0</v>
      </c>
      <c r="DM73" s="37">
        <f>SUMIFS(Lançamentos!$F:$F,Lançamentos!$A:$A,DM$19,Lançamentos!$C:$C,"Simples Nacional / DAS")</f>
        <v>0</v>
      </c>
      <c r="DN73" s="37">
        <f>SUMIFS(Lançamentos!$F:$F,Lançamentos!$A:$A,DN$19,Lançamentos!$C:$C,"Simples Nacional / DAS")</f>
        <v>0</v>
      </c>
      <c r="DO73" s="37">
        <f>SUMIFS(Lançamentos!$F:$F,Lançamentos!$A:$A,DO$19,Lançamentos!$C:$C,"Simples Nacional / DAS")</f>
        <v>0</v>
      </c>
      <c r="DP73" s="37">
        <f>SUMIFS(Lançamentos!$F:$F,Lançamentos!$A:$A,DP$19,Lançamentos!$C:$C,"Simples Nacional / DAS")</f>
        <v>0</v>
      </c>
      <c r="DQ73" s="37">
        <f>SUMIFS(Lançamentos!$F:$F,Lançamentos!$A:$A,DQ$19,Lançamentos!$C:$C,"Simples Nacional / DAS")</f>
        <v>0</v>
      </c>
      <c r="DR73" s="37">
        <f>SUMIFS(Lançamentos!$F:$F,Lançamentos!$A:$A,DR$19,Lançamentos!$C:$C,"Simples Nacional / DAS")</f>
        <v>0</v>
      </c>
      <c r="DS73" s="37">
        <f>SUMIFS(Lançamentos!$F:$F,Lançamentos!$A:$A,DS$19,Lançamentos!$C:$C,"Simples Nacional / DAS")</f>
        <v>0</v>
      </c>
      <c r="DT73" s="37">
        <f>SUMIFS(Lançamentos!$F:$F,Lançamentos!$A:$A,DT$19,Lançamentos!$C:$C,"Simples Nacional / DAS")</f>
        <v>0</v>
      </c>
      <c r="DU73" s="37">
        <f>SUMIFS(Lançamentos!$F:$F,Lançamentos!$A:$A,DU$19,Lançamentos!$C:$C,"Simples Nacional / DAS")</f>
        <v>0</v>
      </c>
      <c r="DV73" s="37">
        <f>SUMIFS(Lançamentos!$F:$F,Lançamentos!$A:$A,DV$19,Lançamentos!$C:$C,"Simples Nacional / DAS")</f>
        <v>0</v>
      </c>
      <c r="DW73" s="37">
        <f>SUMIFS(Lançamentos!$F:$F,Lançamentos!$A:$A,DW$19,Lançamentos!$C:$C,"Simples Nacional / DAS")</f>
        <v>0</v>
      </c>
      <c r="DX73" s="37">
        <f>SUMIFS(Lançamentos!$F:$F,Lançamentos!$A:$A,DX$19,Lançamentos!$C:$C,"Simples Nacional / DAS")</f>
        <v>0</v>
      </c>
      <c r="DY73" s="37">
        <f>SUMIFS(Lançamentos!$F:$F,Lançamentos!$A:$A,DY$19,Lançamentos!$C:$C,"Simples Nacional / DAS")</f>
        <v>0</v>
      </c>
      <c r="DZ73" s="37">
        <f>SUMIFS(Lançamentos!$F:$F,Lançamentos!$A:$A,DZ$19,Lançamentos!$C:$C,"Simples Nacional / DAS")</f>
        <v>0</v>
      </c>
      <c r="EA73" s="37">
        <f>SUMIFS(Lançamentos!$F:$F,Lançamentos!$A:$A,EA$19,Lançamentos!$C:$C,"Simples Nacional / DAS")</f>
        <v>0</v>
      </c>
      <c r="EB73" s="37">
        <f>SUMIFS(Lançamentos!$F:$F,Lançamentos!$A:$A,EB$19,Lançamentos!$C:$C,"Simples Nacional / DAS")</f>
        <v>0</v>
      </c>
      <c r="EC73" s="37">
        <f>SUMIFS(Lançamentos!$F:$F,Lançamentos!$A:$A,EC$19,Lançamentos!$C:$C,"Simples Nacional / DAS")</f>
        <v>0</v>
      </c>
      <c r="ED73" s="37">
        <f>SUMIFS(Lançamentos!$F:$F,Lançamentos!$A:$A,ED$19,Lançamentos!$C:$C,"Simples Nacional / DAS")</f>
        <v>0</v>
      </c>
      <c r="EE73" s="37">
        <f>SUMIFS(Lançamentos!$F:$F,Lançamentos!$A:$A,EE$19,Lançamentos!$C:$C,"Simples Nacional / DAS")</f>
        <v>0</v>
      </c>
      <c r="EF73" s="37">
        <f>SUMIFS(Lançamentos!$F:$F,Lançamentos!$A:$A,EF$19,Lançamentos!$C:$C,"Simples Nacional / DAS")</f>
        <v>0</v>
      </c>
      <c r="EG73" s="37">
        <f>SUMIFS(Lançamentos!$F:$F,Lançamentos!$A:$A,EG$19,Lançamentos!$C:$C,"Simples Nacional / DAS")</f>
        <v>0</v>
      </c>
      <c r="EH73" s="37">
        <f>SUMIFS(Lançamentos!$F:$F,Lançamentos!$A:$A,EH$19,Lançamentos!$C:$C,"Simples Nacional / DAS")</f>
        <v>0</v>
      </c>
      <c r="EI73" s="37">
        <f>SUMIFS(Lançamentos!$F:$F,Lançamentos!$A:$A,EI$19,Lançamentos!$C:$C,"Simples Nacional / DAS")</f>
        <v>0</v>
      </c>
      <c r="EJ73" s="37">
        <f>SUMIFS(Lançamentos!$F:$F,Lançamentos!$A:$A,EJ$19,Lançamentos!$C:$C,"Simples Nacional / DAS")</f>
        <v>0</v>
      </c>
      <c r="EK73" s="37">
        <f>SUMIFS(Lançamentos!$F:$F,Lançamentos!$A:$A,EK$19,Lançamentos!$C:$C,"Simples Nacional / DAS")</f>
        <v>0</v>
      </c>
      <c r="EL73" s="37">
        <f>SUMIFS(Lançamentos!$F:$F,Lançamentos!$A:$A,EL$19,Lançamentos!$C:$C,"Simples Nacional / DAS")</f>
        <v>0</v>
      </c>
      <c r="EM73" s="37">
        <f>SUMIFS(Lançamentos!$F:$F,Lançamentos!$A:$A,EM$19,Lançamentos!$C:$C,"Simples Nacional / DAS")</f>
        <v>0</v>
      </c>
      <c r="EN73" s="37">
        <f>SUMIFS(Lançamentos!$F:$F,Lançamentos!$A:$A,EN$19,Lançamentos!$C:$C,"Simples Nacional / DAS")</f>
        <v>0</v>
      </c>
      <c r="EO73" s="37">
        <f>SUMIFS(Lançamentos!$F:$F,Lançamentos!$A:$A,EO$19,Lançamentos!$C:$C,"Simples Nacional / DAS")</f>
        <v>0</v>
      </c>
      <c r="EP73" s="37">
        <f>SUMIFS(Lançamentos!$F:$F,Lançamentos!$A:$A,EP$19,Lançamentos!$C:$C,"Simples Nacional / DAS")</f>
        <v>0</v>
      </c>
      <c r="EQ73" s="37">
        <f>SUMIFS(Lançamentos!$F:$F,Lançamentos!$A:$A,EQ$19,Lançamentos!$C:$C,"Simples Nacional / DAS")</f>
        <v>0</v>
      </c>
      <c r="ER73" s="37">
        <f>SUMIFS(Lançamentos!$F:$F,Lançamentos!$A:$A,ER$19,Lançamentos!$C:$C,"Simples Nacional / DAS")</f>
        <v>0</v>
      </c>
      <c r="ES73" s="37">
        <f>SUMIFS(Lançamentos!$F:$F,Lançamentos!$A:$A,ES$19,Lançamentos!$C:$C,"Simples Nacional / DAS")</f>
        <v>0</v>
      </c>
      <c r="ET73" s="37">
        <f>SUMIFS(Lançamentos!$F:$F,Lançamentos!$A:$A,ET$19,Lançamentos!$C:$C,"Simples Nacional / DAS")</f>
        <v>0</v>
      </c>
      <c r="EU73" s="37">
        <f>SUMIFS(Lançamentos!$F:$F,Lançamentos!$A:$A,EU$19,Lançamentos!$C:$C,"Simples Nacional / DAS")</f>
        <v>0</v>
      </c>
      <c r="EV73" s="37">
        <f>SUMIFS(Lançamentos!$F:$F,Lançamentos!$A:$A,EV$19,Lançamentos!$C:$C,"Simples Nacional / DAS")</f>
        <v>0</v>
      </c>
      <c r="EW73" s="37">
        <f>SUMIFS(Lançamentos!$F:$F,Lançamentos!$A:$A,EW$19,Lançamentos!$C:$C,"Simples Nacional / DAS")</f>
        <v>0</v>
      </c>
      <c r="EX73" s="37">
        <f>SUMIFS(Lançamentos!$F:$F,Lançamentos!$A:$A,EX$19,Lançamentos!$C:$C,"Simples Nacional / DAS")</f>
        <v>0</v>
      </c>
      <c r="EY73" s="37">
        <f>SUMIFS(Lançamentos!$F:$F,Lançamentos!$A:$A,EY$19,Lançamentos!$C:$C,"Simples Nacional / DAS")</f>
        <v>0</v>
      </c>
      <c r="EZ73" s="37">
        <f>SUMIFS(Lançamentos!$F:$F,Lançamentos!$A:$A,EZ$19,Lançamentos!$C:$C,"Simples Nacional / DAS")</f>
        <v>0</v>
      </c>
      <c r="FA73" s="37">
        <f>SUMIFS(Lançamentos!$F:$F,Lançamentos!$A:$A,FA$19,Lançamentos!$C:$C,"Simples Nacional / DAS")</f>
        <v>0</v>
      </c>
      <c r="FB73" s="37">
        <f>SUMIFS(Lançamentos!$F:$F,Lançamentos!$A:$A,FB$19,Lançamentos!$C:$C,"Simples Nacional / DAS")</f>
        <v>0</v>
      </c>
      <c r="FC73" s="37">
        <f>SUMIFS(Lançamentos!$F:$F,Lançamentos!$A:$A,FC$19,Lançamentos!$C:$C,"Simples Nacional / DAS")</f>
        <v>0</v>
      </c>
      <c r="FD73" s="37">
        <f>SUMIFS(Lançamentos!$F:$F,Lançamentos!$A:$A,FD$19,Lançamentos!$C:$C,"Simples Nacional / DAS")</f>
        <v>0</v>
      </c>
      <c r="FE73" s="37">
        <f>SUMIFS(Lançamentos!$F:$F,Lançamentos!$A:$A,FE$19,Lançamentos!$C:$C,"Simples Nacional / DAS")</f>
        <v>0</v>
      </c>
      <c r="FF73" s="37">
        <f>SUMIFS(Lançamentos!$F:$F,Lançamentos!$A:$A,FF$19,Lançamentos!$C:$C,"Simples Nacional / DAS")</f>
        <v>0</v>
      </c>
      <c r="FG73" s="37">
        <f>SUMIFS(Lançamentos!$F:$F,Lançamentos!$A:$A,FG$19,Lançamentos!$C:$C,"Simples Nacional / DAS")</f>
        <v>0</v>
      </c>
      <c r="FH73" s="37">
        <f>SUMIFS(Lançamentos!$F:$F,Lançamentos!$A:$A,FH$19,Lançamentos!$C:$C,"Simples Nacional / DAS")</f>
        <v>0</v>
      </c>
      <c r="FI73" s="37">
        <f>SUMIFS(Lançamentos!$F:$F,Lançamentos!$A:$A,FI$19,Lançamentos!$C:$C,"Simples Nacional / DAS")</f>
        <v>0</v>
      </c>
      <c r="FJ73" s="37">
        <f>SUMIFS(Lançamentos!$F:$F,Lançamentos!$A:$A,FJ$19,Lançamentos!$C:$C,"Simples Nacional / DAS")</f>
        <v>0</v>
      </c>
      <c r="FK73" s="37">
        <f>SUMIFS(Lançamentos!$F:$F,Lançamentos!$A:$A,FK$19,Lançamentos!$C:$C,"Simples Nacional / DAS")</f>
        <v>0</v>
      </c>
      <c r="FL73" s="37">
        <f>SUMIFS(Lançamentos!$F:$F,Lançamentos!$A:$A,FL$19,Lançamentos!$C:$C,"Simples Nacional / DAS")</f>
        <v>0</v>
      </c>
      <c r="FM73" s="37">
        <f>SUMIFS(Lançamentos!$F:$F,Lançamentos!$A:$A,FM$19,Lançamentos!$C:$C,"Simples Nacional / DAS")</f>
        <v>0</v>
      </c>
      <c r="FN73" s="37">
        <f>SUMIFS(Lançamentos!$F:$F,Lançamentos!$A:$A,FN$19,Lançamentos!$C:$C,"Simples Nacional / DAS")</f>
        <v>0</v>
      </c>
      <c r="FO73" s="37">
        <f>SUMIFS(Lançamentos!$F:$F,Lançamentos!$A:$A,FO$19,Lançamentos!$C:$C,"Simples Nacional / DAS")</f>
        <v>0</v>
      </c>
      <c r="FP73" s="37">
        <f>SUMIFS(Lançamentos!$F:$F,Lançamentos!$A:$A,FP$19,Lançamentos!$C:$C,"Simples Nacional / DAS")</f>
        <v>0</v>
      </c>
      <c r="FQ73" s="37">
        <f>SUMIFS(Lançamentos!$F:$F,Lançamentos!$A:$A,FQ$19,Lançamentos!$C:$C,"Simples Nacional / DAS")</f>
        <v>0</v>
      </c>
      <c r="FR73" s="37">
        <f>SUMIFS(Lançamentos!$F:$F,Lançamentos!$A:$A,FR$19,Lançamentos!$C:$C,"Simples Nacional / DAS")</f>
        <v>0</v>
      </c>
      <c r="FS73" s="37">
        <f>SUMIFS(Lançamentos!$F:$F,Lançamentos!$A:$A,FS$19,Lançamentos!$C:$C,"Simples Nacional / DAS")</f>
        <v>0</v>
      </c>
      <c r="FT73" s="37">
        <f>SUMIFS(Lançamentos!$F:$F,Lançamentos!$A:$A,FT$19,Lançamentos!$C:$C,"Simples Nacional / DAS")</f>
        <v>0</v>
      </c>
      <c r="FU73" s="37">
        <f>SUMIFS(Lançamentos!$F:$F,Lançamentos!$A:$A,FU$19,Lançamentos!$C:$C,"Simples Nacional / DAS")</f>
        <v>0</v>
      </c>
      <c r="FV73" s="37">
        <f>SUMIFS(Lançamentos!$F:$F,Lançamentos!$A:$A,FV$19,Lançamentos!$C:$C,"Simples Nacional / DAS")</f>
        <v>0</v>
      </c>
      <c r="FW73" s="37">
        <f>SUMIFS(Lançamentos!$F:$F,Lançamentos!$A:$A,FW$19,Lançamentos!$C:$C,"Simples Nacional / DAS")</f>
        <v>0</v>
      </c>
      <c r="FX73" s="37">
        <f>SUMIFS(Lançamentos!$F:$F,Lançamentos!$A:$A,FX$19,Lançamentos!$C:$C,"Simples Nacional / DAS")</f>
        <v>0</v>
      </c>
      <c r="FY73" s="37">
        <f>SUMIFS(Lançamentos!$F:$F,Lançamentos!$A:$A,FY$19,Lançamentos!$C:$C,"Simples Nacional / DAS")</f>
        <v>0</v>
      </c>
      <c r="FZ73" s="37">
        <f>SUMIFS(Lançamentos!$F:$F,Lançamentos!$A:$A,FZ$19,Lançamentos!$C:$C,"Simples Nacional / DAS")</f>
        <v>0</v>
      </c>
      <c r="GA73" s="37">
        <f>SUMIFS(Lançamentos!$F:$F,Lançamentos!$A:$A,GA$19,Lançamentos!$C:$C,"Simples Nacional / DAS")</f>
        <v>0</v>
      </c>
      <c r="GB73" s="37">
        <f>SUMIFS(Lançamentos!$F:$F,Lançamentos!$A:$A,GB$19,Lançamentos!$C:$C,"Simples Nacional / DAS")</f>
        <v>0</v>
      </c>
      <c r="GC73" s="37">
        <f>SUMIFS(Lançamentos!$F:$F,Lançamentos!$A:$A,GC$19,Lançamentos!$C:$C,"Simples Nacional / DAS")</f>
        <v>0</v>
      </c>
      <c r="GD73" s="37">
        <f>SUMIFS(Lançamentos!$F:$F,Lançamentos!$A:$A,GD$19,Lançamentos!$C:$C,"Simples Nacional / DAS")</f>
        <v>0</v>
      </c>
      <c r="GE73" s="37">
        <f>SUMIFS(Lançamentos!$F:$F,Lançamentos!$A:$A,GE$19,Lançamentos!$C:$C,"Simples Nacional / DAS")</f>
        <v>0</v>
      </c>
      <c r="GF73" s="37">
        <f>SUMIFS(Lançamentos!$F:$F,Lançamentos!$A:$A,GF$19,Lançamentos!$C:$C,"Simples Nacional / DAS")</f>
        <v>0</v>
      </c>
      <c r="GG73" s="37">
        <f>SUMIFS(Lançamentos!$F:$F,Lançamentos!$A:$A,GG$19,Lançamentos!$C:$C,"Simples Nacional / DAS")</f>
        <v>0</v>
      </c>
      <c r="GH73" s="37">
        <f>SUMIFS(Lançamentos!$F:$F,Lançamentos!$A:$A,GH$19,Lançamentos!$C:$C,"Simples Nacional / DAS")</f>
        <v>0</v>
      </c>
      <c r="GI73" s="37">
        <f>SUMIFS(Lançamentos!$F:$F,Lançamentos!$A:$A,GI$19,Lançamentos!$C:$C,"Simples Nacional / DAS")</f>
        <v>0</v>
      </c>
      <c r="GJ73" s="37">
        <f>SUMIFS(Lançamentos!$F:$F,Lançamentos!$A:$A,GJ$19,Lançamentos!$C:$C,"Simples Nacional / DAS")</f>
        <v>0</v>
      </c>
      <c r="GK73" s="37">
        <f>SUMIFS(Lançamentos!$F:$F,Lançamentos!$A:$A,GK$19,Lançamentos!$C:$C,"Simples Nacional / DAS")</f>
        <v>0</v>
      </c>
      <c r="GL73" s="37">
        <f>SUMIFS(Lançamentos!$F:$F,Lançamentos!$A:$A,GL$19,Lançamentos!$C:$C,"Simples Nacional / DAS")</f>
        <v>0</v>
      </c>
      <c r="GM73" s="37">
        <f>SUMIFS(Lançamentos!$F:$F,Lançamentos!$A:$A,GM$19,Lançamentos!$C:$C,"Simples Nacional / DAS")</f>
        <v>0</v>
      </c>
      <c r="GN73" s="37">
        <f>SUMIFS(Lançamentos!$F:$F,Lançamentos!$A:$A,GN$19,Lançamentos!$C:$C,"Simples Nacional / DAS")</f>
        <v>0</v>
      </c>
      <c r="GO73" s="37">
        <f>SUMIFS(Lançamentos!$F:$F,Lançamentos!$A:$A,GO$19,Lançamentos!$C:$C,"Simples Nacional / DAS")</f>
        <v>0</v>
      </c>
      <c r="GP73" s="37">
        <f>SUMIFS(Lançamentos!$F:$F,Lançamentos!$A:$A,GP$19,Lançamentos!$C:$C,"Simples Nacional / DAS")</f>
        <v>0</v>
      </c>
      <c r="GQ73" s="37">
        <f>SUMIFS(Lançamentos!$F:$F,Lançamentos!$A:$A,GQ$19,Lançamentos!$C:$C,"Simples Nacional / DAS")</f>
        <v>0</v>
      </c>
      <c r="GR73" s="37">
        <f>SUMIFS(Lançamentos!$F:$F,Lançamentos!$A:$A,GR$19,Lançamentos!$C:$C,"Simples Nacional / DAS")</f>
        <v>0</v>
      </c>
      <c r="GS73" s="37">
        <f>SUMIFS(Lançamentos!$F:$F,Lançamentos!$A:$A,GS$19,Lançamentos!$C:$C,"Simples Nacional / DAS")</f>
        <v>0</v>
      </c>
      <c r="GT73" s="37">
        <f>SUMIFS(Lançamentos!$F:$F,Lançamentos!$A:$A,GT$19,Lançamentos!$C:$C,"Simples Nacional / DAS")</f>
        <v>0</v>
      </c>
      <c r="GU73" s="37">
        <f>SUMIFS(Lançamentos!$F:$F,Lançamentos!$A:$A,GU$19,Lançamentos!$C:$C,"Simples Nacional / DAS")</f>
        <v>0</v>
      </c>
      <c r="GV73" s="37">
        <f>SUMIFS(Lançamentos!$F:$F,Lançamentos!$A:$A,GV$19,Lançamentos!$C:$C,"Simples Nacional / DAS")</f>
        <v>0</v>
      </c>
      <c r="GW73" s="37">
        <f>SUMIFS(Lançamentos!$F:$F,Lançamentos!$A:$A,GW$19,Lançamentos!$C:$C,"Simples Nacional / DAS")</f>
        <v>0</v>
      </c>
      <c r="GX73" s="37">
        <f>SUMIFS(Lançamentos!$F:$F,Lançamentos!$A:$A,GX$19,Lançamentos!$C:$C,"Simples Nacional / DAS")</f>
        <v>0</v>
      </c>
      <c r="GY73" s="37">
        <f>SUMIFS(Lançamentos!$F:$F,Lançamentos!$A:$A,GY$19,Lançamentos!$C:$C,"Simples Nacional / DAS")</f>
        <v>0</v>
      </c>
      <c r="GZ73" s="37">
        <f>SUMIFS(Lançamentos!$F:$F,Lançamentos!$A:$A,GZ$19,Lançamentos!$C:$C,"Simples Nacional / DAS")</f>
        <v>0</v>
      </c>
      <c r="HA73" s="37">
        <f>SUMIFS(Lançamentos!$F:$F,Lançamentos!$A:$A,HA$19,Lançamentos!$C:$C,"Simples Nacional / DAS")</f>
        <v>0</v>
      </c>
      <c r="HB73" s="37">
        <f>SUMIFS(Lançamentos!$F:$F,Lançamentos!$A:$A,HB$19,Lançamentos!$C:$C,"Simples Nacional / DAS")</f>
        <v>0</v>
      </c>
      <c r="HC73" s="37">
        <f>SUMIFS(Lançamentos!$F:$F,Lançamentos!$A:$A,HC$19,Lançamentos!$C:$C,"Simples Nacional / DAS")</f>
        <v>0</v>
      </c>
      <c r="HD73" s="37">
        <f>SUMIFS(Lançamentos!$F:$F,Lançamentos!$A:$A,HD$19,Lançamentos!$C:$C,"Simples Nacional / DAS")</f>
        <v>0</v>
      </c>
      <c r="HE73" s="37">
        <f>SUMIFS(Lançamentos!$F:$F,Lançamentos!$A:$A,HE$19,Lançamentos!$C:$C,"Simples Nacional / DAS")</f>
        <v>0</v>
      </c>
      <c r="HF73" s="37">
        <f>SUMIFS(Lançamentos!$F:$F,Lançamentos!$A:$A,HF$19,Lançamentos!$C:$C,"Simples Nacional / DAS")</f>
        <v>0</v>
      </c>
      <c r="HG73" s="37">
        <f>SUMIFS(Lançamentos!$F:$F,Lançamentos!$A:$A,HG$19,Lançamentos!$C:$C,"Simples Nacional / DAS")</f>
        <v>0</v>
      </c>
      <c r="HH73" s="37">
        <f>SUMIFS(Lançamentos!$F:$F,Lançamentos!$A:$A,HH$19,Lançamentos!$C:$C,"Simples Nacional / DAS")</f>
        <v>0</v>
      </c>
      <c r="HI73" s="37">
        <f>SUMIFS(Lançamentos!$F:$F,Lançamentos!$A:$A,HI$19,Lançamentos!$C:$C,"Simples Nacional / DAS")</f>
        <v>0</v>
      </c>
      <c r="HJ73" s="37">
        <f>SUMIFS(Lançamentos!$F:$F,Lançamentos!$A:$A,HJ$19,Lançamentos!$C:$C,"Simples Nacional / DAS")</f>
        <v>0</v>
      </c>
      <c r="HK73" s="37">
        <f>SUMIFS(Lançamentos!$F:$F,Lançamentos!$A:$A,HK$19,Lançamentos!$C:$C,"Simples Nacional / DAS")</f>
        <v>0</v>
      </c>
      <c r="HL73" s="37">
        <f>SUMIFS(Lançamentos!$F:$F,Lançamentos!$A:$A,HL$19,Lançamentos!$C:$C,"Simples Nacional / DAS")</f>
        <v>0</v>
      </c>
      <c r="HM73" s="37">
        <f>SUMIFS(Lançamentos!$F:$F,Lançamentos!$A:$A,HM$19,Lançamentos!$C:$C,"Simples Nacional / DAS")</f>
        <v>0</v>
      </c>
      <c r="HN73" s="37">
        <f>SUMIFS(Lançamentos!$F:$F,Lançamentos!$A:$A,HN$19,Lançamentos!$C:$C,"Simples Nacional / DAS")</f>
        <v>0</v>
      </c>
      <c r="HO73" s="37">
        <f>SUMIFS(Lançamentos!$F:$F,Lançamentos!$A:$A,HO$19,Lançamentos!$C:$C,"Simples Nacional / DAS")</f>
        <v>0</v>
      </c>
      <c r="HP73" s="37">
        <f>SUMIFS(Lançamentos!$F:$F,Lançamentos!$A:$A,HP$19,Lançamentos!$C:$C,"Simples Nacional / DAS")</f>
        <v>0</v>
      </c>
      <c r="HQ73" s="37">
        <f>SUMIFS(Lançamentos!$F:$F,Lançamentos!$A:$A,HQ$19,Lançamentos!$C:$C,"Simples Nacional / DAS")</f>
        <v>0</v>
      </c>
      <c r="HR73" s="37">
        <f>SUMIFS(Lançamentos!$F:$F,Lançamentos!$A:$A,HR$19,Lançamentos!$C:$C,"Simples Nacional / DAS")</f>
        <v>0</v>
      </c>
      <c r="HS73" s="37">
        <f>SUMIFS(Lançamentos!$F:$F,Lançamentos!$A:$A,HS$19,Lançamentos!$C:$C,"Simples Nacional / DAS")</f>
        <v>0</v>
      </c>
      <c r="HT73" s="37">
        <f>SUMIFS(Lançamentos!$F:$F,Lançamentos!$A:$A,HT$19,Lançamentos!$C:$C,"Simples Nacional / DAS")</f>
        <v>0</v>
      </c>
      <c r="HU73" s="37">
        <f>SUMIFS(Lançamentos!$F:$F,Lançamentos!$A:$A,HU$19,Lançamentos!$C:$C,"Simples Nacional / DAS")</f>
        <v>0</v>
      </c>
      <c r="HV73" s="37">
        <f>SUMIFS(Lançamentos!$F:$F,Lançamentos!$A:$A,HV$19,Lançamentos!$C:$C,"Simples Nacional / DAS")</f>
        <v>0</v>
      </c>
      <c r="HW73" s="37">
        <f>SUMIFS(Lançamentos!$F:$F,Lançamentos!$A:$A,HW$19,Lançamentos!$C:$C,"Simples Nacional / DAS")</f>
        <v>0</v>
      </c>
      <c r="HX73" s="37">
        <f>SUMIFS(Lançamentos!$F:$F,Lançamentos!$A:$A,HX$19,Lançamentos!$C:$C,"Simples Nacional / DAS")</f>
        <v>0</v>
      </c>
      <c r="HY73" s="37">
        <f>SUMIFS(Lançamentos!$F:$F,Lançamentos!$A:$A,HY$19,Lançamentos!$C:$C,"Simples Nacional / DAS")</f>
        <v>0</v>
      </c>
      <c r="HZ73" s="37">
        <f>SUMIFS(Lançamentos!$F:$F,Lançamentos!$A:$A,HZ$19,Lançamentos!$C:$C,"Simples Nacional / DAS")</f>
        <v>0</v>
      </c>
      <c r="IA73" s="37">
        <f>SUMIFS(Lançamentos!$F:$F,Lançamentos!$A:$A,IA$19,Lançamentos!$C:$C,"Simples Nacional / DAS")</f>
        <v>0</v>
      </c>
      <c r="IB73" s="37">
        <f>SUMIFS(Lançamentos!$F:$F,Lançamentos!$A:$A,IB$19,Lançamentos!$C:$C,"Simples Nacional / DAS")</f>
        <v>0</v>
      </c>
      <c r="IC73" s="37">
        <f>SUMIFS(Lançamentos!$F:$F,Lançamentos!$A:$A,IC$19,Lançamentos!$C:$C,"Simples Nacional / DAS")</f>
        <v>0</v>
      </c>
      <c r="ID73" s="37">
        <f>SUMIFS(Lançamentos!$F:$F,Lançamentos!$A:$A,ID$19,Lançamentos!$C:$C,"Simples Nacional / DAS")</f>
        <v>0</v>
      </c>
      <c r="IE73" s="37">
        <f>SUMIFS(Lançamentos!$F:$F,Lançamentos!$A:$A,IE$19,Lançamentos!$C:$C,"Simples Nacional / DAS")</f>
        <v>0</v>
      </c>
      <c r="IF73" s="37">
        <f>SUMIFS(Lançamentos!$F:$F,Lançamentos!$A:$A,IF$19,Lançamentos!$C:$C,"Simples Nacional / DAS")</f>
        <v>0</v>
      </c>
      <c r="IG73" s="37">
        <f>SUMIFS(Lançamentos!$F:$F,Lançamentos!$A:$A,IG$19,Lançamentos!$C:$C,"Simples Nacional / DAS")</f>
        <v>0</v>
      </c>
      <c r="IH73" s="37">
        <f>SUMIFS(Lançamentos!$F:$F,Lançamentos!$A:$A,IH$19,Lançamentos!$C:$C,"Simples Nacional / DAS")</f>
        <v>0</v>
      </c>
      <c r="II73" s="37">
        <f>SUMIFS(Lançamentos!$F:$F,Lançamentos!$A:$A,II$19,Lançamentos!$C:$C,"Simples Nacional / DAS")</f>
        <v>0</v>
      </c>
      <c r="IJ73" s="37">
        <f>SUMIFS(Lançamentos!$F:$F,Lançamentos!$A:$A,IJ$19,Lançamentos!$C:$C,"Simples Nacional / DAS")</f>
        <v>0</v>
      </c>
      <c r="IK73" s="37">
        <f>SUMIFS(Lançamentos!$F:$F,Lançamentos!$A:$A,IK$19,Lançamentos!$C:$C,"Simples Nacional / DAS")</f>
        <v>0</v>
      </c>
      <c r="IL73" s="37">
        <f>SUMIFS(Lançamentos!$F:$F,Lançamentos!$A:$A,IL$19,Lançamentos!$C:$C,"Simples Nacional / DAS")</f>
        <v>0</v>
      </c>
    </row>
    <row r="74" spans="1:246" x14ac:dyDescent="0.3">
      <c r="A74" t="s">
        <v>112</v>
      </c>
      <c r="B74" s="37">
        <f>SUMIFS(Lançamentos!$F:$F,Lançamentos!$A:$A,B$19,Lançamentos!$C:$C,"ISS")</f>
        <v>0</v>
      </c>
      <c r="C74" s="37">
        <f>SUMIFS(Lançamentos!$F:$F,Lançamentos!$A:$A,C$19,Lançamentos!$C:$C,"ISS")</f>
        <v>0</v>
      </c>
      <c r="D74" s="37">
        <f>SUMIFS(Lançamentos!$F:$F,Lançamentos!$A:$A,D$19,Lançamentos!$C:$C,"ISS")</f>
        <v>0</v>
      </c>
      <c r="E74" s="37">
        <f>SUMIFS(Lançamentos!$F:$F,Lançamentos!$A:$A,E$19,Lançamentos!$C:$C,"ISS")</f>
        <v>0</v>
      </c>
      <c r="F74" s="37">
        <f>SUMIFS(Lançamentos!$F:$F,Lançamentos!$A:$A,F$19,Lançamentos!$C:$C,"ISS")</f>
        <v>0</v>
      </c>
      <c r="G74" s="37">
        <f>SUMIFS(Lançamentos!$F:$F,Lançamentos!$A:$A,G$19,Lançamentos!$C:$C,"ISS")</f>
        <v>0</v>
      </c>
      <c r="H74" s="37">
        <f>SUMIFS(Lançamentos!$F:$F,Lançamentos!$A:$A,H$19,Lançamentos!$C:$C,"ISS")</f>
        <v>0</v>
      </c>
      <c r="I74" s="37">
        <f>SUMIFS(Lançamentos!$F:$F,Lançamentos!$A:$A,I$19,Lançamentos!$C:$C,"ISS")</f>
        <v>0</v>
      </c>
      <c r="J74" s="37">
        <f>SUMIFS(Lançamentos!$F:$F,Lançamentos!$A:$A,J$19,Lançamentos!$C:$C,"ISS")</f>
        <v>0</v>
      </c>
      <c r="K74" s="37">
        <f>SUMIFS(Lançamentos!$F:$F,Lançamentos!$A:$A,K$19,Lançamentos!$C:$C,"ISS")</f>
        <v>0</v>
      </c>
      <c r="L74" s="37">
        <f>SUMIFS(Lançamentos!$F:$F,Lançamentos!$A:$A,L$19,Lançamentos!$C:$C,"ISS")</f>
        <v>0</v>
      </c>
      <c r="M74" s="37">
        <f>SUMIFS(Lançamentos!$F:$F,Lançamentos!$A:$A,M$19,Lançamentos!$C:$C,"ISS")</f>
        <v>0</v>
      </c>
      <c r="N74" s="37">
        <f>SUMIFS(Lançamentos!$F:$F,Lançamentos!$A:$A,N$19,Lançamentos!$C:$C,"ISS")</f>
        <v>0</v>
      </c>
      <c r="O74" s="37">
        <f>SUMIFS(Lançamentos!$F:$F,Lançamentos!$A:$A,O$19,Lançamentos!$C:$C,"ISS")</f>
        <v>0</v>
      </c>
      <c r="P74" s="37">
        <f>SUMIFS(Lançamentos!$F:$F,Lançamentos!$A:$A,P$19,Lançamentos!$C:$C,"ISS")</f>
        <v>0</v>
      </c>
      <c r="Q74" s="37">
        <f>SUMIFS(Lançamentos!$F:$F,Lançamentos!$A:$A,Q$19,Lançamentos!$C:$C,"ISS")</f>
        <v>0</v>
      </c>
      <c r="R74" s="37">
        <f>SUMIFS(Lançamentos!$F:$F,Lançamentos!$A:$A,R$19,Lançamentos!$C:$C,"ISS")</f>
        <v>0</v>
      </c>
      <c r="S74" s="37">
        <f>SUMIFS(Lançamentos!$F:$F,Lançamentos!$A:$A,S$19,Lançamentos!$C:$C,"ISS")</f>
        <v>0</v>
      </c>
      <c r="T74" s="37">
        <f>SUMIFS(Lançamentos!$F:$F,Lançamentos!$A:$A,T$19,Lançamentos!$C:$C,"ISS")</f>
        <v>0</v>
      </c>
      <c r="U74" s="37">
        <f>SUMIFS(Lançamentos!$F:$F,Lançamentos!$A:$A,U$19,Lançamentos!$C:$C,"ISS")</f>
        <v>0</v>
      </c>
      <c r="V74" s="37">
        <f>SUMIFS(Lançamentos!$F:$F,Lançamentos!$A:$A,V$19,Lançamentos!$C:$C,"ISS")</f>
        <v>0</v>
      </c>
      <c r="W74" s="37">
        <f>SUMIFS(Lançamentos!$F:$F,Lançamentos!$A:$A,W$19,Lançamentos!$C:$C,"ISS")</f>
        <v>0</v>
      </c>
      <c r="X74" s="37">
        <f>SUMIFS(Lançamentos!$F:$F,Lançamentos!$A:$A,X$19,Lançamentos!$C:$C,"ISS")</f>
        <v>0</v>
      </c>
      <c r="Y74" s="37">
        <f>SUMIFS(Lançamentos!$F:$F,Lançamentos!$A:$A,Y$19,Lançamentos!$C:$C,"ISS")</f>
        <v>0</v>
      </c>
      <c r="Z74" s="37">
        <f>SUMIFS(Lançamentos!$F:$F,Lançamentos!$A:$A,Z$19,Lançamentos!$C:$C,"ISS")</f>
        <v>0</v>
      </c>
      <c r="AA74" s="37">
        <f>SUMIFS(Lançamentos!$F:$F,Lançamentos!$A:$A,AA$19,Lançamentos!$C:$C,"ISS")</f>
        <v>0</v>
      </c>
      <c r="AB74" s="37">
        <f>SUMIFS(Lançamentos!$F:$F,Lançamentos!$A:$A,AB$19,Lançamentos!$C:$C,"ISS")</f>
        <v>0</v>
      </c>
      <c r="AC74" s="37">
        <f>SUMIFS(Lançamentos!$F:$F,Lançamentos!$A:$A,AC$19,Lançamentos!$C:$C,"ISS")</f>
        <v>0</v>
      </c>
      <c r="AD74" s="37">
        <f>SUMIFS(Lançamentos!$F:$F,Lançamentos!$A:$A,AD$19,Lançamentos!$C:$C,"ISS")</f>
        <v>0</v>
      </c>
      <c r="AE74" s="37">
        <f>SUMIFS(Lançamentos!$F:$F,Lançamentos!$A:$A,AE$19,Lançamentos!$C:$C,"ISS")</f>
        <v>0</v>
      </c>
      <c r="AF74" s="37">
        <f>SUMIFS(Lançamentos!$F:$F,Lançamentos!$A:$A,AF$19,Lançamentos!$C:$C,"ISS")</f>
        <v>0</v>
      </c>
      <c r="AG74" s="37">
        <f>SUMIFS(Lançamentos!$F:$F,Lançamentos!$A:$A,AG$19,Lançamentos!$C:$C,"ISS")</f>
        <v>0</v>
      </c>
      <c r="AH74" s="37">
        <f>SUMIFS(Lançamentos!$F:$F,Lançamentos!$A:$A,AH$19,Lançamentos!$C:$C,"ISS")</f>
        <v>0</v>
      </c>
      <c r="AI74" s="37">
        <f>SUMIFS(Lançamentos!$F:$F,Lançamentos!$A:$A,AI$19,Lançamentos!$C:$C,"ISS")</f>
        <v>0</v>
      </c>
      <c r="AJ74" s="37">
        <f>SUMIFS(Lançamentos!$F:$F,Lançamentos!$A:$A,AJ$19,Lançamentos!$C:$C,"ISS")</f>
        <v>0</v>
      </c>
      <c r="AK74" s="37">
        <f>SUMIFS(Lançamentos!$F:$F,Lançamentos!$A:$A,AK$19,Lançamentos!$C:$C,"ISS")</f>
        <v>0</v>
      </c>
      <c r="AL74" s="37">
        <f>SUMIFS(Lançamentos!$F:$F,Lançamentos!$A:$A,AL$19,Lançamentos!$C:$C,"ISS")</f>
        <v>0</v>
      </c>
      <c r="AM74" s="37">
        <f>SUMIFS(Lançamentos!$F:$F,Lançamentos!$A:$A,AM$19,Lançamentos!$C:$C,"ISS")</f>
        <v>0</v>
      </c>
      <c r="AN74" s="37">
        <f>SUMIFS(Lançamentos!$F:$F,Lançamentos!$A:$A,AN$19,Lançamentos!$C:$C,"ISS")</f>
        <v>0</v>
      </c>
      <c r="AO74" s="37">
        <f>SUMIFS(Lançamentos!$F:$F,Lançamentos!$A:$A,AO$19,Lançamentos!$C:$C,"ISS")</f>
        <v>0</v>
      </c>
      <c r="AP74" s="37">
        <f>SUMIFS(Lançamentos!$F:$F,Lançamentos!$A:$A,AP$19,Lançamentos!$C:$C,"ISS")</f>
        <v>0</v>
      </c>
      <c r="AQ74" s="37">
        <f>SUMIFS(Lançamentos!$F:$F,Lançamentos!$A:$A,AQ$19,Lançamentos!$C:$C,"ISS")</f>
        <v>0</v>
      </c>
      <c r="AR74" s="37">
        <f>SUMIFS(Lançamentos!$F:$F,Lançamentos!$A:$A,AR$19,Lançamentos!$C:$C,"ISS")</f>
        <v>0</v>
      </c>
      <c r="AS74" s="37">
        <f>SUMIFS(Lançamentos!$F:$F,Lançamentos!$A:$A,AS$19,Lançamentos!$C:$C,"ISS")</f>
        <v>0</v>
      </c>
      <c r="AT74" s="37">
        <f>SUMIFS(Lançamentos!$F:$F,Lançamentos!$A:$A,AT$19,Lançamentos!$C:$C,"ISS")</f>
        <v>0</v>
      </c>
      <c r="AU74" s="37">
        <f>SUMIFS(Lançamentos!$F:$F,Lançamentos!$A:$A,AU$19,Lançamentos!$C:$C,"ISS")</f>
        <v>0</v>
      </c>
      <c r="AV74" s="37">
        <f>SUMIFS(Lançamentos!$F:$F,Lançamentos!$A:$A,AV$19,Lançamentos!$C:$C,"ISS")</f>
        <v>0</v>
      </c>
      <c r="AW74" s="37">
        <f>SUMIFS(Lançamentos!$F:$F,Lançamentos!$A:$A,AW$19,Lançamentos!$C:$C,"ISS")</f>
        <v>0</v>
      </c>
      <c r="AX74" s="37">
        <f>SUMIFS(Lançamentos!$F:$F,Lançamentos!$A:$A,AX$19,Lançamentos!$C:$C,"ISS")</f>
        <v>0</v>
      </c>
      <c r="AY74" s="37">
        <f>SUMIFS(Lançamentos!$F:$F,Lançamentos!$A:$A,AY$19,Lançamentos!$C:$C,"ISS")</f>
        <v>0</v>
      </c>
      <c r="AZ74" s="37">
        <f>SUMIFS(Lançamentos!$F:$F,Lançamentos!$A:$A,AZ$19,Lançamentos!$C:$C,"ISS")</f>
        <v>0</v>
      </c>
      <c r="BA74" s="37">
        <f>SUMIFS(Lançamentos!$F:$F,Lançamentos!$A:$A,BA$19,Lançamentos!$C:$C,"ISS")</f>
        <v>0</v>
      </c>
      <c r="BB74" s="37">
        <f>SUMIFS(Lançamentos!$F:$F,Lançamentos!$A:$A,BB$19,Lançamentos!$C:$C,"ISS")</f>
        <v>0</v>
      </c>
      <c r="BC74" s="37">
        <f>SUMIFS(Lançamentos!$F:$F,Lançamentos!$A:$A,BC$19,Lançamentos!$C:$C,"ISS")</f>
        <v>0</v>
      </c>
      <c r="BD74" s="37">
        <f>SUMIFS(Lançamentos!$F:$F,Lançamentos!$A:$A,BD$19,Lançamentos!$C:$C,"ISS")</f>
        <v>0</v>
      </c>
      <c r="BE74" s="37">
        <f>SUMIFS(Lançamentos!$F:$F,Lançamentos!$A:$A,BE$19,Lançamentos!$C:$C,"ISS")</f>
        <v>0</v>
      </c>
      <c r="BF74" s="37">
        <f>SUMIFS(Lançamentos!$F:$F,Lançamentos!$A:$A,BF$19,Lançamentos!$C:$C,"ISS")</f>
        <v>0</v>
      </c>
      <c r="BG74" s="37">
        <f>SUMIFS(Lançamentos!$F:$F,Lançamentos!$A:$A,BG$19,Lançamentos!$C:$C,"ISS")</f>
        <v>0</v>
      </c>
      <c r="BH74" s="37">
        <f>SUMIFS(Lançamentos!$F:$F,Lançamentos!$A:$A,BH$19,Lançamentos!$C:$C,"ISS")</f>
        <v>0</v>
      </c>
      <c r="BI74" s="37">
        <f>SUMIFS(Lançamentos!$F:$F,Lançamentos!$A:$A,BI$19,Lançamentos!$C:$C,"ISS")</f>
        <v>0</v>
      </c>
      <c r="BJ74" s="37">
        <f>SUMIFS(Lançamentos!$F:$F,Lançamentos!$A:$A,BJ$19,Lançamentos!$C:$C,"ISS")</f>
        <v>0</v>
      </c>
      <c r="BK74" s="37">
        <f>SUMIFS(Lançamentos!$F:$F,Lançamentos!$A:$A,BK$19,Lançamentos!$C:$C,"ISS")</f>
        <v>0</v>
      </c>
      <c r="BL74" s="37">
        <f>SUMIFS(Lançamentos!$F:$F,Lançamentos!$A:$A,BL$19,Lançamentos!$C:$C,"ISS")</f>
        <v>0</v>
      </c>
      <c r="BM74" s="37">
        <f>SUMIFS(Lançamentos!$F:$F,Lançamentos!$A:$A,BM$19,Lançamentos!$C:$C,"ISS")</f>
        <v>0</v>
      </c>
      <c r="BN74" s="37">
        <f>SUMIFS(Lançamentos!$F:$F,Lançamentos!$A:$A,BN$19,Lançamentos!$C:$C,"ISS")</f>
        <v>0</v>
      </c>
      <c r="BO74" s="37">
        <f>SUMIFS(Lançamentos!$F:$F,Lançamentos!$A:$A,BO$19,Lançamentos!$C:$C,"ISS")</f>
        <v>0</v>
      </c>
      <c r="BP74" s="37">
        <f>SUMIFS(Lançamentos!$F:$F,Lançamentos!$A:$A,BP$19,Lançamentos!$C:$C,"ISS")</f>
        <v>0</v>
      </c>
      <c r="BQ74" s="37">
        <f>SUMIFS(Lançamentos!$F:$F,Lançamentos!$A:$A,BQ$19,Lançamentos!$C:$C,"ISS")</f>
        <v>0</v>
      </c>
      <c r="BR74" s="37">
        <f>SUMIFS(Lançamentos!$F:$F,Lançamentos!$A:$A,BR$19,Lançamentos!$C:$C,"ISS")</f>
        <v>0</v>
      </c>
      <c r="BS74" s="37">
        <f>SUMIFS(Lançamentos!$F:$F,Lançamentos!$A:$A,BS$19,Lançamentos!$C:$C,"ISS")</f>
        <v>0</v>
      </c>
      <c r="BT74" s="37">
        <f>SUMIFS(Lançamentos!$F:$F,Lançamentos!$A:$A,BT$19,Lançamentos!$C:$C,"ISS")</f>
        <v>0</v>
      </c>
      <c r="BU74" s="37">
        <f>SUMIFS(Lançamentos!$F:$F,Lançamentos!$A:$A,BU$19,Lançamentos!$C:$C,"ISS")</f>
        <v>0</v>
      </c>
      <c r="BV74" s="37">
        <f>SUMIFS(Lançamentos!$F:$F,Lançamentos!$A:$A,BV$19,Lançamentos!$C:$C,"ISS")</f>
        <v>0</v>
      </c>
      <c r="BW74" s="37">
        <f>SUMIFS(Lançamentos!$F:$F,Lançamentos!$A:$A,BW$19,Lançamentos!$C:$C,"ISS")</f>
        <v>0</v>
      </c>
      <c r="BX74" s="37">
        <f>SUMIFS(Lançamentos!$F:$F,Lançamentos!$A:$A,BX$19,Lançamentos!$C:$C,"ISS")</f>
        <v>0</v>
      </c>
      <c r="BY74" s="37">
        <f>SUMIFS(Lançamentos!$F:$F,Lançamentos!$A:$A,BY$19,Lançamentos!$C:$C,"ISS")</f>
        <v>0</v>
      </c>
      <c r="BZ74" s="37">
        <f>SUMIFS(Lançamentos!$F:$F,Lançamentos!$A:$A,BZ$19,Lançamentos!$C:$C,"ISS")</f>
        <v>0</v>
      </c>
      <c r="CA74" s="37">
        <f>SUMIFS(Lançamentos!$F:$F,Lançamentos!$A:$A,CA$19,Lançamentos!$C:$C,"ISS")</f>
        <v>0</v>
      </c>
      <c r="CB74" s="37">
        <f>SUMIFS(Lançamentos!$F:$F,Lançamentos!$A:$A,CB$19,Lançamentos!$C:$C,"ISS")</f>
        <v>0</v>
      </c>
      <c r="CC74" s="37">
        <f>SUMIFS(Lançamentos!$F:$F,Lançamentos!$A:$A,CC$19,Lançamentos!$C:$C,"ISS")</f>
        <v>0</v>
      </c>
      <c r="CD74" s="37">
        <f>SUMIFS(Lançamentos!$F:$F,Lançamentos!$A:$A,CD$19,Lançamentos!$C:$C,"ISS")</f>
        <v>0</v>
      </c>
      <c r="CE74" s="37">
        <f>SUMIFS(Lançamentos!$F:$F,Lançamentos!$A:$A,CE$19,Lançamentos!$C:$C,"ISS")</f>
        <v>0</v>
      </c>
      <c r="CF74" s="37">
        <f>SUMIFS(Lançamentos!$F:$F,Lançamentos!$A:$A,CF$19,Lançamentos!$C:$C,"ISS")</f>
        <v>0</v>
      </c>
      <c r="CG74" s="37">
        <f>SUMIFS(Lançamentos!$F:$F,Lançamentos!$A:$A,CG$19,Lançamentos!$C:$C,"ISS")</f>
        <v>0</v>
      </c>
      <c r="CH74" s="37">
        <f>SUMIFS(Lançamentos!$F:$F,Lançamentos!$A:$A,CH$19,Lançamentos!$C:$C,"ISS")</f>
        <v>0</v>
      </c>
      <c r="CI74" s="37">
        <f>SUMIFS(Lançamentos!$F:$F,Lançamentos!$A:$A,CI$19,Lançamentos!$C:$C,"ISS")</f>
        <v>0</v>
      </c>
      <c r="CJ74" s="37">
        <f>SUMIFS(Lançamentos!$F:$F,Lançamentos!$A:$A,CJ$19,Lançamentos!$C:$C,"ISS")</f>
        <v>0</v>
      </c>
      <c r="CK74" s="37">
        <f>SUMIFS(Lançamentos!$F:$F,Lançamentos!$A:$A,CK$19,Lançamentos!$C:$C,"ISS")</f>
        <v>0</v>
      </c>
      <c r="CL74" s="37">
        <f>SUMIFS(Lançamentos!$F:$F,Lançamentos!$A:$A,CL$19,Lançamentos!$C:$C,"ISS")</f>
        <v>0</v>
      </c>
      <c r="CM74" s="37">
        <f>SUMIFS(Lançamentos!$F:$F,Lançamentos!$A:$A,CM$19,Lançamentos!$C:$C,"ISS")</f>
        <v>0</v>
      </c>
      <c r="CN74" s="37">
        <f>SUMIFS(Lançamentos!$F:$F,Lançamentos!$A:$A,CN$19,Lançamentos!$C:$C,"ISS")</f>
        <v>0</v>
      </c>
      <c r="CO74" s="37">
        <f>SUMIFS(Lançamentos!$F:$F,Lançamentos!$A:$A,CO$19,Lançamentos!$C:$C,"ISS")</f>
        <v>0</v>
      </c>
      <c r="CP74" s="37">
        <f>SUMIFS(Lançamentos!$F:$F,Lançamentos!$A:$A,CP$19,Lançamentos!$C:$C,"ISS")</f>
        <v>0</v>
      </c>
      <c r="CQ74" s="37">
        <f>SUMIFS(Lançamentos!$F:$F,Lançamentos!$A:$A,CQ$19,Lançamentos!$C:$C,"ISS")</f>
        <v>0</v>
      </c>
      <c r="CR74" s="37">
        <f>SUMIFS(Lançamentos!$F:$F,Lançamentos!$A:$A,CR$19,Lançamentos!$C:$C,"ISS")</f>
        <v>0</v>
      </c>
      <c r="CS74" s="37">
        <f>SUMIFS(Lançamentos!$F:$F,Lançamentos!$A:$A,CS$19,Lançamentos!$C:$C,"ISS")</f>
        <v>0</v>
      </c>
      <c r="CT74" s="37">
        <f>SUMIFS(Lançamentos!$F:$F,Lançamentos!$A:$A,CT$19,Lançamentos!$C:$C,"ISS")</f>
        <v>0</v>
      </c>
      <c r="CU74" s="37">
        <f>SUMIFS(Lançamentos!$F:$F,Lançamentos!$A:$A,CU$19,Lançamentos!$C:$C,"ISS")</f>
        <v>0</v>
      </c>
      <c r="CV74" s="37">
        <f>SUMIFS(Lançamentos!$F:$F,Lançamentos!$A:$A,CV$19,Lançamentos!$C:$C,"ISS")</f>
        <v>0</v>
      </c>
      <c r="CW74" s="37">
        <f>SUMIFS(Lançamentos!$F:$F,Lançamentos!$A:$A,CW$19,Lançamentos!$C:$C,"ISS")</f>
        <v>0</v>
      </c>
      <c r="CX74" s="37">
        <f>SUMIFS(Lançamentos!$F:$F,Lançamentos!$A:$A,CX$19,Lançamentos!$C:$C,"ISS")</f>
        <v>0</v>
      </c>
      <c r="CY74" s="37">
        <f>SUMIFS(Lançamentos!$F:$F,Lançamentos!$A:$A,CY$19,Lançamentos!$C:$C,"ISS")</f>
        <v>0</v>
      </c>
      <c r="CZ74" s="37">
        <f>SUMIFS(Lançamentos!$F:$F,Lançamentos!$A:$A,CZ$19,Lançamentos!$C:$C,"ISS")</f>
        <v>0</v>
      </c>
      <c r="DA74" s="37">
        <f>SUMIFS(Lançamentos!$F:$F,Lançamentos!$A:$A,DA$19,Lançamentos!$C:$C,"ISS")</f>
        <v>0</v>
      </c>
      <c r="DB74" s="37">
        <f>SUMIFS(Lançamentos!$F:$F,Lançamentos!$A:$A,DB$19,Lançamentos!$C:$C,"ISS")</f>
        <v>0</v>
      </c>
      <c r="DC74" s="37">
        <f>SUMIFS(Lançamentos!$F:$F,Lançamentos!$A:$A,DC$19,Lançamentos!$C:$C,"ISS")</f>
        <v>0</v>
      </c>
      <c r="DD74" s="37">
        <f>SUMIFS(Lançamentos!$F:$F,Lançamentos!$A:$A,DD$19,Lançamentos!$C:$C,"ISS")</f>
        <v>0</v>
      </c>
      <c r="DE74" s="37">
        <f>SUMIFS(Lançamentos!$F:$F,Lançamentos!$A:$A,DE$19,Lançamentos!$C:$C,"ISS")</f>
        <v>0</v>
      </c>
      <c r="DF74" s="37">
        <f>SUMIFS(Lançamentos!$F:$F,Lançamentos!$A:$A,DF$19,Lançamentos!$C:$C,"ISS")</f>
        <v>0</v>
      </c>
      <c r="DG74" s="37">
        <f>SUMIFS(Lançamentos!$F:$F,Lançamentos!$A:$A,DG$19,Lançamentos!$C:$C,"ISS")</f>
        <v>0</v>
      </c>
      <c r="DH74" s="37">
        <f>SUMIFS(Lançamentos!$F:$F,Lançamentos!$A:$A,DH$19,Lançamentos!$C:$C,"ISS")</f>
        <v>0</v>
      </c>
      <c r="DI74" s="37">
        <f>SUMIFS(Lançamentos!$F:$F,Lançamentos!$A:$A,DI$19,Lançamentos!$C:$C,"ISS")</f>
        <v>0</v>
      </c>
      <c r="DJ74" s="37">
        <f>SUMIFS(Lançamentos!$F:$F,Lançamentos!$A:$A,DJ$19,Lançamentos!$C:$C,"ISS")</f>
        <v>0</v>
      </c>
      <c r="DK74" s="37">
        <f>SUMIFS(Lançamentos!$F:$F,Lançamentos!$A:$A,DK$19,Lançamentos!$C:$C,"ISS")</f>
        <v>0</v>
      </c>
      <c r="DL74" s="37">
        <f>SUMIFS(Lançamentos!$F:$F,Lançamentos!$A:$A,DL$19,Lançamentos!$C:$C,"ISS")</f>
        <v>0</v>
      </c>
      <c r="DM74" s="37">
        <f>SUMIFS(Lançamentos!$F:$F,Lançamentos!$A:$A,DM$19,Lançamentos!$C:$C,"ISS")</f>
        <v>0</v>
      </c>
      <c r="DN74" s="37">
        <f>SUMIFS(Lançamentos!$F:$F,Lançamentos!$A:$A,DN$19,Lançamentos!$C:$C,"ISS")</f>
        <v>0</v>
      </c>
      <c r="DO74" s="37">
        <f>SUMIFS(Lançamentos!$F:$F,Lançamentos!$A:$A,DO$19,Lançamentos!$C:$C,"ISS")</f>
        <v>0</v>
      </c>
      <c r="DP74" s="37">
        <f>SUMIFS(Lançamentos!$F:$F,Lançamentos!$A:$A,DP$19,Lançamentos!$C:$C,"ISS")</f>
        <v>0</v>
      </c>
      <c r="DQ74" s="37">
        <f>SUMIFS(Lançamentos!$F:$F,Lançamentos!$A:$A,DQ$19,Lançamentos!$C:$C,"ISS")</f>
        <v>0</v>
      </c>
      <c r="DR74" s="37">
        <f>SUMIFS(Lançamentos!$F:$F,Lançamentos!$A:$A,DR$19,Lançamentos!$C:$C,"ISS")</f>
        <v>0</v>
      </c>
      <c r="DS74" s="37">
        <f>SUMIFS(Lançamentos!$F:$F,Lançamentos!$A:$A,DS$19,Lançamentos!$C:$C,"ISS")</f>
        <v>0</v>
      </c>
      <c r="DT74" s="37">
        <f>SUMIFS(Lançamentos!$F:$F,Lançamentos!$A:$A,DT$19,Lançamentos!$C:$C,"ISS")</f>
        <v>0</v>
      </c>
      <c r="DU74" s="37">
        <f>SUMIFS(Lançamentos!$F:$F,Lançamentos!$A:$A,DU$19,Lançamentos!$C:$C,"ISS")</f>
        <v>0</v>
      </c>
      <c r="DV74" s="37">
        <f>SUMIFS(Lançamentos!$F:$F,Lançamentos!$A:$A,DV$19,Lançamentos!$C:$C,"ISS")</f>
        <v>0</v>
      </c>
      <c r="DW74" s="37">
        <f>SUMIFS(Lançamentos!$F:$F,Lançamentos!$A:$A,DW$19,Lançamentos!$C:$C,"ISS")</f>
        <v>0</v>
      </c>
      <c r="DX74" s="37">
        <f>SUMIFS(Lançamentos!$F:$F,Lançamentos!$A:$A,DX$19,Lançamentos!$C:$C,"ISS")</f>
        <v>0</v>
      </c>
      <c r="DY74" s="37">
        <f>SUMIFS(Lançamentos!$F:$F,Lançamentos!$A:$A,DY$19,Lançamentos!$C:$C,"ISS")</f>
        <v>0</v>
      </c>
      <c r="DZ74" s="37">
        <f>SUMIFS(Lançamentos!$F:$F,Lançamentos!$A:$A,DZ$19,Lançamentos!$C:$C,"ISS")</f>
        <v>0</v>
      </c>
      <c r="EA74" s="37">
        <f>SUMIFS(Lançamentos!$F:$F,Lançamentos!$A:$A,EA$19,Lançamentos!$C:$C,"ISS")</f>
        <v>0</v>
      </c>
      <c r="EB74" s="37">
        <f>SUMIFS(Lançamentos!$F:$F,Lançamentos!$A:$A,EB$19,Lançamentos!$C:$C,"ISS")</f>
        <v>0</v>
      </c>
      <c r="EC74" s="37">
        <f>SUMIFS(Lançamentos!$F:$F,Lançamentos!$A:$A,EC$19,Lançamentos!$C:$C,"ISS")</f>
        <v>0</v>
      </c>
      <c r="ED74" s="37">
        <f>SUMIFS(Lançamentos!$F:$F,Lançamentos!$A:$A,ED$19,Lançamentos!$C:$C,"ISS")</f>
        <v>0</v>
      </c>
      <c r="EE74" s="37">
        <f>SUMIFS(Lançamentos!$F:$F,Lançamentos!$A:$A,EE$19,Lançamentos!$C:$C,"ISS")</f>
        <v>0</v>
      </c>
      <c r="EF74" s="37">
        <f>SUMIFS(Lançamentos!$F:$F,Lançamentos!$A:$A,EF$19,Lançamentos!$C:$C,"ISS")</f>
        <v>0</v>
      </c>
      <c r="EG74" s="37">
        <f>SUMIFS(Lançamentos!$F:$F,Lançamentos!$A:$A,EG$19,Lançamentos!$C:$C,"ISS")</f>
        <v>0</v>
      </c>
      <c r="EH74" s="37">
        <f>SUMIFS(Lançamentos!$F:$F,Lançamentos!$A:$A,EH$19,Lançamentos!$C:$C,"ISS")</f>
        <v>0</v>
      </c>
      <c r="EI74" s="37">
        <f>SUMIFS(Lançamentos!$F:$F,Lançamentos!$A:$A,EI$19,Lançamentos!$C:$C,"ISS")</f>
        <v>0</v>
      </c>
      <c r="EJ74" s="37">
        <f>SUMIFS(Lançamentos!$F:$F,Lançamentos!$A:$A,EJ$19,Lançamentos!$C:$C,"ISS")</f>
        <v>0</v>
      </c>
      <c r="EK74" s="37">
        <f>SUMIFS(Lançamentos!$F:$F,Lançamentos!$A:$A,EK$19,Lançamentos!$C:$C,"ISS")</f>
        <v>0</v>
      </c>
      <c r="EL74" s="37">
        <f>SUMIFS(Lançamentos!$F:$F,Lançamentos!$A:$A,EL$19,Lançamentos!$C:$C,"ISS")</f>
        <v>0</v>
      </c>
      <c r="EM74" s="37">
        <f>SUMIFS(Lançamentos!$F:$F,Lançamentos!$A:$A,EM$19,Lançamentos!$C:$C,"ISS")</f>
        <v>0</v>
      </c>
      <c r="EN74" s="37">
        <f>SUMIFS(Lançamentos!$F:$F,Lançamentos!$A:$A,EN$19,Lançamentos!$C:$C,"ISS")</f>
        <v>0</v>
      </c>
      <c r="EO74" s="37">
        <f>SUMIFS(Lançamentos!$F:$F,Lançamentos!$A:$A,EO$19,Lançamentos!$C:$C,"ISS")</f>
        <v>0</v>
      </c>
      <c r="EP74" s="37">
        <f>SUMIFS(Lançamentos!$F:$F,Lançamentos!$A:$A,EP$19,Lançamentos!$C:$C,"ISS")</f>
        <v>0</v>
      </c>
      <c r="EQ74" s="37">
        <f>SUMIFS(Lançamentos!$F:$F,Lançamentos!$A:$A,EQ$19,Lançamentos!$C:$C,"ISS")</f>
        <v>0</v>
      </c>
      <c r="ER74" s="37">
        <f>SUMIFS(Lançamentos!$F:$F,Lançamentos!$A:$A,ER$19,Lançamentos!$C:$C,"ISS")</f>
        <v>0</v>
      </c>
      <c r="ES74" s="37">
        <f>SUMIFS(Lançamentos!$F:$F,Lançamentos!$A:$A,ES$19,Lançamentos!$C:$C,"ISS")</f>
        <v>0</v>
      </c>
      <c r="ET74" s="37">
        <f>SUMIFS(Lançamentos!$F:$F,Lançamentos!$A:$A,ET$19,Lançamentos!$C:$C,"ISS")</f>
        <v>0</v>
      </c>
      <c r="EU74" s="37">
        <f>SUMIFS(Lançamentos!$F:$F,Lançamentos!$A:$A,EU$19,Lançamentos!$C:$C,"ISS")</f>
        <v>0</v>
      </c>
      <c r="EV74" s="37">
        <f>SUMIFS(Lançamentos!$F:$F,Lançamentos!$A:$A,EV$19,Lançamentos!$C:$C,"ISS")</f>
        <v>0</v>
      </c>
      <c r="EW74" s="37">
        <f>SUMIFS(Lançamentos!$F:$F,Lançamentos!$A:$A,EW$19,Lançamentos!$C:$C,"ISS")</f>
        <v>0</v>
      </c>
      <c r="EX74" s="37">
        <f>SUMIFS(Lançamentos!$F:$F,Lançamentos!$A:$A,EX$19,Lançamentos!$C:$C,"ISS")</f>
        <v>0</v>
      </c>
      <c r="EY74" s="37">
        <f>SUMIFS(Lançamentos!$F:$F,Lançamentos!$A:$A,EY$19,Lançamentos!$C:$C,"ISS")</f>
        <v>0</v>
      </c>
      <c r="EZ74" s="37">
        <f>SUMIFS(Lançamentos!$F:$F,Lançamentos!$A:$A,EZ$19,Lançamentos!$C:$C,"ISS")</f>
        <v>0</v>
      </c>
      <c r="FA74" s="37">
        <f>SUMIFS(Lançamentos!$F:$F,Lançamentos!$A:$A,FA$19,Lançamentos!$C:$C,"ISS")</f>
        <v>0</v>
      </c>
      <c r="FB74" s="37">
        <f>SUMIFS(Lançamentos!$F:$F,Lançamentos!$A:$A,FB$19,Lançamentos!$C:$C,"ISS")</f>
        <v>0</v>
      </c>
      <c r="FC74" s="37">
        <f>SUMIFS(Lançamentos!$F:$F,Lançamentos!$A:$A,FC$19,Lançamentos!$C:$C,"ISS")</f>
        <v>0</v>
      </c>
      <c r="FD74" s="37">
        <f>SUMIFS(Lançamentos!$F:$F,Lançamentos!$A:$A,FD$19,Lançamentos!$C:$C,"ISS")</f>
        <v>0</v>
      </c>
      <c r="FE74" s="37">
        <f>SUMIFS(Lançamentos!$F:$F,Lançamentos!$A:$A,FE$19,Lançamentos!$C:$C,"ISS")</f>
        <v>0</v>
      </c>
      <c r="FF74" s="37">
        <f>SUMIFS(Lançamentos!$F:$F,Lançamentos!$A:$A,FF$19,Lançamentos!$C:$C,"ISS")</f>
        <v>0</v>
      </c>
      <c r="FG74" s="37">
        <f>SUMIFS(Lançamentos!$F:$F,Lançamentos!$A:$A,FG$19,Lançamentos!$C:$C,"ISS")</f>
        <v>0</v>
      </c>
      <c r="FH74" s="37">
        <f>SUMIFS(Lançamentos!$F:$F,Lançamentos!$A:$A,FH$19,Lançamentos!$C:$C,"ISS")</f>
        <v>0</v>
      </c>
      <c r="FI74" s="37">
        <f>SUMIFS(Lançamentos!$F:$F,Lançamentos!$A:$A,FI$19,Lançamentos!$C:$C,"ISS")</f>
        <v>0</v>
      </c>
      <c r="FJ74" s="37">
        <f>SUMIFS(Lançamentos!$F:$F,Lançamentos!$A:$A,FJ$19,Lançamentos!$C:$C,"ISS")</f>
        <v>0</v>
      </c>
      <c r="FK74" s="37">
        <f>SUMIFS(Lançamentos!$F:$F,Lançamentos!$A:$A,FK$19,Lançamentos!$C:$C,"ISS")</f>
        <v>0</v>
      </c>
      <c r="FL74" s="37">
        <f>SUMIFS(Lançamentos!$F:$F,Lançamentos!$A:$A,FL$19,Lançamentos!$C:$C,"ISS")</f>
        <v>0</v>
      </c>
      <c r="FM74" s="37">
        <f>SUMIFS(Lançamentos!$F:$F,Lançamentos!$A:$A,FM$19,Lançamentos!$C:$C,"ISS")</f>
        <v>0</v>
      </c>
      <c r="FN74" s="37">
        <f>SUMIFS(Lançamentos!$F:$F,Lançamentos!$A:$A,FN$19,Lançamentos!$C:$C,"ISS")</f>
        <v>0</v>
      </c>
      <c r="FO74" s="37">
        <f>SUMIFS(Lançamentos!$F:$F,Lançamentos!$A:$A,FO$19,Lançamentos!$C:$C,"ISS")</f>
        <v>0</v>
      </c>
      <c r="FP74" s="37">
        <f>SUMIFS(Lançamentos!$F:$F,Lançamentos!$A:$A,FP$19,Lançamentos!$C:$C,"ISS")</f>
        <v>0</v>
      </c>
      <c r="FQ74" s="37">
        <f>SUMIFS(Lançamentos!$F:$F,Lançamentos!$A:$A,FQ$19,Lançamentos!$C:$C,"ISS")</f>
        <v>0</v>
      </c>
      <c r="FR74" s="37">
        <f>SUMIFS(Lançamentos!$F:$F,Lançamentos!$A:$A,FR$19,Lançamentos!$C:$C,"ISS")</f>
        <v>0</v>
      </c>
      <c r="FS74" s="37">
        <f>SUMIFS(Lançamentos!$F:$F,Lançamentos!$A:$A,FS$19,Lançamentos!$C:$C,"ISS")</f>
        <v>0</v>
      </c>
      <c r="FT74" s="37">
        <f>SUMIFS(Lançamentos!$F:$F,Lançamentos!$A:$A,FT$19,Lançamentos!$C:$C,"ISS")</f>
        <v>0</v>
      </c>
      <c r="FU74" s="37">
        <f>SUMIFS(Lançamentos!$F:$F,Lançamentos!$A:$A,FU$19,Lançamentos!$C:$C,"ISS")</f>
        <v>0</v>
      </c>
      <c r="FV74" s="37">
        <f>SUMIFS(Lançamentos!$F:$F,Lançamentos!$A:$A,FV$19,Lançamentos!$C:$C,"ISS")</f>
        <v>0</v>
      </c>
      <c r="FW74" s="37">
        <f>SUMIFS(Lançamentos!$F:$F,Lançamentos!$A:$A,FW$19,Lançamentos!$C:$C,"ISS")</f>
        <v>0</v>
      </c>
      <c r="FX74" s="37">
        <f>SUMIFS(Lançamentos!$F:$F,Lançamentos!$A:$A,FX$19,Lançamentos!$C:$C,"ISS")</f>
        <v>0</v>
      </c>
      <c r="FY74" s="37">
        <f>SUMIFS(Lançamentos!$F:$F,Lançamentos!$A:$A,FY$19,Lançamentos!$C:$C,"ISS")</f>
        <v>0</v>
      </c>
      <c r="FZ74" s="37">
        <f>SUMIFS(Lançamentos!$F:$F,Lançamentos!$A:$A,FZ$19,Lançamentos!$C:$C,"ISS")</f>
        <v>0</v>
      </c>
      <c r="GA74" s="37">
        <f>SUMIFS(Lançamentos!$F:$F,Lançamentos!$A:$A,GA$19,Lançamentos!$C:$C,"ISS")</f>
        <v>0</v>
      </c>
      <c r="GB74" s="37">
        <f>SUMIFS(Lançamentos!$F:$F,Lançamentos!$A:$A,GB$19,Lançamentos!$C:$C,"ISS")</f>
        <v>0</v>
      </c>
      <c r="GC74" s="37">
        <f>SUMIFS(Lançamentos!$F:$F,Lançamentos!$A:$A,GC$19,Lançamentos!$C:$C,"ISS")</f>
        <v>0</v>
      </c>
      <c r="GD74" s="37">
        <f>SUMIFS(Lançamentos!$F:$F,Lançamentos!$A:$A,GD$19,Lançamentos!$C:$C,"ISS")</f>
        <v>0</v>
      </c>
      <c r="GE74" s="37">
        <f>SUMIFS(Lançamentos!$F:$F,Lançamentos!$A:$A,GE$19,Lançamentos!$C:$C,"ISS")</f>
        <v>0</v>
      </c>
      <c r="GF74" s="37">
        <f>SUMIFS(Lançamentos!$F:$F,Lançamentos!$A:$A,GF$19,Lançamentos!$C:$C,"ISS")</f>
        <v>0</v>
      </c>
      <c r="GG74" s="37">
        <f>SUMIFS(Lançamentos!$F:$F,Lançamentos!$A:$A,GG$19,Lançamentos!$C:$C,"ISS")</f>
        <v>0</v>
      </c>
      <c r="GH74" s="37">
        <f>SUMIFS(Lançamentos!$F:$F,Lançamentos!$A:$A,GH$19,Lançamentos!$C:$C,"ISS")</f>
        <v>0</v>
      </c>
      <c r="GI74" s="37">
        <f>SUMIFS(Lançamentos!$F:$F,Lançamentos!$A:$A,GI$19,Lançamentos!$C:$C,"ISS")</f>
        <v>0</v>
      </c>
      <c r="GJ74" s="37">
        <f>SUMIFS(Lançamentos!$F:$F,Lançamentos!$A:$A,GJ$19,Lançamentos!$C:$C,"ISS")</f>
        <v>0</v>
      </c>
      <c r="GK74" s="37">
        <f>SUMIFS(Lançamentos!$F:$F,Lançamentos!$A:$A,GK$19,Lançamentos!$C:$C,"ISS")</f>
        <v>0</v>
      </c>
      <c r="GL74" s="37">
        <f>SUMIFS(Lançamentos!$F:$F,Lançamentos!$A:$A,GL$19,Lançamentos!$C:$C,"ISS")</f>
        <v>0</v>
      </c>
      <c r="GM74" s="37">
        <f>SUMIFS(Lançamentos!$F:$F,Lançamentos!$A:$A,GM$19,Lançamentos!$C:$C,"ISS")</f>
        <v>0</v>
      </c>
      <c r="GN74" s="37">
        <f>SUMIFS(Lançamentos!$F:$F,Lançamentos!$A:$A,GN$19,Lançamentos!$C:$C,"ISS")</f>
        <v>0</v>
      </c>
      <c r="GO74" s="37">
        <f>SUMIFS(Lançamentos!$F:$F,Lançamentos!$A:$A,GO$19,Lançamentos!$C:$C,"ISS")</f>
        <v>0</v>
      </c>
      <c r="GP74" s="37">
        <f>SUMIFS(Lançamentos!$F:$F,Lançamentos!$A:$A,GP$19,Lançamentos!$C:$C,"ISS")</f>
        <v>0</v>
      </c>
      <c r="GQ74" s="37">
        <f>SUMIFS(Lançamentos!$F:$F,Lançamentos!$A:$A,GQ$19,Lançamentos!$C:$C,"ISS")</f>
        <v>0</v>
      </c>
      <c r="GR74" s="37">
        <f>SUMIFS(Lançamentos!$F:$F,Lançamentos!$A:$A,GR$19,Lançamentos!$C:$C,"ISS")</f>
        <v>0</v>
      </c>
      <c r="GS74" s="37">
        <f>SUMIFS(Lançamentos!$F:$F,Lançamentos!$A:$A,GS$19,Lançamentos!$C:$C,"ISS")</f>
        <v>0</v>
      </c>
      <c r="GT74" s="37">
        <f>SUMIFS(Lançamentos!$F:$F,Lançamentos!$A:$A,GT$19,Lançamentos!$C:$C,"ISS")</f>
        <v>0</v>
      </c>
      <c r="GU74" s="37">
        <f>SUMIFS(Lançamentos!$F:$F,Lançamentos!$A:$A,GU$19,Lançamentos!$C:$C,"ISS")</f>
        <v>0</v>
      </c>
      <c r="GV74" s="37">
        <f>SUMIFS(Lançamentos!$F:$F,Lançamentos!$A:$A,GV$19,Lançamentos!$C:$C,"ISS")</f>
        <v>0</v>
      </c>
      <c r="GW74" s="37">
        <f>SUMIFS(Lançamentos!$F:$F,Lançamentos!$A:$A,GW$19,Lançamentos!$C:$C,"ISS")</f>
        <v>0</v>
      </c>
      <c r="GX74" s="37">
        <f>SUMIFS(Lançamentos!$F:$F,Lançamentos!$A:$A,GX$19,Lançamentos!$C:$C,"ISS")</f>
        <v>0</v>
      </c>
      <c r="GY74" s="37">
        <f>SUMIFS(Lançamentos!$F:$F,Lançamentos!$A:$A,GY$19,Lançamentos!$C:$C,"ISS")</f>
        <v>0</v>
      </c>
      <c r="GZ74" s="37">
        <f>SUMIFS(Lançamentos!$F:$F,Lançamentos!$A:$A,GZ$19,Lançamentos!$C:$C,"ISS")</f>
        <v>0</v>
      </c>
      <c r="HA74" s="37">
        <f>SUMIFS(Lançamentos!$F:$F,Lançamentos!$A:$A,HA$19,Lançamentos!$C:$C,"ISS")</f>
        <v>0</v>
      </c>
      <c r="HB74" s="37">
        <f>SUMIFS(Lançamentos!$F:$F,Lançamentos!$A:$A,HB$19,Lançamentos!$C:$C,"ISS")</f>
        <v>0</v>
      </c>
      <c r="HC74" s="37">
        <f>SUMIFS(Lançamentos!$F:$F,Lançamentos!$A:$A,HC$19,Lançamentos!$C:$C,"ISS")</f>
        <v>0</v>
      </c>
      <c r="HD74" s="37">
        <f>SUMIFS(Lançamentos!$F:$F,Lançamentos!$A:$A,HD$19,Lançamentos!$C:$C,"ISS")</f>
        <v>0</v>
      </c>
      <c r="HE74" s="37">
        <f>SUMIFS(Lançamentos!$F:$F,Lançamentos!$A:$A,HE$19,Lançamentos!$C:$C,"ISS")</f>
        <v>0</v>
      </c>
      <c r="HF74" s="37">
        <f>SUMIFS(Lançamentos!$F:$F,Lançamentos!$A:$A,HF$19,Lançamentos!$C:$C,"ISS")</f>
        <v>0</v>
      </c>
      <c r="HG74" s="37">
        <f>SUMIFS(Lançamentos!$F:$F,Lançamentos!$A:$A,HG$19,Lançamentos!$C:$C,"ISS")</f>
        <v>0</v>
      </c>
      <c r="HH74" s="37">
        <f>SUMIFS(Lançamentos!$F:$F,Lançamentos!$A:$A,HH$19,Lançamentos!$C:$C,"ISS")</f>
        <v>0</v>
      </c>
      <c r="HI74" s="37">
        <f>SUMIFS(Lançamentos!$F:$F,Lançamentos!$A:$A,HI$19,Lançamentos!$C:$C,"ISS")</f>
        <v>0</v>
      </c>
      <c r="HJ74" s="37">
        <f>SUMIFS(Lançamentos!$F:$F,Lançamentos!$A:$A,HJ$19,Lançamentos!$C:$C,"ISS")</f>
        <v>0</v>
      </c>
      <c r="HK74" s="37">
        <f>SUMIFS(Lançamentos!$F:$F,Lançamentos!$A:$A,HK$19,Lançamentos!$C:$C,"ISS")</f>
        <v>0</v>
      </c>
      <c r="HL74" s="37">
        <f>SUMIFS(Lançamentos!$F:$F,Lançamentos!$A:$A,HL$19,Lançamentos!$C:$C,"ISS")</f>
        <v>0</v>
      </c>
      <c r="HM74" s="37">
        <f>SUMIFS(Lançamentos!$F:$F,Lançamentos!$A:$A,HM$19,Lançamentos!$C:$C,"ISS")</f>
        <v>0</v>
      </c>
      <c r="HN74" s="37">
        <f>SUMIFS(Lançamentos!$F:$F,Lançamentos!$A:$A,HN$19,Lançamentos!$C:$C,"ISS")</f>
        <v>0</v>
      </c>
      <c r="HO74" s="37">
        <f>SUMIFS(Lançamentos!$F:$F,Lançamentos!$A:$A,HO$19,Lançamentos!$C:$C,"ISS")</f>
        <v>0</v>
      </c>
      <c r="HP74" s="37">
        <f>SUMIFS(Lançamentos!$F:$F,Lançamentos!$A:$A,HP$19,Lançamentos!$C:$C,"ISS")</f>
        <v>0</v>
      </c>
      <c r="HQ74" s="37">
        <f>SUMIFS(Lançamentos!$F:$F,Lançamentos!$A:$A,HQ$19,Lançamentos!$C:$C,"ISS")</f>
        <v>0</v>
      </c>
      <c r="HR74" s="37">
        <f>SUMIFS(Lançamentos!$F:$F,Lançamentos!$A:$A,HR$19,Lançamentos!$C:$C,"ISS")</f>
        <v>0</v>
      </c>
      <c r="HS74" s="37">
        <f>SUMIFS(Lançamentos!$F:$F,Lançamentos!$A:$A,HS$19,Lançamentos!$C:$C,"ISS")</f>
        <v>0</v>
      </c>
      <c r="HT74" s="37">
        <f>SUMIFS(Lançamentos!$F:$F,Lançamentos!$A:$A,HT$19,Lançamentos!$C:$C,"ISS")</f>
        <v>0</v>
      </c>
      <c r="HU74" s="37">
        <f>SUMIFS(Lançamentos!$F:$F,Lançamentos!$A:$A,HU$19,Lançamentos!$C:$C,"ISS")</f>
        <v>0</v>
      </c>
      <c r="HV74" s="37">
        <f>SUMIFS(Lançamentos!$F:$F,Lançamentos!$A:$A,HV$19,Lançamentos!$C:$C,"ISS")</f>
        <v>0</v>
      </c>
      <c r="HW74" s="37">
        <f>SUMIFS(Lançamentos!$F:$F,Lançamentos!$A:$A,HW$19,Lançamentos!$C:$C,"ISS")</f>
        <v>0</v>
      </c>
      <c r="HX74" s="37">
        <f>SUMIFS(Lançamentos!$F:$F,Lançamentos!$A:$A,HX$19,Lançamentos!$C:$C,"ISS")</f>
        <v>0</v>
      </c>
      <c r="HY74" s="37">
        <f>SUMIFS(Lançamentos!$F:$F,Lançamentos!$A:$A,HY$19,Lançamentos!$C:$C,"ISS")</f>
        <v>0</v>
      </c>
      <c r="HZ74" s="37">
        <f>SUMIFS(Lançamentos!$F:$F,Lançamentos!$A:$A,HZ$19,Lançamentos!$C:$C,"ISS")</f>
        <v>0</v>
      </c>
      <c r="IA74" s="37">
        <f>SUMIFS(Lançamentos!$F:$F,Lançamentos!$A:$A,IA$19,Lançamentos!$C:$C,"ISS")</f>
        <v>0</v>
      </c>
      <c r="IB74" s="37">
        <f>SUMIFS(Lançamentos!$F:$F,Lançamentos!$A:$A,IB$19,Lançamentos!$C:$C,"ISS")</f>
        <v>0</v>
      </c>
      <c r="IC74" s="37">
        <f>SUMIFS(Lançamentos!$F:$F,Lançamentos!$A:$A,IC$19,Lançamentos!$C:$C,"ISS")</f>
        <v>0</v>
      </c>
      <c r="ID74" s="37">
        <f>SUMIFS(Lançamentos!$F:$F,Lançamentos!$A:$A,ID$19,Lançamentos!$C:$C,"ISS")</f>
        <v>0</v>
      </c>
      <c r="IE74" s="37">
        <f>SUMIFS(Lançamentos!$F:$F,Lançamentos!$A:$A,IE$19,Lançamentos!$C:$C,"ISS")</f>
        <v>0</v>
      </c>
      <c r="IF74" s="37">
        <f>SUMIFS(Lançamentos!$F:$F,Lançamentos!$A:$A,IF$19,Lançamentos!$C:$C,"ISS")</f>
        <v>0</v>
      </c>
      <c r="IG74" s="37">
        <f>SUMIFS(Lançamentos!$F:$F,Lançamentos!$A:$A,IG$19,Lançamentos!$C:$C,"ISS")</f>
        <v>0</v>
      </c>
      <c r="IH74" s="37">
        <f>SUMIFS(Lançamentos!$F:$F,Lançamentos!$A:$A,IH$19,Lançamentos!$C:$C,"ISS")</f>
        <v>0</v>
      </c>
      <c r="II74" s="37">
        <f>SUMIFS(Lançamentos!$F:$F,Lançamentos!$A:$A,II$19,Lançamentos!$C:$C,"ISS")</f>
        <v>0</v>
      </c>
      <c r="IJ74" s="37">
        <f>SUMIFS(Lançamentos!$F:$F,Lançamentos!$A:$A,IJ$19,Lançamentos!$C:$C,"ISS")</f>
        <v>0</v>
      </c>
      <c r="IK74" s="37">
        <f>SUMIFS(Lançamentos!$F:$F,Lançamentos!$A:$A,IK$19,Lançamentos!$C:$C,"ISS")</f>
        <v>0</v>
      </c>
      <c r="IL74" s="37">
        <f>SUMIFS(Lançamentos!$F:$F,Lançamentos!$A:$A,IL$19,Lançamentos!$C:$C,"ISS")</f>
        <v>0</v>
      </c>
    </row>
    <row r="75" spans="1:246" x14ac:dyDescent="0.3">
      <c r="A75" t="s">
        <v>113</v>
      </c>
      <c r="B75" s="37">
        <f>SUMIFS(Lançamentos!$F:$F,Lançamentos!$A:$A,B$19,Lançamentos!$C:$C,"ICMS")</f>
        <v>0</v>
      </c>
      <c r="C75" s="37">
        <f>SUMIFS(Lançamentos!$F:$F,Lançamentos!$A:$A,C$19,Lançamentos!$C:$C,"ICMS")</f>
        <v>0</v>
      </c>
      <c r="D75" s="37">
        <f>SUMIFS(Lançamentos!$F:$F,Lançamentos!$A:$A,D$19,Lançamentos!$C:$C,"ICMS")</f>
        <v>0</v>
      </c>
      <c r="E75" s="37">
        <f>SUMIFS(Lançamentos!$F:$F,Lançamentos!$A:$A,E$19,Lançamentos!$C:$C,"ICMS")</f>
        <v>0</v>
      </c>
      <c r="F75" s="37">
        <f>SUMIFS(Lançamentos!$F:$F,Lançamentos!$A:$A,F$19,Lançamentos!$C:$C,"ICMS")</f>
        <v>0</v>
      </c>
      <c r="G75" s="37">
        <f>SUMIFS(Lançamentos!$F:$F,Lançamentos!$A:$A,G$19,Lançamentos!$C:$C,"ICMS")</f>
        <v>0</v>
      </c>
      <c r="H75" s="37">
        <f>SUMIFS(Lançamentos!$F:$F,Lançamentos!$A:$A,H$19,Lançamentos!$C:$C,"ICMS")</f>
        <v>0</v>
      </c>
      <c r="I75" s="37">
        <f>SUMIFS(Lançamentos!$F:$F,Lançamentos!$A:$A,I$19,Lançamentos!$C:$C,"ICMS")</f>
        <v>0</v>
      </c>
      <c r="J75" s="37">
        <f>SUMIFS(Lançamentos!$F:$F,Lançamentos!$A:$A,J$19,Lançamentos!$C:$C,"ICMS")</f>
        <v>0</v>
      </c>
      <c r="K75" s="37">
        <f>SUMIFS(Lançamentos!$F:$F,Lançamentos!$A:$A,K$19,Lançamentos!$C:$C,"ICMS")</f>
        <v>0</v>
      </c>
      <c r="L75" s="37">
        <f>SUMIFS(Lançamentos!$F:$F,Lançamentos!$A:$A,L$19,Lançamentos!$C:$C,"ICMS")</f>
        <v>0</v>
      </c>
      <c r="M75" s="37">
        <f>SUMIFS(Lançamentos!$F:$F,Lançamentos!$A:$A,M$19,Lançamentos!$C:$C,"ICMS")</f>
        <v>0</v>
      </c>
      <c r="N75" s="37">
        <f>SUMIFS(Lançamentos!$F:$F,Lançamentos!$A:$A,N$19,Lançamentos!$C:$C,"ICMS")</f>
        <v>0</v>
      </c>
      <c r="O75" s="37">
        <f>SUMIFS(Lançamentos!$F:$F,Lançamentos!$A:$A,O$19,Lançamentos!$C:$C,"ICMS")</f>
        <v>0</v>
      </c>
      <c r="P75" s="37">
        <f>SUMIFS(Lançamentos!$F:$F,Lançamentos!$A:$A,P$19,Lançamentos!$C:$C,"ICMS")</f>
        <v>0</v>
      </c>
      <c r="Q75" s="37">
        <f>SUMIFS(Lançamentos!$F:$F,Lançamentos!$A:$A,Q$19,Lançamentos!$C:$C,"ICMS")</f>
        <v>0</v>
      </c>
      <c r="R75" s="37">
        <f>SUMIFS(Lançamentos!$F:$F,Lançamentos!$A:$A,R$19,Lançamentos!$C:$C,"ICMS")</f>
        <v>0</v>
      </c>
      <c r="S75" s="37">
        <f>SUMIFS(Lançamentos!$F:$F,Lançamentos!$A:$A,S$19,Lançamentos!$C:$C,"ICMS")</f>
        <v>0</v>
      </c>
      <c r="T75" s="37">
        <f>SUMIFS(Lançamentos!$F:$F,Lançamentos!$A:$A,T$19,Lançamentos!$C:$C,"ICMS")</f>
        <v>0</v>
      </c>
      <c r="U75" s="37">
        <f>SUMIFS(Lançamentos!$F:$F,Lançamentos!$A:$A,U$19,Lançamentos!$C:$C,"ICMS")</f>
        <v>0</v>
      </c>
      <c r="V75" s="37">
        <f>SUMIFS(Lançamentos!$F:$F,Lançamentos!$A:$A,V$19,Lançamentos!$C:$C,"ICMS")</f>
        <v>0</v>
      </c>
      <c r="W75" s="37">
        <f>SUMIFS(Lançamentos!$F:$F,Lançamentos!$A:$A,W$19,Lançamentos!$C:$C,"ICMS")</f>
        <v>0</v>
      </c>
      <c r="X75" s="37">
        <f>SUMIFS(Lançamentos!$F:$F,Lançamentos!$A:$A,X$19,Lançamentos!$C:$C,"ICMS")</f>
        <v>0</v>
      </c>
      <c r="Y75" s="37">
        <f>SUMIFS(Lançamentos!$F:$F,Lançamentos!$A:$A,Y$19,Lançamentos!$C:$C,"ICMS")</f>
        <v>0</v>
      </c>
      <c r="Z75" s="37">
        <f>SUMIFS(Lançamentos!$F:$F,Lançamentos!$A:$A,Z$19,Lançamentos!$C:$C,"ICMS")</f>
        <v>0</v>
      </c>
      <c r="AA75" s="37">
        <f>SUMIFS(Lançamentos!$F:$F,Lançamentos!$A:$A,AA$19,Lançamentos!$C:$C,"ICMS")</f>
        <v>0</v>
      </c>
      <c r="AB75" s="37">
        <f>SUMIFS(Lançamentos!$F:$F,Lançamentos!$A:$A,AB$19,Lançamentos!$C:$C,"ICMS")</f>
        <v>0</v>
      </c>
      <c r="AC75" s="37">
        <f>SUMIFS(Lançamentos!$F:$F,Lançamentos!$A:$A,AC$19,Lançamentos!$C:$C,"ICMS")</f>
        <v>0</v>
      </c>
      <c r="AD75" s="37">
        <f>SUMIFS(Lançamentos!$F:$F,Lançamentos!$A:$A,AD$19,Lançamentos!$C:$C,"ICMS")</f>
        <v>0</v>
      </c>
      <c r="AE75" s="37">
        <f>SUMIFS(Lançamentos!$F:$F,Lançamentos!$A:$A,AE$19,Lançamentos!$C:$C,"ICMS")</f>
        <v>0</v>
      </c>
      <c r="AF75" s="37">
        <f>SUMIFS(Lançamentos!$F:$F,Lançamentos!$A:$A,AF$19,Lançamentos!$C:$C,"ICMS")</f>
        <v>0</v>
      </c>
      <c r="AG75" s="37">
        <f>SUMIFS(Lançamentos!$F:$F,Lançamentos!$A:$A,AG$19,Lançamentos!$C:$C,"ICMS")</f>
        <v>0</v>
      </c>
      <c r="AH75" s="37">
        <f>SUMIFS(Lançamentos!$F:$F,Lançamentos!$A:$A,AH$19,Lançamentos!$C:$C,"ICMS")</f>
        <v>0</v>
      </c>
      <c r="AI75" s="37">
        <f>SUMIFS(Lançamentos!$F:$F,Lançamentos!$A:$A,AI$19,Lançamentos!$C:$C,"ICMS")</f>
        <v>0</v>
      </c>
      <c r="AJ75" s="37">
        <f>SUMIFS(Lançamentos!$F:$F,Lançamentos!$A:$A,AJ$19,Lançamentos!$C:$C,"ICMS")</f>
        <v>0</v>
      </c>
      <c r="AK75" s="37">
        <f>SUMIFS(Lançamentos!$F:$F,Lançamentos!$A:$A,AK$19,Lançamentos!$C:$C,"ICMS")</f>
        <v>0</v>
      </c>
      <c r="AL75" s="37">
        <f>SUMIFS(Lançamentos!$F:$F,Lançamentos!$A:$A,AL$19,Lançamentos!$C:$C,"ICMS")</f>
        <v>0</v>
      </c>
      <c r="AM75" s="37">
        <f>SUMIFS(Lançamentos!$F:$F,Lançamentos!$A:$A,AM$19,Lançamentos!$C:$C,"ICMS")</f>
        <v>0</v>
      </c>
      <c r="AN75" s="37">
        <f>SUMIFS(Lançamentos!$F:$F,Lançamentos!$A:$A,AN$19,Lançamentos!$C:$C,"ICMS")</f>
        <v>0</v>
      </c>
      <c r="AO75" s="37">
        <f>SUMIFS(Lançamentos!$F:$F,Lançamentos!$A:$A,AO$19,Lançamentos!$C:$C,"ICMS")</f>
        <v>0</v>
      </c>
      <c r="AP75" s="37">
        <f>SUMIFS(Lançamentos!$F:$F,Lançamentos!$A:$A,AP$19,Lançamentos!$C:$C,"ICMS")</f>
        <v>0</v>
      </c>
      <c r="AQ75" s="37">
        <f>SUMIFS(Lançamentos!$F:$F,Lançamentos!$A:$A,AQ$19,Lançamentos!$C:$C,"ICMS")</f>
        <v>0</v>
      </c>
      <c r="AR75" s="37">
        <f>SUMIFS(Lançamentos!$F:$F,Lançamentos!$A:$A,AR$19,Lançamentos!$C:$C,"ICMS")</f>
        <v>0</v>
      </c>
      <c r="AS75" s="37">
        <f>SUMIFS(Lançamentos!$F:$F,Lançamentos!$A:$A,AS$19,Lançamentos!$C:$C,"ICMS")</f>
        <v>0</v>
      </c>
      <c r="AT75" s="37">
        <f>SUMIFS(Lançamentos!$F:$F,Lançamentos!$A:$A,AT$19,Lançamentos!$C:$C,"ICMS")</f>
        <v>0</v>
      </c>
      <c r="AU75" s="37">
        <f>SUMIFS(Lançamentos!$F:$F,Lançamentos!$A:$A,AU$19,Lançamentos!$C:$C,"ICMS")</f>
        <v>0</v>
      </c>
      <c r="AV75" s="37">
        <f>SUMIFS(Lançamentos!$F:$F,Lançamentos!$A:$A,AV$19,Lançamentos!$C:$C,"ICMS")</f>
        <v>0</v>
      </c>
      <c r="AW75" s="37">
        <f>SUMIFS(Lançamentos!$F:$F,Lançamentos!$A:$A,AW$19,Lançamentos!$C:$C,"ICMS")</f>
        <v>0</v>
      </c>
      <c r="AX75" s="37">
        <f>SUMIFS(Lançamentos!$F:$F,Lançamentos!$A:$A,AX$19,Lançamentos!$C:$C,"ICMS")</f>
        <v>0</v>
      </c>
      <c r="AY75" s="37">
        <f>SUMIFS(Lançamentos!$F:$F,Lançamentos!$A:$A,AY$19,Lançamentos!$C:$C,"ICMS")</f>
        <v>0</v>
      </c>
      <c r="AZ75" s="37">
        <f>SUMIFS(Lançamentos!$F:$F,Lançamentos!$A:$A,AZ$19,Lançamentos!$C:$C,"ICMS")</f>
        <v>0</v>
      </c>
      <c r="BA75" s="37">
        <f>SUMIFS(Lançamentos!$F:$F,Lançamentos!$A:$A,BA$19,Lançamentos!$C:$C,"ICMS")</f>
        <v>0</v>
      </c>
      <c r="BB75" s="37">
        <f>SUMIFS(Lançamentos!$F:$F,Lançamentos!$A:$A,BB$19,Lançamentos!$C:$C,"ICMS")</f>
        <v>0</v>
      </c>
      <c r="BC75" s="37">
        <f>SUMIFS(Lançamentos!$F:$F,Lançamentos!$A:$A,BC$19,Lançamentos!$C:$C,"ICMS")</f>
        <v>0</v>
      </c>
      <c r="BD75" s="37">
        <f>SUMIFS(Lançamentos!$F:$F,Lançamentos!$A:$A,BD$19,Lançamentos!$C:$C,"ICMS")</f>
        <v>0</v>
      </c>
      <c r="BE75" s="37">
        <f>SUMIFS(Lançamentos!$F:$F,Lançamentos!$A:$A,BE$19,Lançamentos!$C:$C,"ICMS")</f>
        <v>0</v>
      </c>
      <c r="BF75" s="37">
        <f>SUMIFS(Lançamentos!$F:$F,Lançamentos!$A:$A,BF$19,Lançamentos!$C:$C,"ICMS")</f>
        <v>0</v>
      </c>
      <c r="BG75" s="37">
        <f>SUMIFS(Lançamentos!$F:$F,Lançamentos!$A:$A,BG$19,Lançamentos!$C:$C,"ICMS")</f>
        <v>0</v>
      </c>
      <c r="BH75" s="37">
        <f>SUMIFS(Lançamentos!$F:$F,Lançamentos!$A:$A,BH$19,Lançamentos!$C:$C,"ICMS")</f>
        <v>0</v>
      </c>
      <c r="BI75" s="37">
        <f>SUMIFS(Lançamentos!$F:$F,Lançamentos!$A:$A,BI$19,Lançamentos!$C:$C,"ICMS")</f>
        <v>0</v>
      </c>
      <c r="BJ75" s="37">
        <f>SUMIFS(Lançamentos!$F:$F,Lançamentos!$A:$A,BJ$19,Lançamentos!$C:$C,"ICMS")</f>
        <v>0</v>
      </c>
      <c r="BK75" s="37">
        <f>SUMIFS(Lançamentos!$F:$F,Lançamentos!$A:$A,BK$19,Lançamentos!$C:$C,"ICMS")</f>
        <v>0</v>
      </c>
      <c r="BL75" s="37">
        <f>SUMIFS(Lançamentos!$F:$F,Lançamentos!$A:$A,BL$19,Lançamentos!$C:$C,"ICMS")</f>
        <v>0</v>
      </c>
      <c r="BM75" s="37">
        <f>SUMIFS(Lançamentos!$F:$F,Lançamentos!$A:$A,BM$19,Lançamentos!$C:$C,"ICMS")</f>
        <v>0</v>
      </c>
      <c r="BN75" s="37">
        <f>SUMIFS(Lançamentos!$F:$F,Lançamentos!$A:$A,BN$19,Lançamentos!$C:$C,"ICMS")</f>
        <v>0</v>
      </c>
      <c r="BO75" s="37">
        <f>SUMIFS(Lançamentos!$F:$F,Lançamentos!$A:$A,BO$19,Lançamentos!$C:$C,"ICMS")</f>
        <v>0</v>
      </c>
      <c r="BP75" s="37">
        <f>SUMIFS(Lançamentos!$F:$F,Lançamentos!$A:$A,BP$19,Lançamentos!$C:$C,"ICMS")</f>
        <v>0</v>
      </c>
      <c r="BQ75" s="37">
        <f>SUMIFS(Lançamentos!$F:$F,Lançamentos!$A:$A,BQ$19,Lançamentos!$C:$C,"ICMS")</f>
        <v>0</v>
      </c>
      <c r="BR75" s="37">
        <f>SUMIFS(Lançamentos!$F:$F,Lançamentos!$A:$A,BR$19,Lançamentos!$C:$C,"ICMS")</f>
        <v>0</v>
      </c>
      <c r="BS75" s="37">
        <f>SUMIFS(Lançamentos!$F:$F,Lançamentos!$A:$A,BS$19,Lançamentos!$C:$C,"ICMS")</f>
        <v>0</v>
      </c>
      <c r="BT75" s="37">
        <f>SUMIFS(Lançamentos!$F:$F,Lançamentos!$A:$A,BT$19,Lançamentos!$C:$C,"ICMS")</f>
        <v>0</v>
      </c>
      <c r="BU75" s="37">
        <f>SUMIFS(Lançamentos!$F:$F,Lançamentos!$A:$A,BU$19,Lançamentos!$C:$C,"ICMS")</f>
        <v>0</v>
      </c>
      <c r="BV75" s="37">
        <f>SUMIFS(Lançamentos!$F:$F,Lançamentos!$A:$A,BV$19,Lançamentos!$C:$C,"ICMS")</f>
        <v>0</v>
      </c>
      <c r="BW75" s="37">
        <f>SUMIFS(Lançamentos!$F:$F,Lançamentos!$A:$A,BW$19,Lançamentos!$C:$C,"ICMS")</f>
        <v>0</v>
      </c>
      <c r="BX75" s="37">
        <f>SUMIFS(Lançamentos!$F:$F,Lançamentos!$A:$A,BX$19,Lançamentos!$C:$C,"ICMS")</f>
        <v>0</v>
      </c>
      <c r="BY75" s="37">
        <f>SUMIFS(Lançamentos!$F:$F,Lançamentos!$A:$A,BY$19,Lançamentos!$C:$C,"ICMS")</f>
        <v>0</v>
      </c>
      <c r="BZ75" s="37">
        <f>SUMIFS(Lançamentos!$F:$F,Lançamentos!$A:$A,BZ$19,Lançamentos!$C:$C,"ICMS")</f>
        <v>0</v>
      </c>
      <c r="CA75" s="37">
        <f>SUMIFS(Lançamentos!$F:$F,Lançamentos!$A:$A,CA$19,Lançamentos!$C:$C,"ICMS")</f>
        <v>0</v>
      </c>
      <c r="CB75" s="37">
        <f>SUMIFS(Lançamentos!$F:$F,Lançamentos!$A:$A,CB$19,Lançamentos!$C:$C,"ICMS")</f>
        <v>0</v>
      </c>
      <c r="CC75" s="37">
        <f>SUMIFS(Lançamentos!$F:$F,Lançamentos!$A:$A,CC$19,Lançamentos!$C:$C,"ICMS")</f>
        <v>0</v>
      </c>
      <c r="CD75" s="37">
        <f>SUMIFS(Lançamentos!$F:$F,Lançamentos!$A:$A,CD$19,Lançamentos!$C:$C,"ICMS")</f>
        <v>0</v>
      </c>
      <c r="CE75" s="37">
        <f>SUMIFS(Lançamentos!$F:$F,Lançamentos!$A:$A,CE$19,Lançamentos!$C:$C,"ICMS")</f>
        <v>0</v>
      </c>
      <c r="CF75" s="37">
        <f>SUMIFS(Lançamentos!$F:$F,Lançamentos!$A:$A,CF$19,Lançamentos!$C:$C,"ICMS")</f>
        <v>0</v>
      </c>
      <c r="CG75" s="37">
        <f>SUMIFS(Lançamentos!$F:$F,Lançamentos!$A:$A,CG$19,Lançamentos!$C:$C,"ICMS")</f>
        <v>0</v>
      </c>
      <c r="CH75" s="37">
        <f>SUMIFS(Lançamentos!$F:$F,Lançamentos!$A:$A,CH$19,Lançamentos!$C:$C,"ICMS")</f>
        <v>0</v>
      </c>
      <c r="CI75" s="37">
        <f>SUMIFS(Lançamentos!$F:$F,Lançamentos!$A:$A,CI$19,Lançamentos!$C:$C,"ICMS")</f>
        <v>0</v>
      </c>
      <c r="CJ75" s="37">
        <f>SUMIFS(Lançamentos!$F:$F,Lançamentos!$A:$A,CJ$19,Lançamentos!$C:$C,"ICMS")</f>
        <v>0</v>
      </c>
      <c r="CK75" s="37">
        <f>SUMIFS(Lançamentos!$F:$F,Lançamentos!$A:$A,CK$19,Lançamentos!$C:$C,"ICMS")</f>
        <v>0</v>
      </c>
      <c r="CL75" s="37">
        <f>SUMIFS(Lançamentos!$F:$F,Lançamentos!$A:$A,CL$19,Lançamentos!$C:$C,"ICMS")</f>
        <v>0</v>
      </c>
      <c r="CM75" s="37">
        <f>SUMIFS(Lançamentos!$F:$F,Lançamentos!$A:$A,CM$19,Lançamentos!$C:$C,"ICMS")</f>
        <v>0</v>
      </c>
      <c r="CN75" s="37">
        <f>SUMIFS(Lançamentos!$F:$F,Lançamentos!$A:$A,CN$19,Lançamentos!$C:$C,"ICMS")</f>
        <v>0</v>
      </c>
      <c r="CO75" s="37">
        <f>SUMIFS(Lançamentos!$F:$F,Lançamentos!$A:$A,CO$19,Lançamentos!$C:$C,"ICMS")</f>
        <v>0</v>
      </c>
      <c r="CP75" s="37">
        <f>SUMIFS(Lançamentos!$F:$F,Lançamentos!$A:$A,CP$19,Lançamentos!$C:$C,"ICMS")</f>
        <v>0</v>
      </c>
      <c r="CQ75" s="37">
        <f>SUMIFS(Lançamentos!$F:$F,Lançamentos!$A:$A,CQ$19,Lançamentos!$C:$C,"ICMS")</f>
        <v>0</v>
      </c>
      <c r="CR75" s="37">
        <f>SUMIFS(Lançamentos!$F:$F,Lançamentos!$A:$A,CR$19,Lançamentos!$C:$C,"ICMS")</f>
        <v>0</v>
      </c>
      <c r="CS75" s="37">
        <f>SUMIFS(Lançamentos!$F:$F,Lançamentos!$A:$A,CS$19,Lançamentos!$C:$C,"ICMS")</f>
        <v>0</v>
      </c>
      <c r="CT75" s="37">
        <f>SUMIFS(Lançamentos!$F:$F,Lançamentos!$A:$A,CT$19,Lançamentos!$C:$C,"ICMS")</f>
        <v>0</v>
      </c>
      <c r="CU75" s="37">
        <f>SUMIFS(Lançamentos!$F:$F,Lançamentos!$A:$A,CU$19,Lançamentos!$C:$C,"ICMS")</f>
        <v>0</v>
      </c>
      <c r="CV75" s="37">
        <f>SUMIFS(Lançamentos!$F:$F,Lançamentos!$A:$A,CV$19,Lançamentos!$C:$C,"ICMS")</f>
        <v>0</v>
      </c>
      <c r="CW75" s="37">
        <f>SUMIFS(Lançamentos!$F:$F,Lançamentos!$A:$A,CW$19,Lançamentos!$C:$C,"ICMS")</f>
        <v>0</v>
      </c>
      <c r="CX75" s="37">
        <f>SUMIFS(Lançamentos!$F:$F,Lançamentos!$A:$A,CX$19,Lançamentos!$C:$C,"ICMS")</f>
        <v>0</v>
      </c>
      <c r="CY75" s="37">
        <f>SUMIFS(Lançamentos!$F:$F,Lançamentos!$A:$A,CY$19,Lançamentos!$C:$C,"ICMS")</f>
        <v>0</v>
      </c>
      <c r="CZ75" s="37">
        <f>SUMIFS(Lançamentos!$F:$F,Lançamentos!$A:$A,CZ$19,Lançamentos!$C:$C,"ICMS")</f>
        <v>0</v>
      </c>
      <c r="DA75" s="37">
        <f>SUMIFS(Lançamentos!$F:$F,Lançamentos!$A:$A,DA$19,Lançamentos!$C:$C,"ICMS")</f>
        <v>0</v>
      </c>
      <c r="DB75" s="37">
        <f>SUMIFS(Lançamentos!$F:$F,Lançamentos!$A:$A,DB$19,Lançamentos!$C:$C,"ICMS")</f>
        <v>0</v>
      </c>
      <c r="DC75" s="37">
        <f>SUMIFS(Lançamentos!$F:$F,Lançamentos!$A:$A,DC$19,Lançamentos!$C:$C,"ICMS")</f>
        <v>0</v>
      </c>
      <c r="DD75" s="37">
        <f>SUMIFS(Lançamentos!$F:$F,Lançamentos!$A:$A,DD$19,Lançamentos!$C:$C,"ICMS")</f>
        <v>0</v>
      </c>
      <c r="DE75" s="37">
        <f>SUMIFS(Lançamentos!$F:$F,Lançamentos!$A:$A,DE$19,Lançamentos!$C:$C,"ICMS")</f>
        <v>0</v>
      </c>
      <c r="DF75" s="37">
        <f>SUMIFS(Lançamentos!$F:$F,Lançamentos!$A:$A,DF$19,Lançamentos!$C:$C,"ICMS")</f>
        <v>0</v>
      </c>
      <c r="DG75" s="37">
        <f>SUMIFS(Lançamentos!$F:$F,Lançamentos!$A:$A,DG$19,Lançamentos!$C:$C,"ICMS")</f>
        <v>0</v>
      </c>
      <c r="DH75" s="37">
        <f>SUMIFS(Lançamentos!$F:$F,Lançamentos!$A:$A,DH$19,Lançamentos!$C:$C,"ICMS")</f>
        <v>0</v>
      </c>
      <c r="DI75" s="37">
        <f>SUMIFS(Lançamentos!$F:$F,Lançamentos!$A:$A,DI$19,Lançamentos!$C:$C,"ICMS")</f>
        <v>0</v>
      </c>
      <c r="DJ75" s="37">
        <f>SUMIFS(Lançamentos!$F:$F,Lançamentos!$A:$A,DJ$19,Lançamentos!$C:$C,"ICMS")</f>
        <v>0</v>
      </c>
      <c r="DK75" s="37">
        <f>SUMIFS(Lançamentos!$F:$F,Lançamentos!$A:$A,DK$19,Lançamentos!$C:$C,"ICMS")</f>
        <v>0</v>
      </c>
      <c r="DL75" s="37">
        <f>SUMIFS(Lançamentos!$F:$F,Lançamentos!$A:$A,DL$19,Lançamentos!$C:$C,"ICMS")</f>
        <v>0</v>
      </c>
      <c r="DM75" s="37">
        <f>SUMIFS(Lançamentos!$F:$F,Lançamentos!$A:$A,DM$19,Lançamentos!$C:$C,"ICMS")</f>
        <v>0</v>
      </c>
      <c r="DN75" s="37">
        <f>SUMIFS(Lançamentos!$F:$F,Lançamentos!$A:$A,DN$19,Lançamentos!$C:$C,"ICMS")</f>
        <v>0</v>
      </c>
      <c r="DO75" s="37">
        <f>SUMIFS(Lançamentos!$F:$F,Lançamentos!$A:$A,DO$19,Lançamentos!$C:$C,"ICMS")</f>
        <v>0</v>
      </c>
      <c r="DP75" s="37">
        <f>SUMIFS(Lançamentos!$F:$F,Lançamentos!$A:$A,DP$19,Lançamentos!$C:$C,"ICMS")</f>
        <v>0</v>
      </c>
      <c r="DQ75" s="37">
        <f>SUMIFS(Lançamentos!$F:$F,Lançamentos!$A:$A,DQ$19,Lançamentos!$C:$C,"ICMS")</f>
        <v>0</v>
      </c>
      <c r="DR75" s="37">
        <f>SUMIFS(Lançamentos!$F:$F,Lançamentos!$A:$A,DR$19,Lançamentos!$C:$C,"ICMS")</f>
        <v>0</v>
      </c>
      <c r="DS75" s="37">
        <f>SUMIFS(Lançamentos!$F:$F,Lançamentos!$A:$A,DS$19,Lançamentos!$C:$C,"ICMS")</f>
        <v>0</v>
      </c>
      <c r="DT75" s="37">
        <f>SUMIFS(Lançamentos!$F:$F,Lançamentos!$A:$A,DT$19,Lançamentos!$C:$C,"ICMS")</f>
        <v>0</v>
      </c>
      <c r="DU75" s="37">
        <f>SUMIFS(Lançamentos!$F:$F,Lançamentos!$A:$A,DU$19,Lançamentos!$C:$C,"ICMS")</f>
        <v>0</v>
      </c>
      <c r="DV75" s="37">
        <f>SUMIFS(Lançamentos!$F:$F,Lançamentos!$A:$A,DV$19,Lançamentos!$C:$C,"ICMS")</f>
        <v>0</v>
      </c>
      <c r="DW75" s="37">
        <f>SUMIFS(Lançamentos!$F:$F,Lançamentos!$A:$A,DW$19,Lançamentos!$C:$C,"ICMS")</f>
        <v>0</v>
      </c>
      <c r="DX75" s="37">
        <f>SUMIFS(Lançamentos!$F:$F,Lançamentos!$A:$A,DX$19,Lançamentos!$C:$C,"ICMS")</f>
        <v>0</v>
      </c>
      <c r="DY75" s="37">
        <f>SUMIFS(Lançamentos!$F:$F,Lançamentos!$A:$A,DY$19,Lançamentos!$C:$C,"ICMS")</f>
        <v>0</v>
      </c>
      <c r="DZ75" s="37">
        <f>SUMIFS(Lançamentos!$F:$F,Lançamentos!$A:$A,DZ$19,Lançamentos!$C:$C,"ICMS")</f>
        <v>0</v>
      </c>
      <c r="EA75" s="37">
        <f>SUMIFS(Lançamentos!$F:$F,Lançamentos!$A:$A,EA$19,Lançamentos!$C:$C,"ICMS")</f>
        <v>0</v>
      </c>
      <c r="EB75" s="37">
        <f>SUMIFS(Lançamentos!$F:$F,Lançamentos!$A:$A,EB$19,Lançamentos!$C:$C,"ICMS")</f>
        <v>0</v>
      </c>
      <c r="EC75" s="37">
        <f>SUMIFS(Lançamentos!$F:$F,Lançamentos!$A:$A,EC$19,Lançamentos!$C:$C,"ICMS")</f>
        <v>0</v>
      </c>
      <c r="ED75" s="37">
        <f>SUMIFS(Lançamentos!$F:$F,Lançamentos!$A:$A,ED$19,Lançamentos!$C:$C,"ICMS")</f>
        <v>0</v>
      </c>
      <c r="EE75" s="37">
        <f>SUMIFS(Lançamentos!$F:$F,Lançamentos!$A:$A,EE$19,Lançamentos!$C:$C,"ICMS")</f>
        <v>0</v>
      </c>
      <c r="EF75" s="37">
        <f>SUMIFS(Lançamentos!$F:$F,Lançamentos!$A:$A,EF$19,Lançamentos!$C:$C,"ICMS")</f>
        <v>0</v>
      </c>
      <c r="EG75" s="37">
        <f>SUMIFS(Lançamentos!$F:$F,Lançamentos!$A:$A,EG$19,Lançamentos!$C:$C,"ICMS")</f>
        <v>0</v>
      </c>
      <c r="EH75" s="37">
        <f>SUMIFS(Lançamentos!$F:$F,Lançamentos!$A:$A,EH$19,Lançamentos!$C:$C,"ICMS")</f>
        <v>0</v>
      </c>
      <c r="EI75" s="37">
        <f>SUMIFS(Lançamentos!$F:$F,Lançamentos!$A:$A,EI$19,Lançamentos!$C:$C,"ICMS")</f>
        <v>0</v>
      </c>
      <c r="EJ75" s="37">
        <f>SUMIFS(Lançamentos!$F:$F,Lançamentos!$A:$A,EJ$19,Lançamentos!$C:$C,"ICMS")</f>
        <v>0</v>
      </c>
      <c r="EK75" s="37">
        <f>SUMIFS(Lançamentos!$F:$F,Lançamentos!$A:$A,EK$19,Lançamentos!$C:$C,"ICMS")</f>
        <v>0</v>
      </c>
      <c r="EL75" s="37">
        <f>SUMIFS(Lançamentos!$F:$F,Lançamentos!$A:$A,EL$19,Lançamentos!$C:$C,"ICMS")</f>
        <v>0</v>
      </c>
      <c r="EM75" s="37">
        <f>SUMIFS(Lançamentos!$F:$F,Lançamentos!$A:$A,EM$19,Lançamentos!$C:$C,"ICMS")</f>
        <v>0</v>
      </c>
      <c r="EN75" s="37">
        <f>SUMIFS(Lançamentos!$F:$F,Lançamentos!$A:$A,EN$19,Lançamentos!$C:$C,"ICMS")</f>
        <v>0</v>
      </c>
      <c r="EO75" s="37">
        <f>SUMIFS(Lançamentos!$F:$F,Lançamentos!$A:$A,EO$19,Lançamentos!$C:$C,"ICMS")</f>
        <v>0</v>
      </c>
      <c r="EP75" s="37">
        <f>SUMIFS(Lançamentos!$F:$F,Lançamentos!$A:$A,EP$19,Lançamentos!$C:$C,"ICMS")</f>
        <v>0</v>
      </c>
      <c r="EQ75" s="37">
        <f>SUMIFS(Lançamentos!$F:$F,Lançamentos!$A:$A,EQ$19,Lançamentos!$C:$C,"ICMS")</f>
        <v>0</v>
      </c>
      <c r="ER75" s="37">
        <f>SUMIFS(Lançamentos!$F:$F,Lançamentos!$A:$A,ER$19,Lançamentos!$C:$C,"ICMS")</f>
        <v>0</v>
      </c>
      <c r="ES75" s="37">
        <f>SUMIFS(Lançamentos!$F:$F,Lançamentos!$A:$A,ES$19,Lançamentos!$C:$C,"ICMS")</f>
        <v>0</v>
      </c>
      <c r="ET75" s="37">
        <f>SUMIFS(Lançamentos!$F:$F,Lançamentos!$A:$A,ET$19,Lançamentos!$C:$C,"ICMS")</f>
        <v>0</v>
      </c>
      <c r="EU75" s="37">
        <f>SUMIFS(Lançamentos!$F:$F,Lançamentos!$A:$A,EU$19,Lançamentos!$C:$C,"ICMS")</f>
        <v>0</v>
      </c>
      <c r="EV75" s="37">
        <f>SUMIFS(Lançamentos!$F:$F,Lançamentos!$A:$A,EV$19,Lançamentos!$C:$C,"ICMS")</f>
        <v>0</v>
      </c>
      <c r="EW75" s="37">
        <f>SUMIFS(Lançamentos!$F:$F,Lançamentos!$A:$A,EW$19,Lançamentos!$C:$C,"ICMS")</f>
        <v>0</v>
      </c>
      <c r="EX75" s="37">
        <f>SUMIFS(Lançamentos!$F:$F,Lançamentos!$A:$A,EX$19,Lançamentos!$C:$C,"ICMS")</f>
        <v>0</v>
      </c>
      <c r="EY75" s="37">
        <f>SUMIFS(Lançamentos!$F:$F,Lançamentos!$A:$A,EY$19,Lançamentos!$C:$C,"ICMS")</f>
        <v>0</v>
      </c>
      <c r="EZ75" s="37">
        <f>SUMIFS(Lançamentos!$F:$F,Lançamentos!$A:$A,EZ$19,Lançamentos!$C:$C,"ICMS")</f>
        <v>0</v>
      </c>
      <c r="FA75" s="37">
        <f>SUMIFS(Lançamentos!$F:$F,Lançamentos!$A:$A,FA$19,Lançamentos!$C:$C,"ICMS")</f>
        <v>0</v>
      </c>
      <c r="FB75" s="37">
        <f>SUMIFS(Lançamentos!$F:$F,Lançamentos!$A:$A,FB$19,Lançamentos!$C:$C,"ICMS")</f>
        <v>0</v>
      </c>
      <c r="FC75" s="37">
        <f>SUMIFS(Lançamentos!$F:$F,Lançamentos!$A:$A,FC$19,Lançamentos!$C:$C,"ICMS")</f>
        <v>0</v>
      </c>
      <c r="FD75" s="37">
        <f>SUMIFS(Lançamentos!$F:$F,Lançamentos!$A:$A,FD$19,Lançamentos!$C:$C,"ICMS")</f>
        <v>0</v>
      </c>
      <c r="FE75" s="37">
        <f>SUMIFS(Lançamentos!$F:$F,Lançamentos!$A:$A,FE$19,Lançamentos!$C:$C,"ICMS")</f>
        <v>0</v>
      </c>
      <c r="FF75" s="37">
        <f>SUMIFS(Lançamentos!$F:$F,Lançamentos!$A:$A,FF$19,Lançamentos!$C:$C,"ICMS")</f>
        <v>0</v>
      </c>
      <c r="FG75" s="37">
        <f>SUMIFS(Lançamentos!$F:$F,Lançamentos!$A:$A,FG$19,Lançamentos!$C:$C,"ICMS")</f>
        <v>0</v>
      </c>
      <c r="FH75" s="37">
        <f>SUMIFS(Lançamentos!$F:$F,Lançamentos!$A:$A,FH$19,Lançamentos!$C:$C,"ICMS")</f>
        <v>0</v>
      </c>
      <c r="FI75" s="37">
        <f>SUMIFS(Lançamentos!$F:$F,Lançamentos!$A:$A,FI$19,Lançamentos!$C:$C,"ICMS")</f>
        <v>0</v>
      </c>
      <c r="FJ75" s="37">
        <f>SUMIFS(Lançamentos!$F:$F,Lançamentos!$A:$A,FJ$19,Lançamentos!$C:$C,"ICMS")</f>
        <v>0</v>
      </c>
      <c r="FK75" s="37">
        <f>SUMIFS(Lançamentos!$F:$F,Lançamentos!$A:$A,FK$19,Lançamentos!$C:$C,"ICMS")</f>
        <v>0</v>
      </c>
      <c r="FL75" s="37">
        <f>SUMIFS(Lançamentos!$F:$F,Lançamentos!$A:$A,FL$19,Lançamentos!$C:$C,"ICMS")</f>
        <v>0</v>
      </c>
      <c r="FM75" s="37">
        <f>SUMIFS(Lançamentos!$F:$F,Lançamentos!$A:$A,FM$19,Lançamentos!$C:$C,"ICMS")</f>
        <v>0</v>
      </c>
      <c r="FN75" s="37">
        <f>SUMIFS(Lançamentos!$F:$F,Lançamentos!$A:$A,FN$19,Lançamentos!$C:$C,"ICMS")</f>
        <v>0</v>
      </c>
      <c r="FO75" s="37">
        <f>SUMIFS(Lançamentos!$F:$F,Lançamentos!$A:$A,FO$19,Lançamentos!$C:$C,"ICMS")</f>
        <v>0</v>
      </c>
      <c r="FP75" s="37">
        <f>SUMIFS(Lançamentos!$F:$F,Lançamentos!$A:$A,FP$19,Lançamentos!$C:$C,"ICMS")</f>
        <v>0</v>
      </c>
      <c r="FQ75" s="37">
        <f>SUMIFS(Lançamentos!$F:$F,Lançamentos!$A:$A,FQ$19,Lançamentos!$C:$C,"ICMS")</f>
        <v>0</v>
      </c>
      <c r="FR75" s="37">
        <f>SUMIFS(Lançamentos!$F:$F,Lançamentos!$A:$A,FR$19,Lançamentos!$C:$C,"ICMS")</f>
        <v>0</v>
      </c>
      <c r="FS75" s="37">
        <f>SUMIFS(Lançamentos!$F:$F,Lançamentos!$A:$A,FS$19,Lançamentos!$C:$C,"ICMS")</f>
        <v>0</v>
      </c>
      <c r="FT75" s="37">
        <f>SUMIFS(Lançamentos!$F:$F,Lançamentos!$A:$A,FT$19,Lançamentos!$C:$C,"ICMS")</f>
        <v>0</v>
      </c>
      <c r="FU75" s="37">
        <f>SUMIFS(Lançamentos!$F:$F,Lançamentos!$A:$A,FU$19,Lançamentos!$C:$C,"ICMS")</f>
        <v>0</v>
      </c>
      <c r="FV75" s="37">
        <f>SUMIFS(Lançamentos!$F:$F,Lançamentos!$A:$A,FV$19,Lançamentos!$C:$C,"ICMS")</f>
        <v>0</v>
      </c>
      <c r="FW75" s="37">
        <f>SUMIFS(Lançamentos!$F:$F,Lançamentos!$A:$A,FW$19,Lançamentos!$C:$C,"ICMS")</f>
        <v>0</v>
      </c>
      <c r="FX75" s="37">
        <f>SUMIFS(Lançamentos!$F:$F,Lançamentos!$A:$A,FX$19,Lançamentos!$C:$C,"ICMS")</f>
        <v>0</v>
      </c>
      <c r="FY75" s="37">
        <f>SUMIFS(Lançamentos!$F:$F,Lançamentos!$A:$A,FY$19,Lançamentos!$C:$C,"ICMS")</f>
        <v>0</v>
      </c>
      <c r="FZ75" s="37">
        <f>SUMIFS(Lançamentos!$F:$F,Lançamentos!$A:$A,FZ$19,Lançamentos!$C:$C,"ICMS")</f>
        <v>0</v>
      </c>
      <c r="GA75" s="37">
        <f>SUMIFS(Lançamentos!$F:$F,Lançamentos!$A:$A,GA$19,Lançamentos!$C:$C,"ICMS")</f>
        <v>0</v>
      </c>
      <c r="GB75" s="37">
        <f>SUMIFS(Lançamentos!$F:$F,Lançamentos!$A:$A,GB$19,Lançamentos!$C:$C,"ICMS")</f>
        <v>0</v>
      </c>
      <c r="GC75" s="37">
        <f>SUMIFS(Lançamentos!$F:$F,Lançamentos!$A:$A,GC$19,Lançamentos!$C:$C,"ICMS")</f>
        <v>0</v>
      </c>
      <c r="GD75" s="37">
        <f>SUMIFS(Lançamentos!$F:$F,Lançamentos!$A:$A,GD$19,Lançamentos!$C:$C,"ICMS")</f>
        <v>0</v>
      </c>
      <c r="GE75" s="37">
        <f>SUMIFS(Lançamentos!$F:$F,Lançamentos!$A:$A,GE$19,Lançamentos!$C:$C,"ICMS")</f>
        <v>0</v>
      </c>
      <c r="GF75" s="37">
        <f>SUMIFS(Lançamentos!$F:$F,Lançamentos!$A:$A,GF$19,Lançamentos!$C:$C,"ICMS")</f>
        <v>0</v>
      </c>
      <c r="GG75" s="37">
        <f>SUMIFS(Lançamentos!$F:$F,Lançamentos!$A:$A,GG$19,Lançamentos!$C:$C,"ICMS")</f>
        <v>0</v>
      </c>
      <c r="GH75" s="37">
        <f>SUMIFS(Lançamentos!$F:$F,Lançamentos!$A:$A,GH$19,Lançamentos!$C:$C,"ICMS")</f>
        <v>0</v>
      </c>
      <c r="GI75" s="37">
        <f>SUMIFS(Lançamentos!$F:$F,Lançamentos!$A:$A,GI$19,Lançamentos!$C:$C,"ICMS")</f>
        <v>0</v>
      </c>
      <c r="GJ75" s="37">
        <f>SUMIFS(Lançamentos!$F:$F,Lançamentos!$A:$A,GJ$19,Lançamentos!$C:$C,"ICMS")</f>
        <v>0</v>
      </c>
      <c r="GK75" s="37">
        <f>SUMIFS(Lançamentos!$F:$F,Lançamentos!$A:$A,GK$19,Lançamentos!$C:$C,"ICMS")</f>
        <v>0</v>
      </c>
      <c r="GL75" s="37">
        <f>SUMIFS(Lançamentos!$F:$F,Lançamentos!$A:$A,GL$19,Lançamentos!$C:$C,"ICMS")</f>
        <v>0</v>
      </c>
      <c r="GM75" s="37">
        <f>SUMIFS(Lançamentos!$F:$F,Lançamentos!$A:$A,GM$19,Lançamentos!$C:$C,"ICMS")</f>
        <v>0</v>
      </c>
      <c r="GN75" s="37">
        <f>SUMIFS(Lançamentos!$F:$F,Lançamentos!$A:$A,GN$19,Lançamentos!$C:$C,"ICMS")</f>
        <v>0</v>
      </c>
      <c r="GO75" s="37">
        <f>SUMIFS(Lançamentos!$F:$F,Lançamentos!$A:$A,GO$19,Lançamentos!$C:$C,"ICMS")</f>
        <v>0</v>
      </c>
      <c r="GP75" s="37">
        <f>SUMIFS(Lançamentos!$F:$F,Lançamentos!$A:$A,GP$19,Lançamentos!$C:$C,"ICMS")</f>
        <v>0</v>
      </c>
      <c r="GQ75" s="37">
        <f>SUMIFS(Lançamentos!$F:$F,Lançamentos!$A:$A,GQ$19,Lançamentos!$C:$C,"ICMS")</f>
        <v>0</v>
      </c>
      <c r="GR75" s="37">
        <f>SUMIFS(Lançamentos!$F:$F,Lançamentos!$A:$A,GR$19,Lançamentos!$C:$C,"ICMS")</f>
        <v>0</v>
      </c>
      <c r="GS75" s="37">
        <f>SUMIFS(Lançamentos!$F:$F,Lançamentos!$A:$A,GS$19,Lançamentos!$C:$C,"ICMS")</f>
        <v>0</v>
      </c>
      <c r="GT75" s="37">
        <f>SUMIFS(Lançamentos!$F:$F,Lançamentos!$A:$A,GT$19,Lançamentos!$C:$C,"ICMS")</f>
        <v>0</v>
      </c>
      <c r="GU75" s="37">
        <f>SUMIFS(Lançamentos!$F:$F,Lançamentos!$A:$A,GU$19,Lançamentos!$C:$C,"ICMS")</f>
        <v>0</v>
      </c>
      <c r="GV75" s="37">
        <f>SUMIFS(Lançamentos!$F:$F,Lançamentos!$A:$A,GV$19,Lançamentos!$C:$C,"ICMS")</f>
        <v>0</v>
      </c>
      <c r="GW75" s="37">
        <f>SUMIFS(Lançamentos!$F:$F,Lançamentos!$A:$A,GW$19,Lançamentos!$C:$C,"ICMS")</f>
        <v>0</v>
      </c>
      <c r="GX75" s="37">
        <f>SUMIFS(Lançamentos!$F:$F,Lançamentos!$A:$A,GX$19,Lançamentos!$C:$C,"ICMS")</f>
        <v>0</v>
      </c>
      <c r="GY75" s="37">
        <f>SUMIFS(Lançamentos!$F:$F,Lançamentos!$A:$A,GY$19,Lançamentos!$C:$C,"ICMS")</f>
        <v>0</v>
      </c>
      <c r="GZ75" s="37">
        <f>SUMIFS(Lançamentos!$F:$F,Lançamentos!$A:$A,GZ$19,Lançamentos!$C:$C,"ICMS")</f>
        <v>0</v>
      </c>
      <c r="HA75" s="37">
        <f>SUMIFS(Lançamentos!$F:$F,Lançamentos!$A:$A,HA$19,Lançamentos!$C:$C,"ICMS")</f>
        <v>0</v>
      </c>
      <c r="HB75" s="37">
        <f>SUMIFS(Lançamentos!$F:$F,Lançamentos!$A:$A,HB$19,Lançamentos!$C:$C,"ICMS")</f>
        <v>0</v>
      </c>
      <c r="HC75" s="37">
        <f>SUMIFS(Lançamentos!$F:$F,Lançamentos!$A:$A,HC$19,Lançamentos!$C:$C,"ICMS")</f>
        <v>0</v>
      </c>
      <c r="HD75" s="37">
        <f>SUMIFS(Lançamentos!$F:$F,Lançamentos!$A:$A,HD$19,Lançamentos!$C:$C,"ICMS")</f>
        <v>0</v>
      </c>
      <c r="HE75" s="37">
        <f>SUMIFS(Lançamentos!$F:$F,Lançamentos!$A:$A,HE$19,Lançamentos!$C:$C,"ICMS")</f>
        <v>0</v>
      </c>
      <c r="HF75" s="37">
        <f>SUMIFS(Lançamentos!$F:$F,Lançamentos!$A:$A,HF$19,Lançamentos!$C:$C,"ICMS")</f>
        <v>0</v>
      </c>
      <c r="HG75" s="37">
        <f>SUMIFS(Lançamentos!$F:$F,Lançamentos!$A:$A,HG$19,Lançamentos!$C:$C,"ICMS")</f>
        <v>0</v>
      </c>
      <c r="HH75" s="37">
        <f>SUMIFS(Lançamentos!$F:$F,Lançamentos!$A:$A,HH$19,Lançamentos!$C:$C,"ICMS")</f>
        <v>0</v>
      </c>
      <c r="HI75" s="37">
        <f>SUMIFS(Lançamentos!$F:$F,Lançamentos!$A:$A,HI$19,Lançamentos!$C:$C,"ICMS")</f>
        <v>0</v>
      </c>
      <c r="HJ75" s="37">
        <f>SUMIFS(Lançamentos!$F:$F,Lançamentos!$A:$A,HJ$19,Lançamentos!$C:$C,"ICMS")</f>
        <v>0</v>
      </c>
      <c r="HK75" s="37">
        <f>SUMIFS(Lançamentos!$F:$F,Lançamentos!$A:$A,HK$19,Lançamentos!$C:$C,"ICMS")</f>
        <v>0</v>
      </c>
      <c r="HL75" s="37">
        <f>SUMIFS(Lançamentos!$F:$F,Lançamentos!$A:$A,HL$19,Lançamentos!$C:$C,"ICMS")</f>
        <v>0</v>
      </c>
      <c r="HM75" s="37">
        <f>SUMIFS(Lançamentos!$F:$F,Lançamentos!$A:$A,HM$19,Lançamentos!$C:$C,"ICMS")</f>
        <v>0</v>
      </c>
      <c r="HN75" s="37">
        <f>SUMIFS(Lançamentos!$F:$F,Lançamentos!$A:$A,HN$19,Lançamentos!$C:$C,"ICMS")</f>
        <v>0</v>
      </c>
      <c r="HO75" s="37">
        <f>SUMIFS(Lançamentos!$F:$F,Lançamentos!$A:$A,HO$19,Lançamentos!$C:$C,"ICMS")</f>
        <v>0</v>
      </c>
      <c r="HP75" s="37">
        <f>SUMIFS(Lançamentos!$F:$F,Lançamentos!$A:$A,HP$19,Lançamentos!$C:$C,"ICMS")</f>
        <v>0</v>
      </c>
      <c r="HQ75" s="37">
        <f>SUMIFS(Lançamentos!$F:$F,Lançamentos!$A:$A,HQ$19,Lançamentos!$C:$C,"ICMS")</f>
        <v>0</v>
      </c>
      <c r="HR75" s="37">
        <f>SUMIFS(Lançamentos!$F:$F,Lançamentos!$A:$A,HR$19,Lançamentos!$C:$C,"ICMS")</f>
        <v>0</v>
      </c>
      <c r="HS75" s="37">
        <f>SUMIFS(Lançamentos!$F:$F,Lançamentos!$A:$A,HS$19,Lançamentos!$C:$C,"ICMS")</f>
        <v>0</v>
      </c>
      <c r="HT75" s="37">
        <f>SUMIFS(Lançamentos!$F:$F,Lançamentos!$A:$A,HT$19,Lançamentos!$C:$C,"ICMS")</f>
        <v>0</v>
      </c>
      <c r="HU75" s="37">
        <f>SUMIFS(Lançamentos!$F:$F,Lançamentos!$A:$A,HU$19,Lançamentos!$C:$C,"ICMS")</f>
        <v>0</v>
      </c>
      <c r="HV75" s="37">
        <f>SUMIFS(Lançamentos!$F:$F,Lançamentos!$A:$A,HV$19,Lançamentos!$C:$C,"ICMS")</f>
        <v>0</v>
      </c>
      <c r="HW75" s="37">
        <f>SUMIFS(Lançamentos!$F:$F,Lançamentos!$A:$A,HW$19,Lançamentos!$C:$C,"ICMS")</f>
        <v>0</v>
      </c>
      <c r="HX75" s="37">
        <f>SUMIFS(Lançamentos!$F:$F,Lançamentos!$A:$A,HX$19,Lançamentos!$C:$C,"ICMS")</f>
        <v>0</v>
      </c>
      <c r="HY75" s="37">
        <f>SUMIFS(Lançamentos!$F:$F,Lançamentos!$A:$A,HY$19,Lançamentos!$C:$C,"ICMS")</f>
        <v>0</v>
      </c>
      <c r="HZ75" s="37">
        <f>SUMIFS(Lançamentos!$F:$F,Lançamentos!$A:$A,HZ$19,Lançamentos!$C:$C,"ICMS")</f>
        <v>0</v>
      </c>
      <c r="IA75" s="37">
        <f>SUMIFS(Lançamentos!$F:$F,Lançamentos!$A:$A,IA$19,Lançamentos!$C:$C,"ICMS")</f>
        <v>0</v>
      </c>
      <c r="IB75" s="37">
        <f>SUMIFS(Lançamentos!$F:$F,Lançamentos!$A:$A,IB$19,Lançamentos!$C:$C,"ICMS")</f>
        <v>0</v>
      </c>
      <c r="IC75" s="37">
        <f>SUMIFS(Lançamentos!$F:$F,Lançamentos!$A:$A,IC$19,Lançamentos!$C:$C,"ICMS")</f>
        <v>0</v>
      </c>
      <c r="ID75" s="37">
        <f>SUMIFS(Lançamentos!$F:$F,Lançamentos!$A:$A,ID$19,Lançamentos!$C:$C,"ICMS")</f>
        <v>0</v>
      </c>
      <c r="IE75" s="37">
        <f>SUMIFS(Lançamentos!$F:$F,Lançamentos!$A:$A,IE$19,Lançamentos!$C:$C,"ICMS")</f>
        <v>0</v>
      </c>
      <c r="IF75" s="37">
        <f>SUMIFS(Lançamentos!$F:$F,Lançamentos!$A:$A,IF$19,Lançamentos!$C:$C,"ICMS")</f>
        <v>0</v>
      </c>
      <c r="IG75" s="37">
        <f>SUMIFS(Lançamentos!$F:$F,Lançamentos!$A:$A,IG$19,Lançamentos!$C:$C,"ICMS")</f>
        <v>0</v>
      </c>
      <c r="IH75" s="37">
        <f>SUMIFS(Lançamentos!$F:$F,Lançamentos!$A:$A,IH$19,Lançamentos!$C:$C,"ICMS")</f>
        <v>0</v>
      </c>
      <c r="II75" s="37">
        <f>SUMIFS(Lançamentos!$F:$F,Lançamentos!$A:$A,II$19,Lançamentos!$C:$C,"ICMS")</f>
        <v>0</v>
      </c>
      <c r="IJ75" s="37">
        <f>SUMIFS(Lançamentos!$F:$F,Lançamentos!$A:$A,IJ$19,Lançamentos!$C:$C,"ICMS")</f>
        <v>0</v>
      </c>
      <c r="IK75" s="37">
        <f>SUMIFS(Lançamentos!$F:$F,Lançamentos!$A:$A,IK$19,Lançamentos!$C:$C,"ICMS")</f>
        <v>0</v>
      </c>
      <c r="IL75" s="37">
        <f>SUMIFS(Lançamentos!$F:$F,Lançamentos!$A:$A,IL$19,Lançamentos!$C:$C,"ICMS")</f>
        <v>0</v>
      </c>
    </row>
    <row r="76" spans="1:246" x14ac:dyDescent="0.3">
      <c r="A76" t="s">
        <v>114</v>
      </c>
      <c r="B76" s="37">
        <f>SUMIFS(Lançamentos!$F:$F,Lançamentos!$A:$A,B$19,Lançamentos!$C:$C,"PIS/COFINS")</f>
        <v>0</v>
      </c>
      <c r="C76" s="37">
        <f>SUMIFS(Lançamentos!$F:$F,Lançamentos!$A:$A,C$19,Lançamentos!$C:$C,"PIS/COFINS")</f>
        <v>0</v>
      </c>
      <c r="D76" s="37">
        <f>SUMIFS(Lançamentos!$F:$F,Lançamentos!$A:$A,D$19,Lançamentos!$C:$C,"PIS/COFINS")</f>
        <v>0</v>
      </c>
      <c r="E76" s="37">
        <f>SUMIFS(Lançamentos!$F:$F,Lançamentos!$A:$A,E$19,Lançamentos!$C:$C,"PIS/COFINS")</f>
        <v>0</v>
      </c>
      <c r="F76" s="37">
        <f>SUMIFS(Lançamentos!$F:$F,Lançamentos!$A:$A,F$19,Lançamentos!$C:$C,"PIS/COFINS")</f>
        <v>0</v>
      </c>
      <c r="G76" s="37">
        <f>SUMIFS(Lançamentos!$F:$F,Lançamentos!$A:$A,G$19,Lançamentos!$C:$C,"PIS/COFINS")</f>
        <v>0</v>
      </c>
      <c r="H76" s="37">
        <f>SUMIFS(Lançamentos!$F:$F,Lançamentos!$A:$A,H$19,Lançamentos!$C:$C,"PIS/COFINS")</f>
        <v>0</v>
      </c>
      <c r="I76" s="37">
        <f>SUMIFS(Lançamentos!$F:$F,Lançamentos!$A:$A,I$19,Lançamentos!$C:$C,"PIS/COFINS")</f>
        <v>0</v>
      </c>
      <c r="J76" s="37">
        <f>SUMIFS(Lançamentos!$F:$F,Lançamentos!$A:$A,J$19,Lançamentos!$C:$C,"PIS/COFINS")</f>
        <v>0</v>
      </c>
      <c r="K76" s="37">
        <f>SUMIFS(Lançamentos!$F:$F,Lançamentos!$A:$A,K$19,Lançamentos!$C:$C,"PIS/COFINS")</f>
        <v>0</v>
      </c>
      <c r="L76" s="37">
        <f>SUMIFS(Lançamentos!$F:$F,Lançamentos!$A:$A,L$19,Lançamentos!$C:$C,"PIS/COFINS")</f>
        <v>0</v>
      </c>
      <c r="M76" s="37">
        <f>SUMIFS(Lançamentos!$F:$F,Lançamentos!$A:$A,M$19,Lançamentos!$C:$C,"PIS/COFINS")</f>
        <v>0</v>
      </c>
      <c r="N76" s="37">
        <f>SUMIFS(Lançamentos!$F:$F,Lançamentos!$A:$A,N$19,Lançamentos!$C:$C,"PIS/COFINS")</f>
        <v>0</v>
      </c>
      <c r="O76" s="37">
        <f>SUMIFS(Lançamentos!$F:$F,Lançamentos!$A:$A,O$19,Lançamentos!$C:$C,"PIS/COFINS")</f>
        <v>0</v>
      </c>
      <c r="P76" s="37">
        <f>SUMIFS(Lançamentos!$F:$F,Lançamentos!$A:$A,P$19,Lançamentos!$C:$C,"PIS/COFINS")</f>
        <v>0</v>
      </c>
      <c r="Q76" s="37">
        <f>SUMIFS(Lançamentos!$F:$F,Lançamentos!$A:$A,Q$19,Lançamentos!$C:$C,"PIS/COFINS")</f>
        <v>0</v>
      </c>
      <c r="R76" s="37">
        <f>SUMIFS(Lançamentos!$F:$F,Lançamentos!$A:$A,R$19,Lançamentos!$C:$C,"PIS/COFINS")</f>
        <v>0</v>
      </c>
      <c r="S76" s="37">
        <f>SUMIFS(Lançamentos!$F:$F,Lançamentos!$A:$A,S$19,Lançamentos!$C:$C,"PIS/COFINS")</f>
        <v>0</v>
      </c>
      <c r="T76" s="37">
        <f>SUMIFS(Lançamentos!$F:$F,Lançamentos!$A:$A,T$19,Lançamentos!$C:$C,"PIS/COFINS")</f>
        <v>0</v>
      </c>
      <c r="U76" s="37">
        <f>SUMIFS(Lançamentos!$F:$F,Lançamentos!$A:$A,U$19,Lançamentos!$C:$C,"PIS/COFINS")</f>
        <v>0</v>
      </c>
      <c r="V76" s="37">
        <f>SUMIFS(Lançamentos!$F:$F,Lançamentos!$A:$A,V$19,Lançamentos!$C:$C,"PIS/COFINS")</f>
        <v>0</v>
      </c>
      <c r="W76" s="37">
        <f>SUMIFS(Lançamentos!$F:$F,Lançamentos!$A:$A,W$19,Lançamentos!$C:$C,"PIS/COFINS")</f>
        <v>0</v>
      </c>
      <c r="X76" s="37">
        <f>SUMIFS(Lançamentos!$F:$F,Lançamentos!$A:$A,X$19,Lançamentos!$C:$C,"PIS/COFINS")</f>
        <v>0</v>
      </c>
      <c r="Y76" s="37">
        <f>SUMIFS(Lançamentos!$F:$F,Lançamentos!$A:$A,Y$19,Lançamentos!$C:$C,"PIS/COFINS")</f>
        <v>0</v>
      </c>
      <c r="Z76" s="37">
        <f>SUMIFS(Lançamentos!$F:$F,Lançamentos!$A:$A,Z$19,Lançamentos!$C:$C,"PIS/COFINS")</f>
        <v>0</v>
      </c>
      <c r="AA76" s="37">
        <f>SUMIFS(Lançamentos!$F:$F,Lançamentos!$A:$A,AA$19,Lançamentos!$C:$C,"PIS/COFINS")</f>
        <v>0</v>
      </c>
      <c r="AB76" s="37">
        <f>SUMIFS(Lançamentos!$F:$F,Lançamentos!$A:$A,AB$19,Lançamentos!$C:$C,"PIS/COFINS")</f>
        <v>0</v>
      </c>
      <c r="AC76" s="37">
        <f>SUMIFS(Lançamentos!$F:$F,Lançamentos!$A:$A,AC$19,Lançamentos!$C:$C,"PIS/COFINS")</f>
        <v>0</v>
      </c>
      <c r="AD76" s="37">
        <f>SUMIFS(Lançamentos!$F:$F,Lançamentos!$A:$A,AD$19,Lançamentos!$C:$C,"PIS/COFINS")</f>
        <v>0</v>
      </c>
      <c r="AE76" s="37">
        <f>SUMIFS(Lançamentos!$F:$F,Lançamentos!$A:$A,AE$19,Lançamentos!$C:$C,"PIS/COFINS")</f>
        <v>0</v>
      </c>
      <c r="AF76" s="37">
        <f>SUMIFS(Lançamentos!$F:$F,Lançamentos!$A:$A,AF$19,Lançamentos!$C:$C,"PIS/COFINS")</f>
        <v>0</v>
      </c>
      <c r="AG76" s="37">
        <f>SUMIFS(Lançamentos!$F:$F,Lançamentos!$A:$A,AG$19,Lançamentos!$C:$C,"PIS/COFINS")</f>
        <v>0</v>
      </c>
      <c r="AH76" s="37">
        <f>SUMIFS(Lançamentos!$F:$F,Lançamentos!$A:$A,AH$19,Lançamentos!$C:$C,"PIS/COFINS")</f>
        <v>0</v>
      </c>
      <c r="AI76" s="37">
        <f>SUMIFS(Lançamentos!$F:$F,Lançamentos!$A:$A,AI$19,Lançamentos!$C:$C,"PIS/COFINS")</f>
        <v>0</v>
      </c>
      <c r="AJ76" s="37">
        <f>SUMIFS(Lançamentos!$F:$F,Lançamentos!$A:$A,AJ$19,Lançamentos!$C:$C,"PIS/COFINS")</f>
        <v>0</v>
      </c>
      <c r="AK76" s="37">
        <f>SUMIFS(Lançamentos!$F:$F,Lançamentos!$A:$A,AK$19,Lançamentos!$C:$C,"PIS/COFINS")</f>
        <v>0</v>
      </c>
      <c r="AL76" s="37">
        <f>SUMIFS(Lançamentos!$F:$F,Lançamentos!$A:$A,AL$19,Lançamentos!$C:$C,"PIS/COFINS")</f>
        <v>0</v>
      </c>
      <c r="AM76" s="37">
        <f>SUMIFS(Lançamentos!$F:$F,Lançamentos!$A:$A,AM$19,Lançamentos!$C:$C,"PIS/COFINS")</f>
        <v>0</v>
      </c>
      <c r="AN76" s="37">
        <f>SUMIFS(Lançamentos!$F:$F,Lançamentos!$A:$A,AN$19,Lançamentos!$C:$C,"PIS/COFINS")</f>
        <v>0</v>
      </c>
      <c r="AO76" s="37">
        <f>SUMIFS(Lançamentos!$F:$F,Lançamentos!$A:$A,AO$19,Lançamentos!$C:$C,"PIS/COFINS")</f>
        <v>0</v>
      </c>
      <c r="AP76" s="37">
        <f>SUMIFS(Lançamentos!$F:$F,Lançamentos!$A:$A,AP$19,Lançamentos!$C:$C,"PIS/COFINS")</f>
        <v>0</v>
      </c>
      <c r="AQ76" s="37">
        <f>SUMIFS(Lançamentos!$F:$F,Lançamentos!$A:$A,AQ$19,Lançamentos!$C:$C,"PIS/COFINS")</f>
        <v>0</v>
      </c>
      <c r="AR76" s="37">
        <f>SUMIFS(Lançamentos!$F:$F,Lançamentos!$A:$A,AR$19,Lançamentos!$C:$C,"PIS/COFINS")</f>
        <v>0</v>
      </c>
      <c r="AS76" s="37">
        <f>SUMIFS(Lançamentos!$F:$F,Lançamentos!$A:$A,AS$19,Lançamentos!$C:$C,"PIS/COFINS")</f>
        <v>0</v>
      </c>
      <c r="AT76" s="37">
        <f>SUMIFS(Lançamentos!$F:$F,Lançamentos!$A:$A,AT$19,Lançamentos!$C:$C,"PIS/COFINS")</f>
        <v>0</v>
      </c>
      <c r="AU76" s="37">
        <f>SUMIFS(Lançamentos!$F:$F,Lançamentos!$A:$A,AU$19,Lançamentos!$C:$C,"PIS/COFINS")</f>
        <v>0</v>
      </c>
      <c r="AV76" s="37">
        <f>SUMIFS(Lançamentos!$F:$F,Lançamentos!$A:$A,AV$19,Lançamentos!$C:$C,"PIS/COFINS")</f>
        <v>0</v>
      </c>
      <c r="AW76" s="37">
        <f>SUMIFS(Lançamentos!$F:$F,Lançamentos!$A:$A,AW$19,Lançamentos!$C:$C,"PIS/COFINS")</f>
        <v>0</v>
      </c>
      <c r="AX76" s="37">
        <f>SUMIFS(Lançamentos!$F:$F,Lançamentos!$A:$A,AX$19,Lançamentos!$C:$C,"PIS/COFINS")</f>
        <v>0</v>
      </c>
      <c r="AY76" s="37">
        <f>SUMIFS(Lançamentos!$F:$F,Lançamentos!$A:$A,AY$19,Lançamentos!$C:$C,"PIS/COFINS")</f>
        <v>0</v>
      </c>
      <c r="AZ76" s="37">
        <f>SUMIFS(Lançamentos!$F:$F,Lançamentos!$A:$A,AZ$19,Lançamentos!$C:$C,"PIS/COFINS")</f>
        <v>0</v>
      </c>
      <c r="BA76" s="37">
        <f>SUMIFS(Lançamentos!$F:$F,Lançamentos!$A:$A,BA$19,Lançamentos!$C:$C,"PIS/COFINS")</f>
        <v>0</v>
      </c>
      <c r="BB76" s="37">
        <f>SUMIFS(Lançamentos!$F:$F,Lançamentos!$A:$A,BB$19,Lançamentos!$C:$C,"PIS/COFINS")</f>
        <v>0</v>
      </c>
      <c r="BC76" s="37">
        <f>SUMIFS(Lançamentos!$F:$F,Lançamentos!$A:$A,BC$19,Lançamentos!$C:$C,"PIS/COFINS")</f>
        <v>0</v>
      </c>
      <c r="BD76" s="37">
        <f>SUMIFS(Lançamentos!$F:$F,Lançamentos!$A:$A,BD$19,Lançamentos!$C:$C,"PIS/COFINS")</f>
        <v>0</v>
      </c>
      <c r="BE76" s="37">
        <f>SUMIFS(Lançamentos!$F:$F,Lançamentos!$A:$A,BE$19,Lançamentos!$C:$C,"PIS/COFINS")</f>
        <v>0</v>
      </c>
      <c r="BF76" s="37">
        <f>SUMIFS(Lançamentos!$F:$F,Lançamentos!$A:$A,BF$19,Lançamentos!$C:$C,"PIS/COFINS")</f>
        <v>0</v>
      </c>
      <c r="BG76" s="37">
        <f>SUMIFS(Lançamentos!$F:$F,Lançamentos!$A:$A,BG$19,Lançamentos!$C:$C,"PIS/COFINS")</f>
        <v>0</v>
      </c>
      <c r="BH76" s="37">
        <f>SUMIFS(Lançamentos!$F:$F,Lançamentos!$A:$A,BH$19,Lançamentos!$C:$C,"PIS/COFINS")</f>
        <v>0</v>
      </c>
      <c r="BI76" s="37">
        <f>SUMIFS(Lançamentos!$F:$F,Lançamentos!$A:$A,BI$19,Lançamentos!$C:$C,"PIS/COFINS")</f>
        <v>0</v>
      </c>
      <c r="BJ76" s="37">
        <f>SUMIFS(Lançamentos!$F:$F,Lançamentos!$A:$A,BJ$19,Lançamentos!$C:$C,"PIS/COFINS")</f>
        <v>0</v>
      </c>
      <c r="BK76" s="37">
        <f>SUMIFS(Lançamentos!$F:$F,Lançamentos!$A:$A,BK$19,Lançamentos!$C:$C,"PIS/COFINS")</f>
        <v>0</v>
      </c>
      <c r="BL76" s="37">
        <f>SUMIFS(Lançamentos!$F:$F,Lançamentos!$A:$A,BL$19,Lançamentos!$C:$C,"PIS/COFINS")</f>
        <v>0</v>
      </c>
      <c r="BM76" s="37">
        <f>SUMIFS(Lançamentos!$F:$F,Lançamentos!$A:$A,BM$19,Lançamentos!$C:$C,"PIS/COFINS")</f>
        <v>0</v>
      </c>
      <c r="BN76" s="37">
        <f>SUMIFS(Lançamentos!$F:$F,Lançamentos!$A:$A,BN$19,Lançamentos!$C:$C,"PIS/COFINS")</f>
        <v>0</v>
      </c>
      <c r="BO76" s="37">
        <f>SUMIFS(Lançamentos!$F:$F,Lançamentos!$A:$A,BO$19,Lançamentos!$C:$C,"PIS/COFINS")</f>
        <v>0</v>
      </c>
      <c r="BP76" s="37">
        <f>SUMIFS(Lançamentos!$F:$F,Lançamentos!$A:$A,BP$19,Lançamentos!$C:$C,"PIS/COFINS")</f>
        <v>0</v>
      </c>
      <c r="BQ76" s="37">
        <f>SUMIFS(Lançamentos!$F:$F,Lançamentos!$A:$A,BQ$19,Lançamentos!$C:$C,"PIS/COFINS")</f>
        <v>0</v>
      </c>
      <c r="BR76" s="37">
        <f>SUMIFS(Lançamentos!$F:$F,Lançamentos!$A:$A,BR$19,Lançamentos!$C:$C,"PIS/COFINS")</f>
        <v>0</v>
      </c>
      <c r="BS76" s="37">
        <f>SUMIFS(Lançamentos!$F:$F,Lançamentos!$A:$A,BS$19,Lançamentos!$C:$C,"PIS/COFINS")</f>
        <v>0</v>
      </c>
      <c r="BT76" s="37">
        <f>SUMIFS(Lançamentos!$F:$F,Lançamentos!$A:$A,BT$19,Lançamentos!$C:$C,"PIS/COFINS")</f>
        <v>0</v>
      </c>
      <c r="BU76" s="37">
        <f>SUMIFS(Lançamentos!$F:$F,Lançamentos!$A:$A,BU$19,Lançamentos!$C:$C,"PIS/COFINS")</f>
        <v>0</v>
      </c>
      <c r="BV76" s="37">
        <f>SUMIFS(Lançamentos!$F:$F,Lançamentos!$A:$A,BV$19,Lançamentos!$C:$C,"PIS/COFINS")</f>
        <v>0</v>
      </c>
      <c r="BW76" s="37">
        <f>SUMIFS(Lançamentos!$F:$F,Lançamentos!$A:$A,BW$19,Lançamentos!$C:$C,"PIS/COFINS")</f>
        <v>0</v>
      </c>
      <c r="BX76" s="37">
        <f>SUMIFS(Lançamentos!$F:$F,Lançamentos!$A:$A,BX$19,Lançamentos!$C:$C,"PIS/COFINS")</f>
        <v>0</v>
      </c>
      <c r="BY76" s="37">
        <f>SUMIFS(Lançamentos!$F:$F,Lançamentos!$A:$A,BY$19,Lançamentos!$C:$C,"PIS/COFINS")</f>
        <v>0</v>
      </c>
      <c r="BZ76" s="37">
        <f>SUMIFS(Lançamentos!$F:$F,Lançamentos!$A:$A,BZ$19,Lançamentos!$C:$C,"PIS/COFINS")</f>
        <v>0</v>
      </c>
      <c r="CA76" s="37">
        <f>SUMIFS(Lançamentos!$F:$F,Lançamentos!$A:$A,CA$19,Lançamentos!$C:$C,"PIS/COFINS")</f>
        <v>0</v>
      </c>
      <c r="CB76" s="37">
        <f>SUMIFS(Lançamentos!$F:$F,Lançamentos!$A:$A,CB$19,Lançamentos!$C:$C,"PIS/COFINS")</f>
        <v>0</v>
      </c>
      <c r="CC76" s="37">
        <f>SUMIFS(Lançamentos!$F:$F,Lançamentos!$A:$A,CC$19,Lançamentos!$C:$C,"PIS/COFINS")</f>
        <v>0</v>
      </c>
      <c r="CD76" s="37">
        <f>SUMIFS(Lançamentos!$F:$F,Lançamentos!$A:$A,CD$19,Lançamentos!$C:$C,"PIS/COFINS")</f>
        <v>0</v>
      </c>
      <c r="CE76" s="37">
        <f>SUMIFS(Lançamentos!$F:$F,Lançamentos!$A:$A,CE$19,Lançamentos!$C:$C,"PIS/COFINS")</f>
        <v>0</v>
      </c>
      <c r="CF76" s="37">
        <f>SUMIFS(Lançamentos!$F:$F,Lançamentos!$A:$A,CF$19,Lançamentos!$C:$C,"PIS/COFINS")</f>
        <v>0</v>
      </c>
      <c r="CG76" s="37">
        <f>SUMIFS(Lançamentos!$F:$F,Lançamentos!$A:$A,CG$19,Lançamentos!$C:$C,"PIS/COFINS")</f>
        <v>0</v>
      </c>
      <c r="CH76" s="37">
        <f>SUMIFS(Lançamentos!$F:$F,Lançamentos!$A:$A,CH$19,Lançamentos!$C:$C,"PIS/COFINS")</f>
        <v>0</v>
      </c>
      <c r="CI76" s="37">
        <f>SUMIFS(Lançamentos!$F:$F,Lançamentos!$A:$A,CI$19,Lançamentos!$C:$C,"PIS/COFINS")</f>
        <v>0</v>
      </c>
      <c r="CJ76" s="37">
        <f>SUMIFS(Lançamentos!$F:$F,Lançamentos!$A:$A,CJ$19,Lançamentos!$C:$C,"PIS/COFINS")</f>
        <v>0</v>
      </c>
      <c r="CK76" s="37">
        <f>SUMIFS(Lançamentos!$F:$F,Lançamentos!$A:$A,CK$19,Lançamentos!$C:$C,"PIS/COFINS")</f>
        <v>0</v>
      </c>
      <c r="CL76" s="37">
        <f>SUMIFS(Lançamentos!$F:$F,Lançamentos!$A:$A,CL$19,Lançamentos!$C:$C,"PIS/COFINS")</f>
        <v>0</v>
      </c>
      <c r="CM76" s="37">
        <f>SUMIFS(Lançamentos!$F:$F,Lançamentos!$A:$A,CM$19,Lançamentos!$C:$C,"PIS/COFINS")</f>
        <v>0</v>
      </c>
      <c r="CN76" s="37">
        <f>SUMIFS(Lançamentos!$F:$F,Lançamentos!$A:$A,CN$19,Lançamentos!$C:$C,"PIS/COFINS")</f>
        <v>0</v>
      </c>
      <c r="CO76" s="37">
        <f>SUMIFS(Lançamentos!$F:$F,Lançamentos!$A:$A,CO$19,Lançamentos!$C:$C,"PIS/COFINS")</f>
        <v>0</v>
      </c>
      <c r="CP76" s="37">
        <f>SUMIFS(Lançamentos!$F:$F,Lançamentos!$A:$A,CP$19,Lançamentos!$C:$C,"PIS/COFINS")</f>
        <v>0</v>
      </c>
      <c r="CQ76" s="37">
        <f>SUMIFS(Lançamentos!$F:$F,Lançamentos!$A:$A,CQ$19,Lançamentos!$C:$C,"PIS/COFINS")</f>
        <v>0</v>
      </c>
      <c r="CR76" s="37">
        <f>SUMIFS(Lançamentos!$F:$F,Lançamentos!$A:$A,CR$19,Lançamentos!$C:$C,"PIS/COFINS")</f>
        <v>0</v>
      </c>
      <c r="CS76" s="37">
        <f>SUMIFS(Lançamentos!$F:$F,Lançamentos!$A:$A,CS$19,Lançamentos!$C:$C,"PIS/COFINS")</f>
        <v>0</v>
      </c>
      <c r="CT76" s="37">
        <f>SUMIFS(Lançamentos!$F:$F,Lançamentos!$A:$A,CT$19,Lançamentos!$C:$C,"PIS/COFINS")</f>
        <v>0</v>
      </c>
      <c r="CU76" s="37">
        <f>SUMIFS(Lançamentos!$F:$F,Lançamentos!$A:$A,CU$19,Lançamentos!$C:$C,"PIS/COFINS")</f>
        <v>0</v>
      </c>
      <c r="CV76" s="37">
        <f>SUMIFS(Lançamentos!$F:$F,Lançamentos!$A:$A,CV$19,Lançamentos!$C:$C,"PIS/COFINS")</f>
        <v>0</v>
      </c>
      <c r="CW76" s="37">
        <f>SUMIFS(Lançamentos!$F:$F,Lançamentos!$A:$A,CW$19,Lançamentos!$C:$C,"PIS/COFINS")</f>
        <v>0</v>
      </c>
      <c r="CX76" s="37">
        <f>SUMIFS(Lançamentos!$F:$F,Lançamentos!$A:$A,CX$19,Lançamentos!$C:$C,"PIS/COFINS")</f>
        <v>0</v>
      </c>
      <c r="CY76" s="37">
        <f>SUMIFS(Lançamentos!$F:$F,Lançamentos!$A:$A,CY$19,Lançamentos!$C:$C,"PIS/COFINS")</f>
        <v>0</v>
      </c>
      <c r="CZ76" s="37">
        <f>SUMIFS(Lançamentos!$F:$F,Lançamentos!$A:$A,CZ$19,Lançamentos!$C:$C,"PIS/COFINS")</f>
        <v>0</v>
      </c>
      <c r="DA76" s="37">
        <f>SUMIFS(Lançamentos!$F:$F,Lançamentos!$A:$A,DA$19,Lançamentos!$C:$C,"PIS/COFINS")</f>
        <v>0</v>
      </c>
      <c r="DB76" s="37">
        <f>SUMIFS(Lançamentos!$F:$F,Lançamentos!$A:$A,DB$19,Lançamentos!$C:$C,"PIS/COFINS")</f>
        <v>0</v>
      </c>
      <c r="DC76" s="37">
        <f>SUMIFS(Lançamentos!$F:$F,Lançamentos!$A:$A,DC$19,Lançamentos!$C:$C,"PIS/COFINS")</f>
        <v>0</v>
      </c>
      <c r="DD76" s="37">
        <f>SUMIFS(Lançamentos!$F:$F,Lançamentos!$A:$A,DD$19,Lançamentos!$C:$C,"PIS/COFINS")</f>
        <v>0</v>
      </c>
      <c r="DE76" s="37">
        <f>SUMIFS(Lançamentos!$F:$F,Lançamentos!$A:$A,DE$19,Lançamentos!$C:$C,"PIS/COFINS")</f>
        <v>0</v>
      </c>
      <c r="DF76" s="37">
        <f>SUMIFS(Lançamentos!$F:$F,Lançamentos!$A:$A,DF$19,Lançamentos!$C:$C,"PIS/COFINS")</f>
        <v>0</v>
      </c>
      <c r="DG76" s="37">
        <f>SUMIFS(Lançamentos!$F:$F,Lançamentos!$A:$A,DG$19,Lançamentos!$C:$C,"PIS/COFINS")</f>
        <v>0</v>
      </c>
      <c r="DH76" s="37">
        <f>SUMIFS(Lançamentos!$F:$F,Lançamentos!$A:$A,DH$19,Lançamentos!$C:$C,"PIS/COFINS")</f>
        <v>0</v>
      </c>
      <c r="DI76" s="37">
        <f>SUMIFS(Lançamentos!$F:$F,Lançamentos!$A:$A,DI$19,Lançamentos!$C:$C,"PIS/COFINS")</f>
        <v>0</v>
      </c>
      <c r="DJ76" s="37">
        <f>SUMIFS(Lançamentos!$F:$F,Lançamentos!$A:$A,DJ$19,Lançamentos!$C:$C,"PIS/COFINS")</f>
        <v>0</v>
      </c>
      <c r="DK76" s="37">
        <f>SUMIFS(Lançamentos!$F:$F,Lançamentos!$A:$A,DK$19,Lançamentos!$C:$C,"PIS/COFINS")</f>
        <v>0</v>
      </c>
      <c r="DL76" s="37">
        <f>SUMIFS(Lançamentos!$F:$F,Lançamentos!$A:$A,DL$19,Lançamentos!$C:$C,"PIS/COFINS")</f>
        <v>0</v>
      </c>
      <c r="DM76" s="37">
        <f>SUMIFS(Lançamentos!$F:$F,Lançamentos!$A:$A,DM$19,Lançamentos!$C:$C,"PIS/COFINS")</f>
        <v>0</v>
      </c>
      <c r="DN76" s="37">
        <f>SUMIFS(Lançamentos!$F:$F,Lançamentos!$A:$A,DN$19,Lançamentos!$C:$C,"PIS/COFINS")</f>
        <v>0</v>
      </c>
      <c r="DO76" s="37">
        <f>SUMIFS(Lançamentos!$F:$F,Lançamentos!$A:$A,DO$19,Lançamentos!$C:$C,"PIS/COFINS")</f>
        <v>0</v>
      </c>
      <c r="DP76" s="37">
        <f>SUMIFS(Lançamentos!$F:$F,Lançamentos!$A:$A,DP$19,Lançamentos!$C:$C,"PIS/COFINS")</f>
        <v>0</v>
      </c>
      <c r="DQ76" s="37">
        <f>SUMIFS(Lançamentos!$F:$F,Lançamentos!$A:$A,DQ$19,Lançamentos!$C:$C,"PIS/COFINS")</f>
        <v>0</v>
      </c>
      <c r="DR76" s="37">
        <f>SUMIFS(Lançamentos!$F:$F,Lançamentos!$A:$A,DR$19,Lançamentos!$C:$C,"PIS/COFINS")</f>
        <v>0</v>
      </c>
      <c r="DS76" s="37">
        <f>SUMIFS(Lançamentos!$F:$F,Lançamentos!$A:$A,DS$19,Lançamentos!$C:$C,"PIS/COFINS")</f>
        <v>0</v>
      </c>
      <c r="DT76" s="37">
        <f>SUMIFS(Lançamentos!$F:$F,Lançamentos!$A:$A,DT$19,Lançamentos!$C:$C,"PIS/COFINS")</f>
        <v>0</v>
      </c>
      <c r="DU76" s="37">
        <f>SUMIFS(Lançamentos!$F:$F,Lançamentos!$A:$A,DU$19,Lançamentos!$C:$C,"PIS/COFINS")</f>
        <v>0</v>
      </c>
      <c r="DV76" s="37">
        <f>SUMIFS(Lançamentos!$F:$F,Lançamentos!$A:$A,DV$19,Lançamentos!$C:$C,"PIS/COFINS")</f>
        <v>0</v>
      </c>
      <c r="DW76" s="37">
        <f>SUMIFS(Lançamentos!$F:$F,Lançamentos!$A:$A,DW$19,Lançamentos!$C:$C,"PIS/COFINS")</f>
        <v>0</v>
      </c>
      <c r="DX76" s="37">
        <f>SUMIFS(Lançamentos!$F:$F,Lançamentos!$A:$A,DX$19,Lançamentos!$C:$C,"PIS/COFINS")</f>
        <v>0</v>
      </c>
      <c r="DY76" s="37">
        <f>SUMIFS(Lançamentos!$F:$F,Lançamentos!$A:$A,DY$19,Lançamentos!$C:$C,"PIS/COFINS")</f>
        <v>0</v>
      </c>
      <c r="DZ76" s="37">
        <f>SUMIFS(Lançamentos!$F:$F,Lançamentos!$A:$A,DZ$19,Lançamentos!$C:$C,"PIS/COFINS")</f>
        <v>0</v>
      </c>
      <c r="EA76" s="37">
        <f>SUMIFS(Lançamentos!$F:$F,Lançamentos!$A:$A,EA$19,Lançamentos!$C:$C,"PIS/COFINS")</f>
        <v>0</v>
      </c>
      <c r="EB76" s="37">
        <f>SUMIFS(Lançamentos!$F:$F,Lançamentos!$A:$A,EB$19,Lançamentos!$C:$C,"PIS/COFINS")</f>
        <v>0</v>
      </c>
      <c r="EC76" s="37">
        <f>SUMIFS(Lançamentos!$F:$F,Lançamentos!$A:$A,EC$19,Lançamentos!$C:$C,"PIS/COFINS")</f>
        <v>0</v>
      </c>
      <c r="ED76" s="37">
        <f>SUMIFS(Lançamentos!$F:$F,Lançamentos!$A:$A,ED$19,Lançamentos!$C:$C,"PIS/COFINS")</f>
        <v>0</v>
      </c>
      <c r="EE76" s="37">
        <f>SUMIFS(Lançamentos!$F:$F,Lançamentos!$A:$A,EE$19,Lançamentos!$C:$C,"PIS/COFINS")</f>
        <v>0</v>
      </c>
      <c r="EF76" s="37">
        <f>SUMIFS(Lançamentos!$F:$F,Lançamentos!$A:$A,EF$19,Lançamentos!$C:$C,"PIS/COFINS")</f>
        <v>0</v>
      </c>
      <c r="EG76" s="37">
        <f>SUMIFS(Lançamentos!$F:$F,Lançamentos!$A:$A,EG$19,Lançamentos!$C:$C,"PIS/COFINS")</f>
        <v>0</v>
      </c>
      <c r="EH76" s="37">
        <f>SUMIFS(Lançamentos!$F:$F,Lançamentos!$A:$A,EH$19,Lançamentos!$C:$C,"PIS/COFINS")</f>
        <v>0</v>
      </c>
      <c r="EI76" s="37">
        <f>SUMIFS(Lançamentos!$F:$F,Lançamentos!$A:$A,EI$19,Lançamentos!$C:$C,"PIS/COFINS")</f>
        <v>0</v>
      </c>
      <c r="EJ76" s="37">
        <f>SUMIFS(Lançamentos!$F:$F,Lançamentos!$A:$A,EJ$19,Lançamentos!$C:$C,"PIS/COFINS")</f>
        <v>0</v>
      </c>
      <c r="EK76" s="37">
        <f>SUMIFS(Lançamentos!$F:$F,Lançamentos!$A:$A,EK$19,Lançamentos!$C:$C,"PIS/COFINS")</f>
        <v>0</v>
      </c>
      <c r="EL76" s="37">
        <f>SUMIFS(Lançamentos!$F:$F,Lançamentos!$A:$A,EL$19,Lançamentos!$C:$C,"PIS/COFINS")</f>
        <v>0</v>
      </c>
      <c r="EM76" s="37">
        <f>SUMIFS(Lançamentos!$F:$F,Lançamentos!$A:$A,EM$19,Lançamentos!$C:$C,"PIS/COFINS")</f>
        <v>0</v>
      </c>
      <c r="EN76" s="37">
        <f>SUMIFS(Lançamentos!$F:$F,Lançamentos!$A:$A,EN$19,Lançamentos!$C:$C,"PIS/COFINS")</f>
        <v>0</v>
      </c>
      <c r="EO76" s="37">
        <f>SUMIFS(Lançamentos!$F:$F,Lançamentos!$A:$A,EO$19,Lançamentos!$C:$C,"PIS/COFINS")</f>
        <v>0</v>
      </c>
      <c r="EP76" s="37">
        <f>SUMIFS(Lançamentos!$F:$F,Lançamentos!$A:$A,EP$19,Lançamentos!$C:$C,"PIS/COFINS")</f>
        <v>0</v>
      </c>
      <c r="EQ76" s="37">
        <f>SUMIFS(Lançamentos!$F:$F,Lançamentos!$A:$A,EQ$19,Lançamentos!$C:$C,"PIS/COFINS")</f>
        <v>0</v>
      </c>
      <c r="ER76" s="37">
        <f>SUMIFS(Lançamentos!$F:$F,Lançamentos!$A:$A,ER$19,Lançamentos!$C:$C,"PIS/COFINS")</f>
        <v>0</v>
      </c>
      <c r="ES76" s="37">
        <f>SUMIFS(Lançamentos!$F:$F,Lançamentos!$A:$A,ES$19,Lançamentos!$C:$C,"PIS/COFINS")</f>
        <v>0</v>
      </c>
      <c r="ET76" s="37">
        <f>SUMIFS(Lançamentos!$F:$F,Lançamentos!$A:$A,ET$19,Lançamentos!$C:$C,"PIS/COFINS")</f>
        <v>0</v>
      </c>
      <c r="EU76" s="37">
        <f>SUMIFS(Lançamentos!$F:$F,Lançamentos!$A:$A,EU$19,Lançamentos!$C:$C,"PIS/COFINS")</f>
        <v>0</v>
      </c>
      <c r="EV76" s="37">
        <f>SUMIFS(Lançamentos!$F:$F,Lançamentos!$A:$A,EV$19,Lançamentos!$C:$C,"PIS/COFINS")</f>
        <v>0</v>
      </c>
      <c r="EW76" s="37">
        <f>SUMIFS(Lançamentos!$F:$F,Lançamentos!$A:$A,EW$19,Lançamentos!$C:$C,"PIS/COFINS")</f>
        <v>0</v>
      </c>
      <c r="EX76" s="37">
        <f>SUMIFS(Lançamentos!$F:$F,Lançamentos!$A:$A,EX$19,Lançamentos!$C:$C,"PIS/COFINS")</f>
        <v>0</v>
      </c>
      <c r="EY76" s="37">
        <f>SUMIFS(Lançamentos!$F:$F,Lançamentos!$A:$A,EY$19,Lançamentos!$C:$C,"PIS/COFINS")</f>
        <v>0</v>
      </c>
      <c r="EZ76" s="37">
        <f>SUMIFS(Lançamentos!$F:$F,Lançamentos!$A:$A,EZ$19,Lançamentos!$C:$C,"PIS/COFINS")</f>
        <v>0</v>
      </c>
      <c r="FA76" s="37">
        <f>SUMIFS(Lançamentos!$F:$F,Lançamentos!$A:$A,FA$19,Lançamentos!$C:$C,"PIS/COFINS")</f>
        <v>0</v>
      </c>
      <c r="FB76" s="37">
        <f>SUMIFS(Lançamentos!$F:$F,Lançamentos!$A:$A,FB$19,Lançamentos!$C:$C,"PIS/COFINS")</f>
        <v>0</v>
      </c>
      <c r="FC76" s="37">
        <f>SUMIFS(Lançamentos!$F:$F,Lançamentos!$A:$A,FC$19,Lançamentos!$C:$C,"PIS/COFINS")</f>
        <v>0</v>
      </c>
      <c r="FD76" s="37">
        <f>SUMIFS(Lançamentos!$F:$F,Lançamentos!$A:$A,FD$19,Lançamentos!$C:$C,"PIS/COFINS")</f>
        <v>0</v>
      </c>
      <c r="FE76" s="37">
        <f>SUMIFS(Lançamentos!$F:$F,Lançamentos!$A:$A,FE$19,Lançamentos!$C:$C,"PIS/COFINS")</f>
        <v>0</v>
      </c>
      <c r="FF76" s="37">
        <f>SUMIFS(Lançamentos!$F:$F,Lançamentos!$A:$A,FF$19,Lançamentos!$C:$C,"PIS/COFINS")</f>
        <v>0</v>
      </c>
      <c r="FG76" s="37">
        <f>SUMIFS(Lançamentos!$F:$F,Lançamentos!$A:$A,FG$19,Lançamentos!$C:$C,"PIS/COFINS")</f>
        <v>0</v>
      </c>
      <c r="FH76" s="37">
        <f>SUMIFS(Lançamentos!$F:$F,Lançamentos!$A:$A,FH$19,Lançamentos!$C:$C,"PIS/COFINS")</f>
        <v>0</v>
      </c>
      <c r="FI76" s="37">
        <f>SUMIFS(Lançamentos!$F:$F,Lançamentos!$A:$A,FI$19,Lançamentos!$C:$C,"PIS/COFINS")</f>
        <v>0</v>
      </c>
      <c r="FJ76" s="37">
        <f>SUMIFS(Lançamentos!$F:$F,Lançamentos!$A:$A,FJ$19,Lançamentos!$C:$C,"PIS/COFINS")</f>
        <v>0</v>
      </c>
      <c r="FK76" s="37">
        <f>SUMIFS(Lançamentos!$F:$F,Lançamentos!$A:$A,FK$19,Lançamentos!$C:$C,"PIS/COFINS")</f>
        <v>0</v>
      </c>
      <c r="FL76" s="37">
        <f>SUMIFS(Lançamentos!$F:$F,Lançamentos!$A:$A,FL$19,Lançamentos!$C:$C,"PIS/COFINS")</f>
        <v>0</v>
      </c>
      <c r="FM76" s="37">
        <f>SUMIFS(Lançamentos!$F:$F,Lançamentos!$A:$A,FM$19,Lançamentos!$C:$C,"PIS/COFINS")</f>
        <v>0</v>
      </c>
      <c r="FN76" s="37">
        <f>SUMIFS(Lançamentos!$F:$F,Lançamentos!$A:$A,FN$19,Lançamentos!$C:$C,"PIS/COFINS")</f>
        <v>0</v>
      </c>
      <c r="FO76" s="37">
        <f>SUMIFS(Lançamentos!$F:$F,Lançamentos!$A:$A,FO$19,Lançamentos!$C:$C,"PIS/COFINS")</f>
        <v>0</v>
      </c>
      <c r="FP76" s="37">
        <f>SUMIFS(Lançamentos!$F:$F,Lançamentos!$A:$A,FP$19,Lançamentos!$C:$C,"PIS/COFINS")</f>
        <v>0</v>
      </c>
      <c r="FQ76" s="37">
        <f>SUMIFS(Lançamentos!$F:$F,Lançamentos!$A:$A,FQ$19,Lançamentos!$C:$C,"PIS/COFINS")</f>
        <v>0</v>
      </c>
      <c r="FR76" s="37">
        <f>SUMIFS(Lançamentos!$F:$F,Lançamentos!$A:$A,FR$19,Lançamentos!$C:$C,"PIS/COFINS")</f>
        <v>0</v>
      </c>
      <c r="FS76" s="37">
        <f>SUMIFS(Lançamentos!$F:$F,Lançamentos!$A:$A,FS$19,Lançamentos!$C:$C,"PIS/COFINS")</f>
        <v>0</v>
      </c>
      <c r="FT76" s="37">
        <f>SUMIFS(Lançamentos!$F:$F,Lançamentos!$A:$A,FT$19,Lançamentos!$C:$C,"PIS/COFINS")</f>
        <v>0</v>
      </c>
      <c r="FU76" s="37">
        <f>SUMIFS(Lançamentos!$F:$F,Lançamentos!$A:$A,FU$19,Lançamentos!$C:$C,"PIS/COFINS")</f>
        <v>0</v>
      </c>
      <c r="FV76" s="37">
        <f>SUMIFS(Lançamentos!$F:$F,Lançamentos!$A:$A,FV$19,Lançamentos!$C:$C,"PIS/COFINS")</f>
        <v>0</v>
      </c>
      <c r="FW76" s="37">
        <f>SUMIFS(Lançamentos!$F:$F,Lançamentos!$A:$A,FW$19,Lançamentos!$C:$C,"PIS/COFINS")</f>
        <v>0</v>
      </c>
      <c r="FX76" s="37">
        <f>SUMIFS(Lançamentos!$F:$F,Lançamentos!$A:$A,FX$19,Lançamentos!$C:$C,"PIS/COFINS")</f>
        <v>0</v>
      </c>
      <c r="FY76" s="37">
        <f>SUMIFS(Lançamentos!$F:$F,Lançamentos!$A:$A,FY$19,Lançamentos!$C:$C,"PIS/COFINS")</f>
        <v>0</v>
      </c>
      <c r="FZ76" s="37">
        <f>SUMIFS(Lançamentos!$F:$F,Lançamentos!$A:$A,FZ$19,Lançamentos!$C:$C,"PIS/COFINS")</f>
        <v>0</v>
      </c>
      <c r="GA76" s="37">
        <f>SUMIFS(Lançamentos!$F:$F,Lançamentos!$A:$A,GA$19,Lançamentos!$C:$C,"PIS/COFINS")</f>
        <v>0</v>
      </c>
      <c r="GB76" s="37">
        <f>SUMIFS(Lançamentos!$F:$F,Lançamentos!$A:$A,GB$19,Lançamentos!$C:$C,"PIS/COFINS")</f>
        <v>0</v>
      </c>
      <c r="GC76" s="37">
        <f>SUMIFS(Lançamentos!$F:$F,Lançamentos!$A:$A,GC$19,Lançamentos!$C:$C,"PIS/COFINS")</f>
        <v>0</v>
      </c>
      <c r="GD76" s="37">
        <f>SUMIFS(Lançamentos!$F:$F,Lançamentos!$A:$A,GD$19,Lançamentos!$C:$C,"PIS/COFINS")</f>
        <v>0</v>
      </c>
      <c r="GE76" s="37">
        <f>SUMIFS(Lançamentos!$F:$F,Lançamentos!$A:$A,GE$19,Lançamentos!$C:$C,"PIS/COFINS")</f>
        <v>0</v>
      </c>
      <c r="GF76" s="37">
        <f>SUMIFS(Lançamentos!$F:$F,Lançamentos!$A:$A,GF$19,Lançamentos!$C:$C,"PIS/COFINS")</f>
        <v>0</v>
      </c>
      <c r="GG76" s="37">
        <f>SUMIFS(Lançamentos!$F:$F,Lançamentos!$A:$A,GG$19,Lançamentos!$C:$C,"PIS/COFINS")</f>
        <v>0</v>
      </c>
      <c r="GH76" s="37">
        <f>SUMIFS(Lançamentos!$F:$F,Lançamentos!$A:$A,GH$19,Lançamentos!$C:$C,"PIS/COFINS")</f>
        <v>0</v>
      </c>
      <c r="GI76" s="37">
        <f>SUMIFS(Lançamentos!$F:$F,Lançamentos!$A:$A,GI$19,Lançamentos!$C:$C,"PIS/COFINS")</f>
        <v>0</v>
      </c>
      <c r="GJ76" s="37">
        <f>SUMIFS(Lançamentos!$F:$F,Lançamentos!$A:$A,GJ$19,Lançamentos!$C:$C,"PIS/COFINS")</f>
        <v>0</v>
      </c>
      <c r="GK76" s="37">
        <f>SUMIFS(Lançamentos!$F:$F,Lançamentos!$A:$A,GK$19,Lançamentos!$C:$C,"PIS/COFINS")</f>
        <v>0</v>
      </c>
      <c r="GL76" s="37">
        <f>SUMIFS(Lançamentos!$F:$F,Lançamentos!$A:$A,GL$19,Lançamentos!$C:$C,"PIS/COFINS")</f>
        <v>0</v>
      </c>
      <c r="GM76" s="37">
        <f>SUMIFS(Lançamentos!$F:$F,Lançamentos!$A:$A,GM$19,Lançamentos!$C:$C,"PIS/COFINS")</f>
        <v>0</v>
      </c>
      <c r="GN76" s="37">
        <f>SUMIFS(Lançamentos!$F:$F,Lançamentos!$A:$A,GN$19,Lançamentos!$C:$C,"PIS/COFINS")</f>
        <v>0</v>
      </c>
      <c r="GO76" s="37">
        <f>SUMIFS(Lançamentos!$F:$F,Lançamentos!$A:$A,GO$19,Lançamentos!$C:$C,"PIS/COFINS")</f>
        <v>0</v>
      </c>
      <c r="GP76" s="37">
        <f>SUMIFS(Lançamentos!$F:$F,Lançamentos!$A:$A,GP$19,Lançamentos!$C:$C,"PIS/COFINS")</f>
        <v>0</v>
      </c>
      <c r="GQ76" s="37">
        <f>SUMIFS(Lançamentos!$F:$F,Lançamentos!$A:$A,GQ$19,Lançamentos!$C:$C,"PIS/COFINS")</f>
        <v>0</v>
      </c>
      <c r="GR76" s="37">
        <f>SUMIFS(Lançamentos!$F:$F,Lançamentos!$A:$A,GR$19,Lançamentos!$C:$C,"PIS/COFINS")</f>
        <v>0</v>
      </c>
      <c r="GS76" s="37">
        <f>SUMIFS(Lançamentos!$F:$F,Lançamentos!$A:$A,GS$19,Lançamentos!$C:$C,"PIS/COFINS")</f>
        <v>0</v>
      </c>
      <c r="GT76" s="37">
        <f>SUMIFS(Lançamentos!$F:$F,Lançamentos!$A:$A,GT$19,Lançamentos!$C:$C,"PIS/COFINS")</f>
        <v>0</v>
      </c>
      <c r="GU76" s="37">
        <f>SUMIFS(Lançamentos!$F:$F,Lançamentos!$A:$A,GU$19,Lançamentos!$C:$C,"PIS/COFINS")</f>
        <v>0</v>
      </c>
      <c r="GV76" s="37">
        <f>SUMIFS(Lançamentos!$F:$F,Lançamentos!$A:$A,GV$19,Lançamentos!$C:$C,"PIS/COFINS")</f>
        <v>0</v>
      </c>
      <c r="GW76" s="37">
        <f>SUMIFS(Lançamentos!$F:$F,Lançamentos!$A:$A,GW$19,Lançamentos!$C:$C,"PIS/COFINS")</f>
        <v>0</v>
      </c>
      <c r="GX76" s="37">
        <f>SUMIFS(Lançamentos!$F:$F,Lançamentos!$A:$A,GX$19,Lançamentos!$C:$C,"PIS/COFINS")</f>
        <v>0</v>
      </c>
      <c r="GY76" s="37">
        <f>SUMIFS(Lançamentos!$F:$F,Lançamentos!$A:$A,GY$19,Lançamentos!$C:$C,"PIS/COFINS")</f>
        <v>0</v>
      </c>
      <c r="GZ76" s="37">
        <f>SUMIFS(Lançamentos!$F:$F,Lançamentos!$A:$A,GZ$19,Lançamentos!$C:$C,"PIS/COFINS")</f>
        <v>0</v>
      </c>
      <c r="HA76" s="37">
        <f>SUMIFS(Lançamentos!$F:$F,Lançamentos!$A:$A,HA$19,Lançamentos!$C:$C,"PIS/COFINS")</f>
        <v>0</v>
      </c>
      <c r="HB76" s="37">
        <f>SUMIFS(Lançamentos!$F:$F,Lançamentos!$A:$A,HB$19,Lançamentos!$C:$C,"PIS/COFINS")</f>
        <v>0</v>
      </c>
      <c r="HC76" s="37">
        <f>SUMIFS(Lançamentos!$F:$F,Lançamentos!$A:$A,HC$19,Lançamentos!$C:$C,"PIS/COFINS")</f>
        <v>0</v>
      </c>
      <c r="HD76" s="37">
        <f>SUMIFS(Lançamentos!$F:$F,Lançamentos!$A:$A,HD$19,Lançamentos!$C:$C,"PIS/COFINS")</f>
        <v>0</v>
      </c>
      <c r="HE76" s="37">
        <f>SUMIFS(Lançamentos!$F:$F,Lançamentos!$A:$A,HE$19,Lançamentos!$C:$C,"PIS/COFINS")</f>
        <v>0</v>
      </c>
      <c r="HF76" s="37">
        <f>SUMIFS(Lançamentos!$F:$F,Lançamentos!$A:$A,HF$19,Lançamentos!$C:$C,"PIS/COFINS")</f>
        <v>0</v>
      </c>
      <c r="HG76" s="37">
        <f>SUMIFS(Lançamentos!$F:$F,Lançamentos!$A:$A,HG$19,Lançamentos!$C:$C,"PIS/COFINS")</f>
        <v>0</v>
      </c>
      <c r="HH76" s="37">
        <f>SUMIFS(Lançamentos!$F:$F,Lançamentos!$A:$A,HH$19,Lançamentos!$C:$C,"PIS/COFINS")</f>
        <v>0</v>
      </c>
      <c r="HI76" s="37">
        <f>SUMIFS(Lançamentos!$F:$F,Lançamentos!$A:$A,HI$19,Lançamentos!$C:$C,"PIS/COFINS")</f>
        <v>0</v>
      </c>
      <c r="HJ76" s="37">
        <f>SUMIFS(Lançamentos!$F:$F,Lançamentos!$A:$A,HJ$19,Lançamentos!$C:$C,"PIS/COFINS")</f>
        <v>0</v>
      </c>
      <c r="HK76" s="37">
        <f>SUMIFS(Lançamentos!$F:$F,Lançamentos!$A:$A,HK$19,Lançamentos!$C:$C,"PIS/COFINS")</f>
        <v>0</v>
      </c>
      <c r="HL76" s="37">
        <f>SUMIFS(Lançamentos!$F:$F,Lançamentos!$A:$A,HL$19,Lançamentos!$C:$C,"PIS/COFINS")</f>
        <v>0</v>
      </c>
      <c r="HM76" s="37">
        <f>SUMIFS(Lançamentos!$F:$F,Lançamentos!$A:$A,HM$19,Lançamentos!$C:$C,"PIS/COFINS")</f>
        <v>0</v>
      </c>
      <c r="HN76" s="37">
        <f>SUMIFS(Lançamentos!$F:$F,Lançamentos!$A:$A,HN$19,Lançamentos!$C:$C,"PIS/COFINS")</f>
        <v>0</v>
      </c>
      <c r="HO76" s="37">
        <f>SUMIFS(Lançamentos!$F:$F,Lançamentos!$A:$A,HO$19,Lançamentos!$C:$C,"PIS/COFINS")</f>
        <v>0</v>
      </c>
      <c r="HP76" s="37">
        <f>SUMIFS(Lançamentos!$F:$F,Lançamentos!$A:$A,HP$19,Lançamentos!$C:$C,"PIS/COFINS")</f>
        <v>0</v>
      </c>
      <c r="HQ76" s="37">
        <f>SUMIFS(Lançamentos!$F:$F,Lançamentos!$A:$A,HQ$19,Lançamentos!$C:$C,"PIS/COFINS")</f>
        <v>0</v>
      </c>
      <c r="HR76" s="37">
        <f>SUMIFS(Lançamentos!$F:$F,Lançamentos!$A:$A,HR$19,Lançamentos!$C:$C,"PIS/COFINS")</f>
        <v>0</v>
      </c>
      <c r="HS76" s="37">
        <f>SUMIFS(Lançamentos!$F:$F,Lançamentos!$A:$A,HS$19,Lançamentos!$C:$C,"PIS/COFINS")</f>
        <v>0</v>
      </c>
      <c r="HT76" s="37">
        <f>SUMIFS(Lançamentos!$F:$F,Lançamentos!$A:$A,HT$19,Lançamentos!$C:$C,"PIS/COFINS")</f>
        <v>0</v>
      </c>
      <c r="HU76" s="37">
        <f>SUMIFS(Lançamentos!$F:$F,Lançamentos!$A:$A,HU$19,Lançamentos!$C:$C,"PIS/COFINS")</f>
        <v>0</v>
      </c>
      <c r="HV76" s="37">
        <f>SUMIFS(Lançamentos!$F:$F,Lançamentos!$A:$A,HV$19,Lançamentos!$C:$C,"PIS/COFINS")</f>
        <v>0</v>
      </c>
      <c r="HW76" s="37">
        <f>SUMIFS(Lançamentos!$F:$F,Lançamentos!$A:$A,HW$19,Lançamentos!$C:$C,"PIS/COFINS")</f>
        <v>0</v>
      </c>
      <c r="HX76" s="37">
        <f>SUMIFS(Lançamentos!$F:$F,Lançamentos!$A:$A,HX$19,Lançamentos!$C:$C,"PIS/COFINS")</f>
        <v>0</v>
      </c>
      <c r="HY76" s="37">
        <f>SUMIFS(Lançamentos!$F:$F,Lançamentos!$A:$A,HY$19,Lançamentos!$C:$C,"PIS/COFINS")</f>
        <v>0</v>
      </c>
      <c r="HZ76" s="37">
        <f>SUMIFS(Lançamentos!$F:$F,Lançamentos!$A:$A,HZ$19,Lançamentos!$C:$C,"PIS/COFINS")</f>
        <v>0</v>
      </c>
      <c r="IA76" s="37">
        <f>SUMIFS(Lançamentos!$F:$F,Lançamentos!$A:$A,IA$19,Lançamentos!$C:$C,"PIS/COFINS")</f>
        <v>0</v>
      </c>
      <c r="IB76" s="37">
        <f>SUMIFS(Lançamentos!$F:$F,Lançamentos!$A:$A,IB$19,Lançamentos!$C:$C,"PIS/COFINS")</f>
        <v>0</v>
      </c>
      <c r="IC76" s="37">
        <f>SUMIFS(Lançamentos!$F:$F,Lançamentos!$A:$A,IC$19,Lançamentos!$C:$C,"PIS/COFINS")</f>
        <v>0</v>
      </c>
      <c r="ID76" s="37">
        <f>SUMIFS(Lançamentos!$F:$F,Lançamentos!$A:$A,ID$19,Lançamentos!$C:$C,"PIS/COFINS")</f>
        <v>0</v>
      </c>
      <c r="IE76" s="37">
        <f>SUMIFS(Lançamentos!$F:$F,Lançamentos!$A:$A,IE$19,Lançamentos!$C:$C,"PIS/COFINS")</f>
        <v>0</v>
      </c>
      <c r="IF76" s="37">
        <f>SUMIFS(Lançamentos!$F:$F,Lançamentos!$A:$A,IF$19,Lançamentos!$C:$C,"PIS/COFINS")</f>
        <v>0</v>
      </c>
      <c r="IG76" s="37">
        <f>SUMIFS(Lançamentos!$F:$F,Lançamentos!$A:$A,IG$19,Lançamentos!$C:$C,"PIS/COFINS")</f>
        <v>0</v>
      </c>
      <c r="IH76" s="37">
        <f>SUMIFS(Lançamentos!$F:$F,Lançamentos!$A:$A,IH$19,Lançamentos!$C:$C,"PIS/COFINS")</f>
        <v>0</v>
      </c>
      <c r="II76" s="37">
        <f>SUMIFS(Lançamentos!$F:$F,Lançamentos!$A:$A,II$19,Lançamentos!$C:$C,"PIS/COFINS")</f>
        <v>0</v>
      </c>
      <c r="IJ76" s="37">
        <f>SUMIFS(Lançamentos!$F:$F,Lançamentos!$A:$A,IJ$19,Lançamentos!$C:$C,"PIS/COFINS")</f>
        <v>0</v>
      </c>
      <c r="IK76" s="37">
        <f>SUMIFS(Lançamentos!$F:$F,Lançamentos!$A:$A,IK$19,Lançamentos!$C:$C,"PIS/COFINS")</f>
        <v>0</v>
      </c>
      <c r="IL76" s="37">
        <f>SUMIFS(Lançamentos!$F:$F,Lançamentos!$A:$A,IL$19,Lançamentos!$C:$C,"PIS/COFINS")</f>
        <v>0</v>
      </c>
    </row>
    <row r="77" spans="1:246" x14ac:dyDescent="0.3">
      <c r="A77" s="48" t="s">
        <v>121</v>
      </c>
      <c r="B77" s="49">
        <f t="shared" ref="B77:BM77" si="11">SUM(B35:B76)</f>
        <v>0</v>
      </c>
      <c r="C77" s="49">
        <f t="shared" si="11"/>
        <v>0</v>
      </c>
      <c r="D77" s="49">
        <f t="shared" si="11"/>
        <v>0</v>
      </c>
      <c r="E77" s="49">
        <f t="shared" si="11"/>
        <v>0</v>
      </c>
      <c r="F77" s="49">
        <f t="shared" si="11"/>
        <v>0</v>
      </c>
      <c r="G77" s="49">
        <f t="shared" si="11"/>
        <v>0</v>
      </c>
      <c r="H77" s="49">
        <f t="shared" si="11"/>
        <v>0</v>
      </c>
      <c r="I77" s="49">
        <f t="shared" si="11"/>
        <v>0</v>
      </c>
      <c r="J77" s="49">
        <f t="shared" si="11"/>
        <v>0</v>
      </c>
      <c r="K77" s="49">
        <f t="shared" si="11"/>
        <v>0</v>
      </c>
      <c r="L77" s="49">
        <f t="shared" si="11"/>
        <v>0</v>
      </c>
      <c r="M77" s="49">
        <f t="shared" si="11"/>
        <v>0</v>
      </c>
      <c r="N77" s="49">
        <f t="shared" si="11"/>
        <v>0</v>
      </c>
      <c r="O77" s="49">
        <f t="shared" si="11"/>
        <v>0</v>
      </c>
      <c r="P77" s="49">
        <f t="shared" si="11"/>
        <v>0</v>
      </c>
      <c r="Q77" s="49">
        <f t="shared" si="11"/>
        <v>0</v>
      </c>
      <c r="R77" s="49">
        <f t="shared" si="11"/>
        <v>0</v>
      </c>
      <c r="S77" s="49">
        <f t="shared" si="11"/>
        <v>0</v>
      </c>
      <c r="T77" s="49">
        <f t="shared" si="11"/>
        <v>0</v>
      </c>
      <c r="U77" s="49">
        <f t="shared" si="11"/>
        <v>0</v>
      </c>
      <c r="V77" s="49">
        <f t="shared" si="11"/>
        <v>0</v>
      </c>
      <c r="W77" s="49">
        <f t="shared" si="11"/>
        <v>0</v>
      </c>
      <c r="X77" s="49">
        <f t="shared" si="11"/>
        <v>0</v>
      </c>
      <c r="Y77" s="49">
        <f t="shared" si="11"/>
        <v>0</v>
      </c>
      <c r="Z77" s="49">
        <f t="shared" si="11"/>
        <v>0</v>
      </c>
      <c r="AA77" s="49">
        <f t="shared" si="11"/>
        <v>0</v>
      </c>
      <c r="AB77" s="49">
        <f t="shared" si="11"/>
        <v>0</v>
      </c>
      <c r="AC77" s="49">
        <f t="shared" si="11"/>
        <v>0</v>
      </c>
      <c r="AD77" s="49">
        <f t="shared" si="11"/>
        <v>0</v>
      </c>
      <c r="AE77" s="49">
        <f t="shared" si="11"/>
        <v>0</v>
      </c>
      <c r="AF77" s="49">
        <f t="shared" si="11"/>
        <v>0</v>
      </c>
      <c r="AG77" s="49">
        <f t="shared" si="11"/>
        <v>-4148.82</v>
      </c>
      <c r="AH77" s="49">
        <f t="shared" si="11"/>
        <v>-2080.2599999999998</v>
      </c>
      <c r="AI77" s="49">
        <f t="shared" si="11"/>
        <v>-1048.3600000000001</v>
      </c>
      <c r="AJ77" s="49">
        <f t="shared" si="11"/>
        <v>-2.8499999999999996</v>
      </c>
      <c r="AK77" s="49">
        <f t="shared" si="11"/>
        <v>-4789.8500000000004</v>
      </c>
      <c r="AL77" s="49">
        <f t="shared" si="11"/>
        <v>-2.4900000000000002</v>
      </c>
      <c r="AM77" s="49">
        <f t="shared" si="11"/>
        <v>-1.3800000000000001</v>
      </c>
      <c r="AN77" s="49">
        <f t="shared" si="11"/>
        <v>-5637.33</v>
      </c>
      <c r="AO77" s="49">
        <f t="shared" si="11"/>
        <v>0</v>
      </c>
      <c r="AP77" s="49">
        <f t="shared" si="11"/>
        <v>0</v>
      </c>
      <c r="AQ77" s="49">
        <f t="shared" si="11"/>
        <v>0</v>
      </c>
      <c r="AR77" s="49">
        <f t="shared" si="11"/>
        <v>0</v>
      </c>
      <c r="AS77" s="49">
        <f t="shared" si="11"/>
        <v>0</v>
      </c>
      <c r="AT77" s="49">
        <f t="shared" si="11"/>
        <v>0</v>
      </c>
      <c r="AU77" s="49">
        <f t="shared" si="11"/>
        <v>0</v>
      </c>
      <c r="AV77" s="49">
        <f t="shared" si="11"/>
        <v>0</v>
      </c>
      <c r="AW77" s="49">
        <f t="shared" si="11"/>
        <v>0</v>
      </c>
      <c r="AX77" s="49">
        <f t="shared" si="11"/>
        <v>0</v>
      </c>
      <c r="AY77" s="49">
        <f t="shared" si="11"/>
        <v>0</v>
      </c>
      <c r="AZ77" s="49">
        <f t="shared" si="11"/>
        <v>0</v>
      </c>
      <c r="BA77" s="49">
        <f t="shared" si="11"/>
        <v>0</v>
      </c>
      <c r="BB77" s="49">
        <f t="shared" si="11"/>
        <v>0</v>
      </c>
      <c r="BC77" s="49">
        <f t="shared" si="11"/>
        <v>0</v>
      </c>
      <c r="BD77" s="49">
        <f t="shared" si="11"/>
        <v>0</v>
      </c>
      <c r="BE77" s="49">
        <f t="shared" si="11"/>
        <v>0</v>
      </c>
      <c r="BF77" s="49">
        <f t="shared" si="11"/>
        <v>0</v>
      </c>
      <c r="BG77" s="49">
        <f t="shared" si="11"/>
        <v>0</v>
      </c>
      <c r="BH77" s="49">
        <f t="shared" si="11"/>
        <v>0</v>
      </c>
      <c r="BI77" s="49">
        <f t="shared" si="11"/>
        <v>0</v>
      </c>
      <c r="BJ77" s="49">
        <f t="shared" si="11"/>
        <v>0</v>
      </c>
      <c r="BK77" s="49">
        <f t="shared" si="11"/>
        <v>0</v>
      </c>
      <c r="BL77" s="49">
        <f t="shared" si="11"/>
        <v>0</v>
      </c>
      <c r="BM77" s="49">
        <f t="shared" si="11"/>
        <v>0</v>
      </c>
      <c r="BN77" s="49">
        <f t="shared" ref="BN77:DY77" si="12">SUM(BN35:BN76)</f>
        <v>0</v>
      </c>
      <c r="BO77" s="49">
        <f t="shared" si="12"/>
        <v>0</v>
      </c>
      <c r="BP77" s="49">
        <f t="shared" si="12"/>
        <v>0</v>
      </c>
      <c r="BQ77" s="49">
        <f t="shared" si="12"/>
        <v>0</v>
      </c>
      <c r="BR77" s="49">
        <f t="shared" si="12"/>
        <v>0</v>
      </c>
      <c r="BS77" s="49">
        <f t="shared" si="12"/>
        <v>0</v>
      </c>
      <c r="BT77" s="49">
        <f t="shared" si="12"/>
        <v>0</v>
      </c>
      <c r="BU77" s="49">
        <f t="shared" si="12"/>
        <v>0</v>
      </c>
      <c r="BV77" s="49">
        <f t="shared" si="12"/>
        <v>0</v>
      </c>
      <c r="BW77" s="49">
        <f t="shared" si="12"/>
        <v>0</v>
      </c>
      <c r="BX77" s="49">
        <f t="shared" si="12"/>
        <v>0</v>
      </c>
      <c r="BY77" s="49">
        <f t="shared" si="12"/>
        <v>0</v>
      </c>
      <c r="BZ77" s="49">
        <f t="shared" si="12"/>
        <v>0</v>
      </c>
      <c r="CA77" s="49">
        <f t="shared" si="12"/>
        <v>0</v>
      </c>
      <c r="CB77" s="49">
        <f t="shared" si="12"/>
        <v>0</v>
      </c>
      <c r="CC77" s="49">
        <f t="shared" si="12"/>
        <v>0</v>
      </c>
      <c r="CD77" s="49">
        <f t="shared" si="12"/>
        <v>0</v>
      </c>
      <c r="CE77" s="49">
        <f t="shared" si="12"/>
        <v>0</v>
      </c>
      <c r="CF77" s="49">
        <f t="shared" si="12"/>
        <v>0</v>
      </c>
      <c r="CG77" s="49">
        <f t="shared" si="12"/>
        <v>0</v>
      </c>
      <c r="CH77" s="49">
        <f t="shared" si="12"/>
        <v>0</v>
      </c>
      <c r="CI77" s="49">
        <f t="shared" si="12"/>
        <v>0</v>
      </c>
      <c r="CJ77" s="49">
        <f t="shared" si="12"/>
        <v>0</v>
      </c>
      <c r="CK77" s="49">
        <f t="shared" si="12"/>
        <v>0</v>
      </c>
      <c r="CL77" s="49">
        <f t="shared" si="12"/>
        <v>0</v>
      </c>
      <c r="CM77" s="49">
        <f t="shared" si="12"/>
        <v>0</v>
      </c>
      <c r="CN77" s="49">
        <f t="shared" si="12"/>
        <v>0</v>
      </c>
      <c r="CO77" s="49">
        <f t="shared" si="12"/>
        <v>0</v>
      </c>
      <c r="CP77" s="49">
        <f t="shared" si="12"/>
        <v>0</v>
      </c>
      <c r="CQ77" s="49">
        <f t="shared" si="12"/>
        <v>0</v>
      </c>
      <c r="CR77" s="49">
        <f t="shared" si="12"/>
        <v>0</v>
      </c>
      <c r="CS77" s="49">
        <f t="shared" si="12"/>
        <v>0</v>
      </c>
      <c r="CT77" s="49">
        <f t="shared" si="12"/>
        <v>0</v>
      </c>
      <c r="CU77" s="49">
        <f t="shared" si="12"/>
        <v>0</v>
      </c>
      <c r="CV77" s="49">
        <f t="shared" si="12"/>
        <v>0</v>
      </c>
      <c r="CW77" s="49">
        <f t="shared" si="12"/>
        <v>0</v>
      </c>
      <c r="CX77" s="49">
        <f t="shared" si="12"/>
        <v>0</v>
      </c>
      <c r="CY77" s="49">
        <f t="shared" si="12"/>
        <v>0</v>
      </c>
      <c r="CZ77" s="49">
        <f t="shared" si="12"/>
        <v>0</v>
      </c>
      <c r="DA77" s="49">
        <f t="shared" si="12"/>
        <v>0</v>
      </c>
      <c r="DB77" s="49">
        <f t="shared" si="12"/>
        <v>0</v>
      </c>
      <c r="DC77" s="49">
        <f t="shared" si="12"/>
        <v>0</v>
      </c>
      <c r="DD77" s="49">
        <f t="shared" si="12"/>
        <v>0</v>
      </c>
      <c r="DE77" s="49">
        <f t="shared" si="12"/>
        <v>0</v>
      </c>
      <c r="DF77" s="49">
        <f t="shared" si="12"/>
        <v>0</v>
      </c>
      <c r="DG77" s="49">
        <f t="shared" si="12"/>
        <v>0</v>
      </c>
      <c r="DH77" s="49">
        <f t="shared" si="12"/>
        <v>0</v>
      </c>
      <c r="DI77" s="49">
        <f t="shared" si="12"/>
        <v>0</v>
      </c>
      <c r="DJ77" s="49">
        <f t="shared" si="12"/>
        <v>0</v>
      </c>
      <c r="DK77" s="49">
        <f t="shared" si="12"/>
        <v>0</v>
      </c>
      <c r="DL77" s="49">
        <f t="shared" si="12"/>
        <v>0</v>
      </c>
      <c r="DM77" s="49">
        <f t="shared" si="12"/>
        <v>0</v>
      </c>
      <c r="DN77" s="49">
        <f t="shared" si="12"/>
        <v>0</v>
      </c>
      <c r="DO77" s="49">
        <f t="shared" si="12"/>
        <v>0</v>
      </c>
      <c r="DP77" s="49">
        <f t="shared" si="12"/>
        <v>0</v>
      </c>
      <c r="DQ77" s="49">
        <f t="shared" si="12"/>
        <v>0</v>
      </c>
      <c r="DR77" s="49">
        <f t="shared" si="12"/>
        <v>0</v>
      </c>
      <c r="DS77" s="49">
        <f t="shared" si="12"/>
        <v>0</v>
      </c>
      <c r="DT77" s="49">
        <f t="shared" si="12"/>
        <v>0</v>
      </c>
      <c r="DU77" s="49">
        <f t="shared" si="12"/>
        <v>0</v>
      </c>
      <c r="DV77" s="49">
        <f t="shared" si="12"/>
        <v>0</v>
      </c>
      <c r="DW77" s="49">
        <f t="shared" si="12"/>
        <v>0</v>
      </c>
      <c r="DX77" s="49">
        <f t="shared" si="12"/>
        <v>0</v>
      </c>
      <c r="DY77" s="49">
        <f t="shared" si="12"/>
        <v>0</v>
      </c>
      <c r="DZ77" s="49">
        <f t="shared" ref="DZ77:GK77" si="13">SUM(DZ35:DZ76)</f>
        <v>0</v>
      </c>
      <c r="EA77" s="49">
        <f t="shared" si="13"/>
        <v>0</v>
      </c>
      <c r="EB77" s="49">
        <f t="shared" si="13"/>
        <v>0</v>
      </c>
      <c r="EC77" s="49">
        <f t="shared" si="13"/>
        <v>0</v>
      </c>
      <c r="ED77" s="49">
        <f t="shared" si="13"/>
        <v>0</v>
      </c>
      <c r="EE77" s="49">
        <f t="shared" si="13"/>
        <v>0</v>
      </c>
      <c r="EF77" s="49">
        <f t="shared" si="13"/>
        <v>0</v>
      </c>
      <c r="EG77" s="49">
        <f t="shared" si="13"/>
        <v>0</v>
      </c>
      <c r="EH77" s="49">
        <f t="shared" si="13"/>
        <v>0</v>
      </c>
      <c r="EI77" s="49">
        <f t="shared" si="13"/>
        <v>0</v>
      </c>
      <c r="EJ77" s="49">
        <f t="shared" si="13"/>
        <v>0</v>
      </c>
      <c r="EK77" s="49">
        <f t="shared" si="13"/>
        <v>0</v>
      </c>
      <c r="EL77" s="49">
        <f t="shared" si="13"/>
        <v>0</v>
      </c>
      <c r="EM77" s="49">
        <f t="shared" si="13"/>
        <v>0</v>
      </c>
      <c r="EN77" s="49">
        <f t="shared" si="13"/>
        <v>0</v>
      </c>
      <c r="EO77" s="49">
        <f t="shared" si="13"/>
        <v>0</v>
      </c>
      <c r="EP77" s="49">
        <f t="shared" si="13"/>
        <v>0</v>
      </c>
      <c r="EQ77" s="49">
        <f t="shared" si="13"/>
        <v>0</v>
      </c>
      <c r="ER77" s="49">
        <f t="shared" si="13"/>
        <v>0</v>
      </c>
      <c r="ES77" s="49">
        <f t="shared" si="13"/>
        <v>0</v>
      </c>
      <c r="ET77" s="49">
        <f t="shared" si="13"/>
        <v>0</v>
      </c>
      <c r="EU77" s="49">
        <f t="shared" si="13"/>
        <v>0</v>
      </c>
      <c r="EV77" s="49">
        <f t="shared" si="13"/>
        <v>0</v>
      </c>
      <c r="EW77" s="49">
        <f t="shared" si="13"/>
        <v>0</v>
      </c>
      <c r="EX77" s="49">
        <f t="shared" si="13"/>
        <v>0</v>
      </c>
      <c r="EY77" s="49">
        <f t="shared" si="13"/>
        <v>0</v>
      </c>
      <c r="EZ77" s="49">
        <f t="shared" si="13"/>
        <v>0</v>
      </c>
      <c r="FA77" s="49">
        <f t="shared" si="13"/>
        <v>0</v>
      </c>
      <c r="FB77" s="49">
        <f t="shared" si="13"/>
        <v>0</v>
      </c>
      <c r="FC77" s="49">
        <f t="shared" si="13"/>
        <v>0</v>
      </c>
      <c r="FD77" s="49">
        <f t="shared" si="13"/>
        <v>0</v>
      </c>
      <c r="FE77" s="49">
        <f t="shared" si="13"/>
        <v>0</v>
      </c>
      <c r="FF77" s="49">
        <f t="shared" si="13"/>
        <v>0</v>
      </c>
      <c r="FG77" s="49">
        <f t="shared" si="13"/>
        <v>0</v>
      </c>
      <c r="FH77" s="49">
        <f t="shared" si="13"/>
        <v>0</v>
      </c>
      <c r="FI77" s="49">
        <f t="shared" si="13"/>
        <v>0</v>
      </c>
      <c r="FJ77" s="49">
        <f t="shared" si="13"/>
        <v>0</v>
      </c>
      <c r="FK77" s="49">
        <f t="shared" si="13"/>
        <v>0</v>
      </c>
      <c r="FL77" s="49">
        <f t="shared" si="13"/>
        <v>0</v>
      </c>
      <c r="FM77" s="49">
        <f t="shared" si="13"/>
        <v>0</v>
      </c>
      <c r="FN77" s="49">
        <f t="shared" si="13"/>
        <v>0</v>
      </c>
      <c r="FO77" s="49">
        <f t="shared" si="13"/>
        <v>0</v>
      </c>
      <c r="FP77" s="49">
        <f t="shared" si="13"/>
        <v>0</v>
      </c>
      <c r="FQ77" s="49">
        <f t="shared" si="13"/>
        <v>0</v>
      </c>
      <c r="FR77" s="49">
        <f t="shared" si="13"/>
        <v>0</v>
      </c>
      <c r="FS77" s="49">
        <f t="shared" si="13"/>
        <v>0</v>
      </c>
      <c r="FT77" s="49">
        <f t="shared" si="13"/>
        <v>0</v>
      </c>
      <c r="FU77" s="49">
        <f t="shared" si="13"/>
        <v>0</v>
      </c>
      <c r="FV77" s="49">
        <f t="shared" si="13"/>
        <v>0</v>
      </c>
      <c r="FW77" s="49">
        <f t="shared" si="13"/>
        <v>0</v>
      </c>
      <c r="FX77" s="49">
        <f t="shared" si="13"/>
        <v>0</v>
      </c>
      <c r="FY77" s="49">
        <f t="shared" si="13"/>
        <v>0</v>
      </c>
      <c r="FZ77" s="49">
        <f t="shared" si="13"/>
        <v>0</v>
      </c>
      <c r="GA77" s="49">
        <f t="shared" si="13"/>
        <v>0</v>
      </c>
      <c r="GB77" s="49">
        <f t="shared" si="13"/>
        <v>0</v>
      </c>
      <c r="GC77" s="49">
        <f t="shared" si="13"/>
        <v>0</v>
      </c>
      <c r="GD77" s="49">
        <f t="shared" si="13"/>
        <v>0</v>
      </c>
      <c r="GE77" s="49">
        <f t="shared" si="13"/>
        <v>0</v>
      </c>
      <c r="GF77" s="49">
        <f t="shared" si="13"/>
        <v>0</v>
      </c>
      <c r="GG77" s="49">
        <f t="shared" si="13"/>
        <v>0</v>
      </c>
      <c r="GH77" s="49">
        <f t="shared" si="13"/>
        <v>0</v>
      </c>
      <c r="GI77" s="49">
        <f t="shared" si="13"/>
        <v>0</v>
      </c>
      <c r="GJ77" s="49">
        <f t="shared" si="13"/>
        <v>0</v>
      </c>
      <c r="GK77" s="49">
        <f t="shared" si="13"/>
        <v>0</v>
      </c>
      <c r="GL77" s="49">
        <f t="shared" ref="GL77:IL77" si="14">SUM(GL35:GL76)</f>
        <v>0</v>
      </c>
      <c r="GM77" s="49">
        <f t="shared" si="14"/>
        <v>0</v>
      </c>
      <c r="GN77" s="49">
        <f t="shared" si="14"/>
        <v>0</v>
      </c>
      <c r="GO77" s="49">
        <f t="shared" si="14"/>
        <v>0</v>
      </c>
      <c r="GP77" s="49">
        <f t="shared" si="14"/>
        <v>0</v>
      </c>
      <c r="GQ77" s="49">
        <f t="shared" si="14"/>
        <v>0</v>
      </c>
      <c r="GR77" s="49">
        <f t="shared" si="14"/>
        <v>0</v>
      </c>
      <c r="GS77" s="49">
        <f t="shared" si="14"/>
        <v>0</v>
      </c>
      <c r="GT77" s="49">
        <f t="shared" si="14"/>
        <v>0</v>
      </c>
      <c r="GU77" s="49">
        <f t="shared" si="14"/>
        <v>0</v>
      </c>
      <c r="GV77" s="49">
        <f t="shared" si="14"/>
        <v>0</v>
      </c>
      <c r="GW77" s="49">
        <f t="shared" si="14"/>
        <v>0</v>
      </c>
      <c r="GX77" s="49">
        <f t="shared" si="14"/>
        <v>0</v>
      </c>
      <c r="GY77" s="49">
        <f t="shared" si="14"/>
        <v>0</v>
      </c>
      <c r="GZ77" s="49">
        <f t="shared" si="14"/>
        <v>0</v>
      </c>
      <c r="HA77" s="49">
        <f t="shared" si="14"/>
        <v>0</v>
      </c>
      <c r="HB77" s="49">
        <f t="shared" si="14"/>
        <v>0</v>
      </c>
      <c r="HC77" s="49">
        <f t="shared" si="14"/>
        <v>0</v>
      </c>
      <c r="HD77" s="49">
        <f t="shared" si="14"/>
        <v>0</v>
      </c>
      <c r="HE77" s="49">
        <f t="shared" si="14"/>
        <v>0</v>
      </c>
      <c r="HF77" s="49">
        <f t="shared" si="14"/>
        <v>0</v>
      </c>
      <c r="HG77" s="49">
        <f t="shared" si="14"/>
        <v>0</v>
      </c>
      <c r="HH77" s="49">
        <f t="shared" si="14"/>
        <v>0</v>
      </c>
      <c r="HI77" s="49">
        <f t="shared" si="14"/>
        <v>0</v>
      </c>
      <c r="HJ77" s="49">
        <f t="shared" si="14"/>
        <v>0</v>
      </c>
      <c r="HK77" s="49">
        <f t="shared" si="14"/>
        <v>0</v>
      </c>
      <c r="HL77" s="49">
        <f t="shared" si="14"/>
        <v>0</v>
      </c>
      <c r="HM77" s="49">
        <f t="shared" si="14"/>
        <v>0</v>
      </c>
      <c r="HN77" s="49">
        <f t="shared" si="14"/>
        <v>0</v>
      </c>
      <c r="HO77" s="49">
        <f t="shared" si="14"/>
        <v>0</v>
      </c>
      <c r="HP77" s="49">
        <f t="shared" si="14"/>
        <v>0</v>
      </c>
      <c r="HQ77" s="49">
        <f t="shared" si="14"/>
        <v>0</v>
      </c>
      <c r="HR77" s="49">
        <f t="shared" si="14"/>
        <v>0</v>
      </c>
      <c r="HS77" s="49">
        <f t="shared" si="14"/>
        <v>0</v>
      </c>
      <c r="HT77" s="49">
        <f t="shared" si="14"/>
        <v>0</v>
      </c>
      <c r="HU77" s="49">
        <f t="shared" si="14"/>
        <v>0</v>
      </c>
      <c r="HV77" s="49">
        <f t="shared" si="14"/>
        <v>0</v>
      </c>
      <c r="HW77" s="49">
        <f t="shared" si="14"/>
        <v>0</v>
      </c>
      <c r="HX77" s="49">
        <f t="shared" si="14"/>
        <v>0</v>
      </c>
      <c r="HY77" s="49">
        <f t="shared" si="14"/>
        <v>0</v>
      </c>
      <c r="HZ77" s="49">
        <f t="shared" si="14"/>
        <v>0</v>
      </c>
      <c r="IA77" s="49">
        <f t="shared" si="14"/>
        <v>0</v>
      </c>
      <c r="IB77" s="49">
        <f t="shared" si="14"/>
        <v>0</v>
      </c>
      <c r="IC77" s="49">
        <f t="shared" si="14"/>
        <v>0</v>
      </c>
      <c r="ID77" s="49">
        <f t="shared" si="14"/>
        <v>0</v>
      </c>
      <c r="IE77" s="49">
        <f t="shared" si="14"/>
        <v>0</v>
      </c>
      <c r="IF77" s="49">
        <f t="shared" si="14"/>
        <v>0</v>
      </c>
      <c r="IG77" s="49">
        <f t="shared" si="14"/>
        <v>0</v>
      </c>
      <c r="IH77" s="49">
        <f t="shared" si="14"/>
        <v>0</v>
      </c>
      <c r="II77" s="49">
        <f t="shared" si="14"/>
        <v>0</v>
      </c>
      <c r="IJ77" s="49">
        <f t="shared" si="14"/>
        <v>0</v>
      </c>
      <c r="IK77" s="49">
        <f t="shared" si="14"/>
        <v>0</v>
      </c>
      <c r="IL77" s="49">
        <f t="shared" si="14"/>
        <v>0</v>
      </c>
    </row>
    <row r="78" spans="1:246" x14ac:dyDescent="0.3">
      <c r="A78" s="50" t="s">
        <v>122</v>
      </c>
      <c r="B78" s="39">
        <f t="shared" ref="B78:AF78" si="15">B33+B77</f>
        <v>0</v>
      </c>
      <c r="C78" s="39">
        <f t="shared" si="15"/>
        <v>0</v>
      </c>
      <c r="D78" s="39">
        <f t="shared" si="15"/>
        <v>0</v>
      </c>
      <c r="E78" s="39">
        <f t="shared" si="15"/>
        <v>0</v>
      </c>
      <c r="F78" s="39">
        <f t="shared" si="15"/>
        <v>0</v>
      </c>
      <c r="G78" s="39">
        <f t="shared" si="15"/>
        <v>0</v>
      </c>
      <c r="H78" s="39">
        <f t="shared" si="15"/>
        <v>0</v>
      </c>
      <c r="I78" s="39">
        <f t="shared" si="15"/>
        <v>0</v>
      </c>
      <c r="J78" s="39">
        <f t="shared" si="15"/>
        <v>0</v>
      </c>
      <c r="K78" s="39">
        <f t="shared" si="15"/>
        <v>0</v>
      </c>
      <c r="L78" s="39">
        <f t="shared" si="15"/>
        <v>0</v>
      </c>
      <c r="M78" s="39">
        <f t="shared" si="15"/>
        <v>0</v>
      </c>
      <c r="N78" s="39">
        <f t="shared" si="15"/>
        <v>0</v>
      </c>
      <c r="O78" s="39">
        <f t="shared" si="15"/>
        <v>0</v>
      </c>
      <c r="P78" s="39">
        <f t="shared" si="15"/>
        <v>0</v>
      </c>
      <c r="Q78" s="39">
        <f t="shared" si="15"/>
        <v>0</v>
      </c>
      <c r="R78" s="39">
        <f t="shared" si="15"/>
        <v>0</v>
      </c>
      <c r="S78" s="39">
        <f t="shared" si="15"/>
        <v>0</v>
      </c>
      <c r="T78" s="39">
        <f t="shared" si="15"/>
        <v>0</v>
      </c>
      <c r="U78" s="39">
        <f t="shared" si="15"/>
        <v>0</v>
      </c>
      <c r="V78" s="39">
        <f t="shared" si="15"/>
        <v>0</v>
      </c>
      <c r="W78" s="39">
        <f t="shared" si="15"/>
        <v>0</v>
      </c>
      <c r="X78" s="39">
        <f t="shared" si="15"/>
        <v>0</v>
      </c>
      <c r="Y78" s="39">
        <f t="shared" si="15"/>
        <v>0</v>
      </c>
      <c r="Z78" s="39">
        <f t="shared" si="15"/>
        <v>0</v>
      </c>
      <c r="AA78" s="39">
        <f t="shared" si="15"/>
        <v>0</v>
      </c>
      <c r="AB78" s="39">
        <f t="shared" si="15"/>
        <v>0</v>
      </c>
      <c r="AC78" s="39">
        <f t="shared" si="15"/>
        <v>0</v>
      </c>
      <c r="AD78" s="39">
        <f t="shared" si="15"/>
        <v>0</v>
      </c>
      <c r="AE78" s="39">
        <f t="shared" si="15"/>
        <v>0</v>
      </c>
      <c r="AF78" s="39">
        <f t="shared" si="15"/>
        <v>0</v>
      </c>
      <c r="AG78" s="39">
        <f>AG33+AG77</f>
        <v>747.16999999999916</v>
      </c>
      <c r="AH78" s="39">
        <f t="shared" ref="AH78:CS78" si="16">AH33+AH77</f>
        <v>449.07999999999765</v>
      </c>
      <c r="AI78" s="39">
        <f t="shared" si="16"/>
        <v>700.99000000000024</v>
      </c>
      <c r="AJ78" s="39">
        <f t="shared" si="16"/>
        <v>604.98</v>
      </c>
      <c r="AK78" s="39">
        <f t="shared" si="16"/>
        <v>-230.47000000000207</v>
      </c>
      <c r="AL78" s="39">
        <f t="shared" si="16"/>
        <v>517.35</v>
      </c>
      <c r="AM78" s="39">
        <f t="shared" si="16"/>
        <v>297.03000000000003</v>
      </c>
      <c r="AN78" s="39">
        <f t="shared" si="16"/>
        <v>80.660000000000764</v>
      </c>
      <c r="AO78" s="39">
        <f t="shared" si="16"/>
        <v>0</v>
      </c>
      <c r="AP78" s="39">
        <f t="shared" si="16"/>
        <v>0</v>
      </c>
      <c r="AQ78" s="39">
        <f t="shared" si="16"/>
        <v>0</v>
      </c>
      <c r="AR78" s="39">
        <f t="shared" si="16"/>
        <v>0</v>
      </c>
      <c r="AS78" s="39">
        <f t="shared" si="16"/>
        <v>0</v>
      </c>
      <c r="AT78" s="39">
        <f t="shared" si="16"/>
        <v>0</v>
      </c>
      <c r="AU78" s="39">
        <f t="shared" si="16"/>
        <v>0</v>
      </c>
      <c r="AV78" s="39">
        <f t="shared" si="16"/>
        <v>0</v>
      </c>
      <c r="AW78" s="39">
        <f t="shared" si="16"/>
        <v>0</v>
      </c>
      <c r="AX78" s="39">
        <f t="shared" si="16"/>
        <v>0</v>
      </c>
      <c r="AY78" s="39">
        <f t="shared" si="16"/>
        <v>0</v>
      </c>
      <c r="AZ78" s="39">
        <f t="shared" si="16"/>
        <v>0</v>
      </c>
      <c r="BA78" s="39">
        <f t="shared" si="16"/>
        <v>0</v>
      </c>
      <c r="BB78" s="39">
        <f t="shared" si="16"/>
        <v>0</v>
      </c>
      <c r="BC78" s="39">
        <f t="shared" si="16"/>
        <v>0</v>
      </c>
      <c r="BD78" s="39">
        <f t="shared" si="16"/>
        <v>0</v>
      </c>
      <c r="BE78" s="39">
        <f t="shared" si="16"/>
        <v>0</v>
      </c>
      <c r="BF78" s="39">
        <f t="shared" si="16"/>
        <v>0</v>
      </c>
      <c r="BG78" s="39">
        <f t="shared" si="16"/>
        <v>0</v>
      </c>
      <c r="BH78" s="39">
        <f t="shared" si="16"/>
        <v>0</v>
      </c>
      <c r="BI78" s="39">
        <f t="shared" si="16"/>
        <v>0</v>
      </c>
      <c r="BJ78" s="39">
        <f t="shared" si="16"/>
        <v>0</v>
      </c>
      <c r="BK78" s="39">
        <f t="shared" si="16"/>
        <v>0</v>
      </c>
      <c r="BL78" s="39">
        <f t="shared" si="16"/>
        <v>0</v>
      </c>
      <c r="BM78" s="39">
        <f t="shared" si="16"/>
        <v>0</v>
      </c>
      <c r="BN78" s="39">
        <f t="shared" si="16"/>
        <v>0</v>
      </c>
      <c r="BO78" s="39">
        <f t="shared" si="16"/>
        <v>0</v>
      </c>
      <c r="BP78" s="39">
        <f t="shared" si="16"/>
        <v>0</v>
      </c>
      <c r="BQ78" s="39">
        <f t="shared" si="16"/>
        <v>0</v>
      </c>
      <c r="BR78" s="39">
        <f t="shared" si="16"/>
        <v>0</v>
      </c>
      <c r="BS78" s="39">
        <f t="shared" si="16"/>
        <v>0</v>
      </c>
      <c r="BT78" s="39">
        <f t="shared" si="16"/>
        <v>0</v>
      </c>
      <c r="BU78" s="39">
        <f t="shared" si="16"/>
        <v>0</v>
      </c>
      <c r="BV78" s="39">
        <f t="shared" si="16"/>
        <v>0</v>
      </c>
      <c r="BW78" s="39">
        <f t="shared" si="16"/>
        <v>0</v>
      </c>
      <c r="BX78" s="39">
        <f t="shared" si="16"/>
        <v>0</v>
      </c>
      <c r="BY78" s="39">
        <f t="shared" si="16"/>
        <v>0</v>
      </c>
      <c r="BZ78" s="39">
        <f t="shared" si="16"/>
        <v>0</v>
      </c>
      <c r="CA78" s="39">
        <f t="shared" si="16"/>
        <v>0</v>
      </c>
      <c r="CB78" s="39">
        <f t="shared" si="16"/>
        <v>0</v>
      </c>
      <c r="CC78" s="39">
        <f t="shared" si="16"/>
        <v>0</v>
      </c>
      <c r="CD78" s="39">
        <f t="shared" si="16"/>
        <v>0</v>
      </c>
      <c r="CE78" s="39">
        <f t="shared" si="16"/>
        <v>0</v>
      </c>
      <c r="CF78" s="39">
        <f t="shared" si="16"/>
        <v>0</v>
      </c>
      <c r="CG78" s="39">
        <f t="shared" si="16"/>
        <v>0</v>
      </c>
      <c r="CH78" s="39">
        <f t="shared" si="16"/>
        <v>0</v>
      </c>
      <c r="CI78" s="39">
        <f t="shared" si="16"/>
        <v>0</v>
      </c>
      <c r="CJ78" s="39">
        <f t="shared" si="16"/>
        <v>0</v>
      </c>
      <c r="CK78" s="39">
        <f t="shared" si="16"/>
        <v>0</v>
      </c>
      <c r="CL78" s="39">
        <f t="shared" si="16"/>
        <v>0</v>
      </c>
      <c r="CM78" s="39">
        <f t="shared" si="16"/>
        <v>0</v>
      </c>
      <c r="CN78" s="39">
        <f t="shared" si="16"/>
        <v>0</v>
      </c>
      <c r="CO78" s="39">
        <f t="shared" si="16"/>
        <v>0</v>
      </c>
      <c r="CP78" s="39">
        <f t="shared" si="16"/>
        <v>0</v>
      </c>
      <c r="CQ78" s="39">
        <f t="shared" si="16"/>
        <v>0</v>
      </c>
      <c r="CR78" s="39">
        <f t="shared" si="16"/>
        <v>0</v>
      </c>
      <c r="CS78" s="39">
        <f t="shared" si="16"/>
        <v>0</v>
      </c>
      <c r="CT78" s="39">
        <f t="shared" ref="CT78:FE78" si="17">CT33+CT77</f>
        <v>0</v>
      </c>
      <c r="CU78" s="39">
        <f t="shared" si="17"/>
        <v>0</v>
      </c>
      <c r="CV78" s="39">
        <f t="shared" si="17"/>
        <v>0</v>
      </c>
      <c r="CW78" s="39">
        <f t="shared" si="17"/>
        <v>0</v>
      </c>
      <c r="CX78" s="39">
        <f t="shared" si="17"/>
        <v>0</v>
      </c>
      <c r="CY78" s="39">
        <f t="shared" si="17"/>
        <v>0</v>
      </c>
      <c r="CZ78" s="39">
        <f t="shared" si="17"/>
        <v>0</v>
      </c>
      <c r="DA78" s="39">
        <f t="shared" si="17"/>
        <v>0</v>
      </c>
      <c r="DB78" s="39">
        <f t="shared" si="17"/>
        <v>0</v>
      </c>
      <c r="DC78" s="39">
        <f t="shared" si="17"/>
        <v>0</v>
      </c>
      <c r="DD78" s="39">
        <f t="shared" si="17"/>
        <v>0</v>
      </c>
      <c r="DE78" s="39">
        <f t="shared" si="17"/>
        <v>0</v>
      </c>
      <c r="DF78" s="39">
        <f t="shared" si="17"/>
        <v>0</v>
      </c>
      <c r="DG78" s="39">
        <f t="shared" si="17"/>
        <v>0</v>
      </c>
      <c r="DH78" s="39">
        <f t="shared" si="17"/>
        <v>0</v>
      </c>
      <c r="DI78" s="39">
        <f t="shared" si="17"/>
        <v>0</v>
      </c>
      <c r="DJ78" s="39">
        <f t="shared" si="17"/>
        <v>0</v>
      </c>
      <c r="DK78" s="39">
        <f t="shared" si="17"/>
        <v>0</v>
      </c>
      <c r="DL78" s="39">
        <f t="shared" si="17"/>
        <v>0</v>
      </c>
      <c r="DM78" s="39">
        <f t="shared" si="17"/>
        <v>0</v>
      </c>
      <c r="DN78" s="39">
        <f t="shared" si="17"/>
        <v>0</v>
      </c>
      <c r="DO78" s="39">
        <f t="shared" si="17"/>
        <v>0</v>
      </c>
      <c r="DP78" s="39">
        <f t="shared" si="17"/>
        <v>0</v>
      </c>
      <c r="DQ78" s="39">
        <f t="shared" si="17"/>
        <v>0</v>
      </c>
      <c r="DR78" s="39">
        <f t="shared" si="17"/>
        <v>0</v>
      </c>
      <c r="DS78" s="39">
        <f t="shared" si="17"/>
        <v>0</v>
      </c>
      <c r="DT78" s="39">
        <f t="shared" si="17"/>
        <v>0</v>
      </c>
      <c r="DU78" s="39">
        <f t="shared" si="17"/>
        <v>0</v>
      </c>
      <c r="DV78" s="39">
        <f t="shared" si="17"/>
        <v>0</v>
      </c>
      <c r="DW78" s="39">
        <f t="shared" si="17"/>
        <v>0</v>
      </c>
      <c r="DX78" s="39">
        <f t="shared" si="17"/>
        <v>0</v>
      </c>
      <c r="DY78" s="39">
        <f t="shared" si="17"/>
        <v>0</v>
      </c>
      <c r="DZ78" s="39">
        <f t="shared" si="17"/>
        <v>0</v>
      </c>
      <c r="EA78" s="39">
        <f t="shared" si="17"/>
        <v>0</v>
      </c>
      <c r="EB78" s="39">
        <f t="shared" si="17"/>
        <v>0</v>
      </c>
      <c r="EC78" s="39">
        <f t="shared" si="17"/>
        <v>0</v>
      </c>
      <c r="ED78" s="39">
        <f t="shared" si="17"/>
        <v>0</v>
      </c>
      <c r="EE78" s="39">
        <f t="shared" si="17"/>
        <v>0</v>
      </c>
      <c r="EF78" s="39">
        <f t="shared" si="17"/>
        <v>0</v>
      </c>
      <c r="EG78" s="39">
        <f t="shared" si="17"/>
        <v>0</v>
      </c>
      <c r="EH78" s="39">
        <f t="shared" si="17"/>
        <v>0</v>
      </c>
      <c r="EI78" s="39">
        <f t="shared" si="17"/>
        <v>0</v>
      </c>
      <c r="EJ78" s="39">
        <f t="shared" si="17"/>
        <v>0</v>
      </c>
      <c r="EK78" s="39">
        <f t="shared" si="17"/>
        <v>0</v>
      </c>
      <c r="EL78" s="39">
        <f t="shared" si="17"/>
        <v>0</v>
      </c>
      <c r="EM78" s="39">
        <f t="shared" si="17"/>
        <v>0</v>
      </c>
      <c r="EN78" s="39">
        <f t="shared" si="17"/>
        <v>0</v>
      </c>
      <c r="EO78" s="39">
        <f t="shared" si="17"/>
        <v>0</v>
      </c>
      <c r="EP78" s="39">
        <f t="shared" si="17"/>
        <v>0</v>
      </c>
      <c r="EQ78" s="39">
        <f t="shared" si="17"/>
        <v>0</v>
      </c>
      <c r="ER78" s="39">
        <f t="shared" si="17"/>
        <v>0</v>
      </c>
      <c r="ES78" s="39">
        <f t="shared" si="17"/>
        <v>0</v>
      </c>
      <c r="ET78" s="39">
        <f t="shared" si="17"/>
        <v>0</v>
      </c>
      <c r="EU78" s="39">
        <f t="shared" si="17"/>
        <v>0</v>
      </c>
      <c r="EV78" s="39">
        <f t="shared" si="17"/>
        <v>0</v>
      </c>
      <c r="EW78" s="39">
        <f t="shared" si="17"/>
        <v>0</v>
      </c>
      <c r="EX78" s="39">
        <f t="shared" si="17"/>
        <v>0</v>
      </c>
      <c r="EY78" s="39">
        <f t="shared" si="17"/>
        <v>0</v>
      </c>
      <c r="EZ78" s="39">
        <f t="shared" si="17"/>
        <v>0</v>
      </c>
      <c r="FA78" s="39">
        <f t="shared" si="17"/>
        <v>0</v>
      </c>
      <c r="FB78" s="39">
        <f t="shared" si="17"/>
        <v>0</v>
      </c>
      <c r="FC78" s="39">
        <f t="shared" si="17"/>
        <v>0</v>
      </c>
      <c r="FD78" s="39">
        <f t="shared" si="17"/>
        <v>0</v>
      </c>
      <c r="FE78" s="39">
        <f t="shared" si="17"/>
        <v>0</v>
      </c>
      <c r="FF78" s="39">
        <f t="shared" ref="FF78:HQ78" si="18">FF33+FF77</f>
        <v>0</v>
      </c>
      <c r="FG78" s="39">
        <f t="shared" si="18"/>
        <v>0</v>
      </c>
      <c r="FH78" s="39">
        <f t="shared" si="18"/>
        <v>0</v>
      </c>
      <c r="FI78" s="39">
        <f t="shared" si="18"/>
        <v>0</v>
      </c>
      <c r="FJ78" s="39">
        <f t="shared" si="18"/>
        <v>0</v>
      </c>
      <c r="FK78" s="39">
        <f t="shared" si="18"/>
        <v>0</v>
      </c>
      <c r="FL78" s="39">
        <f t="shared" si="18"/>
        <v>0</v>
      </c>
      <c r="FM78" s="39">
        <f t="shared" si="18"/>
        <v>0</v>
      </c>
      <c r="FN78" s="39">
        <f t="shared" si="18"/>
        <v>0</v>
      </c>
      <c r="FO78" s="39">
        <f t="shared" si="18"/>
        <v>0</v>
      </c>
      <c r="FP78" s="39">
        <f t="shared" si="18"/>
        <v>0</v>
      </c>
      <c r="FQ78" s="39">
        <f t="shared" si="18"/>
        <v>0</v>
      </c>
      <c r="FR78" s="39">
        <f t="shared" si="18"/>
        <v>0</v>
      </c>
      <c r="FS78" s="39">
        <f t="shared" si="18"/>
        <v>0</v>
      </c>
      <c r="FT78" s="39">
        <f t="shared" si="18"/>
        <v>0</v>
      </c>
      <c r="FU78" s="39">
        <f t="shared" si="18"/>
        <v>0</v>
      </c>
      <c r="FV78" s="39">
        <f t="shared" si="18"/>
        <v>0</v>
      </c>
      <c r="FW78" s="39">
        <f t="shared" si="18"/>
        <v>0</v>
      </c>
      <c r="FX78" s="39">
        <f t="shared" si="18"/>
        <v>0</v>
      </c>
      <c r="FY78" s="39">
        <f t="shared" si="18"/>
        <v>0</v>
      </c>
      <c r="FZ78" s="39">
        <f t="shared" si="18"/>
        <v>0</v>
      </c>
      <c r="GA78" s="39">
        <f t="shared" si="18"/>
        <v>0</v>
      </c>
      <c r="GB78" s="39">
        <f t="shared" si="18"/>
        <v>0</v>
      </c>
      <c r="GC78" s="39">
        <f t="shared" si="18"/>
        <v>0</v>
      </c>
      <c r="GD78" s="39">
        <f t="shared" si="18"/>
        <v>0</v>
      </c>
      <c r="GE78" s="39">
        <f t="shared" si="18"/>
        <v>0</v>
      </c>
      <c r="GF78" s="39">
        <f t="shared" si="18"/>
        <v>0</v>
      </c>
      <c r="GG78" s="39">
        <f t="shared" si="18"/>
        <v>0</v>
      </c>
      <c r="GH78" s="39">
        <f t="shared" si="18"/>
        <v>0</v>
      </c>
      <c r="GI78" s="39">
        <f t="shared" si="18"/>
        <v>0</v>
      </c>
      <c r="GJ78" s="39">
        <f t="shared" si="18"/>
        <v>0</v>
      </c>
      <c r="GK78" s="39">
        <f t="shared" si="18"/>
        <v>0</v>
      </c>
      <c r="GL78" s="39">
        <f t="shared" si="18"/>
        <v>0</v>
      </c>
      <c r="GM78" s="39">
        <f t="shared" si="18"/>
        <v>0</v>
      </c>
      <c r="GN78" s="39">
        <f t="shared" si="18"/>
        <v>0</v>
      </c>
      <c r="GO78" s="39">
        <f t="shared" si="18"/>
        <v>0</v>
      </c>
      <c r="GP78" s="39">
        <f t="shared" si="18"/>
        <v>0</v>
      </c>
      <c r="GQ78" s="39">
        <f t="shared" si="18"/>
        <v>0</v>
      </c>
      <c r="GR78" s="39">
        <f t="shared" si="18"/>
        <v>0</v>
      </c>
      <c r="GS78" s="39">
        <f t="shared" si="18"/>
        <v>0</v>
      </c>
      <c r="GT78" s="39">
        <f t="shared" si="18"/>
        <v>0</v>
      </c>
      <c r="GU78" s="39">
        <f t="shared" si="18"/>
        <v>0</v>
      </c>
      <c r="GV78" s="39">
        <f t="shared" si="18"/>
        <v>0</v>
      </c>
      <c r="GW78" s="39">
        <f t="shared" si="18"/>
        <v>0</v>
      </c>
      <c r="GX78" s="39">
        <f t="shared" si="18"/>
        <v>0</v>
      </c>
      <c r="GY78" s="39">
        <f t="shared" si="18"/>
        <v>0</v>
      </c>
      <c r="GZ78" s="39">
        <f t="shared" si="18"/>
        <v>0</v>
      </c>
      <c r="HA78" s="39">
        <f t="shared" si="18"/>
        <v>0</v>
      </c>
      <c r="HB78" s="39">
        <f t="shared" si="18"/>
        <v>0</v>
      </c>
      <c r="HC78" s="39">
        <f t="shared" si="18"/>
        <v>0</v>
      </c>
      <c r="HD78" s="39">
        <f t="shared" si="18"/>
        <v>0</v>
      </c>
      <c r="HE78" s="39">
        <f t="shared" si="18"/>
        <v>0</v>
      </c>
      <c r="HF78" s="39">
        <f t="shared" si="18"/>
        <v>0</v>
      </c>
      <c r="HG78" s="39">
        <f t="shared" si="18"/>
        <v>0</v>
      </c>
      <c r="HH78" s="39">
        <f t="shared" si="18"/>
        <v>0</v>
      </c>
      <c r="HI78" s="39">
        <f t="shared" si="18"/>
        <v>0</v>
      </c>
      <c r="HJ78" s="39">
        <f t="shared" si="18"/>
        <v>0</v>
      </c>
      <c r="HK78" s="39">
        <f t="shared" si="18"/>
        <v>0</v>
      </c>
      <c r="HL78" s="39">
        <f t="shared" si="18"/>
        <v>0</v>
      </c>
      <c r="HM78" s="39">
        <f t="shared" si="18"/>
        <v>0</v>
      </c>
      <c r="HN78" s="39">
        <f t="shared" si="18"/>
        <v>0</v>
      </c>
      <c r="HO78" s="39">
        <f t="shared" si="18"/>
        <v>0</v>
      </c>
      <c r="HP78" s="39">
        <f t="shared" si="18"/>
        <v>0</v>
      </c>
      <c r="HQ78" s="39">
        <f t="shared" si="18"/>
        <v>0</v>
      </c>
      <c r="HR78" s="39">
        <f t="shared" ref="HR78:IL78" si="19">HR33+HR77</f>
        <v>0</v>
      </c>
      <c r="HS78" s="39">
        <f t="shared" si="19"/>
        <v>0</v>
      </c>
      <c r="HT78" s="39">
        <f t="shared" si="19"/>
        <v>0</v>
      </c>
      <c r="HU78" s="39">
        <f t="shared" si="19"/>
        <v>0</v>
      </c>
      <c r="HV78" s="39">
        <f t="shared" si="19"/>
        <v>0</v>
      </c>
      <c r="HW78" s="39">
        <f t="shared" si="19"/>
        <v>0</v>
      </c>
      <c r="HX78" s="39">
        <f t="shared" si="19"/>
        <v>0</v>
      </c>
      <c r="HY78" s="39">
        <f t="shared" si="19"/>
        <v>0</v>
      </c>
      <c r="HZ78" s="39">
        <f t="shared" si="19"/>
        <v>0</v>
      </c>
      <c r="IA78" s="39">
        <f t="shared" si="19"/>
        <v>0</v>
      </c>
      <c r="IB78" s="39">
        <f t="shared" si="19"/>
        <v>0</v>
      </c>
      <c r="IC78" s="39">
        <f t="shared" si="19"/>
        <v>0</v>
      </c>
      <c r="ID78" s="39">
        <f t="shared" si="19"/>
        <v>0</v>
      </c>
      <c r="IE78" s="39">
        <f t="shared" si="19"/>
        <v>0</v>
      </c>
      <c r="IF78" s="39">
        <f t="shared" si="19"/>
        <v>0</v>
      </c>
      <c r="IG78" s="39">
        <f t="shared" si="19"/>
        <v>0</v>
      </c>
      <c r="IH78" s="39">
        <f t="shared" si="19"/>
        <v>0</v>
      </c>
      <c r="II78" s="39">
        <f t="shared" si="19"/>
        <v>0</v>
      </c>
      <c r="IJ78" s="39">
        <f t="shared" si="19"/>
        <v>0</v>
      </c>
      <c r="IK78" s="39">
        <f t="shared" si="19"/>
        <v>0</v>
      </c>
      <c r="IL78" s="39">
        <f t="shared" si="19"/>
        <v>0</v>
      </c>
    </row>
    <row r="79" spans="1:246" x14ac:dyDescent="0.3">
      <c r="A79" s="1" t="s">
        <v>123</v>
      </c>
      <c r="B79" s="38">
        <f t="shared" ref="B79:BM79" si="20">B20+B78</f>
        <v>0</v>
      </c>
      <c r="C79" s="38">
        <f t="shared" si="20"/>
        <v>0</v>
      </c>
      <c r="D79" s="38">
        <f t="shared" si="20"/>
        <v>0</v>
      </c>
      <c r="E79" s="38">
        <f t="shared" si="20"/>
        <v>0</v>
      </c>
      <c r="F79" s="38">
        <f t="shared" si="20"/>
        <v>0</v>
      </c>
      <c r="G79" s="38">
        <f t="shared" si="20"/>
        <v>0</v>
      </c>
      <c r="H79" s="38">
        <f t="shared" si="20"/>
        <v>0</v>
      </c>
      <c r="I79" s="38">
        <f t="shared" si="20"/>
        <v>0</v>
      </c>
      <c r="J79" s="38">
        <f t="shared" si="20"/>
        <v>0</v>
      </c>
      <c r="K79" s="38">
        <f t="shared" si="20"/>
        <v>0</v>
      </c>
      <c r="L79" s="38">
        <f t="shared" si="20"/>
        <v>0</v>
      </c>
      <c r="M79" s="38">
        <f t="shared" si="20"/>
        <v>0</v>
      </c>
      <c r="N79" s="38">
        <f t="shared" si="20"/>
        <v>0</v>
      </c>
      <c r="O79" s="38">
        <f t="shared" si="20"/>
        <v>0</v>
      </c>
      <c r="P79" s="38">
        <f t="shared" si="20"/>
        <v>0</v>
      </c>
      <c r="Q79" s="38">
        <f t="shared" si="20"/>
        <v>0</v>
      </c>
      <c r="R79" s="38">
        <f t="shared" si="20"/>
        <v>0</v>
      </c>
      <c r="S79" s="38">
        <f t="shared" si="20"/>
        <v>0</v>
      </c>
      <c r="T79" s="38">
        <f t="shared" si="20"/>
        <v>0</v>
      </c>
      <c r="U79" s="38">
        <f t="shared" si="20"/>
        <v>0</v>
      </c>
      <c r="V79" s="38">
        <f t="shared" si="20"/>
        <v>0</v>
      </c>
      <c r="W79" s="38">
        <f t="shared" si="20"/>
        <v>0</v>
      </c>
      <c r="X79" s="38">
        <f t="shared" si="20"/>
        <v>0</v>
      </c>
      <c r="Y79" s="38">
        <f t="shared" si="20"/>
        <v>0</v>
      </c>
      <c r="Z79" s="38">
        <f t="shared" si="20"/>
        <v>0</v>
      </c>
      <c r="AA79" s="38">
        <f t="shared" si="20"/>
        <v>0</v>
      </c>
      <c r="AB79" s="38">
        <f t="shared" si="20"/>
        <v>0</v>
      </c>
      <c r="AC79" s="38">
        <f t="shared" si="20"/>
        <v>0</v>
      </c>
      <c r="AD79" s="38">
        <f t="shared" si="20"/>
        <v>0</v>
      </c>
      <c r="AE79" s="38">
        <f t="shared" si="20"/>
        <v>0</v>
      </c>
      <c r="AF79" s="38">
        <f t="shared" si="20"/>
        <v>0</v>
      </c>
      <c r="AG79" s="38">
        <f t="shared" si="20"/>
        <v>747.16999999999916</v>
      </c>
      <c r="AH79" s="38">
        <f t="shared" si="20"/>
        <v>1196.2499999999968</v>
      </c>
      <c r="AI79" s="38">
        <f t="shared" si="20"/>
        <v>1897.2399999999971</v>
      </c>
      <c r="AJ79" s="38">
        <f t="shared" si="20"/>
        <v>2502.2199999999971</v>
      </c>
      <c r="AK79" s="38">
        <f t="shared" si="20"/>
        <v>2271.749999999995</v>
      </c>
      <c r="AL79" s="38">
        <f t="shared" si="20"/>
        <v>2789.0999999999949</v>
      </c>
      <c r="AM79" s="38">
        <f t="shared" si="20"/>
        <v>3086.1299999999951</v>
      </c>
      <c r="AN79" s="38">
        <f t="shared" si="20"/>
        <v>3166.7899999999959</v>
      </c>
      <c r="AO79" s="38">
        <f t="shared" si="20"/>
        <v>3166.7899999999959</v>
      </c>
      <c r="AP79" s="38">
        <f t="shared" si="20"/>
        <v>3166.7899999999959</v>
      </c>
      <c r="AQ79" s="38">
        <f t="shared" si="20"/>
        <v>3166.7899999999959</v>
      </c>
      <c r="AR79" s="38">
        <f t="shared" si="20"/>
        <v>3166.7899999999959</v>
      </c>
      <c r="AS79" s="38">
        <f t="shared" si="20"/>
        <v>3166.7899999999959</v>
      </c>
      <c r="AT79" s="38">
        <f t="shared" si="20"/>
        <v>3166.7899999999959</v>
      </c>
      <c r="AU79" s="38">
        <f t="shared" si="20"/>
        <v>3166.7899999999959</v>
      </c>
      <c r="AV79" s="38">
        <f t="shared" si="20"/>
        <v>3166.7899999999959</v>
      </c>
      <c r="AW79" s="38">
        <f t="shared" si="20"/>
        <v>3166.7899999999959</v>
      </c>
      <c r="AX79" s="38">
        <f t="shared" si="20"/>
        <v>3166.7899999999959</v>
      </c>
      <c r="AY79" s="38">
        <f t="shared" si="20"/>
        <v>3166.7899999999959</v>
      </c>
      <c r="AZ79" s="38">
        <f t="shared" si="20"/>
        <v>3166.7899999999959</v>
      </c>
      <c r="BA79" s="38">
        <f t="shared" si="20"/>
        <v>3166.7899999999959</v>
      </c>
      <c r="BB79" s="38">
        <f t="shared" si="20"/>
        <v>3166.7899999999959</v>
      </c>
      <c r="BC79" s="38">
        <f t="shared" si="20"/>
        <v>3166.7899999999959</v>
      </c>
      <c r="BD79" s="38">
        <f t="shared" si="20"/>
        <v>3166.7899999999959</v>
      </c>
      <c r="BE79" s="38">
        <f t="shared" si="20"/>
        <v>3166.7899999999959</v>
      </c>
      <c r="BF79" s="38">
        <f t="shared" si="20"/>
        <v>3166.7899999999959</v>
      </c>
      <c r="BG79" s="38">
        <f t="shared" si="20"/>
        <v>3166.7899999999959</v>
      </c>
      <c r="BH79" s="38">
        <f t="shared" si="20"/>
        <v>3166.7899999999959</v>
      </c>
      <c r="BI79" s="38">
        <f t="shared" si="20"/>
        <v>3166.7899999999959</v>
      </c>
      <c r="BJ79" s="38">
        <f t="shared" si="20"/>
        <v>3166.7899999999959</v>
      </c>
      <c r="BK79" s="38">
        <f t="shared" si="20"/>
        <v>3166.7899999999959</v>
      </c>
      <c r="BL79" s="38">
        <f t="shared" si="20"/>
        <v>3166.7899999999959</v>
      </c>
      <c r="BM79" s="38">
        <f t="shared" si="20"/>
        <v>3166.7899999999959</v>
      </c>
      <c r="BN79" s="38">
        <f t="shared" ref="BN79:DY79" si="21">BN20+BN78</f>
        <v>3166.7899999999959</v>
      </c>
      <c r="BO79" s="38">
        <f t="shared" si="21"/>
        <v>3166.7899999999959</v>
      </c>
      <c r="BP79" s="38">
        <f t="shared" si="21"/>
        <v>3166.7899999999959</v>
      </c>
      <c r="BQ79" s="38">
        <f t="shared" si="21"/>
        <v>3166.7899999999959</v>
      </c>
      <c r="BR79" s="38">
        <f t="shared" si="21"/>
        <v>3166.7899999999959</v>
      </c>
      <c r="BS79" s="38">
        <f t="shared" si="21"/>
        <v>3166.7899999999959</v>
      </c>
      <c r="BT79" s="38">
        <f t="shared" si="21"/>
        <v>3166.7899999999959</v>
      </c>
      <c r="BU79" s="38">
        <f t="shared" si="21"/>
        <v>3166.7899999999959</v>
      </c>
      <c r="BV79" s="38">
        <f t="shared" si="21"/>
        <v>3166.7899999999959</v>
      </c>
      <c r="BW79" s="38">
        <f t="shared" si="21"/>
        <v>3166.7899999999959</v>
      </c>
      <c r="BX79" s="38">
        <f t="shared" si="21"/>
        <v>3166.7899999999959</v>
      </c>
      <c r="BY79" s="38">
        <f t="shared" si="21"/>
        <v>3166.7899999999959</v>
      </c>
      <c r="BZ79" s="38">
        <f t="shared" si="21"/>
        <v>3166.7899999999959</v>
      </c>
      <c r="CA79" s="38">
        <f t="shared" si="21"/>
        <v>3166.7899999999959</v>
      </c>
      <c r="CB79" s="38">
        <f t="shared" si="21"/>
        <v>3166.7899999999959</v>
      </c>
      <c r="CC79" s="38">
        <f t="shared" si="21"/>
        <v>3166.7899999999959</v>
      </c>
      <c r="CD79" s="38">
        <f t="shared" si="21"/>
        <v>3166.7899999999959</v>
      </c>
      <c r="CE79" s="38">
        <f t="shared" si="21"/>
        <v>3166.7899999999959</v>
      </c>
      <c r="CF79" s="38">
        <f t="shared" si="21"/>
        <v>3166.7899999999959</v>
      </c>
      <c r="CG79" s="38">
        <f t="shared" si="21"/>
        <v>3166.7899999999959</v>
      </c>
      <c r="CH79" s="38">
        <f t="shared" si="21"/>
        <v>3166.7899999999959</v>
      </c>
      <c r="CI79" s="38">
        <f t="shared" si="21"/>
        <v>3166.7899999999959</v>
      </c>
      <c r="CJ79" s="38">
        <f t="shared" si="21"/>
        <v>3166.7899999999959</v>
      </c>
      <c r="CK79" s="38">
        <f t="shared" si="21"/>
        <v>3166.7899999999959</v>
      </c>
      <c r="CL79" s="38">
        <f t="shared" si="21"/>
        <v>3166.7899999999959</v>
      </c>
      <c r="CM79" s="38">
        <f t="shared" si="21"/>
        <v>3166.7899999999959</v>
      </c>
      <c r="CN79" s="38">
        <f t="shared" si="21"/>
        <v>3166.7899999999959</v>
      </c>
      <c r="CO79" s="38">
        <f t="shared" si="21"/>
        <v>3166.7899999999959</v>
      </c>
      <c r="CP79" s="38">
        <f t="shared" si="21"/>
        <v>3166.7899999999959</v>
      </c>
      <c r="CQ79" s="38">
        <f t="shared" si="21"/>
        <v>3166.7899999999959</v>
      </c>
      <c r="CR79" s="38">
        <f t="shared" si="21"/>
        <v>3166.7899999999959</v>
      </c>
      <c r="CS79" s="38">
        <f t="shared" si="21"/>
        <v>3166.7899999999959</v>
      </c>
      <c r="CT79" s="38">
        <f t="shared" si="21"/>
        <v>3166.7899999999959</v>
      </c>
      <c r="CU79" s="38">
        <f t="shared" si="21"/>
        <v>3166.7899999999959</v>
      </c>
      <c r="CV79" s="38">
        <f t="shared" si="21"/>
        <v>3166.7899999999959</v>
      </c>
      <c r="CW79" s="38">
        <f t="shared" si="21"/>
        <v>3166.7899999999959</v>
      </c>
      <c r="CX79" s="38">
        <f t="shared" si="21"/>
        <v>3166.7899999999959</v>
      </c>
      <c r="CY79" s="38">
        <f t="shared" si="21"/>
        <v>3166.7899999999959</v>
      </c>
      <c r="CZ79" s="38">
        <f t="shared" si="21"/>
        <v>3166.7899999999959</v>
      </c>
      <c r="DA79" s="38">
        <f t="shared" si="21"/>
        <v>3166.7899999999959</v>
      </c>
      <c r="DB79" s="38">
        <f t="shared" si="21"/>
        <v>3166.7899999999959</v>
      </c>
      <c r="DC79" s="38">
        <f t="shared" si="21"/>
        <v>3166.7899999999959</v>
      </c>
      <c r="DD79" s="38">
        <f t="shared" si="21"/>
        <v>3166.7899999999959</v>
      </c>
      <c r="DE79" s="38">
        <f t="shared" si="21"/>
        <v>3166.7899999999959</v>
      </c>
      <c r="DF79" s="38">
        <f t="shared" si="21"/>
        <v>3166.7899999999959</v>
      </c>
      <c r="DG79" s="38">
        <f t="shared" si="21"/>
        <v>3166.7899999999959</v>
      </c>
      <c r="DH79" s="38">
        <f t="shared" si="21"/>
        <v>3166.7899999999959</v>
      </c>
      <c r="DI79" s="38">
        <f t="shared" si="21"/>
        <v>3166.7899999999959</v>
      </c>
      <c r="DJ79" s="38">
        <f t="shared" si="21"/>
        <v>3166.7899999999959</v>
      </c>
      <c r="DK79" s="38">
        <f t="shared" si="21"/>
        <v>3166.7899999999959</v>
      </c>
      <c r="DL79" s="38">
        <f t="shared" si="21"/>
        <v>3166.7899999999959</v>
      </c>
      <c r="DM79" s="38">
        <f t="shared" si="21"/>
        <v>3166.7899999999959</v>
      </c>
      <c r="DN79" s="38">
        <f t="shared" si="21"/>
        <v>3166.7899999999959</v>
      </c>
      <c r="DO79" s="38">
        <f t="shared" si="21"/>
        <v>3166.7899999999959</v>
      </c>
      <c r="DP79" s="38">
        <f t="shared" si="21"/>
        <v>3166.7899999999959</v>
      </c>
      <c r="DQ79" s="38">
        <f t="shared" si="21"/>
        <v>3166.7899999999959</v>
      </c>
      <c r="DR79" s="38">
        <f t="shared" si="21"/>
        <v>3166.7899999999959</v>
      </c>
      <c r="DS79" s="38">
        <f t="shared" si="21"/>
        <v>3166.7899999999959</v>
      </c>
      <c r="DT79" s="38">
        <f t="shared" si="21"/>
        <v>3166.7899999999959</v>
      </c>
      <c r="DU79" s="38">
        <f t="shared" si="21"/>
        <v>3166.7899999999959</v>
      </c>
      <c r="DV79" s="38">
        <f t="shared" si="21"/>
        <v>3166.7899999999959</v>
      </c>
      <c r="DW79" s="38">
        <f t="shared" si="21"/>
        <v>3166.7899999999959</v>
      </c>
      <c r="DX79" s="38">
        <f t="shared" si="21"/>
        <v>3166.7899999999959</v>
      </c>
      <c r="DY79" s="38">
        <f t="shared" si="21"/>
        <v>3166.7899999999959</v>
      </c>
      <c r="DZ79" s="38">
        <f t="shared" ref="DZ79:GK79" si="22">DZ20+DZ78</f>
        <v>3166.7899999999959</v>
      </c>
      <c r="EA79" s="38">
        <f t="shared" si="22"/>
        <v>3166.7899999999959</v>
      </c>
      <c r="EB79" s="38">
        <f t="shared" si="22"/>
        <v>3166.7899999999959</v>
      </c>
      <c r="EC79" s="38">
        <f t="shared" si="22"/>
        <v>3166.7899999999959</v>
      </c>
      <c r="ED79" s="38">
        <f t="shared" si="22"/>
        <v>3166.7899999999959</v>
      </c>
      <c r="EE79" s="38">
        <f t="shared" si="22"/>
        <v>3166.7899999999959</v>
      </c>
      <c r="EF79" s="38">
        <f t="shared" si="22"/>
        <v>3166.7899999999959</v>
      </c>
      <c r="EG79" s="38">
        <f t="shared" si="22"/>
        <v>3166.7899999999959</v>
      </c>
      <c r="EH79" s="38">
        <f t="shared" si="22"/>
        <v>3166.7899999999959</v>
      </c>
      <c r="EI79" s="38">
        <f t="shared" si="22"/>
        <v>3166.7899999999959</v>
      </c>
      <c r="EJ79" s="38">
        <f t="shared" si="22"/>
        <v>3166.7899999999959</v>
      </c>
      <c r="EK79" s="38">
        <f t="shared" si="22"/>
        <v>3166.7899999999959</v>
      </c>
      <c r="EL79" s="38">
        <f t="shared" si="22"/>
        <v>3166.7899999999959</v>
      </c>
      <c r="EM79" s="38">
        <f t="shared" si="22"/>
        <v>3166.7899999999959</v>
      </c>
      <c r="EN79" s="38">
        <f t="shared" si="22"/>
        <v>3166.7899999999959</v>
      </c>
      <c r="EO79" s="38">
        <f t="shared" si="22"/>
        <v>3166.7899999999959</v>
      </c>
      <c r="EP79" s="38">
        <f t="shared" si="22"/>
        <v>3166.7899999999959</v>
      </c>
      <c r="EQ79" s="38">
        <f t="shared" si="22"/>
        <v>3166.7899999999959</v>
      </c>
      <c r="ER79" s="38">
        <f t="shared" si="22"/>
        <v>3166.7899999999959</v>
      </c>
      <c r="ES79" s="38">
        <f t="shared" si="22"/>
        <v>3166.7899999999959</v>
      </c>
      <c r="ET79" s="38">
        <f t="shared" si="22"/>
        <v>3166.7899999999959</v>
      </c>
      <c r="EU79" s="38">
        <f t="shared" si="22"/>
        <v>3166.7899999999959</v>
      </c>
      <c r="EV79" s="38">
        <f t="shared" si="22"/>
        <v>3166.7899999999959</v>
      </c>
      <c r="EW79" s="38">
        <f t="shared" si="22"/>
        <v>3166.7899999999959</v>
      </c>
      <c r="EX79" s="38">
        <f t="shared" si="22"/>
        <v>3166.7899999999959</v>
      </c>
      <c r="EY79" s="38">
        <f t="shared" si="22"/>
        <v>3166.7899999999959</v>
      </c>
      <c r="EZ79" s="38">
        <f t="shared" si="22"/>
        <v>3166.7899999999959</v>
      </c>
      <c r="FA79" s="38">
        <f t="shared" si="22"/>
        <v>3166.7899999999959</v>
      </c>
      <c r="FB79" s="38">
        <f t="shared" si="22"/>
        <v>3166.7899999999959</v>
      </c>
      <c r="FC79" s="38">
        <f t="shared" si="22"/>
        <v>3166.7899999999959</v>
      </c>
      <c r="FD79" s="38">
        <f t="shared" si="22"/>
        <v>3166.7899999999959</v>
      </c>
      <c r="FE79" s="38">
        <f t="shared" si="22"/>
        <v>3166.7899999999959</v>
      </c>
      <c r="FF79" s="38">
        <f t="shared" si="22"/>
        <v>3166.7899999999959</v>
      </c>
      <c r="FG79" s="38">
        <f t="shared" si="22"/>
        <v>3166.7899999999959</v>
      </c>
      <c r="FH79" s="38">
        <f t="shared" si="22"/>
        <v>3166.7899999999959</v>
      </c>
      <c r="FI79" s="38">
        <f t="shared" si="22"/>
        <v>3166.7899999999959</v>
      </c>
      <c r="FJ79" s="38">
        <f t="shared" si="22"/>
        <v>3166.7899999999959</v>
      </c>
      <c r="FK79" s="38">
        <f t="shared" si="22"/>
        <v>3166.7899999999959</v>
      </c>
      <c r="FL79" s="38">
        <f t="shared" si="22"/>
        <v>3166.7899999999959</v>
      </c>
      <c r="FM79" s="38">
        <f t="shared" si="22"/>
        <v>3166.7899999999959</v>
      </c>
      <c r="FN79" s="38">
        <f t="shared" si="22"/>
        <v>3166.7899999999959</v>
      </c>
      <c r="FO79" s="38">
        <f t="shared" si="22"/>
        <v>3166.7899999999959</v>
      </c>
      <c r="FP79" s="38">
        <f t="shared" si="22"/>
        <v>3166.7899999999959</v>
      </c>
      <c r="FQ79" s="38">
        <f t="shared" si="22"/>
        <v>3166.7899999999959</v>
      </c>
      <c r="FR79" s="38">
        <f t="shared" si="22"/>
        <v>3166.7899999999959</v>
      </c>
      <c r="FS79" s="38">
        <f t="shared" si="22"/>
        <v>3166.7899999999959</v>
      </c>
      <c r="FT79" s="38">
        <f t="shared" si="22"/>
        <v>3166.7899999999959</v>
      </c>
      <c r="FU79" s="38">
        <f t="shared" si="22"/>
        <v>3166.7899999999959</v>
      </c>
      <c r="FV79" s="38">
        <f t="shared" si="22"/>
        <v>3166.7899999999959</v>
      </c>
      <c r="FW79" s="38">
        <f t="shared" si="22"/>
        <v>3166.7899999999959</v>
      </c>
      <c r="FX79" s="38">
        <f t="shared" si="22"/>
        <v>3166.7899999999959</v>
      </c>
      <c r="FY79" s="38">
        <f t="shared" si="22"/>
        <v>3166.7899999999959</v>
      </c>
      <c r="FZ79" s="38">
        <f t="shared" si="22"/>
        <v>3166.7899999999959</v>
      </c>
      <c r="GA79" s="38">
        <f t="shared" si="22"/>
        <v>3166.7899999999959</v>
      </c>
      <c r="GB79" s="38">
        <f t="shared" si="22"/>
        <v>3166.7899999999959</v>
      </c>
      <c r="GC79" s="38">
        <f t="shared" si="22"/>
        <v>3166.7899999999959</v>
      </c>
      <c r="GD79" s="38">
        <f t="shared" si="22"/>
        <v>3166.7899999999959</v>
      </c>
      <c r="GE79" s="38">
        <f t="shared" si="22"/>
        <v>3166.7899999999959</v>
      </c>
      <c r="GF79" s="38">
        <f t="shared" si="22"/>
        <v>3166.7899999999959</v>
      </c>
      <c r="GG79" s="38">
        <f t="shared" si="22"/>
        <v>3166.7899999999959</v>
      </c>
      <c r="GH79" s="38">
        <f t="shared" si="22"/>
        <v>3166.7899999999959</v>
      </c>
      <c r="GI79" s="38">
        <f t="shared" si="22"/>
        <v>3166.7899999999959</v>
      </c>
      <c r="GJ79" s="38">
        <f t="shared" si="22"/>
        <v>3166.7899999999959</v>
      </c>
      <c r="GK79" s="38">
        <f t="shared" si="22"/>
        <v>3166.7899999999959</v>
      </c>
      <c r="GL79" s="38">
        <f t="shared" ref="GL79:IL79" si="23">GL20+GL78</f>
        <v>3166.7899999999959</v>
      </c>
      <c r="GM79" s="38">
        <f t="shared" si="23"/>
        <v>3166.7899999999959</v>
      </c>
      <c r="GN79" s="38">
        <f t="shared" si="23"/>
        <v>3166.7899999999959</v>
      </c>
      <c r="GO79" s="38">
        <f t="shared" si="23"/>
        <v>3166.7899999999959</v>
      </c>
      <c r="GP79" s="38">
        <f t="shared" si="23"/>
        <v>3166.7899999999959</v>
      </c>
      <c r="GQ79" s="38">
        <f t="shared" si="23"/>
        <v>3166.7899999999959</v>
      </c>
      <c r="GR79" s="38">
        <f t="shared" si="23"/>
        <v>3166.7899999999959</v>
      </c>
      <c r="GS79" s="38">
        <f t="shared" si="23"/>
        <v>3166.7899999999959</v>
      </c>
      <c r="GT79" s="38">
        <f t="shared" si="23"/>
        <v>3166.7899999999959</v>
      </c>
      <c r="GU79" s="38">
        <f t="shared" si="23"/>
        <v>3166.7899999999959</v>
      </c>
      <c r="GV79" s="38">
        <f t="shared" si="23"/>
        <v>3166.7899999999959</v>
      </c>
      <c r="GW79" s="38">
        <f t="shared" si="23"/>
        <v>3166.7899999999959</v>
      </c>
      <c r="GX79" s="38">
        <f t="shared" si="23"/>
        <v>3166.7899999999959</v>
      </c>
      <c r="GY79" s="38">
        <f t="shared" si="23"/>
        <v>3166.7899999999959</v>
      </c>
      <c r="GZ79" s="38">
        <f t="shared" si="23"/>
        <v>3166.7899999999959</v>
      </c>
      <c r="HA79" s="38">
        <f t="shared" si="23"/>
        <v>3166.7899999999959</v>
      </c>
      <c r="HB79" s="38">
        <f t="shared" si="23"/>
        <v>3166.7899999999959</v>
      </c>
      <c r="HC79" s="38">
        <f t="shared" si="23"/>
        <v>3166.7899999999959</v>
      </c>
      <c r="HD79" s="38">
        <f t="shared" si="23"/>
        <v>3166.7899999999959</v>
      </c>
      <c r="HE79" s="38">
        <f t="shared" si="23"/>
        <v>3166.7899999999959</v>
      </c>
      <c r="HF79" s="38">
        <f t="shared" si="23"/>
        <v>3166.7899999999959</v>
      </c>
      <c r="HG79" s="38">
        <f t="shared" si="23"/>
        <v>3166.7899999999959</v>
      </c>
      <c r="HH79" s="38">
        <f t="shared" si="23"/>
        <v>3166.7899999999959</v>
      </c>
      <c r="HI79" s="38">
        <f t="shared" si="23"/>
        <v>3166.7899999999959</v>
      </c>
      <c r="HJ79" s="38">
        <f t="shared" si="23"/>
        <v>3166.7899999999959</v>
      </c>
      <c r="HK79" s="38">
        <f t="shared" si="23"/>
        <v>3166.7899999999959</v>
      </c>
      <c r="HL79" s="38">
        <f t="shared" si="23"/>
        <v>3166.7899999999959</v>
      </c>
      <c r="HM79" s="38">
        <f t="shared" si="23"/>
        <v>3166.7899999999959</v>
      </c>
      <c r="HN79" s="38">
        <f t="shared" si="23"/>
        <v>3166.7899999999959</v>
      </c>
      <c r="HO79" s="38">
        <f t="shared" si="23"/>
        <v>3166.7899999999959</v>
      </c>
      <c r="HP79" s="38">
        <f t="shared" si="23"/>
        <v>3166.7899999999959</v>
      </c>
      <c r="HQ79" s="38">
        <f t="shared" si="23"/>
        <v>3166.7899999999959</v>
      </c>
      <c r="HR79" s="38">
        <f t="shared" si="23"/>
        <v>3166.7899999999959</v>
      </c>
      <c r="HS79" s="38">
        <f t="shared" si="23"/>
        <v>3166.7899999999959</v>
      </c>
      <c r="HT79" s="38">
        <f t="shared" si="23"/>
        <v>3166.7899999999959</v>
      </c>
      <c r="HU79" s="38">
        <f t="shared" si="23"/>
        <v>3166.7899999999959</v>
      </c>
      <c r="HV79" s="38">
        <f t="shared" si="23"/>
        <v>3166.7899999999959</v>
      </c>
      <c r="HW79" s="38">
        <f t="shared" si="23"/>
        <v>3166.7899999999959</v>
      </c>
      <c r="HX79" s="38">
        <f t="shared" si="23"/>
        <v>3166.7899999999959</v>
      </c>
      <c r="HY79" s="38">
        <f t="shared" si="23"/>
        <v>3166.7899999999959</v>
      </c>
      <c r="HZ79" s="38">
        <f t="shared" si="23"/>
        <v>3166.7899999999959</v>
      </c>
      <c r="IA79" s="38">
        <f t="shared" si="23"/>
        <v>3166.7899999999959</v>
      </c>
      <c r="IB79" s="38">
        <f t="shared" si="23"/>
        <v>3166.7899999999959</v>
      </c>
      <c r="IC79" s="38">
        <f t="shared" si="23"/>
        <v>3166.7899999999959</v>
      </c>
      <c r="ID79" s="38">
        <f t="shared" si="23"/>
        <v>3166.7899999999959</v>
      </c>
      <c r="IE79" s="38">
        <f t="shared" si="23"/>
        <v>3166.7899999999959</v>
      </c>
      <c r="IF79" s="38">
        <f t="shared" si="23"/>
        <v>3166.7899999999959</v>
      </c>
      <c r="IG79" s="38">
        <f t="shared" si="23"/>
        <v>3166.7899999999959</v>
      </c>
      <c r="IH79" s="38">
        <f t="shared" si="23"/>
        <v>3166.7899999999959</v>
      </c>
      <c r="II79" s="38">
        <f t="shared" si="23"/>
        <v>3166.7899999999959</v>
      </c>
      <c r="IJ79" s="38">
        <f t="shared" si="23"/>
        <v>3166.7899999999959</v>
      </c>
      <c r="IK79" s="38">
        <f t="shared" si="23"/>
        <v>3166.7899999999959</v>
      </c>
      <c r="IL79" s="38">
        <f t="shared" si="23"/>
        <v>3166.7899999999959</v>
      </c>
    </row>
    <row r="81" spans="1:246" ht="17.399999999999999" x14ac:dyDescent="0.35">
      <c r="A81" s="73" t="s">
        <v>124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46" x14ac:dyDescent="0.3">
      <c r="A82" s="51" t="s">
        <v>116</v>
      </c>
      <c r="B82" s="52">
        <f t="shared" ref="B82:BM82" si="24">B19</f>
        <v>46143</v>
      </c>
      <c r="C82" s="52">
        <f t="shared" si="24"/>
        <v>46144</v>
      </c>
      <c r="D82" s="52">
        <f t="shared" si="24"/>
        <v>46145</v>
      </c>
      <c r="E82" s="52">
        <f t="shared" si="24"/>
        <v>46146</v>
      </c>
      <c r="F82" s="52">
        <f t="shared" si="24"/>
        <v>46147</v>
      </c>
      <c r="G82" s="52">
        <f t="shared" si="24"/>
        <v>46148</v>
      </c>
      <c r="H82" s="52">
        <f t="shared" si="24"/>
        <v>46149</v>
      </c>
      <c r="I82" s="52">
        <f t="shared" si="24"/>
        <v>46150</v>
      </c>
      <c r="J82" s="52">
        <f t="shared" si="24"/>
        <v>46151</v>
      </c>
      <c r="K82" s="52">
        <f t="shared" si="24"/>
        <v>46152</v>
      </c>
      <c r="L82" s="52">
        <f t="shared" si="24"/>
        <v>46153</v>
      </c>
      <c r="M82" s="52">
        <f t="shared" si="24"/>
        <v>46154</v>
      </c>
      <c r="N82" s="52">
        <f t="shared" si="24"/>
        <v>46155</v>
      </c>
      <c r="O82" s="52">
        <f t="shared" si="24"/>
        <v>46156</v>
      </c>
      <c r="P82" s="52">
        <f t="shared" si="24"/>
        <v>46157</v>
      </c>
      <c r="Q82" s="52">
        <f t="shared" si="24"/>
        <v>46158</v>
      </c>
      <c r="R82" s="52">
        <f t="shared" si="24"/>
        <v>46159</v>
      </c>
      <c r="S82" s="52">
        <f t="shared" si="24"/>
        <v>46160</v>
      </c>
      <c r="T82" s="52">
        <f t="shared" si="24"/>
        <v>46161</v>
      </c>
      <c r="U82" s="52">
        <f t="shared" si="24"/>
        <v>46162</v>
      </c>
      <c r="V82" s="52">
        <f t="shared" si="24"/>
        <v>46163</v>
      </c>
      <c r="W82" s="52">
        <f t="shared" si="24"/>
        <v>46164</v>
      </c>
      <c r="X82" s="52">
        <f t="shared" si="24"/>
        <v>46165</v>
      </c>
      <c r="Y82" s="52">
        <f t="shared" si="24"/>
        <v>46166</v>
      </c>
      <c r="Z82" s="52">
        <f t="shared" si="24"/>
        <v>46167</v>
      </c>
      <c r="AA82" s="52">
        <f t="shared" si="24"/>
        <v>46168</v>
      </c>
      <c r="AB82" s="52">
        <f t="shared" si="24"/>
        <v>46169</v>
      </c>
      <c r="AC82" s="52">
        <f t="shared" si="24"/>
        <v>46170</v>
      </c>
      <c r="AD82" s="52">
        <f t="shared" si="24"/>
        <v>46171</v>
      </c>
      <c r="AE82" s="52">
        <f t="shared" si="24"/>
        <v>46172</v>
      </c>
      <c r="AF82" s="52">
        <f t="shared" si="24"/>
        <v>46173</v>
      </c>
      <c r="AG82" s="52">
        <f t="shared" si="24"/>
        <v>46174</v>
      </c>
      <c r="AH82" s="52">
        <f t="shared" si="24"/>
        <v>46175</v>
      </c>
      <c r="AI82" s="52">
        <f t="shared" si="24"/>
        <v>46176</v>
      </c>
      <c r="AJ82" s="52">
        <f t="shared" si="24"/>
        <v>46177</v>
      </c>
      <c r="AK82" s="52">
        <f t="shared" si="24"/>
        <v>46178</v>
      </c>
      <c r="AL82" s="52">
        <f t="shared" si="24"/>
        <v>46179</v>
      </c>
      <c r="AM82" s="52">
        <f t="shared" si="24"/>
        <v>46180</v>
      </c>
      <c r="AN82" s="52">
        <f t="shared" si="24"/>
        <v>46181</v>
      </c>
      <c r="AO82" s="52">
        <f t="shared" si="24"/>
        <v>46182</v>
      </c>
      <c r="AP82" s="52">
        <f t="shared" si="24"/>
        <v>46183</v>
      </c>
      <c r="AQ82" s="52">
        <f t="shared" si="24"/>
        <v>46184</v>
      </c>
      <c r="AR82" s="52">
        <f t="shared" si="24"/>
        <v>46185</v>
      </c>
      <c r="AS82" s="52">
        <f t="shared" si="24"/>
        <v>46186</v>
      </c>
      <c r="AT82" s="52">
        <f t="shared" si="24"/>
        <v>46187</v>
      </c>
      <c r="AU82" s="52">
        <f t="shared" si="24"/>
        <v>46188</v>
      </c>
      <c r="AV82" s="52">
        <f t="shared" si="24"/>
        <v>46189</v>
      </c>
      <c r="AW82" s="52">
        <f t="shared" si="24"/>
        <v>46190</v>
      </c>
      <c r="AX82" s="52">
        <f t="shared" si="24"/>
        <v>46191</v>
      </c>
      <c r="AY82" s="52">
        <f t="shared" si="24"/>
        <v>46192</v>
      </c>
      <c r="AZ82" s="52">
        <f t="shared" si="24"/>
        <v>46193</v>
      </c>
      <c r="BA82" s="52">
        <f t="shared" si="24"/>
        <v>46194</v>
      </c>
      <c r="BB82" s="52">
        <f t="shared" si="24"/>
        <v>46195</v>
      </c>
      <c r="BC82" s="52">
        <f t="shared" si="24"/>
        <v>46196</v>
      </c>
      <c r="BD82" s="52">
        <f t="shared" si="24"/>
        <v>46197</v>
      </c>
      <c r="BE82" s="52">
        <f t="shared" si="24"/>
        <v>46198</v>
      </c>
      <c r="BF82" s="52">
        <f t="shared" si="24"/>
        <v>46199</v>
      </c>
      <c r="BG82" s="52">
        <f t="shared" si="24"/>
        <v>46200</v>
      </c>
      <c r="BH82" s="52">
        <f t="shared" si="24"/>
        <v>46201</v>
      </c>
      <c r="BI82" s="52">
        <f t="shared" si="24"/>
        <v>46202</v>
      </c>
      <c r="BJ82" s="52">
        <f t="shared" si="24"/>
        <v>46203</v>
      </c>
      <c r="BK82" s="52">
        <f t="shared" si="24"/>
        <v>46204</v>
      </c>
      <c r="BL82" s="52">
        <f t="shared" si="24"/>
        <v>46205</v>
      </c>
      <c r="BM82" s="52">
        <f t="shared" si="24"/>
        <v>46206</v>
      </c>
      <c r="BN82" s="52">
        <f t="shared" ref="BN82:DY82" si="25">BN19</f>
        <v>46207</v>
      </c>
      <c r="BO82" s="52">
        <f t="shared" si="25"/>
        <v>46208</v>
      </c>
      <c r="BP82" s="52">
        <f t="shared" si="25"/>
        <v>46209</v>
      </c>
      <c r="BQ82" s="52">
        <f t="shared" si="25"/>
        <v>46210</v>
      </c>
      <c r="BR82" s="52">
        <f t="shared" si="25"/>
        <v>46211</v>
      </c>
      <c r="BS82" s="52">
        <f t="shared" si="25"/>
        <v>46212</v>
      </c>
      <c r="BT82" s="52">
        <f t="shared" si="25"/>
        <v>46213</v>
      </c>
      <c r="BU82" s="52">
        <f t="shared" si="25"/>
        <v>46214</v>
      </c>
      <c r="BV82" s="52">
        <f t="shared" si="25"/>
        <v>46215</v>
      </c>
      <c r="BW82" s="52">
        <f t="shared" si="25"/>
        <v>46216</v>
      </c>
      <c r="BX82" s="52">
        <f t="shared" si="25"/>
        <v>46217</v>
      </c>
      <c r="BY82" s="52">
        <f t="shared" si="25"/>
        <v>46218</v>
      </c>
      <c r="BZ82" s="52">
        <f t="shared" si="25"/>
        <v>46219</v>
      </c>
      <c r="CA82" s="52">
        <f t="shared" si="25"/>
        <v>46220</v>
      </c>
      <c r="CB82" s="52">
        <f t="shared" si="25"/>
        <v>46221</v>
      </c>
      <c r="CC82" s="52">
        <f t="shared" si="25"/>
        <v>46222</v>
      </c>
      <c r="CD82" s="52">
        <f t="shared" si="25"/>
        <v>46223</v>
      </c>
      <c r="CE82" s="52">
        <f t="shared" si="25"/>
        <v>46224</v>
      </c>
      <c r="CF82" s="52">
        <f t="shared" si="25"/>
        <v>46225</v>
      </c>
      <c r="CG82" s="52">
        <f t="shared" si="25"/>
        <v>46226</v>
      </c>
      <c r="CH82" s="52">
        <f t="shared" si="25"/>
        <v>46227</v>
      </c>
      <c r="CI82" s="52">
        <f t="shared" si="25"/>
        <v>46228</v>
      </c>
      <c r="CJ82" s="52">
        <f t="shared" si="25"/>
        <v>46229</v>
      </c>
      <c r="CK82" s="52">
        <f t="shared" si="25"/>
        <v>46230</v>
      </c>
      <c r="CL82" s="52">
        <f t="shared" si="25"/>
        <v>46231</v>
      </c>
      <c r="CM82" s="52">
        <f t="shared" si="25"/>
        <v>46232</v>
      </c>
      <c r="CN82" s="52">
        <f t="shared" si="25"/>
        <v>46233</v>
      </c>
      <c r="CO82" s="52">
        <f t="shared" si="25"/>
        <v>46234</v>
      </c>
      <c r="CP82" s="52">
        <f t="shared" si="25"/>
        <v>46235</v>
      </c>
      <c r="CQ82" s="52">
        <f t="shared" si="25"/>
        <v>46236</v>
      </c>
      <c r="CR82" s="52">
        <f t="shared" si="25"/>
        <v>46237</v>
      </c>
      <c r="CS82" s="52">
        <f t="shared" si="25"/>
        <v>46238</v>
      </c>
      <c r="CT82" s="52">
        <f t="shared" si="25"/>
        <v>46239</v>
      </c>
      <c r="CU82" s="52">
        <f t="shared" si="25"/>
        <v>46240</v>
      </c>
      <c r="CV82" s="52">
        <f t="shared" si="25"/>
        <v>46241</v>
      </c>
      <c r="CW82" s="52">
        <f t="shared" si="25"/>
        <v>46242</v>
      </c>
      <c r="CX82" s="52">
        <f t="shared" si="25"/>
        <v>46243</v>
      </c>
      <c r="CY82" s="52">
        <f t="shared" si="25"/>
        <v>46244</v>
      </c>
      <c r="CZ82" s="52">
        <f t="shared" si="25"/>
        <v>46245</v>
      </c>
      <c r="DA82" s="52">
        <f t="shared" si="25"/>
        <v>46246</v>
      </c>
      <c r="DB82" s="52">
        <f t="shared" si="25"/>
        <v>46247</v>
      </c>
      <c r="DC82" s="52">
        <f t="shared" si="25"/>
        <v>46248</v>
      </c>
      <c r="DD82" s="52">
        <f t="shared" si="25"/>
        <v>46249</v>
      </c>
      <c r="DE82" s="52">
        <f t="shared" si="25"/>
        <v>46250</v>
      </c>
      <c r="DF82" s="52">
        <f t="shared" si="25"/>
        <v>46251</v>
      </c>
      <c r="DG82" s="52">
        <f t="shared" si="25"/>
        <v>46252</v>
      </c>
      <c r="DH82" s="52">
        <f t="shared" si="25"/>
        <v>46253</v>
      </c>
      <c r="DI82" s="52">
        <f t="shared" si="25"/>
        <v>46254</v>
      </c>
      <c r="DJ82" s="52">
        <f t="shared" si="25"/>
        <v>46255</v>
      </c>
      <c r="DK82" s="52">
        <f t="shared" si="25"/>
        <v>46256</v>
      </c>
      <c r="DL82" s="52">
        <f t="shared" si="25"/>
        <v>46257</v>
      </c>
      <c r="DM82" s="52">
        <f t="shared" si="25"/>
        <v>46258</v>
      </c>
      <c r="DN82" s="52">
        <f t="shared" si="25"/>
        <v>46259</v>
      </c>
      <c r="DO82" s="52">
        <f t="shared" si="25"/>
        <v>46260</v>
      </c>
      <c r="DP82" s="52">
        <f t="shared" si="25"/>
        <v>46261</v>
      </c>
      <c r="DQ82" s="52">
        <f t="shared" si="25"/>
        <v>46262</v>
      </c>
      <c r="DR82" s="52">
        <f t="shared" si="25"/>
        <v>46263</v>
      </c>
      <c r="DS82" s="52">
        <f t="shared" si="25"/>
        <v>46264</v>
      </c>
      <c r="DT82" s="52">
        <f t="shared" si="25"/>
        <v>46265</v>
      </c>
      <c r="DU82" s="52">
        <f t="shared" si="25"/>
        <v>46266</v>
      </c>
      <c r="DV82" s="52">
        <f t="shared" si="25"/>
        <v>46267</v>
      </c>
      <c r="DW82" s="52">
        <f t="shared" si="25"/>
        <v>46268</v>
      </c>
      <c r="DX82" s="52">
        <f t="shared" si="25"/>
        <v>46269</v>
      </c>
      <c r="DY82" s="52">
        <f t="shared" si="25"/>
        <v>46270</v>
      </c>
      <c r="DZ82" s="52">
        <f t="shared" ref="DZ82:GK82" si="26">DZ19</f>
        <v>46271</v>
      </c>
      <c r="EA82" s="52">
        <f t="shared" si="26"/>
        <v>46272</v>
      </c>
      <c r="EB82" s="52">
        <f t="shared" si="26"/>
        <v>46273</v>
      </c>
      <c r="EC82" s="52">
        <f t="shared" si="26"/>
        <v>46274</v>
      </c>
      <c r="ED82" s="52">
        <f t="shared" si="26"/>
        <v>46275</v>
      </c>
      <c r="EE82" s="52">
        <f t="shared" si="26"/>
        <v>46276</v>
      </c>
      <c r="EF82" s="52">
        <f t="shared" si="26"/>
        <v>46277</v>
      </c>
      <c r="EG82" s="52">
        <f t="shared" si="26"/>
        <v>46278</v>
      </c>
      <c r="EH82" s="52">
        <f t="shared" si="26"/>
        <v>46279</v>
      </c>
      <c r="EI82" s="52">
        <f t="shared" si="26"/>
        <v>46280</v>
      </c>
      <c r="EJ82" s="52">
        <f t="shared" si="26"/>
        <v>46281</v>
      </c>
      <c r="EK82" s="52">
        <f t="shared" si="26"/>
        <v>46282</v>
      </c>
      <c r="EL82" s="52">
        <f t="shared" si="26"/>
        <v>46283</v>
      </c>
      <c r="EM82" s="52">
        <f t="shared" si="26"/>
        <v>46284</v>
      </c>
      <c r="EN82" s="52">
        <f t="shared" si="26"/>
        <v>46285</v>
      </c>
      <c r="EO82" s="52">
        <f t="shared" si="26"/>
        <v>46286</v>
      </c>
      <c r="EP82" s="52">
        <f t="shared" si="26"/>
        <v>46287</v>
      </c>
      <c r="EQ82" s="52">
        <f t="shared" si="26"/>
        <v>46288</v>
      </c>
      <c r="ER82" s="52">
        <f t="shared" si="26"/>
        <v>46289</v>
      </c>
      <c r="ES82" s="52">
        <f t="shared" si="26"/>
        <v>46290</v>
      </c>
      <c r="ET82" s="52">
        <f t="shared" si="26"/>
        <v>46291</v>
      </c>
      <c r="EU82" s="52">
        <f t="shared" si="26"/>
        <v>46292</v>
      </c>
      <c r="EV82" s="52">
        <f t="shared" si="26"/>
        <v>46293</v>
      </c>
      <c r="EW82" s="52">
        <f t="shared" si="26"/>
        <v>46294</v>
      </c>
      <c r="EX82" s="52">
        <f t="shared" si="26"/>
        <v>46295</v>
      </c>
      <c r="EY82" s="52">
        <f t="shared" si="26"/>
        <v>46296</v>
      </c>
      <c r="EZ82" s="52">
        <f t="shared" si="26"/>
        <v>46297</v>
      </c>
      <c r="FA82" s="52">
        <f t="shared" si="26"/>
        <v>46298</v>
      </c>
      <c r="FB82" s="52">
        <f t="shared" si="26"/>
        <v>46299</v>
      </c>
      <c r="FC82" s="52">
        <f t="shared" si="26"/>
        <v>46300</v>
      </c>
      <c r="FD82" s="52">
        <f t="shared" si="26"/>
        <v>46301</v>
      </c>
      <c r="FE82" s="52">
        <f t="shared" si="26"/>
        <v>46302</v>
      </c>
      <c r="FF82" s="52">
        <f t="shared" si="26"/>
        <v>46303</v>
      </c>
      <c r="FG82" s="52">
        <f t="shared" si="26"/>
        <v>46304</v>
      </c>
      <c r="FH82" s="52">
        <f t="shared" si="26"/>
        <v>46305</v>
      </c>
      <c r="FI82" s="52">
        <f t="shared" si="26"/>
        <v>46306</v>
      </c>
      <c r="FJ82" s="52">
        <f t="shared" si="26"/>
        <v>46307</v>
      </c>
      <c r="FK82" s="52">
        <f t="shared" si="26"/>
        <v>46308</v>
      </c>
      <c r="FL82" s="52">
        <f t="shared" si="26"/>
        <v>46309</v>
      </c>
      <c r="FM82" s="52">
        <f t="shared" si="26"/>
        <v>46310</v>
      </c>
      <c r="FN82" s="52">
        <f t="shared" si="26"/>
        <v>46311</v>
      </c>
      <c r="FO82" s="52">
        <f t="shared" si="26"/>
        <v>46312</v>
      </c>
      <c r="FP82" s="52">
        <f t="shared" si="26"/>
        <v>46313</v>
      </c>
      <c r="FQ82" s="52">
        <f t="shared" si="26"/>
        <v>46314</v>
      </c>
      <c r="FR82" s="52">
        <f t="shared" si="26"/>
        <v>46315</v>
      </c>
      <c r="FS82" s="52">
        <f t="shared" si="26"/>
        <v>46316</v>
      </c>
      <c r="FT82" s="52">
        <f t="shared" si="26"/>
        <v>46317</v>
      </c>
      <c r="FU82" s="52">
        <f t="shared" si="26"/>
        <v>46318</v>
      </c>
      <c r="FV82" s="52">
        <f t="shared" si="26"/>
        <v>46319</v>
      </c>
      <c r="FW82" s="52">
        <f t="shared" si="26"/>
        <v>46320</v>
      </c>
      <c r="FX82" s="52">
        <f t="shared" si="26"/>
        <v>46321</v>
      </c>
      <c r="FY82" s="52">
        <f t="shared" si="26"/>
        <v>46322</v>
      </c>
      <c r="FZ82" s="52">
        <f t="shared" si="26"/>
        <v>46323</v>
      </c>
      <c r="GA82" s="52">
        <f t="shared" si="26"/>
        <v>46324</v>
      </c>
      <c r="GB82" s="52">
        <f t="shared" si="26"/>
        <v>46325</v>
      </c>
      <c r="GC82" s="52">
        <f t="shared" si="26"/>
        <v>46326</v>
      </c>
      <c r="GD82" s="52">
        <f t="shared" si="26"/>
        <v>46327</v>
      </c>
      <c r="GE82" s="52">
        <f t="shared" si="26"/>
        <v>46328</v>
      </c>
      <c r="GF82" s="52">
        <f t="shared" si="26"/>
        <v>46329</v>
      </c>
      <c r="GG82" s="52">
        <f t="shared" si="26"/>
        <v>46330</v>
      </c>
      <c r="GH82" s="52">
        <f t="shared" si="26"/>
        <v>46331</v>
      </c>
      <c r="GI82" s="52">
        <f t="shared" si="26"/>
        <v>46332</v>
      </c>
      <c r="GJ82" s="52">
        <f t="shared" si="26"/>
        <v>46333</v>
      </c>
      <c r="GK82" s="52">
        <f t="shared" si="26"/>
        <v>46334</v>
      </c>
      <c r="GL82" s="52">
        <f t="shared" ref="GL82:IL82" si="27">GL19</f>
        <v>46335</v>
      </c>
      <c r="GM82" s="52">
        <f t="shared" si="27"/>
        <v>46336</v>
      </c>
      <c r="GN82" s="52">
        <f t="shared" si="27"/>
        <v>46337</v>
      </c>
      <c r="GO82" s="52">
        <f t="shared" si="27"/>
        <v>46338</v>
      </c>
      <c r="GP82" s="52">
        <f t="shared" si="27"/>
        <v>46339</v>
      </c>
      <c r="GQ82" s="52">
        <f t="shared" si="27"/>
        <v>46340</v>
      </c>
      <c r="GR82" s="52">
        <f t="shared" si="27"/>
        <v>46341</v>
      </c>
      <c r="GS82" s="52">
        <f t="shared" si="27"/>
        <v>46342</v>
      </c>
      <c r="GT82" s="52">
        <f t="shared" si="27"/>
        <v>46343</v>
      </c>
      <c r="GU82" s="52">
        <f t="shared" si="27"/>
        <v>46344</v>
      </c>
      <c r="GV82" s="52">
        <f t="shared" si="27"/>
        <v>46345</v>
      </c>
      <c r="GW82" s="52">
        <f t="shared" si="27"/>
        <v>46346</v>
      </c>
      <c r="GX82" s="52">
        <f t="shared" si="27"/>
        <v>46347</v>
      </c>
      <c r="GY82" s="52">
        <f t="shared" si="27"/>
        <v>46348</v>
      </c>
      <c r="GZ82" s="52">
        <f t="shared" si="27"/>
        <v>46349</v>
      </c>
      <c r="HA82" s="52">
        <f t="shared" si="27"/>
        <v>46350</v>
      </c>
      <c r="HB82" s="52">
        <f t="shared" si="27"/>
        <v>46351</v>
      </c>
      <c r="HC82" s="52">
        <f t="shared" si="27"/>
        <v>46352</v>
      </c>
      <c r="HD82" s="52">
        <f t="shared" si="27"/>
        <v>46353</v>
      </c>
      <c r="HE82" s="52">
        <f t="shared" si="27"/>
        <v>46354</v>
      </c>
      <c r="HF82" s="52">
        <f t="shared" si="27"/>
        <v>46355</v>
      </c>
      <c r="HG82" s="52">
        <f t="shared" si="27"/>
        <v>46356</v>
      </c>
      <c r="HH82" s="52">
        <f t="shared" si="27"/>
        <v>46357</v>
      </c>
      <c r="HI82" s="52">
        <f t="shared" si="27"/>
        <v>46358</v>
      </c>
      <c r="HJ82" s="52">
        <f t="shared" si="27"/>
        <v>46359</v>
      </c>
      <c r="HK82" s="52">
        <f t="shared" si="27"/>
        <v>46360</v>
      </c>
      <c r="HL82" s="52">
        <f t="shared" si="27"/>
        <v>46361</v>
      </c>
      <c r="HM82" s="52">
        <f t="shared" si="27"/>
        <v>46362</v>
      </c>
      <c r="HN82" s="52">
        <f t="shared" si="27"/>
        <v>46363</v>
      </c>
      <c r="HO82" s="52">
        <f t="shared" si="27"/>
        <v>46364</v>
      </c>
      <c r="HP82" s="52">
        <f t="shared" si="27"/>
        <v>46365</v>
      </c>
      <c r="HQ82" s="52">
        <f t="shared" si="27"/>
        <v>46366</v>
      </c>
      <c r="HR82" s="52">
        <f t="shared" si="27"/>
        <v>46367</v>
      </c>
      <c r="HS82" s="52">
        <f t="shared" si="27"/>
        <v>46368</v>
      </c>
      <c r="HT82" s="52">
        <f t="shared" si="27"/>
        <v>46369</v>
      </c>
      <c r="HU82" s="52">
        <f t="shared" si="27"/>
        <v>46370</v>
      </c>
      <c r="HV82" s="52">
        <f t="shared" si="27"/>
        <v>46371</v>
      </c>
      <c r="HW82" s="52">
        <f t="shared" si="27"/>
        <v>46372</v>
      </c>
      <c r="HX82" s="52">
        <f t="shared" si="27"/>
        <v>46373</v>
      </c>
      <c r="HY82" s="52">
        <f t="shared" si="27"/>
        <v>46374</v>
      </c>
      <c r="HZ82" s="52">
        <f t="shared" si="27"/>
        <v>46375</v>
      </c>
      <c r="IA82" s="52">
        <f t="shared" si="27"/>
        <v>46376</v>
      </c>
      <c r="IB82" s="52">
        <f t="shared" si="27"/>
        <v>46377</v>
      </c>
      <c r="IC82" s="52">
        <f t="shared" si="27"/>
        <v>46378</v>
      </c>
      <c r="ID82" s="52">
        <f t="shared" si="27"/>
        <v>46379</v>
      </c>
      <c r="IE82" s="52">
        <f t="shared" si="27"/>
        <v>46380</v>
      </c>
      <c r="IF82" s="52">
        <f t="shared" si="27"/>
        <v>46381</v>
      </c>
      <c r="IG82" s="52">
        <f t="shared" si="27"/>
        <v>46382</v>
      </c>
      <c r="IH82" s="52">
        <f t="shared" si="27"/>
        <v>46383</v>
      </c>
      <c r="II82" s="52">
        <f t="shared" si="27"/>
        <v>46384</v>
      </c>
      <c r="IJ82" s="52">
        <f t="shared" si="27"/>
        <v>46385</v>
      </c>
      <c r="IK82" s="52">
        <f t="shared" si="27"/>
        <v>46386</v>
      </c>
      <c r="IL82" s="52">
        <f t="shared" si="27"/>
        <v>46387</v>
      </c>
    </row>
    <row r="83" spans="1:246" x14ac:dyDescent="0.3">
      <c r="A83" s="53" t="s">
        <v>125</v>
      </c>
      <c r="B83" s="54">
        <f>SUM(Categorias!$F$2:$F$4)</f>
        <v>0</v>
      </c>
      <c r="C83" s="54">
        <f t="shared" ref="C83:BN83" si="28">B142</f>
        <v>0</v>
      </c>
      <c r="D83" s="54">
        <f t="shared" si="28"/>
        <v>0</v>
      </c>
      <c r="E83" s="54">
        <f t="shared" si="28"/>
        <v>0</v>
      </c>
      <c r="F83" s="54">
        <f t="shared" si="28"/>
        <v>0</v>
      </c>
      <c r="G83" s="54">
        <f t="shared" si="28"/>
        <v>0</v>
      </c>
      <c r="H83" s="54">
        <f t="shared" si="28"/>
        <v>0</v>
      </c>
      <c r="I83" s="54">
        <f t="shared" si="28"/>
        <v>0</v>
      </c>
      <c r="J83" s="54">
        <f t="shared" si="28"/>
        <v>0</v>
      </c>
      <c r="K83" s="54">
        <f t="shared" si="28"/>
        <v>0</v>
      </c>
      <c r="L83" s="54">
        <f t="shared" si="28"/>
        <v>0</v>
      </c>
      <c r="M83" s="54">
        <f t="shared" si="28"/>
        <v>0</v>
      </c>
      <c r="N83" s="54">
        <f t="shared" si="28"/>
        <v>0</v>
      </c>
      <c r="O83" s="54">
        <f t="shared" si="28"/>
        <v>0</v>
      </c>
      <c r="P83" s="54">
        <f t="shared" si="28"/>
        <v>0</v>
      </c>
      <c r="Q83" s="54">
        <f t="shared" si="28"/>
        <v>0</v>
      </c>
      <c r="R83" s="54">
        <f t="shared" si="28"/>
        <v>0</v>
      </c>
      <c r="S83" s="54">
        <f t="shared" si="28"/>
        <v>0</v>
      </c>
      <c r="T83" s="54">
        <f t="shared" si="28"/>
        <v>0</v>
      </c>
      <c r="U83" s="54">
        <f t="shared" si="28"/>
        <v>0</v>
      </c>
      <c r="V83" s="54">
        <f t="shared" si="28"/>
        <v>0</v>
      </c>
      <c r="W83" s="54">
        <f t="shared" si="28"/>
        <v>0</v>
      </c>
      <c r="X83" s="54">
        <f t="shared" si="28"/>
        <v>0</v>
      </c>
      <c r="Y83" s="54">
        <f t="shared" si="28"/>
        <v>0</v>
      </c>
      <c r="Z83" s="54">
        <f t="shared" si="28"/>
        <v>0</v>
      </c>
      <c r="AA83" s="54">
        <f t="shared" si="28"/>
        <v>0</v>
      </c>
      <c r="AB83" s="54">
        <f t="shared" si="28"/>
        <v>0</v>
      </c>
      <c r="AC83" s="54">
        <f t="shared" si="28"/>
        <v>0</v>
      </c>
      <c r="AD83" s="54">
        <f t="shared" si="28"/>
        <v>0</v>
      </c>
      <c r="AE83" s="54">
        <f t="shared" si="28"/>
        <v>0</v>
      </c>
      <c r="AF83" s="54">
        <f t="shared" si="28"/>
        <v>0</v>
      </c>
      <c r="AG83" s="54">
        <f t="shared" si="28"/>
        <v>0</v>
      </c>
      <c r="AH83" s="54">
        <f t="shared" si="28"/>
        <v>0</v>
      </c>
      <c r="AI83" s="54">
        <f t="shared" si="28"/>
        <v>0</v>
      </c>
      <c r="AJ83" s="54">
        <f t="shared" si="28"/>
        <v>0</v>
      </c>
      <c r="AK83" s="54">
        <f t="shared" si="28"/>
        <v>0</v>
      </c>
      <c r="AL83" s="54">
        <f t="shared" si="28"/>
        <v>0</v>
      </c>
      <c r="AM83" s="54">
        <f t="shared" si="28"/>
        <v>0</v>
      </c>
      <c r="AN83" s="54">
        <f t="shared" si="28"/>
        <v>0</v>
      </c>
      <c r="AO83" s="54">
        <f t="shared" si="28"/>
        <v>0</v>
      </c>
      <c r="AP83" s="54">
        <f t="shared" si="28"/>
        <v>0</v>
      </c>
      <c r="AQ83" s="54">
        <f t="shared" si="28"/>
        <v>0</v>
      </c>
      <c r="AR83" s="54">
        <f t="shared" si="28"/>
        <v>0</v>
      </c>
      <c r="AS83" s="54">
        <f t="shared" si="28"/>
        <v>0</v>
      </c>
      <c r="AT83" s="54">
        <f t="shared" si="28"/>
        <v>0</v>
      </c>
      <c r="AU83" s="54">
        <f t="shared" si="28"/>
        <v>0</v>
      </c>
      <c r="AV83" s="54">
        <f t="shared" si="28"/>
        <v>0</v>
      </c>
      <c r="AW83" s="54">
        <f t="shared" si="28"/>
        <v>0</v>
      </c>
      <c r="AX83" s="54">
        <f t="shared" si="28"/>
        <v>0</v>
      </c>
      <c r="AY83" s="54">
        <f t="shared" si="28"/>
        <v>0</v>
      </c>
      <c r="AZ83" s="54">
        <f t="shared" si="28"/>
        <v>0</v>
      </c>
      <c r="BA83" s="54">
        <f t="shared" si="28"/>
        <v>0</v>
      </c>
      <c r="BB83" s="54">
        <f t="shared" si="28"/>
        <v>0</v>
      </c>
      <c r="BC83" s="54">
        <f t="shared" si="28"/>
        <v>0</v>
      </c>
      <c r="BD83" s="54">
        <f t="shared" si="28"/>
        <v>0</v>
      </c>
      <c r="BE83" s="54">
        <f t="shared" si="28"/>
        <v>0</v>
      </c>
      <c r="BF83" s="54">
        <f t="shared" si="28"/>
        <v>0</v>
      </c>
      <c r="BG83" s="54">
        <f t="shared" si="28"/>
        <v>0</v>
      </c>
      <c r="BH83" s="54">
        <f t="shared" si="28"/>
        <v>0</v>
      </c>
      <c r="BI83" s="54">
        <f t="shared" si="28"/>
        <v>0</v>
      </c>
      <c r="BJ83" s="54">
        <f t="shared" si="28"/>
        <v>0</v>
      </c>
      <c r="BK83" s="54">
        <f t="shared" si="28"/>
        <v>0</v>
      </c>
      <c r="BL83" s="54">
        <f t="shared" si="28"/>
        <v>0</v>
      </c>
      <c r="BM83" s="54">
        <f t="shared" si="28"/>
        <v>0</v>
      </c>
      <c r="BN83" s="54">
        <f t="shared" si="28"/>
        <v>0</v>
      </c>
      <c r="BO83" s="54">
        <f t="shared" ref="BO83:DZ83" si="29">BN142</f>
        <v>0</v>
      </c>
      <c r="BP83" s="54">
        <f t="shared" si="29"/>
        <v>0</v>
      </c>
      <c r="BQ83" s="54">
        <f t="shared" si="29"/>
        <v>0</v>
      </c>
      <c r="BR83" s="54">
        <f t="shared" si="29"/>
        <v>0</v>
      </c>
      <c r="BS83" s="54">
        <f t="shared" si="29"/>
        <v>0</v>
      </c>
      <c r="BT83" s="54">
        <f t="shared" si="29"/>
        <v>0</v>
      </c>
      <c r="BU83" s="54">
        <f t="shared" si="29"/>
        <v>0</v>
      </c>
      <c r="BV83" s="54">
        <f t="shared" si="29"/>
        <v>0</v>
      </c>
      <c r="BW83" s="54">
        <f t="shared" si="29"/>
        <v>0</v>
      </c>
      <c r="BX83" s="54">
        <f t="shared" si="29"/>
        <v>0</v>
      </c>
      <c r="BY83" s="54">
        <f t="shared" si="29"/>
        <v>0</v>
      </c>
      <c r="BZ83" s="54">
        <f t="shared" si="29"/>
        <v>0</v>
      </c>
      <c r="CA83" s="54">
        <f t="shared" si="29"/>
        <v>0</v>
      </c>
      <c r="CB83" s="54">
        <f t="shared" si="29"/>
        <v>0</v>
      </c>
      <c r="CC83" s="54">
        <f t="shared" si="29"/>
        <v>0</v>
      </c>
      <c r="CD83" s="54">
        <f t="shared" si="29"/>
        <v>0</v>
      </c>
      <c r="CE83" s="54">
        <f t="shared" si="29"/>
        <v>0</v>
      </c>
      <c r="CF83" s="54">
        <f t="shared" si="29"/>
        <v>0</v>
      </c>
      <c r="CG83" s="54">
        <f t="shared" si="29"/>
        <v>0</v>
      </c>
      <c r="CH83" s="54">
        <f t="shared" si="29"/>
        <v>0</v>
      </c>
      <c r="CI83" s="54">
        <f t="shared" si="29"/>
        <v>0</v>
      </c>
      <c r="CJ83" s="54">
        <f t="shared" si="29"/>
        <v>0</v>
      </c>
      <c r="CK83" s="54">
        <f t="shared" si="29"/>
        <v>0</v>
      </c>
      <c r="CL83" s="54">
        <f t="shared" si="29"/>
        <v>0</v>
      </c>
      <c r="CM83" s="54">
        <f t="shared" si="29"/>
        <v>0</v>
      </c>
      <c r="CN83" s="54">
        <f t="shared" si="29"/>
        <v>0</v>
      </c>
      <c r="CO83" s="54">
        <f t="shared" si="29"/>
        <v>0</v>
      </c>
      <c r="CP83" s="54">
        <f t="shared" si="29"/>
        <v>0</v>
      </c>
      <c r="CQ83" s="54">
        <f t="shared" si="29"/>
        <v>0</v>
      </c>
      <c r="CR83" s="54">
        <f t="shared" si="29"/>
        <v>0</v>
      </c>
      <c r="CS83" s="54">
        <f t="shared" si="29"/>
        <v>0</v>
      </c>
      <c r="CT83" s="54">
        <f t="shared" si="29"/>
        <v>0</v>
      </c>
      <c r="CU83" s="54">
        <f t="shared" si="29"/>
        <v>0</v>
      </c>
      <c r="CV83" s="54">
        <f t="shared" si="29"/>
        <v>0</v>
      </c>
      <c r="CW83" s="54">
        <f t="shared" si="29"/>
        <v>0</v>
      </c>
      <c r="CX83" s="54">
        <f t="shared" si="29"/>
        <v>0</v>
      </c>
      <c r="CY83" s="54">
        <f t="shared" si="29"/>
        <v>0</v>
      </c>
      <c r="CZ83" s="54">
        <f t="shared" si="29"/>
        <v>0</v>
      </c>
      <c r="DA83" s="54">
        <f t="shared" si="29"/>
        <v>0</v>
      </c>
      <c r="DB83" s="54">
        <f t="shared" si="29"/>
        <v>0</v>
      </c>
      <c r="DC83" s="54">
        <f t="shared" si="29"/>
        <v>0</v>
      </c>
      <c r="DD83" s="54">
        <f t="shared" si="29"/>
        <v>0</v>
      </c>
      <c r="DE83" s="54">
        <f t="shared" si="29"/>
        <v>0</v>
      </c>
      <c r="DF83" s="54">
        <f t="shared" si="29"/>
        <v>0</v>
      </c>
      <c r="DG83" s="54">
        <f t="shared" si="29"/>
        <v>0</v>
      </c>
      <c r="DH83" s="54">
        <f t="shared" si="29"/>
        <v>0</v>
      </c>
      <c r="DI83" s="54">
        <f t="shared" si="29"/>
        <v>0</v>
      </c>
      <c r="DJ83" s="54">
        <f t="shared" si="29"/>
        <v>0</v>
      </c>
      <c r="DK83" s="54">
        <f t="shared" si="29"/>
        <v>0</v>
      </c>
      <c r="DL83" s="54">
        <f t="shared" si="29"/>
        <v>0</v>
      </c>
      <c r="DM83" s="54">
        <f t="shared" si="29"/>
        <v>0</v>
      </c>
      <c r="DN83" s="54">
        <f t="shared" si="29"/>
        <v>0</v>
      </c>
      <c r="DO83" s="54">
        <f t="shared" si="29"/>
        <v>0</v>
      </c>
      <c r="DP83" s="54">
        <f t="shared" si="29"/>
        <v>0</v>
      </c>
      <c r="DQ83" s="54">
        <f t="shared" si="29"/>
        <v>0</v>
      </c>
      <c r="DR83" s="54">
        <f t="shared" si="29"/>
        <v>0</v>
      </c>
      <c r="DS83" s="54">
        <f t="shared" si="29"/>
        <v>0</v>
      </c>
      <c r="DT83" s="54">
        <f t="shared" si="29"/>
        <v>0</v>
      </c>
      <c r="DU83" s="54">
        <f t="shared" si="29"/>
        <v>0</v>
      </c>
      <c r="DV83" s="54">
        <f t="shared" si="29"/>
        <v>0</v>
      </c>
      <c r="DW83" s="54">
        <f t="shared" si="29"/>
        <v>0</v>
      </c>
      <c r="DX83" s="54">
        <f t="shared" si="29"/>
        <v>0</v>
      </c>
      <c r="DY83" s="54">
        <f t="shared" si="29"/>
        <v>0</v>
      </c>
      <c r="DZ83" s="54">
        <f t="shared" si="29"/>
        <v>0</v>
      </c>
      <c r="EA83" s="54">
        <f t="shared" ref="EA83:GL83" si="30">DZ142</f>
        <v>0</v>
      </c>
      <c r="EB83" s="54">
        <f t="shared" si="30"/>
        <v>0</v>
      </c>
      <c r="EC83" s="54">
        <f t="shared" si="30"/>
        <v>0</v>
      </c>
      <c r="ED83" s="54">
        <f t="shared" si="30"/>
        <v>0</v>
      </c>
      <c r="EE83" s="54">
        <f t="shared" si="30"/>
        <v>0</v>
      </c>
      <c r="EF83" s="54">
        <f t="shared" si="30"/>
        <v>0</v>
      </c>
      <c r="EG83" s="54">
        <f t="shared" si="30"/>
        <v>0</v>
      </c>
      <c r="EH83" s="54">
        <f t="shared" si="30"/>
        <v>0</v>
      </c>
      <c r="EI83" s="54">
        <f t="shared" si="30"/>
        <v>0</v>
      </c>
      <c r="EJ83" s="54">
        <f t="shared" si="30"/>
        <v>0</v>
      </c>
      <c r="EK83" s="54">
        <f t="shared" si="30"/>
        <v>0</v>
      </c>
      <c r="EL83" s="54">
        <f t="shared" si="30"/>
        <v>0</v>
      </c>
      <c r="EM83" s="54">
        <f t="shared" si="30"/>
        <v>0</v>
      </c>
      <c r="EN83" s="54">
        <f t="shared" si="30"/>
        <v>0</v>
      </c>
      <c r="EO83" s="54">
        <f t="shared" si="30"/>
        <v>0</v>
      </c>
      <c r="EP83" s="54">
        <f t="shared" si="30"/>
        <v>0</v>
      </c>
      <c r="EQ83" s="54">
        <f t="shared" si="30"/>
        <v>0</v>
      </c>
      <c r="ER83" s="54">
        <f t="shared" si="30"/>
        <v>0</v>
      </c>
      <c r="ES83" s="54">
        <f t="shared" si="30"/>
        <v>0</v>
      </c>
      <c r="ET83" s="54">
        <f t="shared" si="30"/>
        <v>0</v>
      </c>
      <c r="EU83" s="54">
        <f t="shared" si="30"/>
        <v>0</v>
      </c>
      <c r="EV83" s="54">
        <f t="shared" si="30"/>
        <v>0</v>
      </c>
      <c r="EW83" s="54">
        <f t="shared" si="30"/>
        <v>0</v>
      </c>
      <c r="EX83" s="54">
        <f t="shared" si="30"/>
        <v>0</v>
      </c>
      <c r="EY83" s="54">
        <f t="shared" si="30"/>
        <v>0</v>
      </c>
      <c r="EZ83" s="54">
        <f t="shared" si="30"/>
        <v>0</v>
      </c>
      <c r="FA83" s="54">
        <f t="shared" si="30"/>
        <v>0</v>
      </c>
      <c r="FB83" s="54">
        <f t="shared" si="30"/>
        <v>0</v>
      </c>
      <c r="FC83" s="54">
        <f t="shared" si="30"/>
        <v>0</v>
      </c>
      <c r="FD83" s="54">
        <f t="shared" si="30"/>
        <v>0</v>
      </c>
      <c r="FE83" s="54">
        <f t="shared" si="30"/>
        <v>0</v>
      </c>
      <c r="FF83" s="54">
        <f t="shared" si="30"/>
        <v>0</v>
      </c>
      <c r="FG83" s="54">
        <f t="shared" si="30"/>
        <v>0</v>
      </c>
      <c r="FH83" s="54">
        <f t="shared" si="30"/>
        <v>0</v>
      </c>
      <c r="FI83" s="54">
        <f t="shared" si="30"/>
        <v>0</v>
      </c>
      <c r="FJ83" s="54">
        <f t="shared" si="30"/>
        <v>0</v>
      </c>
      <c r="FK83" s="54">
        <f t="shared" si="30"/>
        <v>0</v>
      </c>
      <c r="FL83" s="54">
        <f t="shared" si="30"/>
        <v>0</v>
      </c>
      <c r="FM83" s="54">
        <f t="shared" si="30"/>
        <v>0</v>
      </c>
      <c r="FN83" s="54">
        <f t="shared" si="30"/>
        <v>0</v>
      </c>
      <c r="FO83" s="54">
        <f t="shared" si="30"/>
        <v>0</v>
      </c>
      <c r="FP83" s="54">
        <f t="shared" si="30"/>
        <v>0</v>
      </c>
      <c r="FQ83" s="54">
        <f t="shared" si="30"/>
        <v>0</v>
      </c>
      <c r="FR83" s="54">
        <f t="shared" si="30"/>
        <v>0</v>
      </c>
      <c r="FS83" s="54">
        <f t="shared" si="30"/>
        <v>0</v>
      </c>
      <c r="FT83" s="54">
        <f t="shared" si="30"/>
        <v>0</v>
      </c>
      <c r="FU83" s="54">
        <f t="shared" si="30"/>
        <v>0</v>
      </c>
      <c r="FV83" s="54">
        <f t="shared" si="30"/>
        <v>0</v>
      </c>
      <c r="FW83" s="54">
        <f t="shared" si="30"/>
        <v>0</v>
      </c>
      <c r="FX83" s="54">
        <f t="shared" si="30"/>
        <v>0</v>
      </c>
      <c r="FY83" s="54">
        <f t="shared" si="30"/>
        <v>0</v>
      </c>
      <c r="FZ83" s="54">
        <f t="shared" si="30"/>
        <v>0</v>
      </c>
      <c r="GA83" s="54">
        <f t="shared" si="30"/>
        <v>0</v>
      </c>
      <c r="GB83" s="54">
        <f t="shared" si="30"/>
        <v>0</v>
      </c>
      <c r="GC83" s="54">
        <f t="shared" si="30"/>
        <v>0</v>
      </c>
      <c r="GD83" s="54">
        <f t="shared" si="30"/>
        <v>0</v>
      </c>
      <c r="GE83" s="54">
        <f t="shared" si="30"/>
        <v>0</v>
      </c>
      <c r="GF83" s="54">
        <f t="shared" si="30"/>
        <v>0</v>
      </c>
      <c r="GG83" s="54">
        <f t="shared" si="30"/>
        <v>0</v>
      </c>
      <c r="GH83" s="54">
        <f t="shared" si="30"/>
        <v>0</v>
      </c>
      <c r="GI83" s="54">
        <f t="shared" si="30"/>
        <v>0</v>
      </c>
      <c r="GJ83" s="54">
        <f t="shared" si="30"/>
        <v>0</v>
      </c>
      <c r="GK83" s="54">
        <f t="shared" si="30"/>
        <v>0</v>
      </c>
      <c r="GL83" s="54">
        <f t="shared" si="30"/>
        <v>0</v>
      </c>
      <c r="GM83" s="54">
        <f t="shared" ref="GM83:IL83" si="31">GL142</f>
        <v>0</v>
      </c>
      <c r="GN83" s="54">
        <f t="shared" si="31"/>
        <v>0</v>
      </c>
      <c r="GO83" s="54">
        <f t="shared" si="31"/>
        <v>0</v>
      </c>
      <c r="GP83" s="54">
        <f t="shared" si="31"/>
        <v>0</v>
      </c>
      <c r="GQ83" s="54">
        <f t="shared" si="31"/>
        <v>0</v>
      </c>
      <c r="GR83" s="54">
        <f t="shared" si="31"/>
        <v>0</v>
      </c>
      <c r="GS83" s="54">
        <f t="shared" si="31"/>
        <v>0</v>
      </c>
      <c r="GT83" s="54">
        <f t="shared" si="31"/>
        <v>0</v>
      </c>
      <c r="GU83" s="54">
        <f t="shared" si="31"/>
        <v>0</v>
      </c>
      <c r="GV83" s="54">
        <f t="shared" si="31"/>
        <v>0</v>
      </c>
      <c r="GW83" s="54">
        <f t="shared" si="31"/>
        <v>0</v>
      </c>
      <c r="GX83" s="54">
        <f t="shared" si="31"/>
        <v>0</v>
      </c>
      <c r="GY83" s="54">
        <f t="shared" si="31"/>
        <v>0</v>
      </c>
      <c r="GZ83" s="54">
        <f t="shared" si="31"/>
        <v>0</v>
      </c>
      <c r="HA83" s="54">
        <f t="shared" si="31"/>
        <v>0</v>
      </c>
      <c r="HB83" s="54">
        <f t="shared" si="31"/>
        <v>0</v>
      </c>
      <c r="HC83" s="54">
        <f t="shared" si="31"/>
        <v>0</v>
      </c>
      <c r="HD83" s="54">
        <f t="shared" si="31"/>
        <v>0</v>
      </c>
      <c r="HE83" s="54">
        <f t="shared" si="31"/>
        <v>0</v>
      </c>
      <c r="HF83" s="54">
        <f t="shared" si="31"/>
        <v>0</v>
      </c>
      <c r="HG83" s="54">
        <f t="shared" si="31"/>
        <v>0</v>
      </c>
      <c r="HH83" s="54">
        <f t="shared" si="31"/>
        <v>0</v>
      </c>
      <c r="HI83" s="54">
        <f t="shared" si="31"/>
        <v>0</v>
      </c>
      <c r="HJ83" s="54">
        <f t="shared" si="31"/>
        <v>0</v>
      </c>
      <c r="HK83" s="54">
        <f t="shared" si="31"/>
        <v>0</v>
      </c>
      <c r="HL83" s="54">
        <f t="shared" si="31"/>
        <v>0</v>
      </c>
      <c r="HM83" s="54">
        <f t="shared" si="31"/>
        <v>0</v>
      </c>
      <c r="HN83" s="54">
        <f t="shared" si="31"/>
        <v>0</v>
      </c>
      <c r="HO83" s="54">
        <f t="shared" si="31"/>
        <v>0</v>
      </c>
      <c r="HP83" s="54">
        <f t="shared" si="31"/>
        <v>0</v>
      </c>
      <c r="HQ83" s="54">
        <f t="shared" si="31"/>
        <v>0</v>
      </c>
      <c r="HR83" s="54">
        <f t="shared" si="31"/>
        <v>0</v>
      </c>
      <c r="HS83" s="54">
        <f t="shared" si="31"/>
        <v>0</v>
      </c>
      <c r="HT83" s="54">
        <f t="shared" si="31"/>
        <v>0</v>
      </c>
      <c r="HU83" s="54">
        <f t="shared" si="31"/>
        <v>0</v>
      </c>
      <c r="HV83" s="54">
        <f t="shared" si="31"/>
        <v>0</v>
      </c>
      <c r="HW83" s="54">
        <f t="shared" si="31"/>
        <v>0</v>
      </c>
      <c r="HX83" s="54">
        <f t="shared" si="31"/>
        <v>0</v>
      </c>
      <c r="HY83" s="54">
        <f t="shared" si="31"/>
        <v>0</v>
      </c>
      <c r="HZ83" s="54">
        <f t="shared" si="31"/>
        <v>0</v>
      </c>
      <c r="IA83" s="54">
        <f t="shared" si="31"/>
        <v>0</v>
      </c>
      <c r="IB83" s="54">
        <f t="shared" si="31"/>
        <v>0</v>
      </c>
      <c r="IC83" s="54">
        <f t="shared" si="31"/>
        <v>0</v>
      </c>
      <c r="ID83" s="54">
        <f t="shared" si="31"/>
        <v>0</v>
      </c>
      <c r="IE83" s="54">
        <f t="shared" si="31"/>
        <v>0</v>
      </c>
      <c r="IF83" s="54">
        <f t="shared" si="31"/>
        <v>0</v>
      </c>
      <c r="IG83" s="54">
        <f t="shared" si="31"/>
        <v>0</v>
      </c>
      <c r="IH83" s="54">
        <f t="shared" si="31"/>
        <v>0</v>
      </c>
      <c r="II83" s="54">
        <f t="shared" si="31"/>
        <v>0</v>
      </c>
      <c r="IJ83" s="54">
        <f t="shared" si="31"/>
        <v>0</v>
      </c>
      <c r="IK83" s="54">
        <f t="shared" si="31"/>
        <v>0</v>
      </c>
      <c r="IL83" s="54">
        <f t="shared" si="31"/>
        <v>0</v>
      </c>
    </row>
    <row r="84" spans="1:246" x14ac:dyDescent="0.3">
      <c r="A84" s="55" t="s">
        <v>126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  <c r="CZ84" s="56"/>
      <c r="DA84" s="56"/>
      <c r="DB84" s="56"/>
      <c r="DC84" s="56"/>
      <c r="DD84" s="56"/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6"/>
      <c r="FK84" s="56"/>
      <c r="FL84" s="56"/>
      <c r="FM84" s="56"/>
      <c r="FN84" s="56"/>
      <c r="FO84" s="56"/>
      <c r="FP84" s="56"/>
      <c r="FQ84" s="56"/>
      <c r="FR84" s="56"/>
      <c r="FS84" s="56"/>
      <c r="FT84" s="56"/>
      <c r="FU84" s="56"/>
      <c r="FV84" s="56"/>
      <c r="FW84" s="56"/>
      <c r="FX84" s="56"/>
      <c r="FY84" s="56"/>
      <c r="FZ84" s="56"/>
      <c r="GA84" s="56"/>
      <c r="GB84" s="56"/>
      <c r="GC84" s="56"/>
      <c r="GD84" s="56"/>
      <c r="GE84" s="56"/>
      <c r="GF84" s="56"/>
      <c r="GG84" s="56"/>
      <c r="GH84" s="56"/>
      <c r="GI84" s="56"/>
      <c r="GJ84" s="56"/>
      <c r="GK84" s="56"/>
      <c r="GL84" s="56"/>
      <c r="GM84" s="56"/>
      <c r="GN84" s="56"/>
      <c r="GO84" s="56"/>
      <c r="GP84" s="56"/>
      <c r="GQ84" s="56"/>
      <c r="GR84" s="56"/>
      <c r="GS84" s="56"/>
      <c r="GT84" s="56"/>
      <c r="GU84" s="56"/>
      <c r="GV84" s="56"/>
      <c r="GW84" s="56"/>
      <c r="GX84" s="56"/>
      <c r="GY84" s="56"/>
      <c r="GZ84" s="56"/>
      <c r="HA84" s="56"/>
      <c r="HB84" s="56"/>
      <c r="HC84" s="56"/>
      <c r="HD84" s="56"/>
      <c r="HE84" s="56"/>
      <c r="HF84" s="56"/>
      <c r="HG84" s="56"/>
      <c r="HH84" s="56"/>
      <c r="HI84" s="56"/>
      <c r="HJ84" s="56"/>
      <c r="HK84" s="56"/>
      <c r="HL84" s="56"/>
      <c r="HM84" s="56"/>
      <c r="HN84" s="56"/>
      <c r="HO84" s="56"/>
      <c r="HP84" s="56"/>
      <c r="HQ84" s="56"/>
      <c r="HR84" s="56"/>
      <c r="HS84" s="56"/>
      <c r="HT84" s="56"/>
      <c r="HU84" s="56"/>
      <c r="HV84" s="56"/>
      <c r="HW84" s="56"/>
      <c r="HX84" s="56"/>
      <c r="HY84" s="56"/>
      <c r="HZ84" s="56"/>
      <c r="IA84" s="56"/>
      <c r="IB84" s="56"/>
      <c r="IC84" s="56"/>
      <c r="ID84" s="56"/>
      <c r="IE84" s="56"/>
      <c r="IF84" s="56"/>
      <c r="IG84" s="56"/>
      <c r="IH84" s="56"/>
      <c r="II84" s="56"/>
      <c r="IJ84" s="56"/>
      <c r="IK84" s="56"/>
      <c r="IL84" s="56"/>
    </row>
    <row r="85" spans="1:246" x14ac:dyDescent="0.3">
      <c r="A85" t="s">
        <v>3</v>
      </c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</row>
    <row r="86" spans="1:246" x14ac:dyDescent="0.3">
      <c r="A86" t="s">
        <v>5</v>
      </c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</row>
    <row r="87" spans="1:246" x14ac:dyDescent="0.3">
      <c r="A87" t="s">
        <v>6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</row>
    <row r="88" spans="1:246" x14ac:dyDescent="0.3">
      <c r="A88" t="s">
        <v>25</v>
      </c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</row>
    <row r="89" spans="1:246" x14ac:dyDescent="0.3">
      <c r="A89" t="s">
        <v>81</v>
      </c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</row>
    <row r="90" spans="1:246" x14ac:dyDescent="0.3">
      <c r="A90" t="s">
        <v>82</v>
      </c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</row>
    <row r="91" spans="1:246" x14ac:dyDescent="0.3">
      <c r="A91" t="s">
        <v>83</v>
      </c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</row>
    <row r="92" spans="1:246" x14ac:dyDescent="0.3">
      <c r="A92" t="s">
        <v>84</v>
      </c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37"/>
      <c r="GR92" s="37"/>
      <c r="GS92" s="37"/>
      <c r="GT92" s="37"/>
      <c r="GU92" s="37"/>
      <c r="GV92" s="37"/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</row>
    <row r="93" spans="1:246" x14ac:dyDescent="0.3">
      <c r="A93" t="s">
        <v>85</v>
      </c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</row>
    <row r="94" spans="1:246" x14ac:dyDescent="0.3">
      <c r="A94" t="s">
        <v>86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37"/>
      <c r="GR94" s="37"/>
      <c r="GS94" s="37"/>
      <c r="GT94" s="37"/>
      <c r="GU94" s="37"/>
      <c r="GV94" s="37"/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</row>
    <row r="95" spans="1:246" x14ac:dyDescent="0.3">
      <c r="A95" t="s">
        <v>87</v>
      </c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</row>
    <row r="96" spans="1:246" x14ac:dyDescent="0.3">
      <c r="A96" s="53" t="s">
        <v>127</v>
      </c>
      <c r="B96" s="54">
        <f t="shared" ref="B96:BM96" si="32">SUM(B85:B95)</f>
        <v>0</v>
      </c>
      <c r="C96" s="54">
        <f t="shared" si="32"/>
        <v>0</v>
      </c>
      <c r="D96" s="54">
        <f t="shared" si="32"/>
        <v>0</v>
      </c>
      <c r="E96" s="54">
        <f t="shared" si="32"/>
        <v>0</v>
      </c>
      <c r="F96" s="54">
        <f t="shared" si="32"/>
        <v>0</v>
      </c>
      <c r="G96" s="54">
        <f t="shared" si="32"/>
        <v>0</v>
      </c>
      <c r="H96" s="54">
        <f t="shared" si="32"/>
        <v>0</v>
      </c>
      <c r="I96" s="54">
        <f t="shared" si="32"/>
        <v>0</v>
      </c>
      <c r="J96" s="54">
        <f t="shared" si="32"/>
        <v>0</v>
      </c>
      <c r="K96" s="54">
        <f t="shared" si="32"/>
        <v>0</v>
      </c>
      <c r="L96" s="54">
        <f t="shared" si="32"/>
        <v>0</v>
      </c>
      <c r="M96" s="54">
        <f t="shared" si="32"/>
        <v>0</v>
      </c>
      <c r="N96" s="54">
        <f t="shared" si="32"/>
        <v>0</v>
      </c>
      <c r="O96" s="54">
        <f t="shared" si="32"/>
        <v>0</v>
      </c>
      <c r="P96" s="54">
        <f t="shared" si="32"/>
        <v>0</v>
      </c>
      <c r="Q96" s="54">
        <f t="shared" si="32"/>
        <v>0</v>
      </c>
      <c r="R96" s="54">
        <f t="shared" si="32"/>
        <v>0</v>
      </c>
      <c r="S96" s="54">
        <f t="shared" si="32"/>
        <v>0</v>
      </c>
      <c r="T96" s="54">
        <f t="shared" si="32"/>
        <v>0</v>
      </c>
      <c r="U96" s="54">
        <f t="shared" si="32"/>
        <v>0</v>
      </c>
      <c r="V96" s="54">
        <f t="shared" si="32"/>
        <v>0</v>
      </c>
      <c r="W96" s="54">
        <f t="shared" si="32"/>
        <v>0</v>
      </c>
      <c r="X96" s="54">
        <f t="shared" si="32"/>
        <v>0</v>
      </c>
      <c r="Y96" s="54">
        <f t="shared" si="32"/>
        <v>0</v>
      </c>
      <c r="Z96" s="54">
        <f t="shared" si="32"/>
        <v>0</v>
      </c>
      <c r="AA96" s="54">
        <f t="shared" si="32"/>
        <v>0</v>
      </c>
      <c r="AB96" s="54">
        <f t="shared" si="32"/>
        <v>0</v>
      </c>
      <c r="AC96" s="54">
        <f t="shared" si="32"/>
        <v>0</v>
      </c>
      <c r="AD96" s="54">
        <f t="shared" si="32"/>
        <v>0</v>
      </c>
      <c r="AE96" s="54">
        <f t="shared" si="32"/>
        <v>0</v>
      </c>
      <c r="AF96" s="54">
        <f t="shared" si="32"/>
        <v>0</v>
      </c>
      <c r="AG96" s="54">
        <f t="shared" si="32"/>
        <v>0</v>
      </c>
      <c r="AH96" s="54">
        <f t="shared" si="32"/>
        <v>0</v>
      </c>
      <c r="AI96" s="54">
        <f t="shared" si="32"/>
        <v>0</v>
      </c>
      <c r="AJ96" s="54">
        <f t="shared" si="32"/>
        <v>0</v>
      </c>
      <c r="AK96" s="54">
        <f t="shared" si="32"/>
        <v>0</v>
      </c>
      <c r="AL96" s="54">
        <f t="shared" si="32"/>
        <v>0</v>
      </c>
      <c r="AM96" s="54">
        <f t="shared" si="32"/>
        <v>0</v>
      </c>
      <c r="AN96" s="54">
        <f t="shared" si="32"/>
        <v>0</v>
      </c>
      <c r="AO96" s="54">
        <f t="shared" si="32"/>
        <v>0</v>
      </c>
      <c r="AP96" s="54">
        <f t="shared" si="32"/>
        <v>0</v>
      </c>
      <c r="AQ96" s="54">
        <f t="shared" si="32"/>
        <v>0</v>
      </c>
      <c r="AR96" s="54">
        <f t="shared" si="32"/>
        <v>0</v>
      </c>
      <c r="AS96" s="54">
        <f t="shared" si="32"/>
        <v>0</v>
      </c>
      <c r="AT96" s="54">
        <f t="shared" si="32"/>
        <v>0</v>
      </c>
      <c r="AU96" s="54">
        <f t="shared" si="32"/>
        <v>0</v>
      </c>
      <c r="AV96" s="54">
        <f t="shared" si="32"/>
        <v>0</v>
      </c>
      <c r="AW96" s="54">
        <f t="shared" si="32"/>
        <v>0</v>
      </c>
      <c r="AX96" s="54">
        <f t="shared" si="32"/>
        <v>0</v>
      </c>
      <c r="AY96" s="54">
        <f t="shared" si="32"/>
        <v>0</v>
      </c>
      <c r="AZ96" s="54">
        <f t="shared" si="32"/>
        <v>0</v>
      </c>
      <c r="BA96" s="54">
        <f t="shared" si="32"/>
        <v>0</v>
      </c>
      <c r="BB96" s="54">
        <f t="shared" si="32"/>
        <v>0</v>
      </c>
      <c r="BC96" s="54">
        <f t="shared" si="32"/>
        <v>0</v>
      </c>
      <c r="BD96" s="54">
        <f t="shared" si="32"/>
        <v>0</v>
      </c>
      <c r="BE96" s="54">
        <f t="shared" si="32"/>
        <v>0</v>
      </c>
      <c r="BF96" s="54">
        <f t="shared" si="32"/>
        <v>0</v>
      </c>
      <c r="BG96" s="54">
        <f t="shared" si="32"/>
        <v>0</v>
      </c>
      <c r="BH96" s="54">
        <f t="shared" si="32"/>
        <v>0</v>
      </c>
      <c r="BI96" s="54">
        <f t="shared" si="32"/>
        <v>0</v>
      </c>
      <c r="BJ96" s="54">
        <f t="shared" si="32"/>
        <v>0</v>
      </c>
      <c r="BK96" s="54">
        <f t="shared" si="32"/>
        <v>0</v>
      </c>
      <c r="BL96" s="54">
        <f t="shared" si="32"/>
        <v>0</v>
      </c>
      <c r="BM96" s="54">
        <f t="shared" si="32"/>
        <v>0</v>
      </c>
      <c r="BN96" s="54">
        <f t="shared" ref="BN96:DY96" si="33">SUM(BN85:BN95)</f>
        <v>0</v>
      </c>
      <c r="BO96" s="54">
        <f t="shared" si="33"/>
        <v>0</v>
      </c>
      <c r="BP96" s="54">
        <f t="shared" si="33"/>
        <v>0</v>
      </c>
      <c r="BQ96" s="54">
        <f t="shared" si="33"/>
        <v>0</v>
      </c>
      <c r="BR96" s="54">
        <f t="shared" si="33"/>
        <v>0</v>
      </c>
      <c r="BS96" s="54">
        <f t="shared" si="33"/>
        <v>0</v>
      </c>
      <c r="BT96" s="54">
        <f t="shared" si="33"/>
        <v>0</v>
      </c>
      <c r="BU96" s="54">
        <f t="shared" si="33"/>
        <v>0</v>
      </c>
      <c r="BV96" s="54">
        <f t="shared" si="33"/>
        <v>0</v>
      </c>
      <c r="BW96" s="54">
        <f t="shared" si="33"/>
        <v>0</v>
      </c>
      <c r="BX96" s="54">
        <f t="shared" si="33"/>
        <v>0</v>
      </c>
      <c r="BY96" s="54">
        <f t="shared" si="33"/>
        <v>0</v>
      </c>
      <c r="BZ96" s="54">
        <f t="shared" si="33"/>
        <v>0</v>
      </c>
      <c r="CA96" s="54">
        <f t="shared" si="33"/>
        <v>0</v>
      </c>
      <c r="CB96" s="54">
        <f t="shared" si="33"/>
        <v>0</v>
      </c>
      <c r="CC96" s="54">
        <f t="shared" si="33"/>
        <v>0</v>
      </c>
      <c r="CD96" s="54">
        <f t="shared" si="33"/>
        <v>0</v>
      </c>
      <c r="CE96" s="54">
        <f t="shared" si="33"/>
        <v>0</v>
      </c>
      <c r="CF96" s="54">
        <f t="shared" si="33"/>
        <v>0</v>
      </c>
      <c r="CG96" s="54">
        <f t="shared" si="33"/>
        <v>0</v>
      </c>
      <c r="CH96" s="54">
        <f t="shared" si="33"/>
        <v>0</v>
      </c>
      <c r="CI96" s="54">
        <f t="shared" si="33"/>
        <v>0</v>
      </c>
      <c r="CJ96" s="54">
        <f t="shared" si="33"/>
        <v>0</v>
      </c>
      <c r="CK96" s="54">
        <f t="shared" si="33"/>
        <v>0</v>
      </c>
      <c r="CL96" s="54">
        <f t="shared" si="33"/>
        <v>0</v>
      </c>
      <c r="CM96" s="54">
        <f t="shared" si="33"/>
        <v>0</v>
      </c>
      <c r="CN96" s="54">
        <f t="shared" si="33"/>
        <v>0</v>
      </c>
      <c r="CO96" s="54">
        <f t="shared" si="33"/>
        <v>0</v>
      </c>
      <c r="CP96" s="54">
        <f t="shared" si="33"/>
        <v>0</v>
      </c>
      <c r="CQ96" s="54">
        <f t="shared" si="33"/>
        <v>0</v>
      </c>
      <c r="CR96" s="54">
        <f t="shared" si="33"/>
        <v>0</v>
      </c>
      <c r="CS96" s="54">
        <f t="shared" si="33"/>
        <v>0</v>
      </c>
      <c r="CT96" s="54">
        <f t="shared" si="33"/>
        <v>0</v>
      </c>
      <c r="CU96" s="54">
        <f t="shared" si="33"/>
        <v>0</v>
      </c>
      <c r="CV96" s="54">
        <f t="shared" si="33"/>
        <v>0</v>
      </c>
      <c r="CW96" s="54">
        <f t="shared" si="33"/>
        <v>0</v>
      </c>
      <c r="CX96" s="54">
        <f t="shared" si="33"/>
        <v>0</v>
      </c>
      <c r="CY96" s="54">
        <f t="shared" si="33"/>
        <v>0</v>
      </c>
      <c r="CZ96" s="54">
        <f t="shared" si="33"/>
        <v>0</v>
      </c>
      <c r="DA96" s="54">
        <f t="shared" si="33"/>
        <v>0</v>
      </c>
      <c r="DB96" s="54">
        <f t="shared" si="33"/>
        <v>0</v>
      </c>
      <c r="DC96" s="54">
        <f t="shared" si="33"/>
        <v>0</v>
      </c>
      <c r="DD96" s="54">
        <f t="shared" si="33"/>
        <v>0</v>
      </c>
      <c r="DE96" s="54">
        <f t="shared" si="33"/>
        <v>0</v>
      </c>
      <c r="DF96" s="54">
        <f t="shared" si="33"/>
        <v>0</v>
      </c>
      <c r="DG96" s="54">
        <f t="shared" si="33"/>
        <v>0</v>
      </c>
      <c r="DH96" s="54">
        <f t="shared" si="33"/>
        <v>0</v>
      </c>
      <c r="DI96" s="54">
        <f t="shared" si="33"/>
        <v>0</v>
      </c>
      <c r="DJ96" s="54">
        <f t="shared" si="33"/>
        <v>0</v>
      </c>
      <c r="DK96" s="54">
        <f t="shared" si="33"/>
        <v>0</v>
      </c>
      <c r="DL96" s="54">
        <f t="shared" si="33"/>
        <v>0</v>
      </c>
      <c r="DM96" s="54">
        <f t="shared" si="33"/>
        <v>0</v>
      </c>
      <c r="DN96" s="54">
        <f t="shared" si="33"/>
        <v>0</v>
      </c>
      <c r="DO96" s="54">
        <f t="shared" si="33"/>
        <v>0</v>
      </c>
      <c r="DP96" s="54">
        <f t="shared" si="33"/>
        <v>0</v>
      </c>
      <c r="DQ96" s="54">
        <f t="shared" si="33"/>
        <v>0</v>
      </c>
      <c r="DR96" s="54">
        <f t="shared" si="33"/>
        <v>0</v>
      </c>
      <c r="DS96" s="54">
        <f t="shared" si="33"/>
        <v>0</v>
      </c>
      <c r="DT96" s="54">
        <f t="shared" si="33"/>
        <v>0</v>
      </c>
      <c r="DU96" s="54">
        <f t="shared" si="33"/>
        <v>0</v>
      </c>
      <c r="DV96" s="54">
        <f t="shared" si="33"/>
        <v>0</v>
      </c>
      <c r="DW96" s="54">
        <f t="shared" si="33"/>
        <v>0</v>
      </c>
      <c r="DX96" s="54">
        <f t="shared" si="33"/>
        <v>0</v>
      </c>
      <c r="DY96" s="54">
        <f t="shared" si="33"/>
        <v>0</v>
      </c>
      <c r="DZ96" s="54">
        <f t="shared" ref="DZ96:GK96" si="34">SUM(DZ85:DZ95)</f>
        <v>0</v>
      </c>
      <c r="EA96" s="54">
        <f t="shared" si="34"/>
        <v>0</v>
      </c>
      <c r="EB96" s="54">
        <f t="shared" si="34"/>
        <v>0</v>
      </c>
      <c r="EC96" s="54">
        <f t="shared" si="34"/>
        <v>0</v>
      </c>
      <c r="ED96" s="54">
        <f t="shared" si="34"/>
        <v>0</v>
      </c>
      <c r="EE96" s="54">
        <f t="shared" si="34"/>
        <v>0</v>
      </c>
      <c r="EF96" s="54">
        <f t="shared" si="34"/>
        <v>0</v>
      </c>
      <c r="EG96" s="54">
        <f t="shared" si="34"/>
        <v>0</v>
      </c>
      <c r="EH96" s="54">
        <f t="shared" si="34"/>
        <v>0</v>
      </c>
      <c r="EI96" s="54">
        <f t="shared" si="34"/>
        <v>0</v>
      </c>
      <c r="EJ96" s="54">
        <f t="shared" si="34"/>
        <v>0</v>
      </c>
      <c r="EK96" s="54">
        <f t="shared" si="34"/>
        <v>0</v>
      </c>
      <c r="EL96" s="54">
        <f t="shared" si="34"/>
        <v>0</v>
      </c>
      <c r="EM96" s="54">
        <f t="shared" si="34"/>
        <v>0</v>
      </c>
      <c r="EN96" s="54">
        <f t="shared" si="34"/>
        <v>0</v>
      </c>
      <c r="EO96" s="54">
        <f t="shared" si="34"/>
        <v>0</v>
      </c>
      <c r="EP96" s="54">
        <f t="shared" si="34"/>
        <v>0</v>
      </c>
      <c r="EQ96" s="54">
        <f t="shared" si="34"/>
        <v>0</v>
      </c>
      <c r="ER96" s="54">
        <f t="shared" si="34"/>
        <v>0</v>
      </c>
      <c r="ES96" s="54">
        <f t="shared" si="34"/>
        <v>0</v>
      </c>
      <c r="ET96" s="54">
        <f t="shared" si="34"/>
        <v>0</v>
      </c>
      <c r="EU96" s="54">
        <f t="shared" si="34"/>
        <v>0</v>
      </c>
      <c r="EV96" s="54">
        <f t="shared" si="34"/>
        <v>0</v>
      </c>
      <c r="EW96" s="54">
        <f t="shared" si="34"/>
        <v>0</v>
      </c>
      <c r="EX96" s="54">
        <f t="shared" si="34"/>
        <v>0</v>
      </c>
      <c r="EY96" s="54">
        <f t="shared" si="34"/>
        <v>0</v>
      </c>
      <c r="EZ96" s="54">
        <f t="shared" si="34"/>
        <v>0</v>
      </c>
      <c r="FA96" s="54">
        <f t="shared" si="34"/>
        <v>0</v>
      </c>
      <c r="FB96" s="54">
        <f t="shared" si="34"/>
        <v>0</v>
      </c>
      <c r="FC96" s="54">
        <f t="shared" si="34"/>
        <v>0</v>
      </c>
      <c r="FD96" s="54">
        <f t="shared" si="34"/>
        <v>0</v>
      </c>
      <c r="FE96" s="54">
        <f t="shared" si="34"/>
        <v>0</v>
      </c>
      <c r="FF96" s="54">
        <f t="shared" si="34"/>
        <v>0</v>
      </c>
      <c r="FG96" s="54">
        <f t="shared" si="34"/>
        <v>0</v>
      </c>
      <c r="FH96" s="54">
        <f t="shared" si="34"/>
        <v>0</v>
      </c>
      <c r="FI96" s="54">
        <f t="shared" si="34"/>
        <v>0</v>
      </c>
      <c r="FJ96" s="54">
        <f t="shared" si="34"/>
        <v>0</v>
      </c>
      <c r="FK96" s="54">
        <f t="shared" si="34"/>
        <v>0</v>
      </c>
      <c r="FL96" s="54">
        <f t="shared" si="34"/>
        <v>0</v>
      </c>
      <c r="FM96" s="54">
        <f t="shared" si="34"/>
        <v>0</v>
      </c>
      <c r="FN96" s="54">
        <f t="shared" si="34"/>
        <v>0</v>
      </c>
      <c r="FO96" s="54">
        <f t="shared" si="34"/>
        <v>0</v>
      </c>
      <c r="FP96" s="54">
        <f t="shared" si="34"/>
        <v>0</v>
      </c>
      <c r="FQ96" s="54">
        <f t="shared" si="34"/>
        <v>0</v>
      </c>
      <c r="FR96" s="54">
        <f t="shared" si="34"/>
        <v>0</v>
      </c>
      <c r="FS96" s="54">
        <f t="shared" si="34"/>
        <v>0</v>
      </c>
      <c r="FT96" s="54">
        <f t="shared" si="34"/>
        <v>0</v>
      </c>
      <c r="FU96" s="54">
        <f t="shared" si="34"/>
        <v>0</v>
      </c>
      <c r="FV96" s="54">
        <f t="shared" si="34"/>
        <v>0</v>
      </c>
      <c r="FW96" s="54">
        <f t="shared" si="34"/>
        <v>0</v>
      </c>
      <c r="FX96" s="54">
        <f t="shared" si="34"/>
        <v>0</v>
      </c>
      <c r="FY96" s="54">
        <f t="shared" si="34"/>
        <v>0</v>
      </c>
      <c r="FZ96" s="54">
        <f t="shared" si="34"/>
        <v>0</v>
      </c>
      <c r="GA96" s="54">
        <f t="shared" si="34"/>
        <v>0</v>
      </c>
      <c r="GB96" s="54">
        <f t="shared" si="34"/>
        <v>0</v>
      </c>
      <c r="GC96" s="54">
        <f t="shared" si="34"/>
        <v>0</v>
      </c>
      <c r="GD96" s="54">
        <f t="shared" si="34"/>
        <v>0</v>
      </c>
      <c r="GE96" s="54">
        <f t="shared" si="34"/>
        <v>0</v>
      </c>
      <c r="GF96" s="54">
        <f t="shared" si="34"/>
        <v>0</v>
      </c>
      <c r="GG96" s="54">
        <f t="shared" si="34"/>
        <v>0</v>
      </c>
      <c r="GH96" s="54">
        <f t="shared" si="34"/>
        <v>0</v>
      </c>
      <c r="GI96" s="54">
        <f t="shared" si="34"/>
        <v>0</v>
      </c>
      <c r="GJ96" s="54">
        <f t="shared" si="34"/>
        <v>0</v>
      </c>
      <c r="GK96" s="54">
        <f t="shared" si="34"/>
        <v>0</v>
      </c>
      <c r="GL96" s="54">
        <f t="shared" ref="GL96:IL96" si="35">SUM(GL85:GL95)</f>
        <v>0</v>
      </c>
      <c r="GM96" s="54">
        <f t="shared" si="35"/>
        <v>0</v>
      </c>
      <c r="GN96" s="54">
        <f t="shared" si="35"/>
        <v>0</v>
      </c>
      <c r="GO96" s="54">
        <f t="shared" si="35"/>
        <v>0</v>
      </c>
      <c r="GP96" s="54">
        <f t="shared" si="35"/>
        <v>0</v>
      </c>
      <c r="GQ96" s="54">
        <f t="shared" si="35"/>
        <v>0</v>
      </c>
      <c r="GR96" s="54">
        <f t="shared" si="35"/>
        <v>0</v>
      </c>
      <c r="GS96" s="54">
        <f t="shared" si="35"/>
        <v>0</v>
      </c>
      <c r="GT96" s="54">
        <f t="shared" si="35"/>
        <v>0</v>
      </c>
      <c r="GU96" s="54">
        <f t="shared" si="35"/>
        <v>0</v>
      </c>
      <c r="GV96" s="54">
        <f t="shared" si="35"/>
        <v>0</v>
      </c>
      <c r="GW96" s="54">
        <f t="shared" si="35"/>
        <v>0</v>
      </c>
      <c r="GX96" s="54">
        <f t="shared" si="35"/>
        <v>0</v>
      </c>
      <c r="GY96" s="54">
        <f t="shared" si="35"/>
        <v>0</v>
      </c>
      <c r="GZ96" s="54">
        <f t="shared" si="35"/>
        <v>0</v>
      </c>
      <c r="HA96" s="54">
        <f t="shared" si="35"/>
        <v>0</v>
      </c>
      <c r="HB96" s="54">
        <f t="shared" si="35"/>
        <v>0</v>
      </c>
      <c r="HC96" s="54">
        <f t="shared" si="35"/>
        <v>0</v>
      </c>
      <c r="HD96" s="54">
        <f t="shared" si="35"/>
        <v>0</v>
      </c>
      <c r="HE96" s="54">
        <f t="shared" si="35"/>
        <v>0</v>
      </c>
      <c r="HF96" s="54">
        <f t="shared" si="35"/>
        <v>0</v>
      </c>
      <c r="HG96" s="54">
        <f t="shared" si="35"/>
        <v>0</v>
      </c>
      <c r="HH96" s="54">
        <f t="shared" si="35"/>
        <v>0</v>
      </c>
      <c r="HI96" s="54">
        <f t="shared" si="35"/>
        <v>0</v>
      </c>
      <c r="HJ96" s="54">
        <f t="shared" si="35"/>
        <v>0</v>
      </c>
      <c r="HK96" s="54">
        <f t="shared" si="35"/>
        <v>0</v>
      </c>
      <c r="HL96" s="54">
        <f t="shared" si="35"/>
        <v>0</v>
      </c>
      <c r="HM96" s="54">
        <f t="shared" si="35"/>
        <v>0</v>
      </c>
      <c r="HN96" s="54">
        <f t="shared" si="35"/>
        <v>0</v>
      </c>
      <c r="HO96" s="54">
        <f t="shared" si="35"/>
        <v>0</v>
      </c>
      <c r="HP96" s="54">
        <f t="shared" si="35"/>
        <v>0</v>
      </c>
      <c r="HQ96" s="54">
        <f t="shared" si="35"/>
        <v>0</v>
      </c>
      <c r="HR96" s="54">
        <f t="shared" si="35"/>
        <v>0</v>
      </c>
      <c r="HS96" s="54">
        <f t="shared" si="35"/>
        <v>0</v>
      </c>
      <c r="HT96" s="54">
        <f t="shared" si="35"/>
        <v>0</v>
      </c>
      <c r="HU96" s="54">
        <f t="shared" si="35"/>
        <v>0</v>
      </c>
      <c r="HV96" s="54">
        <f t="shared" si="35"/>
        <v>0</v>
      </c>
      <c r="HW96" s="54">
        <f t="shared" si="35"/>
        <v>0</v>
      </c>
      <c r="HX96" s="54">
        <f t="shared" si="35"/>
        <v>0</v>
      </c>
      <c r="HY96" s="54">
        <f t="shared" si="35"/>
        <v>0</v>
      </c>
      <c r="HZ96" s="54">
        <f t="shared" si="35"/>
        <v>0</v>
      </c>
      <c r="IA96" s="54">
        <f t="shared" si="35"/>
        <v>0</v>
      </c>
      <c r="IB96" s="54">
        <f t="shared" si="35"/>
        <v>0</v>
      </c>
      <c r="IC96" s="54">
        <f t="shared" si="35"/>
        <v>0</v>
      </c>
      <c r="ID96" s="54">
        <f t="shared" si="35"/>
        <v>0</v>
      </c>
      <c r="IE96" s="54">
        <f t="shared" si="35"/>
        <v>0</v>
      </c>
      <c r="IF96" s="54">
        <f t="shared" si="35"/>
        <v>0</v>
      </c>
      <c r="IG96" s="54">
        <f t="shared" si="35"/>
        <v>0</v>
      </c>
      <c r="IH96" s="54">
        <f t="shared" si="35"/>
        <v>0</v>
      </c>
      <c r="II96" s="54">
        <f t="shared" si="35"/>
        <v>0</v>
      </c>
      <c r="IJ96" s="54">
        <f t="shared" si="35"/>
        <v>0</v>
      </c>
      <c r="IK96" s="54">
        <f t="shared" si="35"/>
        <v>0</v>
      </c>
      <c r="IL96" s="54">
        <f t="shared" si="35"/>
        <v>0</v>
      </c>
    </row>
    <row r="97" spans="1:246" x14ac:dyDescent="0.3">
      <c r="A97" s="51" t="s">
        <v>128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  <c r="FK97" s="57"/>
      <c r="FL97" s="57"/>
      <c r="FM97" s="57"/>
      <c r="FN97" s="57"/>
      <c r="FO97" s="57"/>
      <c r="FP97" s="57"/>
      <c r="FQ97" s="57"/>
      <c r="FR97" s="57"/>
      <c r="FS97" s="57"/>
      <c r="FT97" s="57"/>
      <c r="FU97" s="57"/>
      <c r="FV97" s="57"/>
      <c r="FW97" s="57"/>
      <c r="FX97" s="57"/>
      <c r="FY97" s="57"/>
      <c r="FZ97" s="57"/>
      <c r="GA97" s="57"/>
      <c r="GB97" s="57"/>
      <c r="GC97" s="57"/>
      <c r="GD97" s="57"/>
      <c r="GE97" s="57"/>
      <c r="GF97" s="57"/>
      <c r="GG97" s="57"/>
      <c r="GH97" s="57"/>
      <c r="GI97" s="57"/>
      <c r="GJ97" s="57"/>
      <c r="GK97" s="57"/>
      <c r="GL97" s="57"/>
      <c r="GM97" s="57"/>
      <c r="GN97" s="57"/>
      <c r="GO97" s="57"/>
      <c r="GP97" s="57"/>
      <c r="GQ97" s="57"/>
      <c r="GR97" s="57"/>
      <c r="GS97" s="57"/>
      <c r="GT97" s="57"/>
      <c r="GU97" s="57"/>
      <c r="GV97" s="57"/>
      <c r="GW97" s="57"/>
      <c r="GX97" s="57"/>
      <c r="GY97" s="57"/>
      <c r="GZ97" s="57"/>
      <c r="HA97" s="57"/>
      <c r="HB97" s="57"/>
      <c r="HC97" s="57"/>
      <c r="HD97" s="57"/>
      <c r="HE97" s="57"/>
      <c r="HF97" s="57"/>
      <c r="HG97" s="57"/>
      <c r="HH97" s="57"/>
      <c r="HI97" s="57"/>
      <c r="HJ97" s="57"/>
      <c r="HK97" s="57"/>
      <c r="HL97" s="57"/>
      <c r="HM97" s="57"/>
      <c r="HN97" s="57"/>
      <c r="HO97" s="57"/>
      <c r="HP97" s="57"/>
      <c r="HQ97" s="57"/>
      <c r="HR97" s="57"/>
      <c r="HS97" s="57"/>
      <c r="HT97" s="57"/>
      <c r="HU97" s="57"/>
      <c r="HV97" s="57"/>
      <c r="HW97" s="57"/>
      <c r="HX97" s="57"/>
      <c r="HY97" s="57"/>
      <c r="HZ97" s="57"/>
      <c r="IA97" s="57"/>
      <c r="IB97" s="57"/>
      <c r="IC97" s="57"/>
      <c r="ID97" s="57"/>
      <c r="IE97" s="57"/>
      <c r="IF97" s="57"/>
      <c r="IG97" s="57"/>
      <c r="IH97" s="57"/>
      <c r="II97" s="57"/>
      <c r="IJ97" s="57"/>
      <c r="IK97" s="57"/>
      <c r="IL97" s="57"/>
    </row>
    <row r="98" spans="1:246" x14ac:dyDescent="0.3">
      <c r="A98" t="s">
        <v>7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</row>
    <row r="99" spans="1:246" x14ac:dyDescent="0.3">
      <c r="A99" t="s">
        <v>9</v>
      </c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</row>
    <row r="100" spans="1:246" x14ac:dyDescent="0.3">
      <c r="A100" t="s">
        <v>10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/>
      <c r="HV100" s="37"/>
      <c r="HW100" s="37"/>
      <c r="HX100" s="37"/>
      <c r="HY100" s="37"/>
      <c r="HZ100" s="37"/>
      <c r="IA100" s="37"/>
      <c r="IB100" s="37"/>
      <c r="IC100" s="37"/>
      <c r="ID100" s="37"/>
      <c r="IE100" s="37"/>
      <c r="IF100" s="37"/>
      <c r="IG100" s="37"/>
      <c r="IH100" s="37"/>
      <c r="II100" s="37"/>
      <c r="IJ100" s="37"/>
      <c r="IK100" s="37"/>
      <c r="IL100" s="37"/>
    </row>
    <row r="101" spans="1:246" x14ac:dyDescent="0.3">
      <c r="A101" t="s">
        <v>12</v>
      </c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</row>
    <row r="102" spans="1:246" x14ac:dyDescent="0.3">
      <c r="A102" t="s">
        <v>13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/>
      <c r="HE102" s="37"/>
      <c r="HF102" s="37"/>
      <c r="HG102" s="37"/>
      <c r="HH102" s="37"/>
      <c r="HI102" s="37"/>
      <c r="HJ102" s="37"/>
      <c r="HK102" s="37"/>
      <c r="HL102" s="37"/>
      <c r="HM102" s="37"/>
      <c r="HN102" s="37"/>
      <c r="HO102" s="37"/>
      <c r="HP102" s="37"/>
      <c r="HQ102" s="37"/>
      <c r="HR102" s="37"/>
      <c r="HS102" s="37"/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</row>
    <row r="103" spans="1:246" x14ac:dyDescent="0.3">
      <c r="A103" t="s">
        <v>15</v>
      </c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</row>
    <row r="104" spans="1:246" x14ac:dyDescent="0.3">
      <c r="A104" t="s">
        <v>16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7"/>
      <c r="HK104" s="37"/>
      <c r="HL104" s="37"/>
      <c r="HM104" s="37"/>
      <c r="HN104" s="37"/>
      <c r="HO104" s="37"/>
      <c r="HP104" s="37"/>
      <c r="HQ104" s="37"/>
      <c r="HR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</row>
    <row r="105" spans="1:246" x14ac:dyDescent="0.3">
      <c r="A105" t="s">
        <v>17</v>
      </c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</row>
    <row r="106" spans="1:246" x14ac:dyDescent="0.3">
      <c r="A106" t="s">
        <v>18</v>
      </c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37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</row>
    <row r="107" spans="1:246" x14ac:dyDescent="0.3">
      <c r="A107" t="s">
        <v>19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</row>
    <row r="108" spans="1:246" x14ac:dyDescent="0.3">
      <c r="A108" t="s">
        <v>20</v>
      </c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</row>
    <row r="109" spans="1:246" x14ac:dyDescent="0.3">
      <c r="A109" t="s">
        <v>21</v>
      </c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</row>
    <row r="110" spans="1:246" x14ac:dyDescent="0.3">
      <c r="A110" t="s">
        <v>22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</row>
    <row r="111" spans="1:246" x14ac:dyDescent="0.3">
      <c r="A111" t="s">
        <v>24</v>
      </c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/>
      <c r="HB111" s="37"/>
      <c r="HC111" s="37"/>
      <c r="HD111" s="37"/>
      <c r="HE111" s="37"/>
      <c r="HF111" s="37"/>
      <c r="HG111" s="37"/>
      <c r="HH111" s="37"/>
      <c r="HI111" s="37"/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</row>
    <row r="112" spans="1:246" x14ac:dyDescent="0.3">
      <c r="A112" t="s">
        <v>26</v>
      </c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  <c r="GM112" s="37"/>
      <c r="GN112" s="37"/>
      <c r="GO112" s="37"/>
      <c r="GP112" s="37"/>
      <c r="GQ112" s="37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/>
      <c r="HB112" s="37"/>
      <c r="HC112" s="37"/>
      <c r="HD112" s="37"/>
      <c r="HE112" s="37"/>
      <c r="HF112" s="37"/>
      <c r="HG112" s="37"/>
      <c r="HH112" s="37"/>
      <c r="HI112" s="37"/>
      <c r="HJ112" s="37"/>
      <c r="HK112" s="37"/>
      <c r="HL112" s="37"/>
      <c r="HM112" s="37"/>
      <c r="HN112" s="37"/>
      <c r="HO112" s="37"/>
      <c r="HP112" s="37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</row>
    <row r="113" spans="1:246" x14ac:dyDescent="0.3">
      <c r="A113" t="s">
        <v>88</v>
      </c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</row>
    <row r="114" spans="1:246" x14ac:dyDescent="0.3">
      <c r="A114" t="s">
        <v>89</v>
      </c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7"/>
      <c r="HB114" s="37"/>
      <c r="HC114" s="37"/>
      <c r="HD114" s="37"/>
      <c r="HE114" s="37"/>
      <c r="HF114" s="37"/>
      <c r="HG114" s="37"/>
      <c r="HH114" s="37"/>
      <c r="HI114" s="37"/>
      <c r="HJ114" s="37"/>
      <c r="HK114" s="37"/>
      <c r="HL114" s="37"/>
      <c r="HM114" s="37"/>
      <c r="HN114" s="37"/>
      <c r="HO114" s="37"/>
      <c r="HP114" s="37"/>
      <c r="HQ114" s="37"/>
      <c r="HR114" s="37"/>
      <c r="HS114" s="37"/>
      <c r="HT114" s="37"/>
      <c r="HU114" s="37"/>
      <c r="HV114" s="37"/>
      <c r="HW114" s="37"/>
      <c r="HX114" s="37"/>
      <c r="HY114" s="37"/>
      <c r="HZ114" s="37"/>
      <c r="IA114" s="37"/>
      <c r="IB114" s="37"/>
      <c r="IC114" s="37"/>
      <c r="ID114" s="37"/>
      <c r="IE114" s="37"/>
      <c r="IF114" s="37"/>
      <c r="IG114" s="37"/>
      <c r="IH114" s="37"/>
      <c r="II114" s="37"/>
      <c r="IJ114" s="37"/>
      <c r="IK114" s="37"/>
      <c r="IL114" s="37"/>
    </row>
    <row r="115" spans="1:246" x14ac:dyDescent="0.3">
      <c r="A115" t="s">
        <v>90</v>
      </c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37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</row>
    <row r="116" spans="1:246" x14ac:dyDescent="0.3">
      <c r="A116" t="s">
        <v>91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/>
      <c r="HB116" s="37"/>
      <c r="HC116" s="37"/>
      <c r="HD116" s="37"/>
      <c r="HE116" s="37"/>
      <c r="HF116" s="37"/>
      <c r="HG116" s="37"/>
      <c r="HH116" s="37"/>
      <c r="HI116" s="37"/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</row>
    <row r="117" spans="1:246" x14ac:dyDescent="0.3">
      <c r="A117" t="s">
        <v>92</v>
      </c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</row>
    <row r="118" spans="1:246" x14ac:dyDescent="0.3">
      <c r="A118" t="s">
        <v>93</v>
      </c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</row>
    <row r="119" spans="1:246" x14ac:dyDescent="0.3">
      <c r="A119" t="s">
        <v>94</v>
      </c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</row>
    <row r="120" spans="1:246" x14ac:dyDescent="0.3">
      <c r="A120" t="s">
        <v>95</v>
      </c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/>
      <c r="HB120" s="37"/>
      <c r="HC120" s="37"/>
      <c r="HD120" s="37"/>
      <c r="HE120" s="37"/>
      <c r="HF120" s="37"/>
      <c r="HG120" s="37"/>
      <c r="HH120" s="37"/>
      <c r="HI120" s="37"/>
      <c r="HJ120" s="37"/>
      <c r="HK120" s="37"/>
      <c r="HL120" s="37"/>
      <c r="HM120" s="37"/>
      <c r="HN120" s="37"/>
      <c r="HO120" s="37"/>
      <c r="HP120" s="37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</row>
    <row r="121" spans="1:246" x14ac:dyDescent="0.3">
      <c r="A121" t="s">
        <v>96</v>
      </c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</row>
    <row r="122" spans="1:246" x14ac:dyDescent="0.3">
      <c r="A122" t="s">
        <v>97</v>
      </c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  <c r="EP122" s="37"/>
      <c r="EQ122" s="37"/>
      <c r="ER122" s="37"/>
      <c r="ES122" s="37"/>
      <c r="ET122" s="37"/>
      <c r="EU122" s="37"/>
      <c r="EV122" s="37"/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37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  <c r="GM122" s="37"/>
      <c r="GN122" s="37"/>
      <c r="GO122" s="37"/>
      <c r="GP122" s="37"/>
      <c r="GQ122" s="37"/>
      <c r="GR122" s="37"/>
      <c r="GS122" s="37"/>
      <c r="GT122" s="37"/>
      <c r="GU122" s="37"/>
      <c r="GV122" s="37"/>
      <c r="GW122" s="37"/>
      <c r="GX122" s="37"/>
      <c r="GY122" s="37"/>
      <c r="GZ122" s="37"/>
      <c r="HA122" s="37"/>
      <c r="HB122" s="37"/>
      <c r="HC122" s="37"/>
      <c r="HD122" s="37"/>
      <c r="HE122" s="37"/>
      <c r="HF122" s="37"/>
      <c r="HG122" s="37"/>
      <c r="HH122" s="37"/>
      <c r="HI122" s="37"/>
      <c r="HJ122" s="37"/>
      <c r="HK122" s="37"/>
      <c r="HL122" s="37"/>
      <c r="HM122" s="37"/>
      <c r="HN122" s="37"/>
      <c r="HO122" s="37"/>
      <c r="HP122" s="37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</row>
    <row r="123" spans="1:246" x14ac:dyDescent="0.3">
      <c r="A123" t="s">
        <v>98</v>
      </c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</row>
    <row r="124" spans="1:246" x14ac:dyDescent="0.3">
      <c r="A124" t="s">
        <v>99</v>
      </c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/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GI124" s="37"/>
      <c r="GJ124" s="37"/>
      <c r="GK124" s="37"/>
      <c r="GL124" s="37"/>
      <c r="GM124" s="37"/>
      <c r="GN124" s="37"/>
      <c r="GO124" s="37"/>
      <c r="GP124" s="37"/>
      <c r="GQ124" s="37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/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</row>
    <row r="125" spans="1:246" x14ac:dyDescent="0.3">
      <c r="A125" t="s">
        <v>100</v>
      </c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</row>
    <row r="126" spans="1:246" x14ac:dyDescent="0.3">
      <c r="A126" t="s">
        <v>101</v>
      </c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  <c r="GM126" s="37"/>
      <c r="GN126" s="37"/>
      <c r="GO126" s="37"/>
      <c r="GP126" s="37"/>
      <c r="GQ126" s="37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/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</row>
    <row r="127" spans="1:246" x14ac:dyDescent="0.3">
      <c r="A127" t="s">
        <v>102</v>
      </c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</row>
    <row r="128" spans="1:246" x14ac:dyDescent="0.3">
      <c r="A128" t="s">
        <v>103</v>
      </c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  <c r="GB128" s="37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  <c r="GM128" s="37"/>
      <c r="GN128" s="37"/>
      <c r="GO128" s="37"/>
      <c r="GP128" s="37"/>
      <c r="GQ128" s="37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/>
      <c r="HB128" s="37"/>
      <c r="HC128" s="37"/>
      <c r="HD128" s="37"/>
      <c r="HE128" s="37"/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</row>
    <row r="129" spans="1:246" x14ac:dyDescent="0.3">
      <c r="A129" t="s">
        <v>104</v>
      </c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</row>
    <row r="130" spans="1:246" x14ac:dyDescent="0.3">
      <c r="A130" t="s">
        <v>105</v>
      </c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</row>
    <row r="131" spans="1:246" x14ac:dyDescent="0.3">
      <c r="A131" t="s">
        <v>106</v>
      </c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</row>
    <row r="132" spans="1:246" x14ac:dyDescent="0.3">
      <c r="A132" t="s">
        <v>107</v>
      </c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</row>
    <row r="133" spans="1:246" x14ac:dyDescent="0.3">
      <c r="A133" t="s">
        <v>108</v>
      </c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</row>
    <row r="134" spans="1:246" x14ac:dyDescent="0.3">
      <c r="A134" t="s">
        <v>109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</row>
    <row r="135" spans="1:246" x14ac:dyDescent="0.3">
      <c r="A135" t="s">
        <v>110</v>
      </c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</row>
    <row r="136" spans="1:246" x14ac:dyDescent="0.3">
      <c r="A136" t="s">
        <v>111</v>
      </c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</row>
    <row r="137" spans="1:246" x14ac:dyDescent="0.3">
      <c r="A137" t="s">
        <v>112</v>
      </c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</row>
    <row r="138" spans="1:246" x14ac:dyDescent="0.3">
      <c r="A138" t="s">
        <v>113</v>
      </c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/>
      <c r="IH138" s="37"/>
      <c r="II138" s="37"/>
      <c r="IJ138" s="37"/>
      <c r="IK138" s="37"/>
      <c r="IL138" s="37"/>
    </row>
    <row r="139" spans="1:246" x14ac:dyDescent="0.3">
      <c r="A139" t="s">
        <v>114</v>
      </c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</row>
    <row r="140" spans="1:246" x14ac:dyDescent="0.3">
      <c r="A140" s="53" t="s">
        <v>129</v>
      </c>
      <c r="B140" s="54">
        <f t="shared" ref="B140:BM140" si="36">SUM(B98:B139)</f>
        <v>0</v>
      </c>
      <c r="C140" s="54">
        <f t="shared" si="36"/>
        <v>0</v>
      </c>
      <c r="D140" s="54">
        <f t="shared" si="36"/>
        <v>0</v>
      </c>
      <c r="E140" s="54">
        <f t="shared" si="36"/>
        <v>0</v>
      </c>
      <c r="F140" s="54">
        <f t="shared" si="36"/>
        <v>0</v>
      </c>
      <c r="G140" s="54">
        <f t="shared" si="36"/>
        <v>0</v>
      </c>
      <c r="H140" s="54">
        <f t="shared" si="36"/>
        <v>0</v>
      </c>
      <c r="I140" s="54">
        <f t="shared" si="36"/>
        <v>0</v>
      </c>
      <c r="J140" s="54">
        <f t="shared" si="36"/>
        <v>0</v>
      </c>
      <c r="K140" s="54">
        <f t="shared" si="36"/>
        <v>0</v>
      </c>
      <c r="L140" s="54">
        <f t="shared" si="36"/>
        <v>0</v>
      </c>
      <c r="M140" s="54">
        <f t="shared" si="36"/>
        <v>0</v>
      </c>
      <c r="N140" s="54">
        <f t="shared" si="36"/>
        <v>0</v>
      </c>
      <c r="O140" s="54">
        <f t="shared" si="36"/>
        <v>0</v>
      </c>
      <c r="P140" s="54">
        <f t="shared" si="36"/>
        <v>0</v>
      </c>
      <c r="Q140" s="54">
        <f t="shared" si="36"/>
        <v>0</v>
      </c>
      <c r="R140" s="54">
        <f t="shared" si="36"/>
        <v>0</v>
      </c>
      <c r="S140" s="54">
        <f t="shared" si="36"/>
        <v>0</v>
      </c>
      <c r="T140" s="54">
        <f t="shared" si="36"/>
        <v>0</v>
      </c>
      <c r="U140" s="54">
        <f t="shared" si="36"/>
        <v>0</v>
      </c>
      <c r="V140" s="54">
        <f t="shared" si="36"/>
        <v>0</v>
      </c>
      <c r="W140" s="54">
        <f t="shared" si="36"/>
        <v>0</v>
      </c>
      <c r="X140" s="54">
        <f t="shared" si="36"/>
        <v>0</v>
      </c>
      <c r="Y140" s="54">
        <f t="shared" si="36"/>
        <v>0</v>
      </c>
      <c r="Z140" s="54">
        <f t="shared" si="36"/>
        <v>0</v>
      </c>
      <c r="AA140" s="54">
        <f t="shared" si="36"/>
        <v>0</v>
      </c>
      <c r="AB140" s="54">
        <f t="shared" si="36"/>
        <v>0</v>
      </c>
      <c r="AC140" s="54">
        <f t="shared" si="36"/>
        <v>0</v>
      </c>
      <c r="AD140" s="54">
        <f t="shared" si="36"/>
        <v>0</v>
      </c>
      <c r="AE140" s="54">
        <f t="shared" si="36"/>
        <v>0</v>
      </c>
      <c r="AF140" s="54">
        <f t="shared" si="36"/>
        <v>0</v>
      </c>
      <c r="AG140" s="54">
        <f t="shared" si="36"/>
        <v>0</v>
      </c>
      <c r="AH140" s="54">
        <f t="shared" si="36"/>
        <v>0</v>
      </c>
      <c r="AI140" s="54">
        <f t="shared" si="36"/>
        <v>0</v>
      </c>
      <c r="AJ140" s="54">
        <f t="shared" si="36"/>
        <v>0</v>
      </c>
      <c r="AK140" s="54">
        <f t="shared" si="36"/>
        <v>0</v>
      </c>
      <c r="AL140" s="54">
        <f t="shared" si="36"/>
        <v>0</v>
      </c>
      <c r="AM140" s="54">
        <f t="shared" si="36"/>
        <v>0</v>
      </c>
      <c r="AN140" s="54">
        <f t="shared" si="36"/>
        <v>0</v>
      </c>
      <c r="AO140" s="54">
        <f t="shared" si="36"/>
        <v>0</v>
      </c>
      <c r="AP140" s="54">
        <f t="shared" si="36"/>
        <v>0</v>
      </c>
      <c r="AQ140" s="54">
        <f t="shared" si="36"/>
        <v>0</v>
      </c>
      <c r="AR140" s="54">
        <f t="shared" si="36"/>
        <v>0</v>
      </c>
      <c r="AS140" s="54">
        <f t="shared" si="36"/>
        <v>0</v>
      </c>
      <c r="AT140" s="54">
        <f t="shared" si="36"/>
        <v>0</v>
      </c>
      <c r="AU140" s="54">
        <f t="shared" si="36"/>
        <v>0</v>
      </c>
      <c r="AV140" s="54">
        <f t="shared" si="36"/>
        <v>0</v>
      </c>
      <c r="AW140" s="54">
        <f t="shared" si="36"/>
        <v>0</v>
      </c>
      <c r="AX140" s="54">
        <f t="shared" si="36"/>
        <v>0</v>
      </c>
      <c r="AY140" s="54">
        <f t="shared" si="36"/>
        <v>0</v>
      </c>
      <c r="AZ140" s="54">
        <f t="shared" si="36"/>
        <v>0</v>
      </c>
      <c r="BA140" s="54">
        <f t="shared" si="36"/>
        <v>0</v>
      </c>
      <c r="BB140" s="54">
        <f t="shared" si="36"/>
        <v>0</v>
      </c>
      <c r="BC140" s="54">
        <f t="shared" si="36"/>
        <v>0</v>
      </c>
      <c r="BD140" s="54">
        <f t="shared" si="36"/>
        <v>0</v>
      </c>
      <c r="BE140" s="54">
        <f t="shared" si="36"/>
        <v>0</v>
      </c>
      <c r="BF140" s="54">
        <f t="shared" si="36"/>
        <v>0</v>
      </c>
      <c r="BG140" s="54">
        <f t="shared" si="36"/>
        <v>0</v>
      </c>
      <c r="BH140" s="54">
        <f t="shared" si="36"/>
        <v>0</v>
      </c>
      <c r="BI140" s="54">
        <f t="shared" si="36"/>
        <v>0</v>
      </c>
      <c r="BJ140" s="54">
        <f t="shared" si="36"/>
        <v>0</v>
      </c>
      <c r="BK140" s="54">
        <f t="shared" si="36"/>
        <v>0</v>
      </c>
      <c r="BL140" s="54">
        <f t="shared" si="36"/>
        <v>0</v>
      </c>
      <c r="BM140" s="54">
        <f t="shared" si="36"/>
        <v>0</v>
      </c>
      <c r="BN140" s="54">
        <f t="shared" ref="BN140:DY140" si="37">SUM(BN98:BN139)</f>
        <v>0</v>
      </c>
      <c r="BO140" s="54">
        <f t="shared" si="37"/>
        <v>0</v>
      </c>
      <c r="BP140" s="54">
        <f t="shared" si="37"/>
        <v>0</v>
      </c>
      <c r="BQ140" s="54">
        <f t="shared" si="37"/>
        <v>0</v>
      </c>
      <c r="BR140" s="54">
        <f t="shared" si="37"/>
        <v>0</v>
      </c>
      <c r="BS140" s="54">
        <f t="shared" si="37"/>
        <v>0</v>
      </c>
      <c r="BT140" s="54">
        <f t="shared" si="37"/>
        <v>0</v>
      </c>
      <c r="BU140" s="54">
        <f t="shared" si="37"/>
        <v>0</v>
      </c>
      <c r="BV140" s="54">
        <f t="shared" si="37"/>
        <v>0</v>
      </c>
      <c r="BW140" s="54">
        <f t="shared" si="37"/>
        <v>0</v>
      </c>
      <c r="BX140" s="54">
        <f t="shared" si="37"/>
        <v>0</v>
      </c>
      <c r="BY140" s="54">
        <f t="shared" si="37"/>
        <v>0</v>
      </c>
      <c r="BZ140" s="54">
        <f t="shared" si="37"/>
        <v>0</v>
      </c>
      <c r="CA140" s="54">
        <f t="shared" si="37"/>
        <v>0</v>
      </c>
      <c r="CB140" s="54">
        <f t="shared" si="37"/>
        <v>0</v>
      </c>
      <c r="CC140" s="54">
        <f t="shared" si="37"/>
        <v>0</v>
      </c>
      <c r="CD140" s="54">
        <f t="shared" si="37"/>
        <v>0</v>
      </c>
      <c r="CE140" s="54">
        <f t="shared" si="37"/>
        <v>0</v>
      </c>
      <c r="CF140" s="54">
        <f t="shared" si="37"/>
        <v>0</v>
      </c>
      <c r="CG140" s="54">
        <f t="shared" si="37"/>
        <v>0</v>
      </c>
      <c r="CH140" s="54">
        <f t="shared" si="37"/>
        <v>0</v>
      </c>
      <c r="CI140" s="54">
        <f t="shared" si="37"/>
        <v>0</v>
      </c>
      <c r="CJ140" s="54">
        <f t="shared" si="37"/>
        <v>0</v>
      </c>
      <c r="CK140" s="54">
        <f t="shared" si="37"/>
        <v>0</v>
      </c>
      <c r="CL140" s="54">
        <f t="shared" si="37"/>
        <v>0</v>
      </c>
      <c r="CM140" s="54">
        <f t="shared" si="37"/>
        <v>0</v>
      </c>
      <c r="CN140" s="54">
        <f t="shared" si="37"/>
        <v>0</v>
      </c>
      <c r="CO140" s="54">
        <f t="shared" si="37"/>
        <v>0</v>
      </c>
      <c r="CP140" s="54">
        <f t="shared" si="37"/>
        <v>0</v>
      </c>
      <c r="CQ140" s="54">
        <f t="shared" si="37"/>
        <v>0</v>
      </c>
      <c r="CR140" s="54">
        <f t="shared" si="37"/>
        <v>0</v>
      </c>
      <c r="CS140" s="54">
        <f t="shared" si="37"/>
        <v>0</v>
      </c>
      <c r="CT140" s="54">
        <f t="shared" si="37"/>
        <v>0</v>
      </c>
      <c r="CU140" s="54">
        <f t="shared" si="37"/>
        <v>0</v>
      </c>
      <c r="CV140" s="54">
        <f t="shared" si="37"/>
        <v>0</v>
      </c>
      <c r="CW140" s="54">
        <f t="shared" si="37"/>
        <v>0</v>
      </c>
      <c r="CX140" s="54">
        <f t="shared" si="37"/>
        <v>0</v>
      </c>
      <c r="CY140" s="54">
        <f t="shared" si="37"/>
        <v>0</v>
      </c>
      <c r="CZ140" s="54">
        <f t="shared" si="37"/>
        <v>0</v>
      </c>
      <c r="DA140" s="54">
        <f t="shared" si="37"/>
        <v>0</v>
      </c>
      <c r="DB140" s="54">
        <f t="shared" si="37"/>
        <v>0</v>
      </c>
      <c r="DC140" s="54">
        <f t="shared" si="37"/>
        <v>0</v>
      </c>
      <c r="DD140" s="54">
        <f t="shared" si="37"/>
        <v>0</v>
      </c>
      <c r="DE140" s="54">
        <f t="shared" si="37"/>
        <v>0</v>
      </c>
      <c r="DF140" s="54">
        <f t="shared" si="37"/>
        <v>0</v>
      </c>
      <c r="DG140" s="54">
        <f t="shared" si="37"/>
        <v>0</v>
      </c>
      <c r="DH140" s="54">
        <f t="shared" si="37"/>
        <v>0</v>
      </c>
      <c r="DI140" s="54">
        <f t="shared" si="37"/>
        <v>0</v>
      </c>
      <c r="DJ140" s="54">
        <f t="shared" si="37"/>
        <v>0</v>
      </c>
      <c r="DK140" s="54">
        <f t="shared" si="37"/>
        <v>0</v>
      </c>
      <c r="DL140" s="54">
        <f t="shared" si="37"/>
        <v>0</v>
      </c>
      <c r="DM140" s="54">
        <f t="shared" si="37"/>
        <v>0</v>
      </c>
      <c r="DN140" s="54">
        <f t="shared" si="37"/>
        <v>0</v>
      </c>
      <c r="DO140" s="54">
        <f t="shared" si="37"/>
        <v>0</v>
      </c>
      <c r="DP140" s="54">
        <f t="shared" si="37"/>
        <v>0</v>
      </c>
      <c r="DQ140" s="54">
        <f t="shared" si="37"/>
        <v>0</v>
      </c>
      <c r="DR140" s="54">
        <f t="shared" si="37"/>
        <v>0</v>
      </c>
      <c r="DS140" s="54">
        <f t="shared" si="37"/>
        <v>0</v>
      </c>
      <c r="DT140" s="54">
        <f t="shared" si="37"/>
        <v>0</v>
      </c>
      <c r="DU140" s="54">
        <f t="shared" si="37"/>
        <v>0</v>
      </c>
      <c r="DV140" s="54">
        <f t="shared" si="37"/>
        <v>0</v>
      </c>
      <c r="DW140" s="54">
        <f t="shared" si="37"/>
        <v>0</v>
      </c>
      <c r="DX140" s="54">
        <f t="shared" si="37"/>
        <v>0</v>
      </c>
      <c r="DY140" s="54">
        <f t="shared" si="37"/>
        <v>0</v>
      </c>
      <c r="DZ140" s="54">
        <f t="shared" ref="DZ140:GK140" si="38">SUM(DZ98:DZ139)</f>
        <v>0</v>
      </c>
      <c r="EA140" s="54">
        <f t="shared" si="38"/>
        <v>0</v>
      </c>
      <c r="EB140" s="54">
        <f t="shared" si="38"/>
        <v>0</v>
      </c>
      <c r="EC140" s="54">
        <f t="shared" si="38"/>
        <v>0</v>
      </c>
      <c r="ED140" s="54">
        <f t="shared" si="38"/>
        <v>0</v>
      </c>
      <c r="EE140" s="54">
        <f t="shared" si="38"/>
        <v>0</v>
      </c>
      <c r="EF140" s="54">
        <f t="shared" si="38"/>
        <v>0</v>
      </c>
      <c r="EG140" s="54">
        <f t="shared" si="38"/>
        <v>0</v>
      </c>
      <c r="EH140" s="54">
        <f t="shared" si="38"/>
        <v>0</v>
      </c>
      <c r="EI140" s="54">
        <f t="shared" si="38"/>
        <v>0</v>
      </c>
      <c r="EJ140" s="54">
        <f t="shared" si="38"/>
        <v>0</v>
      </c>
      <c r="EK140" s="54">
        <f t="shared" si="38"/>
        <v>0</v>
      </c>
      <c r="EL140" s="54">
        <f t="shared" si="38"/>
        <v>0</v>
      </c>
      <c r="EM140" s="54">
        <f t="shared" si="38"/>
        <v>0</v>
      </c>
      <c r="EN140" s="54">
        <f t="shared" si="38"/>
        <v>0</v>
      </c>
      <c r="EO140" s="54">
        <f t="shared" si="38"/>
        <v>0</v>
      </c>
      <c r="EP140" s="54">
        <f t="shared" si="38"/>
        <v>0</v>
      </c>
      <c r="EQ140" s="54">
        <f t="shared" si="38"/>
        <v>0</v>
      </c>
      <c r="ER140" s="54">
        <f t="shared" si="38"/>
        <v>0</v>
      </c>
      <c r="ES140" s="54">
        <f t="shared" si="38"/>
        <v>0</v>
      </c>
      <c r="ET140" s="54">
        <f t="shared" si="38"/>
        <v>0</v>
      </c>
      <c r="EU140" s="54">
        <f t="shared" si="38"/>
        <v>0</v>
      </c>
      <c r="EV140" s="54">
        <f t="shared" si="38"/>
        <v>0</v>
      </c>
      <c r="EW140" s="54">
        <f t="shared" si="38"/>
        <v>0</v>
      </c>
      <c r="EX140" s="54">
        <f t="shared" si="38"/>
        <v>0</v>
      </c>
      <c r="EY140" s="54">
        <f t="shared" si="38"/>
        <v>0</v>
      </c>
      <c r="EZ140" s="54">
        <f t="shared" si="38"/>
        <v>0</v>
      </c>
      <c r="FA140" s="54">
        <f t="shared" si="38"/>
        <v>0</v>
      </c>
      <c r="FB140" s="54">
        <f t="shared" si="38"/>
        <v>0</v>
      </c>
      <c r="FC140" s="54">
        <f t="shared" si="38"/>
        <v>0</v>
      </c>
      <c r="FD140" s="54">
        <f t="shared" si="38"/>
        <v>0</v>
      </c>
      <c r="FE140" s="54">
        <f t="shared" si="38"/>
        <v>0</v>
      </c>
      <c r="FF140" s="54">
        <f t="shared" si="38"/>
        <v>0</v>
      </c>
      <c r="FG140" s="54">
        <f t="shared" si="38"/>
        <v>0</v>
      </c>
      <c r="FH140" s="54">
        <f t="shared" si="38"/>
        <v>0</v>
      </c>
      <c r="FI140" s="54">
        <f t="shared" si="38"/>
        <v>0</v>
      </c>
      <c r="FJ140" s="54">
        <f t="shared" si="38"/>
        <v>0</v>
      </c>
      <c r="FK140" s="54">
        <f t="shared" si="38"/>
        <v>0</v>
      </c>
      <c r="FL140" s="54">
        <f t="shared" si="38"/>
        <v>0</v>
      </c>
      <c r="FM140" s="54">
        <f t="shared" si="38"/>
        <v>0</v>
      </c>
      <c r="FN140" s="54">
        <f t="shared" si="38"/>
        <v>0</v>
      </c>
      <c r="FO140" s="54">
        <f t="shared" si="38"/>
        <v>0</v>
      </c>
      <c r="FP140" s="54">
        <f t="shared" si="38"/>
        <v>0</v>
      </c>
      <c r="FQ140" s="54">
        <f t="shared" si="38"/>
        <v>0</v>
      </c>
      <c r="FR140" s="54">
        <f t="shared" si="38"/>
        <v>0</v>
      </c>
      <c r="FS140" s="54">
        <f t="shared" si="38"/>
        <v>0</v>
      </c>
      <c r="FT140" s="54">
        <f t="shared" si="38"/>
        <v>0</v>
      </c>
      <c r="FU140" s="54">
        <f t="shared" si="38"/>
        <v>0</v>
      </c>
      <c r="FV140" s="54">
        <f t="shared" si="38"/>
        <v>0</v>
      </c>
      <c r="FW140" s="54">
        <f t="shared" si="38"/>
        <v>0</v>
      </c>
      <c r="FX140" s="54">
        <f t="shared" si="38"/>
        <v>0</v>
      </c>
      <c r="FY140" s="54">
        <f t="shared" si="38"/>
        <v>0</v>
      </c>
      <c r="FZ140" s="54">
        <f t="shared" si="38"/>
        <v>0</v>
      </c>
      <c r="GA140" s="54">
        <f t="shared" si="38"/>
        <v>0</v>
      </c>
      <c r="GB140" s="54">
        <f t="shared" si="38"/>
        <v>0</v>
      </c>
      <c r="GC140" s="54">
        <f t="shared" si="38"/>
        <v>0</v>
      </c>
      <c r="GD140" s="54">
        <f t="shared" si="38"/>
        <v>0</v>
      </c>
      <c r="GE140" s="54">
        <f t="shared" si="38"/>
        <v>0</v>
      </c>
      <c r="GF140" s="54">
        <f t="shared" si="38"/>
        <v>0</v>
      </c>
      <c r="GG140" s="54">
        <f t="shared" si="38"/>
        <v>0</v>
      </c>
      <c r="GH140" s="54">
        <f t="shared" si="38"/>
        <v>0</v>
      </c>
      <c r="GI140" s="54">
        <f t="shared" si="38"/>
        <v>0</v>
      </c>
      <c r="GJ140" s="54">
        <f t="shared" si="38"/>
        <v>0</v>
      </c>
      <c r="GK140" s="54">
        <f t="shared" si="38"/>
        <v>0</v>
      </c>
      <c r="GL140" s="54">
        <f t="shared" ref="GL140:IL140" si="39">SUM(GL98:GL139)</f>
        <v>0</v>
      </c>
      <c r="GM140" s="54">
        <f t="shared" si="39"/>
        <v>0</v>
      </c>
      <c r="GN140" s="54">
        <f t="shared" si="39"/>
        <v>0</v>
      </c>
      <c r="GO140" s="54">
        <f t="shared" si="39"/>
        <v>0</v>
      </c>
      <c r="GP140" s="54">
        <f t="shared" si="39"/>
        <v>0</v>
      </c>
      <c r="GQ140" s="54">
        <f t="shared" si="39"/>
        <v>0</v>
      </c>
      <c r="GR140" s="54">
        <f t="shared" si="39"/>
        <v>0</v>
      </c>
      <c r="GS140" s="54">
        <f t="shared" si="39"/>
        <v>0</v>
      </c>
      <c r="GT140" s="54">
        <f t="shared" si="39"/>
        <v>0</v>
      </c>
      <c r="GU140" s="54">
        <f t="shared" si="39"/>
        <v>0</v>
      </c>
      <c r="GV140" s="54">
        <f t="shared" si="39"/>
        <v>0</v>
      </c>
      <c r="GW140" s="54">
        <f t="shared" si="39"/>
        <v>0</v>
      </c>
      <c r="GX140" s="54">
        <f t="shared" si="39"/>
        <v>0</v>
      </c>
      <c r="GY140" s="54">
        <f t="shared" si="39"/>
        <v>0</v>
      </c>
      <c r="GZ140" s="54">
        <f t="shared" si="39"/>
        <v>0</v>
      </c>
      <c r="HA140" s="54">
        <f t="shared" si="39"/>
        <v>0</v>
      </c>
      <c r="HB140" s="54">
        <f t="shared" si="39"/>
        <v>0</v>
      </c>
      <c r="HC140" s="54">
        <f t="shared" si="39"/>
        <v>0</v>
      </c>
      <c r="HD140" s="54">
        <f t="shared" si="39"/>
        <v>0</v>
      </c>
      <c r="HE140" s="54">
        <f t="shared" si="39"/>
        <v>0</v>
      </c>
      <c r="HF140" s="54">
        <f t="shared" si="39"/>
        <v>0</v>
      </c>
      <c r="HG140" s="54">
        <f t="shared" si="39"/>
        <v>0</v>
      </c>
      <c r="HH140" s="54">
        <f t="shared" si="39"/>
        <v>0</v>
      </c>
      <c r="HI140" s="54">
        <f t="shared" si="39"/>
        <v>0</v>
      </c>
      <c r="HJ140" s="54">
        <f t="shared" si="39"/>
        <v>0</v>
      </c>
      <c r="HK140" s="54">
        <f t="shared" si="39"/>
        <v>0</v>
      </c>
      <c r="HL140" s="54">
        <f t="shared" si="39"/>
        <v>0</v>
      </c>
      <c r="HM140" s="54">
        <f t="shared" si="39"/>
        <v>0</v>
      </c>
      <c r="HN140" s="54">
        <f t="shared" si="39"/>
        <v>0</v>
      </c>
      <c r="HO140" s="54">
        <f t="shared" si="39"/>
        <v>0</v>
      </c>
      <c r="HP140" s="54">
        <f t="shared" si="39"/>
        <v>0</v>
      </c>
      <c r="HQ140" s="54">
        <f t="shared" si="39"/>
        <v>0</v>
      </c>
      <c r="HR140" s="54">
        <f t="shared" si="39"/>
        <v>0</v>
      </c>
      <c r="HS140" s="54">
        <f t="shared" si="39"/>
        <v>0</v>
      </c>
      <c r="HT140" s="54">
        <f t="shared" si="39"/>
        <v>0</v>
      </c>
      <c r="HU140" s="54">
        <f t="shared" si="39"/>
        <v>0</v>
      </c>
      <c r="HV140" s="54">
        <f t="shared" si="39"/>
        <v>0</v>
      </c>
      <c r="HW140" s="54">
        <f t="shared" si="39"/>
        <v>0</v>
      </c>
      <c r="HX140" s="54">
        <f t="shared" si="39"/>
        <v>0</v>
      </c>
      <c r="HY140" s="54">
        <f t="shared" si="39"/>
        <v>0</v>
      </c>
      <c r="HZ140" s="54">
        <f t="shared" si="39"/>
        <v>0</v>
      </c>
      <c r="IA140" s="54">
        <f t="shared" si="39"/>
        <v>0</v>
      </c>
      <c r="IB140" s="54">
        <f t="shared" si="39"/>
        <v>0</v>
      </c>
      <c r="IC140" s="54">
        <f t="shared" si="39"/>
        <v>0</v>
      </c>
      <c r="ID140" s="54">
        <f t="shared" si="39"/>
        <v>0</v>
      </c>
      <c r="IE140" s="54">
        <f t="shared" si="39"/>
        <v>0</v>
      </c>
      <c r="IF140" s="54">
        <f t="shared" si="39"/>
        <v>0</v>
      </c>
      <c r="IG140" s="54">
        <f t="shared" si="39"/>
        <v>0</v>
      </c>
      <c r="IH140" s="54">
        <f t="shared" si="39"/>
        <v>0</v>
      </c>
      <c r="II140" s="54">
        <f t="shared" si="39"/>
        <v>0</v>
      </c>
      <c r="IJ140" s="54">
        <f t="shared" si="39"/>
        <v>0</v>
      </c>
      <c r="IK140" s="54">
        <f t="shared" si="39"/>
        <v>0</v>
      </c>
      <c r="IL140" s="54">
        <f t="shared" si="39"/>
        <v>0</v>
      </c>
    </row>
    <row r="141" spans="1:246" x14ac:dyDescent="0.3">
      <c r="A141" s="50" t="s">
        <v>130</v>
      </c>
      <c r="B141" s="39">
        <f t="shared" ref="B141:BM141" si="40">B96-B140</f>
        <v>0</v>
      </c>
      <c r="C141" s="39">
        <f t="shared" si="40"/>
        <v>0</v>
      </c>
      <c r="D141" s="39">
        <f t="shared" si="40"/>
        <v>0</v>
      </c>
      <c r="E141" s="39">
        <f t="shared" si="40"/>
        <v>0</v>
      </c>
      <c r="F141" s="39">
        <f t="shared" si="40"/>
        <v>0</v>
      </c>
      <c r="G141" s="39">
        <f t="shared" si="40"/>
        <v>0</v>
      </c>
      <c r="H141" s="39">
        <f t="shared" si="40"/>
        <v>0</v>
      </c>
      <c r="I141" s="39">
        <f t="shared" si="40"/>
        <v>0</v>
      </c>
      <c r="J141" s="39">
        <f t="shared" si="40"/>
        <v>0</v>
      </c>
      <c r="K141" s="39">
        <f t="shared" si="40"/>
        <v>0</v>
      </c>
      <c r="L141" s="39">
        <f t="shared" si="40"/>
        <v>0</v>
      </c>
      <c r="M141" s="39">
        <f t="shared" si="40"/>
        <v>0</v>
      </c>
      <c r="N141" s="39">
        <f t="shared" si="40"/>
        <v>0</v>
      </c>
      <c r="O141" s="39">
        <f t="shared" si="40"/>
        <v>0</v>
      </c>
      <c r="P141" s="39">
        <f t="shared" si="40"/>
        <v>0</v>
      </c>
      <c r="Q141" s="39">
        <f t="shared" si="40"/>
        <v>0</v>
      </c>
      <c r="R141" s="39">
        <f t="shared" si="40"/>
        <v>0</v>
      </c>
      <c r="S141" s="39">
        <f t="shared" si="40"/>
        <v>0</v>
      </c>
      <c r="T141" s="39">
        <f t="shared" si="40"/>
        <v>0</v>
      </c>
      <c r="U141" s="39">
        <f t="shared" si="40"/>
        <v>0</v>
      </c>
      <c r="V141" s="39">
        <f t="shared" si="40"/>
        <v>0</v>
      </c>
      <c r="W141" s="39">
        <f t="shared" si="40"/>
        <v>0</v>
      </c>
      <c r="X141" s="39">
        <f t="shared" si="40"/>
        <v>0</v>
      </c>
      <c r="Y141" s="39">
        <f t="shared" si="40"/>
        <v>0</v>
      </c>
      <c r="Z141" s="39">
        <f t="shared" si="40"/>
        <v>0</v>
      </c>
      <c r="AA141" s="39">
        <f t="shared" si="40"/>
        <v>0</v>
      </c>
      <c r="AB141" s="39">
        <f t="shared" si="40"/>
        <v>0</v>
      </c>
      <c r="AC141" s="39">
        <f t="shared" si="40"/>
        <v>0</v>
      </c>
      <c r="AD141" s="39">
        <f t="shared" si="40"/>
        <v>0</v>
      </c>
      <c r="AE141" s="39">
        <f t="shared" si="40"/>
        <v>0</v>
      </c>
      <c r="AF141" s="39">
        <f t="shared" si="40"/>
        <v>0</v>
      </c>
      <c r="AG141" s="39">
        <f t="shared" si="40"/>
        <v>0</v>
      </c>
      <c r="AH141" s="39">
        <f t="shared" si="40"/>
        <v>0</v>
      </c>
      <c r="AI141" s="39">
        <f t="shared" si="40"/>
        <v>0</v>
      </c>
      <c r="AJ141" s="39">
        <f t="shared" si="40"/>
        <v>0</v>
      </c>
      <c r="AK141" s="39">
        <f t="shared" si="40"/>
        <v>0</v>
      </c>
      <c r="AL141" s="39">
        <f t="shared" si="40"/>
        <v>0</v>
      </c>
      <c r="AM141" s="39">
        <f t="shared" si="40"/>
        <v>0</v>
      </c>
      <c r="AN141" s="39">
        <f t="shared" si="40"/>
        <v>0</v>
      </c>
      <c r="AO141" s="39">
        <f t="shared" si="40"/>
        <v>0</v>
      </c>
      <c r="AP141" s="39">
        <f t="shared" si="40"/>
        <v>0</v>
      </c>
      <c r="AQ141" s="39">
        <f t="shared" si="40"/>
        <v>0</v>
      </c>
      <c r="AR141" s="39">
        <f t="shared" si="40"/>
        <v>0</v>
      </c>
      <c r="AS141" s="39">
        <f t="shared" si="40"/>
        <v>0</v>
      </c>
      <c r="AT141" s="39">
        <f t="shared" si="40"/>
        <v>0</v>
      </c>
      <c r="AU141" s="39">
        <f t="shared" si="40"/>
        <v>0</v>
      </c>
      <c r="AV141" s="39">
        <f t="shared" si="40"/>
        <v>0</v>
      </c>
      <c r="AW141" s="39">
        <f t="shared" si="40"/>
        <v>0</v>
      </c>
      <c r="AX141" s="39">
        <f t="shared" si="40"/>
        <v>0</v>
      </c>
      <c r="AY141" s="39">
        <f t="shared" si="40"/>
        <v>0</v>
      </c>
      <c r="AZ141" s="39">
        <f t="shared" si="40"/>
        <v>0</v>
      </c>
      <c r="BA141" s="39">
        <f t="shared" si="40"/>
        <v>0</v>
      </c>
      <c r="BB141" s="39">
        <f t="shared" si="40"/>
        <v>0</v>
      </c>
      <c r="BC141" s="39">
        <f t="shared" si="40"/>
        <v>0</v>
      </c>
      <c r="BD141" s="39">
        <f t="shared" si="40"/>
        <v>0</v>
      </c>
      <c r="BE141" s="39">
        <f t="shared" si="40"/>
        <v>0</v>
      </c>
      <c r="BF141" s="39">
        <f t="shared" si="40"/>
        <v>0</v>
      </c>
      <c r="BG141" s="39">
        <f t="shared" si="40"/>
        <v>0</v>
      </c>
      <c r="BH141" s="39">
        <f t="shared" si="40"/>
        <v>0</v>
      </c>
      <c r="BI141" s="39">
        <f t="shared" si="40"/>
        <v>0</v>
      </c>
      <c r="BJ141" s="39">
        <f t="shared" si="40"/>
        <v>0</v>
      </c>
      <c r="BK141" s="39">
        <f t="shared" si="40"/>
        <v>0</v>
      </c>
      <c r="BL141" s="39">
        <f t="shared" si="40"/>
        <v>0</v>
      </c>
      <c r="BM141" s="39">
        <f t="shared" si="40"/>
        <v>0</v>
      </c>
      <c r="BN141" s="39">
        <f t="shared" ref="BN141:DY141" si="41">BN96-BN140</f>
        <v>0</v>
      </c>
      <c r="BO141" s="39">
        <f t="shared" si="41"/>
        <v>0</v>
      </c>
      <c r="BP141" s="39">
        <f t="shared" si="41"/>
        <v>0</v>
      </c>
      <c r="BQ141" s="39">
        <f t="shared" si="41"/>
        <v>0</v>
      </c>
      <c r="BR141" s="39">
        <f t="shared" si="41"/>
        <v>0</v>
      </c>
      <c r="BS141" s="39">
        <f t="shared" si="41"/>
        <v>0</v>
      </c>
      <c r="BT141" s="39">
        <f t="shared" si="41"/>
        <v>0</v>
      </c>
      <c r="BU141" s="39">
        <f t="shared" si="41"/>
        <v>0</v>
      </c>
      <c r="BV141" s="39">
        <f t="shared" si="41"/>
        <v>0</v>
      </c>
      <c r="BW141" s="39">
        <f t="shared" si="41"/>
        <v>0</v>
      </c>
      <c r="BX141" s="39">
        <f t="shared" si="41"/>
        <v>0</v>
      </c>
      <c r="BY141" s="39">
        <f t="shared" si="41"/>
        <v>0</v>
      </c>
      <c r="BZ141" s="39">
        <f t="shared" si="41"/>
        <v>0</v>
      </c>
      <c r="CA141" s="39">
        <f t="shared" si="41"/>
        <v>0</v>
      </c>
      <c r="CB141" s="39">
        <f t="shared" si="41"/>
        <v>0</v>
      </c>
      <c r="CC141" s="39">
        <f t="shared" si="41"/>
        <v>0</v>
      </c>
      <c r="CD141" s="39">
        <f t="shared" si="41"/>
        <v>0</v>
      </c>
      <c r="CE141" s="39">
        <f t="shared" si="41"/>
        <v>0</v>
      </c>
      <c r="CF141" s="39">
        <f t="shared" si="41"/>
        <v>0</v>
      </c>
      <c r="CG141" s="39">
        <f t="shared" si="41"/>
        <v>0</v>
      </c>
      <c r="CH141" s="39">
        <f t="shared" si="41"/>
        <v>0</v>
      </c>
      <c r="CI141" s="39">
        <f t="shared" si="41"/>
        <v>0</v>
      </c>
      <c r="CJ141" s="39">
        <f t="shared" si="41"/>
        <v>0</v>
      </c>
      <c r="CK141" s="39">
        <f t="shared" si="41"/>
        <v>0</v>
      </c>
      <c r="CL141" s="39">
        <f t="shared" si="41"/>
        <v>0</v>
      </c>
      <c r="CM141" s="39">
        <f t="shared" si="41"/>
        <v>0</v>
      </c>
      <c r="CN141" s="39">
        <f t="shared" si="41"/>
        <v>0</v>
      </c>
      <c r="CO141" s="39">
        <f t="shared" si="41"/>
        <v>0</v>
      </c>
      <c r="CP141" s="39">
        <f t="shared" si="41"/>
        <v>0</v>
      </c>
      <c r="CQ141" s="39">
        <f t="shared" si="41"/>
        <v>0</v>
      </c>
      <c r="CR141" s="39">
        <f t="shared" si="41"/>
        <v>0</v>
      </c>
      <c r="CS141" s="39">
        <f t="shared" si="41"/>
        <v>0</v>
      </c>
      <c r="CT141" s="39">
        <f t="shared" si="41"/>
        <v>0</v>
      </c>
      <c r="CU141" s="39">
        <f t="shared" si="41"/>
        <v>0</v>
      </c>
      <c r="CV141" s="39">
        <f t="shared" si="41"/>
        <v>0</v>
      </c>
      <c r="CW141" s="39">
        <f t="shared" si="41"/>
        <v>0</v>
      </c>
      <c r="CX141" s="39">
        <f t="shared" si="41"/>
        <v>0</v>
      </c>
      <c r="CY141" s="39">
        <f t="shared" si="41"/>
        <v>0</v>
      </c>
      <c r="CZ141" s="39">
        <f t="shared" si="41"/>
        <v>0</v>
      </c>
      <c r="DA141" s="39">
        <f t="shared" si="41"/>
        <v>0</v>
      </c>
      <c r="DB141" s="39">
        <f t="shared" si="41"/>
        <v>0</v>
      </c>
      <c r="DC141" s="39">
        <f t="shared" si="41"/>
        <v>0</v>
      </c>
      <c r="DD141" s="39">
        <f t="shared" si="41"/>
        <v>0</v>
      </c>
      <c r="DE141" s="39">
        <f t="shared" si="41"/>
        <v>0</v>
      </c>
      <c r="DF141" s="39">
        <f t="shared" si="41"/>
        <v>0</v>
      </c>
      <c r="DG141" s="39">
        <f t="shared" si="41"/>
        <v>0</v>
      </c>
      <c r="DH141" s="39">
        <f t="shared" si="41"/>
        <v>0</v>
      </c>
      <c r="DI141" s="39">
        <f t="shared" si="41"/>
        <v>0</v>
      </c>
      <c r="DJ141" s="39">
        <f t="shared" si="41"/>
        <v>0</v>
      </c>
      <c r="DK141" s="39">
        <f t="shared" si="41"/>
        <v>0</v>
      </c>
      <c r="DL141" s="39">
        <f t="shared" si="41"/>
        <v>0</v>
      </c>
      <c r="DM141" s="39">
        <f t="shared" si="41"/>
        <v>0</v>
      </c>
      <c r="DN141" s="39">
        <f t="shared" si="41"/>
        <v>0</v>
      </c>
      <c r="DO141" s="39">
        <f t="shared" si="41"/>
        <v>0</v>
      </c>
      <c r="DP141" s="39">
        <f t="shared" si="41"/>
        <v>0</v>
      </c>
      <c r="DQ141" s="39">
        <f t="shared" si="41"/>
        <v>0</v>
      </c>
      <c r="DR141" s="39">
        <f t="shared" si="41"/>
        <v>0</v>
      </c>
      <c r="DS141" s="39">
        <f t="shared" si="41"/>
        <v>0</v>
      </c>
      <c r="DT141" s="39">
        <f t="shared" si="41"/>
        <v>0</v>
      </c>
      <c r="DU141" s="39">
        <f t="shared" si="41"/>
        <v>0</v>
      </c>
      <c r="DV141" s="39">
        <f t="shared" si="41"/>
        <v>0</v>
      </c>
      <c r="DW141" s="39">
        <f t="shared" si="41"/>
        <v>0</v>
      </c>
      <c r="DX141" s="39">
        <f t="shared" si="41"/>
        <v>0</v>
      </c>
      <c r="DY141" s="39">
        <f t="shared" si="41"/>
        <v>0</v>
      </c>
      <c r="DZ141" s="39">
        <f t="shared" ref="DZ141:GK141" si="42">DZ96-DZ140</f>
        <v>0</v>
      </c>
      <c r="EA141" s="39">
        <f t="shared" si="42"/>
        <v>0</v>
      </c>
      <c r="EB141" s="39">
        <f t="shared" si="42"/>
        <v>0</v>
      </c>
      <c r="EC141" s="39">
        <f t="shared" si="42"/>
        <v>0</v>
      </c>
      <c r="ED141" s="39">
        <f t="shared" si="42"/>
        <v>0</v>
      </c>
      <c r="EE141" s="39">
        <f t="shared" si="42"/>
        <v>0</v>
      </c>
      <c r="EF141" s="39">
        <f t="shared" si="42"/>
        <v>0</v>
      </c>
      <c r="EG141" s="39">
        <f t="shared" si="42"/>
        <v>0</v>
      </c>
      <c r="EH141" s="39">
        <f t="shared" si="42"/>
        <v>0</v>
      </c>
      <c r="EI141" s="39">
        <f t="shared" si="42"/>
        <v>0</v>
      </c>
      <c r="EJ141" s="39">
        <f t="shared" si="42"/>
        <v>0</v>
      </c>
      <c r="EK141" s="39">
        <f t="shared" si="42"/>
        <v>0</v>
      </c>
      <c r="EL141" s="39">
        <f t="shared" si="42"/>
        <v>0</v>
      </c>
      <c r="EM141" s="39">
        <f t="shared" si="42"/>
        <v>0</v>
      </c>
      <c r="EN141" s="39">
        <f t="shared" si="42"/>
        <v>0</v>
      </c>
      <c r="EO141" s="39">
        <f t="shared" si="42"/>
        <v>0</v>
      </c>
      <c r="EP141" s="39">
        <f t="shared" si="42"/>
        <v>0</v>
      </c>
      <c r="EQ141" s="39">
        <f t="shared" si="42"/>
        <v>0</v>
      </c>
      <c r="ER141" s="39">
        <f t="shared" si="42"/>
        <v>0</v>
      </c>
      <c r="ES141" s="39">
        <f t="shared" si="42"/>
        <v>0</v>
      </c>
      <c r="ET141" s="39">
        <f t="shared" si="42"/>
        <v>0</v>
      </c>
      <c r="EU141" s="39">
        <f t="shared" si="42"/>
        <v>0</v>
      </c>
      <c r="EV141" s="39">
        <f t="shared" si="42"/>
        <v>0</v>
      </c>
      <c r="EW141" s="39">
        <f t="shared" si="42"/>
        <v>0</v>
      </c>
      <c r="EX141" s="39">
        <f t="shared" si="42"/>
        <v>0</v>
      </c>
      <c r="EY141" s="39">
        <f t="shared" si="42"/>
        <v>0</v>
      </c>
      <c r="EZ141" s="39">
        <f t="shared" si="42"/>
        <v>0</v>
      </c>
      <c r="FA141" s="39">
        <f t="shared" si="42"/>
        <v>0</v>
      </c>
      <c r="FB141" s="39">
        <f t="shared" si="42"/>
        <v>0</v>
      </c>
      <c r="FC141" s="39">
        <f t="shared" si="42"/>
        <v>0</v>
      </c>
      <c r="FD141" s="39">
        <f t="shared" si="42"/>
        <v>0</v>
      </c>
      <c r="FE141" s="39">
        <f t="shared" si="42"/>
        <v>0</v>
      </c>
      <c r="FF141" s="39">
        <f t="shared" si="42"/>
        <v>0</v>
      </c>
      <c r="FG141" s="39">
        <f t="shared" si="42"/>
        <v>0</v>
      </c>
      <c r="FH141" s="39">
        <f t="shared" si="42"/>
        <v>0</v>
      </c>
      <c r="FI141" s="39">
        <f t="shared" si="42"/>
        <v>0</v>
      </c>
      <c r="FJ141" s="39">
        <f t="shared" si="42"/>
        <v>0</v>
      </c>
      <c r="FK141" s="39">
        <f t="shared" si="42"/>
        <v>0</v>
      </c>
      <c r="FL141" s="39">
        <f t="shared" si="42"/>
        <v>0</v>
      </c>
      <c r="FM141" s="39">
        <f t="shared" si="42"/>
        <v>0</v>
      </c>
      <c r="FN141" s="39">
        <f t="shared" si="42"/>
        <v>0</v>
      </c>
      <c r="FO141" s="39">
        <f t="shared" si="42"/>
        <v>0</v>
      </c>
      <c r="FP141" s="39">
        <f t="shared" si="42"/>
        <v>0</v>
      </c>
      <c r="FQ141" s="39">
        <f t="shared" si="42"/>
        <v>0</v>
      </c>
      <c r="FR141" s="39">
        <f t="shared" si="42"/>
        <v>0</v>
      </c>
      <c r="FS141" s="39">
        <f t="shared" si="42"/>
        <v>0</v>
      </c>
      <c r="FT141" s="39">
        <f t="shared" si="42"/>
        <v>0</v>
      </c>
      <c r="FU141" s="39">
        <f t="shared" si="42"/>
        <v>0</v>
      </c>
      <c r="FV141" s="39">
        <f t="shared" si="42"/>
        <v>0</v>
      </c>
      <c r="FW141" s="39">
        <f t="shared" si="42"/>
        <v>0</v>
      </c>
      <c r="FX141" s="39">
        <f t="shared" si="42"/>
        <v>0</v>
      </c>
      <c r="FY141" s="39">
        <f t="shared" si="42"/>
        <v>0</v>
      </c>
      <c r="FZ141" s="39">
        <f t="shared" si="42"/>
        <v>0</v>
      </c>
      <c r="GA141" s="39">
        <f t="shared" si="42"/>
        <v>0</v>
      </c>
      <c r="GB141" s="39">
        <f t="shared" si="42"/>
        <v>0</v>
      </c>
      <c r="GC141" s="39">
        <f t="shared" si="42"/>
        <v>0</v>
      </c>
      <c r="GD141" s="39">
        <f t="shared" si="42"/>
        <v>0</v>
      </c>
      <c r="GE141" s="39">
        <f t="shared" si="42"/>
        <v>0</v>
      </c>
      <c r="GF141" s="39">
        <f t="shared" si="42"/>
        <v>0</v>
      </c>
      <c r="GG141" s="39">
        <f t="shared" si="42"/>
        <v>0</v>
      </c>
      <c r="GH141" s="39">
        <f t="shared" si="42"/>
        <v>0</v>
      </c>
      <c r="GI141" s="39">
        <f t="shared" si="42"/>
        <v>0</v>
      </c>
      <c r="GJ141" s="39">
        <f t="shared" si="42"/>
        <v>0</v>
      </c>
      <c r="GK141" s="39">
        <f t="shared" si="42"/>
        <v>0</v>
      </c>
      <c r="GL141" s="39">
        <f t="shared" ref="GL141:IL141" si="43">GL96-GL140</f>
        <v>0</v>
      </c>
      <c r="GM141" s="39">
        <f t="shared" si="43"/>
        <v>0</v>
      </c>
      <c r="GN141" s="39">
        <f t="shared" si="43"/>
        <v>0</v>
      </c>
      <c r="GO141" s="39">
        <f t="shared" si="43"/>
        <v>0</v>
      </c>
      <c r="GP141" s="39">
        <f t="shared" si="43"/>
        <v>0</v>
      </c>
      <c r="GQ141" s="39">
        <f t="shared" si="43"/>
        <v>0</v>
      </c>
      <c r="GR141" s="39">
        <f t="shared" si="43"/>
        <v>0</v>
      </c>
      <c r="GS141" s="39">
        <f t="shared" si="43"/>
        <v>0</v>
      </c>
      <c r="GT141" s="39">
        <f t="shared" si="43"/>
        <v>0</v>
      </c>
      <c r="GU141" s="39">
        <f t="shared" si="43"/>
        <v>0</v>
      </c>
      <c r="GV141" s="39">
        <f t="shared" si="43"/>
        <v>0</v>
      </c>
      <c r="GW141" s="39">
        <f t="shared" si="43"/>
        <v>0</v>
      </c>
      <c r="GX141" s="39">
        <f t="shared" si="43"/>
        <v>0</v>
      </c>
      <c r="GY141" s="39">
        <f t="shared" si="43"/>
        <v>0</v>
      </c>
      <c r="GZ141" s="39">
        <f t="shared" si="43"/>
        <v>0</v>
      </c>
      <c r="HA141" s="39">
        <f t="shared" si="43"/>
        <v>0</v>
      </c>
      <c r="HB141" s="39">
        <f t="shared" si="43"/>
        <v>0</v>
      </c>
      <c r="HC141" s="39">
        <f t="shared" si="43"/>
        <v>0</v>
      </c>
      <c r="HD141" s="39">
        <f t="shared" si="43"/>
        <v>0</v>
      </c>
      <c r="HE141" s="39">
        <f t="shared" si="43"/>
        <v>0</v>
      </c>
      <c r="HF141" s="39">
        <f t="shared" si="43"/>
        <v>0</v>
      </c>
      <c r="HG141" s="39">
        <f t="shared" si="43"/>
        <v>0</v>
      </c>
      <c r="HH141" s="39">
        <f t="shared" si="43"/>
        <v>0</v>
      </c>
      <c r="HI141" s="39">
        <f t="shared" si="43"/>
        <v>0</v>
      </c>
      <c r="HJ141" s="39">
        <f t="shared" si="43"/>
        <v>0</v>
      </c>
      <c r="HK141" s="39">
        <f t="shared" si="43"/>
        <v>0</v>
      </c>
      <c r="HL141" s="39">
        <f t="shared" si="43"/>
        <v>0</v>
      </c>
      <c r="HM141" s="39">
        <f t="shared" si="43"/>
        <v>0</v>
      </c>
      <c r="HN141" s="39">
        <f t="shared" si="43"/>
        <v>0</v>
      </c>
      <c r="HO141" s="39">
        <f t="shared" si="43"/>
        <v>0</v>
      </c>
      <c r="HP141" s="39">
        <f t="shared" si="43"/>
        <v>0</v>
      </c>
      <c r="HQ141" s="39">
        <f t="shared" si="43"/>
        <v>0</v>
      </c>
      <c r="HR141" s="39">
        <f t="shared" si="43"/>
        <v>0</v>
      </c>
      <c r="HS141" s="39">
        <f t="shared" si="43"/>
        <v>0</v>
      </c>
      <c r="HT141" s="39">
        <f t="shared" si="43"/>
        <v>0</v>
      </c>
      <c r="HU141" s="39">
        <f t="shared" si="43"/>
        <v>0</v>
      </c>
      <c r="HV141" s="39">
        <f t="shared" si="43"/>
        <v>0</v>
      </c>
      <c r="HW141" s="39">
        <f t="shared" si="43"/>
        <v>0</v>
      </c>
      <c r="HX141" s="39">
        <f t="shared" si="43"/>
        <v>0</v>
      </c>
      <c r="HY141" s="39">
        <f t="shared" si="43"/>
        <v>0</v>
      </c>
      <c r="HZ141" s="39">
        <f t="shared" si="43"/>
        <v>0</v>
      </c>
      <c r="IA141" s="39">
        <f t="shared" si="43"/>
        <v>0</v>
      </c>
      <c r="IB141" s="39">
        <f t="shared" si="43"/>
        <v>0</v>
      </c>
      <c r="IC141" s="39">
        <f t="shared" si="43"/>
        <v>0</v>
      </c>
      <c r="ID141" s="39">
        <f t="shared" si="43"/>
        <v>0</v>
      </c>
      <c r="IE141" s="39">
        <f t="shared" si="43"/>
        <v>0</v>
      </c>
      <c r="IF141" s="39">
        <f t="shared" si="43"/>
        <v>0</v>
      </c>
      <c r="IG141" s="39">
        <f t="shared" si="43"/>
        <v>0</v>
      </c>
      <c r="IH141" s="39">
        <f t="shared" si="43"/>
        <v>0</v>
      </c>
      <c r="II141" s="39">
        <f t="shared" si="43"/>
        <v>0</v>
      </c>
      <c r="IJ141" s="39">
        <f t="shared" si="43"/>
        <v>0</v>
      </c>
      <c r="IK141" s="39">
        <f t="shared" si="43"/>
        <v>0</v>
      </c>
      <c r="IL141" s="39">
        <f t="shared" si="43"/>
        <v>0</v>
      </c>
    </row>
    <row r="142" spans="1:246" x14ac:dyDescent="0.3">
      <c r="A142" s="51" t="s">
        <v>131</v>
      </c>
      <c r="B142" s="57">
        <f t="shared" ref="B142:BM142" si="44">B83+B141</f>
        <v>0</v>
      </c>
      <c r="C142" s="57">
        <f t="shared" si="44"/>
        <v>0</v>
      </c>
      <c r="D142" s="57">
        <f t="shared" si="44"/>
        <v>0</v>
      </c>
      <c r="E142" s="57">
        <f t="shared" si="44"/>
        <v>0</v>
      </c>
      <c r="F142" s="57">
        <f t="shared" si="44"/>
        <v>0</v>
      </c>
      <c r="G142" s="57">
        <f t="shared" si="44"/>
        <v>0</v>
      </c>
      <c r="H142" s="57">
        <f t="shared" si="44"/>
        <v>0</v>
      </c>
      <c r="I142" s="57">
        <f t="shared" si="44"/>
        <v>0</v>
      </c>
      <c r="J142" s="57">
        <f t="shared" si="44"/>
        <v>0</v>
      </c>
      <c r="K142" s="57">
        <f t="shared" si="44"/>
        <v>0</v>
      </c>
      <c r="L142" s="57">
        <f t="shared" si="44"/>
        <v>0</v>
      </c>
      <c r="M142" s="57">
        <f t="shared" si="44"/>
        <v>0</v>
      </c>
      <c r="N142" s="57">
        <f t="shared" si="44"/>
        <v>0</v>
      </c>
      <c r="O142" s="57">
        <f t="shared" si="44"/>
        <v>0</v>
      </c>
      <c r="P142" s="57">
        <f t="shared" si="44"/>
        <v>0</v>
      </c>
      <c r="Q142" s="57">
        <f t="shared" si="44"/>
        <v>0</v>
      </c>
      <c r="R142" s="57">
        <f t="shared" si="44"/>
        <v>0</v>
      </c>
      <c r="S142" s="57">
        <f t="shared" si="44"/>
        <v>0</v>
      </c>
      <c r="T142" s="57">
        <f t="shared" si="44"/>
        <v>0</v>
      </c>
      <c r="U142" s="57">
        <f t="shared" si="44"/>
        <v>0</v>
      </c>
      <c r="V142" s="57">
        <f t="shared" si="44"/>
        <v>0</v>
      </c>
      <c r="W142" s="57">
        <f t="shared" si="44"/>
        <v>0</v>
      </c>
      <c r="X142" s="57">
        <f t="shared" si="44"/>
        <v>0</v>
      </c>
      <c r="Y142" s="57">
        <f t="shared" si="44"/>
        <v>0</v>
      </c>
      <c r="Z142" s="57">
        <f t="shared" si="44"/>
        <v>0</v>
      </c>
      <c r="AA142" s="57">
        <f t="shared" si="44"/>
        <v>0</v>
      </c>
      <c r="AB142" s="57">
        <f t="shared" si="44"/>
        <v>0</v>
      </c>
      <c r="AC142" s="57">
        <f t="shared" si="44"/>
        <v>0</v>
      </c>
      <c r="AD142" s="57">
        <f t="shared" si="44"/>
        <v>0</v>
      </c>
      <c r="AE142" s="57">
        <f t="shared" si="44"/>
        <v>0</v>
      </c>
      <c r="AF142" s="57">
        <f t="shared" si="44"/>
        <v>0</v>
      </c>
      <c r="AG142" s="57">
        <f t="shared" si="44"/>
        <v>0</v>
      </c>
      <c r="AH142" s="57">
        <f t="shared" si="44"/>
        <v>0</v>
      </c>
      <c r="AI142" s="57">
        <f t="shared" si="44"/>
        <v>0</v>
      </c>
      <c r="AJ142" s="57">
        <f t="shared" si="44"/>
        <v>0</v>
      </c>
      <c r="AK142" s="57">
        <f t="shared" si="44"/>
        <v>0</v>
      </c>
      <c r="AL142" s="57">
        <f t="shared" si="44"/>
        <v>0</v>
      </c>
      <c r="AM142" s="57">
        <f t="shared" si="44"/>
        <v>0</v>
      </c>
      <c r="AN142" s="57">
        <f t="shared" si="44"/>
        <v>0</v>
      </c>
      <c r="AO142" s="57">
        <f t="shared" si="44"/>
        <v>0</v>
      </c>
      <c r="AP142" s="57">
        <f t="shared" si="44"/>
        <v>0</v>
      </c>
      <c r="AQ142" s="57">
        <f t="shared" si="44"/>
        <v>0</v>
      </c>
      <c r="AR142" s="57">
        <f t="shared" si="44"/>
        <v>0</v>
      </c>
      <c r="AS142" s="57">
        <f t="shared" si="44"/>
        <v>0</v>
      </c>
      <c r="AT142" s="57">
        <f t="shared" si="44"/>
        <v>0</v>
      </c>
      <c r="AU142" s="57">
        <f t="shared" si="44"/>
        <v>0</v>
      </c>
      <c r="AV142" s="57">
        <f t="shared" si="44"/>
        <v>0</v>
      </c>
      <c r="AW142" s="57">
        <f t="shared" si="44"/>
        <v>0</v>
      </c>
      <c r="AX142" s="57">
        <f t="shared" si="44"/>
        <v>0</v>
      </c>
      <c r="AY142" s="57">
        <f t="shared" si="44"/>
        <v>0</v>
      </c>
      <c r="AZ142" s="57">
        <f t="shared" si="44"/>
        <v>0</v>
      </c>
      <c r="BA142" s="57">
        <f t="shared" si="44"/>
        <v>0</v>
      </c>
      <c r="BB142" s="57">
        <f t="shared" si="44"/>
        <v>0</v>
      </c>
      <c r="BC142" s="57">
        <f t="shared" si="44"/>
        <v>0</v>
      </c>
      <c r="BD142" s="57">
        <f t="shared" si="44"/>
        <v>0</v>
      </c>
      <c r="BE142" s="57">
        <f t="shared" si="44"/>
        <v>0</v>
      </c>
      <c r="BF142" s="57">
        <f t="shared" si="44"/>
        <v>0</v>
      </c>
      <c r="BG142" s="57">
        <f t="shared" si="44"/>
        <v>0</v>
      </c>
      <c r="BH142" s="57">
        <f t="shared" si="44"/>
        <v>0</v>
      </c>
      <c r="BI142" s="57">
        <f t="shared" si="44"/>
        <v>0</v>
      </c>
      <c r="BJ142" s="57">
        <f t="shared" si="44"/>
        <v>0</v>
      </c>
      <c r="BK142" s="57">
        <f t="shared" si="44"/>
        <v>0</v>
      </c>
      <c r="BL142" s="57">
        <f t="shared" si="44"/>
        <v>0</v>
      </c>
      <c r="BM142" s="57">
        <f t="shared" si="44"/>
        <v>0</v>
      </c>
      <c r="BN142" s="57">
        <f t="shared" ref="BN142:DY142" si="45">BN83+BN141</f>
        <v>0</v>
      </c>
      <c r="BO142" s="57">
        <f t="shared" si="45"/>
        <v>0</v>
      </c>
      <c r="BP142" s="57">
        <f t="shared" si="45"/>
        <v>0</v>
      </c>
      <c r="BQ142" s="57">
        <f t="shared" si="45"/>
        <v>0</v>
      </c>
      <c r="BR142" s="57">
        <f t="shared" si="45"/>
        <v>0</v>
      </c>
      <c r="BS142" s="57">
        <f t="shared" si="45"/>
        <v>0</v>
      </c>
      <c r="BT142" s="57">
        <f t="shared" si="45"/>
        <v>0</v>
      </c>
      <c r="BU142" s="57">
        <f t="shared" si="45"/>
        <v>0</v>
      </c>
      <c r="BV142" s="57">
        <f t="shared" si="45"/>
        <v>0</v>
      </c>
      <c r="BW142" s="57">
        <f t="shared" si="45"/>
        <v>0</v>
      </c>
      <c r="BX142" s="57">
        <f t="shared" si="45"/>
        <v>0</v>
      </c>
      <c r="BY142" s="57">
        <f t="shared" si="45"/>
        <v>0</v>
      </c>
      <c r="BZ142" s="57">
        <f t="shared" si="45"/>
        <v>0</v>
      </c>
      <c r="CA142" s="57">
        <f t="shared" si="45"/>
        <v>0</v>
      </c>
      <c r="CB142" s="57">
        <f t="shared" si="45"/>
        <v>0</v>
      </c>
      <c r="CC142" s="57">
        <f t="shared" si="45"/>
        <v>0</v>
      </c>
      <c r="CD142" s="57">
        <f t="shared" si="45"/>
        <v>0</v>
      </c>
      <c r="CE142" s="57">
        <f t="shared" si="45"/>
        <v>0</v>
      </c>
      <c r="CF142" s="57">
        <f t="shared" si="45"/>
        <v>0</v>
      </c>
      <c r="CG142" s="57">
        <f t="shared" si="45"/>
        <v>0</v>
      </c>
      <c r="CH142" s="57">
        <f t="shared" si="45"/>
        <v>0</v>
      </c>
      <c r="CI142" s="57">
        <f t="shared" si="45"/>
        <v>0</v>
      </c>
      <c r="CJ142" s="57">
        <f t="shared" si="45"/>
        <v>0</v>
      </c>
      <c r="CK142" s="57">
        <f t="shared" si="45"/>
        <v>0</v>
      </c>
      <c r="CL142" s="57">
        <f t="shared" si="45"/>
        <v>0</v>
      </c>
      <c r="CM142" s="57">
        <f t="shared" si="45"/>
        <v>0</v>
      </c>
      <c r="CN142" s="57">
        <f t="shared" si="45"/>
        <v>0</v>
      </c>
      <c r="CO142" s="57">
        <f t="shared" si="45"/>
        <v>0</v>
      </c>
      <c r="CP142" s="57">
        <f t="shared" si="45"/>
        <v>0</v>
      </c>
      <c r="CQ142" s="57">
        <f t="shared" si="45"/>
        <v>0</v>
      </c>
      <c r="CR142" s="57">
        <f t="shared" si="45"/>
        <v>0</v>
      </c>
      <c r="CS142" s="57">
        <f t="shared" si="45"/>
        <v>0</v>
      </c>
      <c r="CT142" s="57">
        <f t="shared" si="45"/>
        <v>0</v>
      </c>
      <c r="CU142" s="57">
        <f t="shared" si="45"/>
        <v>0</v>
      </c>
      <c r="CV142" s="57">
        <f t="shared" si="45"/>
        <v>0</v>
      </c>
      <c r="CW142" s="57">
        <f t="shared" si="45"/>
        <v>0</v>
      </c>
      <c r="CX142" s="57">
        <f t="shared" si="45"/>
        <v>0</v>
      </c>
      <c r="CY142" s="57">
        <f t="shared" si="45"/>
        <v>0</v>
      </c>
      <c r="CZ142" s="57">
        <f t="shared" si="45"/>
        <v>0</v>
      </c>
      <c r="DA142" s="57">
        <f t="shared" si="45"/>
        <v>0</v>
      </c>
      <c r="DB142" s="57">
        <f t="shared" si="45"/>
        <v>0</v>
      </c>
      <c r="DC142" s="57">
        <f t="shared" si="45"/>
        <v>0</v>
      </c>
      <c r="DD142" s="57">
        <f t="shared" si="45"/>
        <v>0</v>
      </c>
      <c r="DE142" s="57">
        <f t="shared" si="45"/>
        <v>0</v>
      </c>
      <c r="DF142" s="57">
        <f t="shared" si="45"/>
        <v>0</v>
      </c>
      <c r="DG142" s="57">
        <f t="shared" si="45"/>
        <v>0</v>
      </c>
      <c r="DH142" s="57">
        <f t="shared" si="45"/>
        <v>0</v>
      </c>
      <c r="DI142" s="57">
        <f t="shared" si="45"/>
        <v>0</v>
      </c>
      <c r="DJ142" s="57">
        <f t="shared" si="45"/>
        <v>0</v>
      </c>
      <c r="DK142" s="57">
        <f t="shared" si="45"/>
        <v>0</v>
      </c>
      <c r="DL142" s="57">
        <f t="shared" si="45"/>
        <v>0</v>
      </c>
      <c r="DM142" s="57">
        <f t="shared" si="45"/>
        <v>0</v>
      </c>
      <c r="DN142" s="57">
        <f t="shared" si="45"/>
        <v>0</v>
      </c>
      <c r="DO142" s="57">
        <f t="shared" si="45"/>
        <v>0</v>
      </c>
      <c r="DP142" s="57">
        <f t="shared" si="45"/>
        <v>0</v>
      </c>
      <c r="DQ142" s="57">
        <f t="shared" si="45"/>
        <v>0</v>
      </c>
      <c r="DR142" s="57">
        <f t="shared" si="45"/>
        <v>0</v>
      </c>
      <c r="DS142" s="57">
        <f t="shared" si="45"/>
        <v>0</v>
      </c>
      <c r="DT142" s="57">
        <f t="shared" si="45"/>
        <v>0</v>
      </c>
      <c r="DU142" s="57">
        <f t="shared" si="45"/>
        <v>0</v>
      </c>
      <c r="DV142" s="57">
        <f t="shared" si="45"/>
        <v>0</v>
      </c>
      <c r="DW142" s="57">
        <f t="shared" si="45"/>
        <v>0</v>
      </c>
      <c r="DX142" s="57">
        <f t="shared" si="45"/>
        <v>0</v>
      </c>
      <c r="DY142" s="57">
        <f t="shared" si="45"/>
        <v>0</v>
      </c>
      <c r="DZ142" s="57">
        <f t="shared" ref="DZ142:GK142" si="46">DZ83+DZ141</f>
        <v>0</v>
      </c>
      <c r="EA142" s="57">
        <f t="shared" si="46"/>
        <v>0</v>
      </c>
      <c r="EB142" s="57">
        <f t="shared" si="46"/>
        <v>0</v>
      </c>
      <c r="EC142" s="57">
        <f t="shared" si="46"/>
        <v>0</v>
      </c>
      <c r="ED142" s="57">
        <f t="shared" si="46"/>
        <v>0</v>
      </c>
      <c r="EE142" s="57">
        <f t="shared" si="46"/>
        <v>0</v>
      </c>
      <c r="EF142" s="57">
        <f t="shared" si="46"/>
        <v>0</v>
      </c>
      <c r="EG142" s="57">
        <f t="shared" si="46"/>
        <v>0</v>
      </c>
      <c r="EH142" s="57">
        <f t="shared" si="46"/>
        <v>0</v>
      </c>
      <c r="EI142" s="57">
        <f t="shared" si="46"/>
        <v>0</v>
      </c>
      <c r="EJ142" s="57">
        <f t="shared" si="46"/>
        <v>0</v>
      </c>
      <c r="EK142" s="57">
        <f t="shared" si="46"/>
        <v>0</v>
      </c>
      <c r="EL142" s="57">
        <f t="shared" si="46"/>
        <v>0</v>
      </c>
      <c r="EM142" s="57">
        <f t="shared" si="46"/>
        <v>0</v>
      </c>
      <c r="EN142" s="57">
        <f t="shared" si="46"/>
        <v>0</v>
      </c>
      <c r="EO142" s="57">
        <f t="shared" si="46"/>
        <v>0</v>
      </c>
      <c r="EP142" s="57">
        <f t="shared" si="46"/>
        <v>0</v>
      </c>
      <c r="EQ142" s="57">
        <f t="shared" si="46"/>
        <v>0</v>
      </c>
      <c r="ER142" s="57">
        <f t="shared" si="46"/>
        <v>0</v>
      </c>
      <c r="ES142" s="57">
        <f t="shared" si="46"/>
        <v>0</v>
      </c>
      <c r="ET142" s="57">
        <f t="shared" si="46"/>
        <v>0</v>
      </c>
      <c r="EU142" s="57">
        <f t="shared" si="46"/>
        <v>0</v>
      </c>
      <c r="EV142" s="57">
        <f t="shared" si="46"/>
        <v>0</v>
      </c>
      <c r="EW142" s="57">
        <f t="shared" si="46"/>
        <v>0</v>
      </c>
      <c r="EX142" s="57">
        <f t="shared" si="46"/>
        <v>0</v>
      </c>
      <c r="EY142" s="57">
        <f t="shared" si="46"/>
        <v>0</v>
      </c>
      <c r="EZ142" s="57">
        <f t="shared" si="46"/>
        <v>0</v>
      </c>
      <c r="FA142" s="57">
        <f t="shared" si="46"/>
        <v>0</v>
      </c>
      <c r="FB142" s="57">
        <f t="shared" si="46"/>
        <v>0</v>
      </c>
      <c r="FC142" s="57">
        <f t="shared" si="46"/>
        <v>0</v>
      </c>
      <c r="FD142" s="57">
        <f t="shared" si="46"/>
        <v>0</v>
      </c>
      <c r="FE142" s="57">
        <f t="shared" si="46"/>
        <v>0</v>
      </c>
      <c r="FF142" s="57">
        <f t="shared" si="46"/>
        <v>0</v>
      </c>
      <c r="FG142" s="57">
        <f t="shared" si="46"/>
        <v>0</v>
      </c>
      <c r="FH142" s="57">
        <f t="shared" si="46"/>
        <v>0</v>
      </c>
      <c r="FI142" s="57">
        <f t="shared" si="46"/>
        <v>0</v>
      </c>
      <c r="FJ142" s="57">
        <f t="shared" si="46"/>
        <v>0</v>
      </c>
      <c r="FK142" s="57">
        <f t="shared" si="46"/>
        <v>0</v>
      </c>
      <c r="FL142" s="57">
        <f t="shared" si="46"/>
        <v>0</v>
      </c>
      <c r="FM142" s="57">
        <f t="shared" si="46"/>
        <v>0</v>
      </c>
      <c r="FN142" s="57">
        <f t="shared" si="46"/>
        <v>0</v>
      </c>
      <c r="FO142" s="57">
        <f t="shared" si="46"/>
        <v>0</v>
      </c>
      <c r="FP142" s="57">
        <f t="shared" si="46"/>
        <v>0</v>
      </c>
      <c r="FQ142" s="57">
        <f t="shared" si="46"/>
        <v>0</v>
      </c>
      <c r="FR142" s="57">
        <f t="shared" si="46"/>
        <v>0</v>
      </c>
      <c r="FS142" s="57">
        <f t="shared" si="46"/>
        <v>0</v>
      </c>
      <c r="FT142" s="57">
        <f t="shared" si="46"/>
        <v>0</v>
      </c>
      <c r="FU142" s="57">
        <f t="shared" si="46"/>
        <v>0</v>
      </c>
      <c r="FV142" s="57">
        <f t="shared" si="46"/>
        <v>0</v>
      </c>
      <c r="FW142" s="57">
        <f t="shared" si="46"/>
        <v>0</v>
      </c>
      <c r="FX142" s="57">
        <f t="shared" si="46"/>
        <v>0</v>
      </c>
      <c r="FY142" s="57">
        <f t="shared" si="46"/>
        <v>0</v>
      </c>
      <c r="FZ142" s="57">
        <f t="shared" si="46"/>
        <v>0</v>
      </c>
      <c r="GA142" s="57">
        <f t="shared" si="46"/>
        <v>0</v>
      </c>
      <c r="GB142" s="57">
        <f t="shared" si="46"/>
        <v>0</v>
      </c>
      <c r="GC142" s="57">
        <f t="shared" si="46"/>
        <v>0</v>
      </c>
      <c r="GD142" s="57">
        <f t="shared" si="46"/>
        <v>0</v>
      </c>
      <c r="GE142" s="57">
        <f t="shared" si="46"/>
        <v>0</v>
      </c>
      <c r="GF142" s="57">
        <f t="shared" si="46"/>
        <v>0</v>
      </c>
      <c r="GG142" s="57">
        <f t="shared" si="46"/>
        <v>0</v>
      </c>
      <c r="GH142" s="57">
        <f t="shared" si="46"/>
        <v>0</v>
      </c>
      <c r="GI142" s="57">
        <f t="shared" si="46"/>
        <v>0</v>
      </c>
      <c r="GJ142" s="57">
        <f t="shared" si="46"/>
        <v>0</v>
      </c>
      <c r="GK142" s="57">
        <f t="shared" si="46"/>
        <v>0</v>
      </c>
      <c r="GL142" s="57">
        <f t="shared" ref="GL142:IL142" si="47">GL83+GL141</f>
        <v>0</v>
      </c>
      <c r="GM142" s="57">
        <f t="shared" si="47"/>
        <v>0</v>
      </c>
      <c r="GN142" s="57">
        <f t="shared" si="47"/>
        <v>0</v>
      </c>
      <c r="GO142" s="57">
        <f t="shared" si="47"/>
        <v>0</v>
      </c>
      <c r="GP142" s="57">
        <f t="shared" si="47"/>
        <v>0</v>
      </c>
      <c r="GQ142" s="57">
        <f t="shared" si="47"/>
        <v>0</v>
      </c>
      <c r="GR142" s="57">
        <f t="shared" si="47"/>
        <v>0</v>
      </c>
      <c r="GS142" s="57">
        <f t="shared" si="47"/>
        <v>0</v>
      </c>
      <c r="GT142" s="57">
        <f t="shared" si="47"/>
        <v>0</v>
      </c>
      <c r="GU142" s="57">
        <f t="shared" si="47"/>
        <v>0</v>
      </c>
      <c r="GV142" s="57">
        <f t="shared" si="47"/>
        <v>0</v>
      </c>
      <c r="GW142" s="57">
        <f t="shared" si="47"/>
        <v>0</v>
      </c>
      <c r="GX142" s="57">
        <f t="shared" si="47"/>
        <v>0</v>
      </c>
      <c r="GY142" s="57">
        <f t="shared" si="47"/>
        <v>0</v>
      </c>
      <c r="GZ142" s="57">
        <f t="shared" si="47"/>
        <v>0</v>
      </c>
      <c r="HA142" s="57">
        <f t="shared" si="47"/>
        <v>0</v>
      </c>
      <c r="HB142" s="57">
        <f t="shared" si="47"/>
        <v>0</v>
      </c>
      <c r="HC142" s="57">
        <f t="shared" si="47"/>
        <v>0</v>
      </c>
      <c r="HD142" s="57">
        <f t="shared" si="47"/>
        <v>0</v>
      </c>
      <c r="HE142" s="57">
        <f t="shared" si="47"/>
        <v>0</v>
      </c>
      <c r="HF142" s="57">
        <f t="shared" si="47"/>
        <v>0</v>
      </c>
      <c r="HG142" s="57">
        <f t="shared" si="47"/>
        <v>0</v>
      </c>
      <c r="HH142" s="57">
        <f t="shared" si="47"/>
        <v>0</v>
      </c>
      <c r="HI142" s="57">
        <f t="shared" si="47"/>
        <v>0</v>
      </c>
      <c r="HJ142" s="57">
        <f t="shared" si="47"/>
        <v>0</v>
      </c>
      <c r="HK142" s="57">
        <f t="shared" si="47"/>
        <v>0</v>
      </c>
      <c r="HL142" s="57">
        <f t="shared" si="47"/>
        <v>0</v>
      </c>
      <c r="HM142" s="57">
        <f t="shared" si="47"/>
        <v>0</v>
      </c>
      <c r="HN142" s="57">
        <f t="shared" si="47"/>
        <v>0</v>
      </c>
      <c r="HO142" s="57">
        <f t="shared" si="47"/>
        <v>0</v>
      </c>
      <c r="HP142" s="57">
        <f t="shared" si="47"/>
        <v>0</v>
      </c>
      <c r="HQ142" s="57">
        <f t="shared" si="47"/>
        <v>0</v>
      </c>
      <c r="HR142" s="57">
        <f t="shared" si="47"/>
        <v>0</v>
      </c>
      <c r="HS142" s="57">
        <f t="shared" si="47"/>
        <v>0</v>
      </c>
      <c r="HT142" s="57">
        <f t="shared" si="47"/>
        <v>0</v>
      </c>
      <c r="HU142" s="57">
        <f t="shared" si="47"/>
        <v>0</v>
      </c>
      <c r="HV142" s="57">
        <f t="shared" si="47"/>
        <v>0</v>
      </c>
      <c r="HW142" s="57">
        <f t="shared" si="47"/>
        <v>0</v>
      </c>
      <c r="HX142" s="57">
        <f t="shared" si="47"/>
        <v>0</v>
      </c>
      <c r="HY142" s="57">
        <f t="shared" si="47"/>
        <v>0</v>
      </c>
      <c r="HZ142" s="57">
        <f t="shared" si="47"/>
        <v>0</v>
      </c>
      <c r="IA142" s="57">
        <f t="shared" si="47"/>
        <v>0</v>
      </c>
      <c r="IB142" s="57">
        <f t="shared" si="47"/>
        <v>0</v>
      </c>
      <c r="IC142" s="57">
        <f t="shared" si="47"/>
        <v>0</v>
      </c>
      <c r="ID142" s="57">
        <f t="shared" si="47"/>
        <v>0</v>
      </c>
      <c r="IE142" s="57">
        <f t="shared" si="47"/>
        <v>0</v>
      </c>
      <c r="IF142" s="57">
        <f t="shared" si="47"/>
        <v>0</v>
      </c>
      <c r="IG142" s="57">
        <f t="shared" si="47"/>
        <v>0</v>
      </c>
      <c r="IH142" s="57">
        <f t="shared" si="47"/>
        <v>0</v>
      </c>
      <c r="II142" s="57">
        <f t="shared" si="47"/>
        <v>0</v>
      </c>
      <c r="IJ142" s="57">
        <f t="shared" si="47"/>
        <v>0</v>
      </c>
      <c r="IK142" s="57">
        <f t="shared" si="47"/>
        <v>0</v>
      </c>
      <c r="IL142" s="57">
        <f t="shared" si="47"/>
        <v>0</v>
      </c>
    </row>
  </sheetData>
  <mergeCells count="4">
    <mergeCell ref="A1:N1"/>
    <mergeCell ref="A12:N12"/>
    <mergeCell ref="A18:Z18"/>
    <mergeCell ref="A81:Z8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BBF5-0BEF-4DEA-9A76-3E262377FFE8}">
  <dimension ref="B2:N65"/>
  <sheetViews>
    <sheetView tabSelected="1" topLeftCell="A4" workbookViewId="0">
      <selection activeCell="D10" sqref="D10"/>
    </sheetView>
  </sheetViews>
  <sheetFormatPr defaultRowHeight="14.4" outlineLevelCol="1" x14ac:dyDescent="0.3"/>
  <cols>
    <col min="1" max="1" width="2.77734375" customWidth="1"/>
    <col min="2" max="2" width="24.109375" customWidth="1"/>
    <col min="3" max="6" width="22.21875" customWidth="1"/>
    <col min="7" max="7" width="2.77734375" customWidth="1"/>
    <col min="8" max="8" width="33.33203125" customWidth="1"/>
    <col min="9" max="9" width="20.33203125" customWidth="1"/>
    <col min="10" max="10" width="13" customWidth="1"/>
    <col min="12" max="14" width="8.88671875" outlineLevel="1"/>
  </cols>
  <sheetData>
    <row r="2" spans="2:14" ht="45" customHeight="1" x14ac:dyDescent="0.5">
      <c r="B2" s="75" t="s">
        <v>63</v>
      </c>
      <c r="C2" s="75"/>
      <c r="D2" s="75"/>
      <c r="E2" s="75"/>
      <c r="F2" s="75"/>
      <c r="G2" s="75"/>
      <c r="H2" s="75"/>
      <c r="I2" s="75"/>
      <c r="J2" s="75"/>
    </row>
    <row r="4" spans="2:14" x14ac:dyDescent="0.3">
      <c r="B4" s="76" t="s">
        <v>64</v>
      </c>
      <c r="C4" s="76"/>
      <c r="D4" s="76"/>
      <c r="E4" s="76"/>
    </row>
    <row r="5" spans="2:14" x14ac:dyDescent="0.3">
      <c r="B5" s="17" t="s">
        <v>65</v>
      </c>
      <c r="C5" s="17" t="s">
        <v>66</v>
      </c>
      <c r="D5" s="17" t="s">
        <v>0</v>
      </c>
      <c r="E5" s="17" t="s">
        <v>28</v>
      </c>
    </row>
    <row r="6" spans="2:14" x14ac:dyDescent="0.3">
      <c r="B6" s="19">
        <f ca="1">DATE(YEAR(TODAY()),1,1)</f>
        <v>46023</v>
      </c>
      <c r="C6" s="19">
        <f ca="1">DATE(YEAR(TODAY()),12,1)</f>
        <v>46357</v>
      </c>
      <c r="D6" s="18" t="s">
        <v>67</v>
      </c>
      <c r="E6" s="18" t="s">
        <v>68</v>
      </c>
    </row>
    <row r="8" spans="2:14" ht="34.950000000000003" customHeight="1" x14ac:dyDescent="0.3">
      <c r="B8" s="20" t="s">
        <v>69</v>
      </c>
      <c r="C8" s="21" t="s">
        <v>70</v>
      </c>
      <c r="D8" s="22" t="s">
        <v>71</v>
      </c>
      <c r="E8" s="23" t="s">
        <v>72</v>
      </c>
    </row>
    <row r="9" spans="2:14" ht="34.950000000000003" customHeight="1" x14ac:dyDescent="0.4">
      <c r="B9" s="33">
        <f ca="1">SUMIFS(Lançamentos!$F:$F,Lançamentos!$H:$H,"&gt;="&amp;$B$6,Lançamentos!$H:$H,"&lt;="&amp;$C$6,Lançamentos!$C:$C,IF($D$6="Todas","*",$D$6),Lançamentos!$G:$G,IF($E$6="Todos","*",$E$6),Lançamentos!$D:$D,"Entrada")</f>
        <v>20878.129999999965</v>
      </c>
      <c r="C9" s="34">
        <f ca="1">SUMIFS(Lançamentos!$F:$F,Lançamentos!$H:$H,"&gt;="&amp;$B$6,Lançamentos!$H:$H,"&lt;="&amp;$C$6,Lançamentos!$C:$C,IF($D$6="Todas","*",$D$6),Lançamentos!$G:$G,IF($E$6="Todos","*",$E$6),Lançamentos!$D:$D,"Saída")</f>
        <v>-17711.340000000004</v>
      </c>
      <c r="D9" s="35">
        <f ca="1">B9+C9</f>
        <v>3166.7899999999609</v>
      </c>
      <c r="E9" s="36">
        <f ca="1">SUM(Categorias!F2:F4)+SUMIFS(Lançamentos!$F:$F,Lançamentos!$H:$H,"&lt;="&amp;$C$6)</f>
        <v>3166.789999999995</v>
      </c>
    </row>
    <row r="11" spans="2:14" x14ac:dyDescent="0.3">
      <c r="B11" s="76" t="s">
        <v>73</v>
      </c>
      <c r="C11" s="76"/>
      <c r="D11" s="76"/>
      <c r="E11" s="76"/>
      <c r="F11" s="76"/>
      <c r="H11" s="77" t="s">
        <v>78</v>
      </c>
      <c r="I11" s="77"/>
      <c r="J11" s="77"/>
    </row>
    <row r="12" spans="2:14" x14ac:dyDescent="0.3">
      <c r="B12" s="17" t="s">
        <v>37</v>
      </c>
      <c r="C12" s="17" t="s">
        <v>74</v>
      </c>
      <c r="D12" s="17" t="s">
        <v>75</v>
      </c>
      <c r="E12" s="17" t="s">
        <v>76</v>
      </c>
      <c r="F12" s="17" t="s">
        <v>77</v>
      </c>
      <c r="H12" s="26" t="s">
        <v>0</v>
      </c>
      <c r="I12" s="26" t="s">
        <v>36</v>
      </c>
      <c r="J12" s="26" t="s">
        <v>79</v>
      </c>
      <c r="L12" s="68" t="s">
        <v>309</v>
      </c>
      <c r="M12" s="68" t="s">
        <v>310</v>
      </c>
      <c r="N12" s="69" t="s">
        <v>311</v>
      </c>
    </row>
    <row r="13" spans="2:14" x14ac:dyDescent="0.3">
      <c r="B13" s="24">
        <f ca="1">IF(EDATE($B$6,0)&lt;=$C$6,EDATE($B$6,0),"")</f>
        <v>46023</v>
      </c>
      <c r="C13" s="37">
        <f ca="1">IF(B13="","",SUMIFS(Lançamentos!$F:$F,Lançamentos!$H:$H,B13,Lançamentos!$C:$C,IF($D$6="Todas","*",$D$6),Lançamentos!$G:$G,IF($E$6="Todos","*",$E$6),Lançamentos!$D:$D,"Entrada"))</f>
        <v>0</v>
      </c>
      <c r="D13" s="37">
        <f ca="1">IF(B13="","",SUMIFS(Lançamentos!$F:$F,Lançamentos!$H:$H,B13,Lançamentos!$C:$C,IF($D$6="Todas","*",$D$6),Lançamentos!$G:$G,IF($E$6="Todos","*",$E$6),Lançamentos!$D:$D,"Saída"))</f>
        <v>0</v>
      </c>
      <c r="E13" s="37">
        <f ca="1">IF(B13="","",C13+D13)</f>
        <v>0</v>
      </c>
      <c r="F13" s="37">
        <f ca="1">IF(B13="","",SUM(Categorias!F2:F4)+E13)</f>
        <v>0</v>
      </c>
      <c r="H13" t="str">
        <f t="shared" ref="H13:H24" ca="1" si="0">IFERROR(INDEX($L$13:$L$65,MATCH(I13,$N$13:$N$65,0)),"")</f>
        <v>Pagamento de Fornecedores</v>
      </c>
      <c r="I13" s="37" cm="1">
        <f t="array" aca="1" ref="I13" ca="1">IFERROR(SMALL(IF(($M$13:$M$65="Saída")*($N$13:$N$65&lt;0),$N$13:$N$65),1),"")</f>
        <v>-14865.69</v>
      </c>
      <c r="J13" s="32">
        <f t="shared" ref="J13:J24" ca="1" si="1">IFERROR(I13/SUMIFS($N$13:$N$65,$M$13:$M$65,"Saída"),0)</f>
        <v>0.83933175016684225</v>
      </c>
      <c r="L13" t="str">
        <f>Categorias!A2</f>
        <v>Vendas de Produtos</v>
      </c>
      <c r="M13" t="str">
        <f>Categorias!B2</f>
        <v>Entrada</v>
      </c>
      <c r="N13" s="37">
        <f ca="1">SUMIFS(Lançamentos!$F:$F,Lançamentos!$H:$H,"&gt;="&amp;$B$6,Lançamentos!$H:$H,"&lt;="&amp;$C$6,Lançamentos!$C:$C,L13,Lançamentos!$G:$G,IF($E$6="Todos","*",$E$6))</f>
        <v>20878.129999999965</v>
      </c>
    </row>
    <row r="14" spans="2:14" x14ac:dyDescent="0.3">
      <c r="B14" s="24">
        <f ca="1">IF(EDATE($B$6,1)&lt;=$C$6,EDATE($B$6,1),"")</f>
        <v>46054</v>
      </c>
      <c r="C14" s="37">
        <f ca="1">IF(B14="","",SUMIFS(Lançamentos!$F:$F,Lançamentos!$H:$H,B14,Lançamentos!$C:$C,IF($D$6="Todas","*",$D$6),Lançamentos!$G:$G,IF($E$6="Todos","*",$E$6),Lançamentos!$D:$D,"Entrada"))</f>
        <v>0</v>
      </c>
      <c r="D14" s="37">
        <f ca="1">IF(B14="","",SUMIFS(Lançamentos!$F:$F,Lançamentos!$H:$H,B14,Lançamentos!$C:$C,IF($D$6="Todas","*",$D$6),Lançamentos!$G:$G,IF($E$6="Todos","*",$E$6),Lançamentos!$D:$D,"Saída"))</f>
        <v>0</v>
      </c>
      <c r="E14" s="37">
        <f t="shared" ref="E14:E24" ca="1" si="2">IF(B14="","",C14+D14)</f>
        <v>0</v>
      </c>
      <c r="F14" s="37">
        <f t="shared" ref="F14:F24" ca="1" si="3">IF(B14="","",F13+E14)</f>
        <v>0</v>
      </c>
      <c r="H14" t="str">
        <f t="shared" ca="1" si="0"/>
        <v>Aluguel</v>
      </c>
      <c r="I14" s="37" cm="1">
        <f t="array" aca="1" ref="I14" ca="1">IFERROR(SMALL(IF(($M$13:$M$65="Saída")*($N$13:$N$65&lt;0),$N$13:$N$65),2),"")</f>
        <v>-2474.1799999999998</v>
      </c>
      <c r="J14" s="32">
        <f t="shared" ca="1" si="1"/>
        <v>0.13969468148655043</v>
      </c>
      <c r="L14" t="str">
        <f>Categorias!A3</f>
        <v>Vendas de Serviços</v>
      </c>
      <c r="M14" t="str">
        <f>Categorias!B3</f>
        <v>Entrada</v>
      </c>
      <c r="N14" s="37">
        <f ca="1">SUMIFS(Lançamentos!$F:$F,Lançamentos!$H:$H,"&gt;="&amp;$B$6,Lançamentos!$H:$H,"&lt;="&amp;$C$6,Lançamentos!$C:$C,L14,Lançamentos!$G:$G,IF($E$6="Todos","*",$E$6))</f>
        <v>0</v>
      </c>
    </row>
    <row r="15" spans="2:14" x14ac:dyDescent="0.3">
      <c r="B15" s="24">
        <f ca="1">IF(EDATE($B$6,2)&lt;=$C$6,EDATE($B$6,2),"")</f>
        <v>46082</v>
      </c>
      <c r="C15" s="37">
        <f ca="1">IF(B15="","",SUMIFS(Lançamentos!$F:$F,Lançamentos!$H:$H,B15,Lançamentos!$C:$C,IF($D$6="Todas","*",$D$6),Lançamentos!$G:$G,IF($E$6="Todos","*",$E$6),Lançamentos!$D:$D,"Entrada"))</f>
        <v>0</v>
      </c>
      <c r="D15" s="37">
        <f ca="1">IF(B15="","",SUMIFS(Lançamentos!$F:$F,Lançamentos!$H:$H,B15,Lançamentos!$C:$C,IF($D$6="Todas","*",$D$6),Lançamentos!$G:$G,IF($E$6="Todos","*",$E$6),Lançamentos!$D:$D,"Saída"))</f>
        <v>0</v>
      </c>
      <c r="E15" s="37">
        <f t="shared" ca="1" si="2"/>
        <v>0</v>
      </c>
      <c r="F15" s="37">
        <f t="shared" ca="1" si="3"/>
        <v>0</v>
      </c>
      <c r="H15" t="str">
        <f t="shared" ca="1" si="0"/>
        <v>Seguros</v>
      </c>
      <c r="I15" s="37" cm="1">
        <f t="array" aca="1" ref="I15" ca="1">IFERROR(SMALL(IF(($M$13:$M$65="Saída")*($N$13:$N$65&lt;0),$N$13:$N$65),3),"")</f>
        <v>-356.9</v>
      </c>
      <c r="J15" s="32">
        <f t="shared" ca="1" si="1"/>
        <v>2.015093155006905E-2</v>
      </c>
      <c r="L15" t="str">
        <f>Categorias!A4</f>
        <v>Outras Receitas</v>
      </c>
      <c r="M15" t="str">
        <f>Categorias!B4</f>
        <v>Entrada</v>
      </c>
      <c r="N15" s="37">
        <f ca="1">SUMIFS(Lançamentos!$F:$F,Lançamentos!$H:$H,"&gt;="&amp;$B$6,Lançamentos!$H:$H,"&lt;="&amp;$C$6,Lançamentos!$C:$C,L15,Lançamentos!$G:$G,IF($E$6="Todos","*",$E$6))</f>
        <v>0</v>
      </c>
    </row>
    <row r="16" spans="2:14" x14ac:dyDescent="0.3">
      <c r="B16" s="24">
        <f ca="1">IF(EDATE($B$6,3)&lt;=$C$6,EDATE($B$6,3),"")</f>
        <v>46113</v>
      </c>
      <c r="C16" s="37">
        <f ca="1">IF(B16="","",SUMIFS(Lançamentos!$F:$F,Lançamentos!$H:$H,B16,Lançamentos!$C:$C,IF($D$6="Todas","*",$D$6),Lançamentos!$G:$G,IF($E$6="Todos","*",$E$6),Lançamentos!$D:$D,"Entrada"))</f>
        <v>0</v>
      </c>
      <c r="D16" s="37">
        <f ca="1">IF(B16="","",SUMIFS(Lançamentos!$F:$F,Lançamentos!$H:$H,B16,Lançamentos!$C:$C,IF($D$6="Todas","*",$D$6),Lançamentos!$G:$G,IF($E$6="Todos","*",$E$6),Lançamentos!$D:$D,"Saída"))</f>
        <v>0</v>
      </c>
      <c r="E16" s="37">
        <f t="shared" ca="1" si="2"/>
        <v>0</v>
      </c>
      <c r="F16" s="37">
        <f t="shared" ca="1" si="3"/>
        <v>0</v>
      </c>
      <c r="H16" t="str">
        <f t="shared" ca="1" si="0"/>
        <v>Juros e Tarifas Bancárias</v>
      </c>
      <c r="I16" s="37" cm="1">
        <f t="array" aca="1" ref="I16" ca="1">IFERROR(SMALL(IF(($M$13:$M$65="Saída")*($N$13:$N$65&lt;0),$N$13:$N$65),4),"")</f>
        <v>-14.569999999999997</v>
      </c>
      <c r="J16" s="32">
        <f t="shared" ca="1" si="1"/>
        <v>8.2263679653826283E-4</v>
      </c>
      <c r="L16" t="str">
        <f>Categorias!A5</f>
        <v>Impostos sobre Vendas</v>
      </c>
      <c r="M16" t="str">
        <f>Categorias!B5</f>
        <v>Saída</v>
      </c>
      <c r="N16" s="37">
        <f ca="1">SUMIFS(Lançamentos!$F:$F,Lançamentos!$H:$H,"&gt;="&amp;$B$6,Lançamentos!$H:$H,"&lt;="&amp;$C$6,Lançamentos!$C:$C,L16,Lançamentos!$G:$G,IF($E$6="Todos","*",$E$6))</f>
        <v>0</v>
      </c>
    </row>
    <row r="17" spans="2:14" x14ac:dyDescent="0.3">
      <c r="B17" s="24">
        <f ca="1">IF(EDATE($B$6,4)&lt;=$C$6,EDATE($B$6,4),"")</f>
        <v>46143</v>
      </c>
      <c r="C17" s="37">
        <f ca="1">IF(B17="","",SUMIFS(Lançamentos!$F:$F,Lançamentos!$H:$H,B17,Lançamentos!$C:$C,IF($D$6="Todas","*",$D$6),Lançamentos!$G:$G,IF($E$6="Todos","*",$E$6),Lançamentos!$D:$D,"Entrada"))</f>
        <v>0</v>
      </c>
      <c r="D17" s="37">
        <f ca="1">IF(B17="","",SUMIFS(Lançamentos!$F:$F,Lançamentos!$H:$H,B17,Lançamentos!$C:$C,IF($D$6="Todas","*",$D$6),Lançamentos!$G:$G,IF($E$6="Todos","*",$E$6),Lançamentos!$D:$D,"Saída"))</f>
        <v>0</v>
      </c>
      <c r="E17" s="37">
        <f t="shared" ca="1" si="2"/>
        <v>0</v>
      </c>
      <c r="F17" s="37">
        <f t="shared" ca="1" si="3"/>
        <v>0</v>
      </c>
      <c r="H17" t="str">
        <f t="shared" ca="1" si="0"/>
        <v/>
      </c>
      <c r="I17" s="37" t="str" cm="1">
        <f t="array" aca="1" ref="I17" ca="1">IFERROR(SMALL(IF(($M$13:$M$65="Saída")*($N$13:$N$65&lt;0),$N$13:$N$65),5),"")</f>
        <v/>
      </c>
      <c r="J17" s="32">
        <f t="shared" ca="1" si="1"/>
        <v>0</v>
      </c>
      <c r="L17" t="str">
        <f>Categorias!A6</f>
        <v>Devoluções</v>
      </c>
      <c r="M17" t="str">
        <f>Categorias!B6</f>
        <v>Saída</v>
      </c>
      <c r="N17" s="37">
        <f ca="1">SUMIFS(Lançamentos!$F:$F,Lançamentos!$H:$H,"&gt;="&amp;$B$6,Lançamentos!$H:$H,"&lt;="&amp;$C$6,Lançamentos!$C:$C,L17,Lançamentos!$G:$G,IF($E$6="Todos","*",$E$6))</f>
        <v>0</v>
      </c>
    </row>
    <row r="18" spans="2:14" x14ac:dyDescent="0.3">
      <c r="B18" s="24">
        <f ca="1">IF(EDATE($B$6,5)&lt;=$C$6,EDATE($B$6,5),"")</f>
        <v>46174</v>
      </c>
      <c r="C18" s="37">
        <f ca="1">IF(B18="","",SUMIFS(Lançamentos!$F:$F,Lançamentos!$H:$H,B18,Lançamentos!$C:$C,IF($D$6="Todas","*",$D$6),Lançamentos!$G:$G,IF($E$6="Todos","*",$E$6),Lançamentos!$D:$D,"Entrada"))</f>
        <v>20878.129999999965</v>
      </c>
      <c r="D18" s="37">
        <f ca="1">IF(B18="","",SUMIFS(Lançamentos!$F:$F,Lançamentos!$H:$H,B18,Lançamentos!$C:$C,IF($D$6="Todas","*",$D$6),Lançamentos!$G:$G,IF($E$6="Todos","*",$E$6),Lançamentos!$D:$D,"Saída"))</f>
        <v>-17711.340000000004</v>
      </c>
      <c r="E18" s="37">
        <f t="shared" ca="1" si="2"/>
        <v>3166.7899999999609</v>
      </c>
      <c r="F18" s="37">
        <f t="shared" ca="1" si="3"/>
        <v>3166.7899999999609</v>
      </c>
      <c r="H18" t="str">
        <f t="shared" ca="1" si="0"/>
        <v/>
      </c>
      <c r="I18" s="37" t="str" cm="1">
        <f t="array" aca="1" ref="I18" ca="1">IFERROR(SMALL(IF(($M$13:$M$65="Saída")*($N$13:$N$65&lt;0),$N$13:$N$65),6),"")</f>
        <v/>
      </c>
      <c r="J18" s="32">
        <f t="shared" ca="1" si="1"/>
        <v>0</v>
      </c>
      <c r="L18" t="str">
        <f>Categorias!A7</f>
        <v>Custo de Mercadoria Vendida</v>
      </c>
      <c r="M18" t="str">
        <f>Categorias!B7</f>
        <v>Saída</v>
      </c>
      <c r="N18" s="37">
        <f ca="1">SUMIFS(Lançamentos!$F:$F,Lançamentos!$H:$H,"&gt;="&amp;$B$6,Lançamentos!$H:$H,"&lt;="&amp;$C$6,Lançamentos!$C:$C,L18,Lançamentos!$G:$G,IF($E$6="Todos","*",$E$6))</f>
        <v>0</v>
      </c>
    </row>
    <row r="19" spans="2:14" x14ac:dyDescent="0.3">
      <c r="B19" s="24">
        <f ca="1">IF(EDATE($B$6,6)&lt;=$C$6,EDATE($B$6,6),"")</f>
        <v>46204</v>
      </c>
      <c r="C19" s="37">
        <f ca="1">IF(B19="","",SUMIFS(Lançamentos!$F:$F,Lançamentos!$H:$H,B19,Lançamentos!$C:$C,IF($D$6="Todas","*",$D$6),Lançamentos!$G:$G,IF($E$6="Todos","*",$E$6),Lançamentos!$D:$D,"Entrada"))</f>
        <v>0</v>
      </c>
      <c r="D19" s="37">
        <f ca="1">IF(B19="","",SUMIFS(Lançamentos!$F:$F,Lançamentos!$H:$H,B19,Lançamentos!$C:$C,IF($D$6="Todas","*",$D$6),Lançamentos!$G:$G,IF($E$6="Todos","*",$E$6),Lançamentos!$D:$D,"Saída"))</f>
        <v>0</v>
      </c>
      <c r="E19" s="37">
        <f t="shared" ca="1" si="2"/>
        <v>0</v>
      </c>
      <c r="F19" s="37">
        <f t="shared" ca="1" si="3"/>
        <v>3166.7899999999609</v>
      </c>
      <c r="H19" t="str">
        <f t="shared" ca="1" si="0"/>
        <v/>
      </c>
      <c r="I19" s="37" t="str" cm="1">
        <f t="array" aca="1" ref="I19" ca="1">IFERROR(SMALL(IF(($M$13:$M$65="Saída")*($N$13:$N$65&lt;0),$N$13:$N$65),7),"")</f>
        <v/>
      </c>
      <c r="J19" s="32">
        <f t="shared" ca="1" si="1"/>
        <v>0</v>
      </c>
      <c r="L19" t="str">
        <f>Categorias!A8</f>
        <v>Custo de Serviços Prestados</v>
      </c>
      <c r="M19" t="str">
        <f>Categorias!B8</f>
        <v>Saída</v>
      </c>
      <c r="N19" s="37">
        <f ca="1">SUMIFS(Lançamentos!$F:$F,Lançamentos!$H:$H,"&gt;="&amp;$B$6,Lançamentos!$H:$H,"&lt;="&amp;$C$6,Lançamentos!$C:$C,L19,Lançamentos!$G:$G,IF($E$6="Todos","*",$E$6))</f>
        <v>0</v>
      </c>
    </row>
    <row r="20" spans="2:14" x14ac:dyDescent="0.3">
      <c r="B20" s="24">
        <f ca="1">IF(EDATE($B$6,7)&lt;=$C$6,EDATE($B$6,7),"")</f>
        <v>46235</v>
      </c>
      <c r="C20" s="37">
        <f ca="1">IF(B20="","",SUMIFS(Lançamentos!$F:$F,Lançamentos!$H:$H,B20,Lançamentos!$C:$C,IF($D$6="Todas","*",$D$6),Lançamentos!$G:$G,IF($E$6="Todos","*",$E$6),Lançamentos!$D:$D,"Entrada"))</f>
        <v>0</v>
      </c>
      <c r="D20" s="37">
        <f ca="1">IF(B20="","",SUMIFS(Lançamentos!$F:$F,Lançamentos!$H:$H,B20,Lançamentos!$C:$C,IF($D$6="Todas","*",$D$6),Lançamentos!$G:$G,IF($E$6="Todos","*",$E$6),Lançamentos!$D:$D,"Saída"))</f>
        <v>0</v>
      </c>
      <c r="E20" s="37">
        <f t="shared" ca="1" si="2"/>
        <v>0</v>
      </c>
      <c r="F20" s="37">
        <f t="shared" ca="1" si="3"/>
        <v>3166.7899999999609</v>
      </c>
      <c r="H20" t="str">
        <f t="shared" ca="1" si="0"/>
        <v/>
      </c>
      <c r="I20" s="37" t="str" cm="1">
        <f t="array" aca="1" ref="I20" ca="1">IFERROR(SMALL(IF(($M$13:$M$65="Saída")*($N$13:$N$65&lt;0),$N$13:$N$65),8),"")</f>
        <v/>
      </c>
      <c r="J20" s="32">
        <f t="shared" ca="1" si="1"/>
        <v>0</v>
      </c>
      <c r="L20" t="str">
        <f>Categorias!A9</f>
        <v>Salários e Encargos</v>
      </c>
      <c r="M20" t="str">
        <f>Categorias!B9</f>
        <v>Saída</v>
      </c>
      <c r="N20" s="37">
        <f ca="1">SUMIFS(Lançamentos!$F:$F,Lançamentos!$H:$H,"&gt;="&amp;$B$6,Lançamentos!$H:$H,"&lt;="&amp;$C$6,Lançamentos!$C:$C,L20,Lançamentos!$G:$G,IF($E$6="Todos","*",$E$6))</f>
        <v>0</v>
      </c>
    </row>
    <row r="21" spans="2:14" x14ac:dyDescent="0.3">
      <c r="B21" s="24">
        <f ca="1">IF(EDATE($B$6,8)&lt;=$C$6,EDATE($B$6,8),"")</f>
        <v>46266</v>
      </c>
      <c r="C21" s="37">
        <f ca="1">IF(B21="","",SUMIFS(Lançamentos!$F:$F,Lançamentos!$H:$H,B21,Lançamentos!$C:$C,IF($D$6="Todas","*",$D$6),Lançamentos!$G:$G,IF($E$6="Todos","*",$E$6)))</f>
        <v>0</v>
      </c>
      <c r="D21" s="37">
        <f ca="1">IF(B21="","",SUMIFS(Lançamentos!$F:$F,Lançamentos!$H:$H,B21,Lançamentos!$C:$C,IF($D$6="Todas","*",$D$6),Lançamentos!$G:$G,IF($E$6="Todos","*",$E$6)))</f>
        <v>0</v>
      </c>
      <c r="E21" s="37">
        <f t="shared" ca="1" si="2"/>
        <v>0</v>
      </c>
      <c r="F21" s="37">
        <f t="shared" ca="1" si="3"/>
        <v>3166.7899999999609</v>
      </c>
      <c r="H21" t="str">
        <f t="shared" ca="1" si="0"/>
        <v/>
      </c>
      <c r="I21" s="37" t="str" cm="1">
        <f t="array" aca="1" ref="I21" ca="1">IFERROR(SMALL(IF(($M$13:$M$65="Saída")*($N$13:$N$65&lt;0),$N$13:$N$65),9),"")</f>
        <v/>
      </c>
      <c r="J21" s="32">
        <f t="shared" ca="1" si="1"/>
        <v>0</v>
      </c>
      <c r="L21" t="str">
        <f>Categorias!A10</f>
        <v>Aluguel</v>
      </c>
      <c r="M21" t="str">
        <f>Categorias!B10</f>
        <v>Saída</v>
      </c>
      <c r="N21" s="37">
        <f ca="1">SUMIFS(Lançamentos!$F:$F,Lançamentos!$H:$H,"&gt;="&amp;$B$6,Lançamentos!$H:$H,"&lt;="&amp;$C$6,Lançamentos!$C:$C,L21,Lançamentos!$G:$G,IF($E$6="Todos","*",$E$6))</f>
        <v>-2474.1799999999998</v>
      </c>
    </row>
    <row r="22" spans="2:14" x14ac:dyDescent="0.3">
      <c r="B22" s="24">
        <f ca="1">IF(EDATE($B$6,9)&lt;=$C$6,EDATE($B$6,9),"")</f>
        <v>46296</v>
      </c>
      <c r="C22" s="37">
        <f ca="1">IF(B22="","",SUMIFS(Lançamentos!$F:$F,Lançamentos!$H:$H,B22,Lançamentos!$C:$C,IF($D$6="Todas","*",$D$6),Lançamentos!$G:$G,IF($E$6="Todos","*",$E$6)))</f>
        <v>0</v>
      </c>
      <c r="D22" s="37">
        <f ca="1">IF(B22="","",SUMIFS(Lançamentos!$F:$F,Lançamentos!$H:$H,B22,Lançamentos!$C:$C,IF($D$6="Todas","*",$D$6),Lançamentos!$G:$G,IF($E$6="Todos","*",$E$6)))</f>
        <v>0</v>
      </c>
      <c r="E22" s="37">
        <f t="shared" ca="1" si="2"/>
        <v>0</v>
      </c>
      <c r="F22" s="37">
        <f t="shared" ca="1" si="3"/>
        <v>3166.7899999999609</v>
      </c>
      <c r="H22" t="str">
        <f t="shared" ca="1" si="0"/>
        <v/>
      </c>
      <c r="I22" s="37" t="str" cm="1">
        <f t="array" aca="1" ref="I22" ca="1">IFERROR(SMALL(IF(($M$13:$M$65="Saída")*($N$13:$N$65&lt;0),$N$13:$N$65),10),"")</f>
        <v/>
      </c>
      <c r="J22" s="32">
        <f t="shared" ca="1" si="1"/>
        <v>0</v>
      </c>
      <c r="L22" t="str">
        <f>Categorias!A11</f>
        <v>Água, Luz e Internet</v>
      </c>
      <c r="M22" t="str">
        <f>Categorias!B11</f>
        <v>Saída</v>
      </c>
      <c r="N22" s="37">
        <f ca="1">SUMIFS(Lançamentos!$F:$F,Lançamentos!$H:$H,"&gt;="&amp;$B$6,Lançamentos!$H:$H,"&lt;="&amp;$C$6,Lançamentos!$C:$C,L22,Lançamentos!$G:$G,IF($E$6="Todos","*",$E$6))</f>
        <v>0</v>
      </c>
    </row>
    <row r="23" spans="2:14" x14ac:dyDescent="0.3">
      <c r="B23" s="24">
        <f ca="1">IF(EDATE($B$6,10)&lt;=$C$6,EDATE($B$6,10),"")</f>
        <v>46327</v>
      </c>
      <c r="C23" s="37">
        <f ca="1">IF(B23="","",SUMIFS(Lançamentos!$F:$F,Lançamentos!$H:$H,B23,Lançamentos!$C:$C,IF($D$6="Todas","*",$D$6),Lançamentos!$G:$G,IF($E$6="Todos","*",$E$6)))</f>
        <v>0</v>
      </c>
      <c r="D23" s="37">
        <f ca="1">IF(B23="","",SUMIFS(Lançamentos!$F:$F,Lançamentos!$H:$H,B23,Lançamentos!$C:$C,IF($D$6="Todas","*",$D$6),Lançamentos!$G:$G,IF($E$6="Todos","*",$E$6)))</f>
        <v>0</v>
      </c>
      <c r="E23" s="37">
        <f t="shared" ca="1" si="2"/>
        <v>0</v>
      </c>
      <c r="F23" s="37">
        <f t="shared" ca="1" si="3"/>
        <v>3166.7899999999609</v>
      </c>
      <c r="H23" t="str">
        <f t="shared" ca="1" si="0"/>
        <v/>
      </c>
      <c r="I23" s="37" t="str" cm="1">
        <f t="array" aca="1" ref="I23" ca="1">IFERROR(SMALL(IF(($M$13:$M$65="Saída")*($N$13:$N$65&lt;0),$N$13:$N$65),11),"")</f>
        <v/>
      </c>
      <c r="J23" s="32">
        <f t="shared" ca="1" si="1"/>
        <v>0</v>
      </c>
      <c r="L23" t="str">
        <f>Categorias!A12</f>
        <v>Material de Escritório</v>
      </c>
      <c r="M23" t="str">
        <f>Categorias!B12</f>
        <v>Saída</v>
      </c>
      <c r="N23" s="37">
        <f ca="1">SUMIFS(Lançamentos!$F:$F,Lançamentos!$H:$H,"&gt;="&amp;$B$6,Lançamentos!$H:$H,"&lt;="&amp;$C$6,Lançamentos!$C:$C,L23,Lançamentos!$G:$G,IF($E$6="Todos","*",$E$6))</f>
        <v>0</v>
      </c>
    </row>
    <row r="24" spans="2:14" x14ac:dyDescent="0.3">
      <c r="B24" s="24">
        <f ca="1">IF(EDATE($B$6,11)&lt;=$C$6,EDATE($B$6,11),"")</f>
        <v>46357</v>
      </c>
      <c r="C24" s="37">
        <f ca="1">IF(B24="","",SUMIFS(Lançamentos!$F:$F,Lançamentos!$H:$H,B24,Lançamentos!$C:$C,IF($D$6="Todas","*",$D$6),Lançamentos!$G:$G,IF($E$6="Todos","*",$E$6)))</f>
        <v>0</v>
      </c>
      <c r="D24" s="37">
        <f ca="1">IF(B24="","",SUMIFS(Lançamentos!$F:$F,Lançamentos!$H:$H,B24,Lançamentos!$C:$C,IF($D$6="Todas","*",$D$6),Lançamentos!$G:$G,IF($E$6="Todos","*",$E$6)))</f>
        <v>0</v>
      </c>
      <c r="E24" s="37">
        <f t="shared" ca="1" si="2"/>
        <v>0</v>
      </c>
      <c r="F24" s="37">
        <f t="shared" ca="1" si="3"/>
        <v>3166.7899999999609</v>
      </c>
      <c r="H24" t="str">
        <f t="shared" ca="1" si="0"/>
        <v/>
      </c>
      <c r="I24" s="37" t="str" cm="1">
        <f t="array" aca="1" ref="I24" ca="1">IFERROR(SMALL(IF(($M$13:$M$65="Saída")*($N$13:$N$65&lt;0),$N$13:$N$65),12),"")</f>
        <v/>
      </c>
      <c r="J24" s="32">
        <f t="shared" ca="1" si="1"/>
        <v>0</v>
      </c>
      <c r="L24" t="str">
        <f>Categorias!A13</f>
        <v>Marketing e Publicidade</v>
      </c>
      <c r="M24" t="str">
        <f>Categorias!B13</f>
        <v>Saída</v>
      </c>
      <c r="N24" s="37">
        <f ca="1">SUMIFS(Lançamentos!$F:$F,Lançamentos!$H:$H,"&gt;="&amp;$B$6,Lançamentos!$H:$H,"&lt;="&amp;$C$6,Lançamentos!$C:$C,L24,Lançamentos!$G:$G,IF($E$6="Todos","*",$E$6))</f>
        <v>0</v>
      </c>
    </row>
    <row r="25" spans="2:14" x14ac:dyDescent="0.3">
      <c r="H25" s="78" t="s">
        <v>80</v>
      </c>
      <c r="I25" s="78"/>
      <c r="J25" s="78"/>
      <c r="L25" t="str">
        <f>Categorias!A14</f>
        <v>Manutenção</v>
      </c>
      <c r="M25" t="str">
        <f>Categorias!B14</f>
        <v>Saída</v>
      </c>
      <c r="N25" s="37">
        <f ca="1">SUMIFS(Lançamentos!$F:$F,Lançamentos!$H:$H,"&gt;="&amp;$B$6,Lançamentos!$H:$H,"&lt;="&amp;$C$6,Lançamentos!$C:$C,L25,Lançamentos!$G:$G,IF($E$6="Todos","*",$E$6))</f>
        <v>0</v>
      </c>
    </row>
    <row r="26" spans="2:14" x14ac:dyDescent="0.3">
      <c r="H26" s="31" t="s">
        <v>0</v>
      </c>
      <c r="I26" s="31" t="s">
        <v>36</v>
      </c>
      <c r="J26" s="31" t="s">
        <v>79</v>
      </c>
      <c r="L26" t="str">
        <f>Categorias!A15</f>
        <v>Transporte e Viagens</v>
      </c>
      <c r="M26" t="str">
        <f>Categorias!B15</f>
        <v>Saída</v>
      </c>
      <c r="N26" s="37">
        <f ca="1">SUMIFS(Lançamentos!$F:$F,Lançamentos!$H:$H,"&gt;="&amp;$B$6,Lançamentos!$H:$H,"&lt;="&amp;$C$6,Lançamentos!$C:$C,L26,Lançamentos!$G:$G,IF($E$6="Todos","*",$E$6))</f>
        <v>0</v>
      </c>
    </row>
    <row r="27" spans="2:14" x14ac:dyDescent="0.3">
      <c r="H27" t="str">
        <f ca="1">IFERROR(INDEX($L$13:$L$65,MATCH(I27,$N$13:$N$65,0)),"")</f>
        <v>Vendas de Produtos</v>
      </c>
      <c r="I27" s="37" cm="1">
        <f t="array" aca="1" ref="I27" ca="1">IFERROR(LARGE(IF(($M$13:$M$65="Entrada")*($N$13:$N$65&gt;0),$N$13:$N$65),1),"")</f>
        <v>20878.129999999965</v>
      </c>
      <c r="J27" s="32">
        <f ca="1">IFERROR(I27/SUMIFS($N$13:$N$65,$M$13:$M$65,"Entrada"),0)</f>
        <v>1</v>
      </c>
      <c r="L27" t="str">
        <f>Categorias!A16</f>
        <v>Serviços de Terceiros</v>
      </c>
      <c r="M27" t="str">
        <f>Categorias!B16</f>
        <v>Saída</v>
      </c>
      <c r="N27" s="37">
        <f ca="1">SUMIFS(Lançamentos!$F:$F,Lançamentos!$H:$H,"&gt;="&amp;$B$6,Lançamentos!$H:$H,"&lt;="&amp;$C$6,Lançamentos!$C:$C,L27,Lançamentos!$G:$G,IF($E$6="Todos","*",$E$6))</f>
        <v>0</v>
      </c>
    </row>
    <row r="28" spans="2:14" x14ac:dyDescent="0.3">
      <c r="H28" t="str">
        <f ca="1">IFERROR(INDEX($L$13:$L$65,MATCH(I28,$N$13:$N$65,0)),"")</f>
        <v/>
      </c>
      <c r="I28" s="37" t="str" cm="1">
        <f t="array" aca="1" ref="I28" ca="1">IFERROR(LARGE(IF(($M$13:$M$65="Entrada")*($N$13:$N$65&gt;0),$N$13:$N$65),2),"")</f>
        <v/>
      </c>
      <c r="J28" s="32">
        <f ca="1">IFERROR(I28/SUMIFS($N$13:$N$65,$M$13:$M$65,"Entrada"),0)</f>
        <v>0</v>
      </c>
      <c r="L28" t="str">
        <f>Categorias!A17</f>
        <v>Juros e Tarifas Bancárias</v>
      </c>
      <c r="M28" t="str">
        <f>Categorias!B17</f>
        <v>Saída</v>
      </c>
      <c r="N28" s="37">
        <f ca="1">SUMIFS(Lançamentos!$F:$F,Lançamentos!$H:$H,"&gt;="&amp;$B$6,Lançamentos!$H:$H,"&lt;="&amp;$C$6,Lançamentos!$C:$C,L28,Lançamentos!$G:$G,IF($E$6="Todos","*",$E$6))</f>
        <v>-14.569999999999997</v>
      </c>
    </row>
    <row r="29" spans="2:14" x14ac:dyDescent="0.3">
      <c r="H29" t="str">
        <f ca="1">IFERROR(INDEX($L$13:$L$65,MATCH(I29,$N$13:$N$65,0)),"")</f>
        <v/>
      </c>
      <c r="I29" s="37" t="str" cm="1">
        <f t="array" aca="1" ref="I29" ca="1">IFERROR(LARGE(IF(($M$13:$M$65="Entrada")*($N$13:$N$65&gt;0),$N$13:$N$65),3),"")</f>
        <v/>
      </c>
      <c r="J29" s="32">
        <f ca="1">IFERROR(I29/SUMIFS($N$13:$N$65,$M$13:$M$65,"Entrada"),0)</f>
        <v>0</v>
      </c>
      <c r="L29" t="str">
        <f>Categorias!A18</f>
        <v>Empréstimos e Financiamentos</v>
      </c>
      <c r="M29" t="str">
        <f>Categorias!B18</f>
        <v>Saída</v>
      </c>
      <c r="N29" s="37">
        <f ca="1">SUMIFS(Lançamentos!$F:$F,Lançamentos!$H:$H,"&gt;="&amp;$B$6,Lançamentos!$H:$H,"&lt;="&amp;$C$6,Lançamentos!$C:$C,L29,Lançamentos!$G:$G,IF($E$6="Todos","*",$E$6))</f>
        <v>0</v>
      </c>
    </row>
    <row r="30" spans="2:14" x14ac:dyDescent="0.3">
      <c r="H30" t="str">
        <f ca="1">IFERROR(INDEX($L$13:$L$65,MATCH(I30,$N$13:$N$65,0)),"")</f>
        <v/>
      </c>
      <c r="I30" s="37" t="str" cm="1">
        <f t="array" aca="1" ref="I30" ca="1">IFERROR(LARGE(IF(($M$13:$M$65="Entrada")*($N$13:$N$65&gt;0),$N$13:$N$65),4),"")</f>
        <v/>
      </c>
      <c r="J30" s="32">
        <f ca="1">IFERROR(I30/SUMIFS($N$13:$N$65,$M$13:$M$65,"Entrada"),0)</f>
        <v>0</v>
      </c>
      <c r="L30" t="str">
        <f>Categorias!A19</f>
        <v>Receitas Financeiras</v>
      </c>
      <c r="M30" t="str">
        <f>Categorias!B19</f>
        <v>Entrada</v>
      </c>
      <c r="N30" s="37">
        <f ca="1">SUMIFS(Lançamentos!$F:$F,Lançamentos!$H:$H,"&gt;="&amp;$B$6,Lançamentos!$H:$H,"&lt;="&amp;$C$6,Lançamentos!$C:$C,L30,Lançamentos!$G:$G,IF($E$6="Todos","*",$E$6))</f>
        <v>0</v>
      </c>
    </row>
    <row r="31" spans="2:14" x14ac:dyDescent="0.3">
      <c r="L31" t="str">
        <f>Categorias!A20</f>
        <v>Impostos sobre Lucro</v>
      </c>
      <c r="M31" t="str">
        <f>Categorias!B20</f>
        <v>Saída</v>
      </c>
      <c r="N31" s="37">
        <f ca="1">SUMIFS(Lançamentos!$F:$F,Lançamentos!$H:$H,"&gt;="&amp;$B$6,Lançamentos!$H:$H,"&lt;="&amp;$C$6,Lançamentos!$C:$C,L31,Lançamentos!$G:$G,IF($E$6="Todos","*",$E$6))</f>
        <v>0</v>
      </c>
    </row>
    <row r="32" spans="2:14" x14ac:dyDescent="0.3">
      <c r="L32" t="str">
        <f>Categorias!A21</f>
        <v>Recebimento de Clientes</v>
      </c>
      <c r="M32" t="str">
        <f>Categorias!B21</f>
        <v>Entrada</v>
      </c>
      <c r="N32" s="37">
        <f ca="1">SUMIFS(Lançamentos!$F:$F,Lançamentos!$H:$H,"&gt;="&amp;$B$6,Lançamentos!$H:$H,"&lt;="&amp;$C$6,Lançamentos!$C:$C,L32,Lançamentos!$G:$G,IF($E$6="Todos","*",$E$6))</f>
        <v>0</v>
      </c>
    </row>
    <row r="33" spans="12:14" x14ac:dyDescent="0.3">
      <c r="L33" t="str">
        <f>Categorias!A22</f>
        <v>Vendas Online</v>
      </c>
      <c r="M33" t="str">
        <f>Categorias!B22</f>
        <v>Entrada</v>
      </c>
      <c r="N33" s="37">
        <f ca="1">SUMIFS(Lançamentos!$F:$F,Lançamentos!$H:$H,"&gt;="&amp;$B$6,Lançamentos!$H:$H,"&lt;="&amp;$C$6,Lançamentos!$C:$C,L33,Lançamentos!$G:$G,IF($E$6="Todos","*",$E$6))</f>
        <v>0</v>
      </c>
    </row>
    <row r="34" spans="12:14" x14ac:dyDescent="0.3">
      <c r="L34" t="str">
        <f>Categorias!A23</f>
        <v>Comissões Recebidas</v>
      </c>
      <c r="M34" t="str">
        <f>Categorias!B23</f>
        <v>Entrada</v>
      </c>
      <c r="N34" s="37">
        <f ca="1">SUMIFS(Lançamentos!$F:$F,Lançamentos!$H:$H,"&gt;="&amp;$B$6,Lançamentos!$H:$H,"&lt;="&amp;$C$6,Lançamentos!$C:$C,L34,Lançamentos!$G:$G,IF($E$6="Todos","*",$E$6))</f>
        <v>0</v>
      </c>
    </row>
    <row r="35" spans="12:14" x14ac:dyDescent="0.3">
      <c r="L35" t="str">
        <f>Categorias!A24</f>
        <v>Aluguel Recebido</v>
      </c>
      <c r="M35" t="str">
        <f>Categorias!B24</f>
        <v>Entrada</v>
      </c>
      <c r="N35" s="37">
        <f ca="1">SUMIFS(Lançamentos!$F:$F,Lançamentos!$H:$H,"&gt;="&amp;$B$6,Lançamentos!$H:$H,"&lt;="&amp;$C$6,Lançamentos!$C:$C,L35,Lançamentos!$G:$G,IF($E$6="Todos","*",$E$6))</f>
        <v>0</v>
      </c>
    </row>
    <row r="36" spans="12:14" x14ac:dyDescent="0.3">
      <c r="L36" t="str">
        <f>Categorias!A25</f>
        <v>Reembolsos</v>
      </c>
      <c r="M36" t="str">
        <f>Categorias!B25</f>
        <v>Entrada</v>
      </c>
      <c r="N36" s="37">
        <f ca="1">SUMIFS(Lançamentos!$F:$F,Lançamentos!$H:$H,"&gt;="&amp;$B$6,Lançamentos!$H:$H,"&lt;="&amp;$C$6,Lançamentos!$C:$C,L36,Lançamentos!$G:$G,IF($E$6="Todos","*",$E$6))</f>
        <v>0</v>
      </c>
    </row>
    <row r="37" spans="12:14" x14ac:dyDescent="0.3">
      <c r="L37" t="str">
        <f>Categorias!A26</f>
        <v>Aporte de Sócios</v>
      </c>
      <c r="M37" t="str">
        <f>Categorias!B26</f>
        <v>Entrada</v>
      </c>
      <c r="N37" s="37">
        <f ca="1">SUMIFS(Lançamentos!$F:$F,Lançamentos!$H:$H,"&gt;="&amp;$B$6,Lançamentos!$H:$H,"&lt;="&amp;$C$6,Lançamentos!$C:$C,L37,Lançamentos!$G:$G,IF($E$6="Todos","*",$E$6))</f>
        <v>0</v>
      </c>
    </row>
    <row r="38" spans="12:14" x14ac:dyDescent="0.3">
      <c r="L38" t="str">
        <f>Categorias!A27</f>
        <v>Empréstimo Recebido</v>
      </c>
      <c r="M38" t="str">
        <f>Categorias!B27</f>
        <v>Entrada</v>
      </c>
      <c r="N38" s="37">
        <f ca="1">SUMIFS(Lançamentos!$F:$F,Lançamentos!$H:$H,"&gt;="&amp;$B$6,Lançamentos!$H:$H,"&lt;="&amp;$C$6,Lançamentos!$C:$C,L38,Lançamentos!$G:$G,IF($E$6="Todos","*",$E$6))</f>
        <v>0</v>
      </c>
    </row>
    <row r="39" spans="12:14" x14ac:dyDescent="0.3">
      <c r="L39" t="str">
        <f>Categorias!A28</f>
        <v>Frete sobre Vendas</v>
      </c>
      <c r="M39" t="str">
        <f>Categorias!B28</f>
        <v>Saída</v>
      </c>
      <c r="N39" s="37">
        <f ca="1">SUMIFS(Lançamentos!$F:$F,Lançamentos!$H:$H,"&gt;="&amp;$B$6,Lançamentos!$H:$H,"&lt;="&amp;$C$6,Lançamentos!$C:$C,L39,Lançamentos!$G:$G,IF($E$6="Todos","*",$E$6))</f>
        <v>0</v>
      </c>
    </row>
    <row r="40" spans="12:14" x14ac:dyDescent="0.3">
      <c r="L40" t="str">
        <f>Categorias!A29</f>
        <v>Embalagens</v>
      </c>
      <c r="M40" t="str">
        <f>Categorias!B29</f>
        <v>Saída</v>
      </c>
      <c r="N40" s="37">
        <f ca="1">SUMIFS(Lançamentos!$F:$F,Lançamentos!$H:$H,"&gt;="&amp;$B$6,Lançamentos!$H:$H,"&lt;="&amp;$C$6,Lançamentos!$C:$C,L40,Lançamentos!$G:$G,IF($E$6="Todos","*",$E$6))</f>
        <v>0</v>
      </c>
    </row>
    <row r="41" spans="12:14" x14ac:dyDescent="0.3">
      <c r="L41" t="str">
        <f>Categorias!A30</f>
        <v>Combustível</v>
      </c>
      <c r="M41" t="str">
        <f>Categorias!B30</f>
        <v>Saída</v>
      </c>
      <c r="N41" s="37">
        <f ca="1">SUMIFS(Lançamentos!$F:$F,Lançamentos!$H:$H,"&gt;="&amp;$B$6,Lançamentos!$H:$H,"&lt;="&amp;$C$6,Lançamentos!$C:$C,L41,Lançamentos!$G:$G,IF($E$6="Todos","*",$E$6))</f>
        <v>0</v>
      </c>
    </row>
    <row r="42" spans="12:14" x14ac:dyDescent="0.3">
      <c r="L42" t="str">
        <f>Categorias!A31</f>
        <v>Pró-labore</v>
      </c>
      <c r="M42" t="str">
        <f>Categorias!B31</f>
        <v>Saída</v>
      </c>
      <c r="N42" s="37">
        <f ca="1">SUMIFS(Lançamentos!$F:$F,Lançamentos!$H:$H,"&gt;="&amp;$B$6,Lançamentos!$H:$H,"&lt;="&amp;$C$6,Lançamentos!$C:$C,L42,Lançamentos!$G:$G,IF($E$6="Todos","*",$E$6))</f>
        <v>0</v>
      </c>
    </row>
    <row r="43" spans="12:14" x14ac:dyDescent="0.3">
      <c r="L43" t="str">
        <f>Categorias!A32</f>
        <v>Benefícios (VR/VT/Plano)</v>
      </c>
      <c r="M43" t="str">
        <f>Categorias!B32</f>
        <v>Saída</v>
      </c>
      <c r="N43" s="37">
        <f ca="1">SUMIFS(Lançamentos!$F:$F,Lançamentos!$H:$H,"&gt;="&amp;$B$6,Lançamentos!$H:$H,"&lt;="&amp;$C$6,Lançamentos!$C:$C,L43,Lançamentos!$G:$G,IF($E$6="Todos","*",$E$6))</f>
        <v>0</v>
      </c>
    </row>
    <row r="44" spans="12:14" x14ac:dyDescent="0.3">
      <c r="L44" t="str">
        <f>Categorias!A33</f>
        <v>Software e Assinaturas</v>
      </c>
      <c r="M44" t="str">
        <f>Categorias!B33</f>
        <v>Saída</v>
      </c>
      <c r="N44" s="37">
        <f ca="1">SUMIFS(Lançamentos!$F:$F,Lançamentos!$H:$H,"&gt;="&amp;$B$6,Lançamentos!$H:$H,"&lt;="&amp;$C$6,Lançamentos!$C:$C,L44,Lançamentos!$G:$G,IF($E$6="Todos","*",$E$6))</f>
        <v>0</v>
      </c>
    </row>
    <row r="45" spans="12:14" x14ac:dyDescent="0.3">
      <c r="L45" t="str">
        <f>Categorias!A34</f>
        <v>Telefone e Celular</v>
      </c>
      <c r="M45" t="str">
        <f>Categorias!B34</f>
        <v>Saída</v>
      </c>
      <c r="N45" s="37">
        <f ca="1">SUMIFS(Lançamentos!$F:$F,Lançamentos!$H:$H,"&gt;="&amp;$B$6,Lançamentos!$H:$H,"&lt;="&amp;$C$6,Lançamentos!$C:$C,L45,Lançamentos!$G:$G,IF($E$6="Todos","*",$E$6))</f>
        <v>0</v>
      </c>
    </row>
    <row r="46" spans="12:14" x14ac:dyDescent="0.3">
      <c r="L46" t="str">
        <f>Categorias!A35</f>
        <v>Limpeza e Conservação</v>
      </c>
      <c r="M46" t="str">
        <f>Categorias!B35</f>
        <v>Saída</v>
      </c>
      <c r="N46" s="37">
        <f ca="1">SUMIFS(Lançamentos!$F:$F,Lançamentos!$H:$H,"&gt;="&amp;$B$6,Lançamentos!$H:$H,"&lt;="&amp;$C$6,Lançamentos!$C:$C,L46,Lançamentos!$G:$G,IF($E$6="Todos","*",$E$6))</f>
        <v>0</v>
      </c>
    </row>
    <row r="47" spans="12:14" x14ac:dyDescent="0.3">
      <c r="L47" t="str">
        <f>Categorias!A36</f>
        <v>Seguros</v>
      </c>
      <c r="M47" t="str">
        <f>Categorias!B36</f>
        <v>Saída</v>
      </c>
      <c r="N47" s="37">
        <f ca="1">SUMIFS(Lançamentos!$F:$F,Lançamentos!$H:$H,"&gt;="&amp;$B$6,Lançamentos!$H:$H,"&lt;="&amp;$C$6,Lançamentos!$C:$C,L47,Lançamentos!$G:$G,IF($E$6="Todos","*",$E$6))</f>
        <v>-356.9</v>
      </c>
    </row>
    <row r="48" spans="12:14" x14ac:dyDescent="0.3">
      <c r="L48" t="str">
        <f>Categorias!A37</f>
        <v>Treinamento e Capacitação</v>
      </c>
      <c r="M48" t="str">
        <f>Categorias!B37</f>
        <v>Saída</v>
      </c>
      <c r="N48" s="37">
        <f ca="1">SUMIFS(Lançamentos!$F:$F,Lançamentos!$H:$H,"&gt;="&amp;$B$6,Lançamentos!$H:$H,"&lt;="&amp;$C$6,Lançamentos!$C:$C,L48,Lançamentos!$G:$G,IF($E$6="Todos","*",$E$6))</f>
        <v>0</v>
      </c>
    </row>
    <row r="49" spans="12:14" x14ac:dyDescent="0.3">
      <c r="L49" t="str">
        <f>Categorias!A38</f>
        <v>Honorários Contábeis</v>
      </c>
      <c r="M49" t="str">
        <f>Categorias!B38</f>
        <v>Saída</v>
      </c>
      <c r="N49" s="37">
        <f ca="1">SUMIFS(Lançamentos!$F:$F,Lançamentos!$H:$H,"&gt;="&amp;$B$6,Lançamentos!$H:$H,"&lt;="&amp;$C$6,Lançamentos!$C:$C,L49,Lançamentos!$G:$G,IF($E$6="Todos","*",$E$6))</f>
        <v>0</v>
      </c>
    </row>
    <row r="50" spans="12:14" x14ac:dyDescent="0.3">
      <c r="L50" t="str">
        <f>Categorias!A39</f>
        <v>Honorários Jurídicos</v>
      </c>
      <c r="M50" t="str">
        <f>Categorias!B39</f>
        <v>Saída</v>
      </c>
      <c r="N50" s="37">
        <f ca="1">SUMIFS(Lançamentos!$F:$F,Lançamentos!$H:$H,"&gt;="&amp;$B$6,Lançamentos!$H:$H,"&lt;="&amp;$C$6,Lançamentos!$C:$C,L50,Lançamentos!$G:$G,IF($E$6="Todos","*",$E$6))</f>
        <v>0</v>
      </c>
    </row>
    <row r="51" spans="12:14" x14ac:dyDescent="0.3">
      <c r="L51" t="str">
        <f>Categorias!A40</f>
        <v>Equipamentos e Informática</v>
      </c>
      <c r="M51" t="str">
        <f>Categorias!B40</f>
        <v>Saída</v>
      </c>
      <c r="N51" s="37">
        <f ca="1">SUMIFS(Lançamentos!$F:$F,Lançamentos!$H:$H,"&gt;="&amp;$B$6,Lançamentos!$H:$H,"&lt;="&amp;$C$6,Lançamentos!$C:$C,L51,Lançamentos!$G:$G,IF($E$6="Todos","*",$E$6))</f>
        <v>0</v>
      </c>
    </row>
    <row r="52" spans="12:14" x14ac:dyDescent="0.3">
      <c r="L52" t="str">
        <f>Categorias!A41</f>
        <v>Móveis e Utensílios</v>
      </c>
      <c r="M52" t="str">
        <f>Categorias!B41</f>
        <v>Saída</v>
      </c>
      <c r="N52" s="37">
        <f ca="1">SUMIFS(Lançamentos!$F:$F,Lançamentos!$H:$H,"&gt;="&amp;$B$6,Lançamentos!$H:$H,"&lt;="&amp;$C$6,Lançamentos!$C:$C,L52,Lançamentos!$G:$G,IF($E$6="Todos","*",$E$6))</f>
        <v>0</v>
      </c>
    </row>
    <row r="53" spans="12:14" x14ac:dyDescent="0.3">
      <c r="L53" t="str">
        <f>Categorias!A42</f>
        <v>Refeições e Confraternizações</v>
      </c>
      <c r="M53" t="str">
        <f>Categorias!B42</f>
        <v>Saída</v>
      </c>
      <c r="N53" s="37">
        <f ca="1">SUMIFS(Lançamentos!$F:$F,Lançamentos!$H:$H,"&gt;="&amp;$B$6,Lançamentos!$H:$H,"&lt;="&amp;$C$6,Lançamentos!$C:$C,L53,Lançamentos!$G:$G,IF($E$6="Todos","*",$E$6))</f>
        <v>0</v>
      </c>
    </row>
    <row r="54" spans="12:14" x14ac:dyDescent="0.3">
      <c r="L54" t="str">
        <f>Categorias!A43</f>
        <v>Correios e Entregas</v>
      </c>
      <c r="M54" t="str">
        <f>Categorias!B43</f>
        <v>Saída</v>
      </c>
      <c r="N54" s="37">
        <f ca="1">SUMIFS(Lançamentos!$F:$F,Lançamentos!$H:$H,"&gt;="&amp;$B$6,Lançamentos!$H:$H,"&lt;="&amp;$C$6,Lançamentos!$C:$C,L54,Lançamentos!$G:$G,IF($E$6="Todos","*",$E$6))</f>
        <v>0</v>
      </c>
    </row>
    <row r="55" spans="12:14" x14ac:dyDescent="0.3">
      <c r="L55" t="str">
        <f>Categorias!A44</f>
        <v>Taxas e Anuidades</v>
      </c>
      <c r="M55" t="str">
        <f>Categorias!B44</f>
        <v>Saída</v>
      </c>
      <c r="N55" s="37">
        <f ca="1">SUMIFS(Lançamentos!$F:$F,Lançamentos!$H:$H,"&gt;="&amp;$B$6,Lançamentos!$H:$H,"&lt;="&amp;$C$6,Lançamentos!$C:$C,L55,Lançamentos!$G:$G,IF($E$6="Todos","*",$E$6))</f>
        <v>0</v>
      </c>
    </row>
    <row r="56" spans="12:14" x14ac:dyDescent="0.3">
      <c r="L56" t="str">
        <f>Categorias!A45</f>
        <v>IOF</v>
      </c>
      <c r="M56" t="str">
        <f>Categorias!B45</f>
        <v>Saída</v>
      </c>
      <c r="N56" s="37">
        <f ca="1">SUMIFS(Lançamentos!$F:$F,Lançamentos!$H:$H,"&gt;="&amp;$B$6,Lançamentos!$H:$H,"&lt;="&amp;$C$6,Lançamentos!$C:$C,L56,Lançamentos!$G:$G,IF($E$6="Todos","*",$E$6))</f>
        <v>0</v>
      </c>
    </row>
    <row r="57" spans="12:14" x14ac:dyDescent="0.3">
      <c r="L57" t="str">
        <f>Categorias!A46</f>
        <v>Cartão de Crédito</v>
      </c>
      <c r="M57" t="str">
        <f>Categorias!B46</f>
        <v>Saída</v>
      </c>
      <c r="N57" s="37">
        <f ca="1">SUMIFS(Lançamentos!$F:$F,Lançamentos!$H:$H,"&gt;="&amp;$B$6,Lançamentos!$H:$H,"&lt;="&amp;$C$6,Lançamentos!$C:$C,L57,Lançamentos!$G:$G,IF($E$6="Todos","*",$E$6))</f>
        <v>0</v>
      </c>
    </row>
    <row r="58" spans="12:14" x14ac:dyDescent="0.3">
      <c r="L58" t="str">
        <f>Categorias!A47</f>
        <v>Multas e Juros</v>
      </c>
      <c r="M58" t="str">
        <f>Categorias!B47</f>
        <v>Saída</v>
      </c>
      <c r="N58" s="37">
        <f ca="1">SUMIFS(Lançamentos!$F:$F,Lançamentos!$H:$H,"&gt;="&amp;$B$6,Lançamentos!$H:$H,"&lt;="&amp;$C$6,Lançamentos!$C:$C,L58,Lançamentos!$G:$G,IF($E$6="Todos","*",$E$6))</f>
        <v>0</v>
      </c>
    </row>
    <row r="59" spans="12:14" x14ac:dyDescent="0.3">
      <c r="L59" t="str">
        <f>Categorias!A48</f>
        <v>Pagamento de Fornecedores</v>
      </c>
      <c r="M59" t="str">
        <f>Categorias!B48</f>
        <v>Saída</v>
      </c>
      <c r="N59" s="37">
        <f ca="1">SUMIFS(Lançamentos!$F:$F,Lançamentos!$H:$H,"&gt;="&amp;$B$6,Lançamentos!$H:$H,"&lt;="&amp;$C$6,Lançamentos!$C:$C,L59,Lançamentos!$G:$G,IF($E$6="Todos","*",$E$6))</f>
        <v>-14865.69</v>
      </c>
    </row>
    <row r="60" spans="12:14" x14ac:dyDescent="0.3">
      <c r="L60" t="str">
        <f>Categorias!A49</f>
        <v>Retirada de Sócios</v>
      </c>
      <c r="M60" t="str">
        <f>Categorias!B49</f>
        <v>Saída</v>
      </c>
      <c r="N60" s="37">
        <f ca="1">SUMIFS(Lançamentos!$F:$F,Lançamentos!$H:$H,"&gt;="&amp;$B$6,Lançamentos!$H:$H,"&lt;="&amp;$C$6,Lançamentos!$C:$C,L60,Lançamentos!$G:$G,IF($E$6="Todos","*",$E$6))</f>
        <v>0</v>
      </c>
    </row>
    <row r="61" spans="12:14" x14ac:dyDescent="0.3">
      <c r="L61" t="str">
        <f>Categorias!A50</f>
        <v>INSS / FGTS</v>
      </c>
      <c r="M61" t="str">
        <f>Categorias!B50</f>
        <v>Saída</v>
      </c>
      <c r="N61" s="37">
        <f ca="1">SUMIFS(Lançamentos!$F:$F,Lançamentos!$H:$H,"&gt;="&amp;$B$6,Lançamentos!$H:$H,"&lt;="&amp;$C$6,Lançamentos!$C:$C,L61,Lançamentos!$G:$G,IF($E$6="Todos","*",$E$6))</f>
        <v>0</v>
      </c>
    </row>
    <row r="62" spans="12:14" x14ac:dyDescent="0.3">
      <c r="L62" t="str">
        <f>Categorias!A51</f>
        <v>Simples Nacional / DAS</v>
      </c>
      <c r="M62" t="str">
        <f>Categorias!B51</f>
        <v>Saída</v>
      </c>
      <c r="N62" s="37">
        <f ca="1">SUMIFS(Lançamentos!$F:$F,Lançamentos!$H:$H,"&gt;="&amp;$B$6,Lançamentos!$H:$H,"&lt;="&amp;$C$6,Lançamentos!$C:$C,L62,Lançamentos!$G:$G,IF($E$6="Todos","*",$E$6))</f>
        <v>0</v>
      </c>
    </row>
    <row r="63" spans="12:14" x14ac:dyDescent="0.3">
      <c r="L63" t="str">
        <f>Categorias!A52</f>
        <v>ISS</v>
      </c>
      <c r="M63" t="str">
        <f>Categorias!B52</f>
        <v>Saída</v>
      </c>
      <c r="N63" s="37">
        <f ca="1">SUMIFS(Lançamentos!$F:$F,Lançamentos!$H:$H,"&gt;="&amp;$B$6,Lançamentos!$H:$H,"&lt;="&amp;$C$6,Lançamentos!$C:$C,L63,Lançamentos!$G:$G,IF($E$6="Todos","*",$E$6))</f>
        <v>0</v>
      </c>
    </row>
    <row r="64" spans="12:14" x14ac:dyDescent="0.3">
      <c r="L64" t="str">
        <f>Categorias!A53</f>
        <v>ICMS</v>
      </c>
      <c r="M64" t="str">
        <f>Categorias!B53</f>
        <v>Saída</v>
      </c>
      <c r="N64" s="37">
        <f ca="1">SUMIFS(Lançamentos!$F:$F,Lançamentos!$H:$H,"&gt;="&amp;$B$6,Lançamentos!$H:$H,"&lt;="&amp;$C$6,Lançamentos!$C:$C,L64,Lançamentos!$G:$G,IF($E$6="Todos","*",$E$6))</f>
        <v>0</v>
      </c>
    </row>
    <row r="65" spans="12:14" x14ac:dyDescent="0.3">
      <c r="L65" t="str">
        <f>Categorias!A54</f>
        <v>PIS/COFINS</v>
      </c>
      <c r="M65" t="str">
        <f>Categorias!B54</f>
        <v>Saída</v>
      </c>
      <c r="N65" s="37">
        <f ca="1">SUMIFS(Lançamentos!$F:$F,Lançamentos!$H:$H,"&gt;="&amp;$B$6,Lançamentos!$H:$H,"&lt;="&amp;$C$6,Lançamentos!$C:$C,L65,Lançamentos!$G:$G,IF($E$6="Todos","*",$E$6))</f>
        <v>0</v>
      </c>
    </row>
  </sheetData>
  <mergeCells count="5">
    <mergeCell ref="B2:J2"/>
    <mergeCell ref="B4:E4"/>
    <mergeCell ref="B11:F11"/>
    <mergeCell ref="H11:J11"/>
    <mergeCell ref="H25:J2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6B6C61-E8EC-47A8-BF05-B81F43C5B0F3}">
          <x14:formula1>
            <xm:f>Categorias!$A$2:$A$54</xm:f>
          </x14:formula1>
          <xm:sqref>D6</xm:sqref>
        </x14:dataValidation>
        <x14:dataValidation type="list" allowBlank="1" showInputMessage="1" showErrorMessage="1" xr:uid="{E5541140-F358-433A-9DE0-AB8B382DAACD}">
          <x14:formula1>
            <xm:f>Categorias!$E$2:$E$6</xm:f>
          </x14:formula1>
          <xm:sqref>E6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3B27-F288-4FBD-8AA2-103C487AD93D}">
  <dimension ref="A2:M67"/>
  <sheetViews>
    <sheetView workbookViewId="0">
      <selection activeCell="D6" sqref="D6"/>
    </sheetView>
  </sheetViews>
  <sheetFormatPr defaultRowHeight="14.4" x14ac:dyDescent="0.3"/>
  <cols>
    <col min="1" max="1" width="18.5546875" customWidth="1"/>
    <col min="2" max="2" width="20.33203125" customWidth="1"/>
    <col min="3" max="8" width="24.109375" customWidth="1"/>
    <col min="10" max="10" width="37" customWidth="1"/>
    <col min="11" max="13" width="20.33203125" customWidth="1"/>
  </cols>
  <sheetData>
    <row r="2" spans="1:13" ht="25.8" x14ac:dyDescent="0.5">
      <c r="B2" s="75" t="s">
        <v>132</v>
      </c>
      <c r="C2" s="75"/>
      <c r="D2" s="75"/>
      <c r="E2" s="75"/>
      <c r="F2" s="75"/>
      <c r="G2" s="75"/>
      <c r="H2" s="75"/>
    </row>
    <row r="4" spans="1:13" x14ac:dyDescent="0.3">
      <c r="B4" s="76" t="s">
        <v>64</v>
      </c>
      <c r="C4" s="76"/>
      <c r="D4" s="76"/>
      <c r="E4" s="76"/>
      <c r="J4" s="76" t="s">
        <v>148</v>
      </c>
      <c r="K4" s="74"/>
      <c r="L4" s="74"/>
      <c r="M4" s="74"/>
    </row>
    <row r="5" spans="1:13" x14ac:dyDescent="0.3">
      <c r="B5" s="17" t="s">
        <v>133</v>
      </c>
      <c r="C5" s="17" t="s">
        <v>134</v>
      </c>
      <c r="D5" s="17" t="s">
        <v>135</v>
      </c>
      <c r="E5" s="17" t="s">
        <v>28</v>
      </c>
      <c r="J5" s="17" t="s">
        <v>0</v>
      </c>
      <c r="K5" s="17" t="s">
        <v>149</v>
      </c>
      <c r="L5" s="17" t="s">
        <v>150</v>
      </c>
      <c r="M5" s="17" t="s">
        <v>151</v>
      </c>
    </row>
    <row r="6" spans="1:13" x14ac:dyDescent="0.3">
      <c r="B6" s="58">
        <f>DATE(2026,6,1)</f>
        <v>46174</v>
      </c>
      <c r="C6" s="58">
        <v>46181</v>
      </c>
      <c r="D6" s="18" t="s">
        <v>308</v>
      </c>
      <c r="E6" s="18" t="s">
        <v>68</v>
      </c>
      <c r="J6" t="s">
        <v>3</v>
      </c>
      <c r="K6" s="37">
        <f>SUMIFS(Lançamentos!$F:$F,Lançamentos!$A:$A,"&gt;="&amp;$B$6,Lançamentos!$A:$A,"&lt;="&amp;$C$6,Lançamentos!$C:$C,J6,Lançamentos!$G:$G,IF($E$6="Todos","*",$E$6))</f>
        <v>0</v>
      </c>
      <c r="L6" s="37" cm="1">
        <f t="array" ref="L6">SUMPRODUCT(('Fluxo de Caixa'!$B$82:$IL$82&gt;=$B$6)*('Fluxo de Caixa'!$B$82:$IL$82&lt;=$C$6)*'Fluxo de Caixa'!$B$85:$IL$85)</f>
        <v>0</v>
      </c>
      <c r="M6" s="37">
        <f t="shared" ref="M6:M37" si="0">K6-L6</f>
        <v>0</v>
      </c>
    </row>
    <row r="7" spans="1:13" x14ac:dyDescent="0.3">
      <c r="J7" t="s">
        <v>5</v>
      </c>
      <c r="K7" s="37">
        <f>SUMIFS(Lançamentos!$F:$F,Lançamentos!$A:$A,"&gt;="&amp;$B$6,Lançamentos!$A:$A,"&lt;="&amp;$C$6,Lançamentos!$C:$C,J7,Lançamentos!$G:$G,IF($E$6="Todos","*",$E$6))</f>
        <v>0</v>
      </c>
      <c r="L7" s="37" cm="1">
        <f t="array" ref="L7">SUMPRODUCT(('Fluxo de Caixa'!$B$82:$IL$82&gt;=$B$6)*('Fluxo de Caixa'!$B$82:$IL$82&lt;=$C$6)*'Fluxo de Caixa'!$B$86:$IL$86)</f>
        <v>0</v>
      </c>
      <c r="M7" s="37">
        <f t="shared" si="0"/>
        <v>0</v>
      </c>
    </row>
    <row r="8" spans="1:13" x14ac:dyDescent="0.3">
      <c r="B8" s="29" t="s">
        <v>136</v>
      </c>
      <c r="C8" s="59" t="s">
        <v>137</v>
      </c>
      <c r="D8" s="15" t="s">
        <v>138</v>
      </c>
      <c r="E8" s="60" t="s">
        <v>139</v>
      </c>
      <c r="J8" t="s">
        <v>6</v>
      </c>
      <c r="K8" s="37">
        <f>SUMIFS(Lançamentos!$F:$F,Lançamentos!$A:$A,"&gt;="&amp;$B$6,Lançamentos!$A:$A,"&lt;="&amp;$C$6,Lançamentos!$C:$C,J8,Lançamentos!$G:$G,IF($E$6="Todos","*",$E$6))</f>
        <v>0</v>
      </c>
      <c r="L8" s="37" cm="1">
        <f t="array" ref="L8">SUMPRODUCT(('Fluxo de Caixa'!$B$82:$IL$82&gt;=$B$6)*('Fluxo de Caixa'!$B$82:$IL$82&lt;=$C$6)*'Fluxo de Caixa'!$B$87:$IL$87)</f>
        <v>0</v>
      </c>
      <c r="M8" s="37">
        <f t="shared" si="0"/>
        <v>0</v>
      </c>
    </row>
    <row r="9" spans="1:13" ht="15.6" x14ac:dyDescent="0.3">
      <c r="A9" s="30" t="s">
        <v>74</v>
      </c>
      <c r="B9" s="62">
        <f>SUMIFS(Lançamentos!$F:$F,Lançamentos!$A:$A,"&gt;="&amp;$B$6,Lançamentos!$A:$A,"&lt;="&amp;$C$6,Lançamentos!$G:$G,IF($E$6="Todos","*",$E$6),Lançamentos!$D:$D,"Entrada")</f>
        <v>0</v>
      </c>
      <c r="C9" s="62" cm="1">
        <f t="array" ref="C9">SUMPRODUCT(('Fluxo de Caixa'!$B$82:$IL$82&gt;=$B$6)*('Fluxo de Caixa'!$B$82:$IL$82&lt;=$C$6)*'Fluxo de Caixa'!$B$96:$IL$96)</f>
        <v>0</v>
      </c>
      <c r="D9" s="62">
        <f>B9-C9</f>
        <v>0</v>
      </c>
      <c r="E9" s="63">
        <f>IFERROR((B9-C9)/C9,0)</f>
        <v>0</v>
      </c>
      <c r="J9" t="s">
        <v>25</v>
      </c>
      <c r="K9" s="37">
        <f>SUMIFS(Lançamentos!$F:$F,Lançamentos!$A:$A,"&gt;="&amp;$B$6,Lançamentos!$A:$A,"&lt;="&amp;$C$6,Lançamentos!$C:$C,J9,Lançamentos!$G:$G,IF($E$6="Todos","*",$E$6))</f>
        <v>0</v>
      </c>
      <c r="L9" s="37" cm="1">
        <f t="array" ref="L9">SUMPRODUCT(('Fluxo de Caixa'!$B$82:$IL$82&gt;=$B$6)*('Fluxo de Caixa'!$B$82:$IL$82&lt;=$C$6)*'Fluxo de Caixa'!$B$88:$IL$88)</f>
        <v>0</v>
      </c>
      <c r="M9" s="37">
        <f t="shared" si="0"/>
        <v>0</v>
      </c>
    </row>
    <row r="10" spans="1:13" ht="15.6" x14ac:dyDescent="0.3">
      <c r="A10" s="27" t="s">
        <v>75</v>
      </c>
      <c r="B10" s="62">
        <f>SUMIFS(Lançamentos!$F:$F,Lançamentos!$A:$A,"&gt;="&amp;$B$6,Lançamentos!$A:$A,"&lt;="&amp;$C$6,Lançamentos!$G:$G,IF($E$6="Todos","*",$E$6),Lançamentos!$D:$D,"Saída")</f>
        <v>0</v>
      </c>
      <c r="C10" s="62" cm="1">
        <f t="array" ref="C10">SUMPRODUCT(('Fluxo de Caixa'!$B$82:$IL$82&gt;=$B$6)*('Fluxo de Caixa'!$B$82:$IL$82&lt;=$C$6)*'Fluxo de Caixa'!$B$140:$IL$140)</f>
        <v>0</v>
      </c>
      <c r="D10" s="62">
        <f>C10-B10</f>
        <v>0</v>
      </c>
      <c r="E10" s="63">
        <f>IFERROR((C10-B10)/C10,0)</f>
        <v>0</v>
      </c>
      <c r="J10" t="s">
        <v>81</v>
      </c>
      <c r="K10" s="37">
        <f>SUMIFS(Lançamentos!$F:$F,Lançamentos!$A:$A,"&gt;="&amp;$B$6,Lançamentos!$A:$A,"&lt;="&amp;$C$6,Lançamentos!$C:$C,J10,Lançamentos!$G:$G,IF($E$6="Todos","*",$E$6))</f>
        <v>0</v>
      </c>
      <c r="L10" s="37" cm="1">
        <f t="array" ref="L10">SUMPRODUCT(('Fluxo de Caixa'!$B$82:$IL$82&gt;=$B$6)*('Fluxo de Caixa'!$B$82:$IL$82&lt;=$C$6)*'Fluxo de Caixa'!$B$89:$IL$89)</f>
        <v>0</v>
      </c>
      <c r="M10" s="37">
        <f t="shared" si="0"/>
        <v>0</v>
      </c>
    </row>
    <row r="11" spans="1:13" ht="15.6" x14ac:dyDescent="0.3">
      <c r="A11" s="14" t="s">
        <v>76</v>
      </c>
      <c r="B11" s="64">
        <f>B9-B10</f>
        <v>0</v>
      </c>
      <c r="C11" s="64">
        <f>C9-C10</f>
        <v>0</v>
      </c>
      <c r="D11" s="64">
        <f>B11-C11</f>
        <v>0</v>
      </c>
      <c r="E11" s="65">
        <f>IFERROR((B11-C11)/ABS(C11),0)</f>
        <v>0</v>
      </c>
      <c r="J11" t="s">
        <v>82</v>
      </c>
      <c r="K11" s="37">
        <f>SUMIFS(Lançamentos!$F:$F,Lançamentos!$A:$A,"&gt;="&amp;$B$6,Lançamentos!$A:$A,"&lt;="&amp;$C$6,Lançamentos!$C:$C,J11,Lançamentos!$G:$G,IF($E$6="Todos","*",$E$6))</f>
        <v>0</v>
      </c>
      <c r="L11" s="37" cm="1">
        <f t="array" ref="L11">SUMPRODUCT(('Fluxo de Caixa'!$B$82:$IL$82&gt;=$B$6)*('Fluxo de Caixa'!$B$82:$IL$82&lt;=$C$6)*'Fluxo de Caixa'!$B$90:$IL$90)</f>
        <v>0</v>
      </c>
      <c r="M11" s="37">
        <f t="shared" si="0"/>
        <v>0</v>
      </c>
    </row>
    <row r="12" spans="1:13" x14ac:dyDescent="0.3">
      <c r="J12" t="s">
        <v>83</v>
      </c>
      <c r="K12" s="37">
        <f>SUMIFS(Lançamentos!$F:$F,Lançamentos!$A:$A,"&gt;="&amp;$B$6,Lançamentos!$A:$A,"&lt;="&amp;$C$6,Lançamentos!$C:$C,J12,Lançamentos!$G:$G,IF($E$6="Todos","*",$E$6))</f>
        <v>0</v>
      </c>
      <c r="L12" s="37" cm="1">
        <f t="array" ref="L12">SUMPRODUCT(('Fluxo de Caixa'!$B$82:$IL$82&gt;=$B$6)*('Fluxo de Caixa'!$B$82:$IL$82&lt;=$C$6)*'Fluxo de Caixa'!$B$91:$IL$91)</f>
        <v>0</v>
      </c>
      <c r="M12" s="37">
        <f t="shared" si="0"/>
        <v>0</v>
      </c>
    </row>
    <row r="13" spans="1:13" x14ac:dyDescent="0.3">
      <c r="B13" s="76" t="s">
        <v>140</v>
      </c>
      <c r="C13" s="76"/>
      <c r="D13" s="76"/>
      <c r="E13" s="76"/>
      <c r="F13" s="76"/>
      <c r="G13" s="76"/>
      <c r="H13" s="76"/>
      <c r="J13" t="s">
        <v>84</v>
      </c>
      <c r="K13" s="37">
        <f>SUMIFS(Lançamentos!$F:$F,Lançamentos!$A:$A,"&gt;="&amp;$B$6,Lançamentos!$A:$A,"&lt;="&amp;$C$6,Lançamentos!$C:$C,J13,Lançamentos!$G:$G,IF($E$6="Todos","*",$E$6))</f>
        <v>0</v>
      </c>
      <c r="L13" s="37" cm="1">
        <f t="array" ref="L13">SUMPRODUCT(('Fluxo de Caixa'!$B$82:$IL$82&gt;=$B$6)*('Fluxo de Caixa'!$B$82:$IL$82&lt;=$C$6)*'Fluxo de Caixa'!$B$92:$IL$92)</f>
        <v>0</v>
      </c>
      <c r="M13" s="37">
        <f t="shared" si="0"/>
        <v>0</v>
      </c>
    </row>
    <row r="14" spans="1:13" x14ac:dyDescent="0.3">
      <c r="B14" s="17" t="s">
        <v>141</v>
      </c>
      <c r="C14" s="31" t="s">
        <v>142</v>
      </c>
      <c r="D14" s="66" t="s">
        <v>143</v>
      </c>
      <c r="E14" s="26" t="s">
        <v>144</v>
      </c>
      <c r="F14" s="66" t="s">
        <v>145</v>
      </c>
      <c r="G14" s="17" t="s">
        <v>146</v>
      </c>
      <c r="H14" s="26" t="s">
        <v>147</v>
      </c>
      <c r="J14" t="s">
        <v>85</v>
      </c>
      <c r="K14" s="37">
        <f>SUMIFS(Lançamentos!$F:$F,Lançamentos!$A:$A,"&gt;="&amp;$B$6,Lançamentos!$A:$A,"&lt;="&amp;$C$6,Lançamentos!$C:$C,J14,Lançamentos!$G:$G,IF($E$6="Todos","*",$E$6))</f>
        <v>0</v>
      </c>
      <c r="L14" s="37" cm="1">
        <f t="array" ref="L14">SUMPRODUCT(('Fluxo de Caixa'!$B$82:$IL$82&gt;=$B$6)*('Fluxo de Caixa'!$B$82:$IL$82&lt;=$C$6)*'Fluxo de Caixa'!$B$93:$IL$93)</f>
        <v>0</v>
      </c>
      <c r="M14" s="37">
        <f t="shared" si="0"/>
        <v>0</v>
      </c>
    </row>
    <row r="15" spans="1:13" x14ac:dyDescent="0.3">
      <c r="B15" s="2">
        <f>IF($D$6="Dia",$B$6,IF($D$6="Semana",$B$6-WEEKDAY($B$6,2)+1,IF($D$6="Mês",DATE(YEAR($B$6),MONTH($B$6),1),DATE(YEAR($B$6),1,1))))</f>
        <v>46023</v>
      </c>
      <c r="C15" s="37">
        <f>IF(B15="","",SUMIFS(Lançamentos!$F:$F,Lançamentos!$A:$A,"&gt;="&amp;B15,Lançamentos!$A:$A,"&lt;="&amp;MIN($C$6,IF($D$6="Dia",B15,IF($D$6="Semana",B15+6,IF($D$6="Mês",EOMONTH(B15,0),DATE(YEAR(B15),12,31))))),Lançamentos!$G:$G,IF($E$6="Todos","*",$E$6),Lançamentos!$D:$D,"Entrada"))</f>
        <v>0</v>
      </c>
      <c r="D15" s="37" cm="1">
        <f t="array" ref="D15">IF(B15="","",SUMPRODUCT(('Fluxo de Caixa'!$B$82:$IL$82&gt;=B15)*('Fluxo de Caixa'!$B$82:$IL$82&lt;=MIN($C$6,IF($D$6="Dia",B15,IF($D$6="Semana",B15+6,IF($D$6="Mês",EOMONTH(B15,0),DATE(YEAR(B15),12,31))))))*'Fluxo de Caixa'!$B$96:$IL$96))</f>
        <v>0</v>
      </c>
      <c r="E15" s="37">
        <f>IF(B15="","",SUMIFS(Lançamentos!$F:$F,Lançamentos!$A:$A,"&gt;="&amp;B15,Lançamentos!$A:$A,"&lt;="&amp;MIN($C$6,IF($D$6="Dia",B15,IF($D$6="Semana",B15+6,IF($D$6="Mês",EOMONTH(B15,0),DATE(YEAR(B15),12,31))))),Lançamentos!$G:$G,IF($E$6="Todos","*",$E$6),Lançamentos!$D:$D,"Saída"))</f>
        <v>0</v>
      </c>
      <c r="F15" s="37" cm="1">
        <f t="array" ref="F15">IF(B15="","",SUMPRODUCT(('Fluxo de Caixa'!$B$82:$IL$82&gt;=B15)*('Fluxo de Caixa'!$B$82:$IL$82&lt;=MIN($C$6,IF($D$6="Dia",B15,IF($D$6="Semana",B15+6,IF($D$6="Mês",EOMONTH(B15,0),DATE(YEAR(B15),12,31))))))*'Fluxo de Caixa'!$B$140:$IL$140))</f>
        <v>0</v>
      </c>
      <c r="G15" s="37">
        <f t="shared" ref="G15:G46" si="1">IF(B15="","",(C15-E15)-(D15-F15))</f>
        <v>0</v>
      </c>
      <c r="H15" s="61">
        <f t="shared" ref="H15:H46" si="2">IF(B15="","",IFERROR(G15/ABS(D15-F15),0))</f>
        <v>0</v>
      </c>
      <c r="J15" t="s">
        <v>86</v>
      </c>
      <c r="K15" s="37">
        <f>SUMIFS(Lançamentos!$F:$F,Lançamentos!$A:$A,"&gt;="&amp;$B$6,Lançamentos!$A:$A,"&lt;="&amp;$C$6,Lançamentos!$C:$C,J15,Lançamentos!$G:$G,IF($E$6="Todos","*",$E$6))</f>
        <v>0</v>
      </c>
      <c r="L15" s="37" cm="1">
        <f t="array" ref="L15">SUMPRODUCT(('Fluxo de Caixa'!$B$82:$IL$82&gt;=$B$6)*('Fluxo de Caixa'!$B$82:$IL$82&lt;=$C$6)*'Fluxo de Caixa'!$B$94:$IL$94)</f>
        <v>0</v>
      </c>
      <c r="M15" s="37">
        <f t="shared" si="0"/>
        <v>0</v>
      </c>
    </row>
    <row r="16" spans="1:13" x14ac:dyDescent="0.3">
      <c r="B16" s="2" t="str">
        <f t="shared" ref="B16:B47" si="3">IF(B15="","",IF($D$6="Dia",IF(B15+1&gt;$C$6,"",B15+1),IF($D$6="Semana",IF(B15+7&gt;$C$6,"",B15+7),IF($D$6="Mês",IF(EDATE(B15,1)&gt;$C$6,"",EDATE(B15,1)),IF(DATE(YEAR(B15)+1,1,1)&gt;$C$6,"",DATE(YEAR(B15)+1,1,1))))))</f>
        <v/>
      </c>
      <c r="C16" s="37" t="str">
        <f>IF(B16="","",SUMIFS(Lançamentos!$F:$F,Lançamentos!$A:$A,"&gt;="&amp;B16,Lançamentos!$A:$A,"&lt;="&amp;MIN($C$6,IF($D$6="Dia",B16,IF($D$6="Semana",B16+6,IF($D$6="Mês",EOMONTH(B16,0),DATE(YEAR(B16),12,31))))),Lançamentos!$G:$G,IF($E$6="Todos","*",$E$6),Lançamentos!$D:$D,"Entrada"))</f>
        <v/>
      </c>
      <c r="D16" s="37" t="str" cm="1">
        <f t="array" ref="D16">IF(B16="","",SUMPRODUCT(('Fluxo de Caixa'!$B$82:$IL$82&gt;=B16)*('Fluxo de Caixa'!$B$82:$IL$82&lt;=MIN($C$6,IF($D$6="Dia",B16,IF($D$6="Semana",B16+6,IF($D$6="Mês",EOMONTH(B16,0),DATE(YEAR(B16),12,31))))))*'Fluxo de Caixa'!$B$96:$IL$96))</f>
        <v/>
      </c>
      <c r="E16" s="37" t="str">
        <f>IF(B16="","",SUMIFS(Lançamentos!$F:$F,Lançamentos!$A:$A,"&gt;="&amp;B16,Lançamentos!$A:$A,"&lt;="&amp;MIN($C$6,IF($D$6="Dia",B16,IF($D$6="Semana",B16+6,IF($D$6="Mês",EOMONTH(B16,0),DATE(YEAR(B16),12,31))))),Lançamentos!$G:$G,IF($E$6="Todos","*",$E$6),Lançamentos!$D:$D,"Saída"))</f>
        <v/>
      </c>
      <c r="F16" s="37" t="str" cm="1">
        <f t="array" ref="F16">IF(B16="","",SUMPRODUCT(('Fluxo de Caixa'!$B$82:$IL$82&gt;=B16)*('Fluxo de Caixa'!$B$82:$IL$82&lt;=MIN($C$6,IF($D$6="Dia",B16,IF($D$6="Semana",B16+6,IF($D$6="Mês",EOMONTH(B16,0),DATE(YEAR(B16),12,31))))))*'Fluxo de Caixa'!$B$140:$IL$140))</f>
        <v/>
      </c>
      <c r="G16" s="37" t="str">
        <f t="shared" si="1"/>
        <v/>
      </c>
      <c r="H16" s="61" t="str">
        <f t="shared" si="2"/>
        <v/>
      </c>
      <c r="J16" t="s">
        <v>87</v>
      </c>
      <c r="K16" s="37">
        <f>SUMIFS(Lançamentos!$F:$F,Lançamentos!$A:$A,"&gt;="&amp;$B$6,Lançamentos!$A:$A,"&lt;="&amp;$C$6,Lançamentos!$C:$C,J16,Lançamentos!$G:$G,IF($E$6="Todos","*",$E$6))</f>
        <v>0</v>
      </c>
      <c r="L16" s="37" cm="1">
        <f t="array" ref="L16">SUMPRODUCT(('Fluxo de Caixa'!$B$82:$IL$82&gt;=$B$6)*('Fluxo de Caixa'!$B$82:$IL$82&lt;=$C$6)*'Fluxo de Caixa'!$B$95:$IL$95)</f>
        <v>0</v>
      </c>
      <c r="M16" s="37">
        <f t="shared" si="0"/>
        <v>0</v>
      </c>
    </row>
    <row r="17" spans="2:13" x14ac:dyDescent="0.3">
      <c r="B17" s="2" t="str">
        <f t="shared" si="3"/>
        <v/>
      </c>
      <c r="C17" s="37" t="str">
        <f>IF(B17="","",SUMIFS(Lançamentos!$F:$F,Lançamentos!$A:$A,"&gt;="&amp;B17,Lançamentos!$A:$A,"&lt;="&amp;MIN($C$6,IF($D$6="Dia",B17,IF($D$6="Semana",B17+6,IF($D$6="Mês",EOMONTH(B17,0),DATE(YEAR(B17),12,31))))),Lançamentos!$G:$G,IF($E$6="Todos","*",$E$6),Lançamentos!$D:$D,"Entrada"))</f>
        <v/>
      </c>
      <c r="D17" s="37" t="str" cm="1">
        <f t="array" ref="D17">IF(B17="","",SUMPRODUCT(('Fluxo de Caixa'!$B$82:$IL$82&gt;=B17)*('Fluxo de Caixa'!$B$82:$IL$82&lt;=MIN($C$6,IF($D$6="Dia",B17,IF($D$6="Semana",B17+6,IF($D$6="Mês",EOMONTH(B17,0),DATE(YEAR(B17),12,31))))))*'Fluxo de Caixa'!$B$96:$IL$96))</f>
        <v/>
      </c>
      <c r="E17" s="37" t="str">
        <f>IF(B17="","",SUMIFS(Lançamentos!$F:$F,Lançamentos!$A:$A,"&gt;="&amp;B17,Lançamentos!$A:$A,"&lt;="&amp;MIN($C$6,IF($D$6="Dia",B17,IF($D$6="Semana",B17+6,IF($D$6="Mês",EOMONTH(B17,0),DATE(YEAR(B17),12,31))))),Lançamentos!$G:$G,IF($E$6="Todos","*",$E$6),Lançamentos!$D:$D,"Saída"))</f>
        <v/>
      </c>
      <c r="F17" s="37" t="str" cm="1">
        <f t="array" ref="F17">IF(B17="","",SUMPRODUCT(('Fluxo de Caixa'!$B$82:$IL$82&gt;=B17)*('Fluxo de Caixa'!$B$82:$IL$82&lt;=MIN($C$6,IF($D$6="Dia",B17,IF($D$6="Semana",B17+6,IF($D$6="Mês",EOMONTH(B17,0),DATE(YEAR(B17),12,31))))))*'Fluxo de Caixa'!$B$140:$IL$140))</f>
        <v/>
      </c>
      <c r="G17" s="37" t="str">
        <f t="shared" si="1"/>
        <v/>
      </c>
      <c r="H17" s="61" t="str">
        <f t="shared" si="2"/>
        <v/>
      </c>
      <c r="J17" t="s">
        <v>7</v>
      </c>
      <c r="K17" s="37">
        <f>SUMIFS(Lançamentos!$F:$F,Lançamentos!$A:$A,"&gt;="&amp;$B$6,Lançamentos!$A:$A,"&lt;="&amp;$C$6,Lançamentos!$C:$C,J17,Lançamentos!$G:$G,IF($E$6="Todos","*",$E$6))</f>
        <v>0</v>
      </c>
      <c r="L17" s="37" cm="1">
        <f t="array" ref="L17">SUMPRODUCT(('Fluxo de Caixa'!$B$82:$IL$82&gt;=$B$6)*('Fluxo de Caixa'!$B$82:$IL$82&lt;=$C$6)*'Fluxo de Caixa'!$B$98:$IL$98)</f>
        <v>0</v>
      </c>
      <c r="M17" s="37">
        <f t="shared" si="0"/>
        <v>0</v>
      </c>
    </row>
    <row r="18" spans="2:13" x14ac:dyDescent="0.3">
      <c r="B18" s="2" t="str">
        <f t="shared" si="3"/>
        <v/>
      </c>
      <c r="C18" s="37" t="str">
        <f>IF(B18="","",SUMIFS(Lançamentos!$F:$F,Lançamentos!$A:$A,"&gt;="&amp;B18,Lançamentos!$A:$A,"&lt;="&amp;MIN($C$6,IF($D$6="Dia",B18,IF($D$6="Semana",B18+6,IF($D$6="Mês",EOMONTH(B18,0),DATE(YEAR(B18),12,31))))),Lançamentos!$G:$G,IF($E$6="Todos","*",$E$6),Lançamentos!$D:$D,"Entrada"))</f>
        <v/>
      </c>
      <c r="D18" s="37" t="str" cm="1">
        <f t="array" ref="D18">IF(B18="","",SUMPRODUCT(('Fluxo de Caixa'!$B$82:$IL$82&gt;=B18)*('Fluxo de Caixa'!$B$82:$IL$82&lt;=MIN($C$6,IF($D$6="Dia",B18,IF($D$6="Semana",B18+6,IF($D$6="Mês",EOMONTH(B18,0),DATE(YEAR(B18),12,31))))))*'Fluxo de Caixa'!$B$96:$IL$96))</f>
        <v/>
      </c>
      <c r="E18" s="37" t="str">
        <f>IF(B18="","",SUMIFS(Lançamentos!$F:$F,Lançamentos!$A:$A,"&gt;="&amp;B18,Lançamentos!$A:$A,"&lt;="&amp;MIN($C$6,IF($D$6="Dia",B18,IF($D$6="Semana",B18+6,IF($D$6="Mês",EOMONTH(B18,0),DATE(YEAR(B18),12,31))))),Lançamentos!$G:$G,IF($E$6="Todos","*",$E$6),Lançamentos!$D:$D,"Saída"))</f>
        <v/>
      </c>
      <c r="F18" s="37" t="str" cm="1">
        <f t="array" ref="F18">IF(B18="","",SUMPRODUCT(('Fluxo de Caixa'!$B$82:$IL$82&gt;=B18)*('Fluxo de Caixa'!$B$82:$IL$82&lt;=MIN($C$6,IF($D$6="Dia",B18,IF($D$6="Semana",B18+6,IF($D$6="Mês",EOMONTH(B18,0),DATE(YEAR(B18),12,31))))))*'Fluxo de Caixa'!$B$140:$IL$140))</f>
        <v/>
      </c>
      <c r="G18" s="37" t="str">
        <f t="shared" si="1"/>
        <v/>
      </c>
      <c r="H18" s="61" t="str">
        <f t="shared" si="2"/>
        <v/>
      </c>
      <c r="J18" t="s">
        <v>9</v>
      </c>
      <c r="K18" s="37">
        <f>SUMIFS(Lançamentos!$F:$F,Lançamentos!$A:$A,"&gt;="&amp;$B$6,Lançamentos!$A:$A,"&lt;="&amp;$C$6,Lançamentos!$C:$C,J18,Lançamentos!$G:$G,IF($E$6="Todos","*",$E$6))</f>
        <v>0</v>
      </c>
      <c r="L18" s="37" cm="1">
        <f t="array" ref="L18">SUMPRODUCT(('Fluxo de Caixa'!$B$82:$IL$82&gt;=$B$6)*('Fluxo de Caixa'!$B$82:$IL$82&lt;=$C$6)*'Fluxo de Caixa'!$B$99:$IL$99)</f>
        <v>0</v>
      </c>
      <c r="M18" s="37">
        <f t="shared" si="0"/>
        <v>0</v>
      </c>
    </row>
    <row r="19" spans="2:13" x14ac:dyDescent="0.3">
      <c r="B19" s="2" t="str">
        <f t="shared" si="3"/>
        <v/>
      </c>
      <c r="C19" s="37" t="str">
        <f>IF(B19="","",SUMIFS(Lançamentos!$F:$F,Lançamentos!$A:$A,"&gt;="&amp;B19,Lançamentos!$A:$A,"&lt;="&amp;MIN($C$6,IF($D$6="Dia",B19,IF($D$6="Semana",B19+6,IF($D$6="Mês",EOMONTH(B19,0),DATE(YEAR(B19),12,31))))),Lançamentos!$G:$G,IF($E$6="Todos","*",$E$6),Lançamentos!$D:$D,"Entrada"))</f>
        <v/>
      </c>
      <c r="D19" s="37" t="str" cm="1">
        <f t="array" ref="D19">IF(B19="","",SUMPRODUCT(('Fluxo de Caixa'!$B$82:$IL$82&gt;=B19)*('Fluxo de Caixa'!$B$82:$IL$82&lt;=MIN($C$6,IF($D$6="Dia",B19,IF($D$6="Semana",B19+6,IF($D$6="Mês",EOMONTH(B19,0),DATE(YEAR(B19),12,31))))))*'Fluxo de Caixa'!$B$96:$IL$96))</f>
        <v/>
      </c>
      <c r="E19" s="37" t="str">
        <f>IF(B19="","",SUMIFS(Lançamentos!$F:$F,Lançamentos!$A:$A,"&gt;="&amp;B19,Lançamentos!$A:$A,"&lt;="&amp;MIN($C$6,IF($D$6="Dia",B19,IF($D$6="Semana",B19+6,IF($D$6="Mês",EOMONTH(B19,0),DATE(YEAR(B19),12,31))))),Lançamentos!$G:$G,IF($E$6="Todos","*",$E$6),Lançamentos!$D:$D,"Saída"))</f>
        <v/>
      </c>
      <c r="F19" s="37" t="str" cm="1">
        <f t="array" ref="F19">IF(B19="","",SUMPRODUCT(('Fluxo de Caixa'!$B$82:$IL$82&gt;=B19)*('Fluxo de Caixa'!$B$82:$IL$82&lt;=MIN($C$6,IF($D$6="Dia",B19,IF($D$6="Semana",B19+6,IF($D$6="Mês",EOMONTH(B19,0),DATE(YEAR(B19),12,31))))))*'Fluxo de Caixa'!$B$140:$IL$140))</f>
        <v/>
      </c>
      <c r="G19" s="37" t="str">
        <f t="shared" si="1"/>
        <v/>
      </c>
      <c r="H19" s="61" t="str">
        <f t="shared" si="2"/>
        <v/>
      </c>
      <c r="J19" t="s">
        <v>10</v>
      </c>
      <c r="K19" s="37">
        <f>SUMIFS(Lançamentos!$F:$F,Lançamentos!$A:$A,"&gt;="&amp;$B$6,Lançamentos!$A:$A,"&lt;="&amp;$C$6,Lançamentos!$C:$C,J19,Lançamentos!$G:$G,IF($E$6="Todos","*",$E$6))</f>
        <v>0</v>
      </c>
      <c r="L19" s="37" cm="1">
        <f t="array" ref="L19">SUMPRODUCT(('Fluxo de Caixa'!$B$82:$IL$82&gt;=$B$6)*('Fluxo de Caixa'!$B$82:$IL$82&lt;=$C$6)*'Fluxo de Caixa'!$B$100:$IL$100)</f>
        <v>0</v>
      </c>
      <c r="M19" s="37">
        <f t="shared" si="0"/>
        <v>0</v>
      </c>
    </row>
    <row r="20" spans="2:13" x14ac:dyDescent="0.3">
      <c r="B20" s="2" t="str">
        <f t="shared" si="3"/>
        <v/>
      </c>
      <c r="C20" s="37" t="str">
        <f>IF(B20="","",SUMIFS(Lançamentos!$F:$F,Lançamentos!$A:$A,"&gt;="&amp;B20,Lançamentos!$A:$A,"&lt;="&amp;MIN($C$6,IF($D$6="Dia",B20,IF($D$6="Semana",B20+6,IF($D$6="Mês",EOMONTH(B20,0),DATE(YEAR(B20),12,31))))),Lançamentos!$G:$G,IF($E$6="Todos","*",$E$6),Lançamentos!$D:$D,"Entrada"))</f>
        <v/>
      </c>
      <c r="D20" s="37" t="str" cm="1">
        <f t="array" ref="D20">IF(B20="","",SUMPRODUCT(('Fluxo de Caixa'!$B$82:$IL$82&gt;=B20)*('Fluxo de Caixa'!$B$82:$IL$82&lt;=MIN($C$6,IF($D$6="Dia",B20,IF($D$6="Semana",B20+6,IF($D$6="Mês",EOMONTH(B20,0),DATE(YEAR(B20),12,31))))))*'Fluxo de Caixa'!$B$96:$IL$96))</f>
        <v/>
      </c>
      <c r="E20" s="37" t="str">
        <f>IF(B20="","",SUMIFS(Lançamentos!$F:$F,Lançamentos!$A:$A,"&gt;="&amp;B20,Lançamentos!$A:$A,"&lt;="&amp;MIN($C$6,IF($D$6="Dia",B20,IF($D$6="Semana",B20+6,IF($D$6="Mês",EOMONTH(B20,0),DATE(YEAR(B20),12,31))))),Lançamentos!$G:$G,IF($E$6="Todos","*",$E$6),Lançamentos!$D:$D,"Saída"))</f>
        <v/>
      </c>
      <c r="F20" s="37" t="str" cm="1">
        <f t="array" ref="F20">IF(B20="","",SUMPRODUCT(('Fluxo de Caixa'!$B$82:$IL$82&gt;=B20)*('Fluxo de Caixa'!$B$82:$IL$82&lt;=MIN($C$6,IF($D$6="Dia",B20,IF($D$6="Semana",B20+6,IF($D$6="Mês",EOMONTH(B20,0),DATE(YEAR(B20),12,31))))))*'Fluxo de Caixa'!$B$140:$IL$140))</f>
        <v/>
      </c>
      <c r="G20" s="37" t="str">
        <f t="shared" si="1"/>
        <v/>
      </c>
      <c r="H20" s="61" t="str">
        <f t="shared" si="2"/>
        <v/>
      </c>
      <c r="J20" t="s">
        <v>12</v>
      </c>
      <c r="K20" s="37">
        <f>SUMIFS(Lançamentos!$F:$F,Lançamentos!$A:$A,"&gt;="&amp;$B$6,Lançamentos!$A:$A,"&lt;="&amp;$C$6,Lançamentos!$C:$C,J20,Lançamentos!$G:$G,IF($E$6="Todos","*",$E$6))</f>
        <v>0</v>
      </c>
      <c r="L20" s="37" cm="1">
        <f t="array" ref="L20">SUMPRODUCT(('Fluxo de Caixa'!$B$82:$IL$82&gt;=$B$6)*('Fluxo de Caixa'!$B$82:$IL$82&lt;=$C$6)*'Fluxo de Caixa'!$B$101:$IL$101)</f>
        <v>0</v>
      </c>
      <c r="M20" s="37">
        <f t="shared" si="0"/>
        <v>0</v>
      </c>
    </row>
    <row r="21" spans="2:13" x14ac:dyDescent="0.3">
      <c r="B21" s="2" t="str">
        <f t="shared" si="3"/>
        <v/>
      </c>
      <c r="C21" s="37" t="str">
        <f>IF(B21="","",SUMIFS(Lançamentos!$F:$F,Lançamentos!$A:$A,"&gt;="&amp;B21,Lançamentos!$A:$A,"&lt;="&amp;MIN($C$6,IF($D$6="Dia",B21,IF($D$6="Semana",B21+6,IF($D$6="Mês",EOMONTH(B21,0),DATE(YEAR(B21),12,31))))),Lançamentos!$G:$G,IF($E$6="Todos","*",$E$6),Lançamentos!$D:$D,"Entrada"))</f>
        <v/>
      </c>
      <c r="D21" s="37" t="str" cm="1">
        <f t="array" ref="D21">IF(B21="","",SUMPRODUCT(('Fluxo de Caixa'!$B$82:$IL$82&gt;=B21)*('Fluxo de Caixa'!$B$82:$IL$82&lt;=MIN($C$6,IF($D$6="Dia",B21,IF($D$6="Semana",B21+6,IF($D$6="Mês",EOMONTH(B21,0),DATE(YEAR(B21),12,31))))))*'Fluxo de Caixa'!$B$96:$IL$96))</f>
        <v/>
      </c>
      <c r="E21" s="37" t="str">
        <f>IF(B21="","",SUMIFS(Lançamentos!$F:$F,Lançamentos!$A:$A,"&gt;="&amp;B21,Lançamentos!$A:$A,"&lt;="&amp;MIN($C$6,IF($D$6="Dia",B21,IF($D$6="Semana",B21+6,IF($D$6="Mês",EOMONTH(B21,0),DATE(YEAR(B21),12,31))))),Lançamentos!$G:$G,IF($E$6="Todos","*",$E$6),Lançamentos!$D:$D,"Saída"))</f>
        <v/>
      </c>
      <c r="F21" s="37" t="str" cm="1">
        <f t="array" ref="F21">IF(B21="","",SUMPRODUCT(('Fluxo de Caixa'!$B$82:$IL$82&gt;=B21)*('Fluxo de Caixa'!$B$82:$IL$82&lt;=MIN($C$6,IF($D$6="Dia",B21,IF($D$6="Semana",B21+6,IF($D$6="Mês",EOMONTH(B21,0),DATE(YEAR(B21),12,31))))))*'Fluxo de Caixa'!$B$140:$IL$140))</f>
        <v/>
      </c>
      <c r="G21" s="37" t="str">
        <f t="shared" si="1"/>
        <v/>
      </c>
      <c r="H21" s="61" t="str">
        <f t="shared" si="2"/>
        <v/>
      </c>
      <c r="J21" t="s">
        <v>13</v>
      </c>
      <c r="K21" s="37">
        <f>SUMIFS(Lançamentos!$F:$F,Lançamentos!$A:$A,"&gt;="&amp;$B$6,Lançamentos!$A:$A,"&lt;="&amp;$C$6,Lançamentos!$C:$C,J21,Lançamentos!$G:$G,IF($E$6="Todos","*",$E$6))</f>
        <v>0</v>
      </c>
      <c r="L21" s="37" cm="1">
        <f t="array" ref="L21">SUMPRODUCT(('Fluxo de Caixa'!$B$82:$IL$82&gt;=$B$6)*('Fluxo de Caixa'!$B$82:$IL$82&lt;=$C$6)*'Fluxo de Caixa'!$B$102:$IL$102)</f>
        <v>0</v>
      </c>
      <c r="M21" s="37">
        <f t="shared" si="0"/>
        <v>0</v>
      </c>
    </row>
    <row r="22" spans="2:13" x14ac:dyDescent="0.3">
      <c r="B22" s="2" t="str">
        <f t="shared" si="3"/>
        <v/>
      </c>
      <c r="C22" s="37" t="str">
        <f>IF(B22="","",SUMIFS(Lançamentos!$F:$F,Lançamentos!$A:$A,"&gt;="&amp;B22,Lançamentos!$A:$A,"&lt;="&amp;MIN($C$6,IF($D$6="Dia",B22,IF($D$6="Semana",B22+6,IF($D$6="Mês",EOMONTH(B22,0),DATE(YEAR(B22),12,31))))),Lançamentos!$G:$G,IF($E$6="Todos","*",$E$6),Lançamentos!$D:$D,"Entrada"))</f>
        <v/>
      </c>
      <c r="D22" s="37" t="str" cm="1">
        <f t="array" ref="D22">IF(B22="","",SUMPRODUCT(('Fluxo de Caixa'!$B$82:$IL$82&gt;=B22)*('Fluxo de Caixa'!$B$82:$IL$82&lt;=MIN($C$6,IF($D$6="Dia",B22,IF($D$6="Semana",B22+6,IF($D$6="Mês",EOMONTH(B22,0),DATE(YEAR(B22),12,31))))))*'Fluxo de Caixa'!$B$96:$IL$96))</f>
        <v/>
      </c>
      <c r="E22" s="37" t="str">
        <f>IF(B22="","",SUMIFS(Lançamentos!$F:$F,Lançamentos!$A:$A,"&gt;="&amp;B22,Lançamentos!$A:$A,"&lt;="&amp;MIN($C$6,IF($D$6="Dia",B22,IF($D$6="Semana",B22+6,IF($D$6="Mês",EOMONTH(B22,0),DATE(YEAR(B22),12,31))))),Lançamentos!$G:$G,IF($E$6="Todos","*",$E$6),Lançamentos!$D:$D,"Saída"))</f>
        <v/>
      </c>
      <c r="F22" s="37" t="str" cm="1">
        <f t="array" ref="F22">IF(B22="","",SUMPRODUCT(('Fluxo de Caixa'!$B$82:$IL$82&gt;=B22)*('Fluxo de Caixa'!$B$82:$IL$82&lt;=MIN($C$6,IF($D$6="Dia",B22,IF($D$6="Semana",B22+6,IF($D$6="Mês",EOMONTH(B22,0),DATE(YEAR(B22),12,31))))))*'Fluxo de Caixa'!$B$140:$IL$140))</f>
        <v/>
      </c>
      <c r="G22" s="37" t="str">
        <f t="shared" si="1"/>
        <v/>
      </c>
      <c r="H22" s="61" t="str">
        <f t="shared" si="2"/>
        <v/>
      </c>
      <c r="J22" t="s">
        <v>15</v>
      </c>
      <c r="K22" s="37">
        <f>SUMIFS(Lançamentos!$F:$F,Lançamentos!$A:$A,"&gt;="&amp;$B$6,Lançamentos!$A:$A,"&lt;="&amp;$C$6,Lançamentos!$C:$C,J22,Lançamentos!$G:$G,IF($E$6="Todos","*",$E$6))</f>
        <v>0</v>
      </c>
      <c r="L22" s="37" cm="1">
        <f t="array" ref="L22">SUMPRODUCT(('Fluxo de Caixa'!$B$82:$IL$82&gt;=$B$6)*('Fluxo de Caixa'!$B$82:$IL$82&lt;=$C$6)*'Fluxo de Caixa'!$B$103:$IL$103)</f>
        <v>0</v>
      </c>
      <c r="M22" s="37">
        <f t="shared" si="0"/>
        <v>0</v>
      </c>
    </row>
    <row r="23" spans="2:13" x14ac:dyDescent="0.3">
      <c r="B23" s="2" t="str">
        <f t="shared" si="3"/>
        <v/>
      </c>
      <c r="C23" s="37" t="str">
        <f>IF(B23="","",SUMIFS(Lançamentos!$F:$F,Lançamentos!$A:$A,"&gt;="&amp;B23,Lançamentos!$A:$A,"&lt;="&amp;MIN($C$6,IF($D$6="Dia",B23,IF($D$6="Semana",B23+6,IF($D$6="Mês",EOMONTH(B23,0),DATE(YEAR(B23),12,31))))),Lançamentos!$G:$G,IF($E$6="Todos","*",$E$6),Lançamentos!$D:$D,"Entrada"))</f>
        <v/>
      </c>
      <c r="D23" s="37" t="str" cm="1">
        <f t="array" ref="D23">IF(B23="","",SUMPRODUCT(('Fluxo de Caixa'!$B$82:$IL$82&gt;=B23)*('Fluxo de Caixa'!$B$82:$IL$82&lt;=MIN($C$6,IF($D$6="Dia",B23,IF($D$6="Semana",B23+6,IF($D$6="Mês",EOMONTH(B23,0),DATE(YEAR(B23),12,31))))))*'Fluxo de Caixa'!$B$96:$IL$96))</f>
        <v/>
      </c>
      <c r="E23" s="37" t="str">
        <f>IF(B23="","",SUMIFS(Lançamentos!$F:$F,Lançamentos!$A:$A,"&gt;="&amp;B23,Lançamentos!$A:$A,"&lt;="&amp;MIN($C$6,IF($D$6="Dia",B23,IF($D$6="Semana",B23+6,IF($D$6="Mês",EOMONTH(B23,0),DATE(YEAR(B23),12,31))))),Lançamentos!$G:$G,IF($E$6="Todos","*",$E$6),Lançamentos!$D:$D,"Saída"))</f>
        <v/>
      </c>
      <c r="F23" s="37" t="str" cm="1">
        <f t="array" ref="F23">IF(B23="","",SUMPRODUCT(('Fluxo de Caixa'!$B$82:$IL$82&gt;=B23)*('Fluxo de Caixa'!$B$82:$IL$82&lt;=MIN($C$6,IF($D$6="Dia",B23,IF($D$6="Semana",B23+6,IF($D$6="Mês",EOMONTH(B23,0),DATE(YEAR(B23),12,31))))))*'Fluxo de Caixa'!$B$140:$IL$140))</f>
        <v/>
      </c>
      <c r="G23" s="37" t="str">
        <f t="shared" si="1"/>
        <v/>
      </c>
      <c r="H23" s="61" t="str">
        <f t="shared" si="2"/>
        <v/>
      </c>
      <c r="J23" t="s">
        <v>16</v>
      </c>
      <c r="K23" s="37">
        <f>SUMIFS(Lançamentos!$F:$F,Lançamentos!$A:$A,"&gt;="&amp;$B$6,Lançamentos!$A:$A,"&lt;="&amp;$C$6,Lançamentos!$C:$C,J23,Lançamentos!$G:$G,IF($E$6="Todos","*",$E$6))</f>
        <v>0</v>
      </c>
      <c r="L23" s="37" cm="1">
        <f t="array" ref="L23">SUMPRODUCT(('Fluxo de Caixa'!$B$82:$IL$82&gt;=$B$6)*('Fluxo de Caixa'!$B$82:$IL$82&lt;=$C$6)*'Fluxo de Caixa'!$B$104:$IL$104)</f>
        <v>0</v>
      </c>
      <c r="M23" s="37">
        <f t="shared" si="0"/>
        <v>0</v>
      </c>
    </row>
    <row r="24" spans="2:13" x14ac:dyDescent="0.3">
      <c r="B24" s="2" t="str">
        <f t="shared" si="3"/>
        <v/>
      </c>
      <c r="C24" s="37" t="str">
        <f>IF(B24="","",SUMIFS(Lançamentos!$F:$F,Lançamentos!$A:$A,"&gt;="&amp;B24,Lançamentos!$A:$A,"&lt;="&amp;MIN($C$6,IF($D$6="Dia",B24,IF($D$6="Semana",B24+6,IF($D$6="Mês",EOMONTH(B24,0),DATE(YEAR(B24),12,31))))),Lançamentos!$G:$G,IF($E$6="Todos","*",$E$6),Lançamentos!$D:$D,"Entrada"))</f>
        <v/>
      </c>
      <c r="D24" s="37" t="str" cm="1">
        <f t="array" ref="D24">IF(B24="","",SUMPRODUCT(('Fluxo de Caixa'!$B$82:$IL$82&gt;=B24)*('Fluxo de Caixa'!$B$82:$IL$82&lt;=MIN($C$6,IF($D$6="Dia",B24,IF($D$6="Semana",B24+6,IF($D$6="Mês",EOMONTH(B24,0),DATE(YEAR(B24),12,31))))))*'Fluxo de Caixa'!$B$96:$IL$96))</f>
        <v/>
      </c>
      <c r="E24" s="37" t="str">
        <f>IF(B24="","",SUMIFS(Lançamentos!$F:$F,Lançamentos!$A:$A,"&gt;="&amp;B24,Lançamentos!$A:$A,"&lt;="&amp;MIN($C$6,IF($D$6="Dia",B24,IF($D$6="Semana",B24+6,IF($D$6="Mês",EOMONTH(B24,0),DATE(YEAR(B24),12,31))))),Lançamentos!$G:$G,IF($E$6="Todos","*",$E$6),Lançamentos!$D:$D,"Saída"))</f>
        <v/>
      </c>
      <c r="F24" s="37" t="str" cm="1">
        <f t="array" ref="F24">IF(B24="","",SUMPRODUCT(('Fluxo de Caixa'!$B$82:$IL$82&gt;=B24)*('Fluxo de Caixa'!$B$82:$IL$82&lt;=MIN($C$6,IF($D$6="Dia",B24,IF($D$6="Semana",B24+6,IF($D$6="Mês",EOMONTH(B24,0),DATE(YEAR(B24),12,31))))))*'Fluxo de Caixa'!$B$140:$IL$140))</f>
        <v/>
      </c>
      <c r="G24" s="37" t="str">
        <f t="shared" si="1"/>
        <v/>
      </c>
      <c r="H24" s="61" t="str">
        <f t="shared" si="2"/>
        <v/>
      </c>
      <c r="J24" t="s">
        <v>17</v>
      </c>
      <c r="K24" s="37">
        <f>SUMIFS(Lançamentos!$F:$F,Lançamentos!$A:$A,"&gt;="&amp;$B$6,Lançamentos!$A:$A,"&lt;="&amp;$C$6,Lançamentos!$C:$C,J24,Lançamentos!$G:$G,IF($E$6="Todos","*",$E$6))</f>
        <v>0</v>
      </c>
      <c r="L24" s="37" cm="1">
        <f t="array" ref="L24">SUMPRODUCT(('Fluxo de Caixa'!$B$82:$IL$82&gt;=$B$6)*('Fluxo de Caixa'!$B$82:$IL$82&lt;=$C$6)*'Fluxo de Caixa'!$B$105:$IL$105)</f>
        <v>0</v>
      </c>
      <c r="M24" s="37">
        <f t="shared" si="0"/>
        <v>0</v>
      </c>
    </row>
    <row r="25" spans="2:13" x14ac:dyDescent="0.3">
      <c r="B25" s="2" t="str">
        <f t="shared" si="3"/>
        <v/>
      </c>
      <c r="C25" s="37" t="str">
        <f>IF(B25="","",SUMIFS(Lançamentos!$F:$F,Lançamentos!$A:$A,"&gt;="&amp;B25,Lançamentos!$A:$A,"&lt;="&amp;MIN($C$6,IF($D$6="Dia",B25,IF($D$6="Semana",B25+6,IF($D$6="Mês",EOMONTH(B25,0),DATE(YEAR(B25),12,31))))),Lançamentos!$G:$G,IF($E$6="Todos","*",$E$6),Lançamentos!$D:$D,"Entrada"))</f>
        <v/>
      </c>
      <c r="D25" s="37" t="str" cm="1">
        <f t="array" ref="D25">IF(B25="","",SUMPRODUCT(('Fluxo de Caixa'!$B$82:$IL$82&gt;=B25)*('Fluxo de Caixa'!$B$82:$IL$82&lt;=MIN($C$6,IF($D$6="Dia",B25,IF($D$6="Semana",B25+6,IF($D$6="Mês",EOMONTH(B25,0),DATE(YEAR(B25),12,31))))))*'Fluxo de Caixa'!$B$96:$IL$96))</f>
        <v/>
      </c>
      <c r="E25" s="37" t="str">
        <f>IF(B25="","",SUMIFS(Lançamentos!$F:$F,Lançamentos!$A:$A,"&gt;="&amp;B25,Lançamentos!$A:$A,"&lt;="&amp;MIN($C$6,IF($D$6="Dia",B25,IF($D$6="Semana",B25+6,IF($D$6="Mês",EOMONTH(B25,0),DATE(YEAR(B25),12,31))))),Lançamentos!$G:$G,IF($E$6="Todos","*",$E$6),Lançamentos!$D:$D,"Saída"))</f>
        <v/>
      </c>
      <c r="F25" s="37" t="str" cm="1">
        <f t="array" ref="F25">IF(B25="","",SUMPRODUCT(('Fluxo de Caixa'!$B$82:$IL$82&gt;=B25)*('Fluxo de Caixa'!$B$82:$IL$82&lt;=MIN($C$6,IF($D$6="Dia",B25,IF($D$6="Semana",B25+6,IF($D$6="Mês",EOMONTH(B25,0),DATE(YEAR(B25),12,31))))))*'Fluxo de Caixa'!$B$140:$IL$140))</f>
        <v/>
      </c>
      <c r="G25" s="37" t="str">
        <f t="shared" si="1"/>
        <v/>
      </c>
      <c r="H25" s="61" t="str">
        <f t="shared" si="2"/>
        <v/>
      </c>
      <c r="J25" t="s">
        <v>18</v>
      </c>
      <c r="K25" s="37">
        <f>SUMIFS(Lançamentos!$F:$F,Lançamentos!$A:$A,"&gt;="&amp;$B$6,Lançamentos!$A:$A,"&lt;="&amp;$C$6,Lançamentos!$C:$C,J25,Lançamentos!$G:$G,IF($E$6="Todos","*",$E$6))</f>
        <v>0</v>
      </c>
      <c r="L25" s="37" cm="1">
        <f t="array" ref="L25">SUMPRODUCT(('Fluxo de Caixa'!$B$82:$IL$82&gt;=$B$6)*('Fluxo de Caixa'!$B$82:$IL$82&lt;=$C$6)*'Fluxo de Caixa'!$B$106:$IL$106)</f>
        <v>0</v>
      </c>
      <c r="M25" s="37">
        <f t="shared" si="0"/>
        <v>0</v>
      </c>
    </row>
    <row r="26" spans="2:13" x14ac:dyDescent="0.3">
      <c r="B26" s="2" t="str">
        <f t="shared" si="3"/>
        <v/>
      </c>
      <c r="C26" s="37" t="str">
        <f>IF(B26="","",SUMIFS(Lançamentos!$F:$F,Lançamentos!$A:$A,"&gt;="&amp;B26,Lançamentos!$A:$A,"&lt;="&amp;MIN($C$6,IF($D$6="Dia",B26,IF($D$6="Semana",B26+6,IF($D$6="Mês",EOMONTH(B26,0),DATE(YEAR(B26),12,31))))),Lançamentos!$G:$G,IF($E$6="Todos","*",$E$6),Lançamentos!$D:$D,"Entrada"))</f>
        <v/>
      </c>
      <c r="D26" s="37" t="str" cm="1">
        <f t="array" ref="D26">IF(B26="","",SUMPRODUCT(('Fluxo de Caixa'!$B$82:$IL$82&gt;=B26)*('Fluxo de Caixa'!$B$82:$IL$82&lt;=MIN($C$6,IF($D$6="Dia",B26,IF($D$6="Semana",B26+6,IF($D$6="Mês",EOMONTH(B26,0),DATE(YEAR(B26),12,31))))))*'Fluxo de Caixa'!$B$96:$IL$96))</f>
        <v/>
      </c>
      <c r="E26" s="37" t="str">
        <f>IF(B26="","",SUMIFS(Lançamentos!$F:$F,Lançamentos!$A:$A,"&gt;="&amp;B26,Lançamentos!$A:$A,"&lt;="&amp;MIN($C$6,IF($D$6="Dia",B26,IF($D$6="Semana",B26+6,IF($D$6="Mês",EOMONTH(B26,0),DATE(YEAR(B26),12,31))))),Lançamentos!$G:$G,IF($E$6="Todos","*",$E$6),Lançamentos!$D:$D,"Saída"))</f>
        <v/>
      </c>
      <c r="F26" s="37" t="str" cm="1">
        <f t="array" ref="F26">IF(B26="","",SUMPRODUCT(('Fluxo de Caixa'!$B$82:$IL$82&gt;=B26)*('Fluxo de Caixa'!$B$82:$IL$82&lt;=MIN($C$6,IF($D$6="Dia",B26,IF($D$6="Semana",B26+6,IF($D$6="Mês",EOMONTH(B26,0),DATE(YEAR(B26),12,31))))))*'Fluxo de Caixa'!$B$140:$IL$140))</f>
        <v/>
      </c>
      <c r="G26" s="37" t="str">
        <f t="shared" si="1"/>
        <v/>
      </c>
      <c r="H26" s="61" t="str">
        <f t="shared" si="2"/>
        <v/>
      </c>
      <c r="J26" t="s">
        <v>19</v>
      </c>
      <c r="K26" s="37">
        <f>SUMIFS(Lançamentos!$F:$F,Lançamentos!$A:$A,"&gt;="&amp;$B$6,Lançamentos!$A:$A,"&lt;="&amp;$C$6,Lançamentos!$C:$C,J26,Lançamentos!$G:$G,IF($E$6="Todos","*",$E$6))</f>
        <v>0</v>
      </c>
      <c r="L26" s="37" cm="1">
        <f t="array" ref="L26">SUMPRODUCT(('Fluxo de Caixa'!$B$82:$IL$82&gt;=$B$6)*('Fluxo de Caixa'!$B$82:$IL$82&lt;=$C$6)*'Fluxo de Caixa'!$B$107:$IL$107)</f>
        <v>0</v>
      </c>
      <c r="M26" s="37">
        <f t="shared" si="0"/>
        <v>0</v>
      </c>
    </row>
    <row r="27" spans="2:13" x14ac:dyDescent="0.3">
      <c r="B27" s="2" t="str">
        <f t="shared" si="3"/>
        <v/>
      </c>
      <c r="C27" s="37" t="str">
        <f>IF(B27="","",SUMIFS(Lançamentos!$F:$F,Lançamentos!$A:$A,"&gt;="&amp;B27,Lançamentos!$A:$A,"&lt;="&amp;MIN($C$6,IF($D$6="Dia",B27,IF($D$6="Semana",B27+6,IF($D$6="Mês",EOMONTH(B27,0),DATE(YEAR(B27),12,31))))),Lançamentos!$G:$G,IF($E$6="Todos","*",$E$6),Lançamentos!$D:$D,"Entrada"))</f>
        <v/>
      </c>
      <c r="D27" s="37" t="str" cm="1">
        <f t="array" ref="D27">IF(B27="","",SUMPRODUCT(('Fluxo de Caixa'!$B$82:$IL$82&gt;=B27)*('Fluxo de Caixa'!$B$82:$IL$82&lt;=MIN($C$6,IF($D$6="Dia",B27,IF($D$6="Semana",B27+6,IF($D$6="Mês",EOMONTH(B27,0),DATE(YEAR(B27),12,31))))))*'Fluxo de Caixa'!$B$96:$IL$96))</f>
        <v/>
      </c>
      <c r="E27" s="37" t="str">
        <f>IF(B27="","",SUMIFS(Lançamentos!$F:$F,Lançamentos!$A:$A,"&gt;="&amp;B27,Lançamentos!$A:$A,"&lt;="&amp;MIN($C$6,IF($D$6="Dia",B27,IF($D$6="Semana",B27+6,IF($D$6="Mês",EOMONTH(B27,0),DATE(YEAR(B27),12,31))))),Lançamentos!$G:$G,IF($E$6="Todos","*",$E$6),Lançamentos!$D:$D,"Saída"))</f>
        <v/>
      </c>
      <c r="F27" s="37" t="str" cm="1">
        <f t="array" ref="F27">IF(B27="","",SUMPRODUCT(('Fluxo de Caixa'!$B$82:$IL$82&gt;=B27)*('Fluxo de Caixa'!$B$82:$IL$82&lt;=MIN($C$6,IF($D$6="Dia",B27,IF($D$6="Semana",B27+6,IF($D$6="Mês",EOMONTH(B27,0),DATE(YEAR(B27),12,31))))))*'Fluxo de Caixa'!$B$140:$IL$140))</f>
        <v/>
      </c>
      <c r="G27" s="37" t="str">
        <f t="shared" si="1"/>
        <v/>
      </c>
      <c r="H27" s="61" t="str">
        <f t="shared" si="2"/>
        <v/>
      </c>
      <c r="J27" t="s">
        <v>20</v>
      </c>
      <c r="K27" s="37">
        <f>SUMIFS(Lançamentos!$F:$F,Lançamentos!$A:$A,"&gt;="&amp;$B$6,Lançamentos!$A:$A,"&lt;="&amp;$C$6,Lançamentos!$C:$C,J27,Lançamentos!$G:$G,IF($E$6="Todos","*",$E$6))</f>
        <v>0</v>
      </c>
      <c r="L27" s="37" cm="1">
        <f t="array" ref="L27">SUMPRODUCT(('Fluxo de Caixa'!$B$82:$IL$82&gt;=$B$6)*('Fluxo de Caixa'!$B$82:$IL$82&lt;=$C$6)*'Fluxo de Caixa'!$B$108:$IL$108)</f>
        <v>0</v>
      </c>
      <c r="M27" s="37">
        <f t="shared" si="0"/>
        <v>0</v>
      </c>
    </row>
    <row r="28" spans="2:13" x14ac:dyDescent="0.3">
      <c r="B28" s="2" t="str">
        <f t="shared" si="3"/>
        <v/>
      </c>
      <c r="C28" s="37" t="str">
        <f>IF(B28="","",SUMIFS(Lançamentos!$F:$F,Lançamentos!$A:$A,"&gt;="&amp;B28,Lançamentos!$A:$A,"&lt;="&amp;MIN($C$6,IF($D$6="Dia",B28,IF($D$6="Semana",B28+6,IF($D$6="Mês",EOMONTH(B28,0),DATE(YEAR(B28),12,31))))),Lançamentos!$G:$G,IF($E$6="Todos","*",$E$6),Lançamentos!$D:$D,"Entrada"))</f>
        <v/>
      </c>
      <c r="D28" s="37" t="str" cm="1">
        <f t="array" ref="D28">IF(B28="","",SUMPRODUCT(('Fluxo de Caixa'!$B$82:$IL$82&gt;=B28)*('Fluxo de Caixa'!$B$82:$IL$82&lt;=MIN($C$6,IF($D$6="Dia",B28,IF($D$6="Semana",B28+6,IF($D$6="Mês",EOMONTH(B28,0),DATE(YEAR(B28),12,31))))))*'Fluxo de Caixa'!$B$96:$IL$96))</f>
        <v/>
      </c>
      <c r="E28" s="37" t="str">
        <f>IF(B28="","",SUMIFS(Lançamentos!$F:$F,Lançamentos!$A:$A,"&gt;="&amp;B28,Lançamentos!$A:$A,"&lt;="&amp;MIN($C$6,IF($D$6="Dia",B28,IF($D$6="Semana",B28+6,IF($D$6="Mês",EOMONTH(B28,0),DATE(YEAR(B28),12,31))))),Lançamentos!$G:$G,IF($E$6="Todos","*",$E$6),Lançamentos!$D:$D,"Saída"))</f>
        <v/>
      </c>
      <c r="F28" s="37" t="str" cm="1">
        <f t="array" ref="F28">IF(B28="","",SUMPRODUCT(('Fluxo de Caixa'!$B$82:$IL$82&gt;=B28)*('Fluxo de Caixa'!$B$82:$IL$82&lt;=MIN($C$6,IF($D$6="Dia",B28,IF($D$6="Semana",B28+6,IF($D$6="Mês",EOMONTH(B28,0),DATE(YEAR(B28),12,31))))))*'Fluxo de Caixa'!$B$140:$IL$140))</f>
        <v/>
      </c>
      <c r="G28" s="37" t="str">
        <f t="shared" si="1"/>
        <v/>
      </c>
      <c r="H28" s="61" t="str">
        <f t="shared" si="2"/>
        <v/>
      </c>
      <c r="J28" t="s">
        <v>21</v>
      </c>
      <c r="K28" s="37">
        <f>SUMIFS(Lançamentos!$F:$F,Lançamentos!$A:$A,"&gt;="&amp;$B$6,Lançamentos!$A:$A,"&lt;="&amp;$C$6,Lançamentos!$C:$C,J28,Lançamentos!$G:$G,IF($E$6="Todos","*",$E$6))</f>
        <v>0</v>
      </c>
      <c r="L28" s="37" cm="1">
        <f t="array" ref="L28">SUMPRODUCT(('Fluxo de Caixa'!$B$82:$IL$82&gt;=$B$6)*('Fluxo de Caixa'!$B$82:$IL$82&lt;=$C$6)*'Fluxo de Caixa'!$B$109:$IL$109)</f>
        <v>0</v>
      </c>
      <c r="M28" s="37">
        <f t="shared" si="0"/>
        <v>0</v>
      </c>
    </row>
    <row r="29" spans="2:13" x14ac:dyDescent="0.3">
      <c r="B29" s="2" t="str">
        <f t="shared" si="3"/>
        <v/>
      </c>
      <c r="C29" s="37" t="str">
        <f>IF(B29="","",SUMIFS(Lançamentos!$F:$F,Lançamentos!$A:$A,"&gt;="&amp;B29,Lançamentos!$A:$A,"&lt;="&amp;MIN($C$6,IF($D$6="Dia",B29,IF($D$6="Semana",B29+6,IF($D$6="Mês",EOMONTH(B29,0),DATE(YEAR(B29),12,31))))),Lançamentos!$G:$G,IF($E$6="Todos","*",$E$6),Lançamentos!$D:$D,"Entrada"))</f>
        <v/>
      </c>
      <c r="D29" s="37" t="str" cm="1">
        <f t="array" ref="D29">IF(B29="","",SUMPRODUCT(('Fluxo de Caixa'!$B$82:$IL$82&gt;=B29)*('Fluxo de Caixa'!$B$82:$IL$82&lt;=MIN($C$6,IF($D$6="Dia",B29,IF($D$6="Semana",B29+6,IF($D$6="Mês",EOMONTH(B29,0),DATE(YEAR(B29),12,31))))))*'Fluxo de Caixa'!$B$96:$IL$96))</f>
        <v/>
      </c>
      <c r="E29" s="37" t="str">
        <f>IF(B29="","",SUMIFS(Lançamentos!$F:$F,Lançamentos!$A:$A,"&gt;="&amp;B29,Lançamentos!$A:$A,"&lt;="&amp;MIN($C$6,IF($D$6="Dia",B29,IF($D$6="Semana",B29+6,IF($D$6="Mês",EOMONTH(B29,0),DATE(YEAR(B29),12,31))))),Lançamentos!$G:$G,IF($E$6="Todos","*",$E$6),Lançamentos!$D:$D,"Saída"))</f>
        <v/>
      </c>
      <c r="F29" s="37" t="str" cm="1">
        <f t="array" ref="F29">IF(B29="","",SUMPRODUCT(('Fluxo de Caixa'!$B$82:$IL$82&gt;=B29)*('Fluxo de Caixa'!$B$82:$IL$82&lt;=MIN($C$6,IF($D$6="Dia",B29,IF($D$6="Semana",B29+6,IF($D$6="Mês",EOMONTH(B29,0),DATE(YEAR(B29),12,31))))))*'Fluxo de Caixa'!$B$140:$IL$140))</f>
        <v/>
      </c>
      <c r="G29" s="37" t="str">
        <f t="shared" si="1"/>
        <v/>
      </c>
      <c r="H29" s="61" t="str">
        <f t="shared" si="2"/>
        <v/>
      </c>
      <c r="J29" t="s">
        <v>22</v>
      </c>
      <c r="K29" s="37">
        <f>SUMIFS(Lançamentos!$F:$F,Lançamentos!$A:$A,"&gt;="&amp;$B$6,Lançamentos!$A:$A,"&lt;="&amp;$C$6,Lançamentos!$C:$C,J29,Lançamentos!$G:$G,IF($E$6="Todos","*",$E$6))</f>
        <v>0</v>
      </c>
      <c r="L29" s="37" cm="1">
        <f t="array" ref="L29">SUMPRODUCT(('Fluxo de Caixa'!$B$82:$IL$82&gt;=$B$6)*('Fluxo de Caixa'!$B$82:$IL$82&lt;=$C$6)*'Fluxo de Caixa'!$B$110:$IL$110)</f>
        <v>0</v>
      </c>
      <c r="M29" s="37">
        <f t="shared" si="0"/>
        <v>0</v>
      </c>
    </row>
    <row r="30" spans="2:13" x14ac:dyDescent="0.3">
      <c r="B30" s="2" t="str">
        <f t="shared" si="3"/>
        <v/>
      </c>
      <c r="C30" s="37" t="str">
        <f>IF(B30="","",SUMIFS(Lançamentos!$F:$F,Lançamentos!$A:$A,"&gt;="&amp;B30,Lançamentos!$A:$A,"&lt;="&amp;MIN($C$6,IF($D$6="Dia",B30,IF($D$6="Semana",B30+6,IF($D$6="Mês",EOMONTH(B30,0),DATE(YEAR(B30),12,31))))),Lançamentos!$G:$G,IF($E$6="Todos","*",$E$6),Lançamentos!$D:$D,"Entrada"))</f>
        <v/>
      </c>
      <c r="D30" s="37" t="str" cm="1">
        <f t="array" ref="D30">IF(B30="","",SUMPRODUCT(('Fluxo de Caixa'!$B$82:$IL$82&gt;=B30)*('Fluxo de Caixa'!$B$82:$IL$82&lt;=MIN($C$6,IF($D$6="Dia",B30,IF($D$6="Semana",B30+6,IF($D$6="Mês",EOMONTH(B30,0),DATE(YEAR(B30),12,31))))))*'Fluxo de Caixa'!$B$96:$IL$96))</f>
        <v/>
      </c>
      <c r="E30" s="37" t="str">
        <f>IF(B30="","",SUMIFS(Lançamentos!$F:$F,Lançamentos!$A:$A,"&gt;="&amp;B30,Lançamentos!$A:$A,"&lt;="&amp;MIN($C$6,IF($D$6="Dia",B30,IF($D$6="Semana",B30+6,IF($D$6="Mês",EOMONTH(B30,0),DATE(YEAR(B30),12,31))))),Lançamentos!$G:$G,IF($E$6="Todos","*",$E$6),Lançamentos!$D:$D,"Saída"))</f>
        <v/>
      </c>
      <c r="F30" s="37" t="str" cm="1">
        <f t="array" ref="F30">IF(B30="","",SUMPRODUCT(('Fluxo de Caixa'!$B$82:$IL$82&gt;=B30)*('Fluxo de Caixa'!$B$82:$IL$82&lt;=MIN($C$6,IF($D$6="Dia",B30,IF($D$6="Semana",B30+6,IF($D$6="Mês",EOMONTH(B30,0),DATE(YEAR(B30),12,31))))))*'Fluxo de Caixa'!$B$140:$IL$140))</f>
        <v/>
      </c>
      <c r="G30" s="37" t="str">
        <f t="shared" si="1"/>
        <v/>
      </c>
      <c r="H30" s="61" t="str">
        <f t="shared" si="2"/>
        <v/>
      </c>
      <c r="J30" t="s">
        <v>24</v>
      </c>
      <c r="K30" s="37">
        <f>SUMIFS(Lançamentos!$F:$F,Lançamentos!$A:$A,"&gt;="&amp;$B$6,Lançamentos!$A:$A,"&lt;="&amp;$C$6,Lançamentos!$C:$C,J30,Lançamentos!$G:$G,IF($E$6="Todos","*",$E$6))</f>
        <v>0</v>
      </c>
      <c r="L30" s="37" cm="1">
        <f t="array" ref="L30">SUMPRODUCT(('Fluxo de Caixa'!$B$82:$IL$82&gt;=$B$6)*('Fluxo de Caixa'!$B$82:$IL$82&lt;=$C$6)*'Fluxo de Caixa'!$B$111:$IL$111)</f>
        <v>0</v>
      </c>
      <c r="M30" s="37">
        <f t="shared" si="0"/>
        <v>0</v>
      </c>
    </row>
    <row r="31" spans="2:13" x14ac:dyDescent="0.3">
      <c r="B31" s="2" t="str">
        <f t="shared" si="3"/>
        <v/>
      </c>
      <c r="C31" s="37" t="str">
        <f>IF(B31="","",SUMIFS(Lançamentos!$F:$F,Lançamentos!$A:$A,"&gt;="&amp;B31,Lançamentos!$A:$A,"&lt;="&amp;MIN($C$6,IF($D$6="Dia",B31,IF($D$6="Semana",B31+6,IF($D$6="Mês",EOMONTH(B31,0),DATE(YEAR(B31),12,31))))),Lançamentos!$G:$G,IF($E$6="Todos","*",$E$6),Lançamentos!$D:$D,"Entrada"))</f>
        <v/>
      </c>
      <c r="D31" s="37" t="str" cm="1">
        <f t="array" ref="D31">IF(B31="","",SUMPRODUCT(('Fluxo de Caixa'!$B$82:$IL$82&gt;=B31)*('Fluxo de Caixa'!$B$82:$IL$82&lt;=MIN($C$6,IF($D$6="Dia",B31,IF($D$6="Semana",B31+6,IF($D$6="Mês",EOMONTH(B31,0),DATE(YEAR(B31),12,31))))))*'Fluxo de Caixa'!$B$96:$IL$96))</f>
        <v/>
      </c>
      <c r="E31" s="37" t="str">
        <f>IF(B31="","",SUMIFS(Lançamentos!$F:$F,Lançamentos!$A:$A,"&gt;="&amp;B31,Lançamentos!$A:$A,"&lt;="&amp;MIN($C$6,IF($D$6="Dia",B31,IF($D$6="Semana",B31+6,IF($D$6="Mês",EOMONTH(B31,0),DATE(YEAR(B31),12,31))))),Lançamentos!$G:$G,IF($E$6="Todos","*",$E$6),Lançamentos!$D:$D,"Saída"))</f>
        <v/>
      </c>
      <c r="F31" s="37" t="str" cm="1">
        <f t="array" ref="F31">IF(B31="","",SUMPRODUCT(('Fluxo de Caixa'!$B$82:$IL$82&gt;=B31)*('Fluxo de Caixa'!$B$82:$IL$82&lt;=MIN($C$6,IF($D$6="Dia",B31,IF($D$6="Semana",B31+6,IF($D$6="Mês",EOMONTH(B31,0),DATE(YEAR(B31),12,31))))))*'Fluxo de Caixa'!$B$140:$IL$140))</f>
        <v/>
      </c>
      <c r="G31" s="37" t="str">
        <f t="shared" si="1"/>
        <v/>
      </c>
      <c r="H31" s="61" t="str">
        <f t="shared" si="2"/>
        <v/>
      </c>
      <c r="J31" t="s">
        <v>26</v>
      </c>
      <c r="K31" s="37">
        <f>SUMIFS(Lançamentos!$F:$F,Lançamentos!$A:$A,"&gt;="&amp;$B$6,Lançamentos!$A:$A,"&lt;="&amp;$C$6,Lançamentos!$C:$C,J31,Lançamentos!$G:$G,IF($E$6="Todos","*",$E$6))</f>
        <v>0</v>
      </c>
      <c r="L31" s="37" cm="1">
        <f t="array" ref="L31">SUMPRODUCT(('Fluxo de Caixa'!$B$82:$IL$82&gt;=$B$6)*('Fluxo de Caixa'!$B$82:$IL$82&lt;=$C$6)*'Fluxo de Caixa'!$B$112:$IL$112)</f>
        <v>0</v>
      </c>
      <c r="M31" s="37">
        <f t="shared" si="0"/>
        <v>0</v>
      </c>
    </row>
    <row r="32" spans="2:13" x14ac:dyDescent="0.3">
      <c r="B32" s="2" t="str">
        <f t="shared" si="3"/>
        <v/>
      </c>
      <c r="C32" s="37" t="str">
        <f>IF(B32="","",SUMIFS(Lançamentos!$F:$F,Lançamentos!$A:$A,"&gt;="&amp;B32,Lançamentos!$A:$A,"&lt;="&amp;MIN($C$6,IF($D$6="Dia",B32,IF($D$6="Semana",B32+6,IF($D$6="Mês",EOMONTH(B32,0),DATE(YEAR(B32),12,31))))),Lançamentos!$G:$G,IF($E$6="Todos","*",$E$6),Lançamentos!$D:$D,"Entrada"))</f>
        <v/>
      </c>
      <c r="D32" s="37" t="str" cm="1">
        <f t="array" ref="D32">IF(B32="","",SUMPRODUCT(('Fluxo de Caixa'!$B$82:$IL$82&gt;=B32)*('Fluxo de Caixa'!$B$82:$IL$82&lt;=MIN($C$6,IF($D$6="Dia",B32,IF($D$6="Semana",B32+6,IF($D$6="Mês",EOMONTH(B32,0),DATE(YEAR(B32),12,31))))))*'Fluxo de Caixa'!$B$96:$IL$96))</f>
        <v/>
      </c>
      <c r="E32" s="37" t="str">
        <f>IF(B32="","",SUMIFS(Lançamentos!$F:$F,Lançamentos!$A:$A,"&gt;="&amp;B32,Lançamentos!$A:$A,"&lt;="&amp;MIN($C$6,IF($D$6="Dia",B32,IF($D$6="Semana",B32+6,IF($D$6="Mês",EOMONTH(B32,0),DATE(YEAR(B32),12,31))))),Lançamentos!$G:$G,IF($E$6="Todos","*",$E$6),Lançamentos!$D:$D,"Saída"))</f>
        <v/>
      </c>
      <c r="F32" s="37" t="str" cm="1">
        <f t="array" ref="F32">IF(B32="","",SUMPRODUCT(('Fluxo de Caixa'!$B$82:$IL$82&gt;=B32)*('Fluxo de Caixa'!$B$82:$IL$82&lt;=MIN($C$6,IF($D$6="Dia",B32,IF($D$6="Semana",B32+6,IF($D$6="Mês",EOMONTH(B32,0),DATE(YEAR(B32),12,31))))))*'Fluxo de Caixa'!$B$140:$IL$140))</f>
        <v/>
      </c>
      <c r="G32" s="37" t="str">
        <f t="shared" si="1"/>
        <v/>
      </c>
      <c r="H32" s="61" t="str">
        <f t="shared" si="2"/>
        <v/>
      </c>
      <c r="J32" t="s">
        <v>88</v>
      </c>
      <c r="K32" s="37">
        <f>SUMIFS(Lançamentos!$F:$F,Lançamentos!$A:$A,"&gt;="&amp;$B$6,Lançamentos!$A:$A,"&lt;="&amp;$C$6,Lançamentos!$C:$C,J32,Lançamentos!$G:$G,IF($E$6="Todos","*",$E$6))</f>
        <v>0</v>
      </c>
      <c r="L32" s="37" cm="1">
        <f t="array" ref="L32">SUMPRODUCT(('Fluxo de Caixa'!$B$82:$IL$82&gt;=$B$6)*('Fluxo de Caixa'!$B$82:$IL$82&lt;=$C$6)*'Fluxo de Caixa'!$B$113:$IL$113)</f>
        <v>0</v>
      </c>
      <c r="M32" s="37">
        <f t="shared" si="0"/>
        <v>0</v>
      </c>
    </row>
    <row r="33" spans="2:13" x14ac:dyDescent="0.3">
      <c r="B33" s="2" t="str">
        <f t="shared" si="3"/>
        <v/>
      </c>
      <c r="C33" s="37" t="str">
        <f>IF(B33="","",SUMIFS(Lançamentos!$F:$F,Lançamentos!$A:$A,"&gt;="&amp;B33,Lançamentos!$A:$A,"&lt;="&amp;MIN($C$6,IF($D$6="Dia",B33,IF($D$6="Semana",B33+6,IF($D$6="Mês",EOMONTH(B33,0),DATE(YEAR(B33),12,31))))),Lançamentos!$G:$G,IF($E$6="Todos","*",$E$6),Lançamentos!$D:$D,"Entrada"))</f>
        <v/>
      </c>
      <c r="D33" s="37" t="str" cm="1">
        <f t="array" ref="D33">IF(B33="","",SUMPRODUCT(('Fluxo de Caixa'!$B$82:$IL$82&gt;=B33)*('Fluxo de Caixa'!$B$82:$IL$82&lt;=MIN($C$6,IF($D$6="Dia",B33,IF($D$6="Semana",B33+6,IF($D$6="Mês",EOMONTH(B33,0),DATE(YEAR(B33),12,31))))))*'Fluxo de Caixa'!$B$96:$IL$96))</f>
        <v/>
      </c>
      <c r="E33" s="37" t="str">
        <f>IF(B33="","",SUMIFS(Lançamentos!$F:$F,Lançamentos!$A:$A,"&gt;="&amp;B33,Lançamentos!$A:$A,"&lt;="&amp;MIN($C$6,IF($D$6="Dia",B33,IF($D$6="Semana",B33+6,IF($D$6="Mês",EOMONTH(B33,0),DATE(YEAR(B33),12,31))))),Lançamentos!$G:$G,IF($E$6="Todos","*",$E$6),Lançamentos!$D:$D,"Saída"))</f>
        <v/>
      </c>
      <c r="F33" s="37" t="str" cm="1">
        <f t="array" ref="F33">IF(B33="","",SUMPRODUCT(('Fluxo de Caixa'!$B$82:$IL$82&gt;=B33)*('Fluxo de Caixa'!$B$82:$IL$82&lt;=MIN($C$6,IF($D$6="Dia",B33,IF($D$6="Semana",B33+6,IF($D$6="Mês",EOMONTH(B33,0),DATE(YEAR(B33),12,31))))))*'Fluxo de Caixa'!$B$140:$IL$140))</f>
        <v/>
      </c>
      <c r="G33" s="37" t="str">
        <f t="shared" si="1"/>
        <v/>
      </c>
      <c r="H33" s="61" t="str">
        <f t="shared" si="2"/>
        <v/>
      </c>
      <c r="J33" t="s">
        <v>89</v>
      </c>
      <c r="K33" s="37">
        <f>SUMIFS(Lançamentos!$F:$F,Lançamentos!$A:$A,"&gt;="&amp;$B$6,Lançamentos!$A:$A,"&lt;="&amp;$C$6,Lançamentos!$C:$C,J33,Lançamentos!$G:$G,IF($E$6="Todos","*",$E$6))</f>
        <v>0</v>
      </c>
      <c r="L33" s="37" cm="1">
        <f t="array" ref="L33">SUMPRODUCT(('Fluxo de Caixa'!$B$82:$IL$82&gt;=$B$6)*('Fluxo de Caixa'!$B$82:$IL$82&lt;=$C$6)*'Fluxo de Caixa'!$B$114:$IL$114)</f>
        <v>0</v>
      </c>
      <c r="M33" s="37">
        <f t="shared" si="0"/>
        <v>0</v>
      </c>
    </row>
    <row r="34" spans="2:13" x14ac:dyDescent="0.3">
      <c r="B34" s="2" t="str">
        <f t="shared" si="3"/>
        <v/>
      </c>
      <c r="C34" s="37" t="str">
        <f>IF(B34="","",SUMIFS(Lançamentos!$F:$F,Lançamentos!$A:$A,"&gt;="&amp;B34,Lançamentos!$A:$A,"&lt;="&amp;MIN($C$6,IF($D$6="Dia",B34,IF($D$6="Semana",B34+6,IF($D$6="Mês",EOMONTH(B34,0),DATE(YEAR(B34),12,31))))),Lançamentos!$G:$G,IF($E$6="Todos","*",$E$6),Lançamentos!$D:$D,"Entrada"))</f>
        <v/>
      </c>
      <c r="D34" s="37" t="str" cm="1">
        <f t="array" ref="D34">IF(B34="","",SUMPRODUCT(('Fluxo de Caixa'!$B$82:$IL$82&gt;=B34)*('Fluxo de Caixa'!$B$82:$IL$82&lt;=MIN($C$6,IF($D$6="Dia",B34,IF($D$6="Semana",B34+6,IF($D$6="Mês",EOMONTH(B34,0),DATE(YEAR(B34),12,31))))))*'Fluxo de Caixa'!$B$96:$IL$96))</f>
        <v/>
      </c>
      <c r="E34" s="37" t="str">
        <f>IF(B34="","",SUMIFS(Lançamentos!$F:$F,Lançamentos!$A:$A,"&gt;="&amp;B34,Lançamentos!$A:$A,"&lt;="&amp;MIN($C$6,IF($D$6="Dia",B34,IF($D$6="Semana",B34+6,IF($D$6="Mês",EOMONTH(B34,0),DATE(YEAR(B34),12,31))))),Lançamentos!$G:$G,IF($E$6="Todos","*",$E$6),Lançamentos!$D:$D,"Saída"))</f>
        <v/>
      </c>
      <c r="F34" s="37" t="str" cm="1">
        <f t="array" ref="F34">IF(B34="","",SUMPRODUCT(('Fluxo de Caixa'!$B$82:$IL$82&gt;=B34)*('Fluxo de Caixa'!$B$82:$IL$82&lt;=MIN($C$6,IF($D$6="Dia",B34,IF($D$6="Semana",B34+6,IF($D$6="Mês",EOMONTH(B34,0),DATE(YEAR(B34),12,31))))))*'Fluxo de Caixa'!$B$140:$IL$140))</f>
        <v/>
      </c>
      <c r="G34" s="37" t="str">
        <f t="shared" si="1"/>
        <v/>
      </c>
      <c r="H34" s="61" t="str">
        <f t="shared" si="2"/>
        <v/>
      </c>
      <c r="J34" t="s">
        <v>90</v>
      </c>
      <c r="K34" s="37">
        <f>SUMIFS(Lançamentos!$F:$F,Lançamentos!$A:$A,"&gt;="&amp;$B$6,Lançamentos!$A:$A,"&lt;="&amp;$C$6,Lançamentos!$C:$C,J34,Lançamentos!$G:$G,IF($E$6="Todos","*",$E$6))</f>
        <v>0</v>
      </c>
      <c r="L34" s="37" cm="1">
        <f t="array" ref="L34">SUMPRODUCT(('Fluxo de Caixa'!$B$82:$IL$82&gt;=$B$6)*('Fluxo de Caixa'!$B$82:$IL$82&lt;=$C$6)*'Fluxo de Caixa'!$B$115:$IL$115)</f>
        <v>0</v>
      </c>
      <c r="M34" s="37">
        <f t="shared" si="0"/>
        <v>0</v>
      </c>
    </row>
    <row r="35" spans="2:13" x14ac:dyDescent="0.3">
      <c r="B35" s="2" t="str">
        <f t="shared" si="3"/>
        <v/>
      </c>
      <c r="C35" s="37" t="str">
        <f>IF(B35="","",SUMIFS(Lançamentos!$F:$F,Lançamentos!$A:$A,"&gt;="&amp;B35,Lançamentos!$A:$A,"&lt;="&amp;MIN($C$6,IF($D$6="Dia",B35,IF($D$6="Semana",B35+6,IF($D$6="Mês",EOMONTH(B35,0),DATE(YEAR(B35),12,31))))),Lançamentos!$G:$G,IF($E$6="Todos","*",$E$6),Lançamentos!$D:$D,"Entrada"))</f>
        <v/>
      </c>
      <c r="D35" s="37" t="str" cm="1">
        <f t="array" ref="D35">IF(B35="","",SUMPRODUCT(('Fluxo de Caixa'!$B$82:$IL$82&gt;=B35)*('Fluxo de Caixa'!$B$82:$IL$82&lt;=MIN($C$6,IF($D$6="Dia",B35,IF($D$6="Semana",B35+6,IF($D$6="Mês",EOMONTH(B35,0),DATE(YEAR(B35),12,31))))))*'Fluxo de Caixa'!$B$96:$IL$96))</f>
        <v/>
      </c>
      <c r="E35" s="37" t="str">
        <f>IF(B35="","",SUMIFS(Lançamentos!$F:$F,Lançamentos!$A:$A,"&gt;="&amp;B35,Lançamentos!$A:$A,"&lt;="&amp;MIN($C$6,IF($D$6="Dia",B35,IF($D$6="Semana",B35+6,IF($D$6="Mês",EOMONTH(B35,0),DATE(YEAR(B35),12,31))))),Lançamentos!$G:$G,IF($E$6="Todos","*",$E$6),Lançamentos!$D:$D,"Saída"))</f>
        <v/>
      </c>
      <c r="F35" s="37" t="str" cm="1">
        <f t="array" ref="F35">IF(B35="","",SUMPRODUCT(('Fluxo de Caixa'!$B$82:$IL$82&gt;=B35)*('Fluxo de Caixa'!$B$82:$IL$82&lt;=MIN($C$6,IF($D$6="Dia",B35,IF($D$6="Semana",B35+6,IF($D$6="Mês",EOMONTH(B35,0),DATE(YEAR(B35),12,31))))))*'Fluxo de Caixa'!$B$140:$IL$140))</f>
        <v/>
      </c>
      <c r="G35" s="37" t="str">
        <f t="shared" si="1"/>
        <v/>
      </c>
      <c r="H35" s="61" t="str">
        <f t="shared" si="2"/>
        <v/>
      </c>
      <c r="J35" t="s">
        <v>91</v>
      </c>
      <c r="K35" s="37">
        <f>SUMIFS(Lançamentos!$F:$F,Lançamentos!$A:$A,"&gt;="&amp;$B$6,Lançamentos!$A:$A,"&lt;="&amp;$C$6,Lançamentos!$C:$C,J35,Lançamentos!$G:$G,IF($E$6="Todos","*",$E$6))</f>
        <v>0</v>
      </c>
      <c r="L35" s="37" cm="1">
        <f t="array" ref="L35">SUMPRODUCT(('Fluxo de Caixa'!$B$82:$IL$82&gt;=$B$6)*('Fluxo de Caixa'!$B$82:$IL$82&lt;=$C$6)*'Fluxo de Caixa'!$B$116:$IL$116)</f>
        <v>0</v>
      </c>
      <c r="M35" s="37">
        <f t="shared" si="0"/>
        <v>0</v>
      </c>
    </row>
    <row r="36" spans="2:13" x14ac:dyDescent="0.3">
      <c r="B36" s="2" t="str">
        <f t="shared" si="3"/>
        <v/>
      </c>
      <c r="C36" s="37" t="str">
        <f>IF(B36="","",SUMIFS(Lançamentos!$F:$F,Lançamentos!$A:$A,"&gt;="&amp;B36,Lançamentos!$A:$A,"&lt;="&amp;MIN($C$6,IF($D$6="Dia",B36,IF($D$6="Semana",B36+6,IF($D$6="Mês",EOMONTH(B36,0),DATE(YEAR(B36),12,31))))),Lançamentos!$G:$G,IF($E$6="Todos","*",$E$6),Lançamentos!$D:$D,"Entrada"))</f>
        <v/>
      </c>
      <c r="D36" s="37" t="str" cm="1">
        <f t="array" ref="D36">IF(B36="","",SUMPRODUCT(('Fluxo de Caixa'!$B$82:$IL$82&gt;=B36)*('Fluxo de Caixa'!$B$82:$IL$82&lt;=MIN($C$6,IF($D$6="Dia",B36,IF($D$6="Semana",B36+6,IF($D$6="Mês",EOMONTH(B36,0),DATE(YEAR(B36),12,31))))))*'Fluxo de Caixa'!$B$96:$IL$96))</f>
        <v/>
      </c>
      <c r="E36" s="37" t="str">
        <f>IF(B36="","",SUMIFS(Lançamentos!$F:$F,Lançamentos!$A:$A,"&gt;="&amp;B36,Lançamentos!$A:$A,"&lt;="&amp;MIN($C$6,IF($D$6="Dia",B36,IF($D$6="Semana",B36+6,IF($D$6="Mês",EOMONTH(B36,0),DATE(YEAR(B36),12,31))))),Lançamentos!$G:$G,IF($E$6="Todos","*",$E$6),Lançamentos!$D:$D,"Saída"))</f>
        <v/>
      </c>
      <c r="F36" s="37" t="str" cm="1">
        <f t="array" ref="F36">IF(B36="","",SUMPRODUCT(('Fluxo de Caixa'!$B$82:$IL$82&gt;=B36)*('Fluxo de Caixa'!$B$82:$IL$82&lt;=MIN($C$6,IF($D$6="Dia",B36,IF($D$6="Semana",B36+6,IF($D$6="Mês",EOMONTH(B36,0),DATE(YEAR(B36),12,31))))))*'Fluxo de Caixa'!$B$140:$IL$140))</f>
        <v/>
      </c>
      <c r="G36" s="37" t="str">
        <f t="shared" si="1"/>
        <v/>
      </c>
      <c r="H36" s="61" t="str">
        <f t="shared" si="2"/>
        <v/>
      </c>
      <c r="J36" t="s">
        <v>92</v>
      </c>
      <c r="K36" s="37">
        <f>SUMIFS(Lançamentos!$F:$F,Lançamentos!$A:$A,"&gt;="&amp;$B$6,Lançamentos!$A:$A,"&lt;="&amp;$C$6,Lançamentos!$C:$C,J36,Lançamentos!$G:$G,IF($E$6="Todos","*",$E$6))</f>
        <v>0</v>
      </c>
      <c r="L36" s="37" cm="1">
        <f t="array" ref="L36">SUMPRODUCT(('Fluxo de Caixa'!$B$82:$IL$82&gt;=$B$6)*('Fluxo de Caixa'!$B$82:$IL$82&lt;=$C$6)*'Fluxo de Caixa'!$B$117:$IL$117)</f>
        <v>0</v>
      </c>
      <c r="M36" s="37">
        <f t="shared" si="0"/>
        <v>0</v>
      </c>
    </row>
    <row r="37" spans="2:13" x14ac:dyDescent="0.3">
      <c r="B37" s="2" t="str">
        <f t="shared" si="3"/>
        <v/>
      </c>
      <c r="C37" s="37" t="str">
        <f>IF(B37="","",SUMIFS(Lançamentos!$F:$F,Lançamentos!$A:$A,"&gt;="&amp;B37,Lançamentos!$A:$A,"&lt;="&amp;MIN($C$6,IF($D$6="Dia",B37,IF($D$6="Semana",B37+6,IF($D$6="Mês",EOMONTH(B37,0),DATE(YEAR(B37),12,31))))),Lançamentos!$G:$G,IF($E$6="Todos","*",$E$6),Lançamentos!$D:$D,"Entrada"))</f>
        <v/>
      </c>
      <c r="D37" s="37" t="str" cm="1">
        <f t="array" ref="D37">IF(B37="","",SUMPRODUCT(('Fluxo de Caixa'!$B$82:$IL$82&gt;=B37)*('Fluxo de Caixa'!$B$82:$IL$82&lt;=MIN($C$6,IF($D$6="Dia",B37,IF($D$6="Semana",B37+6,IF($D$6="Mês",EOMONTH(B37,0),DATE(YEAR(B37),12,31))))))*'Fluxo de Caixa'!$B$96:$IL$96))</f>
        <v/>
      </c>
      <c r="E37" s="37" t="str">
        <f>IF(B37="","",SUMIFS(Lançamentos!$F:$F,Lançamentos!$A:$A,"&gt;="&amp;B37,Lançamentos!$A:$A,"&lt;="&amp;MIN($C$6,IF($D$6="Dia",B37,IF($D$6="Semana",B37+6,IF($D$6="Mês",EOMONTH(B37,0),DATE(YEAR(B37),12,31))))),Lançamentos!$G:$G,IF($E$6="Todos","*",$E$6),Lançamentos!$D:$D,"Saída"))</f>
        <v/>
      </c>
      <c r="F37" s="37" t="str" cm="1">
        <f t="array" ref="F37">IF(B37="","",SUMPRODUCT(('Fluxo de Caixa'!$B$82:$IL$82&gt;=B37)*('Fluxo de Caixa'!$B$82:$IL$82&lt;=MIN($C$6,IF($D$6="Dia",B37,IF($D$6="Semana",B37+6,IF($D$6="Mês",EOMONTH(B37,0),DATE(YEAR(B37),12,31))))))*'Fluxo de Caixa'!$B$140:$IL$140))</f>
        <v/>
      </c>
      <c r="G37" s="37" t="str">
        <f t="shared" si="1"/>
        <v/>
      </c>
      <c r="H37" s="61" t="str">
        <f t="shared" si="2"/>
        <v/>
      </c>
      <c r="J37" t="s">
        <v>93</v>
      </c>
      <c r="K37" s="37">
        <f>SUMIFS(Lançamentos!$F:$F,Lançamentos!$A:$A,"&gt;="&amp;$B$6,Lançamentos!$A:$A,"&lt;="&amp;$C$6,Lançamentos!$C:$C,J37,Lançamentos!$G:$G,IF($E$6="Todos","*",$E$6))</f>
        <v>0</v>
      </c>
      <c r="L37" s="37" cm="1">
        <f t="array" ref="L37">SUMPRODUCT(('Fluxo de Caixa'!$B$82:$IL$82&gt;=$B$6)*('Fluxo de Caixa'!$B$82:$IL$82&lt;=$C$6)*'Fluxo de Caixa'!$B$118:$IL$118)</f>
        <v>0</v>
      </c>
      <c r="M37" s="37">
        <f t="shared" si="0"/>
        <v>0</v>
      </c>
    </row>
    <row r="38" spans="2:13" x14ac:dyDescent="0.3">
      <c r="B38" s="2" t="str">
        <f t="shared" si="3"/>
        <v/>
      </c>
      <c r="C38" s="37" t="str">
        <f>IF(B38="","",SUMIFS(Lançamentos!$F:$F,Lançamentos!$A:$A,"&gt;="&amp;B38,Lançamentos!$A:$A,"&lt;="&amp;MIN($C$6,IF($D$6="Dia",B38,IF($D$6="Semana",B38+6,IF($D$6="Mês",EOMONTH(B38,0),DATE(YEAR(B38),12,31))))),Lançamentos!$G:$G,IF($E$6="Todos","*",$E$6),Lançamentos!$D:$D,"Entrada"))</f>
        <v/>
      </c>
      <c r="D38" s="37" t="str" cm="1">
        <f t="array" ref="D38">IF(B38="","",SUMPRODUCT(('Fluxo de Caixa'!$B$82:$IL$82&gt;=B38)*('Fluxo de Caixa'!$B$82:$IL$82&lt;=MIN($C$6,IF($D$6="Dia",B38,IF($D$6="Semana",B38+6,IF($D$6="Mês",EOMONTH(B38,0),DATE(YEAR(B38),12,31))))))*'Fluxo de Caixa'!$B$96:$IL$96))</f>
        <v/>
      </c>
      <c r="E38" s="37" t="str">
        <f>IF(B38="","",SUMIFS(Lançamentos!$F:$F,Lançamentos!$A:$A,"&gt;="&amp;B38,Lançamentos!$A:$A,"&lt;="&amp;MIN($C$6,IF($D$6="Dia",B38,IF($D$6="Semana",B38+6,IF($D$6="Mês",EOMONTH(B38,0),DATE(YEAR(B38),12,31))))),Lançamentos!$G:$G,IF($E$6="Todos","*",$E$6),Lançamentos!$D:$D,"Saída"))</f>
        <v/>
      </c>
      <c r="F38" s="37" t="str" cm="1">
        <f t="array" ref="F38">IF(B38="","",SUMPRODUCT(('Fluxo de Caixa'!$B$82:$IL$82&gt;=B38)*('Fluxo de Caixa'!$B$82:$IL$82&lt;=MIN($C$6,IF($D$6="Dia",B38,IF($D$6="Semana",B38+6,IF($D$6="Mês",EOMONTH(B38,0),DATE(YEAR(B38),12,31))))))*'Fluxo de Caixa'!$B$140:$IL$140))</f>
        <v/>
      </c>
      <c r="G38" s="37" t="str">
        <f t="shared" si="1"/>
        <v/>
      </c>
      <c r="H38" s="61" t="str">
        <f t="shared" si="2"/>
        <v/>
      </c>
      <c r="J38" t="s">
        <v>94</v>
      </c>
      <c r="K38" s="37">
        <f>SUMIFS(Lançamentos!$F:$F,Lançamentos!$A:$A,"&gt;="&amp;$B$6,Lançamentos!$A:$A,"&lt;="&amp;$C$6,Lançamentos!$C:$C,J38,Lançamentos!$G:$G,IF($E$6="Todos","*",$E$6))</f>
        <v>0</v>
      </c>
      <c r="L38" s="37" cm="1">
        <f t="array" ref="L38">SUMPRODUCT(('Fluxo de Caixa'!$B$82:$IL$82&gt;=$B$6)*('Fluxo de Caixa'!$B$82:$IL$82&lt;=$C$6)*'Fluxo de Caixa'!$B$119:$IL$119)</f>
        <v>0</v>
      </c>
      <c r="M38" s="37">
        <f t="shared" ref="M38:M58" si="4">K38-L38</f>
        <v>0</v>
      </c>
    </row>
    <row r="39" spans="2:13" x14ac:dyDescent="0.3">
      <c r="B39" s="2" t="str">
        <f t="shared" si="3"/>
        <v/>
      </c>
      <c r="C39" s="37" t="str">
        <f>IF(B39="","",SUMIFS(Lançamentos!$F:$F,Lançamentos!$A:$A,"&gt;="&amp;B39,Lançamentos!$A:$A,"&lt;="&amp;MIN($C$6,IF($D$6="Dia",B39,IF($D$6="Semana",B39+6,IF($D$6="Mês",EOMONTH(B39,0),DATE(YEAR(B39),12,31))))),Lançamentos!$G:$G,IF($E$6="Todos","*",$E$6),Lançamentos!$D:$D,"Entrada"))</f>
        <v/>
      </c>
      <c r="D39" s="37" t="str" cm="1">
        <f t="array" ref="D39">IF(B39="","",SUMPRODUCT(('Fluxo de Caixa'!$B$82:$IL$82&gt;=B39)*('Fluxo de Caixa'!$B$82:$IL$82&lt;=MIN($C$6,IF($D$6="Dia",B39,IF($D$6="Semana",B39+6,IF($D$6="Mês",EOMONTH(B39,0),DATE(YEAR(B39),12,31))))))*'Fluxo de Caixa'!$B$96:$IL$96))</f>
        <v/>
      </c>
      <c r="E39" s="37" t="str">
        <f>IF(B39="","",SUMIFS(Lançamentos!$F:$F,Lançamentos!$A:$A,"&gt;="&amp;B39,Lançamentos!$A:$A,"&lt;="&amp;MIN($C$6,IF($D$6="Dia",B39,IF($D$6="Semana",B39+6,IF($D$6="Mês",EOMONTH(B39,0),DATE(YEAR(B39),12,31))))),Lançamentos!$G:$G,IF($E$6="Todos","*",$E$6),Lançamentos!$D:$D,"Saída"))</f>
        <v/>
      </c>
      <c r="F39" s="37" t="str" cm="1">
        <f t="array" ref="F39">IF(B39="","",SUMPRODUCT(('Fluxo de Caixa'!$B$82:$IL$82&gt;=B39)*('Fluxo de Caixa'!$B$82:$IL$82&lt;=MIN($C$6,IF($D$6="Dia",B39,IF($D$6="Semana",B39+6,IF($D$6="Mês",EOMONTH(B39,0),DATE(YEAR(B39),12,31))))))*'Fluxo de Caixa'!$B$140:$IL$140))</f>
        <v/>
      </c>
      <c r="G39" s="37" t="str">
        <f t="shared" si="1"/>
        <v/>
      </c>
      <c r="H39" s="61" t="str">
        <f t="shared" si="2"/>
        <v/>
      </c>
      <c r="J39" t="s">
        <v>95</v>
      </c>
      <c r="K39" s="37">
        <f>SUMIFS(Lançamentos!$F:$F,Lançamentos!$A:$A,"&gt;="&amp;$B$6,Lançamentos!$A:$A,"&lt;="&amp;$C$6,Lançamentos!$C:$C,J39,Lançamentos!$G:$G,IF($E$6="Todos","*",$E$6))</f>
        <v>0</v>
      </c>
      <c r="L39" s="37" cm="1">
        <f t="array" ref="L39">SUMPRODUCT(('Fluxo de Caixa'!$B$82:$IL$82&gt;=$B$6)*('Fluxo de Caixa'!$B$82:$IL$82&lt;=$C$6)*'Fluxo de Caixa'!$B$120:$IL$120)</f>
        <v>0</v>
      </c>
      <c r="M39" s="37">
        <f t="shared" si="4"/>
        <v>0</v>
      </c>
    </row>
    <row r="40" spans="2:13" x14ac:dyDescent="0.3">
      <c r="B40" s="2" t="str">
        <f t="shared" si="3"/>
        <v/>
      </c>
      <c r="C40" s="37" t="str">
        <f>IF(B40="","",SUMIFS(Lançamentos!$F:$F,Lançamentos!$A:$A,"&gt;="&amp;B40,Lançamentos!$A:$A,"&lt;="&amp;MIN($C$6,IF($D$6="Dia",B40,IF($D$6="Semana",B40+6,IF($D$6="Mês",EOMONTH(B40,0),DATE(YEAR(B40),12,31))))),Lançamentos!$G:$G,IF($E$6="Todos","*",$E$6),Lançamentos!$D:$D,"Entrada"))</f>
        <v/>
      </c>
      <c r="D40" s="37" t="str" cm="1">
        <f t="array" ref="D40">IF(B40="","",SUMPRODUCT(('Fluxo de Caixa'!$B$82:$IL$82&gt;=B40)*('Fluxo de Caixa'!$B$82:$IL$82&lt;=MIN($C$6,IF($D$6="Dia",B40,IF($D$6="Semana",B40+6,IF($D$6="Mês",EOMONTH(B40,0),DATE(YEAR(B40),12,31))))))*'Fluxo de Caixa'!$B$96:$IL$96))</f>
        <v/>
      </c>
      <c r="E40" s="37" t="str">
        <f>IF(B40="","",SUMIFS(Lançamentos!$F:$F,Lançamentos!$A:$A,"&gt;="&amp;B40,Lançamentos!$A:$A,"&lt;="&amp;MIN($C$6,IF($D$6="Dia",B40,IF($D$6="Semana",B40+6,IF($D$6="Mês",EOMONTH(B40,0),DATE(YEAR(B40),12,31))))),Lançamentos!$G:$G,IF($E$6="Todos","*",$E$6),Lançamentos!$D:$D,"Saída"))</f>
        <v/>
      </c>
      <c r="F40" s="37" t="str" cm="1">
        <f t="array" ref="F40">IF(B40="","",SUMPRODUCT(('Fluxo de Caixa'!$B$82:$IL$82&gt;=B40)*('Fluxo de Caixa'!$B$82:$IL$82&lt;=MIN($C$6,IF($D$6="Dia",B40,IF($D$6="Semana",B40+6,IF($D$6="Mês",EOMONTH(B40,0),DATE(YEAR(B40),12,31))))))*'Fluxo de Caixa'!$B$140:$IL$140))</f>
        <v/>
      </c>
      <c r="G40" s="37" t="str">
        <f t="shared" si="1"/>
        <v/>
      </c>
      <c r="H40" s="61" t="str">
        <f t="shared" si="2"/>
        <v/>
      </c>
      <c r="J40" t="s">
        <v>96</v>
      </c>
      <c r="K40" s="37">
        <f>SUMIFS(Lançamentos!$F:$F,Lançamentos!$A:$A,"&gt;="&amp;$B$6,Lançamentos!$A:$A,"&lt;="&amp;$C$6,Lançamentos!$C:$C,J40,Lançamentos!$G:$G,IF($E$6="Todos","*",$E$6))</f>
        <v>0</v>
      </c>
      <c r="L40" s="37" cm="1">
        <f t="array" ref="L40">SUMPRODUCT(('Fluxo de Caixa'!$B$82:$IL$82&gt;=$B$6)*('Fluxo de Caixa'!$B$82:$IL$82&lt;=$C$6)*'Fluxo de Caixa'!$B$121:$IL$121)</f>
        <v>0</v>
      </c>
      <c r="M40" s="37">
        <f t="shared" si="4"/>
        <v>0</v>
      </c>
    </row>
    <row r="41" spans="2:13" x14ac:dyDescent="0.3">
      <c r="B41" s="2" t="str">
        <f t="shared" si="3"/>
        <v/>
      </c>
      <c r="C41" s="37" t="str">
        <f>IF(B41="","",SUMIFS(Lançamentos!$F:$F,Lançamentos!$A:$A,"&gt;="&amp;B41,Lançamentos!$A:$A,"&lt;="&amp;MIN($C$6,IF($D$6="Dia",B41,IF($D$6="Semana",B41+6,IF($D$6="Mês",EOMONTH(B41,0),DATE(YEAR(B41),12,31))))),Lançamentos!$G:$G,IF($E$6="Todos","*",$E$6),Lançamentos!$D:$D,"Entrada"))</f>
        <v/>
      </c>
      <c r="D41" s="37" t="str" cm="1">
        <f t="array" ref="D41">IF(B41="","",SUMPRODUCT(('Fluxo de Caixa'!$B$82:$IL$82&gt;=B41)*('Fluxo de Caixa'!$B$82:$IL$82&lt;=MIN($C$6,IF($D$6="Dia",B41,IF($D$6="Semana",B41+6,IF($D$6="Mês",EOMONTH(B41,0),DATE(YEAR(B41),12,31))))))*'Fluxo de Caixa'!$B$96:$IL$96))</f>
        <v/>
      </c>
      <c r="E41" s="37" t="str">
        <f>IF(B41="","",SUMIFS(Lançamentos!$F:$F,Lançamentos!$A:$A,"&gt;="&amp;B41,Lançamentos!$A:$A,"&lt;="&amp;MIN($C$6,IF($D$6="Dia",B41,IF($D$6="Semana",B41+6,IF($D$6="Mês",EOMONTH(B41,0),DATE(YEAR(B41),12,31))))),Lançamentos!$G:$G,IF($E$6="Todos","*",$E$6),Lançamentos!$D:$D,"Saída"))</f>
        <v/>
      </c>
      <c r="F41" s="37" t="str" cm="1">
        <f t="array" ref="F41">IF(B41="","",SUMPRODUCT(('Fluxo de Caixa'!$B$82:$IL$82&gt;=B41)*('Fluxo de Caixa'!$B$82:$IL$82&lt;=MIN($C$6,IF($D$6="Dia",B41,IF($D$6="Semana",B41+6,IF($D$6="Mês",EOMONTH(B41,0),DATE(YEAR(B41),12,31))))))*'Fluxo de Caixa'!$B$140:$IL$140))</f>
        <v/>
      </c>
      <c r="G41" s="37" t="str">
        <f t="shared" si="1"/>
        <v/>
      </c>
      <c r="H41" s="61" t="str">
        <f t="shared" si="2"/>
        <v/>
      </c>
      <c r="J41" t="s">
        <v>97</v>
      </c>
      <c r="K41" s="37">
        <f>SUMIFS(Lançamentos!$F:$F,Lançamentos!$A:$A,"&gt;="&amp;$B$6,Lançamentos!$A:$A,"&lt;="&amp;$C$6,Lançamentos!$C:$C,J41,Lançamentos!$G:$G,IF($E$6="Todos","*",$E$6))</f>
        <v>0</v>
      </c>
      <c r="L41" s="37" cm="1">
        <f t="array" ref="L41">SUMPRODUCT(('Fluxo de Caixa'!$B$82:$IL$82&gt;=$B$6)*('Fluxo de Caixa'!$B$82:$IL$82&lt;=$C$6)*'Fluxo de Caixa'!$B$122:$IL$122)</f>
        <v>0</v>
      </c>
      <c r="M41" s="37">
        <f t="shared" si="4"/>
        <v>0</v>
      </c>
    </row>
    <row r="42" spans="2:13" x14ac:dyDescent="0.3">
      <c r="B42" s="2" t="str">
        <f t="shared" si="3"/>
        <v/>
      </c>
      <c r="C42" s="37" t="str">
        <f>IF(B42="","",SUMIFS(Lançamentos!$F:$F,Lançamentos!$A:$A,"&gt;="&amp;B42,Lançamentos!$A:$A,"&lt;="&amp;MIN($C$6,IF($D$6="Dia",B42,IF($D$6="Semana",B42+6,IF($D$6="Mês",EOMONTH(B42,0),DATE(YEAR(B42),12,31))))),Lançamentos!$G:$G,IF($E$6="Todos","*",$E$6),Lançamentos!$D:$D,"Entrada"))</f>
        <v/>
      </c>
      <c r="D42" s="37" t="str" cm="1">
        <f t="array" ref="D42">IF(B42="","",SUMPRODUCT(('Fluxo de Caixa'!$B$82:$IL$82&gt;=B42)*('Fluxo de Caixa'!$B$82:$IL$82&lt;=MIN($C$6,IF($D$6="Dia",B42,IF($D$6="Semana",B42+6,IF($D$6="Mês",EOMONTH(B42,0),DATE(YEAR(B42),12,31))))))*'Fluxo de Caixa'!$B$96:$IL$96))</f>
        <v/>
      </c>
      <c r="E42" s="37" t="str">
        <f>IF(B42="","",SUMIFS(Lançamentos!$F:$F,Lançamentos!$A:$A,"&gt;="&amp;B42,Lançamentos!$A:$A,"&lt;="&amp;MIN($C$6,IF($D$6="Dia",B42,IF($D$6="Semana",B42+6,IF($D$6="Mês",EOMONTH(B42,0),DATE(YEAR(B42),12,31))))),Lançamentos!$G:$G,IF($E$6="Todos","*",$E$6),Lançamentos!$D:$D,"Saída"))</f>
        <v/>
      </c>
      <c r="F42" s="37" t="str" cm="1">
        <f t="array" ref="F42">IF(B42="","",SUMPRODUCT(('Fluxo de Caixa'!$B$82:$IL$82&gt;=B42)*('Fluxo de Caixa'!$B$82:$IL$82&lt;=MIN($C$6,IF($D$6="Dia",B42,IF($D$6="Semana",B42+6,IF($D$6="Mês",EOMONTH(B42,0),DATE(YEAR(B42),12,31))))))*'Fluxo de Caixa'!$B$140:$IL$140))</f>
        <v/>
      </c>
      <c r="G42" s="37" t="str">
        <f t="shared" si="1"/>
        <v/>
      </c>
      <c r="H42" s="61" t="str">
        <f t="shared" si="2"/>
        <v/>
      </c>
      <c r="J42" t="s">
        <v>98</v>
      </c>
      <c r="K42" s="37">
        <f>SUMIFS(Lançamentos!$F:$F,Lançamentos!$A:$A,"&gt;="&amp;$B$6,Lançamentos!$A:$A,"&lt;="&amp;$C$6,Lançamentos!$C:$C,J42,Lançamentos!$G:$G,IF($E$6="Todos","*",$E$6))</f>
        <v>0</v>
      </c>
      <c r="L42" s="37" cm="1">
        <f t="array" ref="L42">SUMPRODUCT(('Fluxo de Caixa'!$B$82:$IL$82&gt;=$B$6)*('Fluxo de Caixa'!$B$82:$IL$82&lt;=$C$6)*'Fluxo de Caixa'!$B$123:$IL$123)</f>
        <v>0</v>
      </c>
      <c r="M42" s="37">
        <f t="shared" si="4"/>
        <v>0</v>
      </c>
    </row>
    <row r="43" spans="2:13" x14ac:dyDescent="0.3">
      <c r="B43" s="2" t="str">
        <f t="shared" si="3"/>
        <v/>
      </c>
      <c r="C43" s="37" t="str">
        <f>IF(B43="","",SUMIFS(Lançamentos!$F:$F,Lançamentos!$A:$A,"&gt;="&amp;B43,Lançamentos!$A:$A,"&lt;="&amp;MIN($C$6,IF($D$6="Dia",B43,IF($D$6="Semana",B43+6,IF($D$6="Mês",EOMONTH(B43,0),DATE(YEAR(B43),12,31))))),Lançamentos!$G:$G,IF($E$6="Todos","*",$E$6),Lançamentos!$D:$D,"Entrada"))</f>
        <v/>
      </c>
      <c r="D43" s="37" t="str" cm="1">
        <f t="array" ref="D43">IF(B43="","",SUMPRODUCT(('Fluxo de Caixa'!$B$82:$IL$82&gt;=B43)*('Fluxo de Caixa'!$B$82:$IL$82&lt;=MIN($C$6,IF($D$6="Dia",B43,IF($D$6="Semana",B43+6,IF($D$6="Mês",EOMONTH(B43,0),DATE(YEAR(B43),12,31))))))*'Fluxo de Caixa'!$B$96:$IL$96))</f>
        <v/>
      </c>
      <c r="E43" s="37" t="str">
        <f>IF(B43="","",SUMIFS(Lançamentos!$F:$F,Lançamentos!$A:$A,"&gt;="&amp;B43,Lançamentos!$A:$A,"&lt;="&amp;MIN($C$6,IF($D$6="Dia",B43,IF($D$6="Semana",B43+6,IF($D$6="Mês",EOMONTH(B43,0),DATE(YEAR(B43),12,31))))),Lançamentos!$G:$G,IF($E$6="Todos","*",$E$6),Lançamentos!$D:$D,"Saída"))</f>
        <v/>
      </c>
      <c r="F43" s="37" t="str" cm="1">
        <f t="array" ref="F43">IF(B43="","",SUMPRODUCT(('Fluxo de Caixa'!$B$82:$IL$82&gt;=B43)*('Fluxo de Caixa'!$B$82:$IL$82&lt;=MIN($C$6,IF($D$6="Dia",B43,IF($D$6="Semana",B43+6,IF($D$6="Mês",EOMONTH(B43,0),DATE(YEAR(B43),12,31))))))*'Fluxo de Caixa'!$B$140:$IL$140))</f>
        <v/>
      </c>
      <c r="G43" s="37" t="str">
        <f t="shared" si="1"/>
        <v/>
      </c>
      <c r="H43" s="61" t="str">
        <f t="shared" si="2"/>
        <v/>
      </c>
      <c r="J43" t="s">
        <v>99</v>
      </c>
      <c r="K43" s="37">
        <f>SUMIFS(Lançamentos!$F:$F,Lançamentos!$A:$A,"&gt;="&amp;$B$6,Lançamentos!$A:$A,"&lt;="&amp;$C$6,Lançamentos!$C:$C,J43,Lançamentos!$G:$G,IF($E$6="Todos","*",$E$6))</f>
        <v>0</v>
      </c>
      <c r="L43" s="37" cm="1">
        <f t="array" ref="L43">SUMPRODUCT(('Fluxo de Caixa'!$B$82:$IL$82&gt;=$B$6)*('Fluxo de Caixa'!$B$82:$IL$82&lt;=$C$6)*'Fluxo de Caixa'!$B$124:$IL$124)</f>
        <v>0</v>
      </c>
      <c r="M43" s="37">
        <f t="shared" si="4"/>
        <v>0</v>
      </c>
    </row>
    <row r="44" spans="2:13" x14ac:dyDescent="0.3">
      <c r="B44" s="2" t="str">
        <f t="shared" si="3"/>
        <v/>
      </c>
      <c r="C44" s="37" t="str">
        <f>IF(B44="","",SUMIFS(Lançamentos!$F:$F,Lançamentos!$A:$A,"&gt;="&amp;B44,Lançamentos!$A:$A,"&lt;="&amp;MIN($C$6,IF($D$6="Dia",B44,IF($D$6="Semana",B44+6,IF($D$6="Mês",EOMONTH(B44,0),DATE(YEAR(B44),12,31))))),Lançamentos!$G:$G,IF($E$6="Todos","*",$E$6),Lançamentos!$D:$D,"Entrada"))</f>
        <v/>
      </c>
      <c r="D44" s="37" t="str" cm="1">
        <f t="array" ref="D44">IF(B44="","",SUMPRODUCT(('Fluxo de Caixa'!$B$82:$IL$82&gt;=B44)*('Fluxo de Caixa'!$B$82:$IL$82&lt;=MIN($C$6,IF($D$6="Dia",B44,IF($D$6="Semana",B44+6,IF($D$6="Mês",EOMONTH(B44,0),DATE(YEAR(B44),12,31))))))*'Fluxo de Caixa'!$B$96:$IL$96))</f>
        <v/>
      </c>
      <c r="E44" s="37" t="str">
        <f>IF(B44="","",SUMIFS(Lançamentos!$F:$F,Lançamentos!$A:$A,"&gt;="&amp;B44,Lançamentos!$A:$A,"&lt;="&amp;MIN($C$6,IF($D$6="Dia",B44,IF($D$6="Semana",B44+6,IF($D$6="Mês",EOMONTH(B44,0),DATE(YEAR(B44),12,31))))),Lançamentos!$G:$G,IF($E$6="Todos","*",$E$6),Lançamentos!$D:$D,"Saída"))</f>
        <v/>
      </c>
      <c r="F44" s="37" t="str" cm="1">
        <f t="array" ref="F44">IF(B44="","",SUMPRODUCT(('Fluxo de Caixa'!$B$82:$IL$82&gt;=B44)*('Fluxo de Caixa'!$B$82:$IL$82&lt;=MIN($C$6,IF($D$6="Dia",B44,IF($D$6="Semana",B44+6,IF($D$6="Mês",EOMONTH(B44,0),DATE(YEAR(B44),12,31))))))*'Fluxo de Caixa'!$B$140:$IL$140))</f>
        <v/>
      </c>
      <c r="G44" s="37" t="str">
        <f t="shared" si="1"/>
        <v/>
      </c>
      <c r="H44" s="61" t="str">
        <f t="shared" si="2"/>
        <v/>
      </c>
      <c r="J44" t="s">
        <v>100</v>
      </c>
      <c r="K44" s="37">
        <f>SUMIFS(Lançamentos!$F:$F,Lançamentos!$A:$A,"&gt;="&amp;$B$6,Lançamentos!$A:$A,"&lt;="&amp;$C$6,Lançamentos!$C:$C,J44,Lançamentos!$G:$G,IF($E$6="Todos","*",$E$6))</f>
        <v>0</v>
      </c>
      <c r="L44" s="37" cm="1">
        <f t="array" ref="L44">SUMPRODUCT(('Fluxo de Caixa'!$B$82:$IL$82&gt;=$B$6)*('Fluxo de Caixa'!$B$82:$IL$82&lt;=$C$6)*'Fluxo de Caixa'!$B$125:$IL$125)</f>
        <v>0</v>
      </c>
      <c r="M44" s="37">
        <f t="shared" si="4"/>
        <v>0</v>
      </c>
    </row>
    <row r="45" spans="2:13" x14ac:dyDescent="0.3">
      <c r="B45" s="2" t="str">
        <f t="shared" si="3"/>
        <v/>
      </c>
      <c r="C45" s="37" t="str">
        <f>IF(B45="","",SUMIFS(Lançamentos!$F:$F,Lançamentos!$A:$A,"&gt;="&amp;B45,Lançamentos!$A:$A,"&lt;="&amp;MIN($C$6,IF($D$6="Dia",B45,IF($D$6="Semana",B45+6,IF($D$6="Mês",EOMONTH(B45,0),DATE(YEAR(B45),12,31))))),Lançamentos!$G:$G,IF($E$6="Todos","*",$E$6),Lançamentos!$D:$D,"Entrada"))</f>
        <v/>
      </c>
      <c r="D45" s="37" t="str" cm="1">
        <f t="array" ref="D45">IF(B45="","",SUMPRODUCT(('Fluxo de Caixa'!$B$82:$IL$82&gt;=B45)*('Fluxo de Caixa'!$B$82:$IL$82&lt;=MIN($C$6,IF($D$6="Dia",B45,IF($D$6="Semana",B45+6,IF($D$6="Mês",EOMONTH(B45,0),DATE(YEAR(B45),12,31))))))*'Fluxo de Caixa'!$B$96:$IL$96))</f>
        <v/>
      </c>
      <c r="E45" s="37" t="str">
        <f>IF(B45="","",SUMIFS(Lançamentos!$F:$F,Lançamentos!$A:$A,"&gt;="&amp;B45,Lançamentos!$A:$A,"&lt;="&amp;MIN($C$6,IF($D$6="Dia",B45,IF($D$6="Semana",B45+6,IF($D$6="Mês",EOMONTH(B45,0),DATE(YEAR(B45),12,31))))),Lançamentos!$G:$G,IF($E$6="Todos","*",$E$6),Lançamentos!$D:$D,"Saída"))</f>
        <v/>
      </c>
      <c r="F45" s="37" t="str" cm="1">
        <f t="array" ref="F45">IF(B45="","",SUMPRODUCT(('Fluxo de Caixa'!$B$82:$IL$82&gt;=B45)*('Fluxo de Caixa'!$B$82:$IL$82&lt;=MIN($C$6,IF($D$6="Dia",B45,IF($D$6="Semana",B45+6,IF($D$6="Mês",EOMONTH(B45,0),DATE(YEAR(B45),12,31))))))*'Fluxo de Caixa'!$B$140:$IL$140))</f>
        <v/>
      </c>
      <c r="G45" s="37" t="str">
        <f t="shared" si="1"/>
        <v/>
      </c>
      <c r="H45" s="61" t="str">
        <f t="shared" si="2"/>
        <v/>
      </c>
      <c r="J45" t="s">
        <v>101</v>
      </c>
      <c r="K45" s="37">
        <f>SUMIFS(Lançamentos!$F:$F,Lançamentos!$A:$A,"&gt;="&amp;$B$6,Lançamentos!$A:$A,"&lt;="&amp;$C$6,Lançamentos!$C:$C,J45,Lançamentos!$G:$G,IF($E$6="Todos","*",$E$6))</f>
        <v>0</v>
      </c>
      <c r="L45" s="37" cm="1">
        <f t="array" ref="L45">SUMPRODUCT(('Fluxo de Caixa'!$B$82:$IL$82&gt;=$B$6)*('Fluxo de Caixa'!$B$82:$IL$82&lt;=$C$6)*'Fluxo de Caixa'!$B$126:$IL$126)</f>
        <v>0</v>
      </c>
      <c r="M45" s="37">
        <f t="shared" si="4"/>
        <v>0</v>
      </c>
    </row>
    <row r="46" spans="2:13" x14ac:dyDescent="0.3">
      <c r="B46" s="2" t="str">
        <f t="shared" si="3"/>
        <v/>
      </c>
      <c r="C46" s="37" t="str">
        <f>IF(B46="","",SUMIFS(Lançamentos!$F:$F,Lançamentos!$A:$A,"&gt;="&amp;B46,Lançamentos!$A:$A,"&lt;="&amp;MIN($C$6,IF($D$6="Dia",B46,IF($D$6="Semana",B46+6,IF($D$6="Mês",EOMONTH(B46,0),DATE(YEAR(B46),12,31))))),Lançamentos!$G:$G,IF($E$6="Todos","*",$E$6),Lançamentos!$D:$D,"Entrada"))</f>
        <v/>
      </c>
      <c r="D46" s="37" t="str" cm="1">
        <f t="array" ref="D46">IF(B46="","",SUMPRODUCT(('Fluxo de Caixa'!$B$82:$IL$82&gt;=B46)*('Fluxo de Caixa'!$B$82:$IL$82&lt;=MIN($C$6,IF($D$6="Dia",B46,IF($D$6="Semana",B46+6,IF($D$6="Mês",EOMONTH(B46,0),DATE(YEAR(B46),12,31))))))*'Fluxo de Caixa'!$B$96:$IL$96))</f>
        <v/>
      </c>
      <c r="E46" s="37" t="str">
        <f>IF(B46="","",SUMIFS(Lançamentos!$F:$F,Lançamentos!$A:$A,"&gt;="&amp;B46,Lançamentos!$A:$A,"&lt;="&amp;MIN($C$6,IF($D$6="Dia",B46,IF($D$6="Semana",B46+6,IF($D$6="Mês",EOMONTH(B46,0),DATE(YEAR(B46),12,31))))),Lançamentos!$G:$G,IF($E$6="Todos","*",$E$6),Lançamentos!$D:$D,"Saída"))</f>
        <v/>
      </c>
      <c r="F46" s="37" t="str" cm="1">
        <f t="array" ref="F46">IF(B46="","",SUMPRODUCT(('Fluxo de Caixa'!$B$82:$IL$82&gt;=B46)*('Fluxo de Caixa'!$B$82:$IL$82&lt;=MIN($C$6,IF($D$6="Dia",B46,IF($D$6="Semana",B46+6,IF($D$6="Mês",EOMONTH(B46,0),DATE(YEAR(B46),12,31))))))*'Fluxo de Caixa'!$B$140:$IL$140))</f>
        <v/>
      </c>
      <c r="G46" s="37" t="str">
        <f t="shared" si="1"/>
        <v/>
      </c>
      <c r="H46" s="61" t="str">
        <f t="shared" si="2"/>
        <v/>
      </c>
      <c r="J46" t="s">
        <v>102</v>
      </c>
      <c r="K46" s="37">
        <f>SUMIFS(Lançamentos!$F:$F,Lançamentos!$A:$A,"&gt;="&amp;$B$6,Lançamentos!$A:$A,"&lt;="&amp;$C$6,Lançamentos!$C:$C,J46,Lançamentos!$G:$G,IF($E$6="Todos","*",$E$6))</f>
        <v>0</v>
      </c>
      <c r="L46" s="37" cm="1">
        <f t="array" ref="L46">SUMPRODUCT(('Fluxo de Caixa'!$B$82:$IL$82&gt;=$B$6)*('Fluxo de Caixa'!$B$82:$IL$82&lt;=$C$6)*'Fluxo de Caixa'!$B$127:$IL$127)</f>
        <v>0</v>
      </c>
      <c r="M46" s="37">
        <f t="shared" si="4"/>
        <v>0</v>
      </c>
    </row>
    <row r="47" spans="2:13" x14ac:dyDescent="0.3">
      <c r="B47" s="2" t="str">
        <f t="shared" si="3"/>
        <v/>
      </c>
      <c r="C47" s="37" t="str">
        <f>IF(B47="","",SUMIFS(Lançamentos!$F:$F,Lançamentos!$A:$A,"&gt;="&amp;B47,Lançamentos!$A:$A,"&lt;="&amp;MIN($C$6,IF($D$6="Dia",B47,IF($D$6="Semana",B47+6,IF($D$6="Mês",EOMONTH(B47,0),DATE(YEAR(B47),12,31))))),Lançamentos!$G:$G,IF($E$6="Todos","*",$E$6),Lançamentos!$D:$D,"Entrada"))</f>
        <v/>
      </c>
      <c r="D47" s="37" t="str" cm="1">
        <f t="array" ref="D47">IF(B47="","",SUMPRODUCT(('Fluxo de Caixa'!$B$82:$IL$82&gt;=B47)*('Fluxo de Caixa'!$B$82:$IL$82&lt;=MIN($C$6,IF($D$6="Dia",B47,IF($D$6="Semana",B47+6,IF($D$6="Mês",EOMONTH(B47,0),DATE(YEAR(B47),12,31))))))*'Fluxo de Caixa'!$B$96:$IL$96))</f>
        <v/>
      </c>
      <c r="E47" s="37" t="str">
        <f>IF(B47="","",SUMIFS(Lançamentos!$F:$F,Lançamentos!$A:$A,"&gt;="&amp;B47,Lançamentos!$A:$A,"&lt;="&amp;MIN($C$6,IF($D$6="Dia",B47,IF($D$6="Semana",B47+6,IF($D$6="Mês",EOMONTH(B47,0),DATE(YEAR(B47),12,31))))),Lançamentos!$G:$G,IF($E$6="Todos","*",$E$6),Lançamentos!$D:$D,"Saída"))</f>
        <v/>
      </c>
      <c r="F47" s="37" t="str" cm="1">
        <f t="array" ref="F47">IF(B47="","",SUMPRODUCT(('Fluxo de Caixa'!$B$82:$IL$82&gt;=B47)*('Fluxo de Caixa'!$B$82:$IL$82&lt;=MIN($C$6,IF($D$6="Dia",B47,IF($D$6="Semana",B47+6,IF($D$6="Mês",EOMONTH(B47,0),DATE(YEAR(B47),12,31))))))*'Fluxo de Caixa'!$B$140:$IL$140))</f>
        <v/>
      </c>
      <c r="G47" s="37" t="str">
        <f t="shared" ref="G47:G67" si="5">IF(B47="","",(C47-E47)-(D47-F47))</f>
        <v/>
      </c>
      <c r="H47" s="61" t="str">
        <f t="shared" ref="H47:H67" si="6">IF(B47="","",IFERROR(G47/ABS(D47-F47),0))</f>
        <v/>
      </c>
      <c r="J47" t="s">
        <v>103</v>
      </c>
      <c r="K47" s="37">
        <f>SUMIFS(Lançamentos!$F:$F,Lançamentos!$A:$A,"&gt;="&amp;$B$6,Lançamentos!$A:$A,"&lt;="&amp;$C$6,Lançamentos!$C:$C,J47,Lançamentos!$G:$G,IF($E$6="Todos","*",$E$6))</f>
        <v>0</v>
      </c>
      <c r="L47" s="37" cm="1">
        <f t="array" ref="L47">SUMPRODUCT(('Fluxo de Caixa'!$B$82:$IL$82&gt;=$B$6)*('Fluxo de Caixa'!$B$82:$IL$82&lt;=$C$6)*'Fluxo de Caixa'!$B$128:$IL$128)</f>
        <v>0</v>
      </c>
      <c r="M47" s="37">
        <f t="shared" si="4"/>
        <v>0</v>
      </c>
    </row>
    <row r="48" spans="2:13" x14ac:dyDescent="0.3">
      <c r="B48" s="2" t="str">
        <f t="shared" ref="B48:B67" si="7">IF(B47="","",IF($D$6="Dia",IF(B47+1&gt;$C$6,"",B47+1),IF($D$6="Semana",IF(B47+7&gt;$C$6,"",B47+7),IF($D$6="Mês",IF(EDATE(B47,1)&gt;$C$6,"",EDATE(B47,1)),IF(DATE(YEAR(B47)+1,1,1)&gt;$C$6,"",DATE(YEAR(B47)+1,1,1))))))</f>
        <v/>
      </c>
      <c r="C48" s="37" t="str">
        <f>IF(B48="","",SUMIFS(Lançamentos!$F:$F,Lançamentos!$A:$A,"&gt;="&amp;B48,Lançamentos!$A:$A,"&lt;="&amp;MIN($C$6,IF($D$6="Dia",B48,IF($D$6="Semana",B48+6,IF($D$6="Mês",EOMONTH(B48,0),DATE(YEAR(B48),12,31))))),Lançamentos!$G:$G,IF($E$6="Todos","*",$E$6),Lançamentos!$D:$D,"Entrada"))</f>
        <v/>
      </c>
      <c r="D48" s="37" t="str" cm="1">
        <f t="array" ref="D48">IF(B48="","",SUMPRODUCT(('Fluxo de Caixa'!$B$82:$IL$82&gt;=B48)*('Fluxo de Caixa'!$B$82:$IL$82&lt;=MIN($C$6,IF($D$6="Dia",B48,IF($D$6="Semana",B48+6,IF($D$6="Mês",EOMONTH(B48,0),DATE(YEAR(B48),12,31))))))*'Fluxo de Caixa'!$B$96:$IL$96))</f>
        <v/>
      </c>
      <c r="E48" s="37" t="str">
        <f>IF(B48="","",SUMIFS(Lançamentos!$F:$F,Lançamentos!$A:$A,"&gt;="&amp;B48,Lançamentos!$A:$A,"&lt;="&amp;MIN($C$6,IF($D$6="Dia",B48,IF($D$6="Semana",B48+6,IF($D$6="Mês",EOMONTH(B48,0),DATE(YEAR(B48),12,31))))),Lançamentos!$G:$G,IF($E$6="Todos","*",$E$6),Lançamentos!$D:$D,"Saída"))</f>
        <v/>
      </c>
      <c r="F48" s="37" t="str" cm="1">
        <f t="array" ref="F48">IF(B48="","",SUMPRODUCT(('Fluxo de Caixa'!$B$82:$IL$82&gt;=B48)*('Fluxo de Caixa'!$B$82:$IL$82&lt;=MIN($C$6,IF($D$6="Dia",B48,IF($D$6="Semana",B48+6,IF($D$6="Mês",EOMONTH(B48,0),DATE(YEAR(B48),12,31))))))*'Fluxo de Caixa'!$B$140:$IL$140))</f>
        <v/>
      </c>
      <c r="G48" s="37" t="str">
        <f t="shared" si="5"/>
        <v/>
      </c>
      <c r="H48" s="61" t="str">
        <f t="shared" si="6"/>
        <v/>
      </c>
      <c r="J48" t="s">
        <v>104</v>
      </c>
      <c r="K48" s="37">
        <f>SUMIFS(Lançamentos!$F:$F,Lançamentos!$A:$A,"&gt;="&amp;$B$6,Lançamentos!$A:$A,"&lt;="&amp;$C$6,Lançamentos!$C:$C,J48,Lançamentos!$G:$G,IF($E$6="Todos","*",$E$6))</f>
        <v>0</v>
      </c>
      <c r="L48" s="37" cm="1">
        <f t="array" ref="L48">SUMPRODUCT(('Fluxo de Caixa'!$B$82:$IL$82&gt;=$B$6)*('Fluxo de Caixa'!$B$82:$IL$82&lt;=$C$6)*'Fluxo de Caixa'!$B$129:$IL$129)</f>
        <v>0</v>
      </c>
      <c r="M48" s="37">
        <f t="shared" si="4"/>
        <v>0</v>
      </c>
    </row>
    <row r="49" spans="2:13" x14ac:dyDescent="0.3">
      <c r="B49" s="2" t="str">
        <f t="shared" si="7"/>
        <v/>
      </c>
      <c r="C49" s="37" t="str">
        <f>IF(B49="","",SUMIFS(Lançamentos!$F:$F,Lançamentos!$A:$A,"&gt;="&amp;B49,Lançamentos!$A:$A,"&lt;="&amp;MIN($C$6,IF($D$6="Dia",B49,IF($D$6="Semana",B49+6,IF($D$6="Mês",EOMONTH(B49,0),DATE(YEAR(B49),12,31))))),Lançamentos!$G:$G,IF($E$6="Todos","*",$E$6),Lançamentos!$D:$D,"Entrada"))</f>
        <v/>
      </c>
      <c r="D49" s="37" t="str" cm="1">
        <f t="array" ref="D49">IF(B49="","",SUMPRODUCT(('Fluxo de Caixa'!$B$82:$IL$82&gt;=B49)*('Fluxo de Caixa'!$B$82:$IL$82&lt;=MIN($C$6,IF($D$6="Dia",B49,IF($D$6="Semana",B49+6,IF($D$6="Mês",EOMONTH(B49,0),DATE(YEAR(B49),12,31))))))*'Fluxo de Caixa'!$B$96:$IL$96))</f>
        <v/>
      </c>
      <c r="E49" s="37" t="str">
        <f>IF(B49="","",SUMIFS(Lançamentos!$F:$F,Lançamentos!$A:$A,"&gt;="&amp;B49,Lançamentos!$A:$A,"&lt;="&amp;MIN($C$6,IF($D$6="Dia",B49,IF($D$6="Semana",B49+6,IF($D$6="Mês",EOMONTH(B49,0),DATE(YEAR(B49),12,31))))),Lançamentos!$G:$G,IF($E$6="Todos","*",$E$6),Lançamentos!$D:$D,"Saída"))</f>
        <v/>
      </c>
      <c r="F49" s="37" t="str" cm="1">
        <f t="array" ref="F49">IF(B49="","",SUMPRODUCT(('Fluxo de Caixa'!$B$82:$IL$82&gt;=B49)*('Fluxo de Caixa'!$B$82:$IL$82&lt;=MIN($C$6,IF($D$6="Dia",B49,IF($D$6="Semana",B49+6,IF($D$6="Mês",EOMONTH(B49,0),DATE(YEAR(B49),12,31))))))*'Fluxo de Caixa'!$B$140:$IL$140))</f>
        <v/>
      </c>
      <c r="G49" s="37" t="str">
        <f t="shared" si="5"/>
        <v/>
      </c>
      <c r="H49" s="61" t="str">
        <f t="shared" si="6"/>
        <v/>
      </c>
      <c r="J49" t="s">
        <v>105</v>
      </c>
      <c r="K49" s="37">
        <f>SUMIFS(Lançamentos!$F:$F,Lançamentos!$A:$A,"&gt;="&amp;$B$6,Lançamentos!$A:$A,"&lt;="&amp;$C$6,Lançamentos!$C:$C,J49,Lançamentos!$G:$G,IF($E$6="Todos","*",$E$6))</f>
        <v>0</v>
      </c>
      <c r="L49" s="37" cm="1">
        <f t="array" ref="L49">SUMPRODUCT(('Fluxo de Caixa'!$B$82:$IL$82&gt;=$B$6)*('Fluxo de Caixa'!$B$82:$IL$82&lt;=$C$6)*'Fluxo de Caixa'!$B$130:$IL$130)</f>
        <v>0</v>
      </c>
      <c r="M49" s="37">
        <f t="shared" si="4"/>
        <v>0</v>
      </c>
    </row>
    <row r="50" spans="2:13" x14ac:dyDescent="0.3">
      <c r="B50" s="2" t="str">
        <f t="shared" si="7"/>
        <v/>
      </c>
      <c r="C50" s="37" t="str">
        <f>IF(B50="","",SUMIFS(Lançamentos!$F:$F,Lançamentos!$A:$A,"&gt;="&amp;B50,Lançamentos!$A:$A,"&lt;="&amp;MIN($C$6,IF($D$6="Dia",B50,IF($D$6="Semana",B50+6,IF($D$6="Mês",EOMONTH(B50,0),DATE(YEAR(B50),12,31))))),Lançamentos!$G:$G,IF($E$6="Todos","*",$E$6),Lançamentos!$D:$D,"Entrada"))</f>
        <v/>
      </c>
      <c r="D50" s="37" t="str" cm="1">
        <f t="array" ref="D50">IF(B50="","",SUMPRODUCT(('Fluxo de Caixa'!$B$82:$IL$82&gt;=B50)*('Fluxo de Caixa'!$B$82:$IL$82&lt;=MIN($C$6,IF($D$6="Dia",B50,IF($D$6="Semana",B50+6,IF($D$6="Mês",EOMONTH(B50,0),DATE(YEAR(B50),12,31))))))*'Fluxo de Caixa'!$B$96:$IL$96))</f>
        <v/>
      </c>
      <c r="E50" s="37" t="str">
        <f>IF(B50="","",SUMIFS(Lançamentos!$F:$F,Lançamentos!$A:$A,"&gt;="&amp;B50,Lançamentos!$A:$A,"&lt;="&amp;MIN($C$6,IF($D$6="Dia",B50,IF($D$6="Semana",B50+6,IF($D$6="Mês",EOMONTH(B50,0),DATE(YEAR(B50),12,31))))),Lançamentos!$G:$G,IF($E$6="Todos","*",$E$6),Lançamentos!$D:$D,"Saída"))</f>
        <v/>
      </c>
      <c r="F50" s="37" t="str" cm="1">
        <f t="array" ref="F50">IF(B50="","",SUMPRODUCT(('Fluxo de Caixa'!$B$82:$IL$82&gt;=B50)*('Fluxo de Caixa'!$B$82:$IL$82&lt;=MIN($C$6,IF($D$6="Dia",B50,IF($D$6="Semana",B50+6,IF($D$6="Mês",EOMONTH(B50,0),DATE(YEAR(B50),12,31))))))*'Fluxo de Caixa'!$B$140:$IL$140))</f>
        <v/>
      </c>
      <c r="G50" s="37" t="str">
        <f t="shared" si="5"/>
        <v/>
      </c>
      <c r="H50" s="61" t="str">
        <f t="shared" si="6"/>
        <v/>
      </c>
      <c r="J50" t="s">
        <v>106</v>
      </c>
      <c r="K50" s="37">
        <f>SUMIFS(Lançamentos!$F:$F,Lançamentos!$A:$A,"&gt;="&amp;$B$6,Lançamentos!$A:$A,"&lt;="&amp;$C$6,Lançamentos!$C:$C,J50,Lançamentos!$G:$G,IF($E$6="Todos","*",$E$6))</f>
        <v>0</v>
      </c>
      <c r="L50" s="37" cm="1">
        <f t="array" ref="L50">SUMPRODUCT(('Fluxo de Caixa'!$B$82:$IL$82&gt;=$B$6)*('Fluxo de Caixa'!$B$82:$IL$82&lt;=$C$6)*'Fluxo de Caixa'!$B$131:$IL$131)</f>
        <v>0</v>
      </c>
      <c r="M50" s="37">
        <f t="shared" si="4"/>
        <v>0</v>
      </c>
    </row>
    <row r="51" spans="2:13" x14ac:dyDescent="0.3">
      <c r="B51" s="2" t="str">
        <f t="shared" si="7"/>
        <v/>
      </c>
      <c r="C51" s="37" t="str">
        <f>IF(B51="","",SUMIFS(Lançamentos!$F:$F,Lançamentos!$A:$A,"&gt;="&amp;B51,Lançamentos!$A:$A,"&lt;="&amp;MIN($C$6,IF($D$6="Dia",B51,IF($D$6="Semana",B51+6,IF($D$6="Mês",EOMONTH(B51,0),DATE(YEAR(B51),12,31))))),Lançamentos!$G:$G,IF($E$6="Todos","*",$E$6),Lançamentos!$D:$D,"Entrada"))</f>
        <v/>
      </c>
      <c r="D51" s="37" t="str" cm="1">
        <f t="array" ref="D51">IF(B51="","",SUMPRODUCT(('Fluxo de Caixa'!$B$82:$IL$82&gt;=B51)*('Fluxo de Caixa'!$B$82:$IL$82&lt;=MIN($C$6,IF($D$6="Dia",B51,IF($D$6="Semana",B51+6,IF($D$6="Mês",EOMONTH(B51,0),DATE(YEAR(B51),12,31))))))*'Fluxo de Caixa'!$B$96:$IL$96))</f>
        <v/>
      </c>
      <c r="E51" s="37" t="str">
        <f>IF(B51="","",SUMIFS(Lançamentos!$F:$F,Lançamentos!$A:$A,"&gt;="&amp;B51,Lançamentos!$A:$A,"&lt;="&amp;MIN($C$6,IF($D$6="Dia",B51,IF($D$6="Semana",B51+6,IF($D$6="Mês",EOMONTH(B51,0),DATE(YEAR(B51),12,31))))),Lançamentos!$G:$G,IF($E$6="Todos","*",$E$6),Lançamentos!$D:$D,"Saída"))</f>
        <v/>
      </c>
      <c r="F51" s="37" t="str" cm="1">
        <f t="array" ref="F51">IF(B51="","",SUMPRODUCT(('Fluxo de Caixa'!$B$82:$IL$82&gt;=B51)*('Fluxo de Caixa'!$B$82:$IL$82&lt;=MIN($C$6,IF($D$6="Dia",B51,IF($D$6="Semana",B51+6,IF($D$6="Mês",EOMONTH(B51,0),DATE(YEAR(B51),12,31))))))*'Fluxo de Caixa'!$B$140:$IL$140))</f>
        <v/>
      </c>
      <c r="G51" s="37" t="str">
        <f t="shared" si="5"/>
        <v/>
      </c>
      <c r="H51" s="61" t="str">
        <f t="shared" si="6"/>
        <v/>
      </c>
      <c r="J51" t="s">
        <v>107</v>
      </c>
      <c r="K51" s="37">
        <f>SUMIFS(Lançamentos!$F:$F,Lançamentos!$A:$A,"&gt;="&amp;$B$6,Lançamentos!$A:$A,"&lt;="&amp;$C$6,Lançamentos!$C:$C,J51,Lançamentos!$G:$G,IF($E$6="Todos","*",$E$6))</f>
        <v>0</v>
      </c>
      <c r="L51" s="37" cm="1">
        <f t="array" ref="L51">SUMPRODUCT(('Fluxo de Caixa'!$B$82:$IL$82&gt;=$B$6)*('Fluxo de Caixa'!$B$82:$IL$82&lt;=$C$6)*'Fluxo de Caixa'!$B$132:$IL$132)</f>
        <v>0</v>
      </c>
      <c r="M51" s="37">
        <f t="shared" si="4"/>
        <v>0</v>
      </c>
    </row>
    <row r="52" spans="2:13" x14ac:dyDescent="0.3">
      <c r="B52" s="2" t="str">
        <f t="shared" si="7"/>
        <v/>
      </c>
      <c r="C52" s="37" t="str">
        <f>IF(B52="","",SUMIFS(Lançamentos!$F:$F,Lançamentos!$A:$A,"&gt;="&amp;B52,Lançamentos!$A:$A,"&lt;="&amp;MIN($C$6,IF($D$6="Dia",B52,IF($D$6="Semana",B52+6,IF($D$6="Mês",EOMONTH(B52,0),DATE(YEAR(B52),12,31))))),Lançamentos!$G:$G,IF($E$6="Todos","*",$E$6),Lançamentos!$D:$D,"Entrada"))</f>
        <v/>
      </c>
      <c r="D52" s="37" t="str" cm="1">
        <f t="array" ref="D52">IF(B52="","",SUMPRODUCT(('Fluxo de Caixa'!$B$82:$IL$82&gt;=B52)*('Fluxo de Caixa'!$B$82:$IL$82&lt;=MIN($C$6,IF($D$6="Dia",B52,IF($D$6="Semana",B52+6,IF($D$6="Mês",EOMONTH(B52,0),DATE(YEAR(B52),12,31))))))*'Fluxo de Caixa'!$B$96:$IL$96))</f>
        <v/>
      </c>
      <c r="E52" s="37" t="str">
        <f>IF(B52="","",SUMIFS(Lançamentos!$F:$F,Lançamentos!$A:$A,"&gt;="&amp;B52,Lançamentos!$A:$A,"&lt;="&amp;MIN($C$6,IF($D$6="Dia",B52,IF($D$6="Semana",B52+6,IF($D$6="Mês",EOMONTH(B52,0),DATE(YEAR(B52),12,31))))),Lançamentos!$G:$G,IF($E$6="Todos","*",$E$6),Lançamentos!$D:$D,"Saída"))</f>
        <v/>
      </c>
      <c r="F52" s="37" t="str" cm="1">
        <f t="array" ref="F52">IF(B52="","",SUMPRODUCT(('Fluxo de Caixa'!$B$82:$IL$82&gt;=B52)*('Fluxo de Caixa'!$B$82:$IL$82&lt;=MIN($C$6,IF($D$6="Dia",B52,IF($D$6="Semana",B52+6,IF($D$6="Mês",EOMONTH(B52,0),DATE(YEAR(B52),12,31))))))*'Fluxo de Caixa'!$B$140:$IL$140))</f>
        <v/>
      </c>
      <c r="G52" s="37" t="str">
        <f t="shared" si="5"/>
        <v/>
      </c>
      <c r="H52" s="61" t="str">
        <f t="shared" si="6"/>
        <v/>
      </c>
      <c r="J52" t="s">
        <v>108</v>
      </c>
      <c r="K52" s="37">
        <f>SUMIFS(Lançamentos!$F:$F,Lançamentos!$A:$A,"&gt;="&amp;$B$6,Lançamentos!$A:$A,"&lt;="&amp;$C$6,Lançamentos!$C:$C,J52,Lançamentos!$G:$G,IF($E$6="Todos","*",$E$6))</f>
        <v>0</v>
      </c>
      <c r="L52" s="37" cm="1">
        <f t="array" ref="L52">SUMPRODUCT(('Fluxo de Caixa'!$B$82:$IL$82&gt;=$B$6)*('Fluxo de Caixa'!$B$82:$IL$82&lt;=$C$6)*'Fluxo de Caixa'!$B$133:$IL$133)</f>
        <v>0</v>
      </c>
      <c r="M52" s="37">
        <f t="shared" si="4"/>
        <v>0</v>
      </c>
    </row>
    <row r="53" spans="2:13" x14ac:dyDescent="0.3">
      <c r="B53" s="2" t="str">
        <f t="shared" si="7"/>
        <v/>
      </c>
      <c r="C53" s="37" t="str">
        <f>IF(B53="","",SUMIFS(Lançamentos!$F:$F,Lançamentos!$A:$A,"&gt;="&amp;B53,Lançamentos!$A:$A,"&lt;="&amp;MIN($C$6,IF($D$6="Dia",B53,IF($D$6="Semana",B53+6,IF($D$6="Mês",EOMONTH(B53,0),DATE(YEAR(B53),12,31))))),Lançamentos!$G:$G,IF($E$6="Todos","*",$E$6),Lançamentos!$D:$D,"Entrada"))</f>
        <v/>
      </c>
      <c r="D53" s="37" t="str" cm="1">
        <f t="array" ref="D53">IF(B53="","",SUMPRODUCT(('Fluxo de Caixa'!$B$82:$IL$82&gt;=B53)*('Fluxo de Caixa'!$B$82:$IL$82&lt;=MIN($C$6,IF($D$6="Dia",B53,IF($D$6="Semana",B53+6,IF($D$6="Mês",EOMONTH(B53,0),DATE(YEAR(B53),12,31))))))*'Fluxo de Caixa'!$B$96:$IL$96))</f>
        <v/>
      </c>
      <c r="E53" s="37" t="str">
        <f>IF(B53="","",SUMIFS(Lançamentos!$F:$F,Lançamentos!$A:$A,"&gt;="&amp;B53,Lançamentos!$A:$A,"&lt;="&amp;MIN($C$6,IF($D$6="Dia",B53,IF($D$6="Semana",B53+6,IF($D$6="Mês",EOMONTH(B53,0),DATE(YEAR(B53),12,31))))),Lançamentos!$G:$G,IF($E$6="Todos","*",$E$6),Lançamentos!$D:$D,"Saída"))</f>
        <v/>
      </c>
      <c r="F53" s="37" t="str" cm="1">
        <f t="array" ref="F53">IF(B53="","",SUMPRODUCT(('Fluxo de Caixa'!$B$82:$IL$82&gt;=B53)*('Fluxo de Caixa'!$B$82:$IL$82&lt;=MIN($C$6,IF($D$6="Dia",B53,IF($D$6="Semana",B53+6,IF($D$6="Mês",EOMONTH(B53,0),DATE(YEAR(B53),12,31))))))*'Fluxo de Caixa'!$B$140:$IL$140))</f>
        <v/>
      </c>
      <c r="G53" s="37" t="str">
        <f t="shared" si="5"/>
        <v/>
      </c>
      <c r="H53" s="61" t="str">
        <f t="shared" si="6"/>
        <v/>
      </c>
      <c r="J53" t="s">
        <v>109</v>
      </c>
      <c r="K53" s="37">
        <f>SUMIFS(Lançamentos!$F:$F,Lançamentos!$A:$A,"&gt;="&amp;$B$6,Lançamentos!$A:$A,"&lt;="&amp;$C$6,Lançamentos!$C:$C,J53,Lançamentos!$G:$G,IF($E$6="Todos","*",$E$6))</f>
        <v>0</v>
      </c>
      <c r="L53" s="37" cm="1">
        <f t="array" ref="L53">SUMPRODUCT(('Fluxo de Caixa'!$B$82:$IL$82&gt;=$B$6)*('Fluxo de Caixa'!$B$82:$IL$82&lt;=$C$6)*'Fluxo de Caixa'!$B$134:$IL$134)</f>
        <v>0</v>
      </c>
      <c r="M53" s="37">
        <f t="shared" si="4"/>
        <v>0</v>
      </c>
    </row>
    <row r="54" spans="2:13" x14ac:dyDescent="0.3">
      <c r="B54" s="2" t="str">
        <f t="shared" si="7"/>
        <v/>
      </c>
      <c r="C54" s="37" t="str">
        <f>IF(B54="","",SUMIFS(Lançamentos!$F:$F,Lançamentos!$A:$A,"&gt;="&amp;B54,Lançamentos!$A:$A,"&lt;="&amp;MIN($C$6,IF($D$6="Dia",B54,IF($D$6="Semana",B54+6,IF($D$6="Mês",EOMONTH(B54,0),DATE(YEAR(B54),12,31))))),Lançamentos!$G:$G,IF($E$6="Todos","*",$E$6),Lançamentos!$D:$D,"Entrada"))</f>
        <v/>
      </c>
      <c r="D54" s="37" t="str" cm="1">
        <f t="array" ref="D54">IF(B54="","",SUMPRODUCT(('Fluxo de Caixa'!$B$82:$IL$82&gt;=B54)*('Fluxo de Caixa'!$B$82:$IL$82&lt;=MIN($C$6,IF($D$6="Dia",B54,IF($D$6="Semana",B54+6,IF($D$6="Mês",EOMONTH(B54,0),DATE(YEAR(B54),12,31))))))*'Fluxo de Caixa'!$B$96:$IL$96))</f>
        <v/>
      </c>
      <c r="E54" s="37" t="str">
        <f>IF(B54="","",SUMIFS(Lançamentos!$F:$F,Lançamentos!$A:$A,"&gt;="&amp;B54,Lançamentos!$A:$A,"&lt;="&amp;MIN($C$6,IF($D$6="Dia",B54,IF($D$6="Semana",B54+6,IF($D$6="Mês",EOMONTH(B54,0),DATE(YEAR(B54),12,31))))),Lançamentos!$G:$G,IF($E$6="Todos","*",$E$6),Lançamentos!$D:$D,"Saída"))</f>
        <v/>
      </c>
      <c r="F54" s="37" t="str" cm="1">
        <f t="array" ref="F54">IF(B54="","",SUMPRODUCT(('Fluxo de Caixa'!$B$82:$IL$82&gt;=B54)*('Fluxo de Caixa'!$B$82:$IL$82&lt;=MIN($C$6,IF($D$6="Dia",B54,IF($D$6="Semana",B54+6,IF($D$6="Mês",EOMONTH(B54,0),DATE(YEAR(B54),12,31))))))*'Fluxo de Caixa'!$B$140:$IL$140))</f>
        <v/>
      </c>
      <c r="G54" s="37" t="str">
        <f t="shared" si="5"/>
        <v/>
      </c>
      <c r="H54" s="61" t="str">
        <f t="shared" si="6"/>
        <v/>
      </c>
      <c r="J54" t="s">
        <v>110</v>
      </c>
      <c r="K54" s="37">
        <f>SUMIFS(Lançamentos!$F:$F,Lançamentos!$A:$A,"&gt;="&amp;$B$6,Lançamentos!$A:$A,"&lt;="&amp;$C$6,Lançamentos!$C:$C,J54,Lançamentos!$G:$G,IF($E$6="Todos","*",$E$6))</f>
        <v>0</v>
      </c>
      <c r="L54" s="37" cm="1">
        <f t="array" ref="L54">SUMPRODUCT(('Fluxo de Caixa'!$B$82:$IL$82&gt;=$B$6)*('Fluxo de Caixa'!$B$82:$IL$82&lt;=$C$6)*'Fluxo de Caixa'!$B$135:$IL$135)</f>
        <v>0</v>
      </c>
      <c r="M54" s="37">
        <f t="shared" si="4"/>
        <v>0</v>
      </c>
    </row>
    <row r="55" spans="2:13" x14ac:dyDescent="0.3">
      <c r="B55" s="2" t="str">
        <f t="shared" si="7"/>
        <v/>
      </c>
      <c r="C55" s="37" t="str">
        <f>IF(B55="","",SUMIFS(Lançamentos!$F:$F,Lançamentos!$A:$A,"&gt;="&amp;B55,Lançamentos!$A:$A,"&lt;="&amp;MIN($C$6,IF($D$6="Dia",B55,IF($D$6="Semana",B55+6,IF($D$6="Mês",EOMONTH(B55,0),DATE(YEAR(B55),12,31))))),Lançamentos!$G:$G,IF($E$6="Todos","*",$E$6),Lançamentos!$D:$D,"Entrada"))</f>
        <v/>
      </c>
      <c r="D55" s="37" t="str" cm="1">
        <f t="array" ref="D55">IF(B55="","",SUMPRODUCT(('Fluxo de Caixa'!$B$82:$IL$82&gt;=B55)*('Fluxo de Caixa'!$B$82:$IL$82&lt;=MIN($C$6,IF($D$6="Dia",B55,IF($D$6="Semana",B55+6,IF($D$6="Mês",EOMONTH(B55,0),DATE(YEAR(B55),12,31))))))*'Fluxo de Caixa'!$B$96:$IL$96))</f>
        <v/>
      </c>
      <c r="E55" s="37" t="str">
        <f>IF(B55="","",SUMIFS(Lançamentos!$F:$F,Lançamentos!$A:$A,"&gt;="&amp;B55,Lançamentos!$A:$A,"&lt;="&amp;MIN($C$6,IF($D$6="Dia",B55,IF($D$6="Semana",B55+6,IF($D$6="Mês",EOMONTH(B55,0),DATE(YEAR(B55),12,31))))),Lançamentos!$G:$G,IF($E$6="Todos","*",$E$6),Lançamentos!$D:$D,"Saída"))</f>
        <v/>
      </c>
      <c r="F55" s="37" t="str" cm="1">
        <f t="array" ref="F55">IF(B55="","",SUMPRODUCT(('Fluxo de Caixa'!$B$82:$IL$82&gt;=B55)*('Fluxo de Caixa'!$B$82:$IL$82&lt;=MIN($C$6,IF($D$6="Dia",B55,IF($D$6="Semana",B55+6,IF($D$6="Mês",EOMONTH(B55,0),DATE(YEAR(B55),12,31))))))*'Fluxo de Caixa'!$B$140:$IL$140))</f>
        <v/>
      </c>
      <c r="G55" s="37" t="str">
        <f t="shared" si="5"/>
        <v/>
      </c>
      <c r="H55" s="61" t="str">
        <f t="shared" si="6"/>
        <v/>
      </c>
      <c r="J55" t="s">
        <v>111</v>
      </c>
      <c r="K55" s="37">
        <f>SUMIFS(Lançamentos!$F:$F,Lançamentos!$A:$A,"&gt;="&amp;$B$6,Lançamentos!$A:$A,"&lt;="&amp;$C$6,Lançamentos!$C:$C,J55,Lançamentos!$G:$G,IF($E$6="Todos","*",$E$6))</f>
        <v>0</v>
      </c>
      <c r="L55" s="37" cm="1">
        <f t="array" ref="L55">SUMPRODUCT(('Fluxo de Caixa'!$B$82:$IL$82&gt;=$B$6)*('Fluxo de Caixa'!$B$82:$IL$82&lt;=$C$6)*'Fluxo de Caixa'!$B$136:$IL$136)</f>
        <v>0</v>
      </c>
      <c r="M55" s="37">
        <f t="shared" si="4"/>
        <v>0</v>
      </c>
    </row>
    <row r="56" spans="2:13" x14ac:dyDescent="0.3">
      <c r="B56" s="2" t="str">
        <f t="shared" si="7"/>
        <v/>
      </c>
      <c r="C56" s="37" t="str">
        <f>IF(B56="","",SUMIFS(Lançamentos!$F:$F,Lançamentos!$A:$A,"&gt;="&amp;B56,Lançamentos!$A:$A,"&lt;="&amp;MIN($C$6,IF($D$6="Dia",B56,IF($D$6="Semana",B56+6,IF($D$6="Mês",EOMONTH(B56,0),DATE(YEAR(B56),12,31))))),Lançamentos!$G:$G,IF($E$6="Todos","*",$E$6),Lançamentos!$D:$D,"Entrada"))</f>
        <v/>
      </c>
      <c r="D56" s="37" t="str" cm="1">
        <f t="array" ref="D56">IF(B56="","",SUMPRODUCT(('Fluxo de Caixa'!$B$82:$IL$82&gt;=B56)*('Fluxo de Caixa'!$B$82:$IL$82&lt;=MIN($C$6,IF($D$6="Dia",B56,IF($D$6="Semana",B56+6,IF($D$6="Mês",EOMONTH(B56,0),DATE(YEAR(B56),12,31))))))*'Fluxo de Caixa'!$B$96:$IL$96))</f>
        <v/>
      </c>
      <c r="E56" s="37" t="str">
        <f>IF(B56="","",SUMIFS(Lançamentos!$F:$F,Lançamentos!$A:$A,"&gt;="&amp;B56,Lançamentos!$A:$A,"&lt;="&amp;MIN($C$6,IF($D$6="Dia",B56,IF($D$6="Semana",B56+6,IF($D$6="Mês",EOMONTH(B56,0),DATE(YEAR(B56),12,31))))),Lançamentos!$G:$G,IF($E$6="Todos","*",$E$6),Lançamentos!$D:$D,"Saída"))</f>
        <v/>
      </c>
      <c r="F56" s="37" t="str" cm="1">
        <f t="array" ref="F56">IF(B56="","",SUMPRODUCT(('Fluxo de Caixa'!$B$82:$IL$82&gt;=B56)*('Fluxo de Caixa'!$B$82:$IL$82&lt;=MIN($C$6,IF($D$6="Dia",B56,IF($D$6="Semana",B56+6,IF($D$6="Mês",EOMONTH(B56,0),DATE(YEAR(B56),12,31))))))*'Fluxo de Caixa'!$B$140:$IL$140))</f>
        <v/>
      </c>
      <c r="G56" s="37" t="str">
        <f t="shared" si="5"/>
        <v/>
      </c>
      <c r="H56" s="61" t="str">
        <f t="shared" si="6"/>
        <v/>
      </c>
      <c r="J56" t="s">
        <v>112</v>
      </c>
      <c r="K56" s="37">
        <f>SUMIFS(Lançamentos!$F:$F,Lançamentos!$A:$A,"&gt;="&amp;$B$6,Lançamentos!$A:$A,"&lt;="&amp;$C$6,Lançamentos!$C:$C,J56,Lançamentos!$G:$G,IF($E$6="Todos","*",$E$6))</f>
        <v>0</v>
      </c>
      <c r="L56" s="37" cm="1">
        <f t="array" ref="L56">SUMPRODUCT(('Fluxo de Caixa'!$B$82:$IL$82&gt;=$B$6)*('Fluxo de Caixa'!$B$82:$IL$82&lt;=$C$6)*'Fluxo de Caixa'!$B$137:$IL$137)</f>
        <v>0</v>
      </c>
      <c r="M56" s="37">
        <f t="shared" si="4"/>
        <v>0</v>
      </c>
    </row>
    <row r="57" spans="2:13" x14ac:dyDescent="0.3">
      <c r="B57" s="2" t="str">
        <f t="shared" si="7"/>
        <v/>
      </c>
      <c r="C57" s="37" t="str">
        <f>IF(B57="","",SUMIFS(Lançamentos!$F:$F,Lançamentos!$A:$A,"&gt;="&amp;B57,Lançamentos!$A:$A,"&lt;="&amp;MIN($C$6,IF($D$6="Dia",B57,IF($D$6="Semana",B57+6,IF($D$6="Mês",EOMONTH(B57,0),DATE(YEAR(B57),12,31))))),Lançamentos!$G:$G,IF($E$6="Todos","*",$E$6),Lançamentos!$D:$D,"Entrada"))</f>
        <v/>
      </c>
      <c r="D57" s="37" t="str" cm="1">
        <f t="array" ref="D57">IF(B57="","",SUMPRODUCT(('Fluxo de Caixa'!$B$82:$IL$82&gt;=B57)*('Fluxo de Caixa'!$B$82:$IL$82&lt;=MIN($C$6,IF($D$6="Dia",B57,IF($D$6="Semana",B57+6,IF($D$6="Mês",EOMONTH(B57,0),DATE(YEAR(B57),12,31))))))*'Fluxo de Caixa'!$B$96:$IL$96))</f>
        <v/>
      </c>
      <c r="E57" s="37" t="str">
        <f>IF(B57="","",SUMIFS(Lançamentos!$F:$F,Lançamentos!$A:$A,"&gt;="&amp;B57,Lançamentos!$A:$A,"&lt;="&amp;MIN($C$6,IF($D$6="Dia",B57,IF($D$6="Semana",B57+6,IF($D$6="Mês",EOMONTH(B57,0),DATE(YEAR(B57),12,31))))),Lançamentos!$G:$G,IF($E$6="Todos","*",$E$6),Lançamentos!$D:$D,"Saída"))</f>
        <v/>
      </c>
      <c r="F57" s="37" t="str" cm="1">
        <f t="array" ref="F57">IF(B57="","",SUMPRODUCT(('Fluxo de Caixa'!$B$82:$IL$82&gt;=B57)*('Fluxo de Caixa'!$B$82:$IL$82&lt;=MIN($C$6,IF($D$6="Dia",B57,IF($D$6="Semana",B57+6,IF($D$6="Mês",EOMONTH(B57,0),DATE(YEAR(B57),12,31))))))*'Fluxo de Caixa'!$B$140:$IL$140))</f>
        <v/>
      </c>
      <c r="G57" s="37" t="str">
        <f t="shared" si="5"/>
        <v/>
      </c>
      <c r="H57" s="61" t="str">
        <f t="shared" si="6"/>
        <v/>
      </c>
      <c r="J57" t="s">
        <v>113</v>
      </c>
      <c r="K57" s="37">
        <f>SUMIFS(Lançamentos!$F:$F,Lançamentos!$A:$A,"&gt;="&amp;$B$6,Lançamentos!$A:$A,"&lt;="&amp;$C$6,Lançamentos!$C:$C,J57,Lançamentos!$G:$G,IF($E$6="Todos","*",$E$6))</f>
        <v>0</v>
      </c>
      <c r="L57" s="37" cm="1">
        <f t="array" ref="L57">SUMPRODUCT(('Fluxo de Caixa'!$B$82:$IL$82&gt;=$B$6)*('Fluxo de Caixa'!$B$82:$IL$82&lt;=$C$6)*'Fluxo de Caixa'!$B$138:$IL$138)</f>
        <v>0</v>
      </c>
      <c r="M57" s="37">
        <f t="shared" si="4"/>
        <v>0</v>
      </c>
    </row>
    <row r="58" spans="2:13" x14ac:dyDescent="0.3">
      <c r="B58" s="2" t="str">
        <f t="shared" si="7"/>
        <v/>
      </c>
      <c r="C58" s="37" t="str">
        <f>IF(B58="","",SUMIFS(Lançamentos!$F:$F,Lançamentos!$A:$A,"&gt;="&amp;B58,Lançamentos!$A:$A,"&lt;="&amp;MIN($C$6,IF($D$6="Dia",B58,IF($D$6="Semana",B58+6,IF($D$6="Mês",EOMONTH(B58,0),DATE(YEAR(B58),12,31))))),Lançamentos!$G:$G,IF($E$6="Todos","*",$E$6),Lançamentos!$D:$D,"Entrada"))</f>
        <v/>
      </c>
      <c r="D58" s="37" t="str" cm="1">
        <f t="array" ref="D58">IF(B58="","",SUMPRODUCT(('Fluxo de Caixa'!$B$82:$IL$82&gt;=B58)*('Fluxo de Caixa'!$B$82:$IL$82&lt;=MIN($C$6,IF($D$6="Dia",B58,IF($D$6="Semana",B58+6,IF($D$6="Mês",EOMONTH(B58,0),DATE(YEAR(B58),12,31))))))*'Fluxo de Caixa'!$B$96:$IL$96))</f>
        <v/>
      </c>
      <c r="E58" s="37" t="str">
        <f>IF(B58="","",SUMIFS(Lançamentos!$F:$F,Lançamentos!$A:$A,"&gt;="&amp;B58,Lançamentos!$A:$A,"&lt;="&amp;MIN($C$6,IF($D$6="Dia",B58,IF($D$6="Semana",B58+6,IF($D$6="Mês",EOMONTH(B58,0),DATE(YEAR(B58),12,31))))),Lançamentos!$G:$G,IF($E$6="Todos","*",$E$6),Lançamentos!$D:$D,"Saída"))</f>
        <v/>
      </c>
      <c r="F58" s="37" t="str" cm="1">
        <f t="array" ref="F58">IF(B58="","",SUMPRODUCT(('Fluxo de Caixa'!$B$82:$IL$82&gt;=B58)*('Fluxo de Caixa'!$B$82:$IL$82&lt;=MIN($C$6,IF($D$6="Dia",B58,IF($D$6="Semana",B58+6,IF($D$6="Mês",EOMONTH(B58,0),DATE(YEAR(B58),12,31))))))*'Fluxo de Caixa'!$B$140:$IL$140))</f>
        <v/>
      </c>
      <c r="G58" s="37" t="str">
        <f t="shared" si="5"/>
        <v/>
      </c>
      <c r="H58" s="61" t="str">
        <f t="shared" si="6"/>
        <v/>
      </c>
      <c r="J58" t="s">
        <v>114</v>
      </c>
      <c r="K58" s="37">
        <f>SUMIFS(Lançamentos!$F:$F,Lançamentos!$A:$A,"&gt;="&amp;$B$6,Lançamentos!$A:$A,"&lt;="&amp;$C$6,Lançamentos!$C:$C,J58,Lançamentos!$G:$G,IF($E$6="Todos","*",$E$6))</f>
        <v>0</v>
      </c>
      <c r="L58" s="37" cm="1">
        <f t="array" ref="L58">SUMPRODUCT(('Fluxo de Caixa'!$B$82:$IL$82&gt;=$B$6)*('Fluxo de Caixa'!$B$82:$IL$82&lt;=$C$6)*'Fluxo de Caixa'!$B$139:$IL$139)</f>
        <v>0</v>
      </c>
      <c r="M58" s="37">
        <f t="shared" si="4"/>
        <v>0</v>
      </c>
    </row>
    <row r="59" spans="2:13" x14ac:dyDescent="0.3">
      <c r="B59" s="2" t="str">
        <f t="shared" si="7"/>
        <v/>
      </c>
      <c r="C59" s="37" t="str">
        <f>IF(B59="","",SUMIFS(Lançamentos!$F:$F,Lançamentos!$A:$A,"&gt;="&amp;B59,Lançamentos!$A:$A,"&lt;="&amp;MIN($C$6,IF($D$6="Dia",B59,IF($D$6="Semana",B59+6,IF($D$6="Mês",EOMONTH(B59,0),DATE(YEAR(B59),12,31))))),Lançamentos!$G:$G,IF($E$6="Todos","*",$E$6),Lançamentos!$D:$D,"Entrada"))</f>
        <v/>
      </c>
      <c r="D59" s="37" t="str" cm="1">
        <f t="array" ref="D59">IF(B59="","",SUMPRODUCT(('Fluxo de Caixa'!$B$82:$IL$82&gt;=B59)*('Fluxo de Caixa'!$B$82:$IL$82&lt;=MIN($C$6,IF($D$6="Dia",B59,IF($D$6="Semana",B59+6,IF($D$6="Mês",EOMONTH(B59,0),DATE(YEAR(B59),12,31))))))*'Fluxo de Caixa'!$B$96:$IL$96))</f>
        <v/>
      </c>
      <c r="E59" s="37" t="str">
        <f>IF(B59="","",SUMIFS(Lançamentos!$F:$F,Lançamentos!$A:$A,"&gt;="&amp;B59,Lançamentos!$A:$A,"&lt;="&amp;MIN($C$6,IF($D$6="Dia",B59,IF($D$6="Semana",B59+6,IF($D$6="Mês",EOMONTH(B59,0),DATE(YEAR(B59),12,31))))),Lançamentos!$G:$G,IF($E$6="Todos","*",$E$6),Lançamentos!$D:$D,"Saída"))</f>
        <v/>
      </c>
      <c r="F59" s="37" t="str" cm="1">
        <f t="array" ref="F59">IF(B59="","",SUMPRODUCT(('Fluxo de Caixa'!$B$82:$IL$82&gt;=B59)*('Fluxo de Caixa'!$B$82:$IL$82&lt;=MIN($C$6,IF($D$6="Dia",B59,IF($D$6="Semana",B59+6,IF($D$6="Mês",EOMONTH(B59,0),DATE(YEAR(B59),12,31))))))*'Fluxo de Caixa'!$B$140:$IL$140))</f>
        <v/>
      </c>
      <c r="G59" s="37" t="str">
        <f t="shared" si="5"/>
        <v/>
      </c>
      <c r="H59" s="61" t="str">
        <f t="shared" si="6"/>
        <v/>
      </c>
    </row>
    <row r="60" spans="2:13" x14ac:dyDescent="0.3">
      <c r="B60" s="2" t="str">
        <f t="shared" si="7"/>
        <v/>
      </c>
      <c r="C60" s="37" t="str">
        <f>IF(B60="","",SUMIFS(Lançamentos!$F:$F,Lançamentos!$A:$A,"&gt;="&amp;B60,Lançamentos!$A:$A,"&lt;="&amp;MIN($C$6,IF($D$6="Dia",B60,IF($D$6="Semana",B60+6,IF($D$6="Mês",EOMONTH(B60,0),DATE(YEAR(B60),12,31))))),Lançamentos!$G:$G,IF($E$6="Todos","*",$E$6),Lançamentos!$D:$D,"Entrada"))</f>
        <v/>
      </c>
      <c r="D60" s="37" t="str" cm="1">
        <f t="array" ref="D60">IF(B60="","",SUMPRODUCT(('Fluxo de Caixa'!$B$82:$IL$82&gt;=B60)*('Fluxo de Caixa'!$B$82:$IL$82&lt;=MIN($C$6,IF($D$6="Dia",B60,IF($D$6="Semana",B60+6,IF($D$6="Mês",EOMONTH(B60,0),DATE(YEAR(B60),12,31))))))*'Fluxo de Caixa'!$B$96:$IL$96))</f>
        <v/>
      </c>
      <c r="E60" s="37" t="str">
        <f>IF(B60="","",SUMIFS(Lançamentos!$F:$F,Lançamentos!$A:$A,"&gt;="&amp;B60,Lançamentos!$A:$A,"&lt;="&amp;MIN($C$6,IF($D$6="Dia",B60,IF($D$6="Semana",B60+6,IF($D$6="Mês",EOMONTH(B60,0),DATE(YEAR(B60),12,31))))),Lançamentos!$G:$G,IF($E$6="Todos","*",$E$6),Lançamentos!$D:$D,"Saída"))</f>
        <v/>
      </c>
      <c r="F60" s="37" t="str" cm="1">
        <f t="array" ref="F60">IF(B60="","",SUMPRODUCT(('Fluxo de Caixa'!$B$82:$IL$82&gt;=B60)*('Fluxo de Caixa'!$B$82:$IL$82&lt;=MIN($C$6,IF($D$6="Dia",B60,IF($D$6="Semana",B60+6,IF($D$6="Mês",EOMONTH(B60,0),DATE(YEAR(B60),12,31))))))*'Fluxo de Caixa'!$B$140:$IL$140))</f>
        <v/>
      </c>
      <c r="G60" s="37" t="str">
        <f t="shared" si="5"/>
        <v/>
      </c>
      <c r="H60" s="61" t="str">
        <f t="shared" si="6"/>
        <v/>
      </c>
    </row>
    <row r="61" spans="2:13" x14ac:dyDescent="0.3">
      <c r="B61" s="2" t="str">
        <f t="shared" si="7"/>
        <v/>
      </c>
      <c r="C61" s="37" t="str">
        <f>IF(B61="","",SUMIFS(Lançamentos!$F:$F,Lançamentos!$A:$A,"&gt;="&amp;B61,Lançamentos!$A:$A,"&lt;="&amp;MIN($C$6,IF($D$6="Dia",B61,IF($D$6="Semana",B61+6,IF($D$6="Mês",EOMONTH(B61,0),DATE(YEAR(B61),12,31))))),Lançamentos!$G:$G,IF($E$6="Todos","*",$E$6),Lançamentos!$D:$D,"Entrada"))</f>
        <v/>
      </c>
      <c r="D61" s="37" t="str" cm="1">
        <f t="array" ref="D61">IF(B61="","",SUMPRODUCT(('Fluxo de Caixa'!$B$82:$IL$82&gt;=B61)*('Fluxo de Caixa'!$B$82:$IL$82&lt;=MIN($C$6,IF($D$6="Dia",B61,IF($D$6="Semana",B61+6,IF($D$6="Mês",EOMONTH(B61,0),DATE(YEAR(B61),12,31))))))*'Fluxo de Caixa'!$B$96:$IL$96))</f>
        <v/>
      </c>
      <c r="E61" s="37" t="str">
        <f>IF(B61="","",SUMIFS(Lançamentos!$F:$F,Lançamentos!$A:$A,"&gt;="&amp;B61,Lançamentos!$A:$A,"&lt;="&amp;MIN($C$6,IF($D$6="Dia",B61,IF($D$6="Semana",B61+6,IF($D$6="Mês",EOMONTH(B61,0),DATE(YEAR(B61),12,31))))),Lançamentos!$G:$G,IF($E$6="Todos","*",$E$6),Lançamentos!$D:$D,"Saída"))</f>
        <v/>
      </c>
      <c r="F61" s="37" t="str" cm="1">
        <f t="array" ref="F61">IF(B61="","",SUMPRODUCT(('Fluxo de Caixa'!$B$82:$IL$82&gt;=B61)*('Fluxo de Caixa'!$B$82:$IL$82&lt;=MIN($C$6,IF($D$6="Dia",B61,IF($D$6="Semana",B61+6,IF($D$6="Mês",EOMONTH(B61,0),DATE(YEAR(B61),12,31))))))*'Fluxo de Caixa'!$B$140:$IL$140))</f>
        <v/>
      </c>
      <c r="G61" s="37" t="str">
        <f t="shared" si="5"/>
        <v/>
      </c>
      <c r="H61" s="61" t="str">
        <f t="shared" si="6"/>
        <v/>
      </c>
    </row>
    <row r="62" spans="2:13" x14ac:dyDescent="0.3">
      <c r="B62" s="2" t="str">
        <f t="shared" si="7"/>
        <v/>
      </c>
      <c r="C62" s="37" t="str">
        <f>IF(B62="","",SUMIFS(Lançamentos!$F:$F,Lançamentos!$A:$A,"&gt;="&amp;B62,Lançamentos!$A:$A,"&lt;="&amp;MIN($C$6,IF($D$6="Dia",B62,IF($D$6="Semana",B62+6,IF($D$6="Mês",EOMONTH(B62,0),DATE(YEAR(B62),12,31))))),Lançamentos!$G:$G,IF($E$6="Todos","*",$E$6),Lançamentos!$D:$D,"Entrada"))</f>
        <v/>
      </c>
      <c r="D62" s="37" t="str" cm="1">
        <f t="array" ref="D62">IF(B62="","",SUMPRODUCT(('Fluxo de Caixa'!$B$82:$IL$82&gt;=B62)*('Fluxo de Caixa'!$B$82:$IL$82&lt;=MIN($C$6,IF($D$6="Dia",B62,IF($D$6="Semana",B62+6,IF($D$6="Mês",EOMONTH(B62,0),DATE(YEAR(B62),12,31))))))*'Fluxo de Caixa'!$B$96:$IL$96))</f>
        <v/>
      </c>
      <c r="E62" s="37" t="str">
        <f>IF(B62="","",SUMIFS(Lançamentos!$F:$F,Lançamentos!$A:$A,"&gt;="&amp;B62,Lançamentos!$A:$A,"&lt;="&amp;MIN($C$6,IF($D$6="Dia",B62,IF($D$6="Semana",B62+6,IF($D$6="Mês",EOMONTH(B62,0),DATE(YEAR(B62),12,31))))),Lançamentos!$G:$G,IF($E$6="Todos","*",$E$6),Lançamentos!$D:$D,"Saída"))</f>
        <v/>
      </c>
      <c r="F62" s="37" t="str" cm="1">
        <f t="array" ref="F62">IF(B62="","",SUMPRODUCT(('Fluxo de Caixa'!$B$82:$IL$82&gt;=B62)*('Fluxo de Caixa'!$B$82:$IL$82&lt;=MIN($C$6,IF($D$6="Dia",B62,IF($D$6="Semana",B62+6,IF($D$6="Mês",EOMONTH(B62,0),DATE(YEAR(B62),12,31))))))*'Fluxo de Caixa'!$B$140:$IL$140))</f>
        <v/>
      </c>
      <c r="G62" s="37" t="str">
        <f t="shared" si="5"/>
        <v/>
      </c>
      <c r="H62" s="61" t="str">
        <f t="shared" si="6"/>
        <v/>
      </c>
    </row>
    <row r="63" spans="2:13" x14ac:dyDescent="0.3">
      <c r="B63" s="2" t="str">
        <f t="shared" si="7"/>
        <v/>
      </c>
      <c r="C63" s="37" t="str">
        <f>IF(B63="","",SUMIFS(Lançamentos!$F:$F,Lançamentos!$A:$A,"&gt;="&amp;B63,Lançamentos!$A:$A,"&lt;="&amp;MIN($C$6,IF($D$6="Dia",B63,IF($D$6="Semana",B63+6,IF($D$6="Mês",EOMONTH(B63,0),DATE(YEAR(B63),12,31))))),Lançamentos!$G:$G,IF($E$6="Todos","*",$E$6),Lançamentos!$D:$D,"Entrada"))</f>
        <v/>
      </c>
      <c r="D63" s="37" t="str" cm="1">
        <f t="array" ref="D63">IF(B63="","",SUMPRODUCT(('Fluxo de Caixa'!$B$82:$IL$82&gt;=B63)*('Fluxo de Caixa'!$B$82:$IL$82&lt;=MIN($C$6,IF($D$6="Dia",B63,IF($D$6="Semana",B63+6,IF($D$6="Mês",EOMONTH(B63,0),DATE(YEAR(B63),12,31))))))*'Fluxo de Caixa'!$B$96:$IL$96))</f>
        <v/>
      </c>
      <c r="E63" s="37" t="str">
        <f>IF(B63="","",SUMIFS(Lançamentos!$F:$F,Lançamentos!$A:$A,"&gt;="&amp;B63,Lançamentos!$A:$A,"&lt;="&amp;MIN($C$6,IF($D$6="Dia",B63,IF($D$6="Semana",B63+6,IF($D$6="Mês",EOMONTH(B63,0),DATE(YEAR(B63),12,31))))),Lançamentos!$G:$G,IF($E$6="Todos","*",$E$6),Lançamentos!$D:$D,"Saída"))</f>
        <v/>
      </c>
      <c r="F63" s="37" t="str" cm="1">
        <f t="array" ref="F63">IF(B63="","",SUMPRODUCT(('Fluxo de Caixa'!$B$82:$IL$82&gt;=B63)*('Fluxo de Caixa'!$B$82:$IL$82&lt;=MIN($C$6,IF($D$6="Dia",B63,IF($D$6="Semana",B63+6,IF($D$6="Mês",EOMONTH(B63,0),DATE(YEAR(B63),12,31))))))*'Fluxo de Caixa'!$B$140:$IL$140))</f>
        <v/>
      </c>
      <c r="G63" s="37" t="str">
        <f t="shared" si="5"/>
        <v/>
      </c>
      <c r="H63" s="61" t="str">
        <f t="shared" si="6"/>
        <v/>
      </c>
    </row>
    <row r="64" spans="2:13" x14ac:dyDescent="0.3">
      <c r="B64" s="2" t="str">
        <f t="shared" si="7"/>
        <v/>
      </c>
      <c r="C64" s="37" t="str">
        <f>IF(B64="","",SUMIFS(Lançamentos!$F:$F,Lançamentos!$A:$A,"&gt;="&amp;B64,Lançamentos!$A:$A,"&lt;="&amp;MIN($C$6,IF($D$6="Dia",B64,IF($D$6="Semana",B64+6,IF($D$6="Mês",EOMONTH(B64,0),DATE(YEAR(B64),12,31))))),Lançamentos!$G:$G,IF($E$6="Todos","*",$E$6),Lançamentos!$D:$D,"Entrada"))</f>
        <v/>
      </c>
      <c r="D64" s="37" t="str" cm="1">
        <f t="array" ref="D64">IF(B64="","",SUMPRODUCT(('Fluxo de Caixa'!$B$82:$IL$82&gt;=B64)*('Fluxo de Caixa'!$B$82:$IL$82&lt;=MIN($C$6,IF($D$6="Dia",B64,IF($D$6="Semana",B64+6,IF($D$6="Mês",EOMONTH(B64,0),DATE(YEAR(B64),12,31))))))*'Fluxo de Caixa'!$B$96:$IL$96))</f>
        <v/>
      </c>
      <c r="E64" s="37" t="str">
        <f>IF(B64="","",SUMIFS(Lançamentos!$F:$F,Lançamentos!$A:$A,"&gt;="&amp;B64,Lançamentos!$A:$A,"&lt;="&amp;MIN($C$6,IF($D$6="Dia",B64,IF($D$6="Semana",B64+6,IF($D$6="Mês",EOMONTH(B64,0),DATE(YEAR(B64),12,31))))),Lançamentos!$G:$G,IF($E$6="Todos","*",$E$6),Lançamentos!$D:$D,"Saída"))</f>
        <v/>
      </c>
      <c r="F64" s="37" t="str" cm="1">
        <f t="array" ref="F64">IF(B64="","",SUMPRODUCT(('Fluxo de Caixa'!$B$82:$IL$82&gt;=B64)*('Fluxo de Caixa'!$B$82:$IL$82&lt;=MIN($C$6,IF($D$6="Dia",B64,IF($D$6="Semana",B64+6,IF($D$6="Mês",EOMONTH(B64,0),DATE(YEAR(B64),12,31))))))*'Fluxo de Caixa'!$B$140:$IL$140))</f>
        <v/>
      </c>
      <c r="G64" s="37" t="str">
        <f t="shared" si="5"/>
        <v/>
      </c>
      <c r="H64" s="61" t="str">
        <f t="shared" si="6"/>
        <v/>
      </c>
    </row>
    <row r="65" spans="2:8" x14ac:dyDescent="0.3">
      <c r="B65" s="2" t="str">
        <f t="shared" si="7"/>
        <v/>
      </c>
      <c r="C65" s="37" t="str">
        <f>IF(B65="","",SUMIFS(Lançamentos!$F:$F,Lançamentos!$A:$A,"&gt;="&amp;B65,Lançamentos!$A:$A,"&lt;="&amp;MIN($C$6,IF($D$6="Dia",B65,IF($D$6="Semana",B65+6,IF($D$6="Mês",EOMONTH(B65,0),DATE(YEAR(B65),12,31))))),Lançamentos!$G:$G,IF($E$6="Todos","*",$E$6),Lançamentos!$D:$D,"Entrada"))</f>
        <v/>
      </c>
      <c r="D65" s="37" t="str" cm="1">
        <f t="array" ref="D65">IF(B65="","",SUMPRODUCT(('Fluxo de Caixa'!$B$82:$IL$82&gt;=B65)*('Fluxo de Caixa'!$B$82:$IL$82&lt;=MIN($C$6,IF($D$6="Dia",B65,IF($D$6="Semana",B65+6,IF($D$6="Mês",EOMONTH(B65,0),DATE(YEAR(B65),12,31))))))*'Fluxo de Caixa'!$B$96:$IL$96))</f>
        <v/>
      </c>
      <c r="E65" s="37" t="str">
        <f>IF(B65="","",SUMIFS(Lançamentos!$F:$F,Lançamentos!$A:$A,"&gt;="&amp;B65,Lançamentos!$A:$A,"&lt;="&amp;MIN($C$6,IF($D$6="Dia",B65,IF($D$6="Semana",B65+6,IF($D$6="Mês",EOMONTH(B65,0),DATE(YEAR(B65),12,31))))),Lançamentos!$G:$G,IF($E$6="Todos","*",$E$6),Lançamentos!$D:$D,"Saída"))</f>
        <v/>
      </c>
      <c r="F65" s="37" t="str" cm="1">
        <f t="array" ref="F65">IF(B65="","",SUMPRODUCT(('Fluxo de Caixa'!$B$82:$IL$82&gt;=B65)*('Fluxo de Caixa'!$B$82:$IL$82&lt;=MIN($C$6,IF($D$6="Dia",B65,IF($D$6="Semana",B65+6,IF($D$6="Mês",EOMONTH(B65,0),DATE(YEAR(B65),12,31))))))*'Fluxo de Caixa'!$B$140:$IL$140))</f>
        <v/>
      </c>
      <c r="G65" s="37" t="str">
        <f t="shared" si="5"/>
        <v/>
      </c>
      <c r="H65" s="61" t="str">
        <f t="shared" si="6"/>
        <v/>
      </c>
    </row>
    <row r="66" spans="2:8" x14ac:dyDescent="0.3">
      <c r="B66" s="2" t="str">
        <f t="shared" si="7"/>
        <v/>
      </c>
      <c r="C66" s="37" t="str">
        <f>IF(B66="","",SUMIFS(Lançamentos!$F:$F,Lançamentos!$A:$A,"&gt;="&amp;B66,Lançamentos!$A:$A,"&lt;="&amp;MIN($C$6,IF($D$6="Dia",B66,IF($D$6="Semana",B66+6,IF($D$6="Mês",EOMONTH(B66,0),DATE(YEAR(B66),12,31))))),Lançamentos!$G:$G,IF($E$6="Todos","*",$E$6),Lançamentos!$D:$D,"Entrada"))</f>
        <v/>
      </c>
      <c r="D66" s="37" t="str" cm="1">
        <f t="array" ref="D66">IF(B66="","",SUMPRODUCT(('Fluxo de Caixa'!$B$82:$IL$82&gt;=B66)*('Fluxo de Caixa'!$B$82:$IL$82&lt;=MIN($C$6,IF($D$6="Dia",B66,IF($D$6="Semana",B66+6,IF($D$6="Mês",EOMONTH(B66,0),DATE(YEAR(B66),12,31))))))*'Fluxo de Caixa'!$B$96:$IL$96))</f>
        <v/>
      </c>
      <c r="E66" s="37" t="str">
        <f>IF(B66="","",SUMIFS(Lançamentos!$F:$F,Lançamentos!$A:$A,"&gt;="&amp;B66,Lançamentos!$A:$A,"&lt;="&amp;MIN($C$6,IF($D$6="Dia",B66,IF($D$6="Semana",B66+6,IF($D$6="Mês",EOMONTH(B66,0),DATE(YEAR(B66),12,31))))),Lançamentos!$G:$G,IF($E$6="Todos","*",$E$6),Lançamentos!$D:$D,"Saída"))</f>
        <v/>
      </c>
      <c r="F66" s="37" t="str" cm="1">
        <f t="array" ref="F66">IF(B66="","",SUMPRODUCT(('Fluxo de Caixa'!$B$82:$IL$82&gt;=B66)*('Fluxo de Caixa'!$B$82:$IL$82&lt;=MIN($C$6,IF($D$6="Dia",B66,IF($D$6="Semana",B66+6,IF($D$6="Mês",EOMONTH(B66,0),DATE(YEAR(B66),12,31))))))*'Fluxo de Caixa'!$B$140:$IL$140))</f>
        <v/>
      </c>
      <c r="G66" s="37" t="str">
        <f t="shared" si="5"/>
        <v/>
      </c>
      <c r="H66" s="61" t="str">
        <f t="shared" si="6"/>
        <v/>
      </c>
    </row>
    <row r="67" spans="2:8" x14ac:dyDescent="0.3">
      <c r="B67" s="2" t="str">
        <f t="shared" si="7"/>
        <v/>
      </c>
      <c r="C67" s="37" t="str">
        <f>IF(B67="","",SUMIFS(Lançamentos!$F:$F,Lançamentos!$A:$A,"&gt;="&amp;B67,Lançamentos!$A:$A,"&lt;="&amp;MIN($C$6,IF($D$6="Dia",B67,IF($D$6="Semana",B67+6,IF($D$6="Mês",EOMONTH(B67,0),DATE(YEAR(B67),12,31))))),Lançamentos!$G:$G,IF($E$6="Todos","*",$E$6),Lançamentos!$D:$D,"Entrada"))</f>
        <v/>
      </c>
      <c r="D67" s="37" t="str" cm="1">
        <f t="array" ref="D67">IF(B67="","",SUMPRODUCT(('Fluxo de Caixa'!$B$82:$IL$82&gt;=B67)*('Fluxo de Caixa'!$B$82:$IL$82&lt;=MIN($C$6,IF($D$6="Dia",B67,IF($D$6="Semana",B67+6,IF($D$6="Mês",EOMONTH(B67,0),DATE(YEAR(B67),12,31))))))*'Fluxo de Caixa'!$B$96:$IL$96))</f>
        <v/>
      </c>
      <c r="E67" s="37" t="str">
        <f>IF(B67="","",SUMIFS(Lançamentos!$F:$F,Lançamentos!$A:$A,"&gt;="&amp;B67,Lançamentos!$A:$A,"&lt;="&amp;MIN($C$6,IF($D$6="Dia",B67,IF($D$6="Semana",B67+6,IF($D$6="Mês",EOMONTH(B67,0),DATE(YEAR(B67),12,31))))),Lançamentos!$G:$G,IF($E$6="Todos","*",$E$6),Lançamentos!$D:$D,"Saída"))</f>
        <v/>
      </c>
      <c r="F67" s="37" t="str" cm="1">
        <f t="array" ref="F67">IF(B67="","",SUMPRODUCT(('Fluxo de Caixa'!$B$82:$IL$82&gt;=B67)*('Fluxo de Caixa'!$B$82:$IL$82&lt;=MIN($C$6,IF($D$6="Dia",B67,IF($D$6="Semana",B67+6,IF($D$6="Mês",EOMONTH(B67,0),DATE(YEAR(B67),12,31))))))*'Fluxo de Caixa'!$B$140:$IL$140))</f>
        <v/>
      </c>
      <c r="G67" s="37" t="str">
        <f t="shared" si="5"/>
        <v/>
      </c>
      <c r="H67" s="61" t="str">
        <f t="shared" si="6"/>
        <v/>
      </c>
    </row>
  </sheetData>
  <mergeCells count="4">
    <mergeCell ref="B2:H2"/>
    <mergeCell ref="B4:E4"/>
    <mergeCell ref="B13:H13"/>
    <mergeCell ref="J4:M4"/>
  </mergeCells>
  <dataValidations count="2">
    <dataValidation type="list" allowBlank="1" showInputMessage="1" showErrorMessage="1" sqref="D6" xr:uid="{52326819-A895-4730-B216-28DA3AE6830B}">
      <formula1>"Dia,Semana,Mês,Ano"</formula1>
    </dataValidation>
    <dataValidation type="list" allowBlank="1" showInputMessage="1" showErrorMessage="1" sqref="E6" xr:uid="{1F1390AB-C56D-4063-8FD8-0B12731E66FA}">
      <formula1>"Todos,Banco do Brasil,Itaú,Caixa"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Lançamentos</vt:lpstr>
      <vt:lpstr>Categorias</vt:lpstr>
      <vt:lpstr>DRE</vt:lpstr>
      <vt:lpstr>Fluxo de Caixa</vt:lpstr>
      <vt:lpstr>Dashboard</vt:lpstr>
      <vt:lpstr>Realizado vs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Koyashiki</dc:creator>
  <cp:lastModifiedBy>Gabriel Koyashiki</cp:lastModifiedBy>
  <dcterms:created xsi:type="dcterms:W3CDTF">2026-04-23T16:43:57Z</dcterms:created>
  <dcterms:modified xsi:type="dcterms:W3CDTF">2026-06-09T00:05:56Z</dcterms:modified>
</cp:coreProperties>
</file>