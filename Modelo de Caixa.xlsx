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PyCharmMiscProject\Projetos Empresa\"/>
    </mc:Choice>
  </mc:AlternateContent>
  <xr:revisionPtr revIDLastSave="0" documentId="13_ncr:20001_{AD75EE36-DE42-4EF2-88AF-929EB2D9CD2A}" xr6:coauthVersionLast="47" xr6:coauthVersionMax="47" xr10:uidLastSave="{00000000-0000-0000-0000-000000000000}"/>
  <bookViews>
    <workbookView xWindow="-108" yWindow="-108" windowWidth="23256" windowHeight="12456" activeTab="3" xr2:uid="{18D0DF2D-3C8B-4CF9-A491-4FEFD39E4FB1}"/>
  </bookViews>
  <sheets>
    <sheet name="Lançamentos" sheetId="1" r:id="rId1"/>
    <sheet name="Categorias" sheetId="2" r:id="rId2"/>
    <sheet name="DRE" sheetId="3" r:id="rId3"/>
    <sheet name="Fluxo de Caixa" sheetId="4" r:id="rId4"/>
    <sheet name="Dashboard" sheetId="5" r:id="rId5"/>
    <sheet name="Realizado vs Forecast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L139" i="4" l="1"/>
  <c r="IK139" i="4"/>
  <c r="IJ139" i="4"/>
  <c r="II139" i="4"/>
  <c r="IH139" i="4"/>
  <c r="IG139" i="4"/>
  <c r="IF139" i="4"/>
  <c r="IE139" i="4"/>
  <c r="ID139" i="4"/>
  <c r="IC139" i="4"/>
  <c r="IB139" i="4"/>
  <c r="IA139" i="4"/>
  <c r="HZ139" i="4"/>
  <c r="HY139" i="4"/>
  <c r="HX139" i="4"/>
  <c r="HW139" i="4"/>
  <c r="HV139" i="4"/>
  <c r="HU139" i="4"/>
  <c r="HT139" i="4"/>
  <c r="HS139" i="4"/>
  <c r="HR139" i="4"/>
  <c r="HQ139" i="4"/>
  <c r="HP139" i="4"/>
  <c r="HO139" i="4"/>
  <c r="HN139" i="4"/>
  <c r="HM139" i="4"/>
  <c r="HL139" i="4"/>
  <c r="HK139" i="4"/>
  <c r="HJ139" i="4"/>
  <c r="HI139" i="4"/>
  <c r="HH139" i="4"/>
  <c r="HG139" i="4"/>
  <c r="HF139" i="4"/>
  <c r="HE139" i="4"/>
  <c r="HD139" i="4"/>
  <c r="HC139" i="4"/>
  <c r="HB139" i="4"/>
  <c r="HA139" i="4"/>
  <c r="GZ139" i="4"/>
  <c r="GY139" i="4"/>
  <c r="GX139" i="4"/>
  <c r="GW139" i="4"/>
  <c r="GV139" i="4"/>
  <c r="GU139" i="4"/>
  <c r="GT139" i="4"/>
  <c r="GS139" i="4"/>
  <c r="GR139" i="4"/>
  <c r="GQ139" i="4"/>
  <c r="GP139" i="4"/>
  <c r="GO139" i="4"/>
  <c r="GN139" i="4"/>
  <c r="GM139" i="4"/>
  <c r="GL139" i="4"/>
  <c r="GK139" i="4"/>
  <c r="GJ139" i="4"/>
  <c r="GI139" i="4"/>
  <c r="GH139" i="4"/>
  <c r="GG139" i="4"/>
  <c r="GF139" i="4"/>
  <c r="GE139" i="4"/>
  <c r="GD139" i="4"/>
  <c r="GC139" i="4"/>
  <c r="GB139" i="4"/>
  <c r="GA139" i="4"/>
  <c r="FZ139" i="4"/>
  <c r="FY139" i="4"/>
  <c r="FX139" i="4"/>
  <c r="FW139" i="4"/>
  <c r="FV139" i="4"/>
  <c r="FU139" i="4"/>
  <c r="FT139" i="4"/>
  <c r="FS139" i="4"/>
  <c r="FR139" i="4"/>
  <c r="FQ139" i="4"/>
  <c r="FP139" i="4"/>
  <c r="FO139" i="4"/>
  <c r="FN139" i="4"/>
  <c r="FM139" i="4"/>
  <c r="FL139" i="4"/>
  <c r="FK139" i="4"/>
  <c r="FJ139" i="4"/>
  <c r="FI139" i="4"/>
  <c r="FH139" i="4"/>
  <c r="FG139" i="4"/>
  <c r="FF139" i="4"/>
  <c r="FE139" i="4"/>
  <c r="FD139" i="4"/>
  <c r="FC139" i="4"/>
  <c r="FB139" i="4"/>
  <c r="FA139" i="4"/>
  <c r="EZ139" i="4"/>
  <c r="EY139" i="4"/>
  <c r="EX139" i="4"/>
  <c r="EW139" i="4"/>
  <c r="EV139" i="4"/>
  <c r="EU139" i="4"/>
  <c r="ET139" i="4"/>
  <c r="ES139" i="4"/>
  <c r="ER139" i="4"/>
  <c r="EQ139" i="4"/>
  <c r="EP139" i="4"/>
  <c r="EO139" i="4"/>
  <c r="EN139" i="4"/>
  <c r="EM139" i="4"/>
  <c r="EL139" i="4"/>
  <c r="EK139" i="4"/>
  <c r="EJ139" i="4"/>
  <c r="EI139" i="4"/>
  <c r="EH139" i="4"/>
  <c r="EG139" i="4"/>
  <c r="EF139" i="4"/>
  <c r="EE139" i="4"/>
  <c r="ED139" i="4"/>
  <c r="EC139" i="4"/>
  <c r="EB139" i="4"/>
  <c r="EA139" i="4"/>
  <c r="DZ139" i="4"/>
  <c r="DY139" i="4"/>
  <c r="DX139" i="4"/>
  <c r="DW139" i="4"/>
  <c r="DV139" i="4"/>
  <c r="DU139" i="4"/>
  <c r="DT139" i="4"/>
  <c r="DS139" i="4"/>
  <c r="DR139" i="4"/>
  <c r="DQ139" i="4"/>
  <c r="DP139" i="4"/>
  <c r="DO139" i="4"/>
  <c r="DN139" i="4"/>
  <c r="DM139" i="4"/>
  <c r="DL139" i="4"/>
  <c r="DK139" i="4"/>
  <c r="DJ139" i="4"/>
  <c r="DI139" i="4"/>
  <c r="DH139" i="4"/>
  <c r="DG139" i="4"/>
  <c r="DF139" i="4"/>
  <c r="DE139" i="4"/>
  <c r="DD139" i="4"/>
  <c r="DC139" i="4"/>
  <c r="DB139" i="4"/>
  <c r="DA139" i="4"/>
  <c r="CZ139" i="4"/>
  <c r="CY139" i="4"/>
  <c r="CX139" i="4"/>
  <c r="CW139" i="4"/>
  <c r="CV139" i="4"/>
  <c r="CU139" i="4"/>
  <c r="CT139" i="4"/>
  <c r="CS139" i="4"/>
  <c r="CR139" i="4"/>
  <c r="CQ139" i="4"/>
  <c r="CP139" i="4"/>
  <c r="CO139" i="4"/>
  <c r="CN139" i="4"/>
  <c r="CM139" i="4"/>
  <c r="CL139" i="4"/>
  <c r="CK139" i="4"/>
  <c r="CJ139" i="4"/>
  <c r="CI139" i="4"/>
  <c r="CH139" i="4"/>
  <c r="CG139" i="4"/>
  <c r="CF139" i="4"/>
  <c r="CE139" i="4"/>
  <c r="CD139" i="4"/>
  <c r="CC139" i="4"/>
  <c r="CB139" i="4"/>
  <c r="CA139" i="4"/>
  <c r="BZ139" i="4"/>
  <c r="BY139" i="4"/>
  <c r="BX139" i="4"/>
  <c r="BW139" i="4"/>
  <c r="BV139" i="4"/>
  <c r="BU139" i="4"/>
  <c r="BT139" i="4"/>
  <c r="BS139" i="4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L58" i="6" s="1" a="1"/>
  <c r="L58" i="6" s="1"/>
  <c r="F139" i="4"/>
  <c r="E139" i="4"/>
  <c r="D139" i="4"/>
  <c r="C139" i="4"/>
  <c r="B139" i="4"/>
  <c r="IL138" i="4"/>
  <c r="IK138" i="4"/>
  <c r="IJ138" i="4"/>
  <c r="II138" i="4"/>
  <c r="IH138" i="4"/>
  <c r="IG138" i="4"/>
  <c r="IF138" i="4"/>
  <c r="IE138" i="4"/>
  <c r="ID138" i="4"/>
  <c r="IC138" i="4"/>
  <c r="IB138" i="4"/>
  <c r="IA138" i="4"/>
  <c r="HZ138" i="4"/>
  <c r="HY138" i="4"/>
  <c r="HX138" i="4"/>
  <c r="HW138" i="4"/>
  <c r="HV138" i="4"/>
  <c r="HU138" i="4"/>
  <c r="HT138" i="4"/>
  <c r="HS138" i="4"/>
  <c r="HR138" i="4"/>
  <c r="HQ138" i="4"/>
  <c r="HP138" i="4"/>
  <c r="HO138" i="4"/>
  <c r="HN138" i="4"/>
  <c r="HM138" i="4"/>
  <c r="HL138" i="4"/>
  <c r="HK138" i="4"/>
  <c r="HJ138" i="4"/>
  <c r="HI138" i="4"/>
  <c r="HH138" i="4"/>
  <c r="HG138" i="4"/>
  <c r="HF138" i="4"/>
  <c r="HE138" i="4"/>
  <c r="HD138" i="4"/>
  <c r="HC138" i="4"/>
  <c r="HB138" i="4"/>
  <c r="HA138" i="4"/>
  <c r="GZ138" i="4"/>
  <c r="GY138" i="4"/>
  <c r="GX138" i="4"/>
  <c r="GW138" i="4"/>
  <c r="GV138" i="4"/>
  <c r="GU138" i="4"/>
  <c r="GT138" i="4"/>
  <c r="GS138" i="4"/>
  <c r="GR138" i="4"/>
  <c r="GQ138" i="4"/>
  <c r="GP138" i="4"/>
  <c r="GO138" i="4"/>
  <c r="GN138" i="4"/>
  <c r="GM138" i="4"/>
  <c r="GL138" i="4"/>
  <c r="GK138" i="4"/>
  <c r="GJ138" i="4"/>
  <c r="GI138" i="4"/>
  <c r="GH138" i="4"/>
  <c r="GG138" i="4"/>
  <c r="GF138" i="4"/>
  <c r="GE138" i="4"/>
  <c r="GD138" i="4"/>
  <c r="GC138" i="4"/>
  <c r="GB138" i="4"/>
  <c r="GA138" i="4"/>
  <c r="FZ138" i="4"/>
  <c r="FY138" i="4"/>
  <c r="FX138" i="4"/>
  <c r="FW138" i="4"/>
  <c r="FV138" i="4"/>
  <c r="FU138" i="4"/>
  <c r="FT138" i="4"/>
  <c r="FS138" i="4"/>
  <c r="FR138" i="4"/>
  <c r="FQ138" i="4"/>
  <c r="FP138" i="4"/>
  <c r="FO138" i="4"/>
  <c r="FN138" i="4"/>
  <c r="FM138" i="4"/>
  <c r="FL138" i="4"/>
  <c r="FK138" i="4"/>
  <c r="FJ138" i="4"/>
  <c r="FI138" i="4"/>
  <c r="FH138" i="4"/>
  <c r="FG138" i="4"/>
  <c r="FF138" i="4"/>
  <c r="FE138" i="4"/>
  <c r="FD138" i="4"/>
  <c r="FC138" i="4"/>
  <c r="FB138" i="4"/>
  <c r="FA138" i="4"/>
  <c r="EZ138" i="4"/>
  <c r="EY138" i="4"/>
  <c r="EX138" i="4"/>
  <c r="EW138" i="4"/>
  <c r="EV138" i="4"/>
  <c r="EU138" i="4"/>
  <c r="ET138" i="4"/>
  <c r="ES138" i="4"/>
  <c r="ER138" i="4"/>
  <c r="EQ138" i="4"/>
  <c r="EP138" i="4"/>
  <c r="EO138" i="4"/>
  <c r="EN138" i="4"/>
  <c r="EM138" i="4"/>
  <c r="EL138" i="4"/>
  <c r="EK138" i="4"/>
  <c r="EJ138" i="4"/>
  <c r="EI138" i="4"/>
  <c r="EH138" i="4"/>
  <c r="EG138" i="4"/>
  <c r="EF138" i="4"/>
  <c r="EE138" i="4"/>
  <c r="ED138" i="4"/>
  <c r="EC138" i="4"/>
  <c r="EB138" i="4"/>
  <c r="EA138" i="4"/>
  <c r="DZ138" i="4"/>
  <c r="DY138" i="4"/>
  <c r="DX138" i="4"/>
  <c r="DW138" i="4"/>
  <c r="DV138" i="4"/>
  <c r="DU138" i="4"/>
  <c r="DT138" i="4"/>
  <c r="DS138" i="4"/>
  <c r="DR138" i="4"/>
  <c r="DQ138" i="4"/>
  <c r="DP138" i="4"/>
  <c r="DO138" i="4"/>
  <c r="DN138" i="4"/>
  <c r="DM138" i="4"/>
  <c r="DL138" i="4"/>
  <c r="DK138" i="4"/>
  <c r="DJ138" i="4"/>
  <c r="DI138" i="4"/>
  <c r="DH138" i="4"/>
  <c r="DG138" i="4"/>
  <c r="DF138" i="4"/>
  <c r="DE138" i="4"/>
  <c r="DD138" i="4"/>
  <c r="DC138" i="4"/>
  <c r="DB138" i="4"/>
  <c r="DA138" i="4"/>
  <c r="CZ138" i="4"/>
  <c r="CY138" i="4"/>
  <c r="CX138" i="4"/>
  <c r="CW138" i="4"/>
  <c r="CV138" i="4"/>
  <c r="CU138" i="4"/>
  <c r="CT138" i="4"/>
  <c r="CS138" i="4"/>
  <c r="CR138" i="4"/>
  <c r="CQ138" i="4"/>
  <c r="CP138" i="4"/>
  <c r="CO138" i="4"/>
  <c r="CN138" i="4"/>
  <c r="CM138" i="4"/>
  <c r="CL138" i="4"/>
  <c r="CK138" i="4"/>
  <c r="CJ138" i="4"/>
  <c r="CI138" i="4"/>
  <c r="CH138" i="4"/>
  <c r="CG138" i="4"/>
  <c r="CF138" i="4"/>
  <c r="CE138" i="4"/>
  <c r="CD138" i="4"/>
  <c r="CC138" i="4"/>
  <c r="CB138" i="4"/>
  <c r="CA138" i="4"/>
  <c r="BZ138" i="4"/>
  <c r="BY138" i="4"/>
  <c r="BX138" i="4"/>
  <c r="BW138" i="4"/>
  <c r="BV138" i="4"/>
  <c r="BU138" i="4"/>
  <c r="BT138" i="4"/>
  <c r="BS138" i="4"/>
  <c r="BR138" i="4"/>
  <c r="BQ138" i="4"/>
  <c r="BP138" i="4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L57" i="6" s="1" a="1"/>
  <c r="L57" i="6" s="1"/>
  <c r="C138" i="4"/>
  <c r="B138" i="4"/>
  <c r="IL137" i="4"/>
  <c r="IK137" i="4"/>
  <c r="IJ137" i="4"/>
  <c r="II137" i="4"/>
  <c r="IH137" i="4"/>
  <c r="IG137" i="4"/>
  <c r="IF137" i="4"/>
  <c r="IE137" i="4"/>
  <c r="ID137" i="4"/>
  <c r="IC137" i="4"/>
  <c r="IB137" i="4"/>
  <c r="IA137" i="4"/>
  <c r="HZ137" i="4"/>
  <c r="HY137" i="4"/>
  <c r="HX137" i="4"/>
  <c r="HW137" i="4"/>
  <c r="HV137" i="4"/>
  <c r="HU137" i="4"/>
  <c r="HT137" i="4"/>
  <c r="HS137" i="4"/>
  <c r="HR137" i="4"/>
  <c r="HQ137" i="4"/>
  <c r="HP137" i="4"/>
  <c r="HO137" i="4"/>
  <c r="HN137" i="4"/>
  <c r="HM137" i="4"/>
  <c r="HL137" i="4"/>
  <c r="HK137" i="4"/>
  <c r="HJ137" i="4"/>
  <c r="HI137" i="4"/>
  <c r="HH137" i="4"/>
  <c r="HG137" i="4"/>
  <c r="HF137" i="4"/>
  <c r="HE137" i="4"/>
  <c r="HD137" i="4"/>
  <c r="HC137" i="4"/>
  <c r="HB137" i="4"/>
  <c r="HA137" i="4"/>
  <c r="GZ137" i="4"/>
  <c r="GY137" i="4"/>
  <c r="GX137" i="4"/>
  <c r="GW137" i="4"/>
  <c r="GV137" i="4"/>
  <c r="GU137" i="4"/>
  <c r="GT137" i="4"/>
  <c r="GS137" i="4"/>
  <c r="GR137" i="4"/>
  <c r="GQ137" i="4"/>
  <c r="GP137" i="4"/>
  <c r="GO137" i="4"/>
  <c r="GN137" i="4"/>
  <c r="GM137" i="4"/>
  <c r="GL137" i="4"/>
  <c r="GK137" i="4"/>
  <c r="GJ137" i="4"/>
  <c r="GI137" i="4"/>
  <c r="GH137" i="4"/>
  <c r="GG137" i="4"/>
  <c r="GF137" i="4"/>
  <c r="GE137" i="4"/>
  <c r="GD137" i="4"/>
  <c r="GC137" i="4"/>
  <c r="GB137" i="4"/>
  <c r="GA137" i="4"/>
  <c r="FZ137" i="4"/>
  <c r="FY137" i="4"/>
  <c r="FX137" i="4"/>
  <c r="FW137" i="4"/>
  <c r="FV137" i="4"/>
  <c r="FU137" i="4"/>
  <c r="FT137" i="4"/>
  <c r="FS137" i="4"/>
  <c r="FR137" i="4"/>
  <c r="FQ137" i="4"/>
  <c r="FP137" i="4"/>
  <c r="FO137" i="4"/>
  <c r="FN137" i="4"/>
  <c r="FM137" i="4"/>
  <c r="FL137" i="4"/>
  <c r="FK137" i="4"/>
  <c r="FJ137" i="4"/>
  <c r="FI137" i="4"/>
  <c r="FH137" i="4"/>
  <c r="FG137" i="4"/>
  <c r="FF137" i="4"/>
  <c r="FE137" i="4"/>
  <c r="FD137" i="4"/>
  <c r="FC137" i="4"/>
  <c r="FB137" i="4"/>
  <c r="FA137" i="4"/>
  <c r="EZ137" i="4"/>
  <c r="EY137" i="4"/>
  <c r="EX137" i="4"/>
  <c r="EW137" i="4"/>
  <c r="EV137" i="4"/>
  <c r="EU137" i="4"/>
  <c r="ET137" i="4"/>
  <c r="ES137" i="4"/>
  <c r="ER137" i="4"/>
  <c r="EQ137" i="4"/>
  <c r="EP137" i="4"/>
  <c r="EO137" i="4"/>
  <c r="EN137" i="4"/>
  <c r="EM137" i="4"/>
  <c r="EL137" i="4"/>
  <c r="EK137" i="4"/>
  <c r="EJ137" i="4"/>
  <c r="EI137" i="4"/>
  <c r="EH137" i="4"/>
  <c r="EG137" i="4"/>
  <c r="EF137" i="4"/>
  <c r="EE137" i="4"/>
  <c r="ED137" i="4"/>
  <c r="EC137" i="4"/>
  <c r="EB137" i="4"/>
  <c r="EA137" i="4"/>
  <c r="DZ137" i="4"/>
  <c r="DY137" i="4"/>
  <c r="DX137" i="4"/>
  <c r="DW137" i="4"/>
  <c r="DV137" i="4"/>
  <c r="DU137" i="4"/>
  <c r="DT137" i="4"/>
  <c r="DS137" i="4"/>
  <c r="DR137" i="4"/>
  <c r="DQ137" i="4"/>
  <c r="DP137" i="4"/>
  <c r="DO137" i="4"/>
  <c r="DN137" i="4"/>
  <c r="DM137" i="4"/>
  <c r="DL137" i="4"/>
  <c r="DK137" i="4"/>
  <c r="DJ137" i="4"/>
  <c r="DI137" i="4"/>
  <c r="DH137" i="4"/>
  <c r="DG137" i="4"/>
  <c r="DF137" i="4"/>
  <c r="DE137" i="4"/>
  <c r="DD137" i="4"/>
  <c r="DC137" i="4"/>
  <c r="DB137" i="4"/>
  <c r="DA137" i="4"/>
  <c r="CZ137" i="4"/>
  <c r="CY137" i="4"/>
  <c r="CX137" i="4"/>
  <c r="CW137" i="4"/>
  <c r="CV137" i="4"/>
  <c r="CU137" i="4"/>
  <c r="CT137" i="4"/>
  <c r="CS137" i="4"/>
  <c r="CR137" i="4"/>
  <c r="CQ137" i="4"/>
  <c r="CP137" i="4"/>
  <c r="CO137" i="4"/>
  <c r="CN137" i="4"/>
  <c r="CM137" i="4"/>
  <c r="CL137" i="4"/>
  <c r="CK137" i="4"/>
  <c r="CJ137" i="4"/>
  <c r="CI137" i="4"/>
  <c r="CH137" i="4"/>
  <c r="CG137" i="4"/>
  <c r="CF137" i="4"/>
  <c r="CE137" i="4"/>
  <c r="CD137" i="4"/>
  <c r="CC137" i="4"/>
  <c r="CB137" i="4"/>
  <c r="CA137" i="4"/>
  <c r="BZ137" i="4"/>
  <c r="BY137" i="4"/>
  <c r="BX137" i="4"/>
  <c r="BW137" i="4"/>
  <c r="BV137" i="4"/>
  <c r="BU137" i="4"/>
  <c r="BT137" i="4"/>
  <c r="BS137" i="4"/>
  <c r="BR137" i="4"/>
  <c r="BQ137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IL136" i="4"/>
  <c r="IK136" i="4"/>
  <c r="IJ136" i="4"/>
  <c r="II136" i="4"/>
  <c r="IH136" i="4"/>
  <c r="IG136" i="4"/>
  <c r="IF136" i="4"/>
  <c r="IE136" i="4"/>
  <c r="ID136" i="4"/>
  <c r="IC136" i="4"/>
  <c r="IB136" i="4"/>
  <c r="IA136" i="4"/>
  <c r="HZ136" i="4"/>
  <c r="HY136" i="4"/>
  <c r="HX136" i="4"/>
  <c r="HW136" i="4"/>
  <c r="HV136" i="4"/>
  <c r="HU136" i="4"/>
  <c r="HT136" i="4"/>
  <c r="HS136" i="4"/>
  <c r="HR136" i="4"/>
  <c r="HQ136" i="4"/>
  <c r="HP136" i="4"/>
  <c r="HO136" i="4"/>
  <c r="HN136" i="4"/>
  <c r="HM136" i="4"/>
  <c r="HL136" i="4"/>
  <c r="HK136" i="4"/>
  <c r="HJ136" i="4"/>
  <c r="HI136" i="4"/>
  <c r="HH136" i="4"/>
  <c r="HG136" i="4"/>
  <c r="HF136" i="4"/>
  <c r="HE136" i="4"/>
  <c r="HD136" i="4"/>
  <c r="HC136" i="4"/>
  <c r="HB136" i="4"/>
  <c r="HA136" i="4"/>
  <c r="GZ136" i="4"/>
  <c r="GY136" i="4"/>
  <c r="GX136" i="4"/>
  <c r="GW136" i="4"/>
  <c r="GV136" i="4"/>
  <c r="GU136" i="4"/>
  <c r="GT136" i="4"/>
  <c r="GS136" i="4"/>
  <c r="GR136" i="4"/>
  <c r="GQ136" i="4"/>
  <c r="GP136" i="4"/>
  <c r="GO136" i="4"/>
  <c r="GN136" i="4"/>
  <c r="GM136" i="4"/>
  <c r="GL136" i="4"/>
  <c r="GK136" i="4"/>
  <c r="GJ136" i="4"/>
  <c r="GI136" i="4"/>
  <c r="GH136" i="4"/>
  <c r="GG136" i="4"/>
  <c r="GF136" i="4"/>
  <c r="GE136" i="4"/>
  <c r="GD136" i="4"/>
  <c r="GC136" i="4"/>
  <c r="GB136" i="4"/>
  <c r="GA136" i="4"/>
  <c r="FZ136" i="4"/>
  <c r="FY136" i="4"/>
  <c r="FX136" i="4"/>
  <c r="FW136" i="4"/>
  <c r="FV136" i="4"/>
  <c r="FU136" i="4"/>
  <c r="FT136" i="4"/>
  <c r="FS136" i="4"/>
  <c r="FR136" i="4"/>
  <c r="FQ136" i="4"/>
  <c r="FP136" i="4"/>
  <c r="FO136" i="4"/>
  <c r="FN136" i="4"/>
  <c r="FM136" i="4"/>
  <c r="FL136" i="4"/>
  <c r="FK136" i="4"/>
  <c r="FJ136" i="4"/>
  <c r="FI136" i="4"/>
  <c r="FH136" i="4"/>
  <c r="FG136" i="4"/>
  <c r="FF136" i="4"/>
  <c r="FE136" i="4"/>
  <c r="FD136" i="4"/>
  <c r="FC136" i="4"/>
  <c r="FB136" i="4"/>
  <c r="FA136" i="4"/>
  <c r="EZ136" i="4"/>
  <c r="EY136" i="4"/>
  <c r="EX136" i="4"/>
  <c r="EW136" i="4"/>
  <c r="EV136" i="4"/>
  <c r="EU136" i="4"/>
  <c r="ET136" i="4"/>
  <c r="ES136" i="4"/>
  <c r="ER136" i="4"/>
  <c r="EQ136" i="4"/>
  <c r="EP136" i="4"/>
  <c r="EO136" i="4"/>
  <c r="EN136" i="4"/>
  <c r="EM136" i="4"/>
  <c r="EL136" i="4"/>
  <c r="EK136" i="4"/>
  <c r="EJ136" i="4"/>
  <c r="EI136" i="4"/>
  <c r="EH136" i="4"/>
  <c r="EG136" i="4"/>
  <c r="EF136" i="4"/>
  <c r="EE136" i="4"/>
  <c r="ED136" i="4"/>
  <c r="EC136" i="4"/>
  <c r="EB136" i="4"/>
  <c r="EA136" i="4"/>
  <c r="DZ136" i="4"/>
  <c r="DY136" i="4"/>
  <c r="DX136" i="4"/>
  <c r="DW136" i="4"/>
  <c r="DV136" i="4"/>
  <c r="DU136" i="4"/>
  <c r="DT136" i="4"/>
  <c r="DS136" i="4"/>
  <c r="DR136" i="4"/>
  <c r="DQ136" i="4"/>
  <c r="DP136" i="4"/>
  <c r="DO136" i="4"/>
  <c r="DN136" i="4"/>
  <c r="DM136" i="4"/>
  <c r="DL136" i="4"/>
  <c r="DK136" i="4"/>
  <c r="DJ136" i="4"/>
  <c r="DI136" i="4"/>
  <c r="DH136" i="4"/>
  <c r="DG136" i="4"/>
  <c r="DF136" i="4"/>
  <c r="DE136" i="4"/>
  <c r="DD136" i="4"/>
  <c r="DC136" i="4"/>
  <c r="DB136" i="4"/>
  <c r="DA136" i="4"/>
  <c r="CZ136" i="4"/>
  <c r="CY136" i="4"/>
  <c r="CX136" i="4"/>
  <c r="CW136" i="4"/>
  <c r="CV136" i="4"/>
  <c r="CU136" i="4"/>
  <c r="CT136" i="4"/>
  <c r="CS136" i="4"/>
  <c r="CR136" i="4"/>
  <c r="CQ136" i="4"/>
  <c r="CP136" i="4"/>
  <c r="CO136" i="4"/>
  <c r="CN136" i="4"/>
  <c r="CM136" i="4"/>
  <c r="CL136" i="4"/>
  <c r="CK136" i="4"/>
  <c r="CJ136" i="4"/>
  <c r="CI136" i="4"/>
  <c r="CH136" i="4"/>
  <c r="CG136" i="4"/>
  <c r="CF136" i="4"/>
  <c r="CE136" i="4"/>
  <c r="CD136" i="4"/>
  <c r="CC136" i="4"/>
  <c r="CB136" i="4"/>
  <c r="CA136" i="4"/>
  <c r="BZ136" i="4"/>
  <c r="BY136" i="4"/>
  <c r="BX136" i="4"/>
  <c r="BW136" i="4"/>
  <c r="BV136" i="4"/>
  <c r="BU136" i="4"/>
  <c r="BT136" i="4"/>
  <c r="BS136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L55" i="6" s="1" a="1"/>
  <c r="L55" i="6" s="1"/>
  <c r="E136" i="4"/>
  <c r="D136" i="4"/>
  <c r="C136" i="4"/>
  <c r="B136" i="4"/>
  <c r="IL135" i="4"/>
  <c r="IK135" i="4"/>
  <c r="IJ135" i="4"/>
  <c r="II135" i="4"/>
  <c r="IH135" i="4"/>
  <c r="IG135" i="4"/>
  <c r="IF135" i="4"/>
  <c r="IE135" i="4"/>
  <c r="ID135" i="4"/>
  <c r="IC135" i="4"/>
  <c r="IB135" i="4"/>
  <c r="IA135" i="4"/>
  <c r="HZ135" i="4"/>
  <c r="HY135" i="4"/>
  <c r="HX135" i="4"/>
  <c r="HW135" i="4"/>
  <c r="HV135" i="4"/>
  <c r="HU135" i="4"/>
  <c r="HT135" i="4"/>
  <c r="HS135" i="4"/>
  <c r="HR135" i="4"/>
  <c r="HQ135" i="4"/>
  <c r="HP135" i="4"/>
  <c r="HO135" i="4"/>
  <c r="HN135" i="4"/>
  <c r="HM135" i="4"/>
  <c r="HL135" i="4"/>
  <c r="HK135" i="4"/>
  <c r="HJ135" i="4"/>
  <c r="HI135" i="4"/>
  <c r="HH135" i="4"/>
  <c r="HG135" i="4"/>
  <c r="HF135" i="4"/>
  <c r="HE135" i="4"/>
  <c r="HD135" i="4"/>
  <c r="HC135" i="4"/>
  <c r="HB135" i="4"/>
  <c r="HA135" i="4"/>
  <c r="GZ135" i="4"/>
  <c r="GY135" i="4"/>
  <c r="GX135" i="4"/>
  <c r="GW135" i="4"/>
  <c r="GV135" i="4"/>
  <c r="GU135" i="4"/>
  <c r="GT135" i="4"/>
  <c r="GS135" i="4"/>
  <c r="GR135" i="4"/>
  <c r="GQ135" i="4"/>
  <c r="GP135" i="4"/>
  <c r="GO135" i="4"/>
  <c r="GN135" i="4"/>
  <c r="GM135" i="4"/>
  <c r="GL135" i="4"/>
  <c r="GK135" i="4"/>
  <c r="GJ135" i="4"/>
  <c r="GI135" i="4"/>
  <c r="GH135" i="4"/>
  <c r="GG135" i="4"/>
  <c r="GF135" i="4"/>
  <c r="GE135" i="4"/>
  <c r="GD135" i="4"/>
  <c r="GC135" i="4"/>
  <c r="GB135" i="4"/>
  <c r="GA135" i="4"/>
  <c r="FZ135" i="4"/>
  <c r="FY135" i="4"/>
  <c r="FX135" i="4"/>
  <c r="FW135" i="4"/>
  <c r="FV135" i="4"/>
  <c r="FU135" i="4"/>
  <c r="FT135" i="4"/>
  <c r="FS135" i="4"/>
  <c r="FR135" i="4"/>
  <c r="FQ135" i="4"/>
  <c r="FP135" i="4"/>
  <c r="FO135" i="4"/>
  <c r="FN135" i="4"/>
  <c r="FM135" i="4"/>
  <c r="FL135" i="4"/>
  <c r="FK135" i="4"/>
  <c r="FJ135" i="4"/>
  <c r="FI135" i="4"/>
  <c r="FH135" i="4"/>
  <c r="FG135" i="4"/>
  <c r="FF135" i="4"/>
  <c r="FE135" i="4"/>
  <c r="FD135" i="4"/>
  <c r="FC135" i="4"/>
  <c r="FB135" i="4"/>
  <c r="FA135" i="4"/>
  <c r="EZ135" i="4"/>
  <c r="EY135" i="4"/>
  <c r="EX135" i="4"/>
  <c r="EW135" i="4"/>
  <c r="EV135" i="4"/>
  <c r="EU135" i="4"/>
  <c r="ET135" i="4"/>
  <c r="ES135" i="4"/>
  <c r="ER135" i="4"/>
  <c r="EQ135" i="4"/>
  <c r="EP135" i="4"/>
  <c r="EO135" i="4"/>
  <c r="EN135" i="4"/>
  <c r="EM135" i="4"/>
  <c r="EL135" i="4"/>
  <c r="EK135" i="4"/>
  <c r="EJ135" i="4"/>
  <c r="EI135" i="4"/>
  <c r="EH135" i="4"/>
  <c r="EG135" i="4"/>
  <c r="EF135" i="4"/>
  <c r="EE135" i="4"/>
  <c r="ED135" i="4"/>
  <c r="EC135" i="4"/>
  <c r="EB135" i="4"/>
  <c r="EA135" i="4"/>
  <c r="DZ135" i="4"/>
  <c r="DY135" i="4"/>
  <c r="DX135" i="4"/>
  <c r="DW135" i="4"/>
  <c r="DV135" i="4"/>
  <c r="DU135" i="4"/>
  <c r="DT135" i="4"/>
  <c r="DS135" i="4"/>
  <c r="DR135" i="4"/>
  <c r="DQ135" i="4"/>
  <c r="DP135" i="4"/>
  <c r="DO135" i="4"/>
  <c r="DN135" i="4"/>
  <c r="DM135" i="4"/>
  <c r="DL135" i="4"/>
  <c r="DK135" i="4"/>
  <c r="DJ135" i="4"/>
  <c r="DI135" i="4"/>
  <c r="DH135" i="4"/>
  <c r="DG135" i="4"/>
  <c r="DF135" i="4"/>
  <c r="DE135" i="4"/>
  <c r="DD135" i="4"/>
  <c r="DC135" i="4"/>
  <c r="DB135" i="4"/>
  <c r="DA135" i="4"/>
  <c r="CZ135" i="4"/>
  <c r="CY135" i="4"/>
  <c r="CX135" i="4"/>
  <c r="CW135" i="4"/>
  <c r="CV135" i="4"/>
  <c r="CU135" i="4"/>
  <c r="CT135" i="4"/>
  <c r="CS135" i="4"/>
  <c r="CR135" i="4"/>
  <c r="CQ135" i="4"/>
  <c r="CP135" i="4"/>
  <c r="CO135" i="4"/>
  <c r="CN135" i="4"/>
  <c r="CM135" i="4"/>
  <c r="CL135" i="4"/>
  <c r="CK135" i="4"/>
  <c r="CJ135" i="4"/>
  <c r="CI135" i="4"/>
  <c r="CH135" i="4"/>
  <c r="CG135" i="4"/>
  <c r="CF135" i="4"/>
  <c r="CE135" i="4"/>
  <c r="CD135" i="4"/>
  <c r="CC135" i="4"/>
  <c r="CB135" i="4"/>
  <c r="CA135" i="4"/>
  <c r="BZ135" i="4"/>
  <c r="BY135" i="4"/>
  <c r="BX135" i="4"/>
  <c r="BW135" i="4"/>
  <c r="BV135" i="4"/>
  <c r="BU135" i="4"/>
  <c r="BT135" i="4"/>
  <c r="BS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L54" i="6" s="1" a="1"/>
  <c r="L54" i="6" s="1"/>
  <c r="B135" i="4"/>
  <c r="IL134" i="4"/>
  <c r="IK134" i="4"/>
  <c r="IJ134" i="4"/>
  <c r="II134" i="4"/>
  <c r="IH134" i="4"/>
  <c r="IG134" i="4"/>
  <c r="IF134" i="4"/>
  <c r="IE134" i="4"/>
  <c r="ID134" i="4"/>
  <c r="IC134" i="4"/>
  <c r="IB134" i="4"/>
  <c r="IA134" i="4"/>
  <c r="HZ134" i="4"/>
  <c r="HY134" i="4"/>
  <c r="HX134" i="4"/>
  <c r="HW134" i="4"/>
  <c r="HV134" i="4"/>
  <c r="HU134" i="4"/>
  <c r="HT134" i="4"/>
  <c r="HS134" i="4"/>
  <c r="HR134" i="4"/>
  <c r="HQ134" i="4"/>
  <c r="HP134" i="4"/>
  <c r="HO134" i="4"/>
  <c r="HN134" i="4"/>
  <c r="HM134" i="4"/>
  <c r="HL134" i="4"/>
  <c r="HK134" i="4"/>
  <c r="HJ134" i="4"/>
  <c r="HI134" i="4"/>
  <c r="HH134" i="4"/>
  <c r="HG134" i="4"/>
  <c r="HF134" i="4"/>
  <c r="HE134" i="4"/>
  <c r="HD134" i="4"/>
  <c r="HC134" i="4"/>
  <c r="HB134" i="4"/>
  <c r="HA134" i="4"/>
  <c r="GZ134" i="4"/>
  <c r="GY134" i="4"/>
  <c r="GX134" i="4"/>
  <c r="GW134" i="4"/>
  <c r="GV134" i="4"/>
  <c r="GU134" i="4"/>
  <c r="GT134" i="4"/>
  <c r="GS134" i="4"/>
  <c r="GR134" i="4"/>
  <c r="GQ134" i="4"/>
  <c r="GP134" i="4"/>
  <c r="GO134" i="4"/>
  <c r="GN134" i="4"/>
  <c r="GM134" i="4"/>
  <c r="GL134" i="4"/>
  <c r="GK134" i="4"/>
  <c r="GJ134" i="4"/>
  <c r="GI134" i="4"/>
  <c r="GH134" i="4"/>
  <c r="GG134" i="4"/>
  <c r="GF134" i="4"/>
  <c r="GE134" i="4"/>
  <c r="GD134" i="4"/>
  <c r="GC134" i="4"/>
  <c r="GB134" i="4"/>
  <c r="GA134" i="4"/>
  <c r="FZ134" i="4"/>
  <c r="FY134" i="4"/>
  <c r="FX134" i="4"/>
  <c r="FW134" i="4"/>
  <c r="FV134" i="4"/>
  <c r="FU134" i="4"/>
  <c r="FT134" i="4"/>
  <c r="FS134" i="4"/>
  <c r="FR134" i="4"/>
  <c r="FQ134" i="4"/>
  <c r="FP134" i="4"/>
  <c r="FO134" i="4"/>
  <c r="FN134" i="4"/>
  <c r="FM134" i="4"/>
  <c r="FL134" i="4"/>
  <c r="FK134" i="4"/>
  <c r="FJ134" i="4"/>
  <c r="FI134" i="4"/>
  <c r="FH134" i="4"/>
  <c r="FG134" i="4"/>
  <c r="FF134" i="4"/>
  <c r="FE134" i="4"/>
  <c r="FD134" i="4"/>
  <c r="FC134" i="4"/>
  <c r="FB134" i="4"/>
  <c r="FA134" i="4"/>
  <c r="EZ134" i="4"/>
  <c r="EY134" i="4"/>
  <c r="EX134" i="4"/>
  <c r="EW134" i="4"/>
  <c r="EV134" i="4"/>
  <c r="EU134" i="4"/>
  <c r="ET134" i="4"/>
  <c r="ES134" i="4"/>
  <c r="ER134" i="4"/>
  <c r="EQ134" i="4"/>
  <c r="EP134" i="4"/>
  <c r="EO134" i="4"/>
  <c r="EN134" i="4"/>
  <c r="EM134" i="4"/>
  <c r="EL134" i="4"/>
  <c r="EK134" i="4"/>
  <c r="EJ134" i="4"/>
  <c r="EI134" i="4"/>
  <c r="EH134" i="4"/>
  <c r="EG134" i="4"/>
  <c r="EF134" i="4"/>
  <c r="EE134" i="4"/>
  <c r="ED134" i="4"/>
  <c r="EC134" i="4"/>
  <c r="EB134" i="4"/>
  <c r="EA134" i="4"/>
  <c r="DZ134" i="4"/>
  <c r="DY134" i="4"/>
  <c r="DX134" i="4"/>
  <c r="DW134" i="4"/>
  <c r="DV134" i="4"/>
  <c r="DU134" i="4"/>
  <c r="DT134" i="4"/>
  <c r="DS134" i="4"/>
  <c r="DR134" i="4"/>
  <c r="DQ134" i="4"/>
  <c r="DP134" i="4"/>
  <c r="DO134" i="4"/>
  <c r="DN134" i="4"/>
  <c r="DM134" i="4"/>
  <c r="DL134" i="4"/>
  <c r="DK134" i="4"/>
  <c r="DJ134" i="4"/>
  <c r="DI134" i="4"/>
  <c r="DH134" i="4"/>
  <c r="DG134" i="4"/>
  <c r="DF134" i="4"/>
  <c r="DE134" i="4"/>
  <c r="DD134" i="4"/>
  <c r="DC134" i="4"/>
  <c r="DB134" i="4"/>
  <c r="DA134" i="4"/>
  <c r="CZ134" i="4"/>
  <c r="CY134" i="4"/>
  <c r="CX134" i="4"/>
  <c r="CW134" i="4"/>
  <c r="CV134" i="4"/>
  <c r="CU134" i="4"/>
  <c r="CT134" i="4"/>
  <c r="CS134" i="4"/>
  <c r="CR134" i="4"/>
  <c r="CQ134" i="4"/>
  <c r="CP134" i="4"/>
  <c r="CO134" i="4"/>
  <c r="CN134" i="4"/>
  <c r="CM134" i="4"/>
  <c r="CL134" i="4"/>
  <c r="CK134" i="4"/>
  <c r="CJ134" i="4"/>
  <c r="CI134" i="4"/>
  <c r="CH134" i="4"/>
  <c r="CG134" i="4"/>
  <c r="CF134" i="4"/>
  <c r="CE134" i="4"/>
  <c r="CD134" i="4"/>
  <c r="CC134" i="4"/>
  <c r="CB134" i="4"/>
  <c r="CA134" i="4"/>
  <c r="BZ134" i="4"/>
  <c r="BY134" i="4"/>
  <c r="BX134" i="4"/>
  <c r="BW134" i="4"/>
  <c r="BV134" i="4"/>
  <c r="BU134" i="4"/>
  <c r="BT134" i="4"/>
  <c r="BS134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L53" i="6" s="1" a="1"/>
  <c r="L53" i="6" s="1"/>
  <c r="G134" i="4"/>
  <c r="F134" i="4"/>
  <c r="E134" i="4"/>
  <c r="D134" i="4"/>
  <c r="C134" i="4"/>
  <c r="B134" i="4"/>
  <c r="IL133" i="4"/>
  <c r="IK133" i="4"/>
  <c r="IJ133" i="4"/>
  <c r="II133" i="4"/>
  <c r="IH133" i="4"/>
  <c r="IG133" i="4"/>
  <c r="IF133" i="4"/>
  <c r="IE133" i="4"/>
  <c r="ID133" i="4"/>
  <c r="IC133" i="4"/>
  <c r="IB133" i="4"/>
  <c r="IA133" i="4"/>
  <c r="HZ133" i="4"/>
  <c r="HY133" i="4"/>
  <c r="HX133" i="4"/>
  <c r="HW133" i="4"/>
  <c r="HV133" i="4"/>
  <c r="HU133" i="4"/>
  <c r="HT133" i="4"/>
  <c r="HS133" i="4"/>
  <c r="HR133" i="4"/>
  <c r="HQ133" i="4"/>
  <c r="HP133" i="4"/>
  <c r="HO133" i="4"/>
  <c r="HN133" i="4"/>
  <c r="HM133" i="4"/>
  <c r="HL133" i="4"/>
  <c r="HK133" i="4"/>
  <c r="HJ133" i="4"/>
  <c r="HI133" i="4"/>
  <c r="HH133" i="4"/>
  <c r="HG133" i="4"/>
  <c r="HF133" i="4"/>
  <c r="HE133" i="4"/>
  <c r="HD133" i="4"/>
  <c r="HC133" i="4"/>
  <c r="HB133" i="4"/>
  <c r="HA133" i="4"/>
  <c r="GZ133" i="4"/>
  <c r="GY133" i="4"/>
  <c r="GX133" i="4"/>
  <c r="GW133" i="4"/>
  <c r="GV133" i="4"/>
  <c r="GU133" i="4"/>
  <c r="GT133" i="4"/>
  <c r="GS133" i="4"/>
  <c r="GR133" i="4"/>
  <c r="GQ133" i="4"/>
  <c r="GP133" i="4"/>
  <c r="GO133" i="4"/>
  <c r="GN133" i="4"/>
  <c r="GM133" i="4"/>
  <c r="GL133" i="4"/>
  <c r="GK133" i="4"/>
  <c r="GJ133" i="4"/>
  <c r="GI133" i="4"/>
  <c r="GH133" i="4"/>
  <c r="GG133" i="4"/>
  <c r="GF133" i="4"/>
  <c r="GE133" i="4"/>
  <c r="GD133" i="4"/>
  <c r="GC133" i="4"/>
  <c r="GB133" i="4"/>
  <c r="GA133" i="4"/>
  <c r="FZ133" i="4"/>
  <c r="FY133" i="4"/>
  <c r="FX133" i="4"/>
  <c r="FW133" i="4"/>
  <c r="FV133" i="4"/>
  <c r="FU133" i="4"/>
  <c r="FT133" i="4"/>
  <c r="FS133" i="4"/>
  <c r="FR133" i="4"/>
  <c r="FQ133" i="4"/>
  <c r="FP133" i="4"/>
  <c r="FO133" i="4"/>
  <c r="FN133" i="4"/>
  <c r="FM133" i="4"/>
  <c r="FL133" i="4"/>
  <c r="FK133" i="4"/>
  <c r="FJ133" i="4"/>
  <c r="FI133" i="4"/>
  <c r="FH133" i="4"/>
  <c r="FG133" i="4"/>
  <c r="FF133" i="4"/>
  <c r="FE133" i="4"/>
  <c r="FD133" i="4"/>
  <c r="FC133" i="4"/>
  <c r="FB133" i="4"/>
  <c r="FA133" i="4"/>
  <c r="EZ133" i="4"/>
  <c r="EY133" i="4"/>
  <c r="EX133" i="4"/>
  <c r="EW133" i="4"/>
  <c r="EV133" i="4"/>
  <c r="EU133" i="4"/>
  <c r="ET133" i="4"/>
  <c r="ES133" i="4"/>
  <c r="ER133" i="4"/>
  <c r="EQ133" i="4"/>
  <c r="EP133" i="4"/>
  <c r="EO133" i="4"/>
  <c r="EN133" i="4"/>
  <c r="EM133" i="4"/>
  <c r="EL133" i="4"/>
  <c r="EK133" i="4"/>
  <c r="EJ133" i="4"/>
  <c r="EI133" i="4"/>
  <c r="EH133" i="4"/>
  <c r="EG133" i="4"/>
  <c r="EF133" i="4"/>
  <c r="EE133" i="4"/>
  <c r="ED133" i="4"/>
  <c r="EC133" i="4"/>
  <c r="EB133" i="4"/>
  <c r="EA133" i="4"/>
  <c r="DZ133" i="4"/>
  <c r="DY133" i="4"/>
  <c r="DX133" i="4"/>
  <c r="DW133" i="4"/>
  <c r="DV133" i="4"/>
  <c r="DU133" i="4"/>
  <c r="DT133" i="4"/>
  <c r="DS133" i="4"/>
  <c r="DR133" i="4"/>
  <c r="DQ133" i="4"/>
  <c r="DP133" i="4"/>
  <c r="DO133" i="4"/>
  <c r="DN133" i="4"/>
  <c r="DM133" i="4"/>
  <c r="DL133" i="4"/>
  <c r="DK133" i="4"/>
  <c r="DJ133" i="4"/>
  <c r="DI133" i="4"/>
  <c r="DH133" i="4"/>
  <c r="DG133" i="4"/>
  <c r="DF133" i="4"/>
  <c r="DE133" i="4"/>
  <c r="DD133" i="4"/>
  <c r="DC133" i="4"/>
  <c r="DB133" i="4"/>
  <c r="DA133" i="4"/>
  <c r="CZ133" i="4"/>
  <c r="CY133" i="4"/>
  <c r="CX133" i="4"/>
  <c r="CW133" i="4"/>
  <c r="CV133" i="4"/>
  <c r="CU133" i="4"/>
  <c r="CT133" i="4"/>
  <c r="CS133" i="4"/>
  <c r="CR133" i="4"/>
  <c r="CQ133" i="4"/>
  <c r="CP133" i="4"/>
  <c r="CO133" i="4"/>
  <c r="CN133" i="4"/>
  <c r="CM133" i="4"/>
  <c r="CL133" i="4"/>
  <c r="CK133" i="4"/>
  <c r="CJ133" i="4"/>
  <c r="CI133" i="4"/>
  <c r="CH133" i="4"/>
  <c r="CG133" i="4"/>
  <c r="CF133" i="4"/>
  <c r="CE133" i="4"/>
  <c r="CD133" i="4"/>
  <c r="CC133" i="4"/>
  <c r="CB133" i="4"/>
  <c r="CA133" i="4"/>
  <c r="BZ133" i="4"/>
  <c r="BY133" i="4"/>
  <c r="BX133" i="4"/>
  <c r="BW133" i="4"/>
  <c r="BV133" i="4"/>
  <c r="BU133" i="4"/>
  <c r="BT133" i="4"/>
  <c r="BS133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IL132" i="4"/>
  <c r="IK132" i="4"/>
  <c r="IJ132" i="4"/>
  <c r="II132" i="4"/>
  <c r="IH132" i="4"/>
  <c r="IG132" i="4"/>
  <c r="IF132" i="4"/>
  <c r="IE132" i="4"/>
  <c r="ID132" i="4"/>
  <c r="IC132" i="4"/>
  <c r="IB132" i="4"/>
  <c r="IA132" i="4"/>
  <c r="HZ132" i="4"/>
  <c r="HY132" i="4"/>
  <c r="HX132" i="4"/>
  <c r="HW132" i="4"/>
  <c r="HV132" i="4"/>
  <c r="HU132" i="4"/>
  <c r="HT132" i="4"/>
  <c r="HS132" i="4"/>
  <c r="HR132" i="4"/>
  <c r="HQ132" i="4"/>
  <c r="HP132" i="4"/>
  <c r="HO132" i="4"/>
  <c r="HN132" i="4"/>
  <c r="HM132" i="4"/>
  <c r="HL132" i="4"/>
  <c r="HK132" i="4"/>
  <c r="HJ132" i="4"/>
  <c r="HI132" i="4"/>
  <c r="HH132" i="4"/>
  <c r="HG132" i="4"/>
  <c r="HF132" i="4"/>
  <c r="HE132" i="4"/>
  <c r="HD132" i="4"/>
  <c r="HC132" i="4"/>
  <c r="HB132" i="4"/>
  <c r="HA132" i="4"/>
  <c r="GZ132" i="4"/>
  <c r="GY132" i="4"/>
  <c r="GX132" i="4"/>
  <c r="GW132" i="4"/>
  <c r="GV132" i="4"/>
  <c r="GU132" i="4"/>
  <c r="GT132" i="4"/>
  <c r="GS132" i="4"/>
  <c r="GR132" i="4"/>
  <c r="GQ132" i="4"/>
  <c r="GP132" i="4"/>
  <c r="GO132" i="4"/>
  <c r="GN132" i="4"/>
  <c r="GM132" i="4"/>
  <c r="GL132" i="4"/>
  <c r="GK132" i="4"/>
  <c r="GJ132" i="4"/>
  <c r="GI132" i="4"/>
  <c r="GH132" i="4"/>
  <c r="GG132" i="4"/>
  <c r="GF132" i="4"/>
  <c r="GE132" i="4"/>
  <c r="GD132" i="4"/>
  <c r="GC132" i="4"/>
  <c r="GB132" i="4"/>
  <c r="GA132" i="4"/>
  <c r="FZ132" i="4"/>
  <c r="FY132" i="4"/>
  <c r="FX132" i="4"/>
  <c r="FW132" i="4"/>
  <c r="FV132" i="4"/>
  <c r="FU132" i="4"/>
  <c r="FT132" i="4"/>
  <c r="FS132" i="4"/>
  <c r="FR132" i="4"/>
  <c r="FQ132" i="4"/>
  <c r="FP132" i="4"/>
  <c r="FO132" i="4"/>
  <c r="FN132" i="4"/>
  <c r="FM132" i="4"/>
  <c r="FL132" i="4"/>
  <c r="FK132" i="4"/>
  <c r="FJ132" i="4"/>
  <c r="FI132" i="4"/>
  <c r="FH132" i="4"/>
  <c r="FG132" i="4"/>
  <c r="FF132" i="4"/>
  <c r="FE132" i="4"/>
  <c r="FD132" i="4"/>
  <c r="FC132" i="4"/>
  <c r="FB132" i="4"/>
  <c r="FA132" i="4"/>
  <c r="EZ132" i="4"/>
  <c r="EY132" i="4"/>
  <c r="EX132" i="4"/>
  <c r="EW132" i="4"/>
  <c r="EV132" i="4"/>
  <c r="EU132" i="4"/>
  <c r="ET132" i="4"/>
  <c r="ES132" i="4"/>
  <c r="ER132" i="4"/>
  <c r="EQ132" i="4"/>
  <c r="EP132" i="4"/>
  <c r="EO132" i="4"/>
  <c r="EN132" i="4"/>
  <c r="EM132" i="4"/>
  <c r="EL132" i="4"/>
  <c r="EK132" i="4"/>
  <c r="EJ132" i="4"/>
  <c r="EI132" i="4"/>
  <c r="EH132" i="4"/>
  <c r="EG132" i="4"/>
  <c r="EF132" i="4"/>
  <c r="EE132" i="4"/>
  <c r="ED132" i="4"/>
  <c r="EC132" i="4"/>
  <c r="EB132" i="4"/>
  <c r="EA132" i="4"/>
  <c r="DZ132" i="4"/>
  <c r="DY132" i="4"/>
  <c r="DX132" i="4"/>
  <c r="DW132" i="4"/>
  <c r="DV132" i="4"/>
  <c r="DU132" i="4"/>
  <c r="DT132" i="4"/>
  <c r="DS132" i="4"/>
  <c r="DR132" i="4"/>
  <c r="DQ132" i="4"/>
  <c r="DP132" i="4"/>
  <c r="DO132" i="4"/>
  <c r="DN132" i="4"/>
  <c r="DM132" i="4"/>
  <c r="DL132" i="4"/>
  <c r="DK132" i="4"/>
  <c r="DJ132" i="4"/>
  <c r="DI132" i="4"/>
  <c r="DH132" i="4"/>
  <c r="DG132" i="4"/>
  <c r="DF132" i="4"/>
  <c r="DE132" i="4"/>
  <c r="DD132" i="4"/>
  <c r="DC132" i="4"/>
  <c r="DB132" i="4"/>
  <c r="DA132" i="4"/>
  <c r="CZ132" i="4"/>
  <c r="CY132" i="4"/>
  <c r="CX132" i="4"/>
  <c r="CW132" i="4"/>
  <c r="CV132" i="4"/>
  <c r="CU132" i="4"/>
  <c r="CT132" i="4"/>
  <c r="CS132" i="4"/>
  <c r="CR132" i="4"/>
  <c r="CQ132" i="4"/>
  <c r="CP132" i="4"/>
  <c r="CO132" i="4"/>
  <c r="CN132" i="4"/>
  <c r="CM132" i="4"/>
  <c r="CL132" i="4"/>
  <c r="CK132" i="4"/>
  <c r="CJ132" i="4"/>
  <c r="CI132" i="4"/>
  <c r="CH132" i="4"/>
  <c r="CG132" i="4"/>
  <c r="CF132" i="4"/>
  <c r="CE132" i="4"/>
  <c r="CD132" i="4"/>
  <c r="CC132" i="4"/>
  <c r="CB132" i="4"/>
  <c r="CA132" i="4"/>
  <c r="BZ132" i="4"/>
  <c r="BY132" i="4"/>
  <c r="BX132" i="4"/>
  <c r="BW132" i="4"/>
  <c r="BV132" i="4"/>
  <c r="BU132" i="4"/>
  <c r="BT132" i="4"/>
  <c r="BS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IL131" i="4"/>
  <c r="IK131" i="4"/>
  <c r="IJ131" i="4"/>
  <c r="II131" i="4"/>
  <c r="IH131" i="4"/>
  <c r="IG131" i="4"/>
  <c r="IF131" i="4"/>
  <c r="IE131" i="4"/>
  <c r="ID131" i="4"/>
  <c r="IC131" i="4"/>
  <c r="IB131" i="4"/>
  <c r="IA131" i="4"/>
  <c r="HZ131" i="4"/>
  <c r="HY131" i="4"/>
  <c r="HX131" i="4"/>
  <c r="HW131" i="4"/>
  <c r="HV131" i="4"/>
  <c r="HU131" i="4"/>
  <c r="HT131" i="4"/>
  <c r="HS131" i="4"/>
  <c r="HR131" i="4"/>
  <c r="HQ131" i="4"/>
  <c r="HP131" i="4"/>
  <c r="HO131" i="4"/>
  <c r="HN131" i="4"/>
  <c r="HM131" i="4"/>
  <c r="HL131" i="4"/>
  <c r="HK131" i="4"/>
  <c r="HJ131" i="4"/>
  <c r="HI131" i="4"/>
  <c r="HH131" i="4"/>
  <c r="HG131" i="4"/>
  <c r="HF131" i="4"/>
  <c r="HE131" i="4"/>
  <c r="HD131" i="4"/>
  <c r="HC131" i="4"/>
  <c r="HB131" i="4"/>
  <c r="HA131" i="4"/>
  <c r="GZ131" i="4"/>
  <c r="GY131" i="4"/>
  <c r="GX131" i="4"/>
  <c r="GW131" i="4"/>
  <c r="GV131" i="4"/>
  <c r="GU131" i="4"/>
  <c r="GT131" i="4"/>
  <c r="GS131" i="4"/>
  <c r="GR131" i="4"/>
  <c r="GQ131" i="4"/>
  <c r="GP131" i="4"/>
  <c r="GO131" i="4"/>
  <c r="GN131" i="4"/>
  <c r="GM131" i="4"/>
  <c r="GL131" i="4"/>
  <c r="GK131" i="4"/>
  <c r="GJ131" i="4"/>
  <c r="GI131" i="4"/>
  <c r="GH131" i="4"/>
  <c r="GG131" i="4"/>
  <c r="GF131" i="4"/>
  <c r="GE131" i="4"/>
  <c r="GD131" i="4"/>
  <c r="GC131" i="4"/>
  <c r="GB131" i="4"/>
  <c r="GA131" i="4"/>
  <c r="FZ131" i="4"/>
  <c r="FY131" i="4"/>
  <c r="FX131" i="4"/>
  <c r="FW131" i="4"/>
  <c r="FV131" i="4"/>
  <c r="FU131" i="4"/>
  <c r="FT131" i="4"/>
  <c r="FS131" i="4"/>
  <c r="FR131" i="4"/>
  <c r="FQ131" i="4"/>
  <c r="FP131" i="4"/>
  <c r="FO131" i="4"/>
  <c r="FN131" i="4"/>
  <c r="FM131" i="4"/>
  <c r="FL131" i="4"/>
  <c r="FK131" i="4"/>
  <c r="FJ131" i="4"/>
  <c r="FI131" i="4"/>
  <c r="FH131" i="4"/>
  <c r="FG131" i="4"/>
  <c r="FF131" i="4"/>
  <c r="FE131" i="4"/>
  <c r="FD131" i="4"/>
  <c r="FC131" i="4"/>
  <c r="FB131" i="4"/>
  <c r="FA131" i="4"/>
  <c r="EZ131" i="4"/>
  <c r="EY131" i="4"/>
  <c r="EX131" i="4"/>
  <c r="EW131" i="4"/>
  <c r="EV131" i="4"/>
  <c r="EU131" i="4"/>
  <c r="ET131" i="4"/>
  <c r="ES131" i="4"/>
  <c r="ER131" i="4"/>
  <c r="EQ131" i="4"/>
  <c r="EP131" i="4"/>
  <c r="EO131" i="4"/>
  <c r="EN131" i="4"/>
  <c r="EM131" i="4"/>
  <c r="EL131" i="4"/>
  <c r="EK131" i="4"/>
  <c r="EJ131" i="4"/>
  <c r="EI131" i="4"/>
  <c r="EH131" i="4"/>
  <c r="EG131" i="4"/>
  <c r="EF131" i="4"/>
  <c r="EE131" i="4"/>
  <c r="ED131" i="4"/>
  <c r="EC131" i="4"/>
  <c r="EB131" i="4"/>
  <c r="EA131" i="4"/>
  <c r="DZ131" i="4"/>
  <c r="DY131" i="4"/>
  <c r="DX131" i="4"/>
  <c r="DW131" i="4"/>
  <c r="DV131" i="4"/>
  <c r="DU131" i="4"/>
  <c r="DT131" i="4"/>
  <c r="DS131" i="4"/>
  <c r="DR131" i="4"/>
  <c r="DQ131" i="4"/>
  <c r="DP131" i="4"/>
  <c r="DO131" i="4"/>
  <c r="DN131" i="4"/>
  <c r="DM131" i="4"/>
  <c r="DL131" i="4"/>
  <c r="DK131" i="4"/>
  <c r="DJ131" i="4"/>
  <c r="DI131" i="4"/>
  <c r="DH131" i="4"/>
  <c r="DG131" i="4"/>
  <c r="DF131" i="4"/>
  <c r="DE131" i="4"/>
  <c r="DD131" i="4"/>
  <c r="DC131" i="4"/>
  <c r="DB131" i="4"/>
  <c r="DA131" i="4"/>
  <c r="CZ131" i="4"/>
  <c r="CY131" i="4"/>
  <c r="CX131" i="4"/>
  <c r="CW131" i="4"/>
  <c r="CV131" i="4"/>
  <c r="CU131" i="4"/>
  <c r="CT131" i="4"/>
  <c r="CS131" i="4"/>
  <c r="CR131" i="4"/>
  <c r="CQ131" i="4"/>
  <c r="CP131" i="4"/>
  <c r="CO131" i="4"/>
  <c r="CN131" i="4"/>
  <c r="CM131" i="4"/>
  <c r="CL131" i="4"/>
  <c r="CK131" i="4"/>
  <c r="CJ131" i="4"/>
  <c r="CI131" i="4"/>
  <c r="CH131" i="4"/>
  <c r="CG131" i="4"/>
  <c r="CF131" i="4"/>
  <c r="CE131" i="4"/>
  <c r="CD131" i="4"/>
  <c r="CC131" i="4"/>
  <c r="CB131" i="4"/>
  <c r="CA131" i="4"/>
  <c r="BZ131" i="4"/>
  <c r="BY131" i="4"/>
  <c r="BX131" i="4"/>
  <c r="BW131" i="4"/>
  <c r="BV131" i="4"/>
  <c r="BU131" i="4"/>
  <c r="BT131" i="4"/>
  <c r="BS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L50" i="6" s="1" a="1"/>
  <c r="L50" i="6" s="1"/>
  <c r="F131" i="4"/>
  <c r="E131" i="4"/>
  <c r="D131" i="4"/>
  <c r="C131" i="4"/>
  <c r="B131" i="4"/>
  <c r="IL130" i="4"/>
  <c r="IK130" i="4"/>
  <c r="IJ130" i="4"/>
  <c r="II130" i="4"/>
  <c r="IH130" i="4"/>
  <c r="IG130" i="4"/>
  <c r="IF130" i="4"/>
  <c r="IE130" i="4"/>
  <c r="ID130" i="4"/>
  <c r="IC130" i="4"/>
  <c r="IB130" i="4"/>
  <c r="IA130" i="4"/>
  <c r="HZ130" i="4"/>
  <c r="HY130" i="4"/>
  <c r="HX130" i="4"/>
  <c r="HW130" i="4"/>
  <c r="HV130" i="4"/>
  <c r="HU130" i="4"/>
  <c r="HT130" i="4"/>
  <c r="HS130" i="4"/>
  <c r="HR130" i="4"/>
  <c r="HQ130" i="4"/>
  <c r="HP130" i="4"/>
  <c r="HO130" i="4"/>
  <c r="HN130" i="4"/>
  <c r="HM130" i="4"/>
  <c r="HL130" i="4"/>
  <c r="HK130" i="4"/>
  <c r="HJ130" i="4"/>
  <c r="HI130" i="4"/>
  <c r="HH130" i="4"/>
  <c r="HG130" i="4"/>
  <c r="HF130" i="4"/>
  <c r="HE130" i="4"/>
  <c r="HD130" i="4"/>
  <c r="HC130" i="4"/>
  <c r="HB130" i="4"/>
  <c r="HA130" i="4"/>
  <c r="GZ130" i="4"/>
  <c r="GY130" i="4"/>
  <c r="GX130" i="4"/>
  <c r="GW130" i="4"/>
  <c r="GV130" i="4"/>
  <c r="GU130" i="4"/>
  <c r="GT130" i="4"/>
  <c r="GS130" i="4"/>
  <c r="GR130" i="4"/>
  <c r="GQ130" i="4"/>
  <c r="GP130" i="4"/>
  <c r="GO130" i="4"/>
  <c r="GN130" i="4"/>
  <c r="GM130" i="4"/>
  <c r="GL130" i="4"/>
  <c r="GK130" i="4"/>
  <c r="GJ130" i="4"/>
  <c r="GI130" i="4"/>
  <c r="GH130" i="4"/>
  <c r="GG130" i="4"/>
  <c r="GF130" i="4"/>
  <c r="GE130" i="4"/>
  <c r="GD130" i="4"/>
  <c r="GC130" i="4"/>
  <c r="GB130" i="4"/>
  <c r="GA130" i="4"/>
  <c r="FZ130" i="4"/>
  <c r="FY130" i="4"/>
  <c r="FX130" i="4"/>
  <c r="FW130" i="4"/>
  <c r="FV130" i="4"/>
  <c r="FU130" i="4"/>
  <c r="FT130" i="4"/>
  <c r="FS130" i="4"/>
  <c r="FR130" i="4"/>
  <c r="FQ130" i="4"/>
  <c r="FP130" i="4"/>
  <c r="FO130" i="4"/>
  <c r="FN130" i="4"/>
  <c r="FM130" i="4"/>
  <c r="FL130" i="4"/>
  <c r="FK130" i="4"/>
  <c r="FJ130" i="4"/>
  <c r="FI130" i="4"/>
  <c r="FH130" i="4"/>
  <c r="FG130" i="4"/>
  <c r="FF130" i="4"/>
  <c r="FE130" i="4"/>
  <c r="FD130" i="4"/>
  <c r="FC130" i="4"/>
  <c r="FB130" i="4"/>
  <c r="FA130" i="4"/>
  <c r="EZ130" i="4"/>
  <c r="EY130" i="4"/>
  <c r="EX130" i="4"/>
  <c r="EW130" i="4"/>
  <c r="EV130" i="4"/>
  <c r="EU130" i="4"/>
  <c r="ET130" i="4"/>
  <c r="ES130" i="4"/>
  <c r="ER130" i="4"/>
  <c r="EQ130" i="4"/>
  <c r="EP130" i="4"/>
  <c r="EO130" i="4"/>
  <c r="EN130" i="4"/>
  <c r="EM130" i="4"/>
  <c r="EL130" i="4"/>
  <c r="EK130" i="4"/>
  <c r="EJ130" i="4"/>
  <c r="EI130" i="4"/>
  <c r="EH130" i="4"/>
  <c r="EG130" i="4"/>
  <c r="EF130" i="4"/>
  <c r="EE130" i="4"/>
  <c r="ED130" i="4"/>
  <c r="EC130" i="4"/>
  <c r="EB130" i="4"/>
  <c r="EA130" i="4"/>
  <c r="DZ130" i="4"/>
  <c r="DY130" i="4"/>
  <c r="DX130" i="4"/>
  <c r="DW130" i="4"/>
  <c r="DV130" i="4"/>
  <c r="DU130" i="4"/>
  <c r="DT130" i="4"/>
  <c r="DS130" i="4"/>
  <c r="DR130" i="4"/>
  <c r="DQ130" i="4"/>
  <c r="DP130" i="4"/>
  <c r="DO130" i="4"/>
  <c r="DN130" i="4"/>
  <c r="DM130" i="4"/>
  <c r="DL130" i="4"/>
  <c r="DK130" i="4"/>
  <c r="DJ130" i="4"/>
  <c r="DI130" i="4"/>
  <c r="DH130" i="4"/>
  <c r="DG130" i="4"/>
  <c r="DF130" i="4"/>
  <c r="DE130" i="4"/>
  <c r="DD130" i="4"/>
  <c r="DC130" i="4"/>
  <c r="DB130" i="4"/>
  <c r="DA130" i="4"/>
  <c r="CZ130" i="4"/>
  <c r="CY130" i="4"/>
  <c r="CX130" i="4"/>
  <c r="CW130" i="4"/>
  <c r="CV130" i="4"/>
  <c r="CU130" i="4"/>
  <c r="CT130" i="4"/>
  <c r="CS130" i="4"/>
  <c r="CR130" i="4"/>
  <c r="CQ130" i="4"/>
  <c r="CP130" i="4"/>
  <c r="CO130" i="4"/>
  <c r="CN130" i="4"/>
  <c r="CM130" i="4"/>
  <c r="CL130" i="4"/>
  <c r="CK130" i="4"/>
  <c r="CJ130" i="4"/>
  <c r="CI130" i="4"/>
  <c r="CH130" i="4"/>
  <c r="CG130" i="4"/>
  <c r="CF130" i="4"/>
  <c r="CE130" i="4"/>
  <c r="CD130" i="4"/>
  <c r="CC130" i="4"/>
  <c r="CB130" i="4"/>
  <c r="CA130" i="4"/>
  <c r="BZ130" i="4"/>
  <c r="BY130" i="4"/>
  <c r="BX130" i="4"/>
  <c r="BW130" i="4"/>
  <c r="BV130" i="4"/>
  <c r="BU130" i="4"/>
  <c r="BT130" i="4"/>
  <c r="BS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L49" i="6" s="1" a="1"/>
  <c r="L49" i="6" s="1"/>
  <c r="C130" i="4"/>
  <c r="B130" i="4"/>
  <c r="IL129" i="4"/>
  <c r="IK129" i="4"/>
  <c r="IJ129" i="4"/>
  <c r="II129" i="4"/>
  <c r="IH129" i="4"/>
  <c r="IG129" i="4"/>
  <c r="IF129" i="4"/>
  <c r="IE129" i="4"/>
  <c r="ID129" i="4"/>
  <c r="IC129" i="4"/>
  <c r="IB129" i="4"/>
  <c r="IA129" i="4"/>
  <c r="HZ129" i="4"/>
  <c r="HY129" i="4"/>
  <c r="HX129" i="4"/>
  <c r="HW129" i="4"/>
  <c r="HV129" i="4"/>
  <c r="HU129" i="4"/>
  <c r="HT129" i="4"/>
  <c r="HS129" i="4"/>
  <c r="HR129" i="4"/>
  <c r="HQ129" i="4"/>
  <c r="HP129" i="4"/>
  <c r="HO129" i="4"/>
  <c r="HN129" i="4"/>
  <c r="HM129" i="4"/>
  <c r="HL129" i="4"/>
  <c r="HK129" i="4"/>
  <c r="HJ129" i="4"/>
  <c r="HI129" i="4"/>
  <c r="HH129" i="4"/>
  <c r="HG129" i="4"/>
  <c r="HF129" i="4"/>
  <c r="HE129" i="4"/>
  <c r="HD129" i="4"/>
  <c r="HC129" i="4"/>
  <c r="HB129" i="4"/>
  <c r="HA129" i="4"/>
  <c r="GZ129" i="4"/>
  <c r="GY129" i="4"/>
  <c r="GX129" i="4"/>
  <c r="GW129" i="4"/>
  <c r="GV129" i="4"/>
  <c r="GU129" i="4"/>
  <c r="GT129" i="4"/>
  <c r="GS129" i="4"/>
  <c r="GR129" i="4"/>
  <c r="GQ129" i="4"/>
  <c r="GP129" i="4"/>
  <c r="GO129" i="4"/>
  <c r="GN129" i="4"/>
  <c r="GM129" i="4"/>
  <c r="GL129" i="4"/>
  <c r="GK129" i="4"/>
  <c r="GJ129" i="4"/>
  <c r="GI129" i="4"/>
  <c r="GH129" i="4"/>
  <c r="GG129" i="4"/>
  <c r="GF129" i="4"/>
  <c r="GE129" i="4"/>
  <c r="GD129" i="4"/>
  <c r="GC129" i="4"/>
  <c r="GB129" i="4"/>
  <c r="GA129" i="4"/>
  <c r="FZ129" i="4"/>
  <c r="FY129" i="4"/>
  <c r="FX129" i="4"/>
  <c r="FW129" i="4"/>
  <c r="FV129" i="4"/>
  <c r="FU129" i="4"/>
  <c r="FT129" i="4"/>
  <c r="FS129" i="4"/>
  <c r="FR129" i="4"/>
  <c r="FQ129" i="4"/>
  <c r="FP129" i="4"/>
  <c r="FO129" i="4"/>
  <c r="FN129" i="4"/>
  <c r="FM129" i="4"/>
  <c r="FL129" i="4"/>
  <c r="FK129" i="4"/>
  <c r="FJ129" i="4"/>
  <c r="FI129" i="4"/>
  <c r="FH129" i="4"/>
  <c r="FG129" i="4"/>
  <c r="FF129" i="4"/>
  <c r="FE129" i="4"/>
  <c r="FD129" i="4"/>
  <c r="FC129" i="4"/>
  <c r="FB129" i="4"/>
  <c r="FA129" i="4"/>
  <c r="EZ129" i="4"/>
  <c r="EY129" i="4"/>
  <c r="EX129" i="4"/>
  <c r="EW129" i="4"/>
  <c r="EV129" i="4"/>
  <c r="EU129" i="4"/>
  <c r="ET129" i="4"/>
  <c r="ES129" i="4"/>
  <c r="ER129" i="4"/>
  <c r="EQ129" i="4"/>
  <c r="EP129" i="4"/>
  <c r="EO129" i="4"/>
  <c r="EN129" i="4"/>
  <c r="EM129" i="4"/>
  <c r="EL129" i="4"/>
  <c r="EK129" i="4"/>
  <c r="EJ129" i="4"/>
  <c r="EI129" i="4"/>
  <c r="EH129" i="4"/>
  <c r="EG129" i="4"/>
  <c r="EF129" i="4"/>
  <c r="EE129" i="4"/>
  <c r="ED129" i="4"/>
  <c r="EC129" i="4"/>
  <c r="EB129" i="4"/>
  <c r="EA129" i="4"/>
  <c r="DZ129" i="4"/>
  <c r="DY129" i="4"/>
  <c r="DX129" i="4"/>
  <c r="DW129" i="4"/>
  <c r="DV129" i="4"/>
  <c r="DU129" i="4"/>
  <c r="DT129" i="4"/>
  <c r="DS129" i="4"/>
  <c r="DR129" i="4"/>
  <c r="DQ129" i="4"/>
  <c r="DP129" i="4"/>
  <c r="DO129" i="4"/>
  <c r="DN129" i="4"/>
  <c r="DM129" i="4"/>
  <c r="DL129" i="4"/>
  <c r="DK129" i="4"/>
  <c r="DJ129" i="4"/>
  <c r="DI129" i="4"/>
  <c r="DH129" i="4"/>
  <c r="DG129" i="4"/>
  <c r="DF129" i="4"/>
  <c r="DE129" i="4"/>
  <c r="DD129" i="4"/>
  <c r="DC129" i="4"/>
  <c r="DB129" i="4"/>
  <c r="DA129" i="4"/>
  <c r="CZ129" i="4"/>
  <c r="CY129" i="4"/>
  <c r="CX129" i="4"/>
  <c r="CW129" i="4"/>
  <c r="CV129" i="4"/>
  <c r="CU129" i="4"/>
  <c r="CT129" i="4"/>
  <c r="CS129" i="4"/>
  <c r="CR129" i="4"/>
  <c r="CQ129" i="4"/>
  <c r="CP129" i="4"/>
  <c r="CO129" i="4"/>
  <c r="CN129" i="4"/>
  <c r="CM129" i="4"/>
  <c r="CL129" i="4"/>
  <c r="CK129" i="4"/>
  <c r="CJ129" i="4"/>
  <c r="CI129" i="4"/>
  <c r="CH129" i="4"/>
  <c r="CG129" i="4"/>
  <c r="CF129" i="4"/>
  <c r="CE129" i="4"/>
  <c r="CD129" i="4"/>
  <c r="CC129" i="4"/>
  <c r="CB129" i="4"/>
  <c r="CA129" i="4"/>
  <c r="BZ129" i="4"/>
  <c r="BY129" i="4"/>
  <c r="BX129" i="4"/>
  <c r="BW129" i="4"/>
  <c r="BV129" i="4"/>
  <c r="BU129" i="4"/>
  <c r="BT129" i="4"/>
  <c r="BS129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L48" i="6" s="1" a="1"/>
  <c r="L48" i="6" s="1"/>
  <c r="H129" i="4"/>
  <c r="G129" i="4"/>
  <c r="F129" i="4"/>
  <c r="E129" i="4"/>
  <c r="D129" i="4"/>
  <c r="C129" i="4"/>
  <c r="B129" i="4"/>
  <c r="IL128" i="4"/>
  <c r="IK128" i="4"/>
  <c r="IJ128" i="4"/>
  <c r="II128" i="4"/>
  <c r="IH128" i="4"/>
  <c r="IG128" i="4"/>
  <c r="IF128" i="4"/>
  <c r="IE128" i="4"/>
  <c r="ID128" i="4"/>
  <c r="IC128" i="4"/>
  <c r="IB128" i="4"/>
  <c r="IA128" i="4"/>
  <c r="HZ128" i="4"/>
  <c r="HY128" i="4"/>
  <c r="HX128" i="4"/>
  <c r="HW128" i="4"/>
  <c r="HV128" i="4"/>
  <c r="HU128" i="4"/>
  <c r="HT128" i="4"/>
  <c r="HS128" i="4"/>
  <c r="HR128" i="4"/>
  <c r="HQ128" i="4"/>
  <c r="HP128" i="4"/>
  <c r="HO128" i="4"/>
  <c r="HN128" i="4"/>
  <c r="HM128" i="4"/>
  <c r="HL128" i="4"/>
  <c r="HK128" i="4"/>
  <c r="HJ128" i="4"/>
  <c r="HI128" i="4"/>
  <c r="HH128" i="4"/>
  <c r="HG128" i="4"/>
  <c r="HF128" i="4"/>
  <c r="HE128" i="4"/>
  <c r="HD128" i="4"/>
  <c r="HC128" i="4"/>
  <c r="HB128" i="4"/>
  <c r="HA128" i="4"/>
  <c r="GZ128" i="4"/>
  <c r="GY128" i="4"/>
  <c r="GX128" i="4"/>
  <c r="GW128" i="4"/>
  <c r="GV128" i="4"/>
  <c r="GU128" i="4"/>
  <c r="GT128" i="4"/>
  <c r="GS128" i="4"/>
  <c r="GR128" i="4"/>
  <c r="GQ128" i="4"/>
  <c r="GP128" i="4"/>
  <c r="GO128" i="4"/>
  <c r="GN128" i="4"/>
  <c r="GM128" i="4"/>
  <c r="GL128" i="4"/>
  <c r="GK128" i="4"/>
  <c r="GJ128" i="4"/>
  <c r="GI128" i="4"/>
  <c r="GH128" i="4"/>
  <c r="GG128" i="4"/>
  <c r="GF128" i="4"/>
  <c r="GE128" i="4"/>
  <c r="GD128" i="4"/>
  <c r="GC128" i="4"/>
  <c r="GB128" i="4"/>
  <c r="GA128" i="4"/>
  <c r="FZ128" i="4"/>
  <c r="FY128" i="4"/>
  <c r="FX128" i="4"/>
  <c r="FW128" i="4"/>
  <c r="FV128" i="4"/>
  <c r="FU128" i="4"/>
  <c r="FT128" i="4"/>
  <c r="FS128" i="4"/>
  <c r="FR128" i="4"/>
  <c r="FQ128" i="4"/>
  <c r="FP128" i="4"/>
  <c r="FO128" i="4"/>
  <c r="FN128" i="4"/>
  <c r="FM128" i="4"/>
  <c r="FL128" i="4"/>
  <c r="FK128" i="4"/>
  <c r="FJ128" i="4"/>
  <c r="FI128" i="4"/>
  <c r="FH128" i="4"/>
  <c r="FG128" i="4"/>
  <c r="FF128" i="4"/>
  <c r="FE128" i="4"/>
  <c r="FD128" i="4"/>
  <c r="FC128" i="4"/>
  <c r="FB128" i="4"/>
  <c r="FA128" i="4"/>
  <c r="EZ128" i="4"/>
  <c r="EY128" i="4"/>
  <c r="EX128" i="4"/>
  <c r="EW128" i="4"/>
  <c r="EV128" i="4"/>
  <c r="EU128" i="4"/>
  <c r="ET128" i="4"/>
  <c r="ES128" i="4"/>
  <c r="ER128" i="4"/>
  <c r="EQ128" i="4"/>
  <c r="EP128" i="4"/>
  <c r="EO128" i="4"/>
  <c r="EN128" i="4"/>
  <c r="EM128" i="4"/>
  <c r="EL128" i="4"/>
  <c r="EK128" i="4"/>
  <c r="EJ128" i="4"/>
  <c r="EI128" i="4"/>
  <c r="EH128" i="4"/>
  <c r="EG128" i="4"/>
  <c r="EF128" i="4"/>
  <c r="EE128" i="4"/>
  <c r="ED128" i="4"/>
  <c r="EC128" i="4"/>
  <c r="EB128" i="4"/>
  <c r="EA128" i="4"/>
  <c r="DZ128" i="4"/>
  <c r="DY128" i="4"/>
  <c r="DX128" i="4"/>
  <c r="DW128" i="4"/>
  <c r="DV128" i="4"/>
  <c r="DU128" i="4"/>
  <c r="DT128" i="4"/>
  <c r="DS128" i="4"/>
  <c r="DR128" i="4"/>
  <c r="DQ128" i="4"/>
  <c r="DP128" i="4"/>
  <c r="DO128" i="4"/>
  <c r="DN128" i="4"/>
  <c r="DM128" i="4"/>
  <c r="DL128" i="4"/>
  <c r="DK128" i="4"/>
  <c r="DJ128" i="4"/>
  <c r="DI128" i="4"/>
  <c r="DH128" i="4"/>
  <c r="DG128" i="4"/>
  <c r="DF128" i="4"/>
  <c r="DE128" i="4"/>
  <c r="DD128" i="4"/>
  <c r="DC128" i="4"/>
  <c r="DB128" i="4"/>
  <c r="DA128" i="4"/>
  <c r="CZ128" i="4"/>
  <c r="CY128" i="4"/>
  <c r="CX128" i="4"/>
  <c r="CW128" i="4"/>
  <c r="CV128" i="4"/>
  <c r="CU128" i="4"/>
  <c r="CT128" i="4"/>
  <c r="CS128" i="4"/>
  <c r="CR128" i="4"/>
  <c r="CQ128" i="4"/>
  <c r="CP128" i="4"/>
  <c r="CO128" i="4"/>
  <c r="CN128" i="4"/>
  <c r="CM128" i="4"/>
  <c r="CL128" i="4"/>
  <c r="CK128" i="4"/>
  <c r="CJ128" i="4"/>
  <c r="CI128" i="4"/>
  <c r="CH128" i="4"/>
  <c r="CG128" i="4"/>
  <c r="CF128" i="4"/>
  <c r="CE128" i="4"/>
  <c r="CD128" i="4"/>
  <c r="CC128" i="4"/>
  <c r="CB128" i="4"/>
  <c r="CA128" i="4"/>
  <c r="BZ128" i="4"/>
  <c r="BY128" i="4"/>
  <c r="BX128" i="4"/>
  <c r="BW128" i="4"/>
  <c r="BV128" i="4"/>
  <c r="BU128" i="4"/>
  <c r="BT128" i="4"/>
  <c r="BS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L47" i="6" s="1" a="1"/>
  <c r="L47" i="6" s="1"/>
  <c r="E128" i="4"/>
  <c r="D128" i="4"/>
  <c r="C128" i="4"/>
  <c r="B128" i="4"/>
  <c r="IL127" i="4"/>
  <c r="IK127" i="4"/>
  <c r="IJ127" i="4"/>
  <c r="II127" i="4"/>
  <c r="IH127" i="4"/>
  <c r="IG127" i="4"/>
  <c r="IF127" i="4"/>
  <c r="IE127" i="4"/>
  <c r="ID127" i="4"/>
  <c r="IC127" i="4"/>
  <c r="IB127" i="4"/>
  <c r="IA127" i="4"/>
  <c r="HZ127" i="4"/>
  <c r="HY127" i="4"/>
  <c r="HX127" i="4"/>
  <c r="HW127" i="4"/>
  <c r="HV127" i="4"/>
  <c r="HU127" i="4"/>
  <c r="HT127" i="4"/>
  <c r="HS127" i="4"/>
  <c r="HR127" i="4"/>
  <c r="HQ127" i="4"/>
  <c r="HP127" i="4"/>
  <c r="HO127" i="4"/>
  <c r="HN127" i="4"/>
  <c r="HM127" i="4"/>
  <c r="HL127" i="4"/>
  <c r="HK127" i="4"/>
  <c r="HJ127" i="4"/>
  <c r="HI127" i="4"/>
  <c r="HH127" i="4"/>
  <c r="HG127" i="4"/>
  <c r="HF127" i="4"/>
  <c r="HE127" i="4"/>
  <c r="HD127" i="4"/>
  <c r="HC127" i="4"/>
  <c r="HB127" i="4"/>
  <c r="HA127" i="4"/>
  <c r="GZ127" i="4"/>
  <c r="GY127" i="4"/>
  <c r="GX127" i="4"/>
  <c r="GW127" i="4"/>
  <c r="GV127" i="4"/>
  <c r="GU127" i="4"/>
  <c r="GT127" i="4"/>
  <c r="GS127" i="4"/>
  <c r="GR127" i="4"/>
  <c r="GQ127" i="4"/>
  <c r="GP127" i="4"/>
  <c r="GO127" i="4"/>
  <c r="GN127" i="4"/>
  <c r="GM127" i="4"/>
  <c r="GL127" i="4"/>
  <c r="GK127" i="4"/>
  <c r="GJ127" i="4"/>
  <c r="GI127" i="4"/>
  <c r="GH127" i="4"/>
  <c r="GG127" i="4"/>
  <c r="GF127" i="4"/>
  <c r="GE127" i="4"/>
  <c r="GD127" i="4"/>
  <c r="GC127" i="4"/>
  <c r="GB127" i="4"/>
  <c r="GA127" i="4"/>
  <c r="FZ127" i="4"/>
  <c r="FY127" i="4"/>
  <c r="FX127" i="4"/>
  <c r="FW127" i="4"/>
  <c r="FV127" i="4"/>
  <c r="FU127" i="4"/>
  <c r="FT127" i="4"/>
  <c r="FS127" i="4"/>
  <c r="FR127" i="4"/>
  <c r="FQ127" i="4"/>
  <c r="FP127" i="4"/>
  <c r="FO127" i="4"/>
  <c r="FN127" i="4"/>
  <c r="FM127" i="4"/>
  <c r="FL127" i="4"/>
  <c r="FK127" i="4"/>
  <c r="FJ127" i="4"/>
  <c r="FI127" i="4"/>
  <c r="FH127" i="4"/>
  <c r="FG127" i="4"/>
  <c r="FF127" i="4"/>
  <c r="FE127" i="4"/>
  <c r="FD127" i="4"/>
  <c r="FC127" i="4"/>
  <c r="FB127" i="4"/>
  <c r="FA127" i="4"/>
  <c r="EZ127" i="4"/>
  <c r="EY127" i="4"/>
  <c r="EX127" i="4"/>
  <c r="EW127" i="4"/>
  <c r="EV127" i="4"/>
  <c r="EU127" i="4"/>
  <c r="ET127" i="4"/>
  <c r="ES127" i="4"/>
  <c r="ER127" i="4"/>
  <c r="EQ127" i="4"/>
  <c r="EP127" i="4"/>
  <c r="EO127" i="4"/>
  <c r="EN127" i="4"/>
  <c r="EM127" i="4"/>
  <c r="EL127" i="4"/>
  <c r="EK127" i="4"/>
  <c r="EJ127" i="4"/>
  <c r="EI127" i="4"/>
  <c r="EH127" i="4"/>
  <c r="EG127" i="4"/>
  <c r="EF127" i="4"/>
  <c r="EE127" i="4"/>
  <c r="ED127" i="4"/>
  <c r="EC127" i="4"/>
  <c r="EB127" i="4"/>
  <c r="EA127" i="4"/>
  <c r="DZ127" i="4"/>
  <c r="DY127" i="4"/>
  <c r="DX127" i="4"/>
  <c r="DW127" i="4"/>
  <c r="DV127" i="4"/>
  <c r="DU127" i="4"/>
  <c r="DT127" i="4"/>
  <c r="DS127" i="4"/>
  <c r="DR127" i="4"/>
  <c r="DQ127" i="4"/>
  <c r="DP127" i="4"/>
  <c r="DO127" i="4"/>
  <c r="DN127" i="4"/>
  <c r="DM127" i="4"/>
  <c r="DL127" i="4"/>
  <c r="DK127" i="4"/>
  <c r="DJ127" i="4"/>
  <c r="DI127" i="4"/>
  <c r="DH127" i="4"/>
  <c r="DG127" i="4"/>
  <c r="DF127" i="4"/>
  <c r="DE127" i="4"/>
  <c r="DD127" i="4"/>
  <c r="DC127" i="4"/>
  <c r="DB127" i="4"/>
  <c r="DA127" i="4"/>
  <c r="CZ127" i="4"/>
  <c r="CY127" i="4"/>
  <c r="CX127" i="4"/>
  <c r="CW127" i="4"/>
  <c r="CV127" i="4"/>
  <c r="CU127" i="4"/>
  <c r="CT127" i="4"/>
  <c r="CS127" i="4"/>
  <c r="CR127" i="4"/>
  <c r="CQ127" i="4"/>
  <c r="CP127" i="4"/>
  <c r="CO127" i="4"/>
  <c r="CN127" i="4"/>
  <c r="CM127" i="4"/>
  <c r="CL127" i="4"/>
  <c r="CK127" i="4"/>
  <c r="CJ127" i="4"/>
  <c r="CI127" i="4"/>
  <c r="CH127" i="4"/>
  <c r="CG127" i="4"/>
  <c r="CF127" i="4"/>
  <c r="CE127" i="4"/>
  <c r="CD127" i="4"/>
  <c r="CC127" i="4"/>
  <c r="CB127" i="4"/>
  <c r="CA127" i="4"/>
  <c r="BZ127" i="4"/>
  <c r="BY127" i="4"/>
  <c r="BX127" i="4"/>
  <c r="BW127" i="4"/>
  <c r="BV127" i="4"/>
  <c r="BU127" i="4"/>
  <c r="BT127" i="4"/>
  <c r="BS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L46" i="6" s="1" a="1"/>
  <c r="L46" i="6" s="1"/>
  <c r="B127" i="4"/>
  <c r="IL126" i="4"/>
  <c r="IK126" i="4"/>
  <c r="IJ126" i="4"/>
  <c r="II126" i="4"/>
  <c r="IH126" i="4"/>
  <c r="IG126" i="4"/>
  <c r="IF126" i="4"/>
  <c r="IE126" i="4"/>
  <c r="ID126" i="4"/>
  <c r="IC126" i="4"/>
  <c r="IB126" i="4"/>
  <c r="IA126" i="4"/>
  <c r="HZ126" i="4"/>
  <c r="HY126" i="4"/>
  <c r="HX126" i="4"/>
  <c r="HW126" i="4"/>
  <c r="HV126" i="4"/>
  <c r="HU126" i="4"/>
  <c r="HT126" i="4"/>
  <c r="HS126" i="4"/>
  <c r="HR126" i="4"/>
  <c r="HQ126" i="4"/>
  <c r="HP126" i="4"/>
  <c r="HO126" i="4"/>
  <c r="HN126" i="4"/>
  <c r="HM126" i="4"/>
  <c r="HL126" i="4"/>
  <c r="HK126" i="4"/>
  <c r="HJ126" i="4"/>
  <c r="HI126" i="4"/>
  <c r="HH126" i="4"/>
  <c r="HG126" i="4"/>
  <c r="HF126" i="4"/>
  <c r="HE126" i="4"/>
  <c r="HD126" i="4"/>
  <c r="HC126" i="4"/>
  <c r="HB126" i="4"/>
  <c r="HA126" i="4"/>
  <c r="GZ126" i="4"/>
  <c r="GY126" i="4"/>
  <c r="GX126" i="4"/>
  <c r="GW126" i="4"/>
  <c r="GV126" i="4"/>
  <c r="GU126" i="4"/>
  <c r="GT126" i="4"/>
  <c r="GS126" i="4"/>
  <c r="GR126" i="4"/>
  <c r="GQ126" i="4"/>
  <c r="GP126" i="4"/>
  <c r="GO126" i="4"/>
  <c r="GN126" i="4"/>
  <c r="GM126" i="4"/>
  <c r="GL126" i="4"/>
  <c r="GK126" i="4"/>
  <c r="GJ126" i="4"/>
  <c r="GI126" i="4"/>
  <c r="GH126" i="4"/>
  <c r="GG126" i="4"/>
  <c r="GF126" i="4"/>
  <c r="GE126" i="4"/>
  <c r="GD126" i="4"/>
  <c r="GC126" i="4"/>
  <c r="GB126" i="4"/>
  <c r="GA126" i="4"/>
  <c r="FZ126" i="4"/>
  <c r="FY126" i="4"/>
  <c r="FX126" i="4"/>
  <c r="FW126" i="4"/>
  <c r="FV126" i="4"/>
  <c r="FU126" i="4"/>
  <c r="FT126" i="4"/>
  <c r="FS126" i="4"/>
  <c r="FR126" i="4"/>
  <c r="FQ126" i="4"/>
  <c r="FP126" i="4"/>
  <c r="FO126" i="4"/>
  <c r="FN126" i="4"/>
  <c r="FM126" i="4"/>
  <c r="FL126" i="4"/>
  <c r="FK126" i="4"/>
  <c r="FJ126" i="4"/>
  <c r="FI126" i="4"/>
  <c r="FH126" i="4"/>
  <c r="FG126" i="4"/>
  <c r="FF126" i="4"/>
  <c r="FE126" i="4"/>
  <c r="FD126" i="4"/>
  <c r="FC126" i="4"/>
  <c r="FB126" i="4"/>
  <c r="FA126" i="4"/>
  <c r="EZ126" i="4"/>
  <c r="EY126" i="4"/>
  <c r="EX126" i="4"/>
  <c r="EW126" i="4"/>
  <c r="EV126" i="4"/>
  <c r="EU126" i="4"/>
  <c r="ET126" i="4"/>
  <c r="ES126" i="4"/>
  <c r="ER126" i="4"/>
  <c r="EQ126" i="4"/>
  <c r="EP126" i="4"/>
  <c r="EO126" i="4"/>
  <c r="EN126" i="4"/>
  <c r="EM126" i="4"/>
  <c r="EL126" i="4"/>
  <c r="EK126" i="4"/>
  <c r="EJ126" i="4"/>
  <c r="EI126" i="4"/>
  <c r="EH126" i="4"/>
  <c r="EG126" i="4"/>
  <c r="EF126" i="4"/>
  <c r="EE126" i="4"/>
  <c r="ED126" i="4"/>
  <c r="EC126" i="4"/>
  <c r="EB126" i="4"/>
  <c r="EA126" i="4"/>
  <c r="DZ126" i="4"/>
  <c r="DY126" i="4"/>
  <c r="DX126" i="4"/>
  <c r="DW126" i="4"/>
  <c r="DV126" i="4"/>
  <c r="DU126" i="4"/>
  <c r="DT126" i="4"/>
  <c r="DS126" i="4"/>
  <c r="DR126" i="4"/>
  <c r="DQ126" i="4"/>
  <c r="DP126" i="4"/>
  <c r="DO126" i="4"/>
  <c r="DN126" i="4"/>
  <c r="DM126" i="4"/>
  <c r="DL126" i="4"/>
  <c r="DK126" i="4"/>
  <c r="DJ126" i="4"/>
  <c r="DI126" i="4"/>
  <c r="DH126" i="4"/>
  <c r="DG126" i="4"/>
  <c r="DF126" i="4"/>
  <c r="DE126" i="4"/>
  <c r="DD126" i="4"/>
  <c r="DC126" i="4"/>
  <c r="DB126" i="4"/>
  <c r="DA126" i="4"/>
  <c r="CZ126" i="4"/>
  <c r="CY126" i="4"/>
  <c r="CX126" i="4"/>
  <c r="CW126" i="4"/>
  <c r="CV126" i="4"/>
  <c r="CU126" i="4"/>
  <c r="CT126" i="4"/>
  <c r="CS126" i="4"/>
  <c r="CR126" i="4"/>
  <c r="CQ126" i="4"/>
  <c r="CP126" i="4"/>
  <c r="CO126" i="4"/>
  <c r="CN126" i="4"/>
  <c r="CM126" i="4"/>
  <c r="CL126" i="4"/>
  <c r="CK126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W126" i="4"/>
  <c r="BV126" i="4"/>
  <c r="BU126" i="4"/>
  <c r="BT126" i="4"/>
  <c r="BS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L45" i="6" s="1" a="1"/>
  <c r="L45" i="6" s="1"/>
  <c r="B126" i="4"/>
  <c r="IL125" i="4"/>
  <c r="IK125" i="4"/>
  <c r="IJ125" i="4"/>
  <c r="II125" i="4"/>
  <c r="IH125" i="4"/>
  <c r="IG125" i="4"/>
  <c r="IF125" i="4"/>
  <c r="IE125" i="4"/>
  <c r="ID125" i="4"/>
  <c r="IC125" i="4"/>
  <c r="IB125" i="4"/>
  <c r="IA125" i="4"/>
  <c r="HZ125" i="4"/>
  <c r="HY125" i="4"/>
  <c r="HX125" i="4"/>
  <c r="HW125" i="4"/>
  <c r="HV125" i="4"/>
  <c r="HU125" i="4"/>
  <c r="HT125" i="4"/>
  <c r="HS125" i="4"/>
  <c r="HR125" i="4"/>
  <c r="HQ125" i="4"/>
  <c r="HP125" i="4"/>
  <c r="HO125" i="4"/>
  <c r="HN125" i="4"/>
  <c r="HM125" i="4"/>
  <c r="HL125" i="4"/>
  <c r="HK125" i="4"/>
  <c r="HJ125" i="4"/>
  <c r="HI125" i="4"/>
  <c r="HH125" i="4"/>
  <c r="HG125" i="4"/>
  <c r="HF125" i="4"/>
  <c r="HE125" i="4"/>
  <c r="HD125" i="4"/>
  <c r="HC125" i="4"/>
  <c r="HB125" i="4"/>
  <c r="HA125" i="4"/>
  <c r="GZ125" i="4"/>
  <c r="GY125" i="4"/>
  <c r="GX125" i="4"/>
  <c r="GW125" i="4"/>
  <c r="GV125" i="4"/>
  <c r="GU125" i="4"/>
  <c r="GT125" i="4"/>
  <c r="GS125" i="4"/>
  <c r="GR125" i="4"/>
  <c r="GQ125" i="4"/>
  <c r="GP125" i="4"/>
  <c r="GO125" i="4"/>
  <c r="GN125" i="4"/>
  <c r="GM125" i="4"/>
  <c r="GL125" i="4"/>
  <c r="GK125" i="4"/>
  <c r="GJ125" i="4"/>
  <c r="GI125" i="4"/>
  <c r="GH125" i="4"/>
  <c r="GG125" i="4"/>
  <c r="GF125" i="4"/>
  <c r="GE125" i="4"/>
  <c r="GD125" i="4"/>
  <c r="GC125" i="4"/>
  <c r="GB125" i="4"/>
  <c r="GA125" i="4"/>
  <c r="FZ125" i="4"/>
  <c r="FY125" i="4"/>
  <c r="FX125" i="4"/>
  <c r="FW125" i="4"/>
  <c r="FV125" i="4"/>
  <c r="FU125" i="4"/>
  <c r="FT125" i="4"/>
  <c r="FS125" i="4"/>
  <c r="FR125" i="4"/>
  <c r="FQ125" i="4"/>
  <c r="FP125" i="4"/>
  <c r="FO125" i="4"/>
  <c r="FN125" i="4"/>
  <c r="FM125" i="4"/>
  <c r="FL125" i="4"/>
  <c r="FK125" i="4"/>
  <c r="FJ125" i="4"/>
  <c r="FI125" i="4"/>
  <c r="FH125" i="4"/>
  <c r="FG125" i="4"/>
  <c r="FF125" i="4"/>
  <c r="FE125" i="4"/>
  <c r="FD125" i="4"/>
  <c r="FC125" i="4"/>
  <c r="FB125" i="4"/>
  <c r="FA125" i="4"/>
  <c r="EZ125" i="4"/>
  <c r="EY125" i="4"/>
  <c r="EX125" i="4"/>
  <c r="EW125" i="4"/>
  <c r="EV125" i="4"/>
  <c r="EU125" i="4"/>
  <c r="ET125" i="4"/>
  <c r="ES125" i="4"/>
  <c r="ER125" i="4"/>
  <c r="EQ125" i="4"/>
  <c r="EP125" i="4"/>
  <c r="EO125" i="4"/>
  <c r="EN125" i="4"/>
  <c r="EM125" i="4"/>
  <c r="EL125" i="4"/>
  <c r="EK125" i="4"/>
  <c r="EJ125" i="4"/>
  <c r="EI125" i="4"/>
  <c r="EH125" i="4"/>
  <c r="EG125" i="4"/>
  <c r="EF125" i="4"/>
  <c r="EE125" i="4"/>
  <c r="ED125" i="4"/>
  <c r="EC125" i="4"/>
  <c r="EB125" i="4"/>
  <c r="EA125" i="4"/>
  <c r="DZ125" i="4"/>
  <c r="DY125" i="4"/>
  <c r="DX125" i="4"/>
  <c r="DW125" i="4"/>
  <c r="DV125" i="4"/>
  <c r="DU125" i="4"/>
  <c r="DT125" i="4"/>
  <c r="DS125" i="4"/>
  <c r="DR125" i="4"/>
  <c r="DQ125" i="4"/>
  <c r="DP125" i="4"/>
  <c r="DO125" i="4"/>
  <c r="DN125" i="4"/>
  <c r="DM125" i="4"/>
  <c r="DL125" i="4"/>
  <c r="DK125" i="4"/>
  <c r="DJ125" i="4"/>
  <c r="DI125" i="4"/>
  <c r="DH125" i="4"/>
  <c r="DG125" i="4"/>
  <c r="DF125" i="4"/>
  <c r="DE125" i="4"/>
  <c r="DD125" i="4"/>
  <c r="DC125" i="4"/>
  <c r="DB125" i="4"/>
  <c r="DA125" i="4"/>
  <c r="CZ125" i="4"/>
  <c r="CY125" i="4"/>
  <c r="CX125" i="4"/>
  <c r="CW125" i="4"/>
  <c r="CV125" i="4"/>
  <c r="CU125" i="4"/>
  <c r="CT125" i="4"/>
  <c r="CS125" i="4"/>
  <c r="CR125" i="4"/>
  <c r="CQ125" i="4"/>
  <c r="CP125" i="4"/>
  <c r="CO125" i="4"/>
  <c r="CN125" i="4"/>
  <c r="CM125" i="4"/>
  <c r="CL125" i="4"/>
  <c r="CK125" i="4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W125" i="4"/>
  <c r="BV125" i="4"/>
  <c r="BU125" i="4"/>
  <c r="BT125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IL124" i="4"/>
  <c r="IK124" i="4"/>
  <c r="IJ124" i="4"/>
  <c r="II124" i="4"/>
  <c r="IH124" i="4"/>
  <c r="IG124" i="4"/>
  <c r="IF124" i="4"/>
  <c r="IE124" i="4"/>
  <c r="ID124" i="4"/>
  <c r="IC124" i="4"/>
  <c r="IB124" i="4"/>
  <c r="IA124" i="4"/>
  <c r="HZ124" i="4"/>
  <c r="HY124" i="4"/>
  <c r="HX124" i="4"/>
  <c r="HW124" i="4"/>
  <c r="HV124" i="4"/>
  <c r="HU124" i="4"/>
  <c r="HT124" i="4"/>
  <c r="HS124" i="4"/>
  <c r="HR124" i="4"/>
  <c r="HQ124" i="4"/>
  <c r="HP124" i="4"/>
  <c r="HO124" i="4"/>
  <c r="HN124" i="4"/>
  <c r="HM124" i="4"/>
  <c r="HL124" i="4"/>
  <c r="HK124" i="4"/>
  <c r="HJ124" i="4"/>
  <c r="HI124" i="4"/>
  <c r="HH124" i="4"/>
  <c r="HG124" i="4"/>
  <c r="HF124" i="4"/>
  <c r="HE124" i="4"/>
  <c r="HD124" i="4"/>
  <c r="HC124" i="4"/>
  <c r="HB124" i="4"/>
  <c r="HA124" i="4"/>
  <c r="GZ124" i="4"/>
  <c r="GY124" i="4"/>
  <c r="GX124" i="4"/>
  <c r="GW124" i="4"/>
  <c r="GV124" i="4"/>
  <c r="GU124" i="4"/>
  <c r="GT124" i="4"/>
  <c r="GS124" i="4"/>
  <c r="GR124" i="4"/>
  <c r="GQ124" i="4"/>
  <c r="GP124" i="4"/>
  <c r="GO124" i="4"/>
  <c r="GN124" i="4"/>
  <c r="GM124" i="4"/>
  <c r="GL124" i="4"/>
  <c r="GK124" i="4"/>
  <c r="GJ124" i="4"/>
  <c r="GI124" i="4"/>
  <c r="GH124" i="4"/>
  <c r="GG124" i="4"/>
  <c r="GF124" i="4"/>
  <c r="GE124" i="4"/>
  <c r="GD124" i="4"/>
  <c r="GC124" i="4"/>
  <c r="GB124" i="4"/>
  <c r="GA124" i="4"/>
  <c r="FZ124" i="4"/>
  <c r="FY124" i="4"/>
  <c r="FX124" i="4"/>
  <c r="FW124" i="4"/>
  <c r="FV124" i="4"/>
  <c r="FU124" i="4"/>
  <c r="FT124" i="4"/>
  <c r="FS124" i="4"/>
  <c r="FR124" i="4"/>
  <c r="FQ124" i="4"/>
  <c r="FP124" i="4"/>
  <c r="FO124" i="4"/>
  <c r="FN124" i="4"/>
  <c r="FM124" i="4"/>
  <c r="FL124" i="4"/>
  <c r="FK124" i="4"/>
  <c r="FJ124" i="4"/>
  <c r="FI124" i="4"/>
  <c r="FH124" i="4"/>
  <c r="FG124" i="4"/>
  <c r="FF124" i="4"/>
  <c r="FE124" i="4"/>
  <c r="FD124" i="4"/>
  <c r="FC124" i="4"/>
  <c r="FB124" i="4"/>
  <c r="FA124" i="4"/>
  <c r="EZ124" i="4"/>
  <c r="EY124" i="4"/>
  <c r="EX124" i="4"/>
  <c r="EW124" i="4"/>
  <c r="EV124" i="4"/>
  <c r="EU124" i="4"/>
  <c r="ET124" i="4"/>
  <c r="ES124" i="4"/>
  <c r="ER124" i="4"/>
  <c r="EQ124" i="4"/>
  <c r="EP124" i="4"/>
  <c r="EO124" i="4"/>
  <c r="EN124" i="4"/>
  <c r="EM124" i="4"/>
  <c r="EL124" i="4"/>
  <c r="EK124" i="4"/>
  <c r="EJ124" i="4"/>
  <c r="EI124" i="4"/>
  <c r="EH124" i="4"/>
  <c r="EG124" i="4"/>
  <c r="EF124" i="4"/>
  <c r="EE124" i="4"/>
  <c r="ED124" i="4"/>
  <c r="EC124" i="4"/>
  <c r="EB124" i="4"/>
  <c r="EA124" i="4"/>
  <c r="DZ124" i="4"/>
  <c r="DY124" i="4"/>
  <c r="DX124" i="4"/>
  <c r="DW124" i="4"/>
  <c r="DV124" i="4"/>
  <c r="DU124" i="4"/>
  <c r="DT124" i="4"/>
  <c r="DS124" i="4"/>
  <c r="DR124" i="4"/>
  <c r="DQ124" i="4"/>
  <c r="DP124" i="4"/>
  <c r="DO124" i="4"/>
  <c r="DN124" i="4"/>
  <c r="DM124" i="4"/>
  <c r="DL124" i="4"/>
  <c r="DK124" i="4"/>
  <c r="DJ124" i="4"/>
  <c r="DI124" i="4"/>
  <c r="DH124" i="4"/>
  <c r="DG124" i="4"/>
  <c r="DF124" i="4"/>
  <c r="DE124" i="4"/>
  <c r="DD124" i="4"/>
  <c r="DC124" i="4"/>
  <c r="DB124" i="4"/>
  <c r="DA124" i="4"/>
  <c r="CZ124" i="4"/>
  <c r="CY124" i="4"/>
  <c r="CX124" i="4"/>
  <c r="CW124" i="4"/>
  <c r="CV124" i="4"/>
  <c r="CU124" i="4"/>
  <c r="CT124" i="4"/>
  <c r="CS124" i="4"/>
  <c r="CR124" i="4"/>
  <c r="CQ124" i="4"/>
  <c r="CP124" i="4"/>
  <c r="CO124" i="4"/>
  <c r="CN124" i="4"/>
  <c r="CM124" i="4"/>
  <c r="CL124" i="4"/>
  <c r="CK124" i="4"/>
  <c r="CJ124" i="4"/>
  <c r="CI124" i="4"/>
  <c r="CH124" i="4"/>
  <c r="CG124" i="4"/>
  <c r="CF124" i="4"/>
  <c r="CE124" i="4"/>
  <c r="CD124" i="4"/>
  <c r="CC124" i="4"/>
  <c r="CB124" i="4"/>
  <c r="CA124" i="4"/>
  <c r="BZ124" i="4"/>
  <c r="BY124" i="4"/>
  <c r="BX124" i="4"/>
  <c r="BW124" i="4"/>
  <c r="BV124" i="4"/>
  <c r="BU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IL123" i="4"/>
  <c r="IK123" i="4"/>
  <c r="IJ123" i="4"/>
  <c r="II123" i="4"/>
  <c r="IH123" i="4"/>
  <c r="IG123" i="4"/>
  <c r="IF123" i="4"/>
  <c r="IE123" i="4"/>
  <c r="ID123" i="4"/>
  <c r="IC123" i="4"/>
  <c r="IB123" i="4"/>
  <c r="IA123" i="4"/>
  <c r="HZ123" i="4"/>
  <c r="HY123" i="4"/>
  <c r="HX123" i="4"/>
  <c r="HW123" i="4"/>
  <c r="HV123" i="4"/>
  <c r="HU123" i="4"/>
  <c r="HT123" i="4"/>
  <c r="HS123" i="4"/>
  <c r="HR123" i="4"/>
  <c r="HQ123" i="4"/>
  <c r="HP123" i="4"/>
  <c r="HO123" i="4"/>
  <c r="HN123" i="4"/>
  <c r="HM123" i="4"/>
  <c r="HL123" i="4"/>
  <c r="HK123" i="4"/>
  <c r="HJ123" i="4"/>
  <c r="HI123" i="4"/>
  <c r="HH123" i="4"/>
  <c r="HG123" i="4"/>
  <c r="HF123" i="4"/>
  <c r="HE123" i="4"/>
  <c r="HD123" i="4"/>
  <c r="HC123" i="4"/>
  <c r="HB123" i="4"/>
  <c r="HA123" i="4"/>
  <c r="GZ123" i="4"/>
  <c r="GY123" i="4"/>
  <c r="GX123" i="4"/>
  <c r="GW123" i="4"/>
  <c r="GV123" i="4"/>
  <c r="GU123" i="4"/>
  <c r="GT123" i="4"/>
  <c r="GS123" i="4"/>
  <c r="GR123" i="4"/>
  <c r="GQ123" i="4"/>
  <c r="GP123" i="4"/>
  <c r="GO123" i="4"/>
  <c r="GN123" i="4"/>
  <c r="GM123" i="4"/>
  <c r="GL123" i="4"/>
  <c r="GK123" i="4"/>
  <c r="GJ123" i="4"/>
  <c r="GI123" i="4"/>
  <c r="GH123" i="4"/>
  <c r="GG123" i="4"/>
  <c r="GF123" i="4"/>
  <c r="GE123" i="4"/>
  <c r="GD123" i="4"/>
  <c r="GC123" i="4"/>
  <c r="GB123" i="4"/>
  <c r="GA123" i="4"/>
  <c r="FZ123" i="4"/>
  <c r="FY123" i="4"/>
  <c r="FX123" i="4"/>
  <c r="FW123" i="4"/>
  <c r="FV123" i="4"/>
  <c r="FU123" i="4"/>
  <c r="FT123" i="4"/>
  <c r="FS123" i="4"/>
  <c r="FR123" i="4"/>
  <c r="FQ123" i="4"/>
  <c r="FP123" i="4"/>
  <c r="FO123" i="4"/>
  <c r="FN123" i="4"/>
  <c r="FM123" i="4"/>
  <c r="FL123" i="4"/>
  <c r="FK123" i="4"/>
  <c r="FJ123" i="4"/>
  <c r="FI123" i="4"/>
  <c r="FH123" i="4"/>
  <c r="FG123" i="4"/>
  <c r="FF123" i="4"/>
  <c r="FE123" i="4"/>
  <c r="FD123" i="4"/>
  <c r="FC123" i="4"/>
  <c r="FB123" i="4"/>
  <c r="FA123" i="4"/>
  <c r="EZ123" i="4"/>
  <c r="EY123" i="4"/>
  <c r="EX123" i="4"/>
  <c r="EW123" i="4"/>
  <c r="EV123" i="4"/>
  <c r="EU123" i="4"/>
  <c r="ET123" i="4"/>
  <c r="ES123" i="4"/>
  <c r="ER123" i="4"/>
  <c r="EQ123" i="4"/>
  <c r="EP123" i="4"/>
  <c r="EO123" i="4"/>
  <c r="EN123" i="4"/>
  <c r="EM123" i="4"/>
  <c r="EL123" i="4"/>
  <c r="EK123" i="4"/>
  <c r="EJ123" i="4"/>
  <c r="EI123" i="4"/>
  <c r="EH123" i="4"/>
  <c r="EG123" i="4"/>
  <c r="EF123" i="4"/>
  <c r="EE123" i="4"/>
  <c r="ED123" i="4"/>
  <c r="EC123" i="4"/>
  <c r="EB123" i="4"/>
  <c r="EA123" i="4"/>
  <c r="DZ123" i="4"/>
  <c r="DY123" i="4"/>
  <c r="DX123" i="4"/>
  <c r="DW123" i="4"/>
  <c r="DV123" i="4"/>
  <c r="DU123" i="4"/>
  <c r="DT123" i="4"/>
  <c r="DS123" i="4"/>
  <c r="DR123" i="4"/>
  <c r="DQ123" i="4"/>
  <c r="DP123" i="4"/>
  <c r="DO123" i="4"/>
  <c r="DN123" i="4"/>
  <c r="DM123" i="4"/>
  <c r="DL123" i="4"/>
  <c r="DK123" i="4"/>
  <c r="DJ123" i="4"/>
  <c r="DI123" i="4"/>
  <c r="DH123" i="4"/>
  <c r="DG123" i="4"/>
  <c r="DF123" i="4"/>
  <c r="DE123" i="4"/>
  <c r="DD123" i="4"/>
  <c r="DC123" i="4"/>
  <c r="DB123" i="4"/>
  <c r="DA123" i="4"/>
  <c r="CZ123" i="4"/>
  <c r="CY123" i="4"/>
  <c r="CX123" i="4"/>
  <c r="CW123" i="4"/>
  <c r="CV123" i="4"/>
  <c r="CU123" i="4"/>
  <c r="CT123" i="4"/>
  <c r="CS123" i="4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W123" i="4"/>
  <c r="BV123" i="4"/>
  <c r="BU123" i="4"/>
  <c r="BT123" i="4"/>
  <c r="BS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L42" i="6" s="1" a="1"/>
  <c r="L42" i="6" s="1"/>
  <c r="F123" i="4"/>
  <c r="E123" i="4"/>
  <c r="D123" i="4"/>
  <c r="C123" i="4"/>
  <c r="B123" i="4"/>
  <c r="IL122" i="4"/>
  <c r="IK122" i="4"/>
  <c r="IJ122" i="4"/>
  <c r="II122" i="4"/>
  <c r="IH122" i="4"/>
  <c r="IG122" i="4"/>
  <c r="IF122" i="4"/>
  <c r="IE122" i="4"/>
  <c r="ID122" i="4"/>
  <c r="IC122" i="4"/>
  <c r="IB122" i="4"/>
  <c r="IA122" i="4"/>
  <c r="HZ122" i="4"/>
  <c r="HY122" i="4"/>
  <c r="HX122" i="4"/>
  <c r="HW122" i="4"/>
  <c r="HV122" i="4"/>
  <c r="HU122" i="4"/>
  <c r="HT122" i="4"/>
  <c r="HS122" i="4"/>
  <c r="HR122" i="4"/>
  <c r="HQ122" i="4"/>
  <c r="HP122" i="4"/>
  <c r="HO122" i="4"/>
  <c r="HN122" i="4"/>
  <c r="HM122" i="4"/>
  <c r="HL122" i="4"/>
  <c r="HK122" i="4"/>
  <c r="HJ122" i="4"/>
  <c r="HI122" i="4"/>
  <c r="HH122" i="4"/>
  <c r="HG122" i="4"/>
  <c r="HF122" i="4"/>
  <c r="HE122" i="4"/>
  <c r="HD122" i="4"/>
  <c r="HC122" i="4"/>
  <c r="HB122" i="4"/>
  <c r="HA122" i="4"/>
  <c r="GZ122" i="4"/>
  <c r="GY122" i="4"/>
  <c r="GX122" i="4"/>
  <c r="GW122" i="4"/>
  <c r="GV122" i="4"/>
  <c r="GU122" i="4"/>
  <c r="GT122" i="4"/>
  <c r="GS122" i="4"/>
  <c r="GR122" i="4"/>
  <c r="GQ122" i="4"/>
  <c r="GP122" i="4"/>
  <c r="GO122" i="4"/>
  <c r="GN122" i="4"/>
  <c r="GM122" i="4"/>
  <c r="GL122" i="4"/>
  <c r="GK122" i="4"/>
  <c r="GJ122" i="4"/>
  <c r="GI122" i="4"/>
  <c r="GH122" i="4"/>
  <c r="GG122" i="4"/>
  <c r="GF122" i="4"/>
  <c r="GE122" i="4"/>
  <c r="GD122" i="4"/>
  <c r="GC122" i="4"/>
  <c r="GB122" i="4"/>
  <c r="GA122" i="4"/>
  <c r="FZ122" i="4"/>
  <c r="FY122" i="4"/>
  <c r="FX122" i="4"/>
  <c r="FW122" i="4"/>
  <c r="FV122" i="4"/>
  <c r="FU122" i="4"/>
  <c r="FT122" i="4"/>
  <c r="FS122" i="4"/>
  <c r="FR122" i="4"/>
  <c r="FQ122" i="4"/>
  <c r="FP122" i="4"/>
  <c r="FO122" i="4"/>
  <c r="FN122" i="4"/>
  <c r="FM122" i="4"/>
  <c r="FL122" i="4"/>
  <c r="FK122" i="4"/>
  <c r="FJ122" i="4"/>
  <c r="FI122" i="4"/>
  <c r="FH122" i="4"/>
  <c r="FG122" i="4"/>
  <c r="FF122" i="4"/>
  <c r="FE122" i="4"/>
  <c r="FD122" i="4"/>
  <c r="FC122" i="4"/>
  <c r="FB122" i="4"/>
  <c r="FA122" i="4"/>
  <c r="EZ122" i="4"/>
  <c r="EY122" i="4"/>
  <c r="EX122" i="4"/>
  <c r="EW122" i="4"/>
  <c r="EV122" i="4"/>
  <c r="EU122" i="4"/>
  <c r="ET122" i="4"/>
  <c r="ES122" i="4"/>
  <c r="ER122" i="4"/>
  <c r="EQ122" i="4"/>
  <c r="EP122" i="4"/>
  <c r="EO122" i="4"/>
  <c r="EN122" i="4"/>
  <c r="EM122" i="4"/>
  <c r="EL122" i="4"/>
  <c r="EK122" i="4"/>
  <c r="EJ122" i="4"/>
  <c r="EI122" i="4"/>
  <c r="EH122" i="4"/>
  <c r="EG122" i="4"/>
  <c r="EF122" i="4"/>
  <c r="EE122" i="4"/>
  <c r="ED122" i="4"/>
  <c r="EC122" i="4"/>
  <c r="EB122" i="4"/>
  <c r="EA122" i="4"/>
  <c r="DZ122" i="4"/>
  <c r="DY122" i="4"/>
  <c r="DX122" i="4"/>
  <c r="DW122" i="4"/>
  <c r="DV122" i="4"/>
  <c r="DU122" i="4"/>
  <c r="DT122" i="4"/>
  <c r="DS122" i="4"/>
  <c r="DR122" i="4"/>
  <c r="DQ122" i="4"/>
  <c r="DP122" i="4"/>
  <c r="DO122" i="4"/>
  <c r="DN122" i="4"/>
  <c r="DM122" i="4"/>
  <c r="DL122" i="4"/>
  <c r="DK122" i="4"/>
  <c r="DJ122" i="4"/>
  <c r="DI122" i="4"/>
  <c r="DH122" i="4"/>
  <c r="DG122" i="4"/>
  <c r="DF122" i="4"/>
  <c r="DE122" i="4"/>
  <c r="DD122" i="4"/>
  <c r="DC122" i="4"/>
  <c r="DB122" i="4"/>
  <c r="DA122" i="4"/>
  <c r="CZ122" i="4"/>
  <c r="CY122" i="4"/>
  <c r="CX122" i="4"/>
  <c r="CW122" i="4"/>
  <c r="CV122" i="4"/>
  <c r="CU122" i="4"/>
  <c r="CT122" i="4"/>
  <c r="CS122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L41" i="6" s="1" a="1"/>
  <c r="L41" i="6" s="1"/>
  <c r="C122" i="4"/>
  <c r="B122" i="4"/>
  <c r="IL121" i="4"/>
  <c r="IK121" i="4"/>
  <c r="IJ121" i="4"/>
  <c r="II121" i="4"/>
  <c r="IH121" i="4"/>
  <c r="IG121" i="4"/>
  <c r="IF121" i="4"/>
  <c r="IE121" i="4"/>
  <c r="ID121" i="4"/>
  <c r="IC121" i="4"/>
  <c r="IB121" i="4"/>
  <c r="IA121" i="4"/>
  <c r="HZ121" i="4"/>
  <c r="HY121" i="4"/>
  <c r="HX121" i="4"/>
  <c r="HW121" i="4"/>
  <c r="HV121" i="4"/>
  <c r="HU121" i="4"/>
  <c r="HT121" i="4"/>
  <c r="HS121" i="4"/>
  <c r="HR121" i="4"/>
  <c r="HQ121" i="4"/>
  <c r="HP121" i="4"/>
  <c r="HO121" i="4"/>
  <c r="HN121" i="4"/>
  <c r="HM121" i="4"/>
  <c r="HL121" i="4"/>
  <c r="HK121" i="4"/>
  <c r="HJ121" i="4"/>
  <c r="HI121" i="4"/>
  <c r="HH121" i="4"/>
  <c r="HG121" i="4"/>
  <c r="HF121" i="4"/>
  <c r="HE121" i="4"/>
  <c r="HD121" i="4"/>
  <c r="HC121" i="4"/>
  <c r="HB121" i="4"/>
  <c r="HA121" i="4"/>
  <c r="GZ121" i="4"/>
  <c r="GY121" i="4"/>
  <c r="GX121" i="4"/>
  <c r="GW121" i="4"/>
  <c r="GV121" i="4"/>
  <c r="GU121" i="4"/>
  <c r="GT121" i="4"/>
  <c r="GS121" i="4"/>
  <c r="GR121" i="4"/>
  <c r="GQ121" i="4"/>
  <c r="GP121" i="4"/>
  <c r="GO121" i="4"/>
  <c r="GN121" i="4"/>
  <c r="GM121" i="4"/>
  <c r="GL121" i="4"/>
  <c r="GK121" i="4"/>
  <c r="GJ121" i="4"/>
  <c r="GI121" i="4"/>
  <c r="GH121" i="4"/>
  <c r="GG121" i="4"/>
  <c r="GF121" i="4"/>
  <c r="GE121" i="4"/>
  <c r="GD121" i="4"/>
  <c r="GC121" i="4"/>
  <c r="GB121" i="4"/>
  <c r="GA121" i="4"/>
  <c r="FZ121" i="4"/>
  <c r="FY121" i="4"/>
  <c r="FX121" i="4"/>
  <c r="FW121" i="4"/>
  <c r="FV121" i="4"/>
  <c r="FU121" i="4"/>
  <c r="FT121" i="4"/>
  <c r="FS121" i="4"/>
  <c r="FR121" i="4"/>
  <c r="FQ121" i="4"/>
  <c r="FP121" i="4"/>
  <c r="FO121" i="4"/>
  <c r="FN121" i="4"/>
  <c r="FM121" i="4"/>
  <c r="FL121" i="4"/>
  <c r="FK121" i="4"/>
  <c r="FJ121" i="4"/>
  <c r="FI121" i="4"/>
  <c r="FH121" i="4"/>
  <c r="FG121" i="4"/>
  <c r="FF121" i="4"/>
  <c r="FE121" i="4"/>
  <c r="FD121" i="4"/>
  <c r="FC121" i="4"/>
  <c r="FB121" i="4"/>
  <c r="FA121" i="4"/>
  <c r="EZ121" i="4"/>
  <c r="EY121" i="4"/>
  <c r="EX121" i="4"/>
  <c r="EW121" i="4"/>
  <c r="EV121" i="4"/>
  <c r="EU121" i="4"/>
  <c r="ET121" i="4"/>
  <c r="ES121" i="4"/>
  <c r="ER121" i="4"/>
  <c r="EQ121" i="4"/>
  <c r="EP121" i="4"/>
  <c r="EO121" i="4"/>
  <c r="EN121" i="4"/>
  <c r="EM121" i="4"/>
  <c r="EL121" i="4"/>
  <c r="EK121" i="4"/>
  <c r="EJ121" i="4"/>
  <c r="EI121" i="4"/>
  <c r="EH121" i="4"/>
  <c r="EG121" i="4"/>
  <c r="EF121" i="4"/>
  <c r="EE121" i="4"/>
  <c r="ED121" i="4"/>
  <c r="EC121" i="4"/>
  <c r="EB121" i="4"/>
  <c r="EA121" i="4"/>
  <c r="DZ121" i="4"/>
  <c r="DY121" i="4"/>
  <c r="DX121" i="4"/>
  <c r="DW121" i="4"/>
  <c r="DV121" i="4"/>
  <c r="DU121" i="4"/>
  <c r="DT121" i="4"/>
  <c r="DS121" i="4"/>
  <c r="DR121" i="4"/>
  <c r="DQ121" i="4"/>
  <c r="DP121" i="4"/>
  <c r="DO121" i="4"/>
  <c r="DN121" i="4"/>
  <c r="DM121" i="4"/>
  <c r="DL121" i="4"/>
  <c r="DK121" i="4"/>
  <c r="DJ121" i="4"/>
  <c r="DI121" i="4"/>
  <c r="DH121" i="4"/>
  <c r="DG121" i="4"/>
  <c r="DF121" i="4"/>
  <c r="DE121" i="4"/>
  <c r="DD121" i="4"/>
  <c r="DC121" i="4"/>
  <c r="DB121" i="4"/>
  <c r="DA121" i="4"/>
  <c r="CZ121" i="4"/>
  <c r="CY121" i="4"/>
  <c r="CX121" i="4"/>
  <c r="CW121" i="4"/>
  <c r="CV121" i="4"/>
  <c r="CU121" i="4"/>
  <c r="CT121" i="4"/>
  <c r="CS121" i="4"/>
  <c r="CR121" i="4"/>
  <c r="CQ121" i="4"/>
  <c r="CP121" i="4"/>
  <c r="CO121" i="4"/>
  <c r="CN121" i="4"/>
  <c r="CM121" i="4"/>
  <c r="CL121" i="4"/>
  <c r="CK121" i="4"/>
  <c r="CJ121" i="4"/>
  <c r="CI121" i="4"/>
  <c r="CH121" i="4"/>
  <c r="CG121" i="4"/>
  <c r="CF121" i="4"/>
  <c r="CE121" i="4"/>
  <c r="CD121" i="4"/>
  <c r="CC121" i="4"/>
  <c r="CB121" i="4"/>
  <c r="CA121" i="4"/>
  <c r="BZ121" i="4"/>
  <c r="BY121" i="4"/>
  <c r="BX121" i="4"/>
  <c r="BW121" i="4"/>
  <c r="BV121" i="4"/>
  <c r="BU121" i="4"/>
  <c r="BT121" i="4"/>
  <c r="BS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L40" i="6" s="1" a="1"/>
  <c r="L40" i="6" s="1"/>
  <c r="H121" i="4"/>
  <c r="G121" i="4"/>
  <c r="F121" i="4"/>
  <c r="E121" i="4"/>
  <c r="D121" i="4"/>
  <c r="C121" i="4"/>
  <c r="B121" i="4"/>
  <c r="IL120" i="4"/>
  <c r="IK120" i="4"/>
  <c r="IJ120" i="4"/>
  <c r="II120" i="4"/>
  <c r="IH120" i="4"/>
  <c r="IG120" i="4"/>
  <c r="IF120" i="4"/>
  <c r="IE120" i="4"/>
  <c r="ID120" i="4"/>
  <c r="IC120" i="4"/>
  <c r="IB120" i="4"/>
  <c r="IA120" i="4"/>
  <c r="HZ120" i="4"/>
  <c r="HY120" i="4"/>
  <c r="HX120" i="4"/>
  <c r="HW120" i="4"/>
  <c r="HV120" i="4"/>
  <c r="HU120" i="4"/>
  <c r="HT120" i="4"/>
  <c r="HS120" i="4"/>
  <c r="HR120" i="4"/>
  <c r="HQ120" i="4"/>
  <c r="HP120" i="4"/>
  <c r="HO120" i="4"/>
  <c r="HN120" i="4"/>
  <c r="HM120" i="4"/>
  <c r="HL120" i="4"/>
  <c r="HK120" i="4"/>
  <c r="HJ120" i="4"/>
  <c r="HI120" i="4"/>
  <c r="HH120" i="4"/>
  <c r="HG120" i="4"/>
  <c r="HF120" i="4"/>
  <c r="HE120" i="4"/>
  <c r="HD120" i="4"/>
  <c r="HC120" i="4"/>
  <c r="HB120" i="4"/>
  <c r="HA120" i="4"/>
  <c r="GZ120" i="4"/>
  <c r="GY120" i="4"/>
  <c r="GX120" i="4"/>
  <c r="GW120" i="4"/>
  <c r="GV120" i="4"/>
  <c r="GU120" i="4"/>
  <c r="GT120" i="4"/>
  <c r="GS120" i="4"/>
  <c r="GR120" i="4"/>
  <c r="GQ120" i="4"/>
  <c r="GP120" i="4"/>
  <c r="GO120" i="4"/>
  <c r="GN120" i="4"/>
  <c r="GM120" i="4"/>
  <c r="GL120" i="4"/>
  <c r="GK120" i="4"/>
  <c r="GJ120" i="4"/>
  <c r="GI120" i="4"/>
  <c r="GH120" i="4"/>
  <c r="GG120" i="4"/>
  <c r="GF120" i="4"/>
  <c r="GE120" i="4"/>
  <c r="GD120" i="4"/>
  <c r="GC120" i="4"/>
  <c r="GB120" i="4"/>
  <c r="GA120" i="4"/>
  <c r="FZ120" i="4"/>
  <c r="FY120" i="4"/>
  <c r="FX120" i="4"/>
  <c r="FW120" i="4"/>
  <c r="FV120" i="4"/>
  <c r="FU120" i="4"/>
  <c r="FT120" i="4"/>
  <c r="FS120" i="4"/>
  <c r="FR120" i="4"/>
  <c r="FQ120" i="4"/>
  <c r="FP120" i="4"/>
  <c r="FO120" i="4"/>
  <c r="FN120" i="4"/>
  <c r="FM120" i="4"/>
  <c r="FL120" i="4"/>
  <c r="FK120" i="4"/>
  <c r="FJ120" i="4"/>
  <c r="FI120" i="4"/>
  <c r="FH120" i="4"/>
  <c r="FG120" i="4"/>
  <c r="FF120" i="4"/>
  <c r="FE120" i="4"/>
  <c r="FD120" i="4"/>
  <c r="FC120" i="4"/>
  <c r="FB120" i="4"/>
  <c r="FA120" i="4"/>
  <c r="EZ120" i="4"/>
  <c r="EY120" i="4"/>
  <c r="EX120" i="4"/>
  <c r="EW120" i="4"/>
  <c r="EV120" i="4"/>
  <c r="EU120" i="4"/>
  <c r="ET120" i="4"/>
  <c r="ES120" i="4"/>
  <c r="ER120" i="4"/>
  <c r="EQ120" i="4"/>
  <c r="EP120" i="4"/>
  <c r="EO120" i="4"/>
  <c r="EN120" i="4"/>
  <c r="EM120" i="4"/>
  <c r="EL120" i="4"/>
  <c r="EK120" i="4"/>
  <c r="EJ120" i="4"/>
  <c r="EI120" i="4"/>
  <c r="EH120" i="4"/>
  <c r="EG120" i="4"/>
  <c r="EF120" i="4"/>
  <c r="EE120" i="4"/>
  <c r="ED120" i="4"/>
  <c r="EC120" i="4"/>
  <c r="EB120" i="4"/>
  <c r="EA120" i="4"/>
  <c r="DZ120" i="4"/>
  <c r="DY120" i="4"/>
  <c r="DX120" i="4"/>
  <c r="DW120" i="4"/>
  <c r="DV120" i="4"/>
  <c r="DU120" i="4"/>
  <c r="DT120" i="4"/>
  <c r="DS120" i="4"/>
  <c r="DR120" i="4"/>
  <c r="DQ120" i="4"/>
  <c r="DP120" i="4"/>
  <c r="DO120" i="4"/>
  <c r="DN120" i="4"/>
  <c r="DM120" i="4"/>
  <c r="DL120" i="4"/>
  <c r="DK120" i="4"/>
  <c r="DJ120" i="4"/>
  <c r="DI120" i="4"/>
  <c r="DH120" i="4"/>
  <c r="DG120" i="4"/>
  <c r="DF120" i="4"/>
  <c r="DE120" i="4"/>
  <c r="DD120" i="4"/>
  <c r="DC120" i="4"/>
  <c r="DB120" i="4"/>
  <c r="DA120" i="4"/>
  <c r="CZ120" i="4"/>
  <c r="CY120" i="4"/>
  <c r="CX120" i="4"/>
  <c r="CW120" i="4"/>
  <c r="CV120" i="4"/>
  <c r="CU120" i="4"/>
  <c r="CT120" i="4"/>
  <c r="CS120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L39" i="6" s="1" a="1"/>
  <c r="L39" i="6" s="1"/>
  <c r="E120" i="4"/>
  <c r="D120" i="4"/>
  <c r="C120" i="4"/>
  <c r="B120" i="4"/>
  <c r="IL119" i="4"/>
  <c r="IK119" i="4"/>
  <c r="IJ119" i="4"/>
  <c r="II119" i="4"/>
  <c r="IH119" i="4"/>
  <c r="IG119" i="4"/>
  <c r="IF119" i="4"/>
  <c r="IE119" i="4"/>
  <c r="ID119" i="4"/>
  <c r="IC119" i="4"/>
  <c r="IB119" i="4"/>
  <c r="IA119" i="4"/>
  <c r="HZ119" i="4"/>
  <c r="HY119" i="4"/>
  <c r="HX119" i="4"/>
  <c r="HW119" i="4"/>
  <c r="HV119" i="4"/>
  <c r="HU119" i="4"/>
  <c r="HT119" i="4"/>
  <c r="HS119" i="4"/>
  <c r="HR119" i="4"/>
  <c r="HQ119" i="4"/>
  <c r="HP119" i="4"/>
  <c r="HO119" i="4"/>
  <c r="HN119" i="4"/>
  <c r="HM119" i="4"/>
  <c r="HL119" i="4"/>
  <c r="HK119" i="4"/>
  <c r="HJ119" i="4"/>
  <c r="HI119" i="4"/>
  <c r="HH119" i="4"/>
  <c r="HG119" i="4"/>
  <c r="HF119" i="4"/>
  <c r="HE119" i="4"/>
  <c r="HD119" i="4"/>
  <c r="HC119" i="4"/>
  <c r="HB119" i="4"/>
  <c r="HA119" i="4"/>
  <c r="GZ119" i="4"/>
  <c r="GY119" i="4"/>
  <c r="GX119" i="4"/>
  <c r="GW119" i="4"/>
  <c r="GV119" i="4"/>
  <c r="GU119" i="4"/>
  <c r="GT119" i="4"/>
  <c r="GS119" i="4"/>
  <c r="GR119" i="4"/>
  <c r="GQ119" i="4"/>
  <c r="GP119" i="4"/>
  <c r="GO119" i="4"/>
  <c r="GN119" i="4"/>
  <c r="GM119" i="4"/>
  <c r="GL119" i="4"/>
  <c r="GK119" i="4"/>
  <c r="GJ119" i="4"/>
  <c r="GI119" i="4"/>
  <c r="GH119" i="4"/>
  <c r="GG119" i="4"/>
  <c r="GF119" i="4"/>
  <c r="GE119" i="4"/>
  <c r="GD119" i="4"/>
  <c r="GC119" i="4"/>
  <c r="GB119" i="4"/>
  <c r="GA119" i="4"/>
  <c r="FZ119" i="4"/>
  <c r="FY119" i="4"/>
  <c r="FX119" i="4"/>
  <c r="FW119" i="4"/>
  <c r="FV119" i="4"/>
  <c r="FU119" i="4"/>
  <c r="FT119" i="4"/>
  <c r="FS119" i="4"/>
  <c r="FR119" i="4"/>
  <c r="FQ119" i="4"/>
  <c r="FP119" i="4"/>
  <c r="FO119" i="4"/>
  <c r="FN119" i="4"/>
  <c r="FM119" i="4"/>
  <c r="FL119" i="4"/>
  <c r="FK119" i="4"/>
  <c r="FJ119" i="4"/>
  <c r="FI119" i="4"/>
  <c r="FH119" i="4"/>
  <c r="FG119" i="4"/>
  <c r="FF119" i="4"/>
  <c r="FE119" i="4"/>
  <c r="FD119" i="4"/>
  <c r="FC119" i="4"/>
  <c r="FB119" i="4"/>
  <c r="FA119" i="4"/>
  <c r="EZ119" i="4"/>
  <c r="EY119" i="4"/>
  <c r="EX119" i="4"/>
  <c r="EW119" i="4"/>
  <c r="EV119" i="4"/>
  <c r="EU119" i="4"/>
  <c r="ET119" i="4"/>
  <c r="ES119" i="4"/>
  <c r="ER119" i="4"/>
  <c r="EQ119" i="4"/>
  <c r="EP119" i="4"/>
  <c r="EO119" i="4"/>
  <c r="EN119" i="4"/>
  <c r="EM119" i="4"/>
  <c r="EL119" i="4"/>
  <c r="EK119" i="4"/>
  <c r="EJ119" i="4"/>
  <c r="EI119" i="4"/>
  <c r="EH119" i="4"/>
  <c r="EG119" i="4"/>
  <c r="EF119" i="4"/>
  <c r="EE119" i="4"/>
  <c r="ED119" i="4"/>
  <c r="EC119" i="4"/>
  <c r="EB119" i="4"/>
  <c r="EA119" i="4"/>
  <c r="DZ119" i="4"/>
  <c r="DY119" i="4"/>
  <c r="DX119" i="4"/>
  <c r="DW119" i="4"/>
  <c r="DV119" i="4"/>
  <c r="DU119" i="4"/>
  <c r="DT119" i="4"/>
  <c r="DS119" i="4"/>
  <c r="DR119" i="4"/>
  <c r="DQ119" i="4"/>
  <c r="DP119" i="4"/>
  <c r="DO119" i="4"/>
  <c r="DN119" i="4"/>
  <c r="DM119" i="4"/>
  <c r="DL119" i="4"/>
  <c r="DK119" i="4"/>
  <c r="DJ119" i="4"/>
  <c r="DI119" i="4"/>
  <c r="DH119" i="4"/>
  <c r="DG119" i="4"/>
  <c r="DF119" i="4"/>
  <c r="DE119" i="4"/>
  <c r="DD119" i="4"/>
  <c r="DC119" i="4"/>
  <c r="DB119" i="4"/>
  <c r="DA119" i="4"/>
  <c r="CZ119" i="4"/>
  <c r="CY119" i="4"/>
  <c r="CX119" i="4"/>
  <c r="CW119" i="4"/>
  <c r="CV119" i="4"/>
  <c r="CU119" i="4"/>
  <c r="CT119" i="4"/>
  <c r="CS119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L38" i="6" s="1" a="1"/>
  <c r="L38" i="6" s="1"/>
  <c r="B119" i="4"/>
  <c r="IL118" i="4"/>
  <c r="IK118" i="4"/>
  <c r="IJ118" i="4"/>
  <c r="II118" i="4"/>
  <c r="IH118" i="4"/>
  <c r="IG118" i="4"/>
  <c r="IF118" i="4"/>
  <c r="IE118" i="4"/>
  <c r="ID118" i="4"/>
  <c r="IC118" i="4"/>
  <c r="IB118" i="4"/>
  <c r="IA118" i="4"/>
  <c r="HZ118" i="4"/>
  <c r="HY118" i="4"/>
  <c r="HX118" i="4"/>
  <c r="HW118" i="4"/>
  <c r="HV118" i="4"/>
  <c r="HU118" i="4"/>
  <c r="HT118" i="4"/>
  <c r="HS118" i="4"/>
  <c r="HR118" i="4"/>
  <c r="HQ118" i="4"/>
  <c r="HP118" i="4"/>
  <c r="HO118" i="4"/>
  <c r="HN118" i="4"/>
  <c r="HM118" i="4"/>
  <c r="HL118" i="4"/>
  <c r="HK118" i="4"/>
  <c r="HJ118" i="4"/>
  <c r="HI118" i="4"/>
  <c r="HH118" i="4"/>
  <c r="HG118" i="4"/>
  <c r="HF118" i="4"/>
  <c r="HE118" i="4"/>
  <c r="HD118" i="4"/>
  <c r="HC118" i="4"/>
  <c r="HB118" i="4"/>
  <c r="HA118" i="4"/>
  <c r="GZ118" i="4"/>
  <c r="GY118" i="4"/>
  <c r="GX118" i="4"/>
  <c r="GW118" i="4"/>
  <c r="GV118" i="4"/>
  <c r="GU118" i="4"/>
  <c r="GT118" i="4"/>
  <c r="GS118" i="4"/>
  <c r="GR118" i="4"/>
  <c r="GQ118" i="4"/>
  <c r="GP118" i="4"/>
  <c r="GO118" i="4"/>
  <c r="GN118" i="4"/>
  <c r="GM118" i="4"/>
  <c r="GL118" i="4"/>
  <c r="GK118" i="4"/>
  <c r="GJ118" i="4"/>
  <c r="GI118" i="4"/>
  <c r="GH118" i="4"/>
  <c r="GG118" i="4"/>
  <c r="GF118" i="4"/>
  <c r="GE118" i="4"/>
  <c r="GD118" i="4"/>
  <c r="GC118" i="4"/>
  <c r="GB118" i="4"/>
  <c r="GA118" i="4"/>
  <c r="FZ118" i="4"/>
  <c r="FY118" i="4"/>
  <c r="FX118" i="4"/>
  <c r="FW118" i="4"/>
  <c r="FV118" i="4"/>
  <c r="FU118" i="4"/>
  <c r="FT118" i="4"/>
  <c r="FS118" i="4"/>
  <c r="FR118" i="4"/>
  <c r="FQ118" i="4"/>
  <c r="FP118" i="4"/>
  <c r="FO118" i="4"/>
  <c r="FN118" i="4"/>
  <c r="FM118" i="4"/>
  <c r="FL118" i="4"/>
  <c r="FK118" i="4"/>
  <c r="FJ118" i="4"/>
  <c r="FI118" i="4"/>
  <c r="FH118" i="4"/>
  <c r="FG118" i="4"/>
  <c r="FF118" i="4"/>
  <c r="FE118" i="4"/>
  <c r="FD118" i="4"/>
  <c r="FC118" i="4"/>
  <c r="FB118" i="4"/>
  <c r="FA118" i="4"/>
  <c r="EZ118" i="4"/>
  <c r="EY118" i="4"/>
  <c r="EX118" i="4"/>
  <c r="EW118" i="4"/>
  <c r="EV118" i="4"/>
  <c r="EU118" i="4"/>
  <c r="ET118" i="4"/>
  <c r="ES118" i="4"/>
  <c r="ER118" i="4"/>
  <c r="EQ118" i="4"/>
  <c r="EP118" i="4"/>
  <c r="EO118" i="4"/>
  <c r="EN118" i="4"/>
  <c r="EM118" i="4"/>
  <c r="EL118" i="4"/>
  <c r="EK118" i="4"/>
  <c r="EJ118" i="4"/>
  <c r="EI118" i="4"/>
  <c r="EH118" i="4"/>
  <c r="EG118" i="4"/>
  <c r="EF118" i="4"/>
  <c r="EE118" i="4"/>
  <c r="ED118" i="4"/>
  <c r="EC118" i="4"/>
  <c r="EB118" i="4"/>
  <c r="EA118" i="4"/>
  <c r="DZ118" i="4"/>
  <c r="DY118" i="4"/>
  <c r="DX118" i="4"/>
  <c r="DW118" i="4"/>
  <c r="DV118" i="4"/>
  <c r="DU118" i="4"/>
  <c r="DT118" i="4"/>
  <c r="DS118" i="4"/>
  <c r="DR118" i="4"/>
  <c r="DQ118" i="4"/>
  <c r="DP118" i="4"/>
  <c r="DO118" i="4"/>
  <c r="DN118" i="4"/>
  <c r="DM118" i="4"/>
  <c r="DL118" i="4"/>
  <c r="DK118" i="4"/>
  <c r="DJ118" i="4"/>
  <c r="DI118" i="4"/>
  <c r="DH118" i="4"/>
  <c r="DG118" i="4"/>
  <c r="DF118" i="4"/>
  <c r="DE118" i="4"/>
  <c r="DD118" i="4"/>
  <c r="DC118" i="4"/>
  <c r="DB118" i="4"/>
  <c r="DA118" i="4"/>
  <c r="CZ118" i="4"/>
  <c r="CY118" i="4"/>
  <c r="CX118" i="4"/>
  <c r="CW118" i="4"/>
  <c r="CV118" i="4"/>
  <c r="CU118" i="4"/>
  <c r="CT118" i="4"/>
  <c r="CS118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L37" i="6" s="1" a="1"/>
  <c r="L37" i="6" s="1"/>
  <c r="B118" i="4"/>
  <c r="IL117" i="4"/>
  <c r="IK117" i="4"/>
  <c r="IJ117" i="4"/>
  <c r="II117" i="4"/>
  <c r="IH117" i="4"/>
  <c r="IG117" i="4"/>
  <c r="IF117" i="4"/>
  <c r="IE117" i="4"/>
  <c r="ID117" i="4"/>
  <c r="IC117" i="4"/>
  <c r="IB117" i="4"/>
  <c r="IA117" i="4"/>
  <c r="HZ117" i="4"/>
  <c r="HY117" i="4"/>
  <c r="HX117" i="4"/>
  <c r="HW117" i="4"/>
  <c r="HV117" i="4"/>
  <c r="HU117" i="4"/>
  <c r="HT117" i="4"/>
  <c r="HS117" i="4"/>
  <c r="HR117" i="4"/>
  <c r="HQ117" i="4"/>
  <c r="HP117" i="4"/>
  <c r="HO117" i="4"/>
  <c r="HN117" i="4"/>
  <c r="HM117" i="4"/>
  <c r="HL117" i="4"/>
  <c r="HK117" i="4"/>
  <c r="HJ117" i="4"/>
  <c r="HI117" i="4"/>
  <c r="HH117" i="4"/>
  <c r="HG117" i="4"/>
  <c r="HF117" i="4"/>
  <c r="HE117" i="4"/>
  <c r="HD117" i="4"/>
  <c r="HC117" i="4"/>
  <c r="HB117" i="4"/>
  <c r="HA117" i="4"/>
  <c r="GZ117" i="4"/>
  <c r="GY117" i="4"/>
  <c r="GX117" i="4"/>
  <c r="GW117" i="4"/>
  <c r="GV117" i="4"/>
  <c r="GU117" i="4"/>
  <c r="GT117" i="4"/>
  <c r="GS117" i="4"/>
  <c r="GR117" i="4"/>
  <c r="GQ117" i="4"/>
  <c r="GP117" i="4"/>
  <c r="GO117" i="4"/>
  <c r="GN117" i="4"/>
  <c r="GM117" i="4"/>
  <c r="GL117" i="4"/>
  <c r="GK117" i="4"/>
  <c r="GJ117" i="4"/>
  <c r="GI117" i="4"/>
  <c r="GH117" i="4"/>
  <c r="GG117" i="4"/>
  <c r="GF117" i="4"/>
  <c r="GE117" i="4"/>
  <c r="GD117" i="4"/>
  <c r="GC117" i="4"/>
  <c r="GB117" i="4"/>
  <c r="GA117" i="4"/>
  <c r="FZ117" i="4"/>
  <c r="FY117" i="4"/>
  <c r="FX117" i="4"/>
  <c r="FW117" i="4"/>
  <c r="FV117" i="4"/>
  <c r="FU117" i="4"/>
  <c r="FT117" i="4"/>
  <c r="FS117" i="4"/>
  <c r="FR117" i="4"/>
  <c r="FQ117" i="4"/>
  <c r="FP117" i="4"/>
  <c r="FO117" i="4"/>
  <c r="FN117" i="4"/>
  <c r="FM117" i="4"/>
  <c r="FL117" i="4"/>
  <c r="FK117" i="4"/>
  <c r="FJ117" i="4"/>
  <c r="FI117" i="4"/>
  <c r="FH117" i="4"/>
  <c r="FG117" i="4"/>
  <c r="FF117" i="4"/>
  <c r="FE117" i="4"/>
  <c r="FD117" i="4"/>
  <c r="FC117" i="4"/>
  <c r="FB117" i="4"/>
  <c r="FA117" i="4"/>
  <c r="EZ117" i="4"/>
  <c r="EY117" i="4"/>
  <c r="EX117" i="4"/>
  <c r="EW117" i="4"/>
  <c r="EV117" i="4"/>
  <c r="EU117" i="4"/>
  <c r="ET117" i="4"/>
  <c r="ES117" i="4"/>
  <c r="ER117" i="4"/>
  <c r="EQ117" i="4"/>
  <c r="EP117" i="4"/>
  <c r="EO117" i="4"/>
  <c r="EN117" i="4"/>
  <c r="EM117" i="4"/>
  <c r="EL117" i="4"/>
  <c r="EK117" i="4"/>
  <c r="EJ117" i="4"/>
  <c r="EI117" i="4"/>
  <c r="EH117" i="4"/>
  <c r="EG117" i="4"/>
  <c r="EF117" i="4"/>
  <c r="EE117" i="4"/>
  <c r="ED117" i="4"/>
  <c r="EC117" i="4"/>
  <c r="EB117" i="4"/>
  <c r="EA117" i="4"/>
  <c r="DZ117" i="4"/>
  <c r="DY117" i="4"/>
  <c r="DX117" i="4"/>
  <c r="DW117" i="4"/>
  <c r="DV117" i="4"/>
  <c r="DU117" i="4"/>
  <c r="DT117" i="4"/>
  <c r="DS117" i="4"/>
  <c r="DR117" i="4"/>
  <c r="DQ117" i="4"/>
  <c r="DP117" i="4"/>
  <c r="DO117" i="4"/>
  <c r="DN117" i="4"/>
  <c r="DM117" i="4"/>
  <c r="DL117" i="4"/>
  <c r="DK117" i="4"/>
  <c r="DJ117" i="4"/>
  <c r="DI117" i="4"/>
  <c r="DH117" i="4"/>
  <c r="DG117" i="4"/>
  <c r="DF117" i="4"/>
  <c r="DE117" i="4"/>
  <c r="DD117" i="4"/>
  <c r="DC117" i="4"/>
  <c r="DB117" i="4"/>
  <c r="DA117" i="4"/>
  <c r="CZ117" i="4"/>
  <c r="CY117" i="4"/>
  <c r="CX117" i="4"/>
  <c r="CW117" i="4"/>
  <c r="CV117" i="4"/>
  <c r="CU117" i="4"/>
  <c r="CT117" i="4"/>
  <c r="CS117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IL116" i="4"/>
  <c r="IK116" i="4"/>
  <c r="IJ116" i="4"/>
  <c r="II116" i="4"/>
  <c r="IH116" i="4"/>
  <c r="IG116" i="4"/>
  <c r="IF116" i="4"/>
  <c r="IE116" i="4"/>
  <c r="ID116" i="4"/>
  <c r="IC116" i="4"/>
  <c r="IB116" i="4"/>
  <c r="IA116" i="4"/>
  <c r="HZ116" i="4"/>
  <c r="HY116" i="4"/>
  <c r="HX116" i="4"/>
  <c r="HW116" i="4"/>
  <c r="HV116" i="4"/>
  <c r="HU116" i="4"/>
  <c r="HT116" i="4"/>
  <c r="HS116" i="4"/>
  <c r="HR116" i="4"/>
  <c r="HQ116" i="4"/>
  <c r="HP116" i="4"/>
  <c r="HO116" i="4"/>
  <c r="HN116" i="4"/>
  <c r="HM116" i="4"/>
  <c r="HL116" i="4"/>
  <c r="HK116" i="4"/>
  <c r="HJ116" i="4"/>
  <c r="HI116" i="4"/>
  <c r="HH116" i="4"/>
  <c r="HG116" i="4"/>
  <c r="HF116" i="4"/>
  <c r="HE116" i="4"/>
  <c r="HD116" i="4"/>
  <c r="HC116" i="4"/>
  <c r="HB116" i="4"/>
  <c r="HA116" i="4"/>
  <c r="GZ116" i="4"/>
  <c r="GY116" i="4"/>
  <c r="GX116" i="4"/>
  <c r="GW116" i="4"/>
  <c r="GV116" i="4"/>
  <c r="GU116" i="4"/>
  <c r="GT116" i="4"/>
  <c r="GS116" i="4"/>
  <c r="GR116" i="4"/>
  <c r="GQ116" i="4"/>
  <c r="GP116" i="4"/>
  <c r="GO116" i="4"/>
  <c r="GN116" i="4"/>
  <c r="GM116" i="4"/>
  <c r="GL116" i="4"/>
  <c r="GK116" i="4"/>
  <c r="GJ116" i="4"/>
  <c r="GI116" i="4"/>
  <c r="GH116" i="4"/>
  <c r="GG116" i="4"/>
  <c r="GF116" i="4"/>
  <c r="GE116" i="4"/>
  <c r="GD116" i="4"/>
  <c r="GC116" i="4"/>
  <c r="GB116" i="4"/>
  <c r="GA116" i="4"/>
  <c r="FZ116" i="4"/>
  <c r="FY116" i="4"/>
  <c r="FX116" i="4"/>
  <c r="FW116" i="4"/>
  <c r="FV116" i="4"/>
  <c r="FU116" i="4"/>
  <c r="FT116" i="4"/>
  <c r="FS116" i="4"/>
  <c r="FR116" i="4"/>
  <c r="FQ116" i="4"/>
  <c r="FP116" i="4"/>
  <c r="FO116" i="4"/>
  <c r="FN116" i="4"/>
  <c r="FM116" i="4"/>
  <c r="FL116" i="4"/>
  <c r="FK116" i="4"/>
  <c r="FJ116" i="4"/>
  <c r="FI116" i="4"/>
  <c r="FH116" i="4"/>
  <c r="FG116" i="4"/>
  <c r="FF116" i="4"/>
  <c r="FE116" i="4"/>
  <c r="FD116" i="4"/>
  <c r="FC116" i="4"/>
  <c r="FB116" i="4"/>
  <c r="FA116" i="4"/>
  <c r="EZ116" i="4"/>
  <c r="EY116" i="4"/>
  <c r="EX116" i="4"/>
  <c r="EW116" i="4"/>
  <c r="EV116" i="4"/>
  <c r="EU116" i="4"/>
  <c r="ET116" i="4"/>
  <c r="ES116" i="4"/>
  <c r="ER116" i="4"/>
  <c r="EQ116" i="4"/>
  <c r="EP116" i="4"/>
  <c r="EO116" i="4"/>
  <c r="EN116" i="4"/>
  <c r="EM116" i="4"/>
  <c r="EL116" i="4"/>
  <c r="EK116" i="4"/>
  <c r="EJ116" i="4"/>
  <c r="EI116" i="4"/>
  <c r="EH116" i="4"/>
  <c r="EG116" i="4"/>
  <c r="EF116" i="4"/>
  <c r="EE116" i="4"/>
  <c r="ED116" i="4"/>
  <c r="EC116" i="4"/>
  <c r="EB116" i="4"/>
  <c r="EA116" i="4"/>
  <c r="DZ116" i="4"/>
  <c r="DY116" i="4"/>
  <c r="DX116" i="4"/>
  <c r="DW116" i="4"/>
  <c r="DV116" i="4"/>
  <c r="DU116" i="4"/>
  <c r="DT116" i="4"/>
  <c r="DS116" i="4"/>
  <c r="DR116" i="4"/>
  <c r="DQ116" i="4"/>
  <c r="DP116" i="4"/>
  <c r="DO116" i="4"/>
  <c r="DN116" i="4"/>
  <c r="DM116" i="4"/>
  <c r="DL116" i="4"/>
  <c r="DK116" i="4"/>
  <c r="DJ116" i="4"/>
  <c r="DI116" i="4"/>
  <c r="DH116" i="4"/>
  <c r="DG116" i="4"/>
  <c r="DF116" i="4"/>
  <c r="DE116" i="4"/>
  <c r="DD116" i="4"/>
  <c r="DC116" i="4"/>
  <c r="DB116" i="4"/>
  <c r="DA116" i="4"/>
  <c r="CZ116" i="4"/>
  <c r="CY116" i="4"/>
  <c r="CX116" i="4"/>
  <c r="CW116" i="4"/>
  <c r="CV116" i="4"/>
  <c r="CU116" i="4"/>
  <c r="CT116" i="4"/>
  <c r="CS116" i="4"/>
  <c r="CR116" i="4"/>
  <c r="CQ116" i="4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IL115" i="4"/>
  <c r="IK115" i="4"/>
  <c r="IJ115" i="4"/>
  <c r="II115" i="4"/>
  <c r="IH115" i="4"/>
  <c r="IG115" i="4"/>
  <c r="IF115" i="4"/>
  <c r="IE115" i="4"/>
  <c r="ID115" i="4"/>
  <c r="IC115" i="4"/>
  <c r="IB115" i="4"/>
  <c r="IA115" i="4"/>
  <c r="HZ115" i="4"/>
  <c r="HY115" i="4"/>
  <c r="HX115" i="4"/>
  <c r="HW115" i="4"/>
  <c r="HV115" i="4"/>
  <c r="HU115" i="4"/>
  <c r="HT115" i="4"/>
  <c r="HS115" i="4"/>
  <c r="HR115" i="4"/>
  <c r="HQ115" i="4"/>
  <c r="HP115" i="4"/>
  <c r="HO115" i="4"/>
  <c r="HN115" i="4"/>
  <c r="HM115" i="4"/>
  <c r="HL115" i="4"/>
  <c r="HK115" i="4"/>
  <c r="HJ115" i="4"/>
  <c r="HI115" i="4"/>
  <c r="HH115" i="4"/>
  <c r="HG115" i="4"/>
  <c r="HF115" i="4"/>
  <c r="HE115" i="4"/>
  <c r="HD115" i="4"/>
  <c r="HC115" i="4"/>
  <c r="HB115" i="4"/>
  <c r="HA115" i="4"/>
  <c r="GZ115" i="4"/>
  <c r="GY115" i="4"/>
  <c r="GX115" i="4"/>
  <c r="GW115" i="4"/>
  <c r="GV115" i="4"/>
  <c r="GU115" i="4"/>
  <c r="GT115" i="4"/>
  <c r="GS115" i="4"/>
  <c r="GR115" i="4"/>
  <c r="GQ115" i="4"/>
  <c r="GP115" i="4"/>
  <c r="GO115" i="4"/>
  <c r="GN115" i="4"/>
  <c r="GM115" i="4"/>
  <c r="GL115" i="4"/>
  <c r="GK115" i="4"/>
  <c r="GJ115" i="4"/>
  <c r="GI115" i="4"/>
  <c r="GH115" i="4"/>
  <c r="GG115" i="4"/>
  <c r="GF115" i="4"/>
  <c r="GE115" i="4"/>
  <c r="GD115" i="4"/>
  <c r="GC115" i="4"/>
  <c r="GB115" i="4"/>
  <c r="GA115" i="4"/>
  <c r="FZ115" i="4"/>
  <c r="FY115" i="4"/>
  <c r="FX115" i="4"/>
  <c r="FW115" i="4"/>
  <c r="FV115" i="4"/>
  <c r="FU115" i="4"/>
  <c r="FT115" i="4"/>
  <c r="FS115" i="4"/>
  <c r="FR115" i="4"/>
  <c r="FQ115" i="4"/>
  <c r="FP115" i="4"/>
  <c r="FO115" i="4"/>
  <c r="FN115" i="4"/>
  <c r="FM115" i="4"/>
  <c r="FL115" i="4"/>
  <c r="FK115" i="4"/>
  <c r="FJ115" i="4"/>
  <c r="FI115" i="4"/>
  <c r="FH115" i="4"/>
  <c r="FG115" i="4"/>
  <c r="FF115" i="4"/>
  <c r="FE115" i="4"/>
  <c r="FD115" i="4"/>
  <c r="FC115" i="4"/>
  <c r="FB115" i="4"/>
  <c r="FA115" i="4"/>
  <c r="EZ115" i="4"/>
  <c r="EY115" i="4"/>
  <c r="EX115" i="4"/>
  <c r="EW115" i="4"/>
  <c r="EV115" i="4"/>
  <c r="EU115" i="4"/>
  <c r="ET115" i="4"/>
  <c r="ES115" i="4"/>
  <c r="ER115" i="4"/>
  <c r="EQ115" i="4"/>
  <c r="EP115" i="4"/>
  <c r="EO115" i="4"/>
  <c r="EN115" i="4"/>
  <c r="EM115" i="4"/>
  <c r="EL115" i="4"/>
  <c r="EK115" i="4"/>
  <c r="EJ115" i="4"/>
  <c r="EI115" i="4"/>
  <c r="EH115" i="4"/>
  <c r="EG115" i="4"/>
  <c r="EF115" i="4"/>
  <c r="EE115" i="4"/>
  <c r="ED115" i="4"/>
  <c r="EC115" i="4"/>
  <c r="EB115" i="4"/>
  <c r="EA115" i="4"/>
  <c r="DZ115" i="4"/>
  <c r="DY115" i="4"/>
  <c r="DX115" i="4"/>
  <c r="DW115" i="4"/>
  <c r="DV115" i="4"/>
  <c r="DU115" i="4"/>
  <c r="DT115" i="4"/>
  <c r="DS115" i="4"/>
  <c r="DR115" i="4"/>
  <c r="DQ115" i="4"/>
  <c r="DP115" i="4"/>
  <c r="DO115" i="4"/>
  <c r="DN115" i="4"/>
  <c r="DM115" i="4"/>
  <c r="DL115" i="4"/>
  <c r="DK115" i="4"/>
  <c r="DJ115" i="4"/>
  <c r="DI115" i="4"/>
  <c r="DH115" i="4"/>
  <c r="DG115" i="4"/>
  <c r="DF115" i="4"/>
  <c r="DE115" i="4"/>
  <c r="DD115" i="4"/>
  <c r="DC115" i="4"/>
  <c r="DB115" i="4"/>
  <c r="DA115" i="4"/>
  <c r="CZ115" i="4"/>
  <c r="CY115" i="4"/>
  <c r="CX115" i="4"/>
  <c r="CW115" i="4"/>
  <c r="CV115" i="4"/>
  <c r="CU115" i="4"/>
  <c r="CT115" i="4"/>
  <c r="CS115" i="4"/>
  <c r="CR115" i="4"/>
  <c r="CQ115" i="4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L34" i="6" s="1" a="1"/>
  <c r="L34" i="6" s="1"/>
  <c r="IL114" i="4"/>
  <c r="IK114" i="4"/>
  <c r="IJ114" i="4"/>
  <c r="II114" i="4"/>
  <c r="IH114" i="4"/>
  <c r="IG114" i="4"/>
  <c r="IF114" i="4"/>
  <c r="IE114" i="4"/>
  <c r="ID114" i="4"/>
  <c r="IC114" i="4"/>
  <c r="IB114" i="4"/>
  <c r="IA114" i="4"/>
  <c r="HZ114" i="4"/>
  <c r="HY114" i="4"/>
  <c r="HX114" i="4"/>
  <c r="HW114" i="4"/>
  <c r="HV114" i="4"/>
  <c r="HU114" i="4"/>
  <c r="HT114" i="4"/>
  <c r="HS114" i="4"/>
  <c r="HR114" i="4"/>
  <c r="HQ114" i="4"/>
  <c r="HP114" i="4"/>
  <c r="HO114" i="4"/>
  <c r="HN114" i="4"/>
  <c r="HM114" i="4"/>
  <c r="HL114" i="4"/>
  <c r="HK114" i="4"/>
  <c r="HJ114" i="4"/>
  <c r="HI114" i="4"/>
  <c r="HH114" i="4"/>
  <c r="HG114" i="4"/>
  <c r="HF114" i="4"/>
  <c r="HE114" i="4"/>
  <c r="HD114" i="4"/>
  <c r="HC114" i="4"/>
  <c r="HB114" i="4"/>
  <c r="HA114" i="4"/>
  <c r="GZ114" i="4"/>
  <c r="GY114" i="4"/>
  <c r="GX114" i="4"/>
  <c r="GW114" i="4"/>
  <c r="GV114" i="4"/>
  <c r="GU114" i="4"/>
  <c r="GT114" i="4"/>
  <c r="GS114" i="4"/>
  <c r="GR114" i="4"/>
  <c r="GQ114" i="4"/>
  <c r="GP114" i="4"/>
  <c r="GO114" i="4"/>
  <c r="GN114" i="4"/>
  <c r="GM114" i="4"/>
  <c r="GL114" i="4"/>
  <c r="GK114" i="4"/>
  <c r="GJ114" i="4"/>
  <c r="GI114" i="4"/>
  <c r="GH114" i="4"/>
  <c r="GG114" i="4"/>
  <c r="GF114" i="4"/>
  <c r="GE114" i="4"/>
  <c r="GD114" i="4"/>
  <c r="GC114" i="4"/>
  <c r="GB114" i="4"/>
  <c r="GA114" i="4"/>
  <c r="FZ114" i="4"/>
  <c r="FY114" i="4"/>
  <c r="FX114" i="4"/>
  <c r="FW114" i="4"/>
  <c r="FV114" i="4"/>
  <c r="FU114" i="4"/>
  <c r="FT114" i="4"/>
  <c r="FS114" i="4"/>
  <c r="FR114" i="4"/>
  <c r="FQ114" i="4"/>
  <c r="FP114" i="4"/>
  <c r="FO114" i="4"/>
  <c r="FN114" i="4"/>
  <c r="FM114" i="4"/>
  <c r="FL114" i="4"/>
  <c r="FK114" i="4"/>
  <c r="FJ114" i="4"/>
  <c r="FI114" i="4"/>
  <c r="FH114" i="4"/>
  <c r="FG114" i="4"/>
  <c r="FF114" i="4"/>
  <c r="FE114" i="4"/>
  <c r="FD114" i="4"/>
  <c r="FC114" i="4"/>
  <c r="FB114" i="4"/>
  <c r="FA114" i="4"/>
  <c r="EZ114" i="4"/>
  <c r="EY114" i="4"/>
  <c r="EX114" i="4"/>
  <c r="EW114" i="4"/>
  <c r="EV114" i="4"/>
  <c r="EU114" i="4"/>
  <c r="ET114" i="4"/>
  <c r="ES114" i="4"/>
  <c r="ER114" i="4"/>
  <c r="EQ114" i="4"/>
  <c r="EP114" i="4"/>
  <c r="EO114" i="4"/>
  <c r="EN114" i="4"/>
  <c r="EM114" i="4"/>
  <c r="EL114" i="4"/>
  <c r="EK114" i="4"/>
  <c r="EJ114" i="4"/>
  <c r="EI114" i="4"/>
  <c r="EH114" i="4"/>
  <c r="EG114" i="4"/>
  <c r="EF114" i="4"/>
  <c r="EE114" i="4"/>
  <c r="ED114" i="4"/>
  <c r="EC114" i="4"/>
  <c r="EB114" i="4"/>
  <c r="EA114" i="4"/>
  <c r="DZ114" i="4"/>
  <c r="DY114" i="4"/>
  <c r="DX114" i="4"/>
  <c r="DW114" i="4"/>
  <c r="DV114" i="4"/>
  <c r="DU114" i="4"/>
  <c r="DT114" i="4"/>
  <c r="DS114" i="4"/>
  <c r="DR114" i="4"/>
  <c r="DQ114" i="4"/>
  <c r="DP114" i="4"/>
  <c r="DO114" i="4"/>
  <c r="DN114" i="4"/>
  <c r="DM114" i="4"/>
  <c r="DL114" i="4"/>
  <c r="DK114" i="4"/>
  <c r="DJ114" i="4"/>
  <c r="DI114" i="4"/>
  <c r="DH114" i="4"/>
  <c r="DG114" i="4"/>
  <c r="DF114" i="4"/>
  <c r="DE114" i="4"/>
  <c r="DD114" i="4"/>
  <c r="DC114" i="4"/>
  <c r="DB114" i="4"/>
  <c r="DA114" i="4"/>
  <c r="CZ114" i="4"/>
  <c r="CY114" i="4"/>
  <c r="CX114" i="4"/>
  <c r="CW114" i="4"/>
  <c r="CV114" i="4"/>
  <c r="CU114" i="4"/>
  <c r="CT114" i="4"/>
  <c r="CS114" i="4"/>
  <c r="CR114" i="4"/>
  <c r="CQ114" i="4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L33" i="6" s="1" a="1"/>
  <c r="L33" i="6" s="1"/>
  <c r="C114" i="4"/>
  <c r="B114" i="4"/>
  <c r="IL113" i="4"/>
  <c r="IK113" i="4"/>
  <c r="IJ113" i="4"/>
  <c r="II113" i="4"/>
  <c r="IH113" i="4"/>
  <c r="IG113" i="4"/>
  <c r="IF113" i="4"/>
  <c r="IE113" i="4"/>
  <c r="ID113" i="4"/>
  <c r="IC113" i="4"/>
  <c r="IB113" i="4"/>
  <c r="IA113" i="4"/>
  <c r="HZ113" i="4"/>
  <c r="HY113" i="4"/>
  <c r="HX113" i="4"/>
  <c r="HW113" i="4"/>
  <c r="HV113" i="4"/>
  <c r="HU113" i="4"/>
  <c r="HT113" i="4"/>
  <c r="HS113" i="4"/>
  <c r="HR113" i="4"/>
  <c r="HQ113" i="4"/>
  <c r="HP113" i="4"/>
  <c r="HO113" i="4"/>
  <c r="HN113" i="4"/>
  <c r="HM113" i="4"/>
  <c r="HL113" i="4"/>
  <c r="HK113" i="4"/>
  <c r="HJ113" i="4"/>
  <c r="HI113" i="4"/>
  <c r="HH113" i="4"/>
  <c r="HG113" i="4"/>
  <c r="HF113" i="4"/>
  <c r="HE113" i="4"/>
  <c r="HD113" i="4"/>
  <c r="HC113" i="4"/>
  <c r="HB113" i="4"/>
  <c r="HA113" i="4"/>
  <c r="GZ113" i="4"/>
  <c r="GY113" i="4"/>
  <c r="GX113" i="4"/>
  <c r="GW113" i="4"/>
  <c r="GV113" i="4"/>
  <c r="GU113" i="4"/>
  <c r="GT113" i="4"/>
  <c r="GS113" i="4"/>
  <c r="GR113" i="4"/>
  <c r="GQ113" i="4"/>
  <c r="GP113" i="4"/>
  <c r="GO113" i="4"/>
  <c r="GN113" i="4"/>
  <c r="GM113" i="4"/>
  <c r="GL113" i="4"/>
  <c r="GK113" i="4"/>
  <c r="GJ113" i="4"/>
  <c r="GI113" i="4"/>
  <c r="GH113" i="4"/>
  <c r="GG113" i="4"/>
  <c r="GF113" i="4"/>
  <c r="GE113" i="4"/>
  <c r="GD113" i="4"/>
  <c r="GC113" i="4"/>
  <c r="GB113" i="4"/>
  <c r="GA113" i="4"/>
  <c r="FZ113" i="4"/>
  <c r="FY113" i="4"/>
  <c r="FX113" i="4"/>
  <c r="FW113" i="4"/>
  <c r="FV113" i="4"/>
  <c r="FU113" i="4"/>
  <c r="FT113" i="4"/>
  <c r="FS113" i="4"/>
  <c r="FR113" i="4"/>
  <c r="FQ113" i="4"/>
  <c r="FP113" i="4"/>
  <c r="FO113" i="4"/>
  <c r="FN113" i="4"/>
  <c r="FM113" i="4"/>
  <c r="FL113" i="4"/>
  <c r="FK113" i="4"/>
  <c r="FJ113" i="4"/>
  <c r="FI113" i="4"/>
  <c r="FH113" i="4"/>
  <c r="FG113" i="4"/>
  <c r="FF113" i="4"/>
  <c r="FE113" i="4"/>
  <c r="FD113" i="4"/>
  <c r="FC113" i="4"/>
  <c r="FB113" i="4"/>
  <c r="FA113" i="4"/>
  <c r="EZ113" i="4"/>
  <c r="EY113" i="4"/>
  <c r="EX113" i="4"/>
  <c r="EW113" i="4"/>
  <c r="EV113" i="4"/>
  <c r="EU113" i="4"/>
  <c r="ET113" i="4"/>
  <c r="ES113" i="4"/>
  <c r="ER113" i="4"/>
  <c r="EQ113" i="4"/>
  <c r="EP113" i="4"/>
  <c r="EO113" i="4"/>
  <c r="EN113" i="4"/>
  <c r="EM113" i="4"/>
  <c r="EL113" i="4"/>
  <c r="EK113" i="4"/>
  <c r="EJ113" i="4"/>
  <c r="EI113" i="4"/>
  <c r="EH113" i="4"/>
  <c r="EG113" i="4"/>
  <c r="EF113" i="4"/>
  <c r="EE113" i="4"/>
  <c r="ED113" i="4"/>
  <c r="EC113" i="4"/>
  <c r="EB113" i="4"/>
  <c r="EA113" i="4"/>
  <c r="DZ113" i="4"/>
  <c r="DY113" i="4"/>
  <c r="DX113" i="4"/>
  <c r="DW113" i="4"/>
  <c r="DV113" i="4"/>
  <c r="DU113" i="4"/>
  <c r="DT113" i="4"/>
  <c r="DS113" i="4"/>
  <c r="DR113" i="4"/>
  <c r="DQ113" i="4"/>
  <c r="DP113" i="4"/>
  <c r="DO113" i="4"/>
  <c r="DN113" i="4"/>
  <c r="DM113" i="4"/>
  <c r="DL113" i="4"/>
  <c r="DK113" i="4"/>
  <c r="DJ113" i="4"/>
  <c r="DI113" i="4"/>
  <c r="DH113" i="4"/>
  <c r="DG113" i="4"/>
  <c r="DF113" i="4"/>
  <c r="DE113" i="4"/>
  <c r="DD113" i="4"/>
  <c r="DC113" i="4"/>
  <c r="DB113" i="4"/>
  <c r="DA113" i="4"/>
  <c r="CZ113" i="4"/>
  <c r="CY113" i="4"/>
  <c r="CX113" i="4"/>
  <c r="CW113" i="4"/>
  <c r="CV113" i="4"/>
  <c r="CU113" i="4"/>
  <c r="CT113" i="4"/>
  <c r="CS113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L32" i="6" s="1" a="1"/>
  <c r="L32" i="6" s="1"/>
  <c r="H113" i="4"/>
  <c r="G113" i="4"/>
  <c r="F113" i="4"/>
  <c r="E113" i="4"/>
  <c r="D113" i="4"/>
  <c r="C113" i="4"/>
  <c r="B113" i="4"/>
  <c r="IL112" i="4"/>
  <c r="IK112" i="4"/>
  <c r="IJ112" i="4"/>
  <c r="II112" i="4"/>
  <c r="IH112" i="4"/>
  <c r="IG112" i="4"/>
  <c r="IF112" i="4"/>
  <c r="IE112" i="4"/>
  <c r="ID112" i="4"/>
  <c r="IC112" i="4"/>
  <c r="IB112" i="4"/>
  <c r="IA112" i="4"/>
  <c r="HZ112" i="4"/>
  <c r="HY112" i="4"/>
  <c r="HX112" i="4"/>
  <c r="HW112" i="4"/>
  <c r="HV112" i="4"/>
  <c r="HU112" i="4"/>
  <c r="HT112" i="4"/>
  <c r="HS112" i="4"/>
  <c r="HR112" i="4"/>
  <c r="HQ112" i="4"/>
  <c r="HP112" i="4"/>
  <c r="HO112" i="4"/>
  <c r="HN112" i="4"/>
  <c r="HM112" i="4"/>
  <c r="HL112" i="4"/>
  <c r="HK112" i="4"/>
  <c r="HJ112" i="4"/>
  <c r="HI112" i="4"/>
  <c r="HH112" i="4"/>
  <c r="HG112" i="4"/>
  <c r="HF112" i="4"/>
  <c r="HE112" i="4"/>
  <c r="HD112" i="4"/>
  <c r="HC112" i="4"/>
  <c r="HB112" i="4"/>
  <c r="HA112" i="4"/>
  <c r="GZ112" i="4"/>
  <c r="GY112" i="4"/>
  <c r="GX112" i="4"/>
  <c r="GW112" i="4"/>
  <c r="GV112" i="4"/>
  <c r="GU112" i="4"/>
  <c r="GT112" i="4"/>
  <c r="GS112" i="4"/>
  <c r="GR112" i="4"/>
  <c r="GQ112" i="4"/>
  <c r="GP112" i="4"/>
  <c r="GO112" i="4"/>
  <c r="GN112" i="4"/>
  <c r="GM112" i="4"/>
  <c r="GL112" i="4"/>
  <c r="GK112" i="4"/>
  <c r="GJ112" i="4"/>
  <c r="GI112" i="4"/>
  <c r="GH112" i="4"/>
  <c r="GG112" i="4"/>
  <c r="GF112" i="4"/>
  <c r="GE112" i="4"/>
  <c r="GD112" i="4"/>
  <c r="GC112" i="4"/>
  <c r="GB112" i="4"/>
  <c r="GA112" i="4"/>
  <c r="FZ112" i="4"/>
  <c r="FY112" i="4"/>
  <c r="FX112" i="4"/>
  <c r="FW112" i="4"/>
  <c r="FV112" i="4"/>
  <c r="FU112" i="4"/>
  <c r="FT112" i="4"/>
  <c r="FS112" i="4"/>
  <c r="FR112" i="4"/>
  <c r="FQ112" i="4"/>
  <c r="FP112" i="4"/>
  <c r="FO112" i="4"/>
  <c r="FN112" i="4"/>
  <c r="FM112" i="4"/>
  <c r="FL112" i="4"/>
  <c r="FK112" i="4"/>
  <c r="FJ112" i="4"/>
  <c r="FI112" i="4"/>
  <c r="FH112" i="4"/>
  <c r="FG112" i="4"/>
  <c r="FF112" i="4"/>
  <c r="FE112" i="4"/>
  <c r="FD112" i="4"/>
  <c r="FC112" i="4"/>
  <c r="FB112" i="4"/>
  <c r="FA112" i="4"/>
  <c r="EZ112" i="4"/>
  <c r="EY112" i="4"/>
  <c r="EX112" i="4"/>
  <c r="EW112" i="4"/>
  <c r="EV112" i="4"/>
  <c r="EU112" i="4"/>
  <c r="ET112" i="4"/>
  <c r="ES112" i="4"/>
  <c r="ER112" i="4"/>
  <c r="EQ112" i="4"/>
  <c r="EP112" i="4"/>
  <c r="EO112" i="4"/>
  <c r="EN112" i="4"/>
  <c r="EM112" i="4"/>
  <c r="EL112" i="4"/>
  <c r="EK112" i="4"/>
  <c r="EJ112" i="4"/>
  <c r="EI112" i="4"/>
  <c r="EH112" i="4"/>
  <c r="EG112" i="4"/>
  <c r="EF112" i="4"/>
  <c r="EE112" i="4"/>
  <c r="ED112" i="4"/>
  <c r="EC112" i="4"/>
  <c r="EB112" i="4"/>
  <c r="EA112" i="4"/>
  <c r="DZ112" i="4"/>
  <c r="DY112" i="4"/>
  <c r="DX112" i="4"/>
  <c r="DW112" i="4"/>
  <c r="DV112" i="4"/>
  <c r="DU112" i="4"/>
  <c r="DT112" i="4"/>
  <c r="DS112" i="4"/>
  <c r="DR112" i="4"/>
  <c r="DQ112" i="4"/>
  <c r="DP112" i="4"/>
  <c r="DO112" i="4"/>
  <c r="DN112" i="4"/>
  <c r="DM112" i="4"/>
  <c r="DL112" i="4"/>
  <c r="DK112" i="4"/>
  <c r="DJ112" i="4"/>
  <c r="DI112" i="4"/>
  <c r="DH112" i="4"/>
  <c r="DG112" i="4"/>
  <c r="DF112" i="4"/>
  <c r="DE112" i="4"/>
  <c r="DD112" i="4"/>
  <c r="DC112" i="4"/>
  <c r="DB112" i="4"/>
  <c r="DA112" i="4"/>
  <c r="CZ112" i="4"/>
  <c r="CY112" i="4"/>
  <c r="CX112" i="4"/>
  <c r="CW112" i="4"/>
  <c r="CV112" i="4"/>
  <c r="CU112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L31" i="6" s="1" a="1"/>
  <c r="L31" i="6" s="1"/>
  <c r="E112" i="4"/>
  <c r="D112" i="4"/>
  <c r="C112" i="4"/>
  <c r="B112" i="4"/>
  <c r="IL110" i="4"/>
  <c r="IK110" i="4"/>
  <c r="IJ110" i="4"/>
  <c r="II110" i="4"/>
  <c r="IH110" i="4"/>
  <c r="IG110" i="4"/>
  <c r="IF110" i="4"/>
  <c r="IE110" i="4"/>
  <c r="ID110" i="4"/>
  <c r="IC110" i="4"/>
  <c r="IB110" i="4"/>
  <c r="IA110" i="4"/>
  <c r="HZ110" i="4"/>
  <c r="HY110" i="4"/>
  <c r="HX110" i="4"/>
  <c r="HW110" i="4"/>
  <c r="HV110" i="4"/>
  <c r="HU110" i="4"/>
  <c r="HT110" i="4"/>
  <c r="HS110" i="4"/>
  <c r="HR110" i="4"/>
  <c r="HQ110" i="4"/>
  <c r="HP110" i="4"/>
  <c r="HO110" i="4"/>
  <c r="HN110" i="4"/>
  <c r="HM110" i="4"/>
  <c r="HL110" i="4"/>
  <c r="HK110" i="4"/>
  <c r="HJ110" i="4"/>
  <c r="HI110" i="4"/>
  <c r="HH110" i="4"/>
  <c r="HG110" i="4"/>
  <c r="HF110" i="4"/>
  <c r="HE110" i="4"/>
  <c r="HD110" i="4"/>
  <c r="HC110" i="4"/>
  <c r="HB110" i="4"/>
  <c r="HA110" i="4"/>
  <c r="GZ110" i="4"/>
  <c r="GY110" i="4"/>
  <c r="GX110" i="4"/>
  <c r="GW110" i="4"/>
  <c r="GV110" i="4"/>
  <c r="GU110" i="4"/>
  <c r="GT110" i="4"/>
  <c r="GS110" i="4"/>
  <c r="GR110" i="4"/>
  <c r="GQ110" i="4"/>
  <c r="GP110" i="4"/>
  <c r="GO110" i="4"/>
  <c r="GN110" i="4"/>
  <c r="GM110" i="4"/>
  <c r="GL110" i="4"/>
  <c r="GK110" i="4"/>
  <c r="GJ110" i="4"/>
  <c r="GI110" i="4"/>
  <c r="GH110" i="4"/>
  <c r="GG110" i="4"/>
  <c r="GF110" i="4"/>
  <c r="GE110" i="4"/>
  <c r="GD110" i="4"/>
  <c r="GC110" i="4"/>
  <c r="GB110" i="4"/>
  <c r="GA110" i="4"/>
  <c r="FZ110" i="4"/>
  <c r="FY110" i="4"/>
  <c r="FX110" i="4"/>
  <c r="FW110" i="4"/>
  <c r="FV110" i="4"/>
  <c r="FU110" i="4"/>
  <c r="FT110" i="4"/>
  <c r="FS110" i="4"/>
  <c r="FR110" i="4"/>
  <c r="FQ110" i="4"/>
  <c r="FP110" i="4"/>
  <c r="FO110" i="4"/>
  <c r="FN110" i="4"/>
  <c r="FM110" i="4"/>
  <c r="FL110" i="4"/>
  <c r="FK110" i="4"/>
  <c r="FJ110" i="4"/>
  <c r="FI110" i="4"/>
  <c r="FH110" i="4"/>
  <c r="FG110" i="4"/>
  <c r="FF110" i="4"/>
  <c r="FE110" i="4"/>
  <c r="FD110" i="4"/>
  <c r="FC110" i="4"/>
  <c r="FB110" i="4"/>
  <c r="FA110" i="4"/>
  <c r="EZ110" i="4"/>
  <c r="EY110" i="4"/>
  <c r="EX110" i="4"/>
  <c r="EW110" i="4"/>
  <c r="EV110" i="4"/>
  <c r="EU110" i="4"/>
  <c r="ET110" i="4"/>
  <c r="ES110" i="4"/>
  <c r="ER110" i="4"/>
  <c r="EQ110" i="4"/>
  <c r="EP110" i="4"/>
  <c r="EO110" i="4"/>
  <c r="EN110" i="4"/>
  <c r="EM110" i="4"/>
  <c r="EL110" i="4"/>
  <c r="EK110" i="4"/>
  <c r="EJ110" i="4"/>
  <c r="EI110" i="4"/>
  <c r="EH110" i="4"/>
  <c r="EG110" i="4"/>
  <c r="EF110" i="4"/>
  <c r="EE110" i="4"/>
  <c r="ED110" i="4"/>
  <c r="EC110" i="4"/>
  <c r="EB110" i="4"/>
  <c r="EA110" i="4"/>
  <c r="DZ110" i="4"/>
  <c r="DY110" i="4"/>
  <c r="DX110" i="4"/>
  <c r="DW110" i="4"/>
  <c r="DV110" i="4"/>
  <c r="DU110" i="4"/>
  <c r="DT110" i="4"/>
  <c r="DS110" i="4"/>
  <c r="DR110" i="4"/>
  <c r="DQ110" i="4"/>
  <c r="DP110" i="4"/>
  <c r="DO110" i="4"/>
  <c r="DN110" i="4"/>
  <c r="DM110" i="4"/>
  <c r="DL110" i="4"/>
  <c r="DK110" i="4"/>
  <c r="DJ110" i="4"/>
  <c r="DI110" i="4"/>
  <c r="DH110" i="4"/>
  <c r="DG110" i="4"/>
  <c r="DF110" i="4"/>
  <c r="DE110" i="4"/>
  <c r="DD110" i="4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IL109" i="4"/>
  <c r="IK109" i="4"/>
  <c r="IJ109" i="4"/>
  <c r="II109" i="4"/>
  <c r="IH109" i="4"/>
  <c r="IG109" i="4"/>
  <c r="IF109" i="4"/>
  <c r="IE109" i="4"/>
  <c r="ID109" i="4"/>
  <c r="IC109" i="4"/>
  <c r="IB109" i="4"/>
  <c r="IA109" i="4"/>
  <c r="HZ109" i="4"/>
  <c r="HY109" i="4"/>
  <c r="HX109" i="4"/>
  <c r="HW109" i="4"/>
  <c r="HV109" i="4"/>
  <c r="HU109" i="4"/>
  <c r="HT109" i="4"/>
  <c r="HS109" i="4"/>
  <c r="HR109" i="4"/>
  <c r="HQ109" i="4"/>
  <c r="HP109" i="4"/>
  <c r="HO109" i="4"/>
  <c r="HN109" i="4"/>
  <c r="HM109" i="4"/>
  <c r="HL109" i="4"/>
  <c r="HK109" i="4"/>
  <c r="HJ109" i="4"/>
  <c r="HI109" i="4"/>
  <c r="HH109" i="4"/>
  <c r="HG109" i="4"/>
  <c r="HF109" i="4"/>
  <c r="HE109" i="4"/>
  <c r="HD109" i="4"/>
  <c r="HC109" i="4"/>
  <c r="HB109" i="4"/>
  <c r="HA109" i="4"/>
  <c r="GZ109" i="4"/>
  <c r="GY109" i="4"/>
  <c r="GX109" i="4"/>
  <c r="GW109" i="4"/>
  <c r="GV109" i="4"/>
  <c r="GU109" i="4"/>
  <c r="GT109" i="4"/>
  <c r="GS109" i="4"/>
  <c r="GR109" i="4"/>
  <c r="GQ109" i="4"/>
  <c r="GP109" i="4"/>
  <c r="GO109" i="4"/>
  <c r="GN109" i="4"/>
  <c r="GM109" i="4"/>
  <c r="GL109" i="4"/>
  <c r="GK109" i="4"/>
  <c r="GJ109" i="4"/>
  <c r="GI109" i="4"/>
  <c r="GH109" i="4"/>
  <c r="GG109" i="4"/>
  <c r="GF109" i="4"/>
  <c r="GE109" i="4"/>
  <c r="GD109" i="4"/>
  <c r="GC109" i="4"/>
  <c r="GB109" i="4"/>
  <c r="GA109" i="4"/>
  <c r="FZ109" i="4"/>
  <c r="FY109" i="4"/>
  <c r="FX109" i="4"/>
  <c r="FW109" i="4"/>
  <c r="FV109" i="4"/>
  <c r="FU109" i="4"/>
  <c r="FT109" i="4"/>
  <c r="FS109" i="4"/>
  <c r="FR109" i="4"/>
  <c r="FQ109" i="4"/>
  <c r="FP109" i="4"/>
  <c r="FO109" i="4"/>
  <c r="FN109" i="4"/>
  <c r="FM109" i="4"/>
  <c r="FL109" i="4"/>
  <c r="FK109" i="4"/>
  <c r="FJ109" i="4"/>
  <c r="FI109" i="4"/>
  <c r="FH109" i="4"/>
  <c r="FG109" i="4"/>
  <c r="FF109" i="4"/>
  <c r="FE109" i="4"/>
  <c r="FD109" i="4"/>
  <c r="FC109" i="4"/>
  <c r="FB109" i="4"/>
  <c r="FA109" i="4"/>
  <c r="EZ109" i="4"/>
  <c r="EY109" i="4"/>
  <c r="EX109" i="4"/>
  <c r="EW109" i="4"/>
  <c r="EV109" i="4"/>
  <c r="EU109" i="4"/>
  <c r="ET109" i="4"/>
  <c r="ES109" i="4"/>
  <c r="ER109" i="4"/>
  <c r="EQ109" i="4"/>
  <c r="EP109" i="4"/>
  <c r="EO109" i="4"/>
  <c r="EN109" i="4"/>
  <c r="EM109" i="4"/>
  <c r="EL109" i="4"/>
  <c r="EK109" i="4"/>
  <c r="EJ109" i="4"/>
  <c r="EI109" i="4"/>
  <c r="EH109" i="4"/>
  <c r="EG109" i="4"/>
  <c r="EF109" i="4"/>
  <c r="EE109" i="4"/>
  <c r="ED109" i="4"/>
  <c r="EC109" i="4"/>
  <c r="EB109" i="4"/>
  <c r="EA109" i="4"/>
  <c r="DZ109" i="4"/>
  <c r="DY109" i="4"/>
  <c r="DX109" i="4"/>
  <c r="DW109" i="4"/>
  <c r="DV109" i="4"/>
  <c r="DU109" i="4"/>
  <c r="DT109" i="4"/>
  <c r="DS109" i="4"/>
  <c r="DR109" i="4"/>
  <c r="DQ109" i="4"/>
  <c r="DP109" i="4"/>
  <c r="DO109" i="4"/>
  <c r="DN109" i="4"/>
  <c r="DM109" i="4"/>
  <c r="DL109" i="4"/>
  <c r="DK109" i="4"/>
  <c r="DJ109" i="4"/>
  <c r="DI109" i="4"/>
  <c r="DH109" i="4"/>
  <c r="DG109" i="4"/>
  <c r="DF109" i="4"/>
  <c r="DE109" i="4"/>
  <c r="DD109" i="4"/>
  <c r="DC109" i="4"/>
  <c r="DB109" i="4"/>
  <c r="DA109" i="4"/>
  <c r="CZ109" i="4"/>
  <c r="CY109" i="4"/>
  <c r="CX109" i="4"/>
  <c r="CW109" i="4"/>
  <c r="CV109" i="4"/>
  <c r="CU109" i="4"/>
  <c r="CT109" i="4"/>
  <c r="CS109" i="4"/>
  <c r="CR109" i="4"/>
  <c r="CQ109" i="4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IL108" i="4"/>
  <c r="IK108" i="4"/>
  <c r="IJ108" i="4"/>
  <c r="II108" i="4"/>
  <c r="IH108" i="4"/>
  <c r="IG108" i="4"/>
  <c r="IF108" i="4"/>
  <c r="IE108" i="4"/>
  <c r="ID108" i="4"/>
  <c r="IC108" i="4"/>
  <c r="IB108" i="4"/>
  <c r="IA108" i="4"/>
  <c r="HZ108" i="4"/>
  <c r="HY108" i="4"/>
  <c r="HX108" i="4"/>
  <c r="HW108" i="4"/>
  <c r="HV108" i="4"/>
  <c r="HU108" i="4"/>
  <c r="HT108" i="4"/>
  <c r="HS108" i="4"/>
  <c r="HR108" i="4"/>
  <c r="HQ108" i="4"/>
  <c r="HP108" i="4"/>
  <c r="HO108" i="4"/>
  <c r="HN108" i="4"/>
  <c r="HM108" i="4"/>
  <c r="HL108" i="4"/>
  <c r="HK108" i="4"/>
  <c r="HJ108" i="4"/>
  <c r="HI108" i="4"/>
  <c r="HH108" i="4"/>
  <c r="HG108" i="4"/>
  <c r="HF108" i="4"/>
  <c r="HE108" i="4"/>
  <c r="HD108" i="4"/>
  <c r="HC108" i="4"/>
  <c r="HB108" i="4"/>
  <c r="HA108" i="4"/>
  <c r="GZ108" i="4"/>
  <c r="GY108" i="4"/>
  <c r="GX108" i="4"/>
  <c r="GW108" i="4"/>
  <c r="GV108" i="4"/>
  <c r="GU108" i="4"/>
  <c r="GT108" i="4"/>
  <c r="GS108" i="4"/>
  <c r="GR108" i="4"/>
  <c r="GQ108" i="4"/>
  <c r="GP108" i="4"/>
  <c r="GO108" i="4"/>
  <c r="GN108" i="4"/>
  <c r="GM108" i="4"/>
  <c r="GL108" i="4"/>
  <c r="GK108" i="4"/>
  <c r="GJ108" i="4"/>
  <c r="GI108" i="4"/>
  <c r="GH108" i="4"/>
  <c r="GG108" i="4"/>
  <c r="GF108" i="4"/>
  <c r="GE108" i="4"/>
  <c r="GD108" i="4"/>
  <c r="GC108" i="4"/>
  <c r="GB108" i="4"/>
  <c r="GA108" i="4"/>
  <c r="FZ108" i="4"/>
  <c r="FY108" i="4"/>
  <c r="FX108" i="4"/>
  <c r="FW108" i="4"/>
  <c r="FV108" i="4"/>
  <c r="FU108" i="4"/>
  <c r="FT108" i="4"/>
  <c r="FS108" i="4"/>
  <c r="FR108" i="4"/>
  <c r="FQ108" i="4"/>
  <c r="FP108" i="4"/>
  <c r="FO108" i="4"/>
  <c r="FN108" i="4"/>
  <c r="FM108" i="4"/>
  <c r="FL108" i="4"/>
  <c r="FK108" i="4"/>
  <c r="FJ108" i="4"/>
  <c r="FI108" i="4"/>
  <c r="FH108" i="4"/>
  <c r="FG108" i="4"/>
  <c r="FF108" i="4"/>
  <c r="FE108" i="4"/>
  <c r="FD108" i="4"/>
  <c r="FC108" i="4"/>
  <c r="FB108" i="4"/>
  <c r="FA108" i="4"/>
  <c r="EZ108" i="4"/>
  <c r="EY108" i="4"/>
  <c r="EX108" i="4"/>
  <c r="EW108" i="4"/>
  <c r="EV108" i="4"/>
  <c r="EU108" i="4"/>
  <c r="ET108" i="4"/>
  <c r="ES108" i="4"/>
  <c r="ER108" i="4"/>
  <c r="EQ108" i="4"/>
  <c r="EP108" i="4"/>
  <c r="EO108" i="4"/>
  <c r="EN108" i="4"/>
  <c r="EM108" i="4"/>
  <c r="EL108" i="4"/>
  <c r="EK108" i="4"/>
  <c r="EJ108" i="4"/>
  <c r="EI108" i="4"/>
  <c r="EH108" i="4"/>
  <c r="EG108" i="4"/>
  <c r="EF108" i="4"/>
  <c r="EE108" i="4"/>
  <c r="ED108" i="4"/>
  <c r="EC108" i="4"/>
  <c r="EB108" i="4"/>
  <c r="EA108" i="4"/>
  <c r="DZ108" i="4"/>
  <c r="DY108" i="4"/>
  <c r="DX108" i="4"/>
  <c r="DW108" i="4"/>
  <c r="DV108" i="4"/>
  <c r="DU108" i="4"/>
  <c r="DT108" i="4"/>
  <c r="DS108" i="4"/>
  <c r="DR108" i="4"/>
  <c r="DQ108" i="4"/>
  <c r="DP108" i="4"/>
  <c r="DO108" i="4"/>
  <c r="DN108" i="4"/>
  <c r="DM108" i="4"/>
  <c r="DL108" i="4"/>
  <c r="DK108" i="4"/>
  <c r="DJ108" i="4"/>
  <c r="DI108" i="4"/>
  <c r="DH108" i="4"/>
  <c r="DG108" i="4"/>
  <c r="DF108" i="4"/>
  <c r="DE108" i="4"/>
  <c r="DD108" i="4"/>
  <c r="DC108" i="4"/>
  <c r="DB108" i="4"/>
  <c r="DA108" i="4"/>
  <c r="CZ108" i="4"/>
  <c r="CY108" i="4"/>
  <c r="CX108" i="4"/>
  <c r="CW108" i="4"/>
  <c r="CV108" i="4"/>
  <c r="CU108" i="4"/>
  <c r="CT108" i="4"/>
  <c r="CS108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L27" i="6" s="1" a="1"/>
  <c r="L27" i="6" s="1"/>
  <c r="D108" i="4"/>
  <c r="C108" i="4"/>
  <c r="B108" i="4"/>
  <c r="IL107" i="4"/>
  <c r="IK107" i="4"/>
  <c r="IJ107" i="4"/>
  <c r="II107" i="4"/>
  <c r="IH107" i="4"/>
  <c r="IG107" i="4"/>
  <c r="IF107" i="4"/>
  <c r="IE107" i="4"/>
  <c r="ID107" i="4"/>
  <c r="IC107" i="4"/>
  <c r="IB107" i="4"/>
  <c r="IA107" i="4"/>
  <c r="HZ107" i="4"/>
  <c r="HY107" i="4"/>
  <c r="HX107" i="4"/>
  <c r="HW107" i="4"/>
  <c r="HV107" i="4"/>
  <c r="HU107" i="4"/>
  <c r="HT107" i="4"/>
  <c r="HS107" i="4"/>
  <c r="HR107" i="4"/>
  <c r="HQ107" i="4"/>
  <c r="HP107" i="4"/>
  <c r="HO107" i="4"/>
  <c r="HN107" i="4"/>
  <c r="HM107" i="4"/>
  <c r="HL107" i="4"/>
  <c r="HK107" i="4"/>
  <c r="HJ107" i="4"/>
  <c r="HI107" i="4"/>
  <c r="HH107" i="4"/>
  <c r="HG107" i="4"/>
  <c r="HF107" i="4"/>
  <c r="HE107" i="4"/>
  <c r="HD107" i="4"/>
  <c r="HC107" i="4"/>
  <c r="HB107" i="4"/>
  <c r="HA107" i="4"/>
  <c r="GZ107" i="4"/>
  <c r="GY107" i="4"/>
  <c r="GX107" i="4"/>
  <c r="GW107" i="4"/>
  <c r="GV107" i="4"/>
  <c r="GU107" i="4"/>
  <c r="GT107" i="4"/>
  <c r="GS107" i="4"/>
  <c r="GR107" i="4"/>
  <c r="GQ107" i="4"/>
  <c r="GP107" i="4"/>
  <c r="GO107" i="4"/>
  <c r="GN107" i="4"/>
  <c r="GM107" i="4"/>
  <c r="GL107" i="4"/>
  <c r="GK107" i="4"/>
  <c r="GJ107" i="4"/>
  <c r="GI107" i="4"/>
  <c r="GH107" i="4"/>
  <c r="GG107" i="4"/>
  <c r="GF107" i="4"/>
  <c r="GE107" i="4"/>
  <c r="GD107" i="4"/>
  <c r="GC107" i="4"/>
  <c r="GB107" i="4"/>
  <c r="GA107" i="4"/>
  <c r="FZ107" i="4"/>
  <c r="FY107" i="4"/>
  <c r="FX107" i="4"/>
  <c r="FW107" i="4"/>
  <c r="FV107" i="4"/>
  <c r="FU107" i="4"/>
  <c r="FT107" i="4"/>
  <c r="FS107" i="4"/>
  <c r="FR107" i="4"/>
  <c r="FQ107" i="4"/>
  <c r="FP107" i="4"/>
  <c r="FO107" i="4"/>
  <c r="FN107" i="4"/>
  <c r="FM107" i="4"/>
  <c r="FL107" i="4"/>
  <c r="FK107" i="4"/>
  <c r="FJ107" i="4"/>
  <c r="FI107" i="4"/>
  <c r="FH107" i="4"/>
  <c r="FG107" i="4"/>
  <c r="FF107" i="4"/>
  <c r="FE107" i="4"/>
  <c r="FD107" i="4"/>
  <c r="FC107" i="4"/>
  <c r="FB107" i="4"/>
  <c r="FA107" i="4"/>
  <c r="EZ107" i="4"/>
  <c r="EY107" i="4"/>
  <c r="EX107" i="4"/>
  <c r="EW107" i="4"/>
  <c r="EV107" i="4"/>
  <c r="EU107" i="4"/>
  <c r="ET107" i="4"/>
  <c r="ES107" i="4"/>
  <c r="ER107" i="4"/>
  <c r="EQ107" i="4"/>
  <c r="EP107" i="4"/>
  <c r="EO107" i="4"/>
  <c r="EN107" i="4"/>
  <c r="EM107" i="4"/>
  <c r="EL107" i="4"/>
  <c r="EK107" i="4"/>
  <c r="EJ107" i="4"/>
  <c r="EI107" i="4"/>
  <c r="EH107" i="4"/>
  <c r="EG107" i="4"/>
  <c r="EF107" i="4"/>
  <c r="EE107" i="4"/>
  <c r="ED107" i="4"/>
  <c r="EC107" i="4"/>
  <c r="EB107" i="4"/>
  <c r="EA107" i="4"/>
  <c r="DZ107" i="4"/>
  <c r="DY107" i="4"/>
  <c r="DX107" i="4"/>
  <c r="DW107" i="4"/>
  <c r="DV107" i="4"/>
  <c r="DU107" i="4"/>
  <c r="DT107" i="4"/>
  <c r="DS107" i="4"/>
  <c r="DR107" i="4"/>
  <c r="DQ107" i="4"/>
  <c r="DP107" i="4"/>
  <c r="DO107" i="4"/>
  <c r="DN107" i="4"/>
  <c r="DM107" i="4"/>
  <c r="DL107" i="4"/>
  <c r="DK107" i="4"/>
  <c r="DJ107" i="4"/>
  <c r="DI107" i="4"/>
  <c r="DH107" i="4"/>
  <c r="DG107" i="4"/>
  <c r="DF107" i="4"/>
  <c r="DE107" i="4"/>
  <c r="DD107" i="4"/>
  <c r="DC107" i="4"/>
  <c r="DB107" i="4"/>
  <c r="DA107" i="4"/>
  <c r="CZ107" i="4"/>
  <c r="CY107" i="4"/>
  <c r="CX107" i="4"/>
  <c r="CW107" i="4"/>
  <c r="CV107" i="4"/>
  <c r="CU107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L26" i="6" s="1" a="1"/>
  <c r="L26" i="6" s="1"/>
  <c r="IL106" i="4"/>
  <c r="IK106" i="4"/>
  <c r="IJ106" i="4"/>
  <c r="II106" i="4"/>
  <c r="IH106" i="4"/>
  <c r="IG106" i="4"/>
  <c r="IF106" i="4"/>
  <c r="IE106" i="4"/>
  <c r="ID106" i="4"/>
  <c r="IC106" i="4"/>
  <c r="IB106" i="4"/>
  <c r="IA106" i="4"/>
  <c r="HZ106" i="4"/>
  <c r="HY106" i="4"/>
  <c r="HX106" i="4"/>
  <c r="HW106" i="4"/>
  <c r="HV106" i="4"/>
  <c r="HU106" i="4"/>
  <c r="HT106" i="4"/>
  <c r="HS106" i="4"/>
  <c r="HR106" i="4"/>
  <c r="HQ106" i="4"/>
  <c r="HP106" i="4"/>
  <c r="HO106" i="4"/>
  <c r="HN106" i="4"/>
  <c r="HM106" i="4"/>
  <c r="HL106" i="4"/>
  <c r="HK106" i="4"/>
  <c r="HJ106" i="4"/>
  <c r="HI106" i="4"/>
  <c r="HH106" i="4"/>
  <c r="HG106" i="4"/>
  <c r="HF106" i="4"/>
  <c r="HE106" i="4"/>
  <c r="HD106" i="4"/>
  <c r="HC106" i="4"/>
  <c r="HB106" i="4"/>
  <c r="HA106" i="4"/>
  <c r="GZ106" i="4"/>
  <c r="GY106" i="4"/>
  <c r="GX106" i="4"/>
  <c r="GW106" i="4"/>
  <c r="GV106" i="4"/>
  <c r="GU106" i="4"/>
  <c r="GT106" i="4"/>
  <c r="GS106" i="4"/>
  <c r="GR106" i="4"/>
  <c r="GQ106" i="4"/>
  <c r="GP106" i="4"/>
  <c r="GO106" i="4"/>
  <c r="GN106" i="4"/>
  <c r="GM106" i="4"/>
  <c r="GL106" i="4"/>
  <c r="GK106" i="4"/>
  <c r="GJ106" i="4"/>
  <c r="GI106" i="4"/>
  <c r="GH106" i="4"/>
  <c r="GG106" i="4"/>
  <c r="GF106" i="4"/>
  <c r="GE106" i="4"/>
  <c r="GD106" i="4"/>
  <c r="GC106" i="4"/>
  <c r="GB106" i="4"/>
  <c r="GA106" i="4"/>
  <c r="FZ106" i="4"/>
  <c r="FY106" i="4"/>
  <c r="FX106" i="4"/>
  <c r="FW106" i="4"/>
  <c r="FV106" i="4"/>
  <c r="FU106" i="4"/>
  <c r="FT106" i="4"/>
  <c r="FS106" i="4"/>
  <c r="FR106" i="4"/>
  <c r="FQ106" i="4"/>
  <c r="FP106" i="4"/>
  <c r="FO106" i="4"/>
  <c r="FN106" i="4"/>
  <c r="FM106" i="4"/>
  <c r="FL106" i="4"/>
  <c r="FK106" i="4"/>
  <c r="FJ106" i="4"/>
  <c r="FI106" i="4"/>
  <c r="FH106" i="4"/>
  <c r="FG106" i="4"/>
  <c r="FF106" i="4"/>
  <c r="FE106" i="4"/>
  <c r="FD106" i="4"/>
  <c r="FC106" i="4"/>
  <c r="FB106" i="4"/>
  <c r="FA106" i="4"/>
  <c r="EZ106" i="4"/>
  <c r="EY106" i="4"/>
  <c r="EX106" i="4"/>
  <c r="EW106" i="4"/>
  <c r="EV106" i="4"/>
  <c r="EU106" i="4"/>
  <c r="ET106" i="4"/>
  <c r="ES106" i="4"/>
  <c r="ER106" i="4"/>
  <c r="EQ106" i="4"/>
  <c r="EP106" i="4"/>
  <c r="EO106" i="4"/>
  <c r="EN106" i="4"/>
  <c r="EM106" i="4"/>
  <c r="EL106" i="4"/>
  <c r="EK106" i="4"/>
  <c r="EJ106" i="4"/>
  <c r="EI106" i="4"/>
  <c r="EH106" i="4"/>
  <c r="EG106" i="4"/>
  <c r="EF106" i="4"/>
  <c r="EE106" i="4"/>
  <c r="ED106" i="4"/>
  <c r="EC106" i="4"/>
  <c r="EB106" i="4"/>
  <c r="EA106" i="4"/>
  <c r="DZ106" i="4"/>
  <c r="DY106" i="4"/>
  <c r="DX106" i="4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K106" i="4"/>
  <c r="DJ106" i="4"/>
  <c r="DI106" i="4"/>
  <c r="DH106" i="4"/>
  <c r="DG106" i="4"/>
  <c r="DF106" i="4"/>
  <c r="DE106" i="4"/>
  <c r="DD106" i="4"/>
  <c r="DC106" i="4"/>
  <c r="DB106" i="4"/>
  <c r="DA106" i="4"/>
  <c r="CZ106" i="4"/>
  <c r="CY106" i="4"/>
  <c r="CX106" i="4"/>
  <c r="CW106" i="4"/>
  <c r="CV106" i="4"/>
  <c r="CU106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L25" i="6" s="1" a="1"/>
  <c r="L25" i="6" s="1"/>
  <c r="F106" i="4"/>
  <c r="E106" i="4"/>
  <c r="D106" i="4"/>
  <c r="C106" i="4"/>
  <c r="B106" i="4"/>
  <c r="IL105" i="4"/>
  <c r="IK105" i="4"/>
  <c r="IJ105" i="4"/>
  <c r="II105" i="4"/>
  <c r="IH105" i="4"/>
  <c r="IG105" i="4"/>
  <c r="IF105" i="4"/>
  <c r="IE105" i="4"/>
  <c r="ID105" i="4"/>
  <c r="IC105" i="4"/>
  <c r="IB105" i="4"/>
  <c r="IA105" i="4"/>
  <c r="HZ105" i="4"/>
  <c r="HY105" i="4"/>
  <c r="HX105" i="4"/>
  <c r="HW105" i="4"/>
  <c r="HV105" i="4"/>
  <c r="HU105" i="4"/>
  <c r="HT105" i="4"/>
  <c r="HS105" i="4"/>
  <c r="HR105" i="4"/>
  <c r="HQ105" i="4"/>
  <c r="HP105" i="4"/>
  <c r="HO105" i="4"/>
  <c r="HN105" i="4"/>
  <c r="HM105" i="4"/>
  <c r="HL105" i="4"/>
  <c r="HK105" i="4"/>
  <c r="HJ105" i="4"/>
  <c r="HI105" i="4"/>
  <c r="HH105" i="4"/>
  <c r="HG105" i="4"/>
  <c r="HF105" i="4"/>
  <c r="HE105" i="4"/>
  <c r="HD105" i="4"/>
  <c r="HC105" i="4"/>
  <c r="HB105" i="4"/>
  <c r="HA105" i="4"/>
  <c r="GZ105" i="4"/>
  <c r="GY105" i="4"/>
  <c r="GX105" i="4"/>
  <c r="GW105" i="4"/>
  <c r="GV105" i="4"/>
  <c r="GU105" i="4"/>
  <c r="GT105" i="4"/>
  <c r="GS105" i="4"/>
  <c r="GR105" i="4"/>
  <c r="GQ105" i="4"/>
  <c r="GP105" i="4"/>
  <c r="GO105" i="4"/>
  <c r="GN105" i="4"/>
  <c r="GM105" i="4"/>
  <c r="GL105" i="4"/>
  <c r="GK105" i="4"/>
  <c r="GJ105" i="4"/>
  <c r="GI105" i="4"/>
  <c r="GH105" i="4"/>
  <c r="GG105" i="4"/>
  <c r="GF105" i="4"/>
  <c r="GE105" i="4"/>
  <c r="GD105" i="4"/>
  <c r="GC105" i="4"/>
  <c r="GB105" i="4"/>
  <c r="GA105" i="4"/>
  <c r="FZ105" i="4"/>
  <c r="FY105" i="4"/>
  <c r="FX105" i="4"/>
  <c r="FW105" i="4"/>
  <c r="FV105" i="4"/>
  <c r="FU105" i="4"/>
  <c r="FT105" i="4"/>
  <c r="FS105" i="4"/>
  <c r="FR105" i="4"/>
  <c r="FQ105" i="4"/>
  <c r="FP105" i="4"/>
  <c r="FO105" i="4"/>
  <c r="FN105" i="4"/>
  <c r="FM105" i="4"/>
  <c r="FL105" i="4"/>
  <c r="FK105" i="4"/>
  <c r="FJ105" i="4"/>
  <c r="FI105" i="4"/>
  <c r="FH105" i="4"/>
  <c r="FG105" i="4"/>
  <c r="FF105" i="4"/>
  <c r="FE105" i="4"/>
  <c r="FD105" i="4"/>
  <c r="FC105" i="4"/>
  <c r="FB105" i="4"/>
  <c r="FA105" i="4"/>
  <c r="EZ105" i="4"/>
  <c r="EY105" i="4"/>
  <c r="EX105" i="4"/>
  <c r="EW105" i="4"/>
  <c r="EV105" i="4"/>
  <c r="EU105" i="4"/>
  <c r="ET105" i="4"/>
  <c r="ES105" i="4"/>
  <c r="ER105" i="4"/>
  <c r="EQ105" i="4"/>
  <c r="EP105" i="4"/>
  <c r="EO105" i="4"/>
  <c r="EN105" i="4"/>
  <c r="EM105" i="4"/>
  <c r="EL105" i="4"/>
  <c r="EK105" i="4"/>
  <c r="EJ105" i="4"/>
  <c r="EI105" i="4"/>
  <c r="EH105" i="4"/>
  <c r="EG105" i="4"/>
  <c r="EF105" i="4"/>
  <c r="EE105" i="4"/>
  <c r="ED105" i="4"/>
  <c r="EC105" i="4"/>
  <c r="EB105" i="4"/>
  <c r="EA105" i="4"/>
  <c r="DZ105" i="4"/>
  <c r="DY105" i="4"/>
  <c r="DX105" i="4"/>
  <c r="DW105" i="4"/>
  <c r="DV105" i="4"/>
  <c r="DU105" i="4"/>
  <c r="DT105" i="4"/>
  <c r="DS105" i="4"/>
  <c r="DR105" i="4"/>
  <c r="DQ105" i="4"/>
  <c r="DP105" i="4"/>
  <c r="DO105" i="4"/>
  <c r="DN105" i="4"/>
  <c r="DM105" i="4"/>
  <c r="DL105" i="4"/>
  <c r="DK105" i="4"/>
  <c r="DJ105" i="4"/>
  <c r="DI105" i="4"/>
  <c r="DH105" i="4"/>
  <c r="DG105" i="4"/>
  <c r="DF105" i="4"/>
  <c r="DE105" i="4"/>
  <c r="DD105" i="4"/>
  <c r="DC105" i="4"/>
  <c r="DB105" i="4"/>
  <c r="DA105" i="4"/>
  <c r="CZ105" i="4"/>
  <c r="CY105" i="4"/>
  <c r="CX105" i="4"/>
  <c r="CW105" i="4"/>
  <c r="CV105" i="4"/>
  <c r="CU105" i="4"/>
  <c r="CT105" i="4"/>
  <c r="CS105" i="4"/>
  <c r="CR105" i="4"/>
  <c r="CQ105" i="4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L24" i="6" s="1" a="1"/>
  <c r="L24" i="6" s="1"/>
  <c r="C105" i="4"/>
  <c r="B105" i="4"/>
  <c r="IL104" i="4"/>
  <c r="IK104" i="4"/>
  <c r="IJ104" i="4"/>
  <c r="II104" i="4"/>
  <c r="IH104" i="4"/>
  <c r="IG104" i="4"/>
  <c r="IF104" i="4"/>
  <c r="IE104" i="4"/>
  <c r="ID104" i="4"/>
  <c r="IC104" i="4"/>
  <c r="IB104" i="4"/>
  <c r="IA104" i="4"/>
  <c r="HZ104" i="4"/>
  <c r="HY104" i="4"/>
  <c r="HX104" i="4"/>
  <c r="HW104" i="4"/>
  <c r="HV104" i="4"/>
  <c r="HU104" i="4"/>
  <c r="HT104" i="4"/>
  <c r="HS104" i="4"/>
  <c r="HR104" i="4"/>
  <c r="HQ104" i="4"/>
  <c r="HP104" i="4"/>
  <c r="HO104" i="4"/>
  <c r="HN104" i="4"/>
  <c r="HM104" i="4"/>
  <c r="HL104" i="4"/>
  <c r="HK104" i="4"/>
  <c r="HJ104" i="4"/>
  <c r="HI104" i="4"/>
  <c r="HH104" i="4"/>
  <c r="HG104" i="4"/>
  <c r="HF104" i="4"/>
  <c r="HE104" i="4"/>
  <c r="HD104" i="4"/>
  <c r="HC104" i="4"/>
  <c r="HB104" i="4"/>
  <c r="HA104" i="4"/>
  <c r="GZ104" i="4"/>
  <c r="GY104" i="4"/>
  <c r="GX104" i="4"/>
  <c r="GW104" i="4"/>
  <c r="GV104" i="4"/>
  <c r="GU104" i="4"/>
  <c r="GT104" i="4"/>
  <c r="GS104" i="4"/>
  <c r="GR104" i="4"/>
  <c r="GQ104" i="4"/>
  <c r="GP104" i="4"/>
  <c r="GO104" i="4"/>
  <c r="GN104" i="4"/>
  <c r="GM104" i="4"/>
  <c r="GL104" i="4"/>
  <c r="GK104" i="4"/>
  <c r="GJ104" i="4"/>
  <c r="GI104" i="4"/>
  <c r="GH104" i="4"/>
  <c r="GG104" i="4"/>
  <c r="GF104" i="4"/>
  <c r="GE104" i="4"/>
  <c r="GD104" i="4"/>
  <c r="GC104" i="4"/>
  <c r="GB104" i="4"/>
  <c r="GA104" i="4"/>
  <c r="FZ104" i="4"/>
  <c r="FY104" i="4"/>
  <c r="FX104" i="4"/>
  <c r="FW104" i="4"/>
  <c r="FV104" i="4"/>
  <c r="FU104" i="4"/>
  <c r="FT104" i="4"/>
  <c r="FS104" i="4"/>
  <c r="FR104" i="4"/>
  <c r="FQ104" i="4"/>
  <c r="FP104" i="4"/>
  <c r="FO104" i="4"/>
  <c r="FN104" i="4"/>
  <c r="FM104" i="4"/>
  <c r="FL104" i="4"/>
  <c r="FK104" i="4"/>
  <c r="FJ104" i="4"/>
  <c r="FI104" i="4"/>
  <c r="FH104" i="4"/>
  <c r="FG104" i="4"/>
  <c r="FF104" i="4"/>
  <c r="FE104" i="4"/>
  <c r="FD104" i="4"/>
  <c r="FC104" i="4"/>
  <c r="FB104" i="4"/>
  <c r="FA104" i="4"/>
  <c r="EZ104" i="4"/>
  <c r="EY104" i="4"/>
  <c r="EX104" i="4"/>
  <c r="EW104" i="4"/>
  <c r="EV104" i="4"/>
  <c r="EU104" i="4"/>
  <c r="ET104" i="4"/>
  <c r="ES104" i="4"/>
  <c r="ER104" i="4"/>
  <c r="EQ104" i="4"/>
  <c r="EP104" i="4"/>
  <c r="EO104" i="4"/>
  <c r="EN104" i="4"/>
  <c r="EM104" i="4"/>
  <c r="EL104" i="4"/>
  <c r="EK104" i="4"/>
  <c r="EJ104" i="4"/>
  <c r="EI104" i="4"/>
  <c r="EH104" i="4"/>
  <c r="EG104" i="4"/>
  <c r="EF104" i="4"/>
  <c r="EE104" i="4"/>
  <c r="ED104" i="4"/>
  <c r="EC104" i="4"/>
  <c r="EB104" i="4"/>
  <c r="EA104" i="4"/>
  <c r="DZ104" i="4"/>
  <c r="DY104" i="4"/>
  <c r="DX104" i="4"/>
  <c r="DW104" i="4"/>
  <c r="DV104" i="4"/>
  <c r="DU104" i="4"/>
  <c r="DT104" i="4"/>
  <c r="DS104" i="4"/>
  <c r="DR104" i="4"/>
  <c r="DQ104" i="4"/>
  <c r="DP104" i="4"/>
  <c r="DO104" i="4"/>
  <c r="DN104" i="4"/>
  <c r="DM104" i="4"/>
  <c r="DL104" i="4"/>
  <c r="DK104" i="4"/>
  <c r="DJ104" i="4"/>
  <c r="DI104" i="4"/>
  <c r="DH104" i="4"/>
  <c r="DG104" i="4"/>
  <c r="DF104" i="4"/>
  <c r="DE104" i="4"/>
  <c r="DD104" i="4"/>
  <c r="DC104" i="4"/>
  <c r="DB104" i="4"/>
  <c r="DA104" i="4"/>
  <c r="CZ104" i="4"/>
  <c r="CY104" i="4"/>
  <c r="CX104" i="4"/>
  <c r="CW104" i="4"/>
  <c r="CV104" i="4"/>
  <c r="CU104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L23" i="6" s="1" a="1"/>
  <c r="L23" i="6" s="1"/>
  <c r="C104" i="4"/>
  <c r="B104" i="4"/>
  <c r="IL103" i="4"/>
  <c r="IK103" i="4"/>
  <c r="IJ103" i="4"/>
  <c r="II103" i="4"/>
  <c r="IH103" i="4"/>
  <c r="IG103" i="4"/>
  <c r="IF103" i="4"/>
  <c r="IE103" i="4"/>
  <c r="ID103" i="4"/>
  <c r="IC103" i="4"/>
  <c r="IB103" i="4"/>
  <c r="IA103" i="4"/>
  <c r="HZ103" i="4"/>
  <c r="HY103" i="4"/>
  <c r="HX103" i="4"/>
  <c r="HW103" i="4"/>
  <c r="HV103" i="4"/>
  <c r="HU103" i="4"/>
  <c r="HT103" i="4"/>
  <c r="HS103" i="4"/>
  <c r="HR103" i="4"/>
  <c r="HQ103" i="4"/>
  <c r="HP103" i="4"/>
  <c r="HO103" i="4"/>
  <c r="HN103" i="4"/>
  <c r="HM103" i="4"/>
  <c r="HL103" i="4"/>
  <c r="HK103" i="4"/>
  <c r="HJ103" i="4"/>
  <c r="HI103" i="4"/>
  <c r="HH103" i="4"/>
  <c r="HG103" i="4"/>
  <c r="HF103" i="4"/>
  <c r="HE103" i="4"/>
  <c r="HD103" i="4"/>
  <c r="HC103" i="4"/>
  <c r="HB103" i="4"/>
  <c r="HA103" i="4"/>
  <c r="GZ103" i="4"/>
  <c r="GY103" i="4"/>
  <c r="GX103" i="4"/>
  <c r="GW103" i="4"/>
  <c r="GV103" i="4"/>
  <c r="GU103" i="4"/>
  <c r="GT103" i="4"/>
  <c r="GS103" i="4"/>
  <c r="GR103" i="4"/>
  <c r="GQ103" i="4"/>
  <c r="GP103" i="4"/>
  <c r="GO103" i="4"/>
  <c r="GN103" i="4"/>
  <c r="GM103" i="4"/>
  <c r="GL103" i="4"/>
  <c r="GK103" i="4"/>
  <c r="GJ103" i="4"/>
  <c r="GI103" i="4"/>
  <c r="GH103" i="4"/>
  <c r="GG103" i="4"/>
  <c r="GF103" i="4"/>
  <c r="GE103" i="4"/>
  <c r="GD103" i="4"/>
  <c r="GC103" i="4"/>
  <c r="GB103" i="4"/>
  <c r="GA103" i="4"/>
  <c r="FZ103" i="4"/>
  <c r="FY103" i="4"/>
  <c r="FX103" i="4"/>
  <c r="FW103" i="4"/>
  <c r="FV103" i="4"/>
  <c r="FU103" i="4"/>
  <c r="FT103" i="4"/>
  <c r="FS103" i="4"/>
  <c r="FR103" i="4"/>
  <c r="FQ103" i="4"/>
  <c r="FP103" i="4"/>
  <c r="FO103" i="4"/>
  <c r="FN103" i="4"/>
  <c r="FM103" i="4"/>
  <c r="FL103" i="4"/>
  <c r="FK103" i="4"/>
  <c r="FJ103" i="4"/>
  <c r="FI103" i="4"/>
  <c r="FH103" i="4"/>
  <c r="FG103" i="4"/>
  <c r="FF103" i="4"/>
  <c r="FE103" i="4"/>
  <c r="FD103" i="4"/>
  <c r="FC103" i="4"/>
  <c r="FB103" i="4"/>
  <c r="FA103" i="4"/>
  <c r="EZ103" i="4"/>
  <c r="EY103" i="4"/>
  <c r="EX103" i="4"/>
  <c r="EW103" i="4"/>
  <c r="EV103" i="4"/>
  <c r="EU103" i="4"/>
  <c r="ET103" i="4"/>
  <c r="ES103" i="4"/>
  <c r="ER103" i="4"/>
  <c r="EQ103" i="4"/>
  <c r="EP103" i="4"/>
  <c r="EO103" i="4"/>
  <c r="EN103" i="4"/>
  <c r="EM103" i="4"/>
  <c r="EL103" i="4"/>
  <c r="EK103" i="4"/>
  <c r="EJ103" i="4"/>
  <c r="EI103" i="4"/>
  <c r="EH103" i="4"/>
  <c r="EG103" i="4"/>
  <c r="EF103" i="4"/>
  <c r="EE103" i="4"/>
  <c r="ED103" i="4"/>
  <c r="EC103" i="4"/>
  <c r="EB103" i="4"/>
  <c r="EA103" i="4"/>
  <c r="DZ103" i="4"/>
  <c r="DY103" i="4"/>
  <c r="DX103" i="4"/>
  <c r="DW103" i="4"/>
  <c r="DV103" i="4"/>
  <c r="DU103" i="4"/>
  <c r="DT103" i="4"/>
  <c r="DS103" i="4"/>
  <c r="DR103" i="4"/>
  <c r="DQ103" i="4"/>
  <c r="DP103" i="4"/>
  <c r="DO103" i="4"/>
  <c r="DN103" i="4"/>
  <c r="DM103" i="4"/>
  <c r="DL103" i="4"/>
  <c r="DK103" i="4"/>
  <c r="DJ103" i="4"/>
  <c r="DI103" i="4"/>
  <c r="DH103" i="4"/>
  <c r="DG103" i="4"/>
  <c r="DF103" i="4"/>
  <c r="DE103" i="4"/>
  <c r="DD103" i="4"/>
  <c r="DC103" i="4"/>
  <c r="DB103" i="4"/>
  <c r="DA103" i="4"/>
  <c r="CZ103" i="4"/>
  <c r="CY103" i="4"/>
  <c r="CX103" i="4"/>
  <c r="CW103" i="4"/>
  <c r="CV103" i="4"/>
  <c r="CU103" i="4"/>
  <c r="CT103" i="4"/>
  <c r="CS103" i="4"/>
  <c r="CR103" i="4"/>
  <c r="CQ103" i="4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L22" i="6" s="1" a="1"/>
  <c r="L22" i="6" s="1"/>
  <c r="B103" i="4"/>
  <c r="IL102" i="4"/>
  <c r="IK102" i="4"/>
  <c r="IJ102" i="4"/>
  <c r="II102" i="4"/>
  <c r="IH102" i="4"/>
  <c r="IG102" i="4"/>
  <c r="IF102" i="4"/>
  <c r="IE102" i="4"/>
  <c r="ID102" i="4"/>
  <c r="IC102" i="4"/>
  <c r="IB102" i="4"/>
  <c r="IA102" i="4"/>
  <c r="HZ102" i="4"/>
  <c r="HY102" i="4"/>
  <c r="HX102" i="4"/>
  <c r="HW102" i="4"/>
  <c r="HV102" i="4"/>
  <c r="HU102" i="4"/>
  <c r="HT102" i="4"/>
  <c r="HS102" i="4"/>
  <c r="HR102" i="4"/>
  <c r="HQ102" i="4"/>
  <c r="HP102" i="4"/>
  <c r="HO102" i="4"/>
  <c r="HN102" i="4"/>
  <c r="HM102" i="4"/>
  <c r="HL102" i="4"/>
  <c r="HK102" i="4"/>
  <c r="HJ102" i="4"/>
  <c r="HI102" i="4"/>
  <c r="HH102" i="4"/>
  <c r="HG102" i="4"/>
  <c r="HF102" i="4"/>
  <c r="HE102" i="4"/>
  <c r="HD102" i="4"/>
  <c r="HC102" i="4"/>
  <c r="HB102" i="4"/>
  <c r="HA102" i="4"/>
  <c r="GZ102" i="4"/>
  <c r="GY102" i="4"/>
  <c r="GX102" i="4"/>
  <c r="GW102" i="4"/>
  <c r="GV102" i="4"/>
  <c r="GU102" i="4"/>
  <c r="GT102" i="4"/>
  <c r="GS102" i="4"/>
  <c r="GR102" i="4"/>
  <c r="GQ102" i="4"/>
  <c r="GP102" i="4"/>
  <c r="GO102" i="4"/>
  <c r="GN102" i="4"/>
  <c r="GM102" i="4"/>
  <c r="GL102" i="4"/>
  <c r="GK102" i="4"/>
  <c r="GJ102" i="4"/>
  <c r="GI102" i="4"/>
  <c r="GH102" i="4"/>
  <c r="GG102" i="4"/>
  <c r="GF102" i="4"/>
  <c r="GE102" i="4"/>
  <c r="GD102" i="4"/>
  <c r="GC102" i="4"/>
  <c r="GB102" i="4"/>
  <c r="GA102" i="4"/>
  <c r="FZ102" i="4"/>
  <c r="FY102" i="4"/>
  <c r="FX102" i="4"/>
  <c r="FW102" i="4"/>
  <c r="FV102" i="4"/>
  <c r="FU102" i="4"/>
  <c r="FT102" i="4"/>
  <c r="FS102" i="4"/>
  <c r="FR102" i="4"/>
  <c r="FQ102" i="4"/>
  <c r="FP102" i="4"/>
  <c r="FO102" i="4"/>
  <c r="FN102" i="4"/>
  <c r="FM102" i="4"/>
  <c r="FL102" i="4"/>
  <c r="FK102" i="4"/>
  <c r="FJ102" i="4"/>
  <c r="FI102" i="4"/>
  <c r="FH102" i="4"/>
  <c r="FG102" i="4"/>
  <c r="FF102" i="4"/>
  <c r="FE102" i="4"/>
  <c r="FD102" i="4"/>
  <c r="FC102" i="4"/>
  <c r="FB102" i="4"/>
  <c r="FA102" i="4"/>
  <c r="EZ102" i="4"/>
  <c r="EY102" i="4"/>
  <c r="EX102" i="4"/>
  <c r="EW102" i="4"/>
  <c r="EV102" i="4"/>
  <c r="EU102" i="4"/>
  <c r="ET102" i="4"/>
  <c r="ES102" i="4"/>
  <c r="ER102" i="4"/>
  <c r="EQ102" i="4"/>
  <c r="EP102" i="4"/>
  <c r="EO102" i="4"/>
  <c r="EN102" i="4"/>
  <c r="EM102" i="4"/>
  <c r="EL102" i="4"/>
  <c r="EK102" i="4"/>
  <c r="EJ102" i="4"/>
  <c r="EI102" i="4"/>
  <c r="EH102" i="4"/>
  <c r="EG102" i="4"/>
  <c r="EF102" i="4"/>
  <c r="EE102" i="4"/>
  <c r="ED102" i="4"/>
  <c r="EC102" i="4"/>
  <c r="EB102" i="4"/>
  <c r="EA102" i="4"/>
  <c r="DZ102" i="4"/>
  <c r="DY102" i="4"/>
  <c r="DX102" i="4"/>
  <c r="DW102" i="4"/>
  <c r="DV102" i="4"/>
  <c r="DU102" i="4"/>
  <c r="DT102" i="4"/>
  <c r="DS102" i="4"/>
  <c r="DR102" i="4"/>
  <c r="DQ102" i="4"/>
  <c r="DP102" i="4"/>
  <c r="DO102" i="4"/>
  <c r="DN102" i="4"/>
  <c r="DM102" i="4"/>
  <c r="DL102" i="4"/>
  <c r="DK102" i="4"/>
  <c r="DJ102" i="4"/>
  <c r="DI102" i="4"/>
  <c r="DH102" i="4"/>
  <c r="DG102" i="4"/>
  <c r="DF102" i="4"/>
  <c r="DE102" i="4"/>
  <c r="DD102" i="4"/>
  <c r="DC102" i="4"/>
  <c r="DB102" i="4"/>
  <c r="DA102" i="4"/>
  <c r="CZ102" i="4"/>
  <c r="CY102" i="4"/>
  <c r="CX102" i="4"/>
  <c r="CW102" i="4"/>
  <c r="CV102" i="4"/>
  <c r="CU102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IL101" i="4"/>
  <c r="IK101" i="4"/>
  <c r="IJ101" i="4"/>
  <c r="II101" i="4"/>
  <c r="IH101" i="4"/>
  <c r="IG101" i="4"/>
  <c r="IF101" i="4"/>
  <c r="IE101" i="4"/>
  <c r="ID101" i="4"/>
  <c r="IC101" i="4"/>
  <c r="IB101" i="4"/>
  <c r="IA101" i="4"/>
  <c r="HZ101" i="4"/>
  <c r="HY101" i="4"/>
  <c r="HX101" i="4"/>
  <c r="HW101" i="4"/>
  <c r="HV101" i="4"/>
  <c r="HU101" i="4"/>
  <c r="HT101" i="4"/>
  <c r="HS101" i="4"/>
  <c r="HR101" i="4"/>
  <c r="HQ101" i="4"/>
  <c r="HP101" i="4"/>
  <c r="HO101" i="4"/>
  <c r="HN101" i="4"/>
  <c r="HM101" i="4"/>
  <c r="HL101" i="4"/>
  <c r="HK101" i="4"/>
  <c r="HJ101" i="4"/>
  <c r="HI101" i="4"/>
  <c r="HH101" i="4"/>
  <c r="HG101" i="4"/>
  <c r="HF101" i="4"/>
  <c r="HE101" i="4"/>
  <c r="HD101" i="4"/>
  <c r="HC101" i="4"/>
  <c r="HB101" i="4"/>
  <c r="HA101" i="4"/>
  <c r="GZ101" i="4"/>
  <c r="GY101" i="4"/>
  <c r="GX101" i="4"/>
  <c r="GW101" i="4"/>
  <c r="GV101" i="4"/>
  <c r="GU101" i="4"/>
  <c r="GT101" i="4"/>
  <c r="GS101" i="4"/>
  <c r="GR101" i="4"/>
  <c r="GQ101" i="4"/>
  <c r="GP101" i="4"/>
  <c r="GO101" i="4"/>
  <c r="GN101" i="4"/>
  <c r="GM101" i="4"/>
  <c r="GL101" i="4"/>
  <c r="GK101" i="4"/>
  <c r="GJ101" i="4"/>
  <c r="GI101" i="4"/>
  <c r="GH101" i="4"/>
  <c r="GG101" i="4"/>
  <c r="GF101" i="4"/>
  <c r="GE101" i="4"/>
  <c r="GD101" i="4"/>
  <c r="GC101" i="4"/>
  <c r="GB101" i="4"/>
  <c r="GA101" i="4"/>
  <c r="FZ101" i="4"/>
  <c r="FY101" i="4"/>
  <c r="FX101" i="4"/>
  <c r="FW101" i="4"/>
  <c r="FV101" i="4"/>
  <c r="FU101" i="4"/>
  <c r="FT101" i="4"/>
  <c r="FS101" i="4"/>
  <c r="FR101" i="4"/>
  <c r="FQ101" i="4"/>
  <c r="FP101" i="4"/>
  <c r="FO101" i="4"/>
  <c r="FN101" i="4"/>
  <c r="FM101" i="4"/>
  <c r="FL101" i="4"/>
  <c r="FK101" i="4"/>
  <c r="FJ101" i="4"/>
  <c r="FI101" i="4"/>
  <c r="FH101" i="4"/>
  <c r="FG101" i="4"/>
  <c r="FF101" i="4"/>
  <c r="FE101" i="4"/>
  <c r="FD101" i="4"/>
  <c r="FC101" i="4"/>
  <c r="FB101" i="4"/>
  <c r="FA101" i="4"/>
  <c r="EZ101" i="4"/>
  <c r="EY101" i="4"/>
  <c r="EX101" i="4"/>
  <c r="EW101" i="4"/>
  <c r="EV101" i="4"/>
  <c r="EU101" i="4"/>
  <c r="ET101" i="4"/>
  <c r="ES101" i="4"/>
  <c r="ER101" i="4"/>
  <c r="EQ101" i="4"/>
  <c r="EP101" i="4"/>
  <c r="EO101" i="4"/>
  <c r="EN101" i="4"/>
  <c r="EM101" i="4"/>
  <c r="EL101" i="4"/>
  <c r="EK101" i="4"/>
  <c r="EJ101" i="4"/>
  <c r="EI101" i="4"/>
  <c r="EH101" i="4"/>
  <c r="EG101" i="4"/>
  <c r="EF101" i="4"/>
  <c r="EE101" i="4"/>
  <c r="ED101" i="4"/>
  <c r="EC101" i="4"/>
  <c r="EB101" i="4"/>
  <c r="EA101" i="4"/>
  <c r="DZ101" i="4"/>
  <c r="DY101" i="4"/>
  <c r="DX101" i="4"/>
  <c r="DW101" i="4"/>
  <c r="DV101" i="4"/>
  <c r="DU101" i="4"/>
  <c r="DT101" i="4"/>
  <c r="DS101" i="4"/>
  <c r="DR101" i="4"/>
  <c r="DQ101" i="4"/>
  <c r="DP101" i="4"/>
  <c r="DO101" i="4"/>
  <c r="DN101" i="4"/>
  <c r="DM101" i="4"/>
  <c r="DL101" i="4"/>
  <c r="DK101" i="4"/>
  <c r="DJ101" i="4"/>
  <c r="DI101" i="4"/>
  <c r="DH101" i="4"/>
  <c r="DG101" i="4"/>
  <c r="DF101" i="4"/>
  <c r="DE101" i="4"/>
  <c r="DD101" i="4"/>
  <c r="DC101" i="4"/>
  <c r="DB101" i="4"/>
  <c r="DA101" i="4"/>
  <c r="CZ101" i="4"/>
  <c r="CY101" i="4"/>
  <c r="CX101" i="4"/>
  <c r="CW101" i="4"/>
  <c r="CV101" i="4"/>
  <c r="CU101" i="4"/>
  <c r="CT101" i="4"/>
  <c r="CS101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IL100" i="4"/>
  <c r="IK100" i="4"/>
  <c r="IJ100" i="4"/>
  <c r="II100" i="4"/>
  <c r="IH100" i="4"/>
  <c r="IG100" i="4"/>
  <c r="IF100" i="4"/>
  <c r="IE100" i="4"/>
  <c r="ID100" i="4"/>
  <c r="IC100" i="4"/>
  <c r="IB100" i="4"/>
  <c r="IA100" i="4"/>
  <c r="HZ100" i="4"/>
  <c r="HY100" i="4"/>
  <c r="HX100" i="4"/>
  <c r="HW100" i="4"/>
  <c r="HV100" i="4"/>
  <c r="HU100" i="4"/>
  <c r="HT100" i="4"/>
  <c r="HS100" i="4"/>
  <c r="HR100" i="4"/>
  <c r="HQ100" i="4"/>
  <c r="HP100" i="4"/>
  <c r="HO100" i="4"/>
  <c r="HN100" i="4"/>
  <c r="HM100" i="4"/>
  <c r="HL100" i="4"/>
  <c r="HK100" i="4"/>
  <c r="HJ100" i="4"/>
  <c r="HI100" i="4"/>
  <c r="HH100" i="4"/>
  <c r="HG100" i="4"/>
  <c r="HF100" i="4"/>
  <c r="HE100" i="4"/>
  <c r="HD100" i="4"/>
  <c r="HC100" i="4"/>
  <c r="HB100" i="4"/>
  <c r="HA100" i="4"/>
  <c r="GZ100" i="4"/>
  <c r="GY100" i="4"/>
  <c r="GX100" i="4"/>
  <c r="GW100" i="4"/>
  <c r="GV100" i="4"/>
  <c r="GU100" i="4"/>
  <c r="GT100" i="4"/>
  <c r="GS100" i="4"/>
  <c r="GR100" i="4"/>
  <c r="GQ100" i="4"/>
  <c r="GP100" i="4"/>
  <c r="GO100" i="4"/>
  <c r="GN100" i="4"/>
  <c r="GM100" i="4"/>
  <c r="GL100" i="4"/>
  <c r="GK100" i="4"/>
  <c r="GJ100" i="4"/>
  <c r="GI100" i="4"/>
  <c r="GH100" i="4"/>
  <c r="GG100" i="4"/>
  <c r="GF100" i="4"/>
  <c r="GE100" i="4"/>
  <c r="GD100" i="4"/>
  <c r="GC100" i="4"/>
  <c r="GB100" i="4"/>
  <c r="GA100" i="4"/>
  <c r="FZ100" i="4"/>
  <c r="FY100" i="4"/>
  <c r="FX100" i="4"/>
  <c r="FW100" i="4"/>
  <c r="FV100" i="4"/>
  <c r="FU100" i="4"/>
  <c r="FT100" i="4"/>
  <c r="FS100" i="4"/>
  <c r="FR100" i="4"/>
  <c r="FQ100" i="4"/>
  <c r="FP100" i="4"/>
  <c r="FO100" i="4"/>
  <c r="FN100" i="4"/>
  <c r="FM100" i="4"/>
  <c r="FL100" i="4"/>
  <c r="FK100" i="4"/>
  <c r="FJ100" i="4"/>
  <c r="FI100" i="4"/>
  <c r="FH100" i="4"/>
  <c r="FG100" i="4"/>
  <c r="FF100" i="4"/>
  <c r="FE100" i="4"/>
  <c r="FD100" i="4"/>
  <c r="FC100" i="4"/>
  <c r="FB100" i="4"/>
  <c r="FA100" i="4"/>
  <c r="EZ100" i="4"/>
  <c r="EY100" i="4"/>
  <c r="EX100" i="4"/>
  <c r="EW100" i="4"/>
  <c r="EV100" i="4"/>
  <c r="EU100" i="4"/>
  <c r="ET100" i="4"/>
  <c r="ES100" i="4"/>
  <c r="ER100" i="4"/>
  <c r="EQ100" i="4"/>
  <c r="EP100" i="4"/>
  <c r="EO100" i="4"/>
  <c r="EN100" i="4"/>
  <c r="EM100" i="4"/>
  <c r="EL100" i="4"/>
  <c r="EK100" i="4"/>
  <c r="EJ100" i="4"/>
  <c r="EI100" i="4"/>
  <c r="EH100" i="4"/>
  <c r="EG100" i="4"/>
  <c r="EF100" i="4"/>
  <c r="EE100" i="4"/>
  <c r="ED100" i="4"/>
  <c r="EC100" i="4"/>
  <c r="EB100" i="4"/>
  <c r="EA100" i="4"/>
  <c r="DZ100" i="4"/>
  <c r="DY100" i="4"/>
  <c r="DX100" i="4"/>
  <c r="DW100" i="4"/>
  <c r="DV100" i="4"/>
  <c r="DU100" i="4"/>
  <c r="DT100" i="4"/>
  <c r="DS100" i="4"/>
  <c r="DR100" i="4"/>
  <c r="DQ100" i="4"/>
  <c r="DP100" i="4"/>
  <c r="DO100" i="4"/>
  <c r="DN100" i="4"/>
  <c r="DM100" i="4"/>
  <c r="DL100" i="4"/>
  <c r="DK100" i="4"/>
  <c r="DJ100" i="4"/>
  <c r="DI100" i="4"/>
  <c r="DH100" i="4"/>
  <c r="DG100" i="4"/>
  <c r="DF100" i="4"/>
  <c r="DE100" i="4"/>
  <c r="DD100" i="4"/>
  <c r="DC100" i="4"/>
  <c r="DB100" i="4"/>
  <c r="DA100" i="4"/>
  <c r="CZ100" i="4"/>
  <c r="CY100" i="4"/>
  <c r="CX100" i="4"/>
  <c r="CW100" i="4"/>
  <c r="CV100" i="4"/>
  <c r="CU100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L19" i="6" s="1" a="1"/>
  <c r="L19" i="6" s="1"/>
  <c r="IL99" i="4"/>
  <c r="IK99" i="4"/>
  <c r="IJ99" i="4"/>
  <c r="II99" i="4"/>
  <c r="IH99" i="4"/>
  <c r="IG99" i="4"/>
  <c r="IF99" i="4"/>
  <c r="IE99" i="4"/>
  <c r="ID99" i="4"/>
  <c r="IC99" i="4"/>
  <c r="IB99" i="4"/>
  <c r="IA99" i="4"/>
  <c r="HZ99" i="4"/>
  <c r="HY99" i="4"/>
  <c r="HX99" i="4"/>
  <c r="HW99" i="4"/>
  <c r="HV99" i="4"/>
  <c r="HU99" i="4"/>
  <c r="HT99" i="4"/>
  <c r="HS99" i="4"/>
  <c r="HR99" i="4"/>
  <c r="HQ99" i="4"/>
  <c r="HP99" i="4"/>
  <c r="HO99" i="4"/>
  <c r="HN99" i="4"/>
  <c r="HM99" i="4"/>
  <c r="HL99" i="4"/>
  <c r="HK99" i="4"/>
  <c r="HJ99" i="4"/>
  <c r="HI99" i="4"/>
  <c r="HH99" i="4"/>
  <c r="HG99" i="4"/>
  <c r="HF99" i="4"/>
  <c r="HE99" i="4"/>
  <c r="HD99" i="4"/>
  <c r="HC99" i="4"/>
  <c r="HB99" i="4"/>
  <c r="HA99" i="4"/>
  <c r="GZ99" i="4"/>
  <c r="GY99" i="4"/>
  <c r="GX99" i="4"/>
  <c r="GW99" i="4"/>
  <c r="GV99" i="4"/>
  <c r="GU99" i="4"/>
  <c r="GT99" i="4"/>
  <c r="GS99" i="4"/>
  <c r="GR99" i="4"/>
  <c r="GQ99" i="4"/>
  <c r="GP99" i="4"/>
  <c r="GO99" i="4"/>
  <c r="GN99" i="4"/>
  <c r="GM99" i="4"/>
  <c r="GL99" i="4"/>
  <c r="GK99" i="4"/>
  <c r="GJ99" i="4"/>
  <c r="GI99" i="4"/>
  <c r="GH99" i="4"/>
  <c r="GG99" i="4"/>
  <c r="GF99" i="4"/>
  <c r="GE99" i="4"/>
  <c r="GD99" i="4"/>
  <c r="GC99" i="4"/>
  <c r="GB99" i="4"/>
  <c r="GA99" i="4"/>
  <c r="FZ99" i="4"/>
  <c r="FY99" i="4"/>
  <c r="FX99" i="4"/>
  <c r="FW99" i="4"/>
  <c r="FV99" i="4"/>
  <c r="FU99" i="4"/>
  <c r="FT99" i="4"/>
  <c r="FS99" i="4"/>
  <c r="FR99" i="4"/>
  <c r="FQ99" i="4"/>
  <c r="FP99" i="4"/>
  <c r="FO99" i="4"/>
  <c r="FN99" i="4"/>
  <c r="FM99" i="4"/>
  <c r="FL99" i="4"/>
  <c r="FK99" i="4"/>
  <c r="FJ99" i="4"/>
  <c r="FI99" i="4"/>
  <c r="FH99" i="4"/>
  <c r="FG99" i="4"/>
  <c r="FF99" i="4"/>
  <c r="FE99" i="4"/>
  <c r="FD99" i="4"/>
  <c r="FC99" i="4"/>
  <c r="FB99" i="4"/>
  <c r="FA99" i="4"/>
  <c r="EZ99" i="4"/>
  <c r="EY99" i="4"/>
  <c r="EX99" i="4"/>
  <c r="EW99" i="4"/>
  <c r="EV99" i="4"/>
  <c r="EU99" i="4"/>
  <c r="ET99" i="4"/>
  <c r="ES99" i="4"/>
  <c r="ER99" i="4"/>
  <c r="EQ99" i="4"/>
  <c r="EP99" i="4"/>
  <c r="EO99" i="4"/>
  <c r="EN99" i="4"/>
  <c r="EM99" i="4"/>
  <c r="EL99" i="4"/>
  <c r="EK99" i="4"/>
  <c r="EJ99" i="4"/>
  <c r="EI99" i="4"/>
  <c r="EH99" i="4"/>
  <c r="EG99" i="4"/>
  <c r="EF99" i="4"/>
  <c r="EE99" i="4"/>
  <c r="ED99" i="4"/>
  <c r="EC99" i="4"/>
  <c r="EB99" i="4"/>
  <c r="EA99" i="4"/>
  <c r="DZ99" i="4"/>
  <c r="DY99" i="4"/>
  <c r="DX99" i="4"/>
  <c r="DW99" i="4"/>
  <c r="DV99" i="4"/>
  <c r="DU99" i="4"/>
  <c r="DT99" i="4"/>
  <c r="DS99" i="4"/>
  <c r="DR99" i="4"/>
  <c r="DQ99" i="4"/>
  <c r="DP99" i="4"/>
  <c r="DO99" i="4"/>
  <c r="DN99" i="4"/>
  <c r="DM99" i="4"/>
  <c r="DL99" i="4"/>
  <c r="DK99" i="4"/>
  <c r="DJ99" i="4"/>
  <c r="DI99" i="4"/>
  <c r="DH99" i="4"/>
  <c r="DG99" i="4"/>
  <c r="DF99" i="4"/>
  <c r="DE99" i="4"/>
  <c r="DD99" i="4"/>
  <c r="DC99" i="4"/>
  <c r="DB99" i="4"/>
  <c r="DA99" i="4"/>
  <c r="CZ99" i="4"/>
  <c r="CY99" i="4"/>
  <c r="CX99" i="4"/>
  <c r="CW99" i="4"/>
  <c r="CV99" i="4"/>
  <c r="CU99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L18" i="6" s="1" a="1"/>
  <c r="L18" i="6" s="1"/>
  <c r="IL98" i="4"/>
  <c r="IK98" i="4"/>
  <c r="IJ98" i="4"/>
  <c r="II98" i="4"/>
  <c r="IH98" i="4"/>
  <c r="IG98" i="4"/>
  <c r="IF98" i="4"/>
  <c r="IE98" i="4"/>
  <c r="ID98" i="4"/>
  <c r="IC98" i="4"/>
  <c r="IB98" i="4"/>
  <c r="IA98" i="4"/>
  <c r="HZ98" i="4"/>
  <c r="HY98" i="4"/>
  <c r="HX98" i="4"/>
  <c r="HW98" i="4"/>
  <c r="HV98" i="4"/>
  <c r="HU98" i="4"/>
  <c r="HT98" i="4"/>
  <c r="HS98" i="4"/>
  <c r="HR98" i="4"/>
  <c r="HQ98" i="4"/>
  <c r="HP98" i="4"/>
  <c r="HO98" i="4"/>
  <c r="HN98" i="4"/>
  <c r="HM98" i="4"/>
  <c r="HL98" i="4"/>
  <c r="HK98" i="4"/>
  <c r="HJ98" i="4"/>
  <c r="HI98" i="4"/>
  <c r="HH98" i="4"/>
  <c r="HG98" i="4"/>
  <c r="HF98" i="4"/>
  <c r="HE98" i="4"/>
  <c r="HD98" i="4"/>
  <c r="HC98" i="4"/>
  <c r="HB98" i="4"/>
  <c r="HA98" i="4"/>
  <c r="GZ98" i="4"/>
  <c r="GY98" i="4"/>
  <c r="GX98" i="4"/>
  <c r="GW98" i="4"/>
  <c r="GV98" i="4"/>
  <c r="GU98" i="4"/>
  <c r="GT98" i="4"/>
  <c r="GS98" i="4"/>
  <c r="GR98" i="4"/>
  <c r="GQ98" i="4"/>
  <c r="GP98" i="4"/>
  <c r="GO98" i="4"/>
  <c r="GN98" i="4"/>
  <c r="GM98" i="4"/>
  <c r="GL98" i="4"/>
  <c r="GK98" i="4"/>
  <c r="GJ98" i="4"/>
  <c r="GI98" i="4"/>
  <c r="GH98" i="4"/>
  <c r="GG98" i="4"/>
  <c r="GF98" i="4"/>
  <c r="GE98" i="4"/>
  <c r="GD98" i="4"/>
  <c r="GC98" i="4"/>
  <c r="GB98" i="4"/>
  <c r="GA98" i="4"/>
  <c r="FZ98" i="4"/>
  <c r="FY98" i="4"/>
  <c r="FX98" i="4"/>
  <c r="FW98" i="4"/>
  <c r="FV98" i="4"/>
  <c r="FU98" i="4"/>
  <c r="FT98" i="4"/>
  <c r="FS98" i="4"/>
  <c r="FR98" i="4"/>
  <c r="FQ98" i="4"/>
  <c r="FP98" i="4"/>
  <c r="FO98" i="4"/>
  <c r="FN98" i="4"/>
  <c r="FM98" i="4"/>
  <c r="FL98" i="4"/>
  <c r="FK98" i="4"/>
  <c r="FJ98" i="4"/>
  <c r="FI98" i="4"/>
  <c r="FH98" i="4"/>
  <c r="FG98" i="4"/>
  <c r="FF98" i="4"/>
  <c r="FE98" i="4"/>
  <c r="FD98" i="4"/>
  <c r="FC98" i="4"/>
  <c r="FB98" i="4"/>
  <c r="FA98" i="4"/>
  <c r="EZ98" i="4"/>
  <c r="EY98" i="4"/>
  <c r="EX98" i="4"/>
  <c r="EW98" i="4"/>
  <c r="EV98" i="4"/>
  <c r="EU98" i="4"/>
  <c r="ET98" i="4"/>
  <c r="ES98" i="4"/>
  <c r="ER98" i="4"/>
  <c r="EQ98" i="4"/>
  <c r="EP98" i="4"/>
  <c r="EO98" i="4"/>
  <c r="EN98" i="4"/>
  <c r="EM98" i="4"/>
  <c r="EL98" i="4"/>
  <c r="EK98" i="4"/>
  <c r="EJ98" i="4"/>
  <c r="EI98" i="4"/>
  <c r="EH98" i="4"/>
  <c r="EG98" i="4"/>
  <c r="EF98" i="4"/>
  <c r="EE98" i="4"/>
  <c r="ED98" i="4"/>
  <c r="EC98" i="4"/>
  <c r="EB98" i="4"/>
  <c r="EA98" i="4"/>
  <c r="DZ98" i="4"/>
  <c r="DY98" i="4"/>
  <c r="DX98" i="4"/>
  <c r="DW98" i="4"/>
  <c r="DV98" i="4"/>
  <c r="DU98" i="4"/>
  <c r="DT98" i="4"/>
  <c r="DS98" i="4"/>
  <c r="DR98" i="4"/>
  <c r="DQ98" i="4"/>
  <c r="DP98" i="4"/>
  <c r="DO98" i="4"/>
  <c r="DN98" i="4"/>
  <c r="DM98" i="4"/>
  <c r="DL98" i="4"/>
  <c r="DK98" i="4"/>
  <c r="DJ98" i="4"/>
  <c r="DI98" i="4"/>
  <c r="DH98" i="4"/>
  <c r="DG98" i="4"/>
  <c r="DF98" i="4"/>
  <c r="DE98" i="4"/>
  <c r="DD98" i="4"/>
  <c r="DC98" i="4"/>
  <c r="DB98" i="4"/>
  <c r="DA98" i="4"/>
  <c r="CZ98" i="4"/>
  <c r="CY98" i="4"/>
  <c r="CX98" i="4"/>
  <c r="CW98" i="4"/>
  <c r="CV98" i="4"/>
  <c r="CU98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L17" i="6" s="1" a="1"/>
  <c r="L17" i="6" s="1"/>
  <c r="F98" i="4"/>
  <c r="E98" i="4"/>
  <c r="D98" i="4"/>
  <c r="C98" i="4"/>
  <c r="B98" i="4"/>
  <c r="J6" i="1"/>
  <c r="H6" i="1"/>
  <c r="E6" i="1"/>
  <c r="D6" i="1"/>
  <c r="L6" i="6" a="1"/>
  <c r="L6" i="6" s="1"/>
  <c r="L7" i="6" a="1"/>
  <c r="L7" i="6" s="1"/>
  <c r="L8" i="6" a="1"/>
  <c r="L8" i="6" s="1"/>
  <c r="L9" i="6" a="1"/>
  <c r="L9" i="6" s="1"/>
  <c r="L10" i="6" a="1"/>
  <c r="L10" i="6" s="1"/>
  <c r="L11" i="6" a="1"/>
  <c r="L11" i="6" s="1"/>
  <c r="L12" i="6" a="1"/>
  <c r="L12" i="6" s="1"/>
  <c r="L13" i="6" a="1"/>
  <c r="L13" i="6" s="1"/>
  <c r="L14" i="6" a="1"/>
  <c r="L14" i="6" s="1"/>
  <c r="L15" i="6" a="1"/>
  <c r="L15" i="6" s="1"/>
  <c r="L16" i="6" a="1"/>
  <c r="L16" i="6" s="1"/>
  <c r="L20" i="6" a="1"/>
  <c r="L20" i="6" s="1"/>
  <c r="L21" i="6" a="1"/>
  <c r="L21" i="6" s="1"/>
  <c r="L28" i="6" a="1"/>
  <c r="L28" i="6" s="1"/>
  <c r="L29" i="6" a="1"/>
  <c r="L29" i="6" s="1"/>
  <c r="L30" i="6" a="1"/>
  <c r="L30" i="6" s="1"/>
  <c r="L35" i="6" a="1"/>
  <c r="L35" i="6" s="1"/>
  <c r="L36" i="6" a="1"/>
  <c r="L36" i="6" s="1"/>
  <c r="L43" i="6" a="1"/>
  <c r="L43" i="6" s="1"/>
  <c r="L44" i="6" a="1"/>
  <c r="L44" i="6" s="1"/>
  <c r="L51" i="6" a="1"/>
  <c r="L51" i="6" s="1"/>
  <c r="L52" i="6" a="1"/>
  <c r="L52" i="6" s="1"/>
  <c r="L56" i="6" a="1"/>
  <c r="L56" i="6" s="1"/>
  <c r="K6" i="6"/>
  <c r="M6" i="6" s="1"/>
  <c r="K7" i="6"/>
  <c r="M7" i="6" s="1"/>
  <c r="K8" i="6"/>
  <c r="M8" i="6" s="1"/>
  <c r="K9" i="6"/>
  <c r="K10" i="6"/>
  <c r="M10" i="6" s="1"/>
  <c r="K11" i="6"/>
  <c r="M11" i="6" s="1"/>
  <c r="K12" i="6"/>
  <c r="M12" i="6" s="1"/>
  <c r="K13" i="6"/>
  <c r="K14" i="6"/>
  <c r="M14" i="6" s="1"/>
  <c r="K15" i="6"/>
  <c r="M15" i="6" s="1"/>
  <c r="K16" i="6"/>
  <c r="M16" i="6" s="1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M30" i="6" s="1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H28" i="6"/>
  <c r="H30" i="6"/>
  <c r="H36" i="6"/>
  <c r="H38" i="6"/>
  <c r="H44" i="6"/>
  <c r="H46" i="6"/>
  <c r="H52" i="6"/>
  <c r="H54" i="6"/>
  <c r="H60" i="6"/>
  <c r="H62" i="6"/>
  <c r="G23" i="6"/>
  <c r="G25" i="6"/>
  <c r="G31" i="6"/>
  <c r="G33" i="6"/>
  <c r="G39" i="6"/>
  <c r="G41" i="6"/>
  <c r="G47" i="6"/>
  <c r="G49" i="6"/>
  <c r="G55" i="6"/>
  <c r="G57" i="6"/>
  <c r="G63" i="6"/>
  <c r="G65" i="6"/>
  <c r="F18" i="6" a="1"/>
  <c r="F18" i="6" s="1"/>
  <c r="F19" i="6" a="1"/>
  <c r="F19" i="6" s="1"/>
  <c r="F22" i="6" a="1"/>
  <c r="F22" i="6" s="1"/>
  <c r="F25" i="6" a="1"/>
  <c r="F25" i="6" s="1"/>
  <c r="F27" i="6" a="1"/>
  <c r="F27" i="6" s="1"/>
  <c r="F33" i="6" a="1"/>
  <c r="F33" i="6" s="1"/>
  <c r="F35" i="6" a="1"/>
  <c r="F35" i="6" s="1"/>
  <c r="F41" i="6" a="1"/>
  <c r="F41" i="6" s="1"/>
  <c r="F43" i="6" a="1"/>
  <c r="F43" i="6" s="1"/>
  <c r="F49" i="6" a="1"/>
  <c r="F49" i="6" s="1"/>
  <c r="F51" i="6" a="1"/>
  <c r="F51" i="6" s="1"/>
  <c r="F57" i="6" a="1"/>
  <c r="F57" i="6" s="1"/>
  <c r="F59" i="6" a="1"/>
  <c r="F59" i="6" s="1"/>
  <c r="F65" i="6" a="1"/>
  <c r="F65" i="6" s="1"/>
  <c r="F67" i="6" a="1"/>
  <c r="F67" i="6" s="1"/>
  <c r="E15" i="6"/>
  <c r="E20" i="6"/>
  <c r="E22" i="6"/>
  <c r="E28" i="6"/>
  <c r="E30" i="6"/>
  <c r="E36" i="6"/>
  <c r="E38" i="6"/>
  <c r="E44" i="6"/>
  <c r="E46" i="6"/>
  <c r="E52" i="6"/>
  <c r="E54" i="6"/>
  <c r="E60" i="6"/>
  <c r="E62" i="6"/>
  <c r="D15" i="6" a="1"/>
  <c r="D15" i="6" s="1"/>
  <c r="D17" i="6" a="1"/>
  <c r="D17" i="6" s="1"/>
  <c r="D21" i="6" a="1"/>
  <c r="D21" i="6" s="1"/>
  <c r="D23" i="6" a="1"/>
  <c r="D23" i="6" s="1"/>
  <c r="D29" i="6" a="1"/>
  <c r="D29" i="6" s="1"/>
  <c r="D31" i="6" a="1"/>
  <c r="D31" i="6" s="1"/>
  <c r="D34" i="6" a="1"/>
  <c r="D34" i="6" s="1"/>
  <c r="D37" i="6" a="1"/>
  <c r="D37" i="6" s="1"/>
  <c r="D39" i="6" a="1"/>
  <c r="D39" i="6" s="1"/>
  <c r="D45" i="6" a="1"/>
  <c r="D45" i="6" s="1"/>
  <c r="D47" i="6" a="1"/>
  <c r="D47" i="6" s="1"/>
  <c r="D53" i="6" a="1"/>
  <c r="D53" i="6" s="1"/>
  <c r="D55" i="6" a="1"/>
  <c r="D55" i="6" s="1"/>
  <c r="D61" i="6" a="1"/>
  <c r="D61" i="6" s="1"/>
  <c r="D63" i="6" a="1"/>
  <c r="D63" i="6" s="1"/>
  <c r="C15" i="6"/>
  <c r="C16" i="6"/>
  <c r="G16" i="6" s="1"/>
  <c r="H16" i="6" s="1"/>
  <c r="C18" i="6"/>
  <c r="G18" i="6" s="1"/>
  <c r="H18" i="6" s="1"/>
  <c r="C24" i="6"/>
  <c r="C26" i="6"/>
  <c r="C32" i="6"/>
  <c r="C34" i="6"/>
  <c r="C40" i="6"/>
  <c r="C42" i="6"/>
  <c r="C48" i="6"/>
  <c r="C50" i="6"/>
  <c r="C56" i="6"/>
  <c r="C58" i="6"/>
  <c r="C64" i="6"/>
  <c r="C66" i="6"/>
  <c r="B15" i="6"/>
  <c r="B16" i="6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H67" i="6" s="1"/>
  <c r="C9" i="6" a="1"/>
  <c r="C9" i="6" s="1"/>
  <c r="B10" i="6"/>
  <c r="B9" i="6"/>
  <c r="D9" i="6" s="1"/>
  <c r="B6" i="6"/>
  <c r="B83" i="4"/>
  <c r="O93" i="4"/>
  <c r="AK93" i="4"/>
  <c r="AM93" i="4"/>
  <c r="BI93" i="4"/>
  <c r="CA93" i="4"/>
  <c r="CW93" i="4"/>
  <c r="CY93" i="4"/>
  <c r="DU93" i="4"/>
  <c r="EM93" i="4"/>
  <c r="FI93" i="4"/>
  <c r="FK93" i="4"/>
  <c r="GG93" i="4"/>
  <c r="GY93" i="4"/>
  <c r="HU93" i="4"/>
  <c r="HW93" i="4"/>
  <c r="G91" i="4"/>
  <c r="H91" i="4"/>
  <c r="Z91" i="4"/>
  <c r="AE91" i="4"/>
  <c r="AV91" i="4"/>
  <c r="AX91" i="4"/>
  <c r="BS91" i="4"/>
  <c r="BT91" i="4"/>
  <c r="CL91" i="4"/>
  <c r="CQ91" i="4"/>
  <c r="DH91" i="4"/>
  <c r="DJ91" i="4"/>
  <c r="EE91" i="4"/>
  <c r="EF91" i="4"/>
  <c r="EX91" i="4"/>
  <c r="FC91" i="4"/>
  <c r="FT91" i="4"/>
  <c r="FV91" i="4"/>
  <c r="GQ91" i="4"/>
  <c r="GR91" i="4"/>
  <c r="HJ91" i="4"/>
  <c r="HM91" i="4"/>
  <c r="HZ91" i="4"/>
  <c r="IC91" i="4"/>
  <c r="E90" i="4"/>
  <c r="G90" i="4"/>
  <c r="P90" i="4"/>
  <c r="R90" i="4"/>
  <c r="Y90" i="4"/>
  <c r="Z90" i="4"/>
  <c r="AG90" i="4"/>
  <c r="AH90" i="4"/>
  <c r="AO90" i="4"/>
  <c r="AP90" i="4"/>
  <c r="AW90" i="4"/>
  <c r="AX90" i="4"/>
  <c r="BE90" i="4"/>
  <c r="BF90" i="4"/>
  <c r="BM90" i="4"/>
  <c r="BN90" i="4"/>
  <c r="BU90" i="4"/>
  <c r="BV90" i="4"/>
  <c r="CC90" i="4"/>
  <c r="CD90" i="4"/>
  <c r="CK90" i="4"/>
  <c r="CL90" i="4"/>
  <c r="CS90" i="4"/>
  <c r="CT90" i="4"/>
  <c r="DA90" i="4"/>
  <c r="DB90" i="4"/>
  <c r="DI90" i="4"/>
  <c r="DJ90" i="4"/>
  <c r="DQ90" i="4"/>
  <c r="DR90" i="4"/>
  <c r="DY90" i="4"/>
  <c r="DZ90" i="4"/>
  <c r="EG90" i="4"/>
  <c r="EH90" i="4"/>
  <c r="EO90" i="4"/>
  <c r="EP90" i="4"/>
  <c r="EW90" i="4"/>
  <c r="EX90" i="4"/>
  <c r="FE90" i="4"/>
  <c r="FF90" i="4"/>
  <c r="FM90" i="4"/>
  <c r="FN90" i="4"/>
  <c r="FU90" i="4"/>
  <c r="FV90" i="4"/>
  <c r="GC90" i="4"/>
  <c r="GD90" i="4"/>
  <c r="GK90" i="4"/>
  <c r="GL90" i="4"/>
  <c r="GS90" i="4"/>
  <c r="GT90" i="4"/>
  <c r="HA90" i="4"/>
  <c r="HB90" i="4"/>
  <c r="HI90" i="4"/>
  <c r="HJ90" i="4"/>
  <c r="HQ90" i="4"/>
  <c r="HR90" i="4"/>
  <c r="HY90" i="4"/>
  <c r="HZ90" i="4"/>
  <c r="IG90" i="4"/>
  <c r="IH90" i="4"/>
  <c r="E89" i="4"/>
  <c r="M89" i="4"/>
  <c r="U89" i="4"/>
  <c r="AC89" i="4"/>
  <c r="AK89" i="4"/>
  <c r="AS89" i="4"/>
  <c r="BA89" i="4"/>
  <c r="BI89" i="4"/>
  <c r="BQ89" i="4"/>
  <c r="BY89" i="4"/>
  <c r="CG89" i="4"/>
  <c r="CO89" i="4"/>
  <c r="CW89" i="4"/>
  <c r="DE89" i="4"/>
  <c r="DM89" i="4"/>
  <c r="DU89" i="4"/>
  <c r="EC89" i="4"/>
  <c r="EK89" i="4"/>
  <c r="ES89" i="4"/>
  <c r="FA89" i="4"/>
  <c r="FI89" i="4"/>
  <c r="FQ89" i="4"/>
  <c r="FY89" i="4"/>
  <c r="GG89" i="4"/>
  <c r="GO89" i="4"/>
  <c r="GW89" i="4"/>
  <c r="HE89" i="4"/>
  <c r="HM89" i="4"/>
  <c r="HU89" i="4"/>
  <c r="IC89" i="4"/>
  <c r="IK89" i="4"/>
  <c r="G88" i="4"/>
  <c r="H88" i="4"/>
  <c r="O88" i="4"/>
  <c r="P88" i="4"/>
  <c r="W88" i="4"/>
  <c r="X88" i="4"/>
  <c r="AE88" i="4"/>
  <c r="AF88" i="4"/>
  <c r="AM88" i="4"/>
  <c r="AN88" i="4"/>
  <c r="AU88" i="4"/>
  <c r="AV88" i="4"/>
  <c r="BC88" i="4"/>
  <c r="BD88" i="4"/>
  <c r="BK88" i="4"/>
  <c r="BL88" i="4"/>
  <c r="BS88" i="4"/>
  <c r="BT88" i="4"/>
  <c r="CA88" i="4"/>
  <c r="CB88" i="4"/>
  <c r="CI88" i="4"/>
  <c r="CJ88" i="4"/>
  <c r="CQ88" i="4"/>
  <c r="CR88" i="4"/>
  <c r="CY88" i="4"/>
  <c r="CZ88" i="4"/>
  <c r="DG88" i="4"/>
  <c r="DH88" i="4"/>
  <c r="DO88" i="4"/>
  <c r="DP88" i="4"/>
  <c r="DW88" i="4"/>
  <c r="DX88" i="4"/>
  <c r="EE88" i="4"/>
  <c r="EF88" i="4"/>
  <c r="EM88" i="4"/>
  <c r="EN88" i="4"/>
  <c r="EU88" i="4"/>
  <c r="EV88" i="4"/>
  <c r="FC88" i="4"/>
  <c r="FD88" i="4"/>
  <c r="FK88" i="4"/>
  <c r="FL88" i="4"/>
  <c r="FS88" i="4"/>
  <c r="FT88" i="4"/>
  <c r="GA88" i="4"/>
  <c r="GB88" i="4"/>
  <c r="GI88" i="4"/>
  <c r="GJ88" i="4"/>
  <c r="GQ88" i="4"/>
  <c r="GR88" i="4"/>
  <c r="GY88" i="4"/>
  <c r="GZ88" i="4"/>
  <c r="HG88" i="4"/>
  <c r="HH88" i="4"/>
  <c r="HO88" i="4"/>
  <c r="HP88" i="4"/>
  <c r="HW88" i="4"/>
  <c r="HX88" i="4"/>
  <c r="IE88" i="4"/>
  <c r="IF88" i="4"/>
  <c r="B87" i="4"/>
  <c r="C87" i="4"/>
  <c r="J87" i="4"/>
  <c r="K87" i="4"/>
  <c r="R87" i="4"/>
  <c r="S87" i="4"/>
  <c r="Z87" i="4"/>
  <c r="AA87" i="4"/>
  <c r="AH87" i="4"/>
  <c r="AI87" i="4"/>
  <c r="AP87" i="4"/>
  <c r="AQ87" i="4"/>
  <c r="AX87" i="4"/>
  <c r="AY87" i="4"/>
  <c r="BF87" i="4"/>
  <c r="BG87" i="4"/>
  <c r="BN87" i="4"/>
  <c r="BO87" i="4"/>
  <c r="BV87" i="4"/>
  <c r="BW87" i="4"/>
  <c r="CD87" i="4"/>
  <c r="CE87" i="4"/>
  <c r="CL87" i="4"/>
  <c r="CM87" i="4"/>
  <c r="CT87" i="4"/>
  <c r="CU87" i="4"/>
  <c r="DB87" i="4"/>
  <c r="DC87" i="4"/>
  <c r="DJ87" i="4"/>
  <c r="DK87" i="4"/>
  <c r="DR87" i="4"/>
  <c r="DS87" i="4"/>
  <c r="DZ87" i="4"/>
  <c r="EA87" i="4"/>
  <c r="EH87" i="4"/>
  <c r="EI87" i="4"/>
  <c r="EP87" i="4"/>
  <c r="EQ87" i="4"/>
  <c r="EX87" i="4"/>
  <c r="EY87" i="4"/>
  <c r="FF87" i="4"/>
  <c r="FG87" i="4"/>
  <c r="FN87" i="4"/>
  <c r="FO87" i="4"/>
  <c r="FV87" i="4"/>
  <c r="FW87" i="4"/>
  <c r="GD87" i="4"/>
  <c r="GE87" i="4"/>
  <c r="GL87" i="4"/>
  <c r="GM87" i="4"/>
  <c r="GT87" i="4"/>
  <c r="GU87" i="4"/>
  <c r="HB87" i="4"/>
  <c r="HC87" i="4"/>
  <c r="HJ87" i="4"/>
  <c r="HK87" i="4"/>
  <c r="HR87" i="4"/>
  <c r="HS87" i="4"/>
  <c r="HZ87" i="4"/>
  <c r="IA87" i="4"/>
  <c r="IH87" i="4"/>
  <c r="II87" i="4"/>
  <c r="E86" i="4"/>
  <c r="F86" i="4"/>
  <c r="G86" i="4"/>
  <c r="H86" i="4"/>
  <c r="M86" i="4"/>
  <c r="N86" i="4"/>
  <c r="O86" i="4"/>
  <c r="P86" i="4"/>
  <c r="U86" i="4"/>
  <c r="V86" i="4"/>
  <c r="W86" i="4"/>
  <c r="X86" i="4"/>
  <c r="AC86" i="4"/>
  <c r="AD86" i="4"/>
  <c r="AE86" i="4"/>
  <c r="AF86" i="4"/>
  <c r="AK86" i="4"/>
  <c r="AL86" i="4"/>
  <c r="AM86" i="4"/>
  <c r="AN86" i="4"/>
  <c r="AS86" i="4"/>
  <c r="AT86" i="4"/>
  <c r="AU86" i="4"/>
  <c r="AV86" i="4"/>
  <c r="BA86" i="4"/>
  <c r="BB86" i="4"/>
  <c r="BC86" i="4"/>
  <c r="BD86" i="4"/>
  <c r="BI86" i="4"/>
  <c r="BJ86" i="4"/>
  <c r="BK86" i="4"/>
  <c r="BL86" i="4"/>
  <c r="BQ86" i="4"/>
  <c r="BR86" i="4"/>
  <c r="BS86" i="4"/>
  <c r="BT86" i="4"/>
  <c r="BY86" i="4"/>
  <c r="BZ86" i="4"/>
  <c r="CA86" i="4"/>
  <c r="CB86" i="4"/>
  <c r="CG86" i="4"/>
  <c r="CH86" i="4"/>
  <c r="CI86" i="4"/>
  <c r="CJ86" i="4"/>
  <c r="CO86" i="4"/>
  <c r="CP86" i="4"/>
  <c r="CQ86" i="4"/>
  <c r="CR86" i="4"/>
  <c r="CW86" i="4"/>
  <c r="CX86" i="4"/>
  <c r="CY86" i="4"/>
  <c r="CZ86" i="4"/>
  <c r="DE86" i="4"/>
  <c r="DF86" i="4"/>
  <c r="DG86" i="4"/>
  <c r="DH86" i="4"/>
  <c r="DM86" i="4"/>
  <c r="DN86" i="4"/>
  <c r="DO86" i="4"/>
  <c r="DP86" i="4"/>
  <c r="DU86" i="4"/>
  <c r="DV86" i="4"/>
  <c r="DW86" i="4"/>
  <c r="DX86" i="4"/>
  <c r="EC86" i="4"/>
  <c r="ED86" i="4"/>
  <c r="EE86" i="4"/>
  <c r="EF86" i="4"/>
  <c r="EK86" i="4"/>
  <c r="EL86" i="4"/>
  <c r="EM86" i="4"/>
  <c r="EN86" i="4"/>
  <c r="ES86" i="4"/>
  <c r="ET86" i="4"/>
  <c r="EU86" i="4"/>
  <c r="EV86" i="4"/>
  <c r="FA86" i="4"/>
  <c r="FB86" i="4"/>
  <c r="FC86" i="4"/>
  <c r="FD86" i="4"/>
  <c r="FI86" i="4"/>
  <c r="FJ86" i="4"/>
  <c r="FK86" i="4"/>
  <c r="FL86" i="4"/>
  <c r="FQ86" i="4"/>
  <c r="FR86" i="4"/>
  <c r="FS86" i="4"/>
  <c r="FT86" i="4"/>
  <c r="FY86" i="4"/>
  <c r="FZ86" i="4"/>
  <c r="GA86" i="4"/>
  <c r="GB86" i="4"/>
  <c r="GG86" i="4"/>
  <c r="GH86" i="4"/>
  <c r="GI86" i="4"/>
  <c r="GJ86" i="4"/>
  <c r="GO86" i="4"/>
  <c r="GP86" i="4"/>
  <c r="GQ86" i="4"/>
  <c r="GR86" i="4"/>
  <c r="GW86" i="4"/>
  <c r="GX86" i="4"/>
  <c r="GY86" i="4"/>
  <c r="GZ86" i="4"/>
  <c r="HE86" i="4"/>
  <c r="HF86" i="4"/>
  <c r="HG86" i="4"/>
  <c r="HH86" i="4"/>
  <c r="HM86" i="4"/>
  <c r="HN86" i="4"/>
  <c r="HO86" i="4"/>
  <c r="HP86" i="4"/>
  <c r="HU86" i="4"/>
  <c r="HV86" i="4"/>
  <c r="HW86" i="4"/>
  <c r="HX86" i="4"/>
  <c r="IC86" i="4"/>
  <c r="ID86" i="4"/>
  <c r="IE86" i="4"/>
  <c r="IF86" i="4"/>
  <c r="IK86" i="4"/>
  <c r="IL86" i="4"/>
  <c r="B85" i="4"/>
  <c r="H85" i="4"/>
  <c r="I85" i="4"/>
  <c r="J85" i="4"/>
  <c r="P85" i="4"/>
  <c r="Q85" i="4"/>
  <c r="R85" i="4"/>
  <c r="X85" i="4"/>
  <c r="Y85" i="4"/>
  <c r="Z85" i="4"/>
  <c r="AF85" i="4"/>
  <c r="AG85" i="4"/>
  <c r="AH85" i="4"/>
  <c r="AN85" i="4"/>
  <c r="AO85" i="4"/>
  <c r="AP85" i="4"/>
  <c r="AV85" i="4"/>
  <c r="AW85" i="4"/>
  <c r="AX85" i="4"/>
  <c r="BD85" i="4"/>
  <c r="BE85" i="4"/>
  <c r="BF85" i="4"/>
  <c r="BL85" i="4"/>
  <c r="BM85" i="4"/>
  <c r="BN85" i="4"/>
  <c r="BT85" i="4"/>
  <c r="BU85" i="4"/>
  <c r="BV85" i="4"/>
  <c r="CB85" i="4"/>
  <c r="CC85" i="4"/>
  <c r="CD85" i="4"/>
  <c r="CJ85" i="4"/>
  <c r="CK85" i="4"/>
  <c r="CL85" i="4"/>
  <c r="CR85" i="4"/>
  <c r="CS85" i="4"/>
  <c r="CT85" i="4"/>
  <c r="CZ85" i="4"/>
  <c r="DA85" i="4"/>
  <c r="DB85" i="4"/>
  <c r="DH85" i="4"/>
  <c r="DI85" i="4"/>
  <c r="DJ85" i="4"/>
  <c r="DP85" i="4"/>
  <c r="DQ85" i="4"/>
  <c r="DR85" i="4"/>
  <c r="DX85" i="4"/>
  <c r="DY85" i="4"/>
  <c r="DZ85" i="4"/>
  <c r="EF85" i="4"/>
  <c r="EG85" i="4"/>
  <c r="EH85" i="4"/>
  <c r="EN85" i="4"/>
  <c r="EO85" i="4"/>
  <c r="EP85" i="4"/>
  <c r="EV85" i="4"/>
  <c r="EW85" i="4"/>
  <c r="EX85" i="4"/>
  <c r="FD85" i="4"/>
  <c r="FE85" i="4"/>
  <c r="FF85" i="4"/>
  <c r="FL85" i="4"/>
  <c r="FM85" i="4"/>
  <c r="FN85" i="4"/>
  <c r="FT85" i="4"/>
  <c r="FU85" i="4"/>
  <c r="FV85" i="4"/>
  <c r="GB85" i="4"/>
  <c r="GC85" i="4"/>
  <c r="GD85" i="4"/>
  <c r="GJ85" i="4"/>
  <c r="GK85" i="4"/>
  <c r="GL85" i="4"/>
  <c r="GR85" i="4"/>
  <c r="GS85" i="4"/>
  <c r="GT85" i="4"/>
  <c r="GZ85" i="4"/>
  <c r="HA85" i="4"/>
  <c r="HB85" i="4"/>
  <c r="HH85" i="4"/>
  <c r="HI85" i="4"/>
  <c r="HJ85" i="4"/>
  <c r="HP85" i="4"/>
  <c r="HQ85" i="4"/>
  <c r="HR85" i="4"/>
  <c r="HX85" i="4"/>
  <c r="HY85" i="4"/>
  <c r="HZ85" i="4"/>
  <c r="IF85" i="4"/>
  <c r="IG85" i="4"/>
  <c r="IH85" i="4"/>
  <c r="B82" i="4"/>
  <c r="C82" i="4"/>
  <c r="C86" i="4" s="1"/>
  <c r="D82" i="4"/>
  <c r="D86" i="4" s="1"/>
  <c r="E82" i="4"/>
  <c r="E87" i="4" s="1"/>
  <c r="F82" i="4"/>
  <c r="F87" i="4" s="1"/>
  <c r="G82" i="4"/>
  <c r="G93" i="4" s="1"/>
  <c r="H82" i="4"/>
  <c r="H87" i="4" s="1"/>
  <c r="I82" i="4"/>
  <c r="I87" i="4" s="1"/>
  <c r="J82" i="4"/>
  <c r="K82" i="4"/>
  <c r="K86" i="4" s="1"/>
  <c r="L82" i="4"/>
  <c r="L86" i="4" s="1"/>
  <c r="M82" i="4"/>
  <c r="M87" i="4" s="1"/>
  <c r="N82" i="4"/>
  <c r="N87" i="4" s="1"/>
  <c r="O82" i="4"/>
  <c r="O87" i="4" s="1"/>
  <c r="P82" i="4"/>
  <c r="P87" i="4" s="1"/>
  <c r="Q82" i="4"/>
  <c r="Q87" i="4" s="1"/>
  <c r="R82" i="4"/>
  <c r="S82" i="4"/>
  <c r="S86" i="4" s="1"/>
  <c r="T82" i="4"/>
  <c r="T88" i="4" s="1"/>
  <c r="U82" i="4"/>
  <c r="U87" i="4" s="1"/>
  <c r="V82" i="4"/>
  <c r="W82" i="4"/>
  <c r="W87" i="4" s="1"/>
  <c r="X82" i="4"/>
  <c r="X87" i="4" s="1"/>
  <c r="Y82" i="4"/>
  <c r="Y87" i="4" s="1"/>
  <c r="Z82" i="4"/>
  <c r="AA82" i="4"/>
  <c r="AA86" i="4" s="1"/>
  <c r="AB82" i="4"/>
  <c r="AB93" i="4" s="1"/>
  <c r="AC82" i="4"/>
  <c r="AC87" i="4" s="1"/>
  <c r="AD82" i="4"/>
  <c r="AD87" i="4" s="1"/>
  <c r="AE82" i="4"/>
  <c r="AE87" i="4" s="1"/>
  <c r="AF82" i="4"/>
  <c r="AF87" i="4" s="1"/>
  <c r="AG82" i="4"/>
  <c r="AG87" i="4" s="1"/>
  <c r="AH82" i="4"/>
  <c r="AI82" i="4"/>
  <c r="AI86" i="4" s="1"/>
  <c r="AJ82" i="4"/>
  <c r="AJ93" i="4" s="1"/>
  <c r="AK82" i="4"/>
  <c r="AK87" i="4" s="1"/>
  <c r="AL82" i="4"/>
  <c r="AL87" i="4" s="1"/>
  <c r="AM82" i="4"/>
  <c r="AM87" i="4" s="1"/>
  <c r="AN82" i="4"/>
  <c r="AN87" i="4" s="1"/>
  <c r="AO82" i="4"/>
  <c r="AO87" i="4" s="1"/>
  <c r="AP82" i="4"/>
  <c r="AQ82" i="4"/>
  <c r="AQ86" i="4" s="1"/>
  <c r="AR82" i="4"/>
  <c r="AS82" i="4"/>
  <c r="AS93" i="4" s="1"/>
  <c r="AT82" i="4"/>
  <c r="AT87" i="4" s="1"/>
  <c r="AU82" i="4"/>
  <c r="AU87" i="4" s="1"/>
  <c r="AV82" i="4"/>
  <c r="AV87" i="4" s="1"/>
  <c r="AW82" i="4"/>
  <c r="AW87" i="4" s="1"/>
  <c r="AX82" i="4"/>
  <c r="AY82" i="4"/>
  <c r="AY86" i="4" s="1"/>
  <c r="AZ82" i="4"/>
  <c r="AZ90" i="4" s="1"/>
  <c r="BA82" i="4"/>
  <c r="BA87" i="4" s="1"/>
  <c r="BB82" i="4"/>
  <c r="BB87" i="4" s="1"/>
  <c r="BC82" i="4"/>
  <c r="BC87" i="4" s="1"/>
  <c r="BD82" i="4"/>
  <c r="BD87" i="4" s="1"/>
  <c r="BE82" i="4"/>
  <c r="BE87" i="4" s="1"/>
  <c r="BF82" i="4"/>
  <c r="BG82" i="4"/>
  <c r="BG86" i="4" s="1"/>
  <c r="BH82" i="4"/>
  <c r="BI82" i="4"/>
  <c r="BI87" i="4" s="1"/>
  <c r="BJ82" i="4"/>
  <c r="BJ87" i="4" s="1"/>
  <c r="BK82" i="4"/>
  <c r="BK91" i="4" s="1"/>
  <c r="BL82" i="4"/>
  <c r="BL91" i="4" s="1"/>
  <c r="BM82" i="4"/>
  <c r="BM87" i="4" s="1"/>
  <c r="BN82" i="4"/>
  <c r="BO82" i="4"/>
  <c r="BO86" i="4" s="1"/>
  <c r="BP82" i="4"/>
  <c r="BP86" i="4" s="1"/>
  <c r="BQ82" i="4"/>
  <c r="BQ87" i="4" s="1"/>
  <c r="BR82" i="4"/>
  <c r="BR87" i="4" s="1"/>
  <c r="BS82" i="4"/>
  <c r="BS93" i="4" s="1"/>
  <c r="BT82" i="4"/>
  <c r="BT87" i="4" s="1"/>
  <c r="BU82" i="4"/>
  <c r="BU87" i="4" s="1"/>
  <c r="BV82" i="4"/>
  <c r="BW82" i="4"/>
  <c r="BW86" i="4" s="1"/>
  <c r="BX82" i="4"/>
  <c r="BX93" i="4" s="1"/>
  <c r="BY82" i="4"/>
  <c r="BY87" i="4" s="1"/>
  <c r="BZ82" i="4"/>
  <c r="BZ87" i="4" s="1"/>
  <c r="CA82" i="4"/>
  <c r="CA87" i="4" s="1"/>
  <c r="CB82" i="4"/>
  <c r="CB87" i="4" s="1"/>
  <c r="CC82" i="4"/>
  <c r="CC87" i="4" s="1"/>
  <c r="CD82" i="4"/>
  <c r="CE82" i="4"/>
  <c r="CE86" i="4" s="1"/>
  <c r="CF82" i="4"/>
  <c r="CF88" i="4" s="1"/>
  <c r="CG82" i="4"/>
  <c r="CG87" i="4" s="1"/>
  <c r="CH82" i="4"/>
  <c r="CI82" i="4"/>
  <c r="CI87" i="4" s="1"/>
  <c r="CJ82" i="4"/>
  <c r="CJ87" i="4" s="1"/>
  <c r="CK82" i="4"/>
  <c r="CK87" i="4" s="1"/>
  <c r="CL82" i="4"/>
  <c r="CM82" i="4"/>
  <c r="CM86" i="4" s="1"/>
  <c r="CN82" i="4"/>
  <c r="CN93" i="4" s="1"/>
  <c r="CO82" i="4"/>
  <c r="CO87" i="4" s="1"/>
  <c r="CP82" i="4"/>
  <c r="CP87" i="4" s="1"/>
  <c r="CQ82" i="4"/>
  <c r="CQ87" i="4" s="1"/>
  <c r="CR82" i="4"/>
  <c r="CR87" i="4" s="1"/>
  <c r="CS82" i="4"/>
  <c r="CS87" i="4" s="1"/>
  <c r="CT82" i="4"/>
  <c r="CU82" i="4"/>
  <c r="CU86" i="4" s="1"/>
  <c r="CV82" i="4"/>
  <c r="CV93" i="4" s="1"/>
  <c r="CW82" i="4"/>
  <c r="CW87" i="4" s="1"/>
  <c r="CX82" i="4"/>
  <c r="CX87" i="4" s="1"/>
  <c r="CY82" i="4"/>
  <c r="CY87" i="4" s="1"/>
  <c r="CZ82" i="4"/>
  <c r="CZ87" i="4" s="1"/>
  <c r="DA82" i="4"/>
  <c r="DA87" i="4" s="1"/>
  <c r="DB82" i="4"/>
  <c r="DC82" i="4"/>
  <c r="DC86" i="4" s="1"/>
  <c r="DD82" i="4"/>
  <c r="DE82" i="4"/>
  <c r="DE93" i="4" s="1"/>
  <c r="DF82" i="4"/>
  <c r="DG82" i="4"/>
  <c r="DG87" i="4" s="1"/>
  <c r="DH82" i="4"/>
  <c r="DH87" i="4" s="1"/>
  <c r="DI82" i="4"/>
  <c r="DI87" i="4" s="1"/>
  <c r="DJ82" i="4"/>
  <c r="DK82" i="4"/>
  <c r="DK86" i="4" s="1"/>
  <c r="DL82" i="4"/>
  <c r="DL90" i="4" s="1"/>
  <c r="DM82" i="4"/>
  <c r="DM87" i="4" s="1"/>
  <c r="DN82" i="4"/>
  <c r="DN87" i="4" s="1"/>
  <c r="DO82" i="4"/>
  <c r="DO87" i="4" s="1"/>
  <c r="DP82" i="4"/>
  <c r="DP87" i="4" s="1"/>
  <c r="DQ82" i="4"/>
  <c r="DQ87" i="4" s="1"/>
  <c r="DR82" i="4"/>
  <c r="DS82" i="4"/>
  <c r="DS86" i="4" s="1"/>
  <c r="DT82" i="4"/>
  <c r="DT86" i="4" s="1"/>
  <c r="DU82" i="4"/>
  <c r="DU87" i="4" s="1"/>
  <c r="DV82" i="4"/>
  <c r="DV87" i="4" s="1"/>
  <c r="DW82" i="4"/>
  <c r="DW91" i="4" s="1"/>
  <c r="DX82" i="4"/>
  <c r="DX91" i="4" s="1"/>
  <c r="DY82" i="4"/>
  <c r="DY87" i="4" s="1"/>
  <c r="DZ82" i="4"/>
  <c r="EA82" i="4"/>
  <c r="EA86" i="4" s="1"/>
  <c r="EB82" i="4"/>
  <c r="EB86" i="4" s="1"/>
  <c r="EC82" i="4"/>
  <c r="EC87" i="4" s="1"/>
  <c r="ED82" i="4"/>
  <c r="ED87" i="4" s="1"/>
  <c r="EE82" i="4"/>
  <c r="EE93" i="4" s="1"/>
  <c r="EF82" i="4"/>
  <c r="EF87" i="4" s="1"/>
  <c r="EG82" i="4"/>
  <c r="EG87" i="4" s="1"/>
  <c r="EH82" i="4"/>
  <c r="EI82" i="4"/>
  <c r="EI89" i="4" s="1"/>
  <c r="EJ82" i="4"/>
  <c r="EJ88" i="4" s="1"/>
  <c r="EK82" i="4"/>
  <c r="EK87" i="4" s="1"/>
  <c r="EL82" i="4"/>
  <c r="EL87" i="4" s="1"/>
  <c r="EM82" i="4"/>
  <c r="EM87" i="4" s="1"/>
  <c r="EN82" i="4"/>
  <c r="EN87" i="4" s="1"/>
  <c r="EO82" i="4"/>
  <c r="EO87" i="4" s="1"/>
  <c r="EP82" i="4"/>
  <c r="EQ82" i="4"/>
  <c r="ER82" i="4"/>
  <c r="ER85" i="4" s="1"/>
  <c r="ES82" i="4"/>
  <c r="ES87" i="4" s="1"/>
  <c r="ET82" i="4"/>
  <c r="EU82" i="4"/>
  <c r="EU87" i="4" s="1"/>
  <c r="EV82" i="4"/>
  <c r="EV87" i="4" s="1"/>
  <c r="EW82" i="4"/>
  <c r="EW87" i="4" s="1"/>
  <c r="EX82" i="4"/>
  <c r="EY82" i="4"/>
  <c r="EY86" i="4" s="1"/>
  <c r="EZ82" i="4"/>
  <c r="FA82" i="4"/>
  <c r="FA87" i="4" s="1"/>
  <c r="FB82" i="4"/>
  <c r="FB87" i="4" s="1"/>
  <c r="FC82" i="4"/>
  <c r="FC87" i="4" s="1"/>
  <c r="FD82" i="4"/>
  <c r="FD87" i="4" s="1"/>
  <c r="FE82" i="4"/>
  <c r="FE87" i="4" s="1"/>
  <c r="FF82" i="4"/>
  <c r="FG82" i="4"/>
  <c r="FG86" i="4" s="1"/>
  <c r="FH82" i="4"/>
  <c r="FH93" i="4" s="1"/>
  <c r="FI82" i="4"/>
  <c r="FI87" i="4" s="1"/>
  <c r="FJ82" i="4"/>
  <c r="FJ87" i="4" s="1"/>
  <c r="FK82" i="4"/>
  <c r="FK87" i="4" s="1"/>
  <c r="FL82" i="4"/>
  <c r="FL87" i="4" s="1"/>
  <c r="FM82" i="4"/>
  <c r="FM87" i="4" s="1"/>
  <c r="FN82" i="4"/>
  <c r="FO82" i="4"/>
  <c r="FO86" i="4" s="1"/>
  <c r="FP82" i="4"/>
  <c r="FP90" i="4" s="1"/>
  <c r="FQ82" i="4"/>
  <c r="FQ93" i="4" s="1"/>
  <c r="FR82" i="4"/>
  <c r="FR87" i="4" s="1"/>
  <c r="FS82" i="4"/>
  <c r="FS87" i="4" s="1"/>
  <c r="FT82" i="4"/>
  <c r="FT87" i="4" s="1"/>
  <c r="FU82" i="4"/>
  <c r="FU87" i="4" s="1"/>
  <c r="FV82" i="4"/>
  <c r="FW82" i="4"/>
  <c r="FW86" i="4" s="1"/>
  <c r="FX82" i="4"/>
  <c r="FY82" i="4"/>
  <c r="FY87" i="4" s="1"/>
  <c r="FZ82" i="4"/>
  <c r="FZ87" i="4" s="1"/>
  <c r="GA82" i="4"/>
  <c r="GA87" i="4" s="1"/>
  <c r="GB82" i="4"/>
  <c r="GB87" i="4" s="1"/>
  <c r="GC82" i="4"/>
  <c r="GC87" i="4" s="1"/>
  <c r="GD82" i="4"/>
  <c r="GE82" i="4"/>
  <c r="GE86" i="4" s="1"/>
  <c r="GF82" i="4"/>
  <c r="GF88" i="4" s="1"/>
  <c r="GG82" i="4"/>
  <c r="GG87" i="4" s="1"/>
  <c r="GH82" i="4"/>
  <c r="GH87" i="4" s="1"/>
  <c r="GI82" i="4"/>
  <c r="GI91" i="4" s="1"/>
  <c r="GJ82" i="4"/>
  <c r="GJ91" i="4" s="1"/>
  <c r="GK82" i="4"/>
  <c r="GK87" i="4" s="1"/>
  <c r="GL82" i="4"/>
  <c r="GM82" i="4"/>
  <c r="GM86" i="4" s="1"/>
  <c r="GN82" i="4"/>
  <c r="GO82" i="4"/>
  <c r="GO87" i="4" s="1"/>
  <c r="GP82" i="4"/>
  <c r="GP87" i="4" s="1"/>
  <c r="GQ82" i="4"/>
  <c r="GQ93" i="4" s="1"/>
  <c r="GR82" i="4"/>
  <c r="GR87" i="4" s="1"/>
  <c r="GS82" i="4"/>
  <c r="GS87" i="4" s="1"/>
  <c r="GT82" i="4"/>
  <c r="GU82" i="4"/>
  <c r="GU86" i="4" s="1"/>
  <c r="GV82" i="4"/>
  <c r="GV85" i="4" s="1"/>
  <c r="GW82" i="4"/>
  <c r="GW87" i="4" s="1"/>
  <c r="GX82" i="4"/>
  <c r="GX87" i="4" s="1"/>
  <c r="GY82" i="4"/>
  <c r="GY87" i="4" s="1"/>
  <c r="GZ82" i="4"/>
  <c r="GZ87" i="4" s="1"/>
  <c r="HA82" i="4"/>
  <c r="HA87" i="4" s="1"/>
  <c r="HB82" i="4"/>
  <c r="HC82" i="4"/>
  <c r="HD82" i="4"/>
  <c r="HD86" i="4" s="1"/>
  <c r="HE82" i="4"/>
  <c r="HE87" i="4" s="1"/>
  <c r="HF82" i="4"/>
  <c r="HG82" i="4"/>
  <c r="HG87" i="4" s="1"/>
  <c r="HH82" i="4"/>
  <c r="HH87" i="4" s="1"/>
  <c r="HI82" i="4"/>
  <c r="HJ82" i="4"/>
  <c r="HK82" i="4"/>
  <c r="HL82" i="4"/>
  <c r="HL90" i="4" s="1"/>
  <c r="HM82" i="4"/>
  <c r="HM87" i="4" s="1"/>
  <c r="HN82" i="4"/>
  <c r="HN87" i="4" s="1"/>
  <c r="HO82" i="4"/>
  <c r="HO87" i="4" s="1"/>
  <c r="HP82" i="4"/>
  <c r="HP87" i="4" s="1"/>
  <c r="HQ82" i="4"/>
  <c r="HR82" i="4"/>
  <c r="HS82" i="4"/>
  <c r="HS86" i="4" s="1"/>
  <c r="HT82" i="4"/>
  <c r="HT93" i="4" s="1"/>
  <c r="HU82" i="4"/>
  <c r="HU87" i="4" s="1"/>
  <c r="HV82" i="4"/>
  <c r="HV87" i="4" s="1"/>
  <c r="HW82" i="4"/>
  <c r="HW87" i="4" s="1"/>
  <c r="HX82" i="4"/>
  <c r="HX87" i="4" s="1"/>
  <c r="HY82" i="4"/>
  <c r="HY87" i="4" s="1"/>
  <c r="HZ82" i="4"/>
  <c r="IA82" i="4"/>
  <c r="IA86" i="4" s="1"/>
  <c r="IB82" i="4"/>
  <c r="IC82" i="4"/>
  <c r="IC93" i="4" s="1"/>
  <c r="ID82" i="4"/>
  <c r="ID87" i="4" s="1"/>
  <c r="IE82" i="4"/>
  <c r="IE87" i="4" s="1"/>
  <c r="IF82" i="4"/>
  <c r="IF87" i="4" s="1"/>
  <c r="IG82" i="4"/>
  <c r="IG87" i="4" s="1"/>
  <c r="IH82" i="4"/>
  <c r="II82" i="4"/>
  <c r="II86" i="4" s="1"/>
  <c r="IJ82" i="4"/>
  <c r="IJ93" i="4" s="1"/>
  <c r="IK82" i="4"/>
  <c r="IK87" i="4" s="1"/>
  <c r="IL82" i="4"/>
  <c r="IL87" i="4" s="1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EQ76" i="4"/>
  <c r="ER76" i="4"/>
  <c r="ES76" i="4"/>
  <c r="ET76" i="4"/>
  <c r="EU76" i="4"/>
  <c r="EV76" i="4"/>
  <c r="EW76" i="4"/>
  <c r="EX76" i="4"/>
  <c r="EY76" i="4"/>
  <c r="EZ76" i="4"/>
  <c r="FA76" i="4"/>
  <c r="FB76" i="4"/>
  <c r="FC76" i="4"/>
  <c r="FD76" i="4"/>
  <c r="FE76" i="4"/>
  <c r="FF76" i="4"/>
  <c r="FG76" i="4"/>
  <c r="FH76" i="4"/>
  <c r="FI76" i="4"/>
  <c r="FJ76" i="4"/>
  <c r="FK76" i="4"/>
  <c r="FL76" i="4"/>
  <c r="FM76" i="4"/>
  <c r="FN76" i="4"/>
  <c r="FO76" i="4"/>
  <c r="FP76" i="4"/>
  <c r="FQ76" i="4"/>
  <c r="FR76" i="4"/>
  <c r="FS76" i="4"/>
  <c r="FT76" i="4"/>
  <c r="FU76" i="4"/>
  <c r="FV76" i="4"/>
  <c r="FW76" i="4"/>
  <c r="FX76" i="4"/>
  <c r="FY76" i="4"/>
  <c r="FZ76" i="4"/>
  <c r="GA76" i="4"/>
  <c r="GB76" i="4"/>
  <c r="GC76" i="4"/>
  <c r="GD76" i="4"/>
  <c r="GE76" i="4"/>
  <c r="GF76" i="4"/>
  <c r="GG76" i="4"/>
  <c r="GH76" i="4"/>
  <c r="GI76" i="4"/>
  <c r="GJ76" i="4"/>
  <c r="GK76" i="4"/>
  <c r="GL76" i="4"/>
  <c r="GM76" i="4"/>
  <c r="GN76" i="4"/>
  <c r="GO76" i="4"/>
  <c r="GP76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I76" i="4"/>
  <c r="HJ76" i="4"/>
  <c r="HK76" i="4"/>
  <c r="HL76" i="4"/>
  <c r="HM76" i="4"/>
  <c r="HN76" i="4"/>
  <c r="HO76" i="4"/>
  <c r="HP76" i="4"/>
  <c r="HQ76" i="4"/>
  <c r="HR76" i="4"/>
  <c r="HS76" i="4"/>
  <c r="HT76" i="4"/>
  <c r="HU76" i="4"/>
  <c r="HV76" i="4"/>
  <c r="HW76" i="4"/>
  <c r="HX76" i="4"/>
  <c r="HY76" i="4"/>
  <c r="HZ76" i="4"/>
  <c r="IA76" i="4"/>
  <c r="IB76" i="4"/>
  <c r="IC76" i="4"/>
  <c r="ID76" i="4"/>
  <c r="IE76" i="4"/>
  <c r="IF76" i="4"/>
  <c r="IG76" i="4"/>
  <c r="IH76" i="4"/>
  <c r="II76" i="4"/>
  <c r="IJ76" i="4"/>
  <c r="IK76" i="4"/>
  <c r="IL76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EQ75" i="4"/>
  <c r="ER75" i="4"/>
  <c r="ES75" i="4"/>
  <c r="ET75" i="4"/>
  <c r="EU75" i="4"/>
  <c r="EV75" i="4"/>
  <c r="EW75" i="4"/>
  <c r="EX75" i="4"/>
  <c r="EY75" i="4"/>
  <c r="EZ75" i="4"/>
  <c r="FA75" i="4"/>
  <c r="FB75" i="4"/>
  <c r="FC75" i="4"/>
  <c r="FD75" i="4"/>
  <c r="FE75" i="4"/>
  <c r="FF75" i="4"/>
  <c r="FG75" i="4"/>
  <c r="FH75" i="4"/>
  <c r="FI75" i="4"/>
  <c r="FJ75" i="4"/>
  <c r="FK75" i="4"/>
  <c r="FL75" i="4"/>
  <c r="FM75" i="4"/>
  <c r="FN75" i="4"/>
  <c r="FO75" i="4"/>
  <c r="FP75" i="4"/>
  <c r="FQ75" i="4"/>
  <c r="FR75" i="4"/>
  <c r="FS75" i="4"/>
  <c r="FT75" i="4"/>
  <c r="FU75" i="4"/>
  <c r="FV75" i="4"/>
  <c r="FW75" i="4"/>
  <c r="FX75" i="4"/>
  <c r="FY75" i="4"/>
  <c r="FZ75" i="4"/>
  <c r="GA75" i="4"/>
  <c r="GB75" i="4"/>
  <c r="GC75" i="4"/>
  <c r="GD75" i="4"/>
  <c r="GE75" i="4"/>
  <c r="GF75" i="4"/>
  <c r="GG75" i="4"/>
  <c r="GH75" i="4"/>
  <c r="GI75" i="4"/>
  <c r="GJ75" i="4"/>
  <c r="GK75" i="4"/>
  <c r="GL75" i="4"/>
  <c r="GM75" i="4"/>
  <c r="GN75" i="4"/>
  <c r="GO75" i="4"/>
  <c r="GP75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I75" i="4"/>
  <c r="HJ75" i="4"/>
  <c r="HK75" i="4"/>
  <c r="HL75" i="4"/>
  <c r="HM75" i="4"/>
  <c r="HN75" i="4"/>
  <c r="HO75" i="4"/>
  <c r="HP75" i="4"/>
  <c r="HQ75" i="4"/>
  <c r="HR75" i="4"/>
  <c r="HS75" i="4"/>
  <c r="HT75" i="4"/>
  <c r="HU75" i="4"/>
  <c r="HV75" i="4"/>
  <c r="HW75" i="4"/>
  <c r="HX75" i="4"/>
  <c r="HY75" i="4"/>
  <c r="HZ75" i="4"/>
  <c r="IA75" i="4"/>
  <c r="IB75" i="4"/>
  <c r="IC75" i="4"/>
  <c r="ID75" i="4"/>
  <c r="IE75" i="4"/>
  <c r="IF75" i="4"/>
  <c r="IG75" i="4"/>
  <c r="IH75" i="4"/>
  <c r="II75" i="4"/>
  <c r="IJ75" i="4"/>
  <c r="IK75" i="4"/>
  <c r="IL75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EQ74" i="4"/>
  <c r="ER74" i="4"/>
  <c r="ES74" i="4"/>
  <c r="ET74" i="4"/>
  <c r="EU74" i="4"/>
  <c r="EV74" i="4"/>
  <c r="EW74" i="4"/>
  <c r="EX74" i="4"/>
  <c r="EY74" i="4"/>
  <c r="EZ74" i="4"/>
  <c r="FA74" i="4"/>
  <c r="FB74" i="4"/>
  <c r="FC74" i="4"/>
  <c r="FD74" i="4"/>
  <c r="FE74" i="4"/>
  <c r="FF74" i="4"/>
  <c r="FG74" i="4"/>
  <c r="FH74" i="4"/>
  <c r="FI74" i="4"/>
  <c r="FJ74" i="4"/>
  <c r="FK74" i="4"/>
  <c r="FL74" i="4"/>
  <c r="FM74" i="4"/>
  <c r="FN74" i="4"/>
  <c r="FO74" i="4"/>
  <c r="FP74" i="4"/>
  <c r="FQ74" i="4"/>
  <c r="FR74" i="4"/>
  <c r="FS74" i="4"/>
  <c r="FT74" i="4"/>
  <c r="FU74" i="4"/>
  <c r="FV74" i="4"/>
  <c r="FW74" i="4"/>
  <c r="FX74" i="4"/>
  <c r="FY74" i="4"/>
  <c r="FZ74" i="4"/>
  <c r="GA74" i="4"/>
  <c r="GB74" i="4"/>
  <c r="GC74" i="4"/>
  <c r="GD74" i="4"/>
  <c r="GE74" i="4"/>
  <c r="GF74" i="4"/>
  <c r="GG74" i="4"/>
  <c r="GH74" i="4"/>
  <c r="GI74" i="4"/>
  <c r="GJ74" i="4"/>
  <c r="GK74" i="4"/>
  <c r="GL74" i="4"/>
  <c r="GM74" i="4"/>
  <c r="GN74" i="4"/>
  <c r="GO74" i="4"/>
  <c r="GP74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I74" i="4"/>
  <c r="HJ74" i="4"/>
  <c r="HK74" i="4"/>
  <c r="HL74" i="4"/>
  <c r="HM74" i="4"/>
  <c r="HN74" i="4"/>
  <c r="HO74" i="4"/>
  <c r="HP74" i="4"/>
  <c r="HQ74" i="4"/>
  <c r="HR74" i="4"/>
  <c r="HS74" i="4"/>
  <c r="HT74" i="4"/>
  <c r="HU74" i="4"/>
  <c r="HV74" i="4"/>
  <c r="HW74" i="4"/>
  <c r="HX74" i="4"/>
  <c r="HY74" i="4"/>
  <c r="HZ74" i="4"/>
  <c r="IA74" i="4"/>
  <c r="IB74" i="4"/>
  <c r="IC74" i="4"/>
  <c r="ID74" i="4"/>
  <c r="IE74" i="4"/>
  <c r="IF74" i="4"/>
  <c r="IG74" i="4"/>
  <c r="IH74" i="4"/>
  <c r="II74" i="4"/>
  <c r="IJ74" i="4"/>
  <c r="IK74" i="4"/>
  <c r="IL74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EQ73" i="4"/>
  <c r="ER73" i="4"/>
  <c r="ES73" i="4"/>
  <c r="ET73" i="4"/>
  <c r="EU73" i="4"/>
  <c r="EV73" i="4"/>
  <c r="EW73" i="4"/>
  <c r="EX73" i="4"/>
  <c r="EY73" i="4"/>
  <c r="EZ73" i="4"/>
  <c r="FA73" i="4"/>
  <c r="FB73" i="4"/>
  <c r="FC73" i="4"/>
  <c r="FD73" i="4"/>
  <c r="FE73" i="4"/>
  <c r="FF73" i="4"/>
  <c r="FG73" i="4"/>
  <c r="FH73" i="4"/>
  <c r="FI73" i="4"/>
  <c r="FJ73" i="4"/>
  <c r="FK73" i="4"/>
  <c r="FL73" i="4"/>
  <c r="FM73" i="4"/>
  <c r="FN73" i="4"/>
  <c r="FO73" i="4"/>
  <c r="FP73" i="4"/>
  <c r="FQ73" i="4"/>
  <c r="FR73" i="4"/>
  <c r="FS73" i="4"/>
  <c r="FT73" i="4"/>
  <c r="FU73" i="4"/>
  <c r="FV73" i="4"/>
  <c r="FW73" i="4"/>
  <c r="FX73" i="4"/>
  <c r="FY73" i="4"/>
  <c r="FZ73" i="4"/>
  <c r="GA73" i="4"/>
  <c r="GB73" i="4"/>
  <c r="GC73" i="4"/>
  <c r="GD73" i="4"/>
  <c r="GE73" i="4"/>
  <c r="GF73" i="4"/>
  <c r="GG73" i="4"/>
  <c r="GH73" i="4"/>
  <c r="GI73" i="4"/>
  <c r="GJ73" i="4"/>
  <c r="GK73" i="4"/>
  <c r="GL73" i="4"/>
  <c r="GM73" i="4"/>
  <c r="GN73" i="4"/>
  <c r="GO73" i="4"/>
  <c r="GP73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I73" i="4"/>
  <c r="HJ73" i="4"/>
  <c r="HK73" i="4"/>
  <c r="HL73" i="4"/>
  <c r="HM73" i="4"/>
  <c r="HN73" i="4"/>
  <c r="HO73" i="4"/>
  <c r="HP73" i="4"/>
  <c r="HQ73" i="4"/>
  <c r="HR73" i="4"/>
  <c r="HS73" i="4"/>
  <c r="HT73" i="4"/>
  <c r="HU73" i="4"/>
  <c r="HV73" i="4"/>
  <c r="HW73" i="4"/>
  <c r="HX73" i="4"/>
  <c r="HY73" i="4"/>
  <c r="HZ73" i="4"/>
  <c r="IA73" i="4"/>
  <c r="IB73" i="4"/>
  <c r="IC73" i="4"/>
  <c r="ID73" i="4"/>
  <c r="IE73" i="4"/>
  <c r="IF73" i="4"/>
  <c r="IG73" i="4"/>
  <c r="IH73" i="4"/>
  <c r="II73" i="4"/>
  <c r="IJ73" i="4"/>
  <c r="IK73" i="4"/>
  <c r="IL73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EQ72" i="4"/>
  <c r="ER72" i="4"/>
  <c r="ES72" i="4"/>
  <c r="ET72" i="4"/>
  <c r="EU72" i="4"/>
  <c r="EV72" i="4"/>
  <c r="EW72" i="4"/>
  <c r="EX72" i="4"/>
  <c r="EY72" i="4"/>
  <c r="EZ72" i="4"/>
  <c r="FA72" i="4"/>
  <c r="FB72" i="4"/>
  <c r="FC72" i="4"/>
  <c r="FD72" i="4"/>
  <c r="FE72" i="4"/>
  <c r="FF72" i="4"/>
  <c r="FG72" i="4"/>
  <c r="FH72" i="4"/>
  <c r="FI72" i="4"/>
  <c r="FJ72" i="4"/>
  <c r="FK72" i="4"/>
  <c r="FL72" i="4"/>
  <c r="FM72" i="4"/>
  <c r="FN72" i="4"/>
  <c r="FO72" i="4"/>
  <c r="FP72" i="4"/>
  <c r="FQ72" i="4"/>
  <c r="FR72" i="4"/>
  <c r="FS72" i="4"/>
  <c r="FT72" i="4"/>
  <c r="FU72" i="4"/>
  <c r="FV72" i="4"/>
  <c r="FW72" i="4"/>
  <c r="FX72" i="4"/>
  <c r="FY72" i="4"/>
  <c r="FZ72" i="4"/>
  <c r="GA72" i="4"/>
  <c r="GB72" i="4"/>
  <c r="GC72" i="4"/>
  <c r="GD72" i="4"/>
  <c r="GE72" i="4"/>
  <c r="GF72" i="4"/>
  <c r="GG72" i="4"/>
  <c r="GH72" i="4"/>
  <c r="GI72" i="4"/>
  <c r="GJ72" i="4"/>
  <c r="GK72" i="4"/>
  <c r="GL72" i="4"/>
  <c r="GM72" i="4"/>
  <c r="GN72" i="4"/>
  <c r="GO72" i="4"/>
  <c r="GP72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I72" i="4"/>
  <c r="HJ72" i="4"/>
  <c r="HK72" i="4"/>
  <c r="HL72" i="4"/>
  <c r="HM72" i="4"/>
  <c r="HN72" i="4"/>
  <c r="HO72" i="4"/>
  <c r="HP72" i="4"/>
  <c r="HQ72" i="4"/>
  <c r="HR72" i="4"/>
  <c r="HS72" i="4"/>
  <c r="HT72" i="4"/>
  <c r="HU72" i="4"/>
  <c r="HV72" i="4"/>
  <c r="HW72" i="4"/>
  <c r="HX72" i="4"/>
  <c r="HY72" i="4"/>
  <c r="HZ72" i="4"/>
  <c r="IA72" i="4"/>
  <c r="IB72" i="4"/>
  <c r="IC72" i="4"/>
  <c r="ID72" i="4"/>
  <c r="IE72" i="4"/>
  <c r="IF72" i="4"/>
  <c r="IG72" i="4"/>
  <c r="IH72" i="4"/>
  <c r="II72" i="4"/>
  <c r="IJ72" i="4"/>
  <c r="IK72" i="4"/>
  <c r="IL72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EQ71" i="4"/>
  <c r="ER71" i="4"/>
  <c r="ES71" i="4"/>
  <c r="ET71" i="4"/>
  <c r="EU71" i="4"/>
  <c r="EV71" i="4"/>
  <c r="EW71" i="4"/>
  <c r="EX71" i="4"/>
  <c r="EY71" i="4"/>
  <c r="EZ71" i="4"/>
  <c r="FA71" i="4"/>
  <c r="FB71" i="4"/>
  <c r="FC71" i="4"/>
  <c r="FD71" i="4"/>
  <c r="FE71" i="4"/>
  <c r="FF71" i="4"/>
  <c r="FG71" i="4"/>
  <c r="FH71" i="4"/>
  <c r="FI71" i="4"/>
  <c r="FJ71" i="4"/>
  <c r="FK71" i="4"/>
  <c r="FL71" i="4"/>
  <c r="FM71" i="4"/>
  <c r="FN71" i="4"/>
  <c r="FO71" i="4"/>
  <c r="FP71" i="4"/>
  <c r="FQ71" i="4"/>
  <c r="FR71" i="4"/>
  <c r="FS71" i="4"/>
  <c r="FT71" i="4"/>
  <c r="FU71" i="4"/>
  <c r="FV71" i="4"/>
  <c r="FW71" i="4"/>
  <c r="FX71" i="4"/>
  <c r="FY71" i="4"/>
  <c r="FZ71" i="4"/>
  <c r="GA71" i="4"/>
  <c r="GB71" i="4"/>
  <c r="GC71" i="4"/>
  <c r="GD71" i="4"/>
  <c r="GE71" i="4"/>
  <c r="GF71" i="4"/>
  <c r="GG71" i="4"/>
  <c r="GH71" i="4"/>
  <c r="GI71" i="4"/>
  <c r="GJ71" i="4"/>
  <c r="GK71" i="4"/>
  <c r="GL71" i="4"/>
  <c r="GM71" i="4"/>
  <c r="GN71" i="4"/>
  <c r="GO71" i="4"/>
  <c r="GP71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I71" i="4"/>
  <c r="HJ71" i="4"/>
  <c r="HK71" i="4"/>
  <c r="HL71" i="4"/>
  <c r="HM71" i="4"/>
  <c r="HN71" i="4"/>
  <c r="HO71" i="4"/>
  <c r="HP71" i="4"/>
  <c r="HQ71" i="4"/>
  <c r="HR71" i="4"/>
  <c r="HS71" i="4"/>
  <c r="HT71" i="4"/>
  <c r="HU71" i="4"/>
  <c r="HV71" i="4"/>
  <c r="HW71" i="4"/>
  <c r="HX71" i="4"/>
  <c r="HY71" i="4"/>
  <c r="HZ71" i="4"/>
  <c r="IA71" i="4"/>
  <c r="IB71" i="4"/>
  <c r="IC71" i="4"/>
  <c r="ID71" i="4"/>
  <c r="IE71" i="4"/>
  <c r="IF71" i="4"/>
  <c r="IG71" i="4"/>
  <c r="IH71" i="4"/>
  <c r="II71" i="4"/>
  <c r="IJ71" i="4"/>
  <c r="IK71" i="4"/>
  <c r="IL71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EQ70" i="4"/>
  <c r="ER70" i="4"/>
  <c r="ES70" i="4"/>
  <c r="ET70" i="4"/>
  <c r="EU70" i="4"/>
  <c r="EV70" i="4"/>
  <c r="EW70" i="4"/>
  <c r="EX70" i="4"/>
  <c r="EY70" i="4"/>
  <c r="EZ70" i="4"/>
  <c r="FA70" i="4"/>
  <c r="FB70" i="4"/>
  <c r="FC70" i="4"/>
  <c r="FD70" i="4"/>
  <c r="FE70" i="4"/>
  <c r="FF70" i="4"/>
  <c r="FG70" i="4"/>
  <c r="FH70" i="4"/>
  <c r="FI70" i="4"/>
  <c r="FJ70" i="4"/>
  <c r="FK70" i="4"/>
  <c r="FL70" i="4"/>
  <c r="FM70" i="4"/>
  <c r="FN70" i="4"/>
  <c r="FO70" i="4"/>
  <c r="FP70" i="4"/>
  <c r="FQ70" i="4"/>
  <c r="FR70" i="4"/>
  <c r="FS70" i="4"/>
  <c r="FT70" i="4"/>
  <c r="FU70" i="4"/>
  <c r="FV70" i="4"/>
  <c r="FW70" i="4"/>
  <c r="FX70" i="4"/>
  <c r="FY70" i="4"/>
  <c r="FZ70" i="4"/>
  <c r="GA70" i="4"/>
  <c r="GB70" i="4"/>
  <c r="GC70" i="4"/>
  <c r="GD70" i="4"/>
  <c r="GE70" i="4"/>
  <c r="GF70" i="4"/>
  <c r="GG70" i="4"/>
  <c r="GH70" i="4"/>
  <c r="GI70" i="4"/>
  <c r="GJ70" i="4"/>
  <c r="GK70" i="4"/>
  <c r="GL70" i="4"/>
  <c r="GM70" i="4"/>
  <c r="GN70" i="4"/>
  <c r="GO70" i="4"/>
  <c r="GP70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I70" i="4"/>
  <c r="HJ70" i="4"/>
  <c r="HK70" i="4"/>
  <c r="HL70" i="4"/>
  <c r="HM70" i="4"/>
  <c r="HN70" i="4"/>
  <c r="HO70" i="4"/>
  <c r="HP70" i="4"/>
  <c r="HQ70" i="4"/>
  <c r="HR70" i="4"/>
  <c r="HS70" i="4"/>
  <c r="HT70" i="4"/>
  <c r="HU70" i="4"/>
  <c r="HV70" i="4"/>
  <c r="HW70" i="4"/>
  <c r="HX70" i="4"/>
  <c r="HY70" i="4"/>
  <c r="HZ70" i="4"/>
  <c r="IA70" i="4"/>
  <c r="IB70" i="4"/>
  <c r="IC70" i="4"/>
  <c r="ID70" i="4"/>
  <c r="IE70" i="4"/>
  <c r="IF70" i="4"/>
  <c r="IG70" i="4"/>
  <c r="IH70" i="4"/>
  <c r="II70" i="4"/>
  <c r="IJ70" i="4"/>
  <c r="IK70" i="4"/>
  <c r="IL70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EQ69" i="4"/>
  <c r="ER69" i="4"/>
  <c r="ES69" i="4"/>
  <c r="ET69" i="4"/>
  <c r="EU69" i="4"/>
  <c r="EV69" i="4"/>
  <c r="EW69" i="4"/>
  <c r="EX69" i="4"/>
  <c r="EY69" i="4"/>
  <c r="EZ69" i="4"/>
  <c r="FA69" i="4"/>
  <c r="FB69" i="4"/>
  <c r="FC69" i="4"/>
  <c r="FD69" i="4"/>
  <c r="FE69" i="4"/>
  <c r="FF69" i="4"/>
  <c r="FG69" i="4"/>
  <c r="FH69" i="4"/>
  <c r="FI69" i="4"/>
  <c r="FJ69" i="4"/>
  <c r="FK69" i="4"/>
  <c r="FL69" i="4"/>
  <c r="FM69" i="4"/>
  <c r="FN69" i="4"/>
  <c r="FO69" i="4"/>
  <c r="FP69" i="4"/>
  <c r="FQ69" i="4"/>
  <c r="FR69" i="4"/>
  <c r="FS69" i="4"/>
  <c r="FT69" i="4"/>
  <c r="FU69" i="4"/>
  <c r="FV69" i="4"/>
  <c r="FW69" i="4"/>
  <c r="FX69" i="4"/>
  <c r="FY69" i="4"/>
  <c r="FZ69" i="4"/>
  <c r="GA69" i="4"/>
  <c r="GB69" i="4"/>
  <c r="GC69" i="4"/>
  <c r="GD69" i="4"/>
  <c r="GE69" i="4"/>
  <c r="GF69" i="4"/>
  <c r="GG69" i="4"/>
  <c r="GH69" i="4"/>
  <c r="GI69" i="4"/>
  <c r="GJ69" i="4"/>
  <c r="GK69" i="4"/>
  <c r="GL69" i="4"/>
  <c r="GM69" i="4"/>
  <c r="GN69" i="4"/>
  <c r="GO69" i="4"/>
  <c r="GP69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I69" i="4"/>
  <c r="HJ69" i="4"/>
  <c r="HK69" i="4"/>
  <c r="HL69" i="4"/>
  <c r="HM69" i="4"/>
  <c r="HN69" i="4"/>
  <c r="HO69" i="4"/>
  <c r="HP69" i="4"/>
  <c r="HQ69" i="4"/>
  <c r="HR69" i="4"/>
  <c r="HS69" i="4"/>
  <c r="HT69" i="4"/>
  <c r="HU69" i="4"/>
  <c r="HV69" i="4"/>
  <c r="HW69" i="4"/>
  <c r="HX69" i="4"/>
  <c r="HY69" i="4"/>
  <c r="HZ69" i="4"/>
  <c r="IA69" i="4"/>
  <c r="IB69" i="4"/>
  <c r="IC69" i="4"/>
  <c r="ID69" i="4"/>
  <c r="IE69" i="4"/>
  <c r="IF69" i="4"/>
  <c r="IG69" i="4"/>
  <c r="IH69" i="4"/>
  <c r="II69" i="4"/>
  <c r="IJ69" i="4"/>
  <c r="IK69" i="4"/>
  <c r="IL69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EQ68" i="4"/>
  <c r="ER68" i="4"/>
  <c r="ES68" i="4"/>
  <c r="ET68" i="4"/>
  <c r="EU68" i="4"/>
  <c r="EV68" i="4"/>
  <c r="EW68" i="4"/>
  <c r="EX68" i="4"/>
  <c r="EY68" i="4"/>
  <c r="EZ68" i="4"/>
  <c r="FA68" i="4"/>
  <c r="FB68" i="4"/>
  <c r="FC68" i="4"/>
  <c r="FD68" i="4"/>
  <c r="FE68" i="4"/>
  <c r="FF68" i="4"/>
  <c r="FG68" i="4"/>
  <c r="FH68" i="4"/>
  <c r="FI68" i="4"/>
  <c r="FJ68" i="4"/>
  <c r="FK68" i="4"/>
  <c r="FL68" i="4"/>
  <c r="FM68" i="4"/>
  <c r="FN68" i="4"/>
  <c r="FO68" i="4"/>
  <c r="FP68" i="4"/>
  <c r="FQ68" i="4"/>
  <c r="FR68" i="4"/>
  <c r="FS68" i="4"/>
  <c r="FT68" i="4"/>
  <c r="FU68" i="4"/>
  <c r="FV68" i="4"/>
  <c r="FW68" i="4"/>
  <c r="FX68" i="4"/>
  <c r="FY68" i="4"/>
  <c r="FZ68" i="4"/>
  <c r="GA68" i="4"/>
  <c r="GB68" i="4"/>
  <c r="GC68" i="4"/>
  <c r="GD68" i="4"/>
  <c r="GE68" i="4"/>
  <c r="GF68" i="4"/>
  <c r="GG68" i="4"/>
  <c r="GH68" i="4"/>
  <c r="GI68" i="4"/>
  <c r="GJ68" i="4"/>
  <c r="GK68" i="4"/>
  <c r="GL68" i="4"/>
  <c r="GM68" i="4"/>
  <c r="GN68" i="4"/>
  <c r="GO68" i="4"/>
  <c r="GP68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I68" i="4"/>
  <c r="HJ68" i="4"/>
  <c r="HK68" i="4"/>
  <c r="HL68" i="4"/>
  <c r="HM68" i="4"/>
  <c r="HN68" i="4"/>
  <c r="HO68" i="4"/>
  <c r="HP68" i="4"/>
  <c r="HQ68" i="4"/>
  <c r="HR68" i="4"/>
  <c r="HS68" i="4"/>
  <c r="HT68" i="4"/>
  <c r="HU68" i="4"/>
  <c r="HV68" i="4"/>
  <c r="HW68" i="4"/>
  <c r="HX68" i="4"/>
  <c r="HY68" i="4"/>
  <c r="HZ68" i="4"/>
  <c r="IA68" i="4"/>
  <c r="IB68" i="4"/>
  <c r="IC68" i="4"/>
  <c r="ID68" i="4"/>
  <c r="IE68" i="4"/>
  <c r="IF68" i="4"/>
  <c r="IG68" i="4"/>
  <c r="IH68" i="4"/>
  <c r="II68" i="4"/>
  <c r="IJ68" i="4"/>
  <c r="IK68" i="4"/>
  <c r="IL68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EQ67" i="4"/>
  <c r="ER67" i="4"/>
  <c r="ES67" i="4"/>
  <c r="ET67" i="4"/>
  <c r="EU67" i="4"/>
  <c r="EV67" i="4"/>
  <c r="EW67" i="4"/>
  <c r="EX67" i="4"/>
  <c r="EY67" i="4"/>
  <c r="EZ67" i="4"/>
  <c r="FA67" i="4"/>
  <c r="FB67" i="4"/>
  <c r="FC67" i="4"/>
  <c r="FD67" i="4"/>
  <c r="FE67" i="4"/>
  <c r="FF67" i="4"/>
  <c r="FG67" i="4"/>
  <c r="FH67" i="4"/>
  <c r="FI67" i="4"/>
  <c r="FJ67" i="4"/>
  <c r="FK67" i="4"/>
  <c r="FL67" i="4"/>
  <c r="FM67" i="4"/>
  <c r="FN67" i="4"/>
  <c r="FO67" i="4"/>
  <c r="FP67" i="4"/>
  <c r="FQ67" i="4"/>
  <c r="FR67" i="4"/>
  <c r="FS67" i="4"/>
  <c r="FT67" i="4"/>
  <c r="FU67" i="4"/>
  <c r="FV67" i="4"/>
  <c r="FW67" i="4"/>
  <c r="FX67" i="4"/>
  <c r="FY67" i="4"/>
  <c r="FZ67" i="4"/>
  <c r="GA67" i="4"/>
  <c r="GB67" i="4"/>
  <c r="GC67" i="4"/>
  <c r="GD67" i="4"/>
  <c r="GE67" i="4"/>
  <c r="GF67" i="4"/>
  <c r="GG67" i="4"/>
  <c r="GH67" i="4"/>
  <c r="GI67" i="4"/>
  <c r="GJ67" i="4"/>
  <c r="GK67" i="4"/>
  <c r="GL67" i="4"/>
  <c r="GM67" i="4"/>
  <c r="GN67" i="4"/>
  <c r="GO67" i="4"/>
  <c r="GP67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I67" i="4"/>
  <c r="HJ67" i="4"/>
  <c r="HK67" i="4"/>
  <c r="HL67" i="4"/>
  <c r="HM67" i="4"/>
  <c r="HN67" i="4"/>
  <c r="HO67" i="4"/>
  <c r="HP67" i="4"/>
  <c r="HQ67" i="4"/>
  <c r="HR67" i="4"/>
  <c r="HS67" i="4"/>
  <c r="HT67" i="4"/>
  <c r="HU67" i="4"/>
  <c r="HV67" i="4"/>
  <c r="HW67" i="4"/>
  <c r="HX67" i="4"/>
  <c r="HY67" i="4"/>
  <c r="HZ67" i="4"/>
  <c r="IA67" i="4"/>
  <c r="IB67" i="4"/>
  <c r="IC67" i="4"/>
  <c r="ID67" i="4"/>
  <c r="IE67" i="4"/>
  <c r="IF67" i="4"/>
  <c r="IG67" i="4"/>
  <c r="IH67" i="4"/>
  <c r="II67" i="4"/>
  <c r="IJ67" i="4"/>
  <c r="IK67" i="4"/>
  <c r="IL67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EQ66" i="4"/>
  <c r="ER66" i="4"/>
  <c r="ES66" i="4"/>
  <c r="ET66" i="4"/>
  <c r="EU66" i="4"/>
  <c r="EV66" i="4"/>
  <c r="EW66" i="4"/>
  <c r="EX66" i="4"/>
  <c r="EY66" i="4"/>
  <c r="EZ66" i="4"/>
  <c r="FA66" i="4"/>
  <c r="FB66" i="4"/>
  <c r="FC66" i="4"/>
  <c r="FD66" i="4"/>
  <c r="FE66" i="4"/>
  <c r="FF66" i="4"/>
  <c r="FG66" i="4"/>
  <c r="FH66" i="4"/>
  <c r="FI66" i="4"/>
  <c r="FJ66" i="4"/>
  <c r="FK66" i="4"/>
  <c r="FL66" i="4"/>
  <c r="FM66" i="4"/>
  <c r="FN66" i="4"/>
  <c r="FO66" i="4"/>
  <c r="FP66" i="4"/>
  <c r="FQ66" i="4"/>
  <c r="FR66" i="4"/>
  <c r="FS66" i="4"/>
  <c r="FT66" i="4"/>
  <c r="FU66" i="4"/>
  <c r="FV66" i="4"/>
  <c r="FW66" i="4"/>
  <c r="FX66" i="4"/>
  <c r="FY66" i="4"/>
  <c r="FZ66" i="4"/>
  <c r="GA66" i="4"/>
  <c r="GB66" i="4"/>
  <c r="GC66" i="4"/>
  <c r="GD66" i="4"/>
  <c r="GE66" i="4"/>
  <c r="GF66" i="4"/>
  <c r="GG66" i="4"/>
  <c r="GH66" i="4"/>
  <c r="GI66" i="4"/>
  <c r="GJ66" i="4"/>
  <c r="GK66" i="4"/>
  <c r="GL66" i="4"/>
  <c r="GM66" i="4"/>
  <c r="GN66" i="4"/>
  <c r="GO66" i="4"/>
  <c r="GP66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I66" i="4"/>
  <c r="HJ66" i="4"/>
  <c r="HK66" i="4"/>
  <c r="HL66" i="4"/>
  <c r="HM66" i="4"/>
  <c r="HN66" i="4"/>
  <c r="HO66" i="4"/>
  <c r="HP66" i="4"/>
  <c r="HQ66" i="4"/>
  <c r="HR66" i="4"/>
  <c r="HS66" i="4"/>
  <c r="HT66" i="4"/>
  <c r="HU66" i="4"/>
  <c r="HV66" i="4"/>
  <c r="HW66" i="4"/>
  <c r="HX66" i="4"/>
  <c r="HY66" i="4"/>
  <c r="HZ66" i="4"/>
  <c r="IA66" i="4"/>
  <c r="IB66" i="4"/>
  <c r="IC66" i="4"/>
  <c r="ID66" i="4"/>
  <c r="IE66" i="4"/>
  <c r="IF66" i="4"/>
  <c r="IG66" i="4"/>
  <c r="IH66" i="4"/>
  <c r="II66" i="4"/>
  <c r="IJ66" i="4"/>
  <c r="IK66" i="4"/>
  <c r="IL66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EQ65" i="4"/>
  <c r="ER65" i="4"/>
  <c r="ES65" i="4"/>
  <c r="ET65" i="4"/>
  <c r="EU65" i="4"/>
  <c r="EV65" i="4"/>
  <c r="EW65" i="4"/>
  <c r="EX65" i="4"/>
  <c r="EY65" i="4"/>
  <c r="EZ65" i="4"/>
  <c r="FA65" i="4"/>
  <c r="FB65" i="4"/>
  <c r="FC65" i="4"/>
  <c r="FD65" i="4"/>
  <c r="FE65" i="4"/>
  <c r="FF65" i="4"/>
  <c r="FG65" i="4"/>
  <c r="FH65" i="4"/>
  <c r="FI65" i="4"/>
  <c r="FJ65" i="4"/>
  <c r="FK65" i="4"/>
  <c r="FL65" i="4"/>
  <c r="FM65" i="4"/>
  <c r="FN65" i="4"/>
  <c r="FO65" i="4"/>
  <c r="FP65" i="4"/>
  <c r="FQ65" i="4"/>
  <c r="FR65" i="4"/>
  <c r="FS65" i="4"/>
  <c r="FT65" i="4"/>
  <c r="FU65" i="4"/>
  <c r="FV65" i="4"/>
  <c r="FW65" i="4"/>
  <c r="FX65" i="4"/>
  <c r="FY65" i="4"/>
  <c r="FZ65" i="4"/>
  <c r="GA65" i="4"/>
  <c r="GB65" i="4"/>
  <c r="GC65" i="4"/>
  <c r="GD65" i="4"/>
  <c r="GE65" i="4"/>
  <c r="GF65" i="4"/>
  <c r="GG65" i="4"/>
  <c r="GH65" i="4"/>
  <c r="GI65" i="4"/>
  <c r="GJ65" i="4"/>
  <c r="GK65" i="4"/>
  <c r="GL65" i="4"/>
  <c r="GM65" i="4"/>
  <c r="GN65" i="4"/>
  <c r="GO65" i="4"/>
  <c r="GP65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I65" i="4"/>
  <c r="HJ65" i="4"/>
  <c r="HK65" i="4"/>
  <c r="HL65" i="4"/>
  <c r="HM65" i="4"/>
  <c r="HN65" i="4"/>
  <c r="HO65" i="4"/>
  <c r="HP65" i="4"/>
  <c r="HQ65" i="4"/>
  <c r="HR65" i="4"/>
  <c r="HS65" i="4"/>
  <c r="HT65" i="4"/>
  <c r="HU65" i="4"/>
  <c r="HV65" i="4"/>
  <c r="HW65" i="4"/>
  <c r="HX65" i="4"/>
  <c r="HY65" i="4"/>
  <c r="HZ65" i="4"/>
  <c r="IA65" i="4"/>
  <c r="IB65" i="4"/>
  <c r="IC65" i="4"/>
  <c r="ID65" i="4"/>
  <c r="IE65" i="4"/>
  <c r="IF65" i="4"/>
  <c r="IG65" i="4"/>
  <c r="IH65" i="4"/>
  <c r="II65" i="4"/>
  <c r="IJ65" i="4"/>
  <c r="IK65" i="4"/>
  <c r="IL65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EQ64" i="4"/>
  <c r="ER64" i="4"/>
  <c r="ES64" i="4"/>
  <c r="ET64" i="4"/>
  <c r="EU64" i="4"/>
  <c r="EV64" i="4"/>
  <c r="EW64" i="4"/>
  <c r="EX64" i="4"/>
  <c r="EY64" i="4"/>
  <c r="EZ64" i="4"/>
  <c r="FA64" i="4"/>
  <c r="FB64" i="4"/>
  <c r="FC64" i="4"/>
  <c r="FD64" i="4"/>
  <c r="FE64" i="4"/>
  <c r="FF64" i="4"/>
  <c r="FG64" i="4"/>
  <c r="FH64" i="4"/>
  <c r="FI64" i="4"/>
  <c r="FJ64" i="4"/>
  <c r="FK64" i="4"/>
  <c r="FL64" i="4"/>
  <c r="FM64" i="4"/>
  <c r="FN64" i="4"/>
  <c r="FO64" i="4"/>
  <c r="FP64" i="4"/>
  <c r="FQ64" i="4"/>
  <c r="FR64" i="4"/>
  <c r="FS64" i="4"/>
  <c r="FT64" i="4"/>
  <c r="FU64" i="4"/>
  <c r="FV64" i="4"/>
  <c r="FW64" i="4"/>
  <c r="FX64" i="4"/>
  <c r="FY64" i="4"/>
  <c r="FZ64" i="4"/>
  <c r="GA64" i="4"/>
  <c r="GB64" i="4"/>
  <c r="GC64" i="4"/>
  <c r="GD64" i="4"/>
  <c r="GE64" i="4"/>
  <c r="GF64" i="4"/>
  <c r="GG64" i="4"/>
  <c r="GH64" i="4"/>
  <c r="GI64" i="4"/>
  <c r="GJ64" i="4"/>
  <c r="GK64" i="4"/>
  <c r="GL64" i="4"/>
  <c r="GM64" i="4"/>
  <c r="GN64" i="4"/>
  <c r="GO64" i="4"/>
  <c r="GP64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I64" i="4"/>
  <c r="HJ64" i="4"/>
  <c r="HK64" i="4"/>
  <c r="HL64" i="4"/>
  <c r="HM64" i="4"/>
  <c r="HN64" i="4"/>
  <c r="HO64" i="4"/>
  <c r="HP64" i="4"/>
  <c r="HQ64" i="4"/>
  <c r="HR64" i="4"/>
  <c r="HS64" i="4"/>
  <c r="HT64" i="4"/>
  <c r="HU64" i="4"/>
  <c r="HV64" i="4"/>
  <c r="HW64" i="4"/>
  <c r="HX64" i="4"/>
  <c r="HY64" i="4"/>
  <c r="HZ64" i="4"/>
  <c r="IA64" i="4"/>
  <c r="IB64" i="4"/>
  <c r="IC64" i="4"/>
  <c r="ID64" i="4"/>
  <c r="IE64" i="4"/>
  <c r="IF64" i="4"/>
  <c r="IG64" i="4"/>
  <c r="IH64" i="4"/>
  <c r="II64" i="4"/>
  <c r="IJ64" i="4"/>
  <c r="IK64" i="4"/>
  <c r="IL64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EQ63" i="4"/>
  <c r="ER63" i="4"/>
  <c r="ES63" i="4"/>
  <c r="ET63" i="4"/>
  <c r="EU63" i="4"/>
  <c r="EV63" i="4"/>
  <c r="EW63" i="4"/>
  <c r="EX63" i="4"/>
  <c r="EY63" i="4"/>
  <c r="EZ63" i="4"/>
  <c r="FA63" i="4"/>
  <c r="FB63" i="4"/>
  <c r="FC63" i="4"/>
  <c r="FD63" i="4"/>
  <c r="FE63" i="4"/>
  <c r="FF63" i="4"/>
  <c r="FG63" i="4"/>
  <c r="FH63" i="4"/>
  <c r="FI63" i="4"/>
  <c r="FJ63" i="4"/>
  <c r="FK63" i="4"/>
  <c r="FL63" i="4"/>
  <c r="FM63" i="4"/>
  <c r="FN63" i="4"/>
  <c r="FO63" i="4"/>
  <c r="FP63" i="4"/>
  <c r="FQ63" i="4"/>
  <c r="FR63" i="4"/>
  <c r="FS63" i="4"/>
  <c r="FT63" i="4"/>
  <c r="FU63" i="4"/>
  <c r="FV63" i="4"/>
  <c r="FW63" i="4"/>
  <c r="FX63" i="4"/>
  <c r="FY63" i="4"/>
  <c r="FZ63" i="4"/>
  <c r="GA63" i="4"/>
  <c r="GB63" i="4"/>
  <c r="GC63" i="4"/>
  <c r="GD63" i="4"/>
  <c r="GE63" i="4"/>
  <c r="GF63" i="4"/>
  <c r="GG63" i="4"/>
  <c r="GH63" i="4"/>
  <c r="GI63" i="4"/>
  <c r="GJ63" i="4"/>
  <c r="GK63" i="4"/>
  <c r="GL63" i="4"/>
  <c r="GM63" i="4"/>
  <c r="GN63" i="4"/>
  <c r="GO63" i="4"/>
  <c r="GP63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I63" i="4"/>
  <c r="HJ63" i="4"/>
  <c r="HK63" i="4"/>
  <c r="HL63" i="4"/>
  <c r="HM63" i="4"/>
  <c r="HN63" i="4"/>
  <c r="HO63" i="4"/>
  <c r="HP63" i="4"/>
  <c r="HQ63" i="4"/>
  <c r="HR63" i="4"/>
  <c r="HS63" i="4"/>
  <c r="HT63" i="4"/>
  <c r="HU63" i="4"/>
  <c r="HV63" i="4"/>
  <c r="HW63" i="4"/>
  <c r="HX63" i="4"/>
  <c r="HY63" i="4"/>
  <c r="HZ63" i="4"/>
  <c r="IA63" i="4"/>
  <c r="IB63" i="4"/>
  <c r="IC63" i="4"/>
  <c r="ID63" i="4"/>
  <c r="IE63" i="4"/>
  <c r="IF63" i="4"/>
  <c r="IG63" i="4"/>
  <c r="IH63" i="4"/>
  <c r="II63" i="4"/>
  <c r="IJ63" i="4"/>
  <c r="IK63" i="4"/>
  <c r="IL63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EP62" i="4"/>
  <c r="EQ62" i="4"/>
  <c r="ER62" i="4"/>
  <c r="ES62" i="4"/>
  <c r="ET62" i="4"/>
  <c r="EU62" i="4"/>
  <c r="EV62" i="4"/>
  <c r="EW62" i="4"/>
  <c r="EX62" i="4"/>
  <c r="EY62" i="4"/>
  <c r="EZ62" i="4"/>
  <c r="FA62" i="4"/>
  <c r="FB62" i="4"/>
  <c r="FC62" i="4"/>
  <c r="FD62" i="4"/>
  <c r="FE62" i="4"/>
  <c r="FF62" i="4"/>
  <c r="FG62" i="4"/>
  <c r="FH62" i="4"/>
  <c r="FI62" i="4"/>
  <c r="FJ62" i="4"/>
  <c r="FK62" i="4"/>
  <c r="FL62" i="4"/>
  <c r="FM62" i="4"/>
  <c r="FN62" i="4"/>
  <c r="FO62" i="4"/>
  <c r="FP62" i="4"/>
  <c r="FQ62" i="4"/>
  <c r="FR62" i="4"/>
  <c r="FS62" i="4"/>
  <c r="FT62" i="4"/>
  <c r="FU62" i="4"/>
  <c r="FV62" i="4"/>
  <c r="FW62" i="4"/>
  <c r="FX62" i="4"/>
  <c r="FY62" i="4"/>
  <c r="FZ62" i="4"/>
  <c r="GA62" i="4"/>
  <c r="GB62" i="4"/>
  <c r="GC62" i="4"/>
  <c r="GD62" i="4"/>
  <c r="GE62" i="4"/>
  <c r="GF62" i="4"/>
  <c r="GG62" i="4"/>
  <c r="GH62" i="4"/>
  <c r="GI62" i="4"/>
  <c r="GJ62" i="4"/>
  <c r="GK62" i="4"/>
  <c r="GL62" i="4"/>
  <c r="GM62" i="4"/>
  <c r="GN62" i="4"/>
  <c r="GO62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HH62" i="4"/>
  <c r="HI62" i="4"/>
  <c r="HJ62" i="4"/>
  <c r="HK62" i="4"/>
  <c r="HL62" i="4"/>
  <c r="HM62" i="4"/>
  <c r="HN62" i="4"/>
  <c r="HO62" i="4"/>
  <c r="HP62" i="4"/>
  <c r="HQ62" i="4"/>
  <c r="HR62" i="4"/>
  <c r="HS62" i="4"/>
  <c r="HT62" i="4"/>
  <c r="HU62" i="4"/>
  <c r="HV62" i="4"/>
  <c r="HW62" i="4"/>
  <c r="HX62" i="4"/>
  <c r="HY62" i="4"/>
  <c r="HZ62" i="4"/>
  <c r="IA62" i="4"/>
  <c r="IB62" i="4"/>
  <c r="IC62" i="4"/>
  <c r="ID62" i="4"/>
  <c r="IE62" i="4"/>
  <c r="IF62" i="4"/>
  <c r="IG62" i="4"/>
  <c r="IH62" i="4"/>
  <c r="II62" i="4"/>
  <c r="IJ62" i="4"/>
  <c r="IK62" i="4"/>
  <c r="IL62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EP61" i="4"/>
  <c r="EQ61" i="4"/>
  <c r="ER61" i="4"/>
  <c r="ES61" i="4"/>
  <c r="ET61" i="4"/>
  <c r="EU61" i="4"/>
  <c r="EV61" i="4"/>
  <c r="EW61" i="4"/>
  <c r="EX61" i="4"/>
  <c r="EY61" i="4"/>
  <c r="EZ61" i="4"/>
  <c r="FA61" i="4"/>
  <c r="FB61" i="4"/>
  <c r="FC61" i="4"/>
  <c r="FD61" i="4"/>
  <c r="FE61" i="4"/>
  <c r="FF61" i="4"/>
  <c r="FG61" i="4"/>
  <c r="FH61" i="4"/>
  <c r="FI61" i="4"/>
  <c r="FJ61" i="4"/>
  <c r="FK61" i="4"/>
  <c r="FL61" i="4"/>
  <c r="FM61" i="4"/>
  <c r="FN61" i="4"/>
  <c r="FO61" i="4"/>
  <c r="FP61" i="4"/>
  <c r="FQ61" i="4"/>
  <c r="FR61" i="4"/>
  <c r="FS61" i="4"/>
  <c r="FT61" i="4"/>
  <c r="FU61" i="4"/>
  <c r="FV61" i="4"/>
  <c r="FW61" i="4"/>
  <c r="FX61" i="4"/>
  <c r="FY61" i="4"/>
  <c r="FZ61" i="4"/>
  <c r="GA61" i="4"/>
  <c r="GB61" i="4"/>
  <c r="GC61" i="4"/>
  <c r="GD61" i="4"/>
  <c r="GE61" i="4"/>
  <c r="GF61" i="4"/>
  <c r="GG61" i="4"/>
  <c r="GH61" i="4"/>
  <c r="GI61" i="4"/>
  <c r="GJ61" i="4"/>
  <c r="GK61" i="4"/>
  <c r="GL61" i="4"/>
  <c r="GM61" i="4"/>
  <c r="GN61" i="4"/>
  <c r="GO61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HH61" i="4"/>
  <c r="HI61" i="4"/>
  <c r="HJ61" i="4"/>
  <c r="HK61" i="4"/>
  <c r="HL61" i="4"/>
  <c r="HM61" i="4"/>
  <c r="HN61" i="4"/>
  <c r="HO61" i="4"/>
  <c r="HP61" i="4"/>
  <c r="HQ61" i="4"/>
  <c r="HR61" i="4"/>
  <c r="HS61" i="4"/>
  <c r="HT61" i="4"/>
  <c r="HU61" i="4"/>
  <c r="HV61" i="4"/>
  <c r="HW61" i="4"/>
  <c r="HX61" i="4"/>
  <c r="HY61" i="4"/>
  <c r="HZ61" i="4"/>
  <c r="IA61" i="4"/>
  <c r="IB61" i="4"/>
  <c r="IC61" i="4"/>
  <c r="ID61" i="4"/>
  <c r="IE61" i="4"/>
  <c r="IF61" i="4"/>
  <c r="IG61" i="4"/>
  <c r="IH61" i="4"/>
  <c r="II61" i="4"/>
  <c r="IJ61" i="4"/>
  <c r="IK61" i="4"/>
  <c r="IL61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EQ60" i="4"/>
  <c r="ER60" i="4"/>
  <c r="ES60" i="4"/>
  <c r="ET60" i="4"/>
  <c r="EU60" i="4"/>
  <c r="EV60" i="4"/>
  <c r="EW60" i="4"/>
  <c r="EX60" i="4"/>
  <c r="EY60" i="4"/>
  <c r="EZ60" i="4"/>
  <c r="FA60" i="4"/>
  <c r="FB60" i="4"/>
  <c r="FC60" i="4"/>
  <c r="FD60" i="4"/>
  <c r="FE60" i="4"/>
  <c r="FF60" i="4"/>
  <c r="FG60" i="4"/>
  <c r="FH60" i="4"/>
  <c r="FI60" i="4"/>
  <c r="FJ60" i="4"/>
  <c r="FK60" i="4"/>
  <c r="FL60" i="4"/>
  <c r="FM60" i="4"/>
  <c r="FN60" i="4"/>
  <c r="FO60" i="4"/>
  <c r="FP60" i="4"/>
  <c r="FQ60" i="4"/>
  <c r="FR60" i="4"/>
  <c r="FS60" i="4"/>
  <c r="FT60" i="4"/>
  <c r="FU60" i="4"/>
  <c r="FV60" i="4"/>
  <c r="FW60" i="4"/>
  <c r="FX60" i="4"/>
  <c r="FY60" i="4"/>
  <c r="FZ60" i="4"/>
  <c r="GA60" i="4"/>
  <c r="GB60" i="4"/>
  <c r="GC60" i="4"/>
  <c r="GD60" i="4"/>
  <c r="GE60" i="4"/>
  <c r="GF60" i="4"/>
  <c r="GG60" i="4"/>
  <c r="GH60" i="4"/>
  <c r="GI60" i="4"/>
  <c r="GJ60" i="4"/>
  <c r="GK60" i="4"/>
  <c r="GL60" i="4"/>
  <c r="GM60" i="4"/>
  <c r="GN60" i="4"/>
  <c r="GO60" i="4"/>
  <c r="GP60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I60" i="4"/>
  <c r="HJ60" i="4"/>
  <c r="HK60" i="4"/>
  <c r="HL60" i="4"/>
  <c r="HM60" i="4"/>
  <c r="HN60" i="4"/>
  <c r="HO60" i="4"/>
  <c r="HP60" i="4"/>
  <c r="HQ60" i="4"/>
  <c r="HR60" i="4"/>
  <c r="HS60" i="4"/>
  <c r="HT60" i="4"/>
  <c r="HU60" i="4"/>
  <c r="HV60" i="4"/>
  <c r="HW60" i="4"/>
  <c r="HX60" i="4"/>
  <c r="HY60" i="4"/>
  <c r="HZ60" i="4"/>
  <c r="IA60" i="4"/>
  <c r="IB60" i="4"/>
  <c r="IC60" i="4"/>
  <c r="ID60" i="4"/>
  <c r="IE60" i="4"/>
  <c r="IF60" i="4"/>
  <c r="IG60" i="4"/>
  <c r="IH60" i="4"/>
  <c r="II60" i="4"/>
  <c r="IJ60" i="4"/>
  <c r="IK60" i="4"/>
  <c r="IL60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EQ59" i="4"/>
  <c r="ER59" i="4"/>
  <c r="ES59" i="4"/>
  <c r="ET59" i="4"/>
  <c r="EU59" i="4"/>
  <c r="EV59" i="4"/>
  <c r="EW59" i="4"/>
  <c r="EX59" i="4"/>
  <c r="EY59" i="4"/>
  <c r="EZ59" i="4"/>
  <c r="FA59" i="4"/>
  <c r="FB59" i="4"/>
  <c r="FC59" i="4"/>
  <c r="FD59" i="4"/>
  <c r="FE59" i="4"/>
  <c r="FF59" i="4"/>
  <c r="FG59" i="4"/>
  <c r="FH59" i="4"/>
  <c r="FI59" i="4"/>
  <c r="FJ59" i="4"/>
  <c r="FK59" i="4"/>
  <c r="FL59" i="4"/>
  <c r="FM59" i="4"/>
  <c r="FN59" i="4"/>
  <c r="FO59" i="4"/>
  <c r="FP59" i="4"/>
  <c r="FQ59" i="4"/>
  <c r="FR59" i="4"/>
  <c r="FS59" i="4"/>
  <c r="FT59" i="4"/>
  <c r="FU59" i="4"/>
  <c r="FV59" i="4"/>
  <c r="FW59" i="4"/>
  <c r="FX59" i="4"/>
  <c r="FY59" i="4"/>
  <c r="FZ59" i="4"/>
  <c r="GA59" i="4"/>
  <c r="GB59" i="4"/>
  <c r="GC59" i="4"/>
  <c r="GD59" i="4"/>
  <c r="GE59" i="4"/>
  <c r="GF59" i="4"/>
  <c r="GG59" i="4"/>
  <c r="GH59" i="4"/>
  <c r="GI59" i="4"/>
  <c r="GJ59" i="4"/>
  <c r="GK59" i="4"/>
  <c r="GL59" i="4"/>
  <c r="GM59" i="4"/>
  <c r="GN59" i="4"/>
  <c r="GO59" i="4"/>
  <c r="GP59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I59" i="4"/>
  <c r="HJ59" i="4"/>
  <c r="HK59" i="4"/>
  <c r="HL59" i="4"/>
  <c r="HM59" i="4"/>
  <c r="HN59" i="4"/>
  <c r="HO59" i="4"/>
  <c r="HP59" i="4"/>
  <c r="HQ59" i="4"/>
  <c r="HR59" i="4"/>
  <c r="HS59" i="4"/>
  <c r="HT59" i="4"/>
  <c r="HU59" i="4"/>
  <c r="HV59" i="4"/>
  <c r="HW59" i="4"/>
  <c r="HX59" i="4"/>
  <c r="HY59" i="4"/>
  <c r="HZ59" i="4"/>
  <c r="IA59" i="4"/>
  <c r="IB59" i="4"/>
  <c r="IC59" i="4"/>
  <c r="ID59" i="4"/>
  <c r="IE59" i="4"/>
  <c r="IF59" i="4"/>
  <c r="IG59" i="4"/>
  <c r="IH59" i="4"/>
  <c r="II59" i="4"/>
  <c r="IJ59" i="4"/>
  <c r="IK59" i="4"/>
  <c r="IL59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EQ58" i="4"/>
  <c r="ER58" i="4"/>
  <c r="ES58" i="4"/>
  <c r="ET58" i="4"/>
  <c r="EU58" i="4"/>
  <c r="EV58" i="4"/>
  <c r="EW58" i="4"/>
  <c r="EX58" i="4"/>
  <c r="EY58" i="4"/>
  <c r="EZ58" i="4"/>
  <c r="FA58" i="4"/>
  <c r="FB58" i="4"/>
  <c r="FC58" i="4"/>
  <c r="FD58" i="4"/>
  <c r="FE58" i="4"/>
  <c r="FF58" i="4"/>
  <c r="FG58" i="4"/>
  <c r="FH58" i="4"/>
  <c r="FI58" i="4"/>
  <c r="FJ58" i="4"/>
  <c r="FK58" i="4"/>
  <c r="FL58" i="4"/>
  <c r="FM58" i="4"/>
  <c r="FN58" i="4"/>
  <c r="FO58" i="4"/>
  <c r="FP58" i="4"/>
  <c r="FQ58" i="4"/>
  <c r="FR58" i="4"/>
  <c r="FS58" i="4"/>
  <c r="FT58" i="4"/>
  <c r="FU58" i="4"/>
  <c r="FV58" i="4"/>
  <c r="FW58" i="4"/>
  <c r="FX58" i="4"/>
  <c r="FY58" i="4"/>
  <c r="FZ58" i="4"/>
  <c r="GA58" i="4"/>
  <c r="GB58" i="4"/>
  <c r="GC58" i="4"/>
  <c r="GD58" i="4"/>
  <c r="GE58" i="4"/>
  <c r="GF58" i="4"/>
  <c r="GG58" i="4"/>
  <c r="GH58" i="4"/>
  <c r="GI58" i="4"/>
  <c r="GJ58" i="4"/>
  <c r="GK58" i="4"/>
  <c r="GL58" i="4"/>
  <c r="GM58" i="4"/>
  <c r="GN58" i="4"/>
  <c r="GO58" i="4"/>
  <c r="GP58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I58" i="4"/>
  <c r="HJ58" i="4"/>
  <c r="HK58" i="4"/>
  <c r="HL58" i="4"/>
  <c r="HM58" i="4"/>
  <c r="HN58" i="4"/>
  <c r="HO58" i="4"/>
  <c r="HP58" i="4"/>
  <c r="HQ58" i="4"/>
  <c r="HR58" i="4"/>
  <c r="HS58" i="4"/>
  <c r="HT58" i="4"/>
  <c r="HU58" i="4"/>
  <c r="HV58" i="4"/>
  <c r="HW58" i="4"/>
  <c r="HX58" i="4"/>
  <c r="HY58" i="4"/>
  <c r="HZ58" i="4"/>
  <c r="IA58" i="4"/>
  <c r="IB58" i="4"/>
  <c r="IC58" i="4"/>
  <c r="ID58" i="4"/>
  <c r="IE58" i="4"/>
  <c r="IF58" i="4"/>
  <c r="IG58" i="4"/>
  <c r="IH58" i="4"/>
  <c r="II58" i="4"/>
  <c r="IJ58" i="4"/>
  <c r="IK58" i="4"/>
  <c r="IL58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EQ57" i="4"/>
  <c r="ER57" i="4"/>
  <c r="ES57" i="4"/>
  <c r="ET57" i="4"/>
  <c r="EU57" i="4"/>
  <c r="EV57" i="4"/>
  <c r="EW57" i="4"/>
  <c r="EX57" i="4"/>
  <c r="EY57" i="4"/>
  <c r="EZ57" i="4"/>
  <c r="FA57" i="4"/>
  <c r="FB57" i="4"/>
  <c r="FC57" i="4"/>
  <c r="FD57" i="4"/>
  <c r="FE57" i="4"/>
  <c r="FF57" i="4"/>
  <c r="FG57" i="4"/>
  <c r="FH57" i="4"/>
  <c r="FI57" i="4"/>
  <c r="FJ57" i="4"/>
  <c r="FK57" i="4"/>
  <c r="FL57" i="4"/>
  <c r="FM57" i="4"/>
  <c r="FN57" i="4"/>
  <c r="FO57" i="4"/>
  <c r="FP57" i="4"/>
  <c r="FQ57" i="4"/>
  <c r="FR57" i="4"/>
  <c r="FS57" i="4"/>
  <c r="FT57" i="4"/>
  <c r="FU57" i="4"/>
  <c r="FV57" i="4"/>
  <c r="FW57" i="4"/>
  <c r="FX57" i="4"/>
  <c r="FY57" i="4"/>
  <c r="FZ57" i="4"/>
  <c r="GA57" i="4"/>
  <c r="GB57" i="4"/>
  <c r="GC57" i="4"/>
  <c r="GD57" i="4"/>
  <c r="GE57" i="4"/>
  <c r="GF57" i="4"/>
  <c r="GG57" i="4"/>
  <c r="GH57" i="4"/>
  <c r="GI57" i="4"/>
  <c r="GJ57" i="4"/>
  <c r="GK57" i="4"/>
  <c r="GL57" i="4"/>
  <c r="GM57" i="4"/>
  <c r="GN57" i="4"/>
  <c r="GO57" i="4"/>
  <c r="GP57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I57" i="4"/>
  <c r="HJ57" i="4"/>
  <c r="HK57" i="4"/>
  <c r="HL57" i="4"/>
  <c r="HM57" i="4"/>
  <c r="HN57" i="4"/>
  <c r="HO57" i="4"/>
  <c r="HP57" i="4"/>
  <c r="HQ57" i="4"/>
  <c r="HR57" i="4"/>
  <c r="HS57" i="4"/>
  <c r="HT57" i="4"/>
  <c r="HU57" i="4"/>
  <c r="HV57" i="4"/>
  <c r="HW57" i="4"/>
  <c r="HX57" i="4"/>
  <c r="HY57" i="4"/>
  <c r="HZ57" i="4"/>
  <c r="IA57" i="4"/>
  <c r="IB57" i="4"/>
  <c r="IC57" i="4"/>
  <c r="ID57" i="4"/>
  <c r="IE57" i="4"/>
  <c r="IF57" i="4"/>
  <c r="IG57" i="4"/>
  <c r="IH57" i="4"/>
  <c r="II57" i="4"/>
  <c r="IJ57" i="4"/>
  <c r="IK57" i="4"/>
  <c r="IL57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EP56" i="4"/>
  <c r="EQ56" i="4"/>
  <c r="ER56" i="4"/>
  <c r="ES56" i="4"/>
  <c r="ET56" i="4"/>
  <c r="EU56" i="4"/>
  <c r="EV56" i="4"/>
  <c r="EW56" i="4"/>
  <c r="EX56" i="4"/>
  <c r="EY56" i="4"/>
  <c r="EZ56" i="4"/>
  <c r="FA56" i="4"/>
  <c r="FB56" i="4"/>
  <c r="FC56" i="4"/>
  <c r="FD56" i="4"/>
  <c r="FE56" i="4"/>
  <c r="FF56" i="4"/>
  <c r="FG56" i="4"/>
  <c r="FH56" i="4"/>
  <c r="FI56" i="4"/>
  <c r="FJ56" i="4"/>
  <c r="FK56" i="4"/>
  <c r="FL56" i="4"/>
  <c r="FM56" i="4"/>
  <c r="FN56" i="4"/>
  <c r="FO56" i="4"/>
  <c r="FP56" i="4"/>
  <c r="FQ56" i="4"/>
  <c r="FR56" i="4"/>
  <c r="FS56" i="4"/>
  <c r="FT56" i="4"/>
  <c r="FU56" i="4"/>
  <c r="FV56" i="4"/>
  <c r="FW56" i="4"/>
  <c r="FX56" i="4"/>
  <c r="FY56" i="4"/>
  <c r="FZ56" i="4"/>
  <c r="GA56" i="4"/>
  <c r="GB56" i="4"/>
  <c r="GC56" i="4"/>
  <c r="GD56" i="4"/>
  <c r="GE56" i="4"/>
  <c r="GF56" i="4"/>
  <c r="GG56" i="4"/>
  <c r="GH56" i="4"/>
  <c r="GI56" i="4"/>
  <c r="GJ56" i="4"/>
  <c r="GK56" i="4"/>
  <c r="GL56" i="4"/>
  <c r="GM56" i="4"/>
  <c r="GN56" i="4"/>
  <c r="GO56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HH56" i="4"/>
  <c r="HI56" i="4"/>
  <c r="HJ56" i="4"/>
  <c r="HK56" i="4"/>
  <c r="HL56" i="4"/>
  <c r="HM56" i="4"/>
  <c r="HN56" i="4"/>
  <c r="HO56" i="4"/>
  <c r="HP56" i="4"/>
  <c r="HQ56" i="4"/>
  <c r="HR56" i="4"/>
  <c r="HS56" i="4"/>
  <c r="HT56" i="4"/>
  <c r="HU56" i="4"/>
  <c r="HV56" i="4"/>
  <c r="HW56" i="4"/>
  <c r="HX56" i="4"/>
  <c r="HY56" i="4"/>
  <c r="HZ56" i="4"/>
  <c r="IA56" i="4"/>
  <c r="IB56" i="4"/>
  <c r="IC56" i="4"/>
  <c r="ID56" i="4"/>
  <c r="IE56" i="4"/>
  <c r="IF56" i="4"/>
  <c r="IG56" i="4"/>
  <c r="IH56" i="4"/>
  <c r="II56" i="4"/>
  <c r="IJ56" i="4"/>
  <c r="IK56" i="4"/>
  <c r="IL56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EP55" i="4"/>
  <c r="EQ55" i="4"/>
  <c r="ER55" i="4"/>
  <c r="ES55" i="4"/>
  <c r="ET55" i="4"/>
  <c r="EU55" i="4"/>
  <c r="EV55" i="4"/>
  <c r="EW55" i="4"/>
  <c r="EX55" i="4"/>
  <c r="EY55" i="4"/>
  <c r="EZ55" i="4"/>
  <c r="FA55" i="4"/>
  <c r="FB55" i="4"/>
  <c r="FC55" i="4"/>
  <c r="FD55" i="4"/>
  <c r="FE55" i="4"/>
  <c r="FF55" i="4"/>
  <c r="FG55" i="4"/>
  <c r="FH55" i="4"/>
  <c r="FI55" i="4"/>
  <c r="FJ55" i="4"/>
  <c r="FK55" i="4"/>
  <c r="FL55" i="4"/>
  <c r="FM55" i="4"/>
  <c r="FN55" i="4"/>
  <c r="FO55" i="4"/>
  <c r="FP55" i="4"/>
  <c r="FQ55" i="4"/>
  <c r="FR55" i="4"/>
  <c r="FS55" i="4"/>
  <c r="FT55" i="4"/>
  <c r="FU55" i="4"/>
  <c r="FV55" i="4"/>
  <c r="FW55" i="4"/>
  <c r="FX55" i="4"/>
  <c r="FY55" i="4"/>
  <c r="FZ55" i="4"/>
  <c r="GA55" i="4"/>
  <c r="GB55" i="4"/>
  <c r="GC55" i="4"/>
  <c r="GD55" i="4"/>
  <c r="GE55" i="4"/>
  <c r="GF55" i="4"/>
  <c r="GG55" i="4"/>
  <c r="GH55" i="4"/>
  <c r="GI55" i="4"/>
  <c r="GJ55" i="4"/>
  <c r="GK55" i="4"/>
  <c r="GL55" i="4"/>
  <c r="GM55" i="4"/>
  <c r="GN55" i="4"/>
  <c r="GO55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HH55" i="4"/>
  <c r="HI55" i="4"/>
  <c r="HJ55" i="4"/>
  <c r="HK55" i="4"/>
  <c r="HL55" i="4"/>
  <c r="HM55" i="4"/>
  <c r="HN55" i="4"/>
  <c r="HO55" i="4"/>
  <c r="HP55" i="4"/>
  <c r="HQ55" i="4"/>
  <c r="HR55" i="4"/>
  <c r="HS55" i="4"/>
  <c r="HT55" i="4"/>
  <c r="HU55" i="4"/>
  <c r="HV55" i="4"/>
  <c r="HW55" i="4"/>
  <c r="HX55" i="4"/>
  <c r="HY55" i="4"/>
  <c r="HZ55" i="4"/>
  <c r="IA55" i="4"/>
  <c r="IB55" i="4"/>
  <c r="IC55" i="4"/>
  <c r="ID55" i="4"/>
  <c r="IE55" i="4"/>
  <c r="IF55" i="4"/>
  <c r="IG55" i="4"/>
  <c r="IH55" i="4"/>
  <c r="II55" i="4"/>
  <c r="IJ55" i="4"/>
  <c r="IK55" i="4"/>
  <c r="IL55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EQ54" i="4"/>
  <c r="ER54" i="4"/>
  <c r="ES54" i="4"/>
  <c r="ET54" i="4"/>
  <c r="EU54" i="4"/>
  <c r="EV54" i="4"/>
  <c r="EW54" i="4"/>
  <c r="EX54" i="4"/>
  <c r="EY54" i="4"/>
  <c r="EZ54" i="4"/>
  <c r="FA54" i="4"/>
  <c r="FB54" i="4"/>
  <c r="FC54" i="4"/>
  <c r="FD54" i="4"/>
  <c r="FE54" i="4"/>
  <c r="FF54" i="4"/>
  <c r="FG54" i="4"/>
  <c r="FH54" i="4"/>
  <c r="FI54" i="4"/>
  <c r="FJ54" i="4"/>
  <c r="FK54" i="4"/>
  <c r="FL54" i="4"/>
  <c r="FM54" i="4"/>
  <c r="FN54" i="4"/>
  <c r="FO54" i="4"/>
  <c r="FP54" i="4"/>
  <c r="FQ54" i="4"/>
  <c r="FR54" i="4"/>
  <c r="FS54" i="4"/>
  <c r="FT54" i="4"/>
  <c r="FU54" i="4"/>
  <c r="FV54" i="4"/>
  <c r="FW54" i="4"/>
  <c r="FX54" i="4"/>
  <c r="FY54" i="4"/>
  <c r="FZ54" i="4"/>
  <c r="GA54" i="4"/>
  <c r="GB54" i="4"/>
  <c r="GC54" i="4"/>
  <c r="GD54" i="4"/>
  <c r="GE54" i="4"/>
  <c r="GF54" i="4"/>
  <c r="GG54" i="4"/>
  <c r="GH54" i="4"/>
  <c r="GI54" i="4"/>
  <c r="GJ54" i="4"/>
  <c r="GK54" i="4"/>
  <c r="GL54" i="4"/>
  <c r="GM54" i="4"/>
  <c r="GN54" i="4"/>
  <c r="GO54" i="4"/>
  <c r="GP54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I54" i="4"/>
  <c r="HJ54" i="4"/>
  <c r="HK54" i="4"/>
  <c r="HL54" i="4"/>
  <c r="HM54" i="4"/>
  <c r="HN54" i="4"/>
  <c r="HO54" i="4"/>
  <c r="HP54" i="4"/>
  <c r="HQ54" i="4"/>
  <c r="HR54" i="4"/>
  <c r="HS54" i="4"/>
  <c r="HT54" i="4"/>
  <c r="HU54" i="4"/>
  <c r="HV54" i="4"/>
  <c r="HW54" i="4"/>
  <c r="HX54" i="4"/>
  <c r="HY54" i="4"/>
  <c r="HZ54" i="4"/>
  <c r="IA54" i="4"/>
  <c r="IB54" i="4"/>
  <c r="IC54" i="4"/>
  <c r="ID54" i="4"/>
  <c r="IE54" i="4"/>
  <c r="IF54" i="4"/>
  <c r="IG54" i="4"/>
  <c r="IH54" i="4"/>
  <c r="II54" i="4"/>
  <c r="IJ54" i="4"/>
  <c r="IK54" i="4"/>
  <c r="IL54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EQ53" i="4"/>
  <c r="ER53" i="4"/>
  <c r="ES53" i="4"/>
  <c r="ET53" i="4"/>
  <c r="EU53" i="4"/>
  <c r="EV53" i="4"/>
  <c r="EW53" i="4"/>
  <c r="EX53" i="4"/>
  <c r="EY53" i="4"/>
  <c r="EZ53" i="4"/>
  <c r="FA53" i="4"/>
  <c r="FB53" i="4"/>
  <c r="FC53" i="4"/>
  <c r="FD53" i="4"/>
  <c r="FE53" i="4"/>
  <c r="FF53" i="4"/>
  <c r="FG53" i="4"/>
  <c r="FH53" i="4"/>
  <c r="FI53" i="4"/>
  <c r="FJ53" i="4"/>
  <c r="FK53" i="4"/>
  <c r="FL53" i="4"/>
  <c r="FM53" i="4"/>
  <c r="FN53" i="4"/>
  <c r="FO53" i="4"/>
  <c r="FP53" i="4"/>
  <c r="FQ53" i="4"/>
  <c r="FR53" i="4"/>
  <c r="FS53" i="4"/>
  <c r="FT53" i="4"/>
  <c r="FU53" i="4"/>
  <c r="FV53" i="4"/>
  <c r="FW53" i="4"/>
  <c r="FX53" i="4"/>
  <c r="FY53" i="4"/>
  <c r="FZ53" i="4"/>
  <c r="GA53" i="4"/>
  <c r="GB53" i="4"/>
  <c r="GC53" i="4"/>
  <c r="GD53" i="4"/>
  <c r="GE53" i="4"/>
  <c r="GF53" i="4"/>
  <c r="GG53" i="4"/>
  <c r="GH53" i="4"/>
  <c r="GI53" i="4"/>
  <c r="GJ53" i="4"/>
  <c r="GK53" i="4"/>
  <c r="GL53" i="4"/>
  <c r="GM53" i="4"/>
  <c r="GN53" i="4"/>
  <c r="GO53" i="4"/>
  <c r="GP53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I53" i="4"/>
  <c r="HJ53" i="4"/>
  <c r="HK53" i="4"/>
  <c r="HL53" i="4"/>
  <c r="HM53" i="4"/>
  <c r="HN53" i="4"/>
  <c r="HO53" i="4"/>
  <c r="HP53" i="4"/>
  <c r="HQ53" i="4"/>
  <c r="HR53" i="4"/>
  <c r="HS53" i="4"/>
  <c r="HT53" i="4"/>
  <c r="HU53" i="4"/>
  <c r="HV53" i="4"/>
  <c r="HW53" i="4"/>
  <c r="HX53" i="4"/>
  <c r="HY53" i="4"/>
  <c r="HZ53" i="4"/>
  <c r="IA53" i="4"/>
  <c r="IB53" i="4"/>
  <c r="IC53" i="4"/>
  <c r="ID53" i="4"/>
  <c r="IE53" i="4"/>
  <c r="IF53" i="4"/>
  <c r="IG53" i="4"/>
  <c r="IH53" i="4"/>
  <c r="II53" i="4"/>
  <c r="IJ53" i="4"/>
  <c r="IK53" i="4"/>
  <c r="IL53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EQ52" i="4"/>
  <c r="ER52" i="4"/>
  <c r="ES52" i="4"/>
  <c r="ET52" i="4"/>
  <c r="EU52" i="4"/>
  <c r="EV52" i="4"/>
  <c r="EW52" i="4"/>
  <c r="EX52" i="4"/>
  <c r="EY52" i="4"/>
  <c r="EZ52" i="4"/>
  <c r="FA52" i="4"/>
  <c r="FB52" i="4"/>
  <c r="FC52" i="4"/>
  <c r="FD52" i="4"/>
  <c r="FE52" i="4"/>
  <c r="FF52" i="4"/>
  <c r="FG52" i="4"/>
  <c r="FH52" i="4"/>
  <c r="FI52" i="4"/>
  <c r="FJ52" i="4"/>
  <c r="FK52" i="4"/>
  <c r="FL52" i="4"/>
  <c r="FM52" i="4"/>
  <c r="FN52" i="4"/>
  <c r="FO52" i="4"/>
  <c r="FP52" i="4"/>
  <c r="FQ52" i="4"/>
  <c r="FR52" i="4"/>
  <c r="FS52" i="4"/>
  <c r="FT52" i="4"/>
  <c r="FU52" i="4"/>
  <c r="FV52" i="4"/>
  <c r="FW52" i="4"/>
  <c r="FX52" i="4"/>
  <c r="FY52" i="4"/>
  <c r="FZ52" i="4"/>
  <c r="GA52" i="4"/>
  <c r="GB52" i="4"/>
  <c r="GC52" i="4"/>
  <c r="GD52" i="4"/>
  <c r="GE52" i="4"/>
  <c r="GF52" i="4"/>
  <c r="GG52" i="4"/>
  <c r="GH52" i="4"/>
  <c r="GI52" i="4"/>
  <c r="GJ52" i="4"/>
  <c r="GK52" i="4"/>
  <c r="GL52" i="4"/>
  <c r="GM52" i="4"/>
  <c r="GN52" i="4"/>
  <c r="GO52" i="4"/>
  <c r="GP52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I52" i="4"/>
  <c r="HJ52" i="4"/>
  <c r="HK52" i="4"/>
  <c r="HL52" i="4"/>
  <c r="HM52" i="4"/>
  <c r="HN52" i="4"/>
  <c r="HO52" i="4"/>
  <c r="HP52" i="4"/>
  <c r="HQ52" i="4"/>
  <c r="HR52" i="4"/>
  <c r="HS52" i="4"/>
  <c r="HT52" i="4"/>
  <c r="HU52" i="4"/>
  <c r="HV52" i="4"/>
  <c r="HW52" i="4"/>
  <c r="HX52" i="4"/>
  <c r="HY52" i="4"/>
  <c r="HZ52" i="4"/>
  <c r="IA52" i="4"/>
  <c r="IB52" i="4"/>
  <c r="IC52" i="4"/>
  <c r="ID52" i="4"/>
  <c r="IE52" i="4"/>
  <c r="IF52" i="4"/>
  <c r="IG52" i="4"/>
  <c r="IH52" i="4"/>
  <c r="II52" i="4"/>
  <c r="IJ52" i="4"/>
  <c r="IK52" i="4"/>
  <c r="IL52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EQ51" i="4"/>
  <c r="ER51" i="4"/>
  <c r="ES51" i="4"/>
  <c r="ET51" i="4"/>
  <c r="EU51" i="4"/>
  <c r="EV51" i="4"/>
  <c r="EW51" i="4"/>
  <c r="EX51" i="4"/>
  <c r="EY51" i="4"/>
  <c r="EZ51" i="4"/>
  <c r="FA51" i="4"/>
  <c r="FB51" i="4"/>
  <c r="FC51" i="4"/>
  <c r="FD51" i="4"/>
  <c r="FE51" i="4"/>
  <c r="FF51" i="4"/>
  <c r="FG51" i="4"/>
  <c r="FH51" i="4"/>
  <c r="FI51" i="4"/>
  <c r="FJ51" i="4"/>
  <c r="FK51" i="4"/>
  <c r="FL51" i="4"/>
  <c r="FM51" i="4"/>
  <c r="FN51" i="4"/>
  <c r="FO51" i="4"/>
  <c r="FP51" i="4"/>
  <c r="FQ51" i="4"/>
  <c r="FR51" i="4"/>
  <c r="FS51" i="4"/>
  <c r="FT51" i="4"/>
  <c r="FU51" i="4"/>
  <c r="FV51" i="4"/>
  <c r="FW51" i="4"/>
  <c r="FX51" i="4"/>
  <c r="FY51" i="4"/>
  <c r="FZ51" i="4"/>
  <c r="GA51" i="4"/>
  <c r="GB51" i="4"/>
  <c r="GC51" i="4"/>
  <c r="GD51" i="4"/>
  <c r="GE51" i="4"/>
  <c r="GF51" i="4"/>
  <c r="GG51" i="4"/>
  <c r="GH51" i="4"/>
  <c r="GI51" i="4"/>
  <c r="GJ51" i="4"/>
  <c r="GK51" i="4"/>
  <c r="GL51" i="4"/>
  <c r="GM51" i="4"/>
  <c r="GN51" i="4"/>
  <c r="GO51" i="4"/>
  <c r="GP51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I51" i="4"/>
  <c r="HJ51" i="4"/>
  <c r="HK51" i="4"/>
  <c r="HL51" i="4"/>
  <c r="HM51" i="4"/>
  <c r="HN51" i="4"/>
  <c r="HO51" i="4"/>
  <c r="HP51" i="4"/>
  <c r="HQ51" i="4"/>
  <c r="HR51" i="4"/>
  <c r="HS51" i="4"/>
  <c r="HT51" i="4"/>
  <c r="HU51" i="4"/>
  <c r="HV51" i="4"/>
  <c r="HW51" i="4"/>
  <c r="HX51" i="4"/>
  <c r="HY51" i="4"/>
  <c r="HZ51" i="4"/>
  <c r="IA51" i="4"/>
  <c r="IB51" i="4"/>
  <c r="IC51" i="4"/>
  <c r="ID51" i="4"/>
  <c r="IE51" i="4"/>
  <c r="IF51" i="4"/>
  <c r="IG51" i="4"/>
  <c r="IH51" i="4"/>
  <c r="II51" i="4"/>
  <c r="IJ51" i="4"/>
  <c r="IK51" i="4"/>
  <c r="IL51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EQ50" i="4"/>
  <c r="ER50" i="4"/>
  <c r="ES50" i="4"/>
  <c r="ET50" i="4"/>
  <c r="EU50" i="4"/>
  <c r="EV50" i="4"/>
  <c r="EW50" i="4"/>
  <c r="EX50" i="4"/>
  <c r="EY50" i="4"/>
  <c r="EZ50" i="4"/>
  <c r="FA50" i="4"/>
  <c r="FB50" i="4"/>
  <c r="FC50" i="4"/>
  <c r="FD50" i="4"/>
  <c r="FE50" i="4"/>
  <c r="FF50" i="4"/>
  <c r="FG50" i="4"/>
  <c r="FH50" i="4"/>
  <c r="FI50" i="4"/>
  <c r="FJ50" i="4"/>
  <c r="FK50" i="4"/>
  <c r="FL50" i="4"/>
  <c r="FM50" i="4"/>
  <c r="FN50" i="4"/>
  <c r="FO50" i="4"/>
  <c r="FP50" i="4"/>
  <c r="FQ50" i="4"/>
  <c r="FR50" i="4"/>
  <c r="FS50" i="4"/>
  <c r="FT50" i="4"/>
  <c r="FU50" i="4"/>
  <c r="FV50" i="4"/>
  <c r="FW50" i="4"/>
  <c r="FX50" i="4"/>
  <c r="FY50" i="4"/>
  <c r="FZ50" i="4"/>
  <c r="GA50" i="4"/>
  <c r="GB50" i="4"/>
  <c r="GC50" i="4"/>
  <c r="GD50" i="4"/>
  <c r="GE50" i="4"/>
  <c r="GF50" i="4"/>
  <c r="GG50" i="4"/>
  <c r="GH50" i="4"/>
  <c r="GI50" i="4"/>
  <c r="GJ50" i="4"/>
  <c r="GK50" i="4"/>
  <c r="GL50" i="4"/>
  <c r="GM50" i="4"/>
  <c r="GN50" i="4"/>
  <c r="GO50" i="4"/>
  <c r="GP50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I50" i="4"/>
  <c r="HJ50" i="4"/>
  <c r="HK50" i="4"/>
  <c r="HL50" i="4"/>
  <c r="HM50" i="4"/>
  <c r="HN50" i="4"/>
  <c r="HO50" i="4"/>
  <c r="HP50" i="4"/>
  <c r="HQ50" i="4"/>
  <c r="HR50" i="4"/>
  <c r="HS50" i="4"/>
  <c r="HT50" i="4"/>
  <c r="HU50" i="4"/>
  <c r="HV50" i="4"/>
  <c r="HW50" i="4"/>
  <c r="HX50" i="4"/>
  <c r="HY50" i="4"/>
  <c r="HZ50" i="4"/>
  <c r="IA50" i="4"/>
  <c r="IB50" i="4"/>
  <c r="IC50" i="4"/>
  <c r="ID50" i="4"/>
  <c r="IE50" i="4"/>
  <c r="IF50" i="4"/>
  <c r="IG50" i="4"/>
  <c r="IH50" i="4"/>
  <c r="II50" i="4"/>
  <c r="IJ50" i="4"/>
  <c r="IK50" i="4"/>
  <c r="IL50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EQ49" i="4"/>
  <c r="ER49" i="4"/>
  <c r="ES49" i="4"/>
  <c r="ET49" i="4"/>
  <c r="EU49" i="4"/>
  <c r="EV49" i="4"/>
  <c r="EW49" i="4"/>
  <c r="EX49" i="4"/>
  <c r="EY49" i="4"/>
  <c r="EZ49" i="4"/>
  <c r="FA49" i="4"/>
  <c r="FB49" i="4"/>
  <c r="FC49" i="4"/>
  <c r="FD49" i="4"/>
  <c r="FE49" i="4"/>
  <c r="FF49" i="4"/>
  <c r="FG49" i="4"/>
  <c r="FH49" i="4"/>
  <c r="FI49" i="4"/>
  <c r="FJ49" i="4"/>
  <c r="FK49" i="4"/>
  <c r="FL49" i="4"/>
  <c r="FM49" i="4"/>
  <c r="FN49" i="4"/>
  <c r="FO49" i="4"/>
  <c r="FP49" i="4"/>
  <c r="FQ49" i="4"/>
  <c r="FR49" i="4"/>
  <c r="FS49" i="4"/>
  <c r="FT49" i="4"/>
  <c r="FU49" i="4"/>
  <c r="FV49" i="4"/>
  <c r="FW49" i="4"/>
  <c r="FX49" i="4"/>
  <c r="FY49" i="4"/>
  <c r="FZ49" i="4"/>
  <c r="GA49" i="4"/>
  <c r="GB49" i="4"/>
  <c r="GC49" i="4"/>
  <c r="GD49" i="4"/>
  <c r="GE49" i="4"/>
  <c r="GF49" i="4"/>
  <c r="GG49" i="4"/>
  <c r="GH49" i="4"/>
  <c r="GI49" i="4"/>
  <c r="GJ49" i="4"/>
  <c r="GK49" i="4"/>
  <c r="GL49" i="4"/>
  <c r="GM49" i="4"/>
  <c r="GN49" i="4"/>
  <c r="GO49" i="4"/>
  <c r="GP49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I49" i="4"/>
  <c r="HJ49" i="4"/>
  <c r="HK49" i="4"/>
  <c r="HL49" i="4"/>
  <c r="HM49" i="4"/>
  <c r="HN49" i="4"/>
  <c r="HO49" i="4"/>
  <c r="HP49" i="4"/>
  <c r="HQ49" i="4"/>
  <c r="HR49" i="4"/>
  <c r="HS49" i="4"/>
  <c r="HT49" i="4"/>
  <c r="HU49" i="4"/>
  <c r="HV49" i="4"/>
  <c r="HW49" i="4"/>
  <c r="HX49" i="4"/>
  <c r="HY49" i="4"/>
  <c r="HZ49" i="4"/>
  <c r="IA49" i="4"/>
  <c r="IB49" i="4"/>
  <c r="IC49" i="4"/>
  <c r="ID49" i="4"/>
  <c r="IE49" i="4"/>
  <c r="IF49" i="4"/>
  <c r="IG49" i="4"/>
  <c r="IH49" i="4"/>
  <c r="II49" i="4"/>
  <c r="IJ49" i="4"/>
  <c r="IK49" i="4"/>
  <c r="IL49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EQ48" i="4"/>
  <c r="ER48" i="4"/>
  <c r="ES48" i="4"/>
  <c r="ET48" i="4"/>
  <c r="EU48" i="4"/>
  <c r="EV48" i="4"/>
  <c r="EW48" i="4"/>
  <c r="EX48" i="4"/>
  <c r="EY48" i="4"/>
  <c r="EZ48" i="4"/>
  <c r="FA48" i="4"/>
  <c r="FB48" i="4"/>
  <c r="FC48" i="4"/>
  <c r="FD48" i="4"/>
  <c r="FE48" i="4"/>
  <c r="FF48" i="4"/>
  <c r="FG48" i="4"/>
  <c r="FH48" i="4"/>
  <c r="FI48" i="4"/>
  <c r="FJ48" i="4"/>
  <c r="FK48" i="4"/>
  <c r="FL48" i="4"/>
  <c r="FM48" i="4"/>
  <c r="FN48" i="4"/>
  <c r="FO48" i="4"/>
  <c r="FP48" i="4"/>
  <c r="FQ48" i="4"/>
  <c r="FR48" i="4"/>
  <c r="FS48" i="4"/>
  <c r="FT48" i="4"/>
  <c r="FU48" i="4"/>
  <c r="FV48" i="4"/>
  <c r="FW48" i="4"/>
  <c r="FX48" i="4"/>
  <c r="FY48" i="4"/>
  <c r="FZ48" i="4"/>
  <c r="GA48" i="4"/>
  <c r="GB48" i="4"/>
  <c r="GC48" i="4"/>
  <c r="GD48" i="4"/>
  <c r="GE48" i="4"/>
  <c r="GF48" i="4"/>
  <c r="GG48" i="4"/>
  <c r="GH48" i="4"/>
  <c r="GI48" i="4"/>
  <c r="GJ48" i="4"/>
  <c r="GK48" i="4"/>
  <c r="GL48" i="4"/>
  <c r="GM48" i="4"/>
  <c r="GN48" i="4"/>
  <c r="GO48" i="4"/>
  <c r="GP48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I48" i="4"/>
  <c r="HJ48" i="4"/>
  <c r="HK48" i="4"/>
  <c r="HL48" i="4"/>
  <c r="HM48" i="4"/>
  <c r="HN48" i="4"/>
  <c r="HO48" i="4"/>
  <c r="HP48" i="4"/>
  <c r="HQ48" i="4"/>
  <c r="HR48" i="4"/>
  <c r="HS48" i="4"/>
  <c r="HT48" i="4"/>
  <c r="HU48" i="4"/>
  <c r="HV48" i="4"/>
  <c r="HW48" i="4"/>
  <c r="HX48" i="4"/>
  <c r="HY48" i="4"/>
  <c r="HZ48" i="4"/>
  <c r="IA48" i="4"/>
  <c r="IB48" i="4"/>
  <c r="IC48" i="4"/>
  <c r="ID48" i="4"/>
  <c r="IE48" i="4"/>
  <c r="IF48" i="4"/>
  <c r="IG48" i="4"/>
  <c r="IH48" i="4"/>
  <c r="II48" i="4"/>
  <c r="IJ48" i="4"/>
  <c r="IK48" i="4"/>
  <c r="IL48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EQ47" i="4"/>
  <c r="ER47" i="4"/>
  <c r="ES47" i="4"/>
  <c r="ET47" i="4"/>
  <c r="EU47" i="4"/>
  <c r="EV47" i="4"/>
  <c r="EW47" i="4"/>
  <c r="EX47" i="4"/>
  <c r="EY47" i="4"/>
  <c r="EZ47" i="4"/>
  <c r="FA47" i="4"/>
  <c r="FB47" i="4"/>
  <c r="FC47" i="4"/>
  <c r="FD47" i="4"/>
  <c r="FE47" i="4"/>
  <c r="FF47" i="4"/>
  <c r="FG47" i="4"/>
  <c r="FH47" i="4"/>
  <c r="FI47" i="4"/>
  <c r="FJ47" i="4"/>
  <c r="FK47" i="4"/>
  <c r="FL47" i="4"/>
  <c r="FM47" i="4"/>
  <c r="FN47" i="4"/>
  <c r="FO47" i="4"/>
  <c r="FP47" i="4"/>
  <c r="FQ47" i="4"/>
  <c r="FR47" i="4"/>
  <c r="FS47" i="4"/>
  <c r="FT47" i="4"/>
  <c r="FU47" i="4"/>
  <c r="FV47" i="4"/>
  <c r="FW47" i="4"/>
  <c r="FX47" i="4"/>
  <c r="FY47" i="4"/>
  <c r="FZ47" i="4"/>
  <c r="GA47" i="4"/>
  <c r="GB47" i="4"/>
  <c r="GC47" i="4"/>
  <c r="GD47" i="4"/>
  <c r="GE47" i="4"/>
  <c r="GF47" i="4"/>
  <c r="GG47" i="4"/>
  <c r="GH47" i="4"/>
  <c r="GI47" i="4"/>
  <c r="GJ47" i="4"/>
  <c r="GK47" i="4"/>
  <c r="GL47" i="4"/>
  <c r="GM47" i="4"/>
  <c r="GN47" i="4"/>
  <c r="GO47" i="4"/>
  <c r="GP47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I47" i="4"/>
  <c r="HJ47" i="4"/>
  <c r="HK47" i="4"/>
  <c r="HL47" i="4"/>
  <c r="HM47" i="4"/>
  <c r="HN47" i="4"/>
  <c r="HO47" i="4"/>
  <c r="HP47" i="4"/>
  <c r="HQ47" i="4"/>
  <c r="HR47" i="4"/>
  <c r="HS47" i="4"/>
  <c r="HT47" i="4"/>
  <c r="HU47" i="4"/>
  <c r="HV47" i="4"/>
  <c r="HW47" i="4"/>
  <c r="HX47" i="4"/>
  <c r="HY47" i="4"/>
  <c r="HZ47" i="4"/>
  <c r="IA47" i="4"/>
  <c r="IB47" i="4"/>
  <c r="IC47" i="4"/>
  <c r="ID47" i="4"/>
  <c r="IE47" i="4"/>
  <c r="IF47" i="4"/>
  <c r="IG47" i="4"/>
  <c r="IH47" i="4"/>
  <c r="II47" i="4"/>
  <c r="IJ47" i="4"/>
  <c r="IK47" i="4"/>
  <c r="IL47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EQ46" i="4"/>
  <c r="ER46" i="4"/>
  <c r="ES46" i="4"/>
  <c r="ET46" i="4"/>
  <c r="EU46" i="4"/>
  <c r="EV46" i="4"/>
  <c r="EW46" i="4"/>
  <c r="EX46" i="4"/>
  <c r="EY46" i="4"/>
  <c r="EZ46" i="4"/>
  <c r="FA46" i="4"/>
  <c r="FB46" i="4"/>
  <c r="FC46" i="4"/>
  <c r="FD46" i="4"/>
  <c r="FE46" i="4"/>
  <c r="FF46" i="4"/>
  <c r="FG46" i="4"/>
  <c r="FH46" i="4"/>
  <c r="FI46" i="4"/>
  <c r="FJ46" i="4"/>
  <c r="FK46" i="4"/>
  <c r="FL46" i="4"/>
  <c r="FM46" i="4"/>
  <c r="FN46" i="4"/>
  <c r="FO46" i="4"/>
  <c r="FP46" i="4"/>
  <c r="FQ46" i="4"/>
  <c r="FR46" i="4"/>
  <c r="FS46" i="4"/>
  <c r="FT46" i="4"/>
  <c r="FU46" i="4"/>
  <c r="FV46" i="4"/>
  <c r="FW46" i="4"/>
  <c r="FX46" i="4"/>
  <c r="FY46" i="4"/>
  <c r="FZ46" i="4"/>
  <c r="GA46" i="4"/>
  <c r="GB46" i="4"/>
  <c r="GC46" i="4"/>
  <c r="GD46" i="4"/>
  <c r="GE46" i="4"/>
  <c r="GF46" i="4"/>
  <c r="GG46" i="4"/>
  <c r="GH46" i="4"/>
  <c r="GI46" i="4"/>
  <c r="GJ46" i="4"/>
  <c r="GK46" i="4"/>
  <c r="GL46" i="4"/>
  <c r="GM46" i="4"/>
  <c r="GN46" i="4"/>
  <c r="GO46" i="4"/>
  <c r="GP46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I46" i="4"/>
  <c r="HJ46" i="4"/>
  <c r="HK46" i="4"/>
  <c r="HL46" i="4"/>
  <c r="HM46" i="4"/>
  <c r="HN46" i="4"/>
  <c r="HO46" i="4"/>
  <c r="HP46" i="4"/>
  <c r="HQ46" i="4"/>
  <c r="HR46" i="4"/>
  <c r="HS46" i="4"/>
  <c r="HT46" i="4"/>
  <c r="HU46" i="4"/>
  <c r="HV46" i="4"/>
  <c r="HW46" i="4"/>
  <c r="HX46" i="4"/>
  <c r="HY46" i="4"/>
  <c r="HZ46" i="4"/>
  <c r="IA46" i="4"/>
  <c r="IB46" i="4"/>
  <c r="IC46" i="4"/>
  <c r="ID46" i="4"/>
  <c r="IE46" i="4"/>
  <c r="IF46" i="4"/>
  <c r="IG46" i="4"/>
  <c r="IH46" i="4"/>
  <c r="II46" i="4"/>
  <c r="IJ46" i="4"/>
  <c r="IK46" i="4"/>
  <c r="IL46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EQ45" i="4"/>
  <c r="ER45" i="4"/>
  <c r="ES45" i="4"/>
  <c r="ET45" i="4"/>
  <c r="EU45" i="4"/>
  <c r="EV45" i="4"/>
  <c r="EW45" i="4"/>
  <c r="EX45" i="4"/>
  <c r="EY45" i="4"/>
  <c r="EZ45" i="4"/>
  <c r="FA45" i="4"/>
  <c r="FB45" i="4"/>
  <c r="FC45" i="4"/>
  <c r="FD45" i="4"/>
  <c r="FE45" i="4"/>
  <c r="FF45" i="4"/>
  <c r="FG45" i="4"/>
  <c r="FH45" i="4"/>
  <c r="FI45" i="4"/>
  <c r="FJ45" i="4"/>
  <c r="FK45" i="4"/>
  <c r="FL45" i="4"/>
  <c r="FM45" i="4"/>
  <c r="FN45" i="4"/>
  <c r="FO45" i="4"/>
  <c r="FP45" i="4"/>
  <c r="FQ45" i="4"/>
  <c r="FR45" i="4"/>
  <c r="FS45" i="4"/>
  <c r="FT45" i="4"/>
  <c r="FU45" i="4"/>
  <c r="FV45" i="4"/>
  <c r="FW45" i="4"/>
  <c r="FX45" i="4"/>
  <c r="FY45" i="4"/>
  <c r="FZ45" i="4"/>
  <c r="GA45" i="4"/>
  <c r="GB45" i="4"/>
  <c r="GC45" i="4"/>
  <c r="GD45" i="4"/>
  <c r="GE45" i="4"/>
  <c r="GF45" i="4"/>
  <c r="GG45" i="4"/>
  <c r="GH45" i="4"/>
  <c r="GI45" i="4"/>
  <c r="GJ45" i="4"/>
  <c r="GK45" i="4"/>
  <c r="GL45" i="4"/>
  <c r="GM45" i="4"/>
  <c r="GN45" i="4"/>
  <c r="GO45" i="4"/>
  <c r="GP45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I45" i="4"/>
  <c r="HJ45" i="4"/>
  <c r="HK45" i="4"/>
  <c r="HL45" i="4"/>
  <c r="HM45" i="4"/>
  <c r="HN45" i="4"/>
  <c r="HO45" i="4"/>
  <c r="HP45" i="4"/>
  <c r="HQ45" i="4"/>
  <c r="HR45" i="4"/>
  <c r="HS45" i="4"/>
  <c r="HT45" i="4"/>
  <c r="HU45" i="4"/>
  <c r="HV45" i="4"/>
  <c r="HW45" i="4"/>
  <c r="HX45" i="4"/>
  <c r="HY45" i="4"/>
  <c r="HZ45" i="4"/>
  <c r="IA45" i="4"/>
  <c r="IB45" i="4"/>
  <c r="IC45" i="4"/>
  <c r="ID45" i="4"/>
  <c r="IE45" i="4"/>
  <c r="IF45" i="4"/>
  <c r="IG45" i="4"/>
  <c r="IH45" i="4"/>
  <c r="II45" i="4"/>
  <c r="IJ45" i="4"/>
  <c r="IK45" i="4"/>
  <c r="IL45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EQ44" i="4"/>
  <c r="ER44" i="4"/>
  <c r="ES44" i="4"/>
  <c r="ET44" i="4"/>
  <c r="EU44" i="4"/>
  <c r="EV44" i="4"/>
  <c r="EW44" i="4"/>
  <c r="EX44" i="4"/>
  <c r="EY44" i="4"/>
  <c r="EZ44" i="4"/>
  <c r="FA44" i="4"/>
  <c r="FB44" i="4"/>
  <c r="FC44" i="4"/>
  <c r="FD44" i="4"/>
  <c r="FE44" i="4"/>
  <c r="FF44" i="4"/>
  <c r="FG44" i="4"/>
  <c r="FH44" i="4"/>
  <c r="FI44" i="4"/>
  <c r="FJ44" i="4"/>
  <c r="FK44" i="4"/>
  <c r="FL44" i="4"/>
  <c r="FM44" i="4"/>
  <c r="FN44" i="4"/>
  <c r="FO44" i="4"/>
  <c r="FP44" i="4"/>
  <c r="FQ44" i="4"/>
  <c r="FR44" i="4"/>
  <c r="FS44" i="4"/>
  <c r="FT44" i="4"/>
  <c r="FU44" i="4"/>
  <c r="FV44" i="4"/>
  <c r="FW44" i="4"/>
  <c r="FX44" i="4"/>
  <c r="FY44" i="4"/>
  <c r="FZ44" i="4"/>
  <c r="GA44" i="4"/>
  <c r="GB44" i="4"/>
  <c r="GC44" i="4"/>
  <c r="GD44" i="4"/>
  <c r="GE44" i="4"/>
  <c r="GF44" i="4"/>
  <c r="GG44" i="4"/>
  <c r="GH44" i="4"/>
  <c r="GI44" i="4"/>
  <c r="GJ44" i="4"/>
  <c r="GK44" i="4"/>
  <c r="GL44" i="4"/>
  <c r="GM44" i="4"/>
  <c r="GN44" i="4"/>
  <c r="GO44" i="4"/>
  <c r="GP44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I44" i="4"/>
  <c r="HJ44" i="4"/>
  <c r="HK44" i="4"/>
  <c r="HL44" i="4"/>
  <c r="HM44" i="4"/>
  <c r="HN44" i="4"/>
  <c r="HO44" i="4"/>
  <c r="HP44" i="4"/>
  <c r="HQ44" i="4"/>
  <c r="HR44" i="4"/>
  <c r="HS44" i="4"/>
  <c r="HT44" i="4"/>
  <c r="HU44" i="4"/>
  <c r="HV44" i="4"/>
  <c r="HW44" i="4"/>
  <c r="HX44" i="4"/>
  <c r="HY44" i="4"/>
  <c r="HZ44" i="4"/>
  <c r="IA44" i="4"/>
  <c r="IB44" i="4"/>
  <c r="IC44" i="4"/>
  <c r="ID44" i="4"/>
  <c r="IE44" i="4"/>
  <c r="IF44" i="4"/>
  <c r="IG44" i="4"/>
  <c r="IH44" i="4"/>
  <c r="II44" i="4"/>
  <c r="IJ44" i="4"/>
  <c r="IK44" i="4"/>
  <c r="IL44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EQ43" i="4"/>
  <c r="ER43" i="4"/>
  <c r="ES43" i="4"/>
  <c r="ET43" i="4"/>
  <c r="EU43" i="4"/>
  <c r="EV43" i="4"/>
  <c r="EW43" i="4"/>
  <c r="EX43" i="4"/>
  <c r="EY43" i="4"/>
  <c r="EZ43" i="4"/>
  <c r="FA43" i="4"/>
  <c r="FB43" i="4"/>
  <c r="FC43" i="4"/>
  <c r="FD43" i="4"/>
  <c r="FE43" i="4"/>
  <c r="FF43" i="4"/>
  <c r="FG43" i="4"/>
  <c r="FH43" i="4"/>
  <c r="FI43" i="4"/>
  <c r="FJ43" i="4"/>
  <c r="FK43" i="4"/>
  <c r="FL43" i="4"/>
  <c r="FM43" i="4"/>
  <c r="FN43" i="4"/>
  <c r="FO43" i="4"/>
  <c r="FP43" i="4"/>
  <c r="FQ43" i="4"/>
  <c r="FR43" i="4"/>
  <c r="FS43" i="4"/>
  <c r="FT43" i="4"/>
  <c r="FU43" i="4"/>
  <c r="FV43" i="4"/>
  <c r="FW43" i="4"/>
  <c r="FX43" i="4"/>
  <c r="FY43" i="4"/>
  <c r="FZ43" i="4"/>
  <c r="GA43" i="4"/>
  <c r="GB43" i="4"/>
  <c r="GC43" i="4"/>
  <c r="GD43" i="4"/>
  <c r="GE43" i="4"/>
  <c r="GF43" i="4"/>
  <c r="GG43" i="4"/>
  <c r="GH43" i="4"/>
  <c r="GI43" i="4"/>
  <c r="GJ43" i="4"/>
  <c r="GK43" i="4"/>
  <c r="GL43" i="4"/>
  <c r="GM43" i="4"/>
  <c r="GN43" i="4"/>
  <c r="GO43" i="4"/>
  <c r="GP43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I43" i="4"/>
  <c r="HJ43" i="4"/>
  <c r="HK43" i="4"/>
  <c r="HL43" i="4"/>
  <c r="HM43" i="4"/>
  <c r="HN43" i="4"/>
  <c r="HO43" i="4"/>
  <c r="HP43" i="4"/>
  <c r="HQ43" i="4"/>
  <c r="HR43" i="4"/>
  <c r="HS43" i="4"/>
  <c r="HT43" i="4"/>
  <c r="HU43" i="4"/>
  <c r="HV43" i="4"/>
  <c r="HW43" i="4"/>
  <c r="HX43" i="4"/>
  <c r="HY43" i="4"/>
  <c r="HZ43" i="4"/>
  <c r="IA43" i="4"/>
  <c r="IB43" i="4"/>
  <c r="IC43" i="4"/>
  <c r="ID43" i="4"/>
  <c r="IE43" i="4"/>
  <c r="IF43" i="4"/>
  <c r="IG43" i="4"/>
  <c r="IH43" i="4"/>
  <c r="II43" i="4"/>
  <c r="IJ43" i="4"/>
  <c r="IK43" i="4"/>
  <c r="IL43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EQ42" i="4"/>
  <c r="ER42" i="4"/>
  <c r="ES42" i="4"/>
  <c r="ET42" i="4"/>
  <c r="EU42" i="4"/>
  <c r="EV42" i="4"/>
  <c r="EW42" i="4"/>
  <c r="EX42" i="4"/>
  <c r="EY42" i="4"/>
  <c r="EZ42" i="4"/>
  <c r="FA42" i="4"/>
  <c r="FB42" i="4"/>
  <c r="FC42" i="4"/>
  <c r="FD42" i="4"/>
  <c r="FE42" i="4"/>
  <c r="FF42" i="4"/>
  <c r="FG42" i="4"/>
  <c r="FH42" i="4"/>
  <c r="FI42" i="4"/>
  <c r="FJ42" i="4"/>
  <c r="FK42" i="4"/>
  <c r="FL42" i="4"/>
  <c r="FM42" i="4"/>
  <c r="FN42" i="4"/>
  <c r="FO42" i="4"/>
  <c r="FP42" i="4"/>
  <c r="FQ42" i="4"/>
  <c r="FR42" i="4"/>
  <c r="FS42" i="4"/>
  <c r="FT42" i="4"/>
  <c r="FU42" i="4"/>
  <c r="FV42" i="4"/>
  <c r="FW42" i="4"/>
  <c r="FX42" i="4"/>
  <c r="FY42" i="4"/>
  <c r="FZ42" i="4"/>
  <c r="GA42" i="4"/>
  <c r="GB42" i="4"/>
  <c r="GC42" i="4"/>
  <c r="GD42" i="4"/>
  <c r="GE42" i="4"/>
  <c r="GF42" i="4"/>
  <c r="GG42" i="4"/>
  <c r="GH42" i="4"/>
  <c r="GI42" i="4"/>
  <c r="GJ42" i="4"/>
  <c r="GK42" i="4"/>
  <c r="GL42" i="4"/>
  <c r="GM42" i="4"/>
  <c r="GN42" i="4"/>
  <c r="GO42" i="4"/>
  <c r="GP42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I42" i="4"/>
  <c r="HJ42" i="4"/>
  <c r="HK42" i="4"/>
  <c r="HL42" i="4"/>
  <c r="HM42" i="4"/>
  <c r="HN42" i="4"/>
  <c r="HO42" i="4"/>
  <c r="HP42" i="4"/>
  <c r="HQ42" i="4"/>
  <c r="HR42" i="4"/>
  <c r="HS42" i="4"/>
  <c r="HT42" i="4"/>
  <c r="HU42" i="4"/>
  <c r="HV42" i="4"/>
  <c r="HW42" i="4"/>
  <c r="HX42" i="4"/>
  <c r="HY42" i="4"/>
  <c r="HZ42" i="4"/>
  <c r="IA42" i="4"/>
  <c r="IB42" i="4"/>
  <c r="IC42" i="4"/>
  <c r="ID42" i="4"/>
  <c r="IE42" i="4"/>
  <c r="IF42" i="4"/>
  <c r="IG42" i="4"/>
  <c r="IH42" i="4"/>
  <c r="II42" i="4"/>
  <c r="IJ42" i="4"/>
  <c r="IK42" i="4"/>
  <c r="IL42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EQ41" i="4"/>
  <c r="ER41" i="4"/>
  <c r="ES41" i="4"/>
  <c r="ET41" i="4"/>
  <c r="EU41" i="4"/>
  <c r="EV41" i="4"/>
  <c r="EW41" i="4"/>
  <c r="EX41" i="4"/>
  <c r="EY41" i="4"/>
  <c r="EZ41" i="4"/>
  <c r="FA41" i="4"/>
  <c r="FB41" i="4"/>
  <c r="FC41" i="4"/>
  <c r="FD41" i="4"/>
  <c r="FE41" i="4"/>
  <c r="FF41" i="4"/>
  <c r="FG41" i="4"/>
  <c r="FH41" i="4"/>
  <c r="FI41" i="4"/>
  <c r="FJ41" i="4"/>
  <c r="FK41" i="4"/>
  <c r="FL41" i="4"/>
  <c r="FM41" i="4"/>
  <c r="FN41" i="4"/>
  <c r="FO41" i="4"/>
  <c r="FP41" i="4"/>
  <c r="FQ41" i="4"/>
  <c r="FR41" i="4"/>
  <c r="FS41" i="4"/>
  <c r="FT41" i="4"/>
  <c r="FU41" i="4"/>
  <c r="FV41" i="4"/>
  <c r="FW41" i="4"/>
  <c r="FX41" i="4"/>
  <c r="FY41" i="4"/>
  <c r="FZ41" i="4"/>
  <c r="GA41" i="4"/>
  <c r="GB41" i="4"/>
  <c r="GC41" i="4"/>
  <c r="GD41" i="4"/>
  <c r="GE41" i="4"/>
  <c r="GF41" i="4"/>
  <c r="GG41" i="4"/>
  <c r="GH41" i="4"/>
  <c r="GI41" i="4"/>
  <c r="GJ41" i="4"/>
  <c r="GK41" i="4"/>
  <c r="GL41" i="4"/>
  <c r="GM41" i="4"/>
  <c r="GN41" i="4"/>
  <c r="GO41" i="4"/>
  <c r="GP41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I41" i="4"/>
  <c r="HJ41" i="4"/>
  <c r="HK41" i="4"/>
  <c r="HL41" i="4"/>
  <c r="HM41" i="4"/>
  <c r="HN41" i="4"/>
  <c r="HO41" i="4"/>
  <c r="HP41" i="4"/>
  <c r="HQ41" i="4"/>
  <c r="HR41" i="4"/>
  <c r="HS41" i="4"/>
  <c r="HT41" i="4"/>
  <c r="HU41" i="4"/>
  <c r="HV41" i="4"/>
  <c r="HW41" i="4"/>
  <c r="HX41" i="4"/>
  <c r="HY41" i="4"/>
  <c r="HZ41" i="4"/>
  <c r="IA41" i="4"/>
  <c r="IB41" i="4"/>
  <c r="IC41" i="4"/>
  <c r="ID41" i="4"/>
  <c r="IE41" i="4"/>
  <c r="IF41" i="4"/>
  <c r="IG41" i="4"/>
  <c r="IH41" i="4"/>
  <c r="II41" i="4"/>
  <c r="IJ41" i="4"/>
  <c r="IK41" i="4"/>
  <c r="IL41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EQ40" i="4"/>
  <c r="ER40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FK40" i="4"/>
  <c r="FL40" i="4"/>
  <c r="FM40" i="4"/>
  <c r="FN40" i="4"/>
  <c r="FO40" i="4"/>
  <c r="FP40" i="4"/>
  <c r="FQ40" i="4"/>
  <c r="FR40" i="4"/>
  <c r="FS40" i="4"/>
  <c r="FT40" i="4"/>
  <c r="FU40" i="4"/>
  <c r="FV40" i="4"/>
  <c r="FW40" i="4"/>
  <c r="FX40" i="4"/>
  <c r="FY40" i="4"/>
  <c r="FZ40" i="4"/>
  <c r="GA40" i="4"/>
  <c r="GB40" i="4"/>
  <c r="GC40" i="4"/>
  <c r="GD40" i="4"/>
  <c r="GE40" i="4"/>
  <c r="GF40" i="4"/>
  <c r="GG40" i="4"/>
  <c r="GH40" i="4"/>
  <c r="GI40" i="4"/>
  <c r="GJ40" i="4"/>
  <c r="GK40" i="4"/>
  <c r="GL40" i="4"/>
  <c r="GM40" i="4"/>
  <c r="GN40" i="4"/>
  <c r="GO40" i="4"/>
  <c r="GP40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I40" i="4"/>
  <c r="HJ40" i="4"/>
  <c r="HK40" i="4"/>
  <c r="HL40" i="4"/>
  <c r="HM40" i="4"/>
  <c r="HN40" i="4"/>
  <c r="HO40" i="4"/>
  <c r="HP40" i="4"/>
  <c r="HQ40" i="4"/>
  <c r="HR40" i="4"/>
  <c r="HS40" i="4"/>
  <c r="HT40" i="4"/>
  <c r="HU40" i="4"/>
  <c r="HV40" i="4"/>
  <c r="HW40" i="4"/>
  <c r="HX40" i="4"/>
  <c r="HY40" i="4"/>
  <c r="HZ40" i="4"/>
  <c r="IA40" i="4"/>
  <c r="IB40" i="4"/>
  <c r="IC40" i="4"/>
  <c r="ID40" i="4"/>
  <c r="IE40" i="4"/>
  <c r="IF40" i="4"/>
  <c r="IG40" i="4"/>
  <c r="IH40" i="4"/>
  <c r="II40" i="4"/>
  <c r="IJ40" i="4"/>
  <c r="IK40" i="4"/>
  <c r="IL40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A39" i="4"/>
  <c r="FB39" i="4"/>
  <c r="FC39" i="4"/>
  <c r="FD39" i="4"/>
  <c r="FE39" i="4"/>
  <c r="FF39" i="4"/>
  <c r="FG39" i="4"/>
  <c r="FH39" i="4"/>
  <c r="FI39" i="4"/>
  <c r="FJ39" i="4"/>
  <c r="FK39" i="4"/>
  <c r="FL39" i="4"/>
  <c r="FM39" i="4"/>
  <c r="FN39" i="4"/>
  <c r="FO39" i="4"/>
  <c r="FP39" i="4"/>
  <c r="FQ39" i="4"/>
  <c r="FR39" i="4"/>
  <c r="FS39" i="4"/>
  <c r="FT39" i="4"/>
  <c r="FU39" i="4"/>
  <c r="FV39" i="4"/>
  <c r="FW39" i="4"/>
  <c r="FX39" i="4"/>
  <c r="FY39" i="4"/>
  <c r="FZ39" i="4"/>
  <c r="GA39" i="4"/>
  <c r="GB39" i="4"/>
  <c r="GC39" i="4"/>
  <c r="GD39" i="4"/>
  <c r="GE39" i="4"/>
  <c r="GF39" i="4"/>
  <c r="GG39" i="4"/>
  <c r="GH39" i="4"/>
  <c r="GI39" i="4"/>
  <c r="GJ39" i="4"/>
  <c r="GK39" i="4"/>
  <c r="GL39" i="4"/>
  <c r="GM39" i="4"/>
  <c r="GN39" i="4"/>
  <c r="GO39" i="4"/>
  <c r="GP39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I39" i="4"/>
  <c r="HJ39" i="4"/>
  <c r="HK39" i="4"/>
  <c r="HL39" i="4"/>
  <c r="HM39" i="4"/>
  <c r="HN39" i="4"/>
  <c r="HO39" i="4"/>
  <c r="HP39" i="4"/>
  <c r="HQ39" i="4"/>
  <c r="HR39" i="4"/>
  <c r="HS39" i="4"/>
  <c r="HT39" i="4"/>
  <c r="HU39" i="4"/>
  <c r="HV39" i="4"/>
  <c r="HW39" i="4"/>
  <c r="HX39" i="4"/>
  <c r="HY39" i="4"/>
  <c r="HZ39" i="4"/>
  <c r="IA39" i="4"/>
  <c r="IB39" i="4"/>
  <c r="IC39" i="4"/>
  <c r="ID39" i="4"/>
  <c r="IE39" i="4"/>
  <c r="IF39" i="4"/>
  <c r="IG39" i="4"/>
  <c r="IH39" i="4"/>
  <c r="II39" i="4"/>
  <c r="IJ39" i="4"/>
  <c r="IK39" i="4"/>
  <c r="IL39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EQ38" i="4"/>
  <c r="ER38" i="4"/>
  <c r="ES38" i="4"/>
  <c r="ET38" i="4"/>
  <c r="EU38" i="4"/>
  <c r="EV38" i="4"/>
  <c r="EW38" i="4"/>
  <c r="EX38" i="4"/>
  <c r="EY38" i="4"/>
  <c r="EZ38" i="4"/>
  <c r="FA38" i="4"/>
  <c r="FB38" i="4"/>
  <c r="FC38" i="4"/>
  <c r="FD38" i="4"/>
  <c r="FE38" i="4"/>
  <c r="FF38" i="4"/>
  <c r="FG38" i="4"/>
  <c r="FH38" i="4"/>
  <c r="FI38" i="4"/>
  <c r="FJ38" i="4"/>
  <c r="FK38" i="4"/>
  <c r="FL38" i="4"/>
  <c r="FM38" i="4"/>
  <c r="FN38" i="4"/>
  <c r="FO38" i="4"/>
  <c r="FP38" i="4"/>
  <c r="FQ38" i="4"/>
  <c r="FR38" i="4"/>
  <c r="FS38" i="4"/>
  <c r="FT38" i="4"/>
  <c r="FU38" i="4"/>
  <c r="FV38" i="4"/>
  <c r="FW38" i="4"/>
  <c r="FX38" i="4"/>
  <c r="FY38" i="4"/>
  <c r="FZ38" i="4"/>
  <c r="GA38" i="4"/>
  <c r="GB38" i="4"/>
  <c r="GC38" i="4"/>
  <c r="GD38" i="4"/>
  <c r="GE38" i="4"/>
  <c r="GF38" i="4"/>
  <c r="GG38" i="4"/>
  <c r="GH38" i="4"/>
  <c r="GI38" i="4"/>
  <c r="GJ38" i="4"/>
  <c r="GK38" i="4"/>
  <c r="GL38" i="4"/>
  <c r="GM38" i="4"/>
  <c r="GN38" i="4"/>
  <c r="GO38" i="4"/>
  <c r="GP38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I38" i="4"/>
  <c r="HJ38" i="4"/>
  <c r="HK38" i="4"/>
  <c r="HL38" i="4"/>
  <c r="HM38" i="4"/>
  <c r="HN38" i="4"/>
  <c r="HO38" i="4"/>
  <c r="HP38" i="4"/>
  <c r="HQ38" i="4"/>
  <c r="HR38" i="4"/>
  <c r="HS38" i="4"/>
  <c r="HT38" i="4"/>
  <c r="HU38" i="4"/>
  <c r="HV38" i="4"/>
  <c r="HW38" i="4"/>
  <c r="HX38" i="4"/>
  <c r="HY38" i="4"/>
  <c r="HZ38" i="4"/>
  <c r="IA38" i="4"/>
  <c r="IB38" i="4"/>
  <c r="IC38" i="4"/>
  <c r="ID38" i="4"/>
  <c r="IE38" i="4"/>
  <c r="IF38" i="4"/>
  <c r="IG38" i="4"/>
  <c r="IH38" i="4"/>
  <c r="II38" i="4"/>
  <c r="IJ38" i="4"/>
  <c r="IK38" i="4"/>
  <c r="IL38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ES37" i="4"/>
  <c r="ET37" i="4"/>
  <c r="EU37" i="4"/>
  <c r="EV37" i="4"/>
  <c r="EW37" i="4"/>
  <c r="EX37" i="4"/>
  <c r="EY37" i="4"/>
  <c r="EZ37" i="4"/>
  <c r="FA37" i="4"/>
  <c r="FB37" i="4"/>
  <c r="FC37" i="4"/>
  <c r="FD37" i="4"/>
  <c r="FE37" i="4"/>
  <c r="FF37" i="4"/>
  <c r="FG37" i="4"/>
  <c r="FH37" i="4"/>
  <c r="FI37" i="4"/>
  <c r="FJ37" i="4"/>
  <c r="FK37" i="4"/>
  <c r="FL37" i="4"/>
  <c r="FM37" i="4"/>
  <c r="FN37" i="4"/>
  <c r="FO37" i="4"/>
  <c r="FP37" i="4"/>
  <c r="FQ37" i="4"/>
  <c r="FR37" i="4"/>
  <c r="FS37" i="4"/>
  <c r="FT37" i="4"/>
  <c r="FU37" i="4"/>
  <c r="FV37" i="4"/>
  <c r="FW37" i="4"/>
  <c r="FX37" i="4"/>
  <c r="FY37" i="4"/>
  <c r="FZ37" i="4"/>
  <c r="GA37" i="4"/>
  <c r="GB37" i="4"/>
  <c r="GC37" i="4"/>
  <c r="GD37" i="4"/>
  <c r="GE37" i="4"/>
  <c r="GF37" i="4"/>
  <c r="GG37" i="4"/>
  <c r="GH37" i="4"/>
  <c r="GI37" i="4"/>
  <c r="GJ37" i="4"/>
  <c r="GK37" i="4"/>
  <c r="GL37" i="4"/>
  <c r="GM37" i="4"/>
  <c r="GN37" i="4"/>
  <c r="GO37" i="4"/>
  <c r="GP37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I37" i="4"/>
  <c r="HJ37" i="4"/>
  <c r="HK37" i="4"/>
  <c r="HL37" i="4"/>
  <c r="HM37" i="4"/>
  <c r="HN37" i="4"/>
  <c r="HO37" i="4"/>
  <c r="HP37" i="4"/>
  <c r="HQ37" i="4"/>
  <c r="HR37" i="4"/>
  <c r="HS37" i="4"/>
  <c r="HT37" i="4"/>
  <c r="HU37" i="4"/>
  <c r="HV37" i="4"/>
  <c r="HW37" i="4"/>
  <c r="HX37" i="4"/>
  <c r="HY37" i="4"/>
  <c r="HZ37" i="4"/>
  <c r="IA37" i="4"/>
  <c r="IB37" i="4"/>
  <c r="IC37" i="4"/>
  <c r="ID37" i="4"/>
  <c r="IE37" i="4"/>
  <c r="IF37" i="4"/>
  <c r="IG37" i="4"/>
  <c r="IH37" i="4"/>
  <c r="II37" i="4"/>
  <c r="IJ37" i="4"/>
  <c r="IK37" i="4"/>
  <c r="IL37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EQ36" i="4"/>
  <c r="ER36" i="4"/>
  <c r="ES36" i="4"/>
  <c r="ET36" i="4"/>
  <c r="EU36" i="4"/>
  <c r="EV36" i="4"/>
  <c r="EW36" i="4"/>
  <c r="EX36" i="4"/>
  <c r="EY36" i="4"/>
  <c r="EZ36" i="4"/>
  <c r="FA36" i="4"/>
  <c r="FB36" i="4"/>
  <c r="FC36" i="4"/>
  <c r="FD36" i="4"/>
  <c r="FE36" i="4"/>
  <c r="FF36" i="4"/>
  <c r="FG36" i="4"/>
  <c r="FH36" i="4"/>
  <c r="FI36" i="4"/>
  <c r="FJ36" i="4"/>
  <c r="FK36" i="4"/>
  <c r="FL36" i="4"/>
  <c r="FM36" i="4"/>
  <c r="FN36" i="4"/>
  <c r="FO36" i="4"/>
  <c r="FP36" i="4"/>
  <c r="FQ36" i="4"/>
  <c r="FR36" i="4"/>
  <c r="FS36" i="4"/>
  <c r="FT36" i="4"/>
  <c r="FU36" i="4"/>
  <c r="FV36" i="4"/>
  <c r="FW36" i="4"/>
  <c r="FX36" i="4"/>
  <c r="FY36" i="4"/>
  <c r="FZ36" i="4"/>
  <c r="GA36" i="4"/>
  <c r="GB36" i="4"/>
  <c r="GC36" i="4"/>
  <c r="GD36" i="4"/>
  <c r="GE36" i="4"/>
  <c r="GF36" i="4"/>
  <c r="GG36" i="4"/>
  <c r="GH36" i="4"/>
  <c r="GI36" i="4"/>
  <c r="GJ36" i="4"/>
  <c r="GK36" i="4"/>
  <c r="GL36" i="4"/>
  <c r="GM36" i="4"/>
  <c r="GN36" i="4"/>
  <c r="GO36" i="4"/>
  <c r="GP36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I36" i="4"/>
  <c r="HJ36" i="4"/>
  <c r="HK36" i="4"/>
  <c r="HL36" i="4"/>
  <c r="HM36" i="4"/>
  <c r="HN36" i="4"/>
  <c r="HO36" i="4"/>
  <c r="HP36" i="4"/>
  <c r="HQ36" i="4"/>
  <c r="HR36" i="4"/>
  <c r="HS36" i="4"/>
  <c r="HT36" i="4"/>
  <c r="HU36" i="4"/>
  <c r="HV36" i="4"/>
  <c r="HW36" i="4"/>
  <c r="HX36" i="4"/>
  <c r="HY36" i="4"/>
  <c r="HZ36" i="4"/>
  <c r="IA36" i="4"/>
  <c r="IB36" i="4"/>
  <c r="IC36" i="4"/>
  <c r="ID36" i="4"/>
  <c r="IE36" i="4"/>
  <c r="IF36" i="4"/>
  <c r="IG36" i="4"/>
  <c r="IH36" i="4"/>
  <c r="II36" i="4"/>
  <c r="IJ36" i="4"/>
  <c r="IK36" i="4"/>
  <c r="IL36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S35" i="4"/>
  <c r="ET35" i="4"/>
  <c r="EU35" i="4"/>
  <c r="EV35" i="4"/>
  <c r="EW35" i="4"/>
  <c r="EX35" i="4"/>
  <c r="EY35" i="4"/>
  <c r="EZ35" i="4"/>
  <c r="FA35" i="4"/>
  <c r="FB35" i="4"/>
  <c r="FC35" i="4"/>
  <c r="FD35" i="4"/>
  <c r="FE35" i="4"/>
  <c r="FF35" i="4"/>
  <c r="FG35" i="4"/>
  <c r="FH35" i="4"/>
  <c r="FI35" i="4"/>
  <c r="FJ35" i="4"/>
  <c r="FK35" i="4"/>
  <c r="FL35" i="4"/>
  <c r="FM35" i="4"/>
  <c r="FN35" i="4"/>
  <c r="FO35" i="4"/>
  <c r="FP35" i="4"/>
  <c r="FQ35" i="4"/>
  <c r="FR35" i="4"/>
  <c r="FS35" i="4"/>
  <c r="FT35" i="4"/>
  <c r="FU35" i="4"/>
  <c r="FV35" i="4"/>
  <c r="FW35" i="4"/>
  <c r="FX35" i="4"/>
  <c r="FY35" i="4"/>
  <c r="FZ35" i="4"/>
  <c r="GA35" i="4"/>
  <c r="GB35" i="4"/>
  <c r="GC35" i="4"/>
  <c r="GD35" i="4"/>
  <c r="GE35" i="4"/>
  <c r="GF35" i="4"/>
  <c r="GG35" i="4"/>
  <c r="GH35" i="4"/>
  <c r="GI35" i="4"/>
  <c r="GJ35" i="4"/>
  <c r="GK35" i="4"/>
  <c r="GL35" i="4"/>
  <c r="GM35" i="4"/>
  <c r="GN35" i="4"/>
  <c r="GO35" i="4"/>
  <c r="GP35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I35" i="4"/>
  <c r="HJ35" i="4"/>
  <c r="HK35" i="4"/>
  <c r="HL35" i="4"/>
  <c r="HM35" i="4"/>
  <c r="HN35" i="4"/>
  <c r="HO35" i="4"/>
  <c r="HP35" i="4"/>
  <c r="HQ35" i="4"/>
  <c r="HR35" i="4"/>
  <c r="HS35" i="4"/>
  <c r="HT35" i="4"/>
  <c r="HU35" i="4"/>
  <c r="HV35" i="4"/>
  <c r="HW35" i="4"/>
  <c r="HX35" i="4"/>
  <c r="HY35" i="4"/>
  <c r="HZ35" i="4"/>
  <c r="IA35" i="4"/>
  <c r="IB35" i="4"/>
  <c r="IC35" i="4"/>
  <c r="ID35" i="4"/>
  <c r="IE35" i="4"/>
  <c r="IF35" i="4"/>
  <c r="IG35" i="4"/>
  <c r="IH35" i="4"/>
  <c r="II35" i="4"/>
  <c r="IJ35" i="4"/>
  <c r="IK35" i="4"/>
  <c r="IL35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ES32" i="4"/>
  <c r="ET32" i="4"/>
  <c r="EU32" i="4"/>
  <c r="EV32" i="4"/>
  <c r="EW32" i="4"/>
  <c r="EX32" i="4"/>
  <c r="EY32" i="4"/>
  <c r="EZ32" i="4"/>
  <c r="FA32" i="4"/>
  <c r="FB32" i="4"/>
  <c r="FC32" i="4"/>
  <c r="FD32" i="4"/>
  <c r="FE32" i="4"/>
  <c r="FF32" i="4"/>
  <c r="FG32" i="4"/>
  <c r="FH32" i="4"/>
  <c r="FI32" i="4"/>
  <c r="FJ32" i="4"/>
  <c r="FK32" i="4"/>
  <c r="FL32" i="4"/>
  <c r="FM32" i="4"/>
  <c r="FN32" i="4"/>
  <c r="FO32" i="4"/>
  <c r="FP32" i="4"/>
  <c r="FQ32" i="4"/>
  <c r="FR32" i="4"/>
  <c r="FS32" i="4"/>
  <c r="FT32" i="4"/>
  <c r="FU32" i="4"/>
  <c r="FV32" i="4"/>
  <c r="FW32" i="4"/>
  <c r="FX32" i="4"/>
  <c r="FY32" i="4"/>
  <c r="FZ32" i="4"/>
  <c r="GA32" i="4"/>
  <c r="GB32" i="4"/>
  <c r="GC32" i="4"/>
  <c r="GD32" i="4"/>
  <c r="GE32" i="4"/>
  <c r="GF32" i="4"/>
  <c r="GG32" i="4"/>
  <c r="GH32" i="4"/>
  <c r="GI32" i="4"/>
  <c r="GJ32" i="4"/>
  <c r="GK32" i="4"/>
  <c r="GL32" i="4"/>
  <c r="GM32" i="4"/>
  <c r="GN32" i="4"/>
  <c r="GO32" i="4"/>
  <c r="GP32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HI32" i="4"/>
  <c r="HJ32" i="4"/>
  <c r="HK32" i="4"/>
  <c r="HL32" i="4"/>
  <c r="HM32" i="4"/>
  <c r="HN32" i="4"/>
  <c r="HO32" i="4"/>
  <c r="HP32" i="4"/>
  <c r="HQ32" i="4"/>
  <c r="HR32" i="4"/>
  <c r="HS32" i="4"/>
  <c r="HT32" i="4"/>
  <c r="HU32" i="4"/>
  <c r="HV32" i="4"/>
  <c r="HW32" i="4"/>
  <c r="HX32" i="4"/>
  <c r="HY32" i="4"/>
  <c r="HZ32" i="4"/>
  <c r="IA32" i="4"/>
  <c r="IB32" i="4"/>
  <c r="IC32" i="4"/>
  <c r="ID32" i="4"/>
  <c r="IE32" i="4"/>
  <c r="IF32" i="4"/>
  <c r="IG32" i="4"/>
  <c r="IH32" i="4"/>
  <c r="II32" i="4"/>
  <c r="IJ32" i="4"/>
  <c r="IK32" i="4"/>
  <c r="IL32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ES31" i="4"/>
  <c r="ET31" i="4"/>
  <c r="EU31" i="4"/>
  <c r="EV31" i="4"/>
  <c r="EW31" i="4"/>
  <c r="EX31" i="4"/>
  <c r="EY31" i="4"/>
  <c r="EZ31" i="4"/>
  <c r="FA31" i="4"/>
  <c r="FB31" i="4"/>
  <c r="FC31" i="4"/>
  <c r="FD31" i="4"/>
  <c r="FE31" i="4"/>
  <c r="FF31" i="4"/>
  <c r="FG31" i="4"/>
  <c r="FH31" i="4"/>
  <c r="FI31" i="4"/>
  <c r="FJ31" i="4"/>
  <c r="FK31" i="4"/>
  <c r="FL31" i="4"/>
  <c r="FM31" i="4"/>
  <c r="FN31" i="4"/>
  <c r="FO31" i="4"/>
  <c r="FP31" i="4"/>
  <c r="FQ31" i="4"/>
  <c r="FR31" i="4"/>
  <c r="FS31" i="4"/>
  <c r="FT31" i="4"/>
  <c r="FU31" i="4"/>
  <c r="FV31" i="4"/>
  <c r="FW31" i="4"/>
  <c r="FX31" i="4"/>
  <c r="FY31" i="4"/>
  <c r="FZ31" i="4"/>
  <c r="GA31" i="4"/>
  <c r="GB31" i="4"/>
  <c r="GC31" i="4"/>
  <c r="GD31" i="4"/>
  <c r="GE31" i="4"/>
  <c r="GF31" i="4"/>
  <c r="GG31" i="4"/>
  <c r="GH31" i="4"/>
  <c r="GI31" i="4"/>
  <c r="GJ31" i="4"/>
  <c r="GK31" i="4"/>
  <c r="GL31" i="4"/>
  <c r="GM31" i="4"/>
  <c r="GN31" i="4"/>
  <c r="GO31" i="4"/>
  <c r="GP31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I31" i="4"/>
  <c r="HJ31" i="4"/>
  <c r="HK31" i="4"/>
  <c r="HL31" i="4"/>
  <c r="HM31" i="4"/>
  <c r="HN31" i="4"/>
  <c r="HO31" i="4"/>
  <c r="HP31" i="4"/>
  <c r="HQ31" i="4"/>
  <c r="HR31" i="4"/>
  <c r="HS31" i="4"/>
  <c r="HT31" i="4"/>
  <c r="HU31" i="4"/>
  <c r="HV31" i="4"/>
  <c r="HW31" i="4"/>
  <c r="HX31" i="4"/>
  <c r="HY31" i="4"/>
  <c r="HZ31" i="4"/>
  <c r="IA31" i="4"/>
  <c r="IB31" i="4"/>
  <c r="IC31" i="4"/>
  <c r="ID31" i="4"/>
  <c r="IE31" i="4"/>
  <c r="IF31" i="4"/>
  <c r="IG31" i="4"/>
  <c r="IH31" i="4"/>
  <c r="II31" i="4"/>
  <c r="IJ31" i="4"/>
  <c r="IK31" i="4"/>
  <c r="IL31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ES30" i="4"/>
  <c r="ET30" i="4"/>
  <c r="EU30" i="4"/>
  <c r="EV30" i="4"/>
  <c r="EW30" i="4"/>
  <c r="EX30" i="4"/>
  <c r="EY30" i="4"/>
  <c r="EZ30" i="4"/>
  <c r="FA30" i="4"/>
  <c r="FB30" i="4"/>
  <c r="FC30" i="4"/>
  <c r="FD30" i="4"/>
  <c r="FE30" i="4"/>
  <c r="FF30" i="4"/>
  <c r="FG30" i="4"/>
  <c r="FH30" i="4"/>
  <c r="FI30" i="4"/>
  <c r="FJ30" i="4"/>
  <c r="FK30" i="4"/>
  <c r="FL30" i="4"/>
  <c r="FM30" i="4"/>
  <c r="FN30" i="4"/>
  <c r="FO30" i="4"/>
  <c r="FP30" i="4"/>
  <c r="FQ30" i="4"/>
  <c r="FR30" i="4"/>
  <c r="FS30" i="4"/>
  <c r="FT30" i="4"/>
  <c r="FU30" i="4"/>
  <c r="FV30" i="4"/>
  <c r="FW30" i="4"/>
  <c r="FX30" i="4"/>
  <c r="FY30" i="4"/>
  <c r="FZ30" i="4"/>
  <c r="GA30" i="4"/>
  <c r="GB30" i="4"/>
  <c r="GC30" i="4"/>
  <c r="GD30" i="4"/>
  <c r="GE30" i="4"/>
  <c r="GF30" i="4"/>
  <c r="GG30" i="4"/>
  <c r="GH30" i="4"/>
  <c r="GI30" i="4"/>
  <c r="GJ30" i="4"/>
  <c r="GK30" i="4"/>
  <c r="GL30" i="4"/>
  <c r="GM30" i="4"/>
  <c r="GN30" i="4"/>
  <c r="GO30" i="4"/>
  <c r="GP30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HI30" i="4"/>
  <c r="HJ30" i="4"/>
  <c r="HK30" i="4"/>
  <c r="HL30" i="4"/>
  <c r="HM30" i="4"/>
  <c r="HN30" i="4"/>
  <c r="HO30" i="4"/>
  <c r="HP30" i="4"/>
  <c r="HQ30" i="4"/>
  <c r="HR30" i="4"/>
  <c r="HS30" i="4"/>
  <c r="HT30" i="4"/>
  <c r="HU30" i="4"/>
  <c r="HV30" i="4"/>
  <c r="HW30" i="4"/>
  <c r="HX30" i="4"/>
  <c r="HY30" i="4"/>
  <c r="HZ30" i="4"/>
  <c r="IA30" i="4"/>
  <c r="IB30" i="4"/>
  <c r="IC30" i="4"/>
  <c r="ID30" i="4"/>
  <c r="IE30" i="4"/>
  <c r="IF30" i="4"/>
  <c r="IG30" i="4"/>
  <c r="IH30" i="4"/>
  <c r="II30" i="4"/>
  <c r="IJ30" i="4"/>
  <c r="IK30" i="4"/>
  <c r="IL30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ES29" i="4"/>
  <c r="ET29" i="4"/>
  <c r="EU29" i="4"/>
  <c r="EV29" i="4"/>
  <c r="EW29" i="4"/>
  <c r="EX29" i="4"/>
  <c r="EY29" i="4"/>
  <c r="EZ29" i="4"/>
  <c r="FA29" i="4"/>
  <c r="FB29" i="4"/>
  <c r="FC29" i="4"/>
  <c r="FD29" i="4"/>
  <c r="FE29" i="4"/>
  <c r="FF29" i="4"/>
  <c r="FG29" i="4"/>
  <c r="FH29" i="4"/>
  <c r="FI29" i="4"/>
  <c r="FJ29" i="4"/>
  <c r="FK29" i="4"/>
  <c r="FL29" i="4"/>
  <c r="FM29" i="4"/>
  <c r="FN29" i="4"/>
  <c r="FO29" i="4"/>
  <c r="FP29" i="4"/>
  <c r="FQ29" i="4"/>
  <c r="FR29" i="4"/>
  <c r="FS29" i="4"/>
  <c r="FT29" i="4"/>
  <c r="FU29" i="4"/>
  <c r="FV29" i="4"/>
  <c r="FW29" i="4"/>
  <c r="FX29" i="4"/>
  <c r="FY29" i="4"/>
  <c r="FZ29" i="4"/>
  <c r="GA29" i="4"/>
  <c r="GB29" i="4"/>
  <c r="GC29" i="4"/>
  <c r="GD29" i="4"/>
  <c r="GE29" i="4"/>
  <c r="GF29" i="4"/>
  <c r="GG29" i="4"/>
  <c r="GH29" i="4"/>
  <c r="GI29" i="4"/>
  <c r="GJ29" i="4"/>
  <c r="GK29" i="4"/>
  <c r="GL29" i="4"/>
  <c r="GM29" i="4"/>
  <c r="GN29" i="4"/>
  <c r="GO29" i="4"/>
  <c r="GP29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HI29" i="4"/>
  <c r="HJ29" i="4"/>
  <c r="HK29" i="4"/>
  <c r="HL29" i="4"/>
  <c r="HM29" i="4"/>
  <c r="HN29" i="4"/>
  <c r="HO29" i="4"/>
  <c r="HP29" i="4"/>
  <c r="HQ29" i="4"/>
  <c r="HR29" i="4"/>
  <c r="HS29" i="4"/>
  <c r="HT29" i="4"/>
  <c r="HU29" i="4"/>
  <c r="HV29" i="4"/>
  <c r="HW29" i="4"/>
  <c r="HX29" i="4"/>
  <c r="HY29" i="4"/>
  <c r="HZ29" i="4"/>
  <c r="IA29" i="4"/>
  <c r="IB29" i="4"/>
  <c r="IC29" i="4"/>
  <c r="ID29" i="4"/>
  <c r="IE29" i="4"/>
  <c r="IF29" i="4"/>
  <c r="IG29" i="4"/>
  <c r="IH29" i="4"/>
  <c r="II29" i="4"/>
  <c r="IJ29" i="4"/>
  <c r="IK29" i="4"/>
  <c r="IL29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ES28" i="4"/>
  <c r="ET28" i="4"/>
  <c r="EU28" i="4"/>
  <c r="EV28" i="4"/>
  <c r="EW28" i="4"/>
  <c r="EX28" i="4"/>
  <c r="EY28" i="4"/>
  <c r="EZ28" i="4"/>
  <c r="FA28" i="4"/>
  <c r="FB28" i="4"/>
  <c r="FC28" i="4"/>
  <c r="FD28" i="4"/>
  <c r="FE28" i="4"/>
  <c r="FF28" i="4"/>
  <c r="FG28" i="4"/>
  <c r="FH28" i="4"/>
  <c r="FI28" i="4"/>
  <c r="FJ28" i="4"/>
  <c r="FK28" i="4"/>
  <c r="FL28" i="4"/>
  <c r="FM28" i="4"/>
  <c r="FN28" i="4"/>
  <c r="FO28" i="4"/>
  <c r="FP28" i="4"/>
  <c r="FQ28" i="4"/>
  <c r="FR28" i="4"/>
  <c r="FS28" i="4"/>
  <c r="FT28" i="4"/>
  <c r="FU28" i="4"/>
  <c r="FV28" i="4"/>
  <c r="FW28" i="4"/>
  <c r="FX28" i="4"/>
  <c r="FY28" i="4"/>
  <c r="FZ28" i="4"/>
  <c r="GA28" i="4"/>
  <c r="GB28" i="4"/>
  <c r="GC28" i="4"/>
  <c r="GD28" i="4"/>
  <c r="GE28" i="4"/>
  <c r="GF28" i="4"/>
  <c r="GG28" i="4"/>
  <c r="GH28" i="4"/>
  <c r="GI28" i="4"/>
  <c r="GJ28" i="4"/>
  <c r="GK28" i="4"/>
  <c r="GL28" i="4"/>
  <c r="GM28" i="4"/>
  <c r="GN28" i="4"/>
  <c r="GO28" i="4"/>
  <c r="GP28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I28" i="4"/>
  <c r="HJ28" i="4"/>
  <c r="HK28" i="4"/>
  <c r="HL28" i="4"/>
  <c r="HM28" i="4"/>
  <c r="HN28" i="4"/>
  <c r="HO28" i="4"/>
  <c r="HP28" i="4"/>
  <c r="HQ28" i="4"/>
  <c r="HR28" i="4"/>
  <c r="HS28" i="4"/>
  <c r="HT28" i="4"/>
  <c r="HU28" i="4"/>
  <c r="HV28" i="4"/>
  <c r="HW28" i="4"/>
  <c r="HX28" i="4"/>
  <c r="HY28" i="4"/>
  <c r="HZ28" i="4"/>
  <c r="IA28" i="4"/>
  <c r="IB28" i="4"/>
  <c r="IC28" i="4"/>
  <c r="ID28" i="4"/>
  <c r="IE28" i="4"/>
  <c r="IF28" i="4"/>
  <c r="IG28" i="4"/>
  <c r="IH28" i="4"/>
  <c r="II28" i="4"/>
  <c r="IJ28" i="4"/>
  <c r="IK28" i="4"/>
  <c r="IL28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EQ27" i="4"/>
  <c r="ER27" i="4"/>
  <c r="ES27" i="4"/>
  <c r="ET27" i="4"/>
  <c r="EU27" i="4"/>
  <c r="EV27" i="4"/>
  <c r="EW27" i="4"/>
  <c r="EX27" i="4"/>
  <c r="EY27" i="4"/>
  <c r="EZ27" i="4"/>
  <c r="FA27" i="4"/>
  <c r="FB27" i="4"/>
  <c r="FC27" i="4"/>
  <c r="FD27" i="4"/>
  <c r="FE27" i="4"/>
  <c r="FF27" i="4"/>
  <c r="FG27" i="4"/>
  <c r="FH27" i="4"/>
  <c r="FI27" i="4"/>
  <c r="FJ27" i="4"/>
  <c r="FK27" i="4"/>
  <c r="FL27" i="4"/>
  <c r="FM27" i="4"/>
  <c r="FN27" i="4"/>
  <c r="FO27" i="4"/>
  <c r="FP27" i="4"/>
  <c r="FQ27" i="4"/>
  <c r="FR27" i="4"/>
  <c r="FS27" i="4"/>
  <c r="FT27" i="4"/>
  <c r="FU27" i="4"/>
  <c r="FV27" i="4"/>
  <c r="FW27" i="4"/>
  <c r="FX27" i="4"/>
  <c r="FY27" i="4"/>
  <c r="FZ27" i="4"/>
  <c r="GA27" i="4"/>
  <c r="GB27" i="4"/>
  <c r="GC27" i="4"/>
  <c r="GD27" i="4"/>
  <c r="GE27" i="4"/>
  <c r="GF27" i="4"/>
  <c r="GG27" i="4"/>
  <c r="GH27" i="4"/>
  <c r="GI27" i="4"/>
  <c r="GJ27" i="4"/>
  <c r="GK27" i="4"/>
  <c r="GL27" i="4"/>
  <c r="GM27" i="4"/>
  <c r="GN27" i="4"/>
  <c r="GO27" i="4"/>
  <c r="GP27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HI27" i="4"/>
  <c r="HJ27" i="4"/>
  <c r="HK27" i="4"/>
  <c r="HL27" i="4"/>
  <c r="HM27" i="4"/>
  <c r="HN27" i="4"/>
  <c r="HO27" i="4"/>
  <c r="HP27" i="4"/>
  <c r="HQ27" i="4"/>
  <c r="HR27" i="4"/>
  <c r="HS27" i="4"/>
  <c r="HT27" i="4"/>
  <c r="HU27" i="4"/>
  <c r="HV27" i="4"/>
  <c r="HW27" i="4"/>
  <c r="HX27" i="4"/>
  <c r="HY27" i="4"/>
  <c r="HZ27" i="4"/>
  <c r="IA27" i="4"/>
  <c r="IB27" i="4"/>
  <c r="IC27" i="4"/>
  <c r="ID27" i="4"/>
  <c r="IE27" i="4"/>
  <c r="IF27" i="4"/>
  <c r="IG27" i="4"/>
  <c r="IH27" i="4"/>
  <c r="II27" i="4"/>
  <c r="IJ27" i="4"/>
  <c r="IK27" i="4"/>
  <c r="IL27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ES26" i="4"/>
  <c r="ET26" i="4"/>
  <c r="EU26" i="4"/>
  <c r="EV26" i="4"/>
  <c r="EW26" i="4"/>
  <c r="EX26" i="4"/>
  <c r="EY26" i="4"/>
  <c r="EZ26" i="4"/>
  <c r="FA26" i="4"/>
  <c r="FB26" i="4"/>
  <c r="FC26" i="4"/>
  <c r="FD26" i="4"/>
  <c r="FE26" i="4"/>
  <c r="FF26" i="4"/>
  <c r="FG26" i="4"/>
  <c r="FH26" i="4"/>
  <c r="FI26" i="4"/>
  <c r="FJ26" i="4"/>
  <c r="FK26" i="4"/>
  <c r="FL26" i="4"/>
  <c r="FM26" i="4"/>
  <c r="FN26" i="4"/>
  <c r="FO26" i="4"/>
  <c r="FP26" i="4"/>
  <c r="FQ26" i="4"/>
  <c r="FR26" i="4"/>
  <c r="FS26" i="4"/>
  <c r="FT26" i="4"/>
  <c r="FU26" i="4"/>
  <c r="FV26" i="4"/>
  <c r="FW26" i="4"/>
  <c r="FX26" i="4"/>
  <c r="FY26" i="4"/>
  <c r="FZ26" i="4"/>
  <c r="GA26" i="4"/>
  <c r="GB26" i="4"/>
  <c r="GC26" i="4"/>
  <c r="GD26" i="4"/>
  <c r="GE26" i="4"/>
  <c r="GF26" i="4"/>
  <c r="GG26" i="4"/>
  <c r="GH26" i="4"/>
  <c r="GI26" i="4"/>
  <c r="GJ26" i="4"/>
  <c r="GK26" i="4"/>
  <c r="GL26" i="4"/>
  <c r="GM26" i="4"/>
  <c r="GN26" i="4"/>
  <c r="GO26" i="4"/>
  <c r="GP26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HI26" i="4"/>
  <c r="HJ26" i="4"/>
  <c r="HK26" i="4"/>
  <c r="HL26" i="4"/>
  <c r="HM26" i="4"/>
  <c r="HN26" i="4"/>
  <c r="HO26" i="4"/>
  <c r="HP26" i="4"/>
  <c r="HQ26" i="4"/>
  <c r="HR26" i="4"/>
  <c r="HS26" i="4"/>
  <c r="HT26" i="4"/>
  <c r="HU26" i="4"/>
  <c r="HV26" i="4"/>
  <c r="HW26" i="4"/>
  <c r="HX26" i="4"/>
  <c r="HY26" i="4"/>
  <c r="HZ26" i="4"/>
  <c r="IA26" i="4"/>
  <c r="IB26" i="4"/>
  <c r="IC26" i="4"/>
  <c r="ID26" i="4"/>
  <c r="IE26" i="4"/>
  <c r="IF26" i="4"/>
  <c r="IG26" i="4"/>
  <c r="IH26" i="4"/>
  <c r="II26" i="4"/>
  <c r="IJ26" i="4"/>
  <c r="IK26" i="4"/>
  <c r="IL26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FL25" i="4"/>
  <c r="FM25" i="4"/>
  <c r="FN25" i="4"/>
  <c r="FO25" i="4"/>
  <c r="FP25" i="4"/>
  <c r="FQ25" i="4"/>
  <c r="FR25" i="4"/>
  <c r="FS25" i="4"/>
  <c r="FT25" i="4"/>
  <c r="FU25" i="4"/>
  <c r="FV25" i="4"/>
  <c r="FW25" i="4"/>
  <c r="FX25" i="4"/>
  <c r="FY25" i="4"/>
  <c r="FZ25" i="4"/>
  <c r="GA25" i="4"/>
  <c r="GB25" i="4"/>
  <c r="GC25" i="4"/>
  <c r="GD25" i="4"/>
  <c r="GE25" i="4"/>
  <c r="GF25" i="4"/>
  <c r="GG25" i="4"/>
  <c r="GH25" i="4"/>
  <c r="GI25" i="4"/>
  <c r="GJ25" i="4"/>
  <c r="GK25" i="4"/>
  <c r="GL25" i="4"/>
  <c r="GM25" i="4"/>
  <c r="GN25" i="4"/>
  <c r="GO25" i="4"/>
  <c r="GP25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HI25" i="4"/>
  <c r="HJ25" i="4"/>
  <c r="HK25" i="4"/>
  <c r="HL25" i="4"/>
  <c r="HM25" i="4"/>
  <c r="HN25" i="4"/>
  <c r="HO25" i="4"/>
  <c r="HP25" i="4"/>
  <c r="HQ25" i="4"/>
  <c r="HR25" i="4"/>
  <c r="HS25" i="4"/>
  <c r="HT25" i="4"/>
  <c r="HU25" i="4"/>
  <c r="HV25" i="4"/>
  <c r="HW25" i="4"/>
  <c r="HX25" i="4"/>
  <c r="HY25" i="4"/>
  <c r="HZ25" i="4"/>
  <c r="IA25" i="4"/>
  <c r="IB25" i="4"/>
  <c r="IC25" i="4"/>
  <c r="ID25" i="4"/>
  <c r="IE25" i="4"/>
  <c r="IF25" i="4"/>
  <c r="IG25" i="4"/>
  <c r="IH25" i="4"/>
  <c r="II25" i="4"/>
  <c r="IJ25" i="4"/>
  <c r="IK25" i="4"/>
  <c r="IL25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ES24" i="4"/>
  <c r="ET24" i="4"/>
  <c r="EU24" i="4"/>
  <c r="EV24" i="4"/>
  <c r="EW24" i="4"/>
  <c r="EX24" i="4"/>
  <c r="EY24" i="4"/>
  <c r="EZ24" i="4"/>
  <c r="FA24" i="4"/>
  <c r="FB24" i="4"/>
  <c r="FC24" i="4"/>
  <c r="FD24" i="4"/>
  <c r="FE24" i="4"/>
  <c r="FF24" i="4"/>
  <c r="FG24" i="4"/>
  <c r="FH24" i="4"/>
  <c r="FI24" i="4"/>
  <c r="FJ24" i="4"/>
  <c r="FK24" i="4"/>
  <c r="FL24" i="4"/>
  <c r="FM24" i="4"/>
  <c r="FN24" i="4"/>
  <c r="FO24" i="4"/>
  <c r="FP24" i="4"/>
  <c r="FQ24" i="4"/>
  <c r="FR24" i="4"/>
  <c r="FS24" i="4"/>
  <c r="FT24" i="4"/>
  <c r="FU24" i="4"/>
  <c r="FV24" i="4"/>
  <c r="FW24" i="4"/>
  <c r="FX24" i="4"/>
  <c r="FY24" i="4"/>
  <c r="FZ24" i="4"/>
  <c r="GA24" i="4"/>
  <c r="GB24" i="4"/>
  <c r="GC24" i="4"/>
  <c r="GD24" i="4"/>
  <c r="GE24" i="4"/>
  <c r="GF24" i="4"/>
  <c r="GG24" i="4"/>
  <c r="GH24" i="4"/>
  <c r="GI24" i="4"/>
  <c r="GJ24" i="4"/>
  <c r="GK24" i="4"/>
  <c r="GL24" i="4"/>
  <c r="GM24" i="4"/>
  <c r="GN24" i="4"/>
  <c r="GO24" i="4"/>
  <c r="GP24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HI24" i="4"/>
  <c r="HJ24" i="4"/>
  <c r="HK24" i="4"/>
  <c r="HL24" i="4"/>
  <c r="HM24" i="4"/>
  <c r="HN24" i="4"/>
  <c r="HO24" i="4"/>
  <c r="HP24" i="4"/>
  <c r="HQ24" i="4"/>
  <c r="HR24" i="4"/>
  <c r="HS24" i="4"/>
  <c r="HT24" i="4"/>
  <c r="HU24" i="4"/>
  <c r="HV24" i="4"/>
  <c r="HW24" i="4"/>
  <c r="HX24" i="4"/>
  <c r="HY24" i="4"/>
  <c r="HZ24" i="4"/>
  <c r="IA24" i="4"/>
  <c r="IB24" i="4"/>
  <c r="IC24" i="4"/>
  <c r="ID24" i="4"/>
  <c r="IE24" i="4"/>
  <c r="IF24" i="4"/>
  <c r="IG24" i="4"/>
  <c r="IH24" i="4"/>
  <c r="II24" i="4"/>
  <c r="IJ24" i="4"/>
  <c r="IK24" i="4"/>
  <c r="IL24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ES23" i="4"/>
  <c r="ET23" i="4"/>
  <c r="EU23" i="4"/>
  <c r="EV23" i="4"/>
  <c r="EW23" i="4"/>
  <c r="EX23" i="4"/>
  <c r="EY23" i="4"/>
  <c r="EZ23" i="4"/>
  <c r="FA23" i="4"/>
  <c r="FB23" i="4"/>
  <c r="FC23" i="4"/>
  <c r="FD23" i="4"/>
  <c r="FE23" i="4"/>
  <c r="FF23" i="4"/>
  <c r="FG23" i="4"/>
  <c r="FH23" i="4"/>
  <c r="FI23" i="4"/>
  <c r="FJ23" i="4"/>
  <c r="FK23" i="4"/>
  <c r="FL23" i="4"/>
  <c r="FM23" i="4"/>
  <c r="FN23" i="4"/>
  <c r="FO23" i="4"/>
  <c r="FP23" i="4"/>
  <c r="FQ23" i="4"/>
  <c r="FR23" i="4"/>
  <c r="FS23" i="4"/>
  <c r="FT23" i="4"/>
  <c r="FU23" i="4"/>
  <c r="FV23" i="4"/>
  <c r="FW23" i="4"/>
  <c r="FX23" i="4"/>
  <c r="FY23" i="4"/>
  <c r="FZ23" i="4"/>
  <c r="GA23" i="4"/>
  <c r="GB23" i="4"/>
  <c r="GC23" i="4"/>
  <c r="GD23" i="4"/>
  <c r="GE23" i="4"/>
  <c r="GF23" i="4"/>
  <c r="GG23" i="4"/>
  <c r="GH23" i="4"/>
  <c r="GI23" i="4"/>
  <c r="GJ23" i="4"/>
  <c r="GK23" i="4"/>
  <c r="GL23" i="4"/>
  <c r="GM23" i="4"/>
  <c r="GN23" i="4"/>
  <c r="GO23" i="4"/>
  <c r="GP23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HI23" i="4"/>
  <c r="HJ23" i="4"/>
  <c r="HK23" i="4"/>
  <c r="HL23" i="4"/>
  <c r="HM23" i="4"/>
  <c r="HN23" i="4"/>
  <c r="HO23" i="4"/>
  <c r="HP23" i="4"/>
  <c r="HQ23" i="4"/>
  <c r="HR23" i="4"/>
  <c r="HS23" i="4"/>
  <c r="HT23" i="4"/>
  <c r="HU23" i="4"/>
  <c r="HV23" i="4"/>
  <c r="HW23" i="4"/>
  <c r="HX23" i="4"/>
  <c r="HY23" i="4"/>
  <c r="HZ23" i="4"/>
  <c r="IA23" i="4"/>
  <c r="IB23" i="4"/>
  <c r="IC23" i="4"/>
  <c r="ID23" i="4"/>
  <c r="IE23" i="4"/>
  <c r="IF23" i="4"/>
  <c r="IG23" i="4"/>
  <c r="IH23" i="4"/>
  <c r="II23" i="4"/>
  <c r="IJ23" i="4"/>
  <c r="IK23" i="4"/>
  <c r="IL23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ES22" i="4"/>
  <c r="ET22" i="4"/>
  <c r="EU22" i="4"/>
  <c r="EV22" i="4"/>
  <c r="EW22" i="4"/>
  <c r="EX22" i="4"/>
  <c r="EY22" i="4"/>
  <c r="EZ22" i="4"/>
  <c r="FA22" i="4"/>
  <c r="FB22" i="4"/>
  <c r="FC22" i="4"/>
  <c r="FD22" i="4"/>
  <c r="FE22" i="4"/>
  <c r="FF22" i="4"/>
  <c r="FG22" i="4"/>
  <c r="FH22" i="4"/>
  <c r="FI22" i="4"/>
  <c r="FJ22" i="4"/>
  <c r="FK22" i="4"/>
  <c r="FL22" i="4"/>
  <c r="FM22" i="4"/>
  <c r="FN22" i="4"/>
  <c r="FO22" i="4"/>
  <c r="FP22" i="4"/>
  <c r="FQ22" i="4"/>
  <c r="FR22" i="4"/>
  <c r="FS22" i="4"/>
  <c r="FT22" i="4"/>
  <c r="FU22" i="4"/>
  <c r="FV22" i="4"/>
  <c r="FW22" i="4"/>
  <c r="FX22" i="4"/>
  <c r="FY22" i="4"/>
  <c r="FZ22" i="4"/>
  <c r="GA22" i="4"/>
  <c r="GB22" i="4"/>
  <c r="GC22" i="4"/>
  <c r="GD22" i="4"/>
  <c r="GE22" i="4"/>
  <c r="GF22" i="4"/>
  <c r="GG22" i="4"/>
  <c r="GH22" i="4"/>
  <c r="GI22" i="4"/>
  <c r="GJ22" i="4"/>
  <c r="GK22" i="4"/>
  <c r="GL22" i="4"/>
  <c r="GM22" i="4"/>
  <c r="GN22" i="4"/>
  <c r="GO22" i="4"/>
  <c r="GP22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HI22" i="4"/>
  <c r="HJ22" i="4"/>
  <c r="HK22" i="4"/>
  <c r="HL22" i="4"/>
  <c r="HM22" i="4"/>
  <c r="HN22" i="4"/>
  <c r="HO22" i="4"/>
  <c r="HP22" i="4"/>
  <c r="HQ22" i="4"/>
  <c r="HR22" i="4"/>
  <c r="HS22" i="4"/>
  <c r="HT22" i="4"/>
  <c r="HU22" i="4"/>
  <c r="HV22" i="4"/>
  <c r="HW22" i="4"/>
  <c r="HX22" i="4"/>
  <c r="HY22" i="4"/>
  <c r="HZ22" i="4"/>
  <c r="IA22" i="4"/>
  <c r="IB22" i="4"/>
  <c r="IC22" i="4"/>
  <c r="ID22" i="4"/>
  <c r="IE22" i="4"/>
  <c r="IF22" i="4"/>
  <c r="IG22" i="4"/>
  <c r="IH22" i="4"/>
  <c r="II22" i="4"/>
  <c r="IJ22" i="4"/>
  <c r="IK22" i="4"/>
  <c r="IL22" i="4"/>
  <c r="B20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EZ19" i="4"/>
  <c r="FA19" i="4"/>
  <c r="FB19" i="4"/>
  <c r="FC19" i="4"/>
  <c r="FD19" i="4"/>
  <c r="FE19" i="4"/>
  <c r="FF19" i="4"/>
  <c r="FG19" i="4"/>
  <c r="FH19" i="4"/>
  <c r="FI19" i="4"/>
  <c r="FJ19" i="4"/>
  <c r="FK19" i="4"/>
  <c r="FL19" i="4"/>
  <c r="FM19" i="4"/>
  <c r="FN19" i="4"/>
  <c r="FO19" i="4"/>
  <c r="FP19" i="4"/>
  <c r="FQ19" i="4"/>
  <c r="FR19" i="4"/>
  <c r="FS19" i="4"/>
  <c r="FT19" i="4"/>
  <c r="FU19" i="4"/>
  <c r="FV19" i="4"/>
  <c r="FW19" i="4"/>
  <c r="FX19" i="4"/>
  <c r="FY19" i="4"/>
  <c r="FZ19" i="4"/>
  <c r="GA19" i="4"/>
  <c r="GB19" i="4"/>
  <c r="GC19" i="4"/>
  <c r="GD19" i="4"/>
  <c r="GE19" i="4"/>
  <c r="GF19" i="4"/>
  <c r="GG19" i="4"/>
  <c r="GH19" i="4"/>
  <c r="GI19" i="4"/>
  <c r="GJ19" i="4"/>
  <c r="GK19" i="4"/>
  <c r="GL19" i="4"/>
  <c r="GM19" i="4"/>
  <c r="GN19" i="4"/>
  <c r="GO19" i="4"/>
  <c r="GP19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HI19" i="4"/>
  <c r="HJ19" i="4"/>
  <c r="HK19" i="4"/>
  <c r="HL19" i="4"/>
  <c r="HM19" i="4"/>
  <c r="HN19" i="4"/>
  <c r="HO19" i="4"/>
  <c r="HP19" i="4"/>
  <c r="HQ19" i="4"/>
  <c r="HR19" i="4"/>
  <c r="HS19" i="4"/>
  <c r="HT19" i="4"/>
  <c r="HU19" i="4"/>
  <c r="HV19" i="4"/>
  <c r="HW19" i="4"/>
  <c r="HX19" i="4"/>
  <c r="HY19" i="4"/>
  <c r="HZ19" i="4"/>
  <c r="IA19" i="4"/>
  <c r="IB19" i="4"/>
  <c r="IC19" i="4"/>
  <c r="ID19" i="4"/>
  <c r="IE19" i="4"/>
  <c r="IF19" i="4"/>
  <c r="IG19" i="4"/>
  <c r="IH19" i="4"/>
  <c r="II19" i="4"/>
  <c r="IJ19" i="4"/>
  <c r="IK19" i="4"/>
  <c r="IL19" i="4"/>
  <c r="E2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D2" i="1"/>
  <c r="D3" i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M53" i="6" l="1"/>
  <c r="M45" i="6"/>
  <c r="M37" i="6"/>
  <c r="M29" i="6"/>
  <c r="M52" i="6"/>
  <c r="M44" i="6"/>
  <c r="M36" i="6"/>
  <c r="M28" i="6"/>
  <c r="M20" i="6"/>
  <c r="M23" i="6"/>
  <c r="M51" i="6"/>
  <c r="M43" i="6"/>
  <c r="M35" i="6"/>
  <c r="M27" i="6"/>
  <c r="M19" i="6"/>
  <c r="M58" i="6"/>
  <c r="M50" i="6"/>
  <c r="M42" i="6"/>
  <c r="M34" i="6"/>
  <c r="M26" i="6"/>
  <c r="M54" i="6"/>
  <c r="M46" i="6"/>
  <c r="M38" i="6"/>
  <c r="M22" i="6"/>
  <c r="M57" i="6"/>
  <c r="M49" i="6"/>
  <c r="M41" i="6"/>
  <c r="M33" i="6"/>
  <c r="M56" i="6"/>
  <c r="M48" i="6"/>
  <c r="M40" i="6"/>
  <c r="M32" i="6"/>
  <c r="M24" i="6"/>
  <c r="C62" i="6"/>
  <c r="C54" i="6"/>
  <c r="C46" i="6"/>
  <c r="C38" i="6"/>
  <c r="C30" i="6"/>
  <c r="C22" i="6"/>
  <c r="G22" i="6" s="1"/>
  <c r="H22" i="6" s="1"/>
  <c r="D67" i="6" a="1"/>
  <c r="D67" i="6" s="1"/>
  <c r="D59" i="6" a="1"/>
  <c r="D59" i="6" s="1"/>
  <c r="D51" i="6" a="1"/>
  <c r="D51" i="6" s="1"/>
  <c r="D43" i="6" a="1"/>
  <c r="D43" i="6" s="1"/>
  <c r="D35" i="6" a="1"/>
  <c r="D35" i="6" s="1"/>
  <c r="D27" i="6" a="1"/>
  <c r="D27" i="6" s="1"/>
  <c r="D19" i="6" a="1"/>
  <c r="D19" i="6" s="1"/>
  <c r="E66" i="6"/>
  <c r="E58" i="6"/>
  <c r="E50" i="6"/>
  <c r="E42" i="6"/>
  <c r="E34" i="6"/>
  <c r="E26" i="6"/>
  <c r="E18" i="6"/>
  <c r="F63" i="6" a="1"/>
  <c r="F63" i="6" s="1"/>
  <c r="F55" i="6" a="1"/>
  <c r="F55" i="6" s="1"/>
  <c r="F47" i="6" a="1"/>
  <c r="F47" i="6" s="1"/>
  <c r="F39" i="6" a="1"/>
  <c r="F39" i="6" s="1"/>
  <c r="F31" i="6" a="1"/>
  <c r="F31" i="6" s="1"/>
  <c r="F23" i="6" a="1"/>
  <c r="F23" i="6" s="1"/>
  <c r="F16" i="6" a="1"/>
  <c r="F16" i="6" s="1"/>
  <c r="G61" i="6"/>
  <c r="G53" i="6"/>
  <c r="G45" i="6"/>
  <c r="G37" i="6"/>
  <c r="G29" i="6"/>
  <c r="H66" i="6"/>
  <c r="H58" i="6"/>
  <c r="H50" i="6"/>
  <c r="H42" i="6"/>
  <c r="H34" i="6"/>
  <c r="H26" i="6"/>
  <c r="C61" i="6"/>
  <c r="C53" i="6"/>
  <c r="C45" i="6"/>
  <c r="C37" i="6"/>
  <c r="C29" i="6"/>
  <c r="C21" i="6"/>
  <c r="D66" i="6" a="1"/>
  <c r="D66" i="6" s="1"/>
  <c r="D58" i="6" a="1"/>
  <c r="D58" i="6" s="1"/>
  <c r="D50" i="6" a="1"/>
  <c r="D50" i="6" s="1"/>
  <c r="D42" i="6" a="1"/>
  <c r="D42" i="6" s="1"/>
  <c r="D26" i="6" a="1"/>
  <c r="D26" i="6" s="1"/>
  <c r="E65" i="6"/>
  <c r="E57" i="6"/>
  <c r="E49" i="6"/>
  <c r="E41" i="6"/>
  <c r="E33" i="6"/>
  <c r="E25" i="6"/>
  <c r="E17" i="6"/>
  <c r="F62" i="6" a="1"/>
  <c r="F62" i="6" s="1"/>
  <c r="F54" i="6" a="1"/>
  <c r="F54" i="6" s="1"/>
  <c r="F46" i="6" a="1"/>
  <c r="F46" i="6" s="1"/>
  <c r="F38" i="6" a="1"/>
  <c r="F38" i="6" s="1"/>
  <c r="F30" i="6" a="1"/>
  <c r="F30" i="6" s="1"/>
  <c r="G60" i="6"/>
  <c r="G52" i="6"/>
  <c r="G44" i="6"/>
  <c r="G36" i="6"/>
  <c r="G28" i="6"/>
  <c r="H65" i="6"/>
  <c r="H57" i="6"/>
  <c r="H49" i="6"/>
  <c r="H41" i="6"/>
  <c r="H33" i="6"/>
  <c r="H25" i="6"/>
  <c r="M21" i="6"/>
  <c r="M13" i="6"/>
  <c r="C60" i="6"/>
  <c r="C52" i="6"/>
  <c r="C44" i="6"/>
  <c r="C36" i="6"/>
  <c r="C28" i="6"/>
  <c r="C20" i="6"/>
  <c r="G20" i="6" s="1"/>
  <c r="H20" i="6" s="1"/>
  <c r="D65" i="6" a="1"/>
  <c r="D65" i="6" s="1"/>
  <c r="D57" i="6" a="1"/>
  <c r="D57" i="6" s="1"/>
  <c r="D49" i="6" a="1"/>
  <c r="D49" i="6" s="1"/>
  <c r="D41" i="6" a="1"/>
  <c r="D41" i="6" s="1"/>
  <c r="D33" i="6" a="1"/>
  <c r="D33" i="6" s="1"/>
  <c r="D25" i="6" a="1"/>
  <c r="D25" i="6" s="1"/>
  <c r="D18" i="6" a="1"/>
  <c r="D18" i="6" s="1"/>
  <c r="E64" i="6"/>
  <c r="E56" i="6"/>
  <c r="E48" i="6"/>
  <c r="E40" i="6"/>
  <c r="E32" i="6"/>
  <c r="E24" i="6"/>
  <c r="E16" i="6"/>
  <c r="F61" i="6" a="1"/>
  <c r="F61" i="6" s="1"/>
  <c r="F53" i="6" a="1"/>
  <c r="F53" i="6" s="1"/>
  <c r="F45" i="6" a="1"/>
  <c r="F45" i="6" s="1"/>
  <c r="F37" i="6" a="1"/>
  <c r="F37" i="6" s="1"/>
  <c r="F29" i="6" a="1"/>
  <c r="F29" i="6" s="1"/>
  <c r="F21" i="6" a="1"/>
  <c r="F21" i="6" s="1"/>
  <c r="G67" i="6"/>
  <c r="G59" i="6"/>
  <c r="G51" i="6"/>
  <c r="G43" i="6"/>
  <c r="G35" i="6"/>
  <c r="G27" i="6"/>
  <c r="H64" i="6"/>
  <c r="H56" i="6"/>
  <c r="H48" i="6"/>
  <c r="H40" i="6"/>
  <c r="H32" i="6"/>
  <c r="H24" i="6"/>
  <c r="C67" i="6"/>
  <c r="C59" i="6"/>
  <c r="C51" i="6"/>
  <c r="C43" i="6"/>
  <c r="C35" i="6"/>
  <c r="C27" i="6"/>
  <c r="C19" i="6"/>
  <c r="G19" i="6" s="1"/>
  <c r="H19" i="6" s="1"/>
  <c r="D64" i="6" a="1"/>
  <c r="D64" i="6" s="1"/>
  <c r="D56" i="6" a="1"/>
  <c r="D56" i="6" s="1"/>
  <c r="D48" i="6" a="1"/>
  <c r="D48" i="6" s="1"/>
  <c r="D40" i="6" a="1"/>
  <c r="D40" i="6" s="1"/>
  <c r="D32" i="6" a="1"/>
  <c r="D32" i="6" s="1"/>
  <c r="D24" i="6" a="1"/>
  <c r="D24" i="6" s="1"/>
  <c r="E63" i="6"/>
  <c r="E55" i="6"/>
  <c r="E47" i="6"/>
  <c r="E39" i="6"/>
  <c r="E31" i="6"/>
  <c r="E23" i="6"/>
  <c r="F60" i="6" a="1"/>
  <c r="F60" i="6" s="1"/>
  <c r="F52" i="6" a="1"/>
  <c r="F52" i="6" s="1"/>
  <c r="F44" i="6" a="1"/>
  <c r="F44" i="6" s="1"/>
  <c r="F36" i="6" a="1"/>
  <c r="F36" i="6" s="1"/>
  <c r="F28" i="6" a="1"/>
  <c r="F28" i="6" s="1"/>
  <c r="F20" i="6" a="1"/>
  <c r="F20" i="6" s="1"/>
  <c r="G66" i="6"/>
  <c r="G58" i="6"/>
  <c r="G50" i="6"/>
  <c r="G42" i="6"/>
  <c r="G34" i="6"/>
  <c r="G26" i="6"/>
  <c r="H63" i="6"/>
  <c r="H55" i="6"/>
  <c r="H47" i="6"/>
  <c r="H39" i="6"/>
  <c r="H31" i="6"/>
  <c r="H23" i="6"/>
  <c r="M18" i="6"/>
  <c r="C65" i="6"/>
  <c r="C57" i="6"/>
  <c r="C49" i="6"/>
  <c r="C41" i="6"/>
  <c r="C33" i="6"/>
  <c r="C25" i="6"/>
  <c r="C17" i="6"/>
  <c r="G17" i="6" s="1"/>
  <c r="H17" i="6" s="1"/>
  <c r="D62" i="6" a="1"/>
  <c r="D62" i="6" s="1"/>
  <c r="D54" i="6" a="1"/>
  <c r="D54" i="6" s="1"/>
  <c r="D46" i="6" a="1"/>
  <c r="D46" i="6" s="1"/>
  <c r="D38" i="6" a="1"/>
  <c r="D38" i="6" s="1"/>
  <c r="D30" i="6" a="1"/>
  <c r="D30" i="6" s="1"/>
  <c r="D22" i="6" a="1"/>
  <c r="D22" i="6" s="1"/>
  <c r="D16" i="6" a="1"/>
  <c r="D16" i="6" s="1"/>
  <c r="E61" i="6"/>
  <c r="E53" i="6"/>
  <c r="E45" i="6"/>
  <c r="E37" i="6"/>
  <c r="E29" i="6"/>
  <c r="E21" i="6"/>
  <c r="F66" i="6" a="1"/>
  <c r="F66" i="6" s="1"/>
  <c r="F58" i="6" a="1"/>
  <c r="F58" i="6" s="1"/>
  <c r="F50" i="6" a="1"/>
  <c r="F50" i="6" s="1"/>
  <c r="F42" i="6" a="1"/>
  <c r="F42" i="6" s="1"/>
  <c r="F34" i="6" a="1"/>
  <c r="F34" i="6" s="1"/>
  <c r="F26" i="6" a="1"/>
  <c r="F26" i="6" s="1"/>
  <c r="G64" i="6"/>
  <c r="G56" i="6"/>
  <c r="G48" i="6"/>
  <c r="G40" i="6"/>
  <c r="G32" i="6"/>
  <c r="G24" i="6"/>
  <c r="H61" i="6"/>
  <c r="H53" i="6"/>
  <c r="H45" i="6"/>
  <c r="H37" i="6"/>
  <c r="H29" i="6"/>
  <c r="M25" i="6"/>
  <c r="M17" i="6"/>
  <c r="M9" i="6"/>
  <c r="C63" i="6"/>
  <c r="C55" i="6"/>
  <c r="C47" i="6"/>
  <c r="C39" i="6"/>
  <c r="C31" i="6"/>
  <c r="C23" i="6"/>
  <c r="D60" i="6" a="1"/>
  <c r="D60" i="6" s="1"/>
  <c r="D52" i="6" a="1"/>
  <c r="D52" i="6" s="1"/>
  <c r="D44" i="6" a="1"/>
  <c r="D44" i="6" s="1"/>
  <c r="D36" i="6" a="1"/>
  <c r="D36" i="6" s="1"/>
  <c r="D28" i="6" a="1"/>
  <c r="D28" i="6" s="1"/>
  <c r="D20" i="6" a="1"/>
  <c r="D20" i="6" s="1"/>
  <c r="E67" i="6"/>
  <c r="E59" i="6"/>
  <c r="E51" i="6"/>
  <c r="E43" i="6"/>
  <c r="E35" i="6"/>
  <c r="E27" i="6"/>
  <c r="E19" i="6"/>
  <c r="F64" i="6" a="1"/>
  <c r="F64" i="6" s="1"/>
  <c r="F56" i="6" a="1"/>
  <c r="F56" i="6" s="1"/>
  <c r="F48" i="6" a="1"/>
  <c r="F48" i="6" s="1"/>
  <c r="F40" i="6" a="1"/>
  <c r="F40" i="6" s="1"/>
  <c r="F32" i="6" a="1"/>
  <c r="F32" i="6" s="1"/>
  <c r="F24" i="6" a="1"/>
  <c r="F24" i="6" s="1"/>
  <c r="F17" i="6" a="1"/>
  <c r="F17" i="6" s="1"/>
  <c r="G62" i="6"/>
  <c r="G54" i="6"/>
  <c r="G46" i="6"/>
  <c r="G38" i="6"/>
  <c r="G30" i="6"/>
  <c r="H59" i="6"/>
  <c r="H51" i="6"/>
  <c r="H43" i="6"/>
  <c r="H35" i="6"/>
  <c r="H27" i="6"/>
  <c r="M55" i="6"/>
  <c r="M47" i="6"/>
  <c r="M39" i="6"/>
  <c r="M31" i="6"/>
  <c r="BZ33" i="4"/>
  <c r="BR33" i="4"/>
  <c r="N33" i="4"/>
  <c r="F33" i="4"/>
  <c r="B11" i="6"/>
  <c r="G21" i="6"/>
  <c r="H21" i="6" s="1"/>
  <c r="AY33" i="4"/>
  <c r="AQ33" i="4"/>
  <c r="GW33" i="4"/>
  <c r="ES33" i="4"/>
  <c r="E9" i="6"/>
  <c r="FQ33" i="4"/>
  <c r="II77" i="4"/>
  <c r="IA77" i="4"/>
  <c r="HS77" i="4"/>
  <c r="HK77" i="4"/>
  <c r="HC77" i="4"/>
  <c r="GU77" i="4"/>
  <c r="GM77" i="4"/>
  <c r="GE77" i="4"/>
  <c r="FW77" i="4"/>
  <c r="FO77" i="4"/>
  <c r="FG77" i="4"/>
  <c r="EY77" i="4"/>
  <c r="EQ77" i="4"/>
  <c r="EI77" i="4"/>
  <c r="EA77" i="4"/>
  <c r="DS77" i="4"/>
  <c r="DK77" i="4"/>
  <c r="DC77" i="4"/>
  <c r="CU77" i="4"/>
  <c r="CM77" i="4"/>
  <c r="CE77" i="4"/>
  <c r="BW77" i="4"/>
  <c r="BO77" i="4"/>
  <c r="BG77" i="4"/>
  <c r="AY77" i="4"/>
  <c r="AY78" i="4" s="1"/>
  <c r="AQ77" i="4"/>
  <c r="AI77" i="4"/>
  <c r="AA77" i="4"/>
  <c r="S77" i="4"/>
  <c r="K77" i="4"/>
  <c r="C77" i="4"/>
  <c r="HU33" i="4"/>
  <c r="FY33" i="4"/>
  <c r="EC33" i="4"/>
  <c r="BQ33" i="4"/>
  <c r="DK33" i="4"/>
  <c r="DC33" i="4"/>
  <c r="IK33" i="4"/>
  <c r="GO33" i="4"/>
  <c r="BI33" i="4"/>
  <c r="E33" i="4"/>
  <c r="HR33" i="4"/>
  <c r="GT33" i="4"/>
  <c r="FN33" i="4"/>
  <c r="EH33" i="4"/>
  <c r="DB33" i="4"/>
  <c r="BV33" i="4"/>
  <c r="AP33" i="4"/>
  <c r="J33" i="4"/>
  <c r="GY33" i="4"/>
  <c r="FS33" i="4"/>
  <c r="EM33" i="4"/>
  <c r="IB33" i="4"/>
  <c r="GV33" i="4"/>
  <c r="FP33" i="4"/>
  <c r="EJ33" i="4"/>
  <c r="BH33" i="4"/>
  <c r="CK33" i="4"/>
  <c r="Y33" i="4"/>
  <c r="X33" i="4"/>
  <c r="GG33" i="4"/>
  <c r="FA33" i="4"/>
  <c r="GL33" i="4"/>
  <c r="EP33" i="4"/>
  <c r="DJ33" i="4"/>
  <c r="CL33" i="4"/>
  <c r="BF33" i="4"/>
  <c r="Z33" i="4"/>
  <c r="HW33" i="4"/>
  <c r="GQ33" i="4"/>
  <c r="FK33" i="4"/>
  <c r="EE33" i="4"/>
  <c r="HT33" i="4"/>
  <c r="GN33" i="4"/>
  <c r="FH33" i="4"/>
  <c r="EB33" i="4"/>
  <c r="CV33" i="4"/>
  <c r="AZ33" i="4"/>
  <c r="BU33" i="4"/>
  <c r="I33" i="4"/>
  <c r="P33" i="4"/>
  <c r="HE33" i="4"/>
  <c r="FI33" i="4"/>
  <c r="HZ33" i="4"/>
  <c r="HB33" i="4"/>
  <c r="FV33" i="4"/>
  <c r="EX33" i="4"/>
  <c r="DR33" i="4"/>
  <c r="CD33" i="4"/>
  <c r="AX33" i="4"/>
  <c r="R33" i="4"/>
  <c r="HO33" i="4"/>
  <c r="GI33" i="4"/>
  <c r="FC33" i="4"/>
  <c r="DW33" i="4"/>
  <c r="IJ33" i="4"/>
  <c r="HD33" i="4"/>
  <c r="FX33" i="4"/>
  <c r="ER33" i="4"/>
  <c r="DL33" i="4"/>
  <c r="AJ33" i="4"/>
  <c r="HM33" i="4"/>
  <c r="DU33" i="4"/>
  <c r="CJ33" i="4"/>
  <c r="CB33" i="4"/>
  <c r="IC33" i="4"/>
  <c r="EK33" i="4"/>
  <c r="IH33" i="4"/>
  <c r="HJ33" i="4"/>
  <c r="GD33" i="4"/>
  <c r="FF33" i="4"/>
  <c r="DZ33" i="4"/>
  <c r="CT33" i="4"/>
  <c r="BN33" i="4"/>
  <c r="AH33" i="4"/>
  <c r="B33" i="4"/>
  <c r="HG33" i="4"/>
  <c r="GA33" i="4"/>
  <c r="EU33" i="4"/>
  <c r="HL33" i="4"/>
  <c r="GF33" i="4"/>
  <c r="EZ33" i="4"/>
  <c r="DT33" i="4"/>
  <c r="CS33" i="4"/>
  <c r="AG33" i="4"/>
  <c r="IB91" i="4"/>
  <c r="FX91" i="4"/>
  <c r="DD91" i="4"/>
  <c r="DD140" i="4"/>
  <c r="AR91" i="4"/>
  <c r="IH93" i="4"/>
  <c r="HZ93" i="4"/>
  <c r="HR93" i="4"/>
  <c r="HJ140" i="4"/>
  <c r="HJ93" i="4"/>
  <c r="HB93" i="4"/>
  <c r="GT93" i="4"/>
  <c r="GL93" i="4"/>
  <c r="GD93" i="4"/>
  <c r="FV93" i="4"/>
  <c r="FN93" i="4"/>
  <c r="FF93" i="4"/>
  <c r="EX140" i="4"/>
  <c r="EX93" i="4"/>
  <c r="EP93" i="4"/>
  <c r="EH93" i="4"/>
  <c r="DZ93" i="4"/>
  <c r="DR140" i="4"/>
  <c r="DR93" i="4"/>
  <c r="DJ93" i="4"/>
  <c r="DB93" i="4"/>
  <c r="CT93" i="4"/>
  <c r="CL93" i="4"/>
  <c r="CD93" i="4"/>
  <c r="BV93" i="4"/>
  <c r="BN93" i="4"/>
  <c r="BF93" i="4"/>
  <c r="AX93" i="4"/>
  <c r="AP93" i="4"/>
  <c r="AH93" i="4"/>
  <c r="Z93" i="4"/>
  <c r="R140" i="4"/>
  <c r="R93" i="4"/>
  <c r="J93" i="4"/>
  <c r="B93" i="4"/>
  <c r="IE85" i="4"/>
  <c r="HW85" i="4"/>
  <c r="HO85" i="4"/>
  <c r="HG85" i="4"/>
  <c r="GY85" i="4"/>
  <c r="GQ85" i="4"/>
  <c r="GI85" i="4"/>
  <c r="GA85" i="4"/>
  <c r="FS85" i="4"/>
  <c r="FK85" i="4"/>
  <c r="FC85" i="4"/>
  <c r="EU85" i="4"/>
  <c r="EM85" i="4"/>
  <c r="EE85" i="4"/>
  <c r="DW85" i="4"/>
  <c r="DO85" i="4"/>
  <c r="DG85" i="4"/>
  <c r="CY85" i="4"/>
  <c r="CQ85" i="4"/>
  <c r="CI85" i="4"/>
  <c r="CA85" i="4"/>
  <c r="BS85" i="4"/>
  <c r="BK85" i="4"/>
  <c r="BC85" i="4"/>
  <c r="AU85" i="4"/>
  <c r="AM85" i="4"/>
  <c r="AE85" i="4"/>
  <c r="W85" i="4"/>
  <c r="O85" i="4"/>
  <c r="G85" i="4"/>
  <c r="IJ86" i="4"/>
  <c r="IB86" i="4"/>
  <c r="HT86" i="4"/>
  <c r="HL86" i="4"/>
  <c r="GV86" i="4"/>
  <c r="GV96" i="4" s="1"/>
  <c r="GN86" i="4"/>
  <c r="GF86" i="4"/>
  <c r="FX86" i="4"/>
  <c r="FP86" i="4"/>
  <c r="FH86" i="4"/>
  <c r="EZ86" i="4"/>
  <c r="ER86" i="4"/>
  <c r="ER96" i="4" s="1"/>
  <c r="EJ86" i="4"/>
  <c r="DL86" i="4"/>
  <c r="DD86" i="4"/>
  <c r="CV86" i="4"/>
  <c r="CN86" i="4"/>
  <c r="CF86" i="4"/>
  <c r="BX86" i="4"/>
  <c r="BH86" i="4"/>
  <c r="AZ86" i="4"/>
  <c r="AR86" i="4"/>
  <c r="AJ86" i="4"/>
  <c r="AB86" i="4"/>
  <c r="T86" i="4"/>
  <c r="HQ87" i="4"/>
  <c r="HI87" i="4"/>
  <c r="IL88" i="4"/>
  <c r="ID88" i="4"/>
  <c r="HV88" i="4"/>
  <c r="HN88" i="4"/>
  <c r="HF88" i="4"/>
  <c r="GX88" i="4"/>
  <c r="GP88" i="4"/>
  <c r="GH88" i="4"/>
  <c r="FZ88" i="4"/>
  <c r="FR88" i="4"/>
  <c r="FJ88" i="4"/>
  <c r="FB88" i="4"/>
  <c r="ET88" i="4"/>
  <c r="EL88" i="4"/>
  <c r="ED88" i="4"/>
  <c r="DV88" i="4"/>
  <c r="DN88" i="4"/>
  <c r="DF88" i="4"/>
  <c r="CX88" i="4"/>
  <c r="CP88" i="4"/>
  <c r="CH88" i="4"/>
  <c r="BZ88" i="4"/>
  <c r="BR88" i="4"/>
  <c r="BJ88" i="4"/>
  <c r="BB88" i="4"/>
  <c r="AT88" i="4"/>
  <c r="AL88" i="4"/>
  <c r="AD88" i="4"/>
  <c r="V88" i="4"/>
  <c r="N88" i="4"/>
  <c r="F88" i="4"/>
  <c r="II89" i="4"/>
  <c r="IA89" i="4"/>
  <c r="HS89" i="4"/>
  <c r="HK89" i="4"/>
  <c r="HC89" i="4"/>
  <c r="GU89" i="4"/>
  <c r="GM89" i="4"/>
  <c r="GE89" i="4"/>
  <c r="FW89" i="4"/>
  <c r="FO89" i="4"/>
  <c r="FG89" i="4"/>
  <c r="EY89" i="4"/>
  <c r="EQ89" i="4"/>
  <c r="EA89" i="4"/>
  <c r="DS89" i="4"/>
  <c r="DK89" i="4"/>
  <c r="DC89" i="4"/>
  <c r="CU89" i="4"/>
  <c r="CM89" i="4"/>
  <c r="CE89" i="4"/>
  <c r="BW89" i="4"/>
  <c r="BO89" i="4"/>
  <c r="BG89" i="4"/>
  <c r="AY89" i="4"/>
  <c r="AQ89" i="4"/>
  <c r="AI89" i="4"/>
  <c r="AA89" i="4"/>
  <c r="S89" i="4"/>
  <c r="K89" i="4"/>
  <c r="C89" i="4"/>
  <c r="IF90" i="4"/>
  <c r="HX90" i="4"/>
  <c r="HP90" i="4"/>
  <c r="HH90" i="4"/>
  <c r="GZ90" i="4"/>
  <c r="GR90" i="4"/>
  <c r="GJ90" i="4"/>
  <c r="GB90" i="4"/>
  <c r="FT90" i="4"/>
  <c r="FL90" i="4"/>
  <c r="FD90" i="4"/>
  <c r="EV90" i="4"/>
  <c r="EN90" i="4"/>
  <c r="EF90" i="4"/>
  <c r="DX90" i="4"/>
  <c r="DP90" i="4"/>
  <c r="DH90" i="4"/>
  <c r="CZ90" i="4"/>
  <c r="CR90" i="4"/>
  <c r="CJ90" i="4"/>
  <c r="CB90" i="4"/>
  <c r="BT90" i="4"/>
  <c r="BL90" i="4"/>
  <c r="BD90" i="4"/>
  <c r="AV90" i="4"/>
  <c r="AN90" i="4"/>
  <c r="AF90" i="4"/>
  <c r="X90" i="4"/>
  <c r="O90" i="4"/>
  <c r="C90" i="4"/>
  <c r="HX91" i="4"/>
  <c r="HH91" i="4"/>
  <c r="GL91" i="4"/>
  <c r="FS91" i="4"/>
  <c r="EV91" i="4"/>
  <c r="DZ91" i="4"/>
  <c r="DG91" i="4"/>
  <c r="CJ91" i="4"/>
  <c r="BN91" i="4"/>
  <c r="AU91" i="4"/>
  <c r="X91" i="4"/>
  <c r="B91" i="4"/>
  <c r="GW93" i="4"/>
  <c r="GA93" i="4"/>
  <c r="EK93" i="4"/>
  <c r="DO93" i="4"/>
  <c r="BY93" i="4"/>
  <c r="BC93" i="4"/>
  <c r="M93" i="4"/>
  <c r="HD91" i="4"/>
  <c r="FH91" i="4"/>
  <c r="DT91" i="4"/>
  <c r="DT140" i="4"/>
  <c r="BP91" i="4"/>
  <c r="L90" i="4"/>
  <c r="L91" i="4"/>
  <c r="EI91" i="4"/>
  <c r="EI93" i="4"/>
  <c r="IB89" i="4"/>
  <c r="GN89" i="4"/>
  <c r="FH89" i="4"/>
  <c r="DL89" i="4"/>
  <c r="BX89" i="4"/>
  <c r="L89" i="4"/>
  <c r="IG91" i="4"/>
  <c r="IG93" i="4"/>
  <c r="HY91" i="4"/>
  <c r="HY93" i="4"/>
  <c r="HQ91" i="4"/>
  <c r="HQ93" i="4"/>
  <c r="HI91" i="4"/>
  <c r="HI93" i="4"/>
  <c r="HA91" i="4"/>
  <c r="HA140" i="4"/>
  <c r="HA93" i="4"/>
  <c r="GS91" i="4"/>
  <c r="GS93" i="4"/>
  <c r="GK91" i="4"/>
  <c r="GK93" i="4"/>
  <c r="GC91" i="4"/>
  <c r="GC93" i="4"/>
  <c r="FU91" i="4"/>
  <c r="FU93" i="4"/>
  <c r="FM91" i="4"/>
  <c r="FM93" i="4"/>
  <c r="FE91" i="4"/>
  <c r="FE140" i="4"/>
  <c r="FE93" i="4"/>
  <c r="EW91" i="4"/>
  <c r="EW93" i="4"/>
  <c r="EO91" i="4"/>
  <c r="EO93" i="4"/>
  <c r="EG91" i="4"/>
  <c r="EG140" i="4"/>
  <c r="EG93" i="4"/>
  <c r="DY91" i="4"/>
  <c r="DY93" i="4"/>
  <c r="DQ91" i="4"/>
  <c r="DQ93" i="4"/>
  <c r="DI91" i="4"/>
  <c r="DI140" i="4"/>
  <c r="DI93" i="4"/>
  <c r="DA91" i="4"/>
  <c r="DA93" i="4"/>
  <c r="CS91" i="4"/>
  <c r="CS93" i="4"/>
  <c r="CK91" i="4"/>
  <c r="CK93" i="4"/>
  <c r="CC91" i="4"/>
  <c r="CC93" i="4"/>
  <c r="BU91" i="4"/>
  <c r="BU93" i="4"/>
  <c r="BM91" i="4"/>
  <c r="BM93" i="4"/>
  <c r="BE91" i="4"/>
  <c r="BE93" i="4"/>
  <c r="AW91" i="4"/>
  <c r="AW93" i="4"/>
  <c r="AO91" i="4"/>
  <c r="AO93" i="4"/>
  <c r="AG91" i="4"/>
  <c r="AG93" i="4"/>
  <c r="Y91" i="4"/>
  <c r="Y93" i="4"/>
  <c r="Q91" i="4"/>
  <c r="Q93" i="4"/>
  <c r="Q90" i="4"/>
  <c r="I91" i="4"/>
  <c r="I93" i="4"/>
  <c r="I90" i="4"/>
  <c r="IL85" i="4"/>
  <c r="ID85" i="4"/>
  <c r="HV85" i="4"/>
  <c r="HN85" i="4"/>
  <c r="HF85" i="4"/>
  <c r="GX85" i="4"/>
  <c r="GP85" i="4"/>
  <c r="GH85" i="4"/>
  <c r="FZ85" i="4"/>
  <c r="FR85" i="4"/>
  <c r="FJ85" i="4"/>
  <c r="FB85" i="4"/>
  <c r="ET85" i="4"/>
  <c r="EL85" i="4"/>
  <c r="ED85" i="4"/>
  <c r="DV85" i="4"/>
  <c r="DN85" i="4"/>
  <c r="DF85" i="4"/>
  <c r="CX85" i="4"/>
  <c r="CP85" i="4"/>
  <c r="CH85" i="4"/>
  <c r="BZ85" i="4"/>
  <c r="BR85" i="4"/>
  <c r="BJ85" i="4"/>
  <c r="BB85" i="4"/>
  <c r="AT85" i="4"/>
  <c r="AL85" i="4"/>
  <c r="AD85" i="4"/>
  <c r="V85" i="4"/>
  <c r="N85" i="4"/>
  <c r="F85" i="4"/>
  <c r="HK86" i="4"/>
  <c r="HC86" i="4"/>
  <c r="EQ86" i="4"/>
  <c r="EI86" i="4"/>
  <c r="GJ87" i="4"/>
  <c r="DX87" i="4"/>
  <c r="BL87" i="4"/>
  <c r="IK88" i="4"/>
  <c r="IC88" i="4"/>
  <c r="HU88" i="4"/>
  <c r="HM88" i="4"/>
  <c r="HE88" i="4"/>
  <c r="GW88" i="4"/>
  <c r="GO88" i="4"/>
  <c r="GG88" i="4"/>
  <c r="FY88" i="4"/>
  <c r="FQ88" i="4"/>
  <c r="FI88" i="4"/>
  <c r="FA88" i="4"/>
  <c r="ES88" i="4"/>
  <c r="EK88" i="4"/>
  <c r="EC88" i="4"/>
  <c r="DU88" i="4"/>
  <c r="DM88" i="4"/>
  <c r="DE88" i="4"/>
  <c r="CW88" i="4"/>
  <c r="CO88" i="4"/>
  <c r="CG88" i="4"/>
  <c r="BY88" i="4"/>
  <c r="BQ88" i="4"/>
  <c r="BI88" i="4"/>
  <c r="BA88" i="4"/>
  <c r="AS88" i="4"/>
  <c r="AK88" i="4"/>
  <c r="AC88" i="4"/>
  <c r="U88" i="4"/>
  <c r="M88" i="4"/>
  <c r="E88" i="4"/>
  <c r="IH89" i="4"/>
  <c r="HZ89" i="4"/>
  <c r="HR89" i="4"/>
  <c r="HJ89" i="4"/>
  <c r="HB89" i="4"/>
  <c r="GT89" i="4"/>
  <c r="GL89" i="4"/>
  <c r="GD89" i="4"/>
  <c r="FV89" i="4"/>
  <c r="FN89" i="4"/>
  <c r="FF89" i="4"/>
  <c r="EX89" i="4"/>
  <c r="EP89" i="4"/>
  <c r="EH89" i="4"/>
  <c r="DZ89" i="4"/>
  <c r="DR89" i="4"/>
  <c r="DJ89" i="4"/>
  <c r="DB89" i="4"/>
  <c r="CT89" i="4"/>
  <c r="CL89" i="4"/>
  <c r="CD89" i="4"/>
  <c r="BV89" i="4"/>
  <c r="BN89" i="4"/>
  <c r="BF89" i="4"/>
  <c r="AX89" i="4"/>
  <c r="AP89" i="4"/>
  <c r="AH89" i="4"/>
  <c r="Z89" i="4"/>
  <c r="R89" i="4"/>
  <c r="J89" i="4"/>
  <c r="B89" i="4"/>
  <c r="IE90" i="4"/>
  <c r="HW90" i="4"/>
  <c r="HO90" i="4"/>
  <c r="HG90" i="4"/>
  <c r="GY90" i="4"/>
  <c r="GQ90" i="4"/>
  <c r="GI90" i="4"/>
  <c r="GA90" i="4"/>
  <c r="FS90" i="4"/>
  <c r="FK90" i="4"/>
  <c r="FC90" i="4"/>
  <c r="EU90" i="4"/>
  <c r="EM90" i="4"/>
  <c r="EE90" i="4"/>
  <c r="DW90" i="4"/>
  <c r="DO90" i="4"/>
  <c r="DG90" i="4"/>
  <c r="CY90" i="4"/>
  <c r="CQ90" i="4"/>
  <c r="CI90" i="4"/>
  <c r="CA90" i="4"/>
  <c r="BS90" i="4"/>
  <c r="BK90" i="4"/>
  <c r="BC90" i="4"/>
  <c r="AU90" i="4"/>
  <c r="AM90" i="4"/>
  <c r="AE90" i="4"/>
  <c r="W90" i="4"/>
  <c r="N90" i="4"/>
  <c r="B90" i="4"/>
  <c r="HW91" i="4"/>
  <c r="HG91" i="4"/>
  <c r="FN91" i="4"/>
  <c r="EU91" i="4"/>
  <c r="DB91" i="4"/>
  <c r="CI91" i="4"/>
  <c r="AP91" i="4"/>
  <c r="W91" i="4"/>
  <c r="IK93" i="4"/>
  <c r="HO93" i="4"/>
  <c r="GV93" i="4"/>
  <c r="FY93" i="4"/>
  <c r="FC93" i="4"/>
  <c r="EJ93" i="4"/>
  <c r="DM93" i="4"/>
  <c r="CQ93" i="4"/>
  <c r="BA93" i="4"/>
  <c r="AE93" i="4"/>
  <c r="L93" i="4"/>
  <c r="HT91" i="4"/>
  <c r="GN91" i="4"/>
  <c r="EZ91" i="4"/>
  <c r="EZ140" i="4"/>
  <c r="EB91" i="4"/>
  <c r="CV91" i="4"/>
  <c r="BX91" i="4"/>
  <c r="AJ91" i="4"/>
  <c r="D90" i="4"/>
  <c r="D91" i="4"/>
  <c r="HD93" i="4"/>
  <c r="CF93" i="4"/>
  <c r="II91" i="4"/>
  <c r="II93" i="4"/>
  <c r="HK91" i="4"/>
  <c r="HK93" i="4"/>
  <c r="GU91" i="4"/>
  <c r="GU93" i="4"/>
  <c r="GE91" i="4"/>
  <c r="GE93" i="4"/>
  <c r="FG91" i="4"/>
  <c r="FG93" i="4"/>
  <c r="EQ91" i="4"/>
  <c r="EQ93" i="4"/>
  <c r="DS91" i="4"/>
  <c r="DS93" i="4"/>
  <c r="DC91" i="4"/>
  <c r="DC93" i="4"/>
  <c r="CU91" i="4"/>
  <c r="CU93" i="4"/>
  <c r="CE91" i="4"/>
  <c r="CE93" i="4"/>
  <c r="BO91" i="4"/>
  <c r="BO93" i="4"/>
  <c r="AY91" i="4"/>
  <c r="AY93" i="4"/>
  <c r="AI91" i="4"/>
  <c r="AI93" i="4"/>
  <c r="S91" i="4"/>
  <c r="S93" i="4"/>
  <c r="C91" i="4"/>
  <c r="C93" i="4"/>
  <c r="IJ89" i="4"/>
  <c r="HD89" i="4"/>
  <c r="GF89" i="4"/>
  <c r="ER89" i="4"/>
  <c r="DD89" i="4"/>
  <c r="BP89" i="4"/>
  <c r="DT93" i="4"/>
  <c r="IF93" i="4"/>
  <c r="HX93" i="4"/>
  <c r="HP93" i="4"/>
  <c r="HH93" i="4"/>
  <c r="GZ93" i="4"/>
  <c r="GR93" i="4"/>
  <c r="GJ93" i="4"/>
  <c r="GB93" i="4"/>
  <c r="FT93" i="4"/>
  <c r="FL93" i="4"/>
  <c r="FD93" i="4"/>
  <c r="EV140" i="4"/>
  <c r="EV93" i="4"/>
  <c r="EN93" i="4"/>
  <c r="EF93" i="4"/>
  <c r="DX93" i="4"/>
  <c r="DP93" i="4"/>
  <c r="DH93" i="4"/>
  <c r="CZ93" i="4"/>
  <c r="CR93" i="4"/>
  <c r="CJ93" i="4"/>
  <c r="CB93" i="4"/>
  <c r="BT93" i="4"/>
  <c r="BL93" i="4"/>
  <c r="BD93" i="4"/>
  <c r="AV93" i="4"/>
  <c r="AN93" i="4"/>
  <c r="AF93" i="4"/>
  <c r="X93" i="4"/>
  <c r="P93" i="4"/>
  <c r="P96" i="4" s="1"/>
  <c r="H140" i="4"/>
  <c r="H93" i="4"/>
  <c r="IK85" i="4"/>
  <c r="IC85" i="4"/>
  <c r="HU85" i="4"/>
  <c r="HM85" i="4"/>
  <c r="HE85" i="4"/>
  <c r="GW85" i="4"/>
  <c r="GW96" i="4" s="1"/>
  <c r="GO85" i="4"/>
  <c r="GG85" i="4"/>
  <c r="FY85" i="4"/>
  <c r="FQ85" i="4"/>
  <c r="FI85" i="4"/>
  <c r="FA85" i="4"/>
  <c r="ES85" i="4"/>
  <c r="EK85" i="4"/>
  <c r="EK96" i="4" s="1"/>
  <c r="EC85" i="4"/>
  <c r="DU85" i="4"/>
  <c r="DM85" i="4"/>
  <c r="DE85" i="4"/>
  <c r="CW85" i="4"/>
  <c r="CO85" i="4"/>
  <c r="CG85" i="4"/>
  <c r="BY85" i="4"/>
  <c r="BY96" i="4" s="1"/>
  <c r="BQ85" i="4"/>
  <c r="BI85" i="4"/>
  <c r="BA85" i="4"/>
  <c r="AS85" i="4"/>
  <c r="AK85" i="4"/>
  <c r="AC85" i="4"/>
  <c r="U85" i="4"/>
  <c r="M85" i="4"/>
  <c r="M96" i="4" s="1"/>
  <c r="E85" i="4"/>
  <c r="IH86" i="4"/>
  <c r="HZ86" i="4"/>
  <c r="HZ96" i="4" s="1"/>
  <c r="HR86" i="4"/>
  <c r="HR96" i="4" s="1"/>
  <c r="HJ86" i="4"/>
  <c r="HB86" i="4"/>
  <c r="HB96" i="4" s="1"/>
  <c r="GT86" i="4"/>
  <c r="GT96" i="4" s="1"/>
  <c r="GL86" i="4"/>
  <c r="GL96" i="4" s="1"/>
  <c r="GD86" i="4"/>
  <c r="GD96" i="4" s="1"/>
  <c r="FV86" i="4"/>
  <c r="FN86" i="4"/>
  <c r="FN96" i="4" s="1"/>
  <c r="FF86" i="4"/>
  <c r="FF96" i="4" s="1"/>
  <c r="EX86" i="4"/>
  <c r="EP86" i="4"/>
  <c r="EP96" i="4" s="1"/>
  <c r="EH86" i="4"/>
  <c r="EH96" i="4" s="1"/>
  <c r="DZ86" i="4"/>
  <c r="DZ96" i="4" s="1"/>
  <c r="DR86" i="4"/>
  <c r="DR96" i="4" s="1"/>
  <c r="DR141" i="4" s="1"/>
  <c r="DJ86" i="4"/>
  <c r="DB86" i="4"/>
  <c r="DB96" i="4" s="1"/>
  <c r="CT86" i="4"/>
  <c r="CT96" i="4" s="1"/>
  <c r="CL86" i="4"/>
  <c r="CD86" i="4"/>
  <c r="CD96" i="4" s="1"/>
  <c r="BV86" i="4"/>
  <c r="BV96" i="4" s="1"/>
  <c r="BN86" i="4"/>
  <c r="BN96" i="4" s="1"/>
  <c r="BF86" i="4"/>
  <c r="BF96" i="4" s="1"/>
  <c r="AX86" i="4"/>
  <c r="AP86" i="4"/>
  <c r="AP96" i="4" s="1"/>
  <c r="AH86" i="4"/>
  <c r="AH96" i="4" s="1"/>
  <c r="Z86" i="4"/>
  <c r="R86" i="4"/>
  <c r="R96" i="4" s="1"/>
  <c r="R141" i="4" s="1"/>
  <c r="J86" i="4"/>
  <c r="J96" i="4" s="1"/>
  <c r="B86" i="4"/>
  <c r="B96" i="4" s="1"/>
  <c r="GQ87" i="4"/>
  <c r="GI87" i="4"/>
  <c r="EE87" i="4"/>
  <c r="DW87" i="4"/>
  <c r="BS87" i="4"/>
  <c r="BK87" i="4"/>
  <c r="G87" i="4"/>
  <c r="IJ88" i="4"/>
  <c r="IB88" i="4"/>
  <c r="HT88" i="4"/>
  <c r="HL88" i="4"/>
  <c r="HD88" i="4"/>
  <c r="GV88" i="4"/>
  <c r="GN88" i="4"/>
  <c r="FX88" i="4"/>
  <c r="FP88" i="4"/>
  <c r="FH88" i="4"/>
  <c r="EZ88" i="4"/>
  <c r="ER88" i="4"/>
  <c r="EB88" i="4"/>
  <c r="DT88" i="4"/>
  <c r="DL88" i="4"/>
  <c r="DD88" i="4"/>
  <c r="CV88" i="4"/>
  <c r="CN88" i="4"/>
  <c r="BX88" i="4"/>
  <c r="BP88" i="4"/>
  <c r="BH88" i="4"/>
  <c r="AZ88" i="4"/>
  <c r="AR88" i="4"/>
  <c r="AJ88" i="4"/>
  <c r="AB88" i="4"/>
  <c r="L88" i="4"/>
  <c r="D88" i="4"/>
  <c r="IG89" i="4"/>
  <c r="HY89" i="4"/>
  <c r="HQ89" i="4"/>
  <c r="HI89" i="4"/>
  <c r="HA89" i="4"/>
  <c r="GS89" i="4"/>
  <c r="GK89" i="4"/>
  <c r="GC89" i="4"/>
  <c r="FU89" i="4"/>
  <c r="FM89" i="4"/>
  <c r="FE89" i="4"/>
  <c r="EW89" i="4"/>
  <c r="EO89" i="4"/>
  <c r="EG89" i="4"/>
  <c r="DY89" i="4"/>
  <c r="DQ89" i="4"/>
  <c r="DI89" i="4"/>
  <c r="DA89" i="4"/>
  <c r="CS89" i="4"/>
  <c r="CK89" i="4"/>
  <c r="CC89" i="4"/>
  <c r="BU89" i="4"/>
  <c r="BM89" i="4"/>
  <c r="BE89" i="4"/>
  <c r="AW89" i="4"/>
  <c r="AO89" i="4"/>
  <c r="AG89" i="4"/>
  <c r="Y89" i="4"/>
  <c r="Q89" i="4"/>
  <c r="I89" i="4"/>
  <c r="IL90" i="4"/>
  <c r="ID90" i="4"/>
  <c r="HV90" i="4"/>
  <c r="HN90" i="4"/>
  <c r="HF90" i="4"/>
  <c r="GX90" i="4"/>
  <c r="GP90" i="4"/>
  <c r="GH90" i="4"/>
  <c r="FZ90" i="4"/>
  <c r="FR90" i="4"/>
  <c r="FJ90" i="4"/>
  <c r="FB90" i="4"/>
  <c r="ET90" i="4"/>
  <c r="EL90" i="4"/>
  <c r="ED90" i="4"/>
  <c r="DV90" i="4"/>
  <c r="DN90" i="4"/>
  <c r="DF90" i="4"/>
  <c r="CX90" i="4"/>
  <c r="CP90" i="4"/>
  <c r="CH90" i="4"/>
  <c r="BZ90" i="4"/>
  <c r="BR90" i="4"/>
  <c r="BJ90" i="4"/>
  <c r="BB90" i="4"/>
  <c r="AT90" i="4"/>
  <c r="AL90" i="4"/>
  <c r="AD90" i="4"/>
  <c r="V90" i="4"/>
  <c r="M90" i="4"/>
  <c r="IK91" i="4"/>
  <c r="HU91" i="4"/>
  <c r="HB91" i="4"/>
  <c r="FL91" i="4"/>
  <c r="EP91" i="4"/>
  <c r="CZ91" i="4"/>
  <c r="CD91" i="4"/>
  <c r="AN91" i="4"/>
  <c r="R91" i="4"/>
  <c r="HM93" i="4"/>
  <c r="FX93" i="4"/>
  <c r="FA93" i="4"/>
  <c r="DL93" i="4"/>
  <c r="CO93" i="4"/>
  <c r="AZ93" i="4"/>
  <c r="AC93" i="4"/>
  <c r="IJ91" i="4"/>
  <c r="GF91" i="4"/>
  <c r="EJ91" i="4"/>
  <c r="CF91" i="4"/>
  <c r="BH91" i="4"/>
  <c r="T91" i="4"/>
  <c r="T140" i="4"/>
  <c r="ER93" i="4"/>
  <c r="T93" i="4"/>
  <c r="IA91" i="4"/>
  <c r="IA93" i="4"/>
  <c r="HS91" i="4"/>
  <c r="HS93" i="4"/>
  <c r="HC91" i="4"/>
  <c r="HC140" i="4"/>
  <c r="HC93" i="4"/>
  <c r="GM91" i="4"/>
  <c r="GM93" i="4"/>
  <c r="FW91" i="4"/>
  <c r="FW93" i="4"/>
  <c r="FO91" i="4"/>
  <c r="FO93" i="4"/>
  <c r="EY91" i="4"/>
  <c r="EY93" i="4"/>
  <c r="EA91" i="4"/>
  <c r="EA93" i="4"/>
  <c r="DK91" i="4"/>
  <c r="DK93" i="4"/>
  <c r="CM91" i="4"/>
  <c r="CM93" i="4"/>
  <c r="BW91" i="4"/>
  <c r="BW93" i="4"/>
  <c r="BG91" i="4"/>
  <c r="BG93" i="4"/>
  <c r="AQ91" i="4"/>
  <c r="AQ93" i="4"/>
  <c r="AA91" i="4"/>
  <c r="AA93" i="4"/>
  <c r="K91" i="4"/>
  <c r="K93" i="4"/>
  <c r="GR96" i="4"/>
  <c r="AF96" i="4"/>
  <c r="GV89" i="4"/>
  <c r="EZ89" i="4"/>
  <c r="EB89" i="4"/>
  <c r="CN89" i="4"/>
  <c r="BH89" i="4"/>
  <c r="AJ89" i="4"/>
  <c r="D89" i="4"/>
  <c r="GA140" i="4"/>
  <c r="DG140" i="4"/>
  <c r="W140" i="4"/>
  <c r="IJ85" i="4"/>
  <c r="IB85" i="4"/>
  <c r="HT85" i="4"/>
  <c r="HL85" i="4"/>
  <c r="HD85" i="4"/>
  <c r="GN85" i="4"/>
  <c r="GN96" i="4" s="1"/>
  <c r="GF85" i="4"/>
  <c r="FX85" i="4"/>
  <c r="FP85" i="4"/>
  <c r="FH85" i="4"/>
  <c r="EZ85" i="4"/>
  <c r="EJ85" i="4"/>
  <c r="EB85" i="4"/>
  <c r="DT85" i="4"/>
  <c r="DT96" i="4" s="1"/>
  <c r="DT141" i="4" s="1"/>
  <c r="DL85" i="4"/>
  <c r="DD85" i="4"/>
  <c r="CV85" i="4"/>
  <c r="CN85" i="4"/>
  <c r="CF85" i="4"/>
  <c r="BX85" i="4"/>
  <c r="BP85" i="4"/>
  <c r="BH85" i="4"/>
  <c r="BH96" i="4" s="1"/>
  <c r="AZ85" i="4"/>
  <c r="AR85" i="4"/>
  <c r="AJ85" i="4"/>
  <c r="AB85" i="4"/>
  <c r="T85" i="4"/>
  <c r="L85" i="4"/>
  <c r="D85" i="4"/>
  <c r="IG86" i="4"/>
  <c r="IG96" i="4" s="1"/>
  <c r="HY86" i="4"/>
  <c r="HY96" i="4" s="1"/>
  <c r="HQ86" i="4"/>
  <c r="HQ96" i="4" s="1"/>
  <c r="HI86" i="4"/>
  <c r="HI96" i="4" s="1"/>
  <c r="HA86" i="4"/>
  <c r="HA96" i="4" s="1"/>
  <c r="HA141" i="4" s="1"/>
  <c r="GS86" i="4"/>
  <c r="GS96" i="4" s="1"/>
  <c r="GK86" i="4"/>
  <c r="GK96" i="4" s="1"/>
  <c r="GC86" i="4"/>
  <c r="GC96" i="4" s="1"/>
  <c r="FU86" i="4"/>
  <c r="FU96" i="4" s="1"/>
  <c r="FM86" i="4"/>
  <c r="FM96" i="4" s="1"/>
  <c r="FE86" i="4"/>
  <c r="FE96" i="4" s="1"/>
  <c r="FE141" i="4" s="1"/>
  <c r="EW86" i="4"/>
  <c r="EW96" i="4" s="1"/>
  <c r="EO86" i="4"/>
  <c r="EO96" i="4" s="1"/>
  <c r="EG86" i="4"/>
  <c r="EG96" i="4" s="1"/>
  <c r="DY86" i="4"/>
  <c r="DY96" i="4" s="1"/>
  <c r="DQ86" i="4"/>
  <c r="DQ96" i="4" s="1"/>
  <c r="DI86" i="4"/>
  <c r="DI96" i="4" s="1"/>
  <c r="DI141" i="4" s="1"/>
  <c r="DA86" i="4"/>
  <c r="DA96" i="4" s="1"/>
  <c r="CS86" i="4"/>
  <c r="CS96" i="4" s="1"/>
  <c r="CK86" i="4"/>
  <c r="CK96" i="4" s="1"/>
  <c r="CC86" i="4"/>
  <c r="CC96" i="4" s="1"/>
  <c r="BU86" i="4"/>
  <c r="BU96" i="4" s="1"/>
  <c r="BM86" i="4"/>
  <c r="BM96" i="4" s="1"/>
  <c r="BE86" i="4"/>
  <c r="BE96" i="4" s="1"/>
  <c r="AW86" i="4"/>
  <c r="AW96" i="4" s="1"/>
  <c r="AO86" i="4"/>
  <c r="AO96" i="4" s="1"/>
  <c r="AG86" i="4"/>
  <c r="AG96" i="4" s="1"/>
  <c r="Y86" i="4"/>
  <c r="Y96" i="4" s="1"/>
  <c r="Q86" i="4"/>
  <c r="Q96" i="4" s="1"/>
  <c r="I86" i="4"/>
  <c r="I96" i="4" s="1"/>
  <c r="HF87" i="4"/>
  <c r="ET87" i="4"/>
  <c r="DF87" i="4"/>
  <c r="CH87" i="4"/>
  <c r="V87" i="4"/>
  <c r="II88" i="4"/>
  <c r="IA88" i="4"/>
  <c r="HS88" i="4"/>
  <c r="HK88" i="4"/>
  <c r="HC88" i="4"/>
  <c r="GU88" i="4"/>
  <c r="GM88" i="4"/>
  <c r="GE88" i="4"/>
  <c r="FW88" i="4"/>
  <c r="FO88" i="4"/>
  <c r="FG88" i="4"/>
  <c r="EY88" i="4"/>
  <c r="EQ88" i="4"/>
  <c r="EI88" i="4"/>
  <c r="EA88" i="4"/>
  <c r="DS88" i="4"/>
  <c r="DK88" i="4"/>
  <c r="DC88" i="4"/>
  <c r="CU88" i="4"/>
  <c r="CM88" i="4"/>
  <c r="CE88" i="4"/>
  <c r="BW88" i="4"/>
  <c r="BO88" i="4"/>
  <c r="BG88" i="4"/>
  <c r="AY88" i="4"/>
  <c r="AQ88" i="4"/>
  <c r="AI88" i="4"/>
  <c r="AA88" i="4"/>
  <c r="S88" i="4"/>
  <c r="K88" i="4"/>
  <c r="C88" i="4"/>
  <c r="IF89" i="4"/>
  <c r="IF96" i="4" s="1"/>
  <c r="HX89" i="4"/>
  <c r="HX96" i="4" s="1"/>
  <c r="HP89" i="4"/>
  <c r="HP96" i="4" s="1"/>
  <c r="HH89" i="4"/>
  <c r="HH96" i="4" s="1"/>
  <c r="GZ89" i="4"/>
  <c r="GZ96" i="4" s="1"/>
  <c r="GR89" i="4"/>
  <c r="GJ89" i="4"/>
  <c r="GJ96" i="4" s="1"/>
  <c r="GB89" i="4"/>
  <c r="GB96" i="4" s="1"/>
  <c r="FT89" i="4"/>
  <c r="FT96" i="4" s="1"/>
  <c r="FL89" i="4"/>
  <c r="FL96" i="4" s="1"/>
  <c r="FD89" i="4"/>
  <c r="FD96" i="4" s="1"/>
  <c r="EV89" i="4"/>
  <c r="EV96" i="4" s="1"/>
  <c r="EV141" i="4" s="1"/>
  <c r="EN89" i="4"/>
  <c r="EN96" i="4" s="1"/>
  <c r="EF89" i="4"/>
  <c r="EF96" i="4" s="1"/>
  <c r="DX89" i="4"/>
  <c r="DX96" i="4" s="1"/>
  <c r="DP89" i="4"/>
  <c r="DH89" i="4"/>
  <c r="DH96" i="4" s="1"/>
  <c r="CZ89" i="4"/>
  <c r="CZ96" i="4" s="1"/>
  <c r="CR89" i="4"/>
  <c r="CJ89" i="4"/>
  <c r="CJ96" i="4" s="1"/>
  <c r="CB89" i="4"/>
  <c r="CB96" i="4" s="1"/>
  <c r="BT89" i="4"/>
  <c r="BT96" i="4" s="1"/>
  <c r="BL89" i="4"/>
  <c r="BL96" i="4" s="1"/>
  <c r="BD89" i="4"/>
  <c r="AV89" i="4"/>
  <c r="AV96" i="4" s="1"/>
  <c r="AN89" i="4"/>
  <c r="AF89" i="4"/>
  <c r="X89" i="4"/>
  <c r="X96" i="4" s="1"/>
  <c r="P89" i="4"/>
  <c r="H89" i="4"/>
  <c r="H96" i="4" s="1"/>
  <c r="H141" i="4" s="1"/>
  <c r="IK90" i="4"/>
  <c r="IC90" i="4"/>
  <c r="HU90" i="4"/>
  <c r="HM90" i="4"/>
  <c r="HE90" i="4"/>
  <c r="GW90" i="4"/>
  <c r="GO90" i="4"/>
  <c r="GG90" i="4"/>
  <c r="FY90" i="4"/>
  <c r="FQ90" i="4"/>
  <c r="FI90" i="4"/>
  <c r="FA90" i="4"/>
  <c r="ES90" i="4"/>
  <c r="EK90" i="4"/>
  <c r="EC90" i="4"/>
  <c r="DU90" i="4"/>
  <c r="DM90" i="4"/>
  <c r="DE90" i="4"/>
  <c r="CW90" i="4"/>
  <c r="CO90" i="4"/>
  <c r="CG90" i="4"/>
  <c r="BY90" i="4"/>
  <c r="BQ90" i="4"/>
  <c r="BI90" i="4"/>
  <c r="BA90" i="4"/>
  <c r="AS90" i="4"/>
  <c r="AK90" i="4"/>
  <c r="AC90" i="4"/>
  <c r="U90" i="4"/>
  <c r="K90" i="4"/>
  <c r="IH91" i="4"/>
  <c r="HR91" i="4"/>
  <c r="GZ91" i="4"/>
  <c r="GD91" i="4"/>
  <c r="FK91" i="4"/>
  <c r="EN91" i="4"/>
  <c r="DR91" i="4"/>
  <c r="CY91" i="4"/>
  <c r="CB91" i="4"/>
  <c r="BF91" i="4"/>
  <c r="AM91" i="4"/>
  <c r="P91" i="4"/>
  <c r="IE93" i="4"/>
  <c r="HL93" i="4"/>
  <c r="GO93" i="4"/>
  <c r="FS93" i="4"/>
  <c r="EZ93" i="4"/>
  <c r="EC93" i="4"/>
  <c r="DG93" i="4"/>
  <c r="BQ93" i="4"/>
  <c r="AU93" i="4"/>
  <c r="E93" i="4"/>
  <c r="GV91" i="4"/>
  <c r="ER91" i="4"/>
  <c r="CN91" i="4"/>
  <c r="AB91" i="4"/>
  <c r="CR96" i="4"/>
  <c r="AN96" i="4"/>
  <c r="HT89" i="4"/>
  <c r="FX89" i="4"/>
  <c r="EJ89" i="4"/>
  <c r="CV89" i="4"/>
  <c r="AZ89" i="4"/>
  <c r="AB89" i="4"/>
  <c r="GF93" i="4"/>
  <c r="BH93" i="4"/>
  <c r="IL140" i="4"/>
  <c r="IL93" i="4"/>
  <c r="IL91" i="4"/>
  <c r="ID93" i="4"/>
  <c r="ID91" i="4"/>
  <c r="HV93" i="4"/>
  <c r="HV91" i="4"/>
  <c r="HN93" i="4"/>
  <c r="HN91" i="4"/>
  <c r="HF93" i="4"/>
  <c r="HF140" i="4"/>
  <c r="HF91" i="4"/>
  <c r="GX93" i="4"/>
  <c r="GX91" i="4"/>
  <c r="GP93" i="4"/>
  <c r="GP91" i="4"/>
  <c r="GH140" i="4"/>
  <c r="GH93" i="4"/>
  <c r="GH91" i="4"/>
  <c r="FZ140" i="4"/>
  <c r="FZ93" i="4"/>
  <c r="FZ91" i="4"/>
  <c r="FR93" i="4"/>
  <c r="FR91" i="4"/>
  <c r="FJ93" i="4"/>
  <c r="FJ91" i="4"/>
  <c r="FB93" i="4"/>
  <c r="FB91" i="4"/>
  <c r="ET140" i="4"/>
  <c r="ET93" i="4"/>
  <c r="ET91" i="4"/>
  <c r="EL93" i="4"/>
  <c r="EL91" i="4"/>
  <c r="ED93" i="4"/>
  <c r="ED91" i="4"/>
  <c r="DV140" i="4"/>
  <c r="DV93" i="4"/>
  <c r="DV91" i="4"/>
  <c r="DN140" i="4"/>
  <c r="DN93" i="4"/>
  <c r="DN91" i="4"/>
  <c r="DF93" i="4"/>
  <c r="DF91" i="4"/>
  <c r="CX93" i="4"/>
  <c r="CX91" i="4"/>
  <c r="CP93" i="4"/>
  <c r="CP91" i="4"/>
  <c r="CH140" i="4"/>
  <c r="CH93" i="4"/>
  <c r="CH91" i="4"/>
  <c r="BZ93" i="4"/>
  <c r="BZ91" i="4"/>
  <c r="BR93" i="4"/>
  <c r="BR91" i="4"/>
  <c r="BJ140" i="4"/>
  <c r="BJ93" i="4"/>
  <c r="BJ91" i="4"/>
  <c r="BB140" i="4"/>
  <c r="BB93" i="4"/>
  <c r="BB91" i="4"/>
  <c r="AT93" i="4"/>
  <c r="AT91" i="4"/>
  <c r="AL93" i="4"/>
  <c r="AL91" i="4"/>
  <c r="AD93" i="4"/>
  <c r="AD91" i="4"/>
  <c r="V140" i="4"/>
  <c r="V93" i="4"/>
  <c r="V91" i="4"/>
  <c r="N93" i="4"/>
  <c r="N91" i="4"/>
  <c r="F93" i="4"/>
  <c r="F90" i="4"/>
  <c r="F91" i="4"/>
  <c r="II85" i="4"/>
  <c r="IA85" i="4"/>
  <c r="IA96" i="4" s="1"/>
  <c r="HS85" i="4"/>
  <c r="HK85" i="4"/>
  <c r="HC85" i="4"/>
  <c r="GU85" i="4"/>
  <c r="GM85" i="4"/>
  <c r="GE85" i="4"/>
  <c r="FW85" i="4"/>
  <c r="FO85" i="4"/>
  <c r="FO96" i="4" s="1"/>
  <c r="FG85" i="4"/>
  <c r="EY85" i="4"/>
  <c r="EQ85" i="4"/>
  <c r="EI85" i="4"/>
  <c r="EA85" i="4"/>
  <c r="DS85" i="4"/>
  <c r="DK85" i="4"/>
  <c r="DC85" i="4"/>
  <c r="DC96" i="4" s="1"/>
  <c r="CU85" i="4"/>
  <c r="CM85" i="4"/>
  <c r="CE85" i="4"/>
  <c r="BW85" i="4"/>
  <c r="BO85" i="4"/>
  <c r="BG85" i="4"/>
  <c r="AY85" i="4"/>
  <c r="AQ85" i="4"/>
  <c r="AQ96" i="4" s="1"/>
  <c r="AI85" i="4"/>
  <c r="AA85" i="4"/>
  <c r="S85" i="4"/>
  <c r="K85" i="4"/>
  <c r="C85" i="4"/>
  <c r="C96" i="4" s="1"/>
  <c r="IC87" i="4"/>
  <c r="FQ87" i="4"/>
  <c r="DE87" i="4"/>
  <c r="AS87" i="4"/>
  <c r="IH88" i="4"/>
  <c r="HZ88" i="4"/>
  <c r="HR88" i="4"/>
  <c r="HJ88" i="4"/>
  <c r="HB88" i="4"/>
  <c r="GT88" i="4"/>
  <c r="GL88" i="4"/>
  <c r="GD88" i="4"/>
  <c r="FV88" i="4"/>
  <c r="FN88" i="4"/>
  <c r="FF88" i="4"/>
  <c r="EX88" i="4"/>
  <c r="EP88" i="4"/>
  <c r="EH88" i="4"/>
  <c r="DZ88" i="4"/>
  <c r="DR88" i="4"/>
  <c r="DJ88" i="4"/>
  <c r="DB88" i="4"/>
  <c r="CT88" i="4"/>
  <c r="CL88" i="4"/>
  <c r="CD88" i="4"/>
  <c r="BV88" i="4"/>
  <c r="BN88" i="4"/>
  <c r="BF88" i="4"/>
  <c r="AX88" i="4"/>
  <c r="AP88" i="4"/>
  <c r="AH88" i="4"/>
  <c r="Z88" i="4"/>
  <c r="R88" i="4"/>
  <c r="J88" i="4"/>
  <c r="B88" i="4"/>
  <c r="IE89" i="4"/>
  <c r="HW89" i="4"/>
  <c r="HO89" i="4"/>
  <c r="HG89" i="4"/>
  <c r="GY89" i="4"/>
  <c r="GQ89" i="4"/>
  <c r="GI89" i="4"/>
  <c r="GA89" i="4"/>
  <c r="FS89" i="4"/>
  <c r="FK89" i="4"/>
  <c r="FC89" i="4"/>
  <c r="EU89" i="4"/>
  <c r="EM89" i="4"/>
  <c r="EE89" i="4"/>
  <c r="DW89" i="4"/>
  <c r="DO89" i="4"/>
  <c r="DG89" i="4"/>
  <c r="CY89" i="4"/>
  <c r="CQ89" i="4"/>
  <c r="CI89" i="4"/>
  <c r="CA89" i="4"/>
  <c r="BS89" i="4"/>
  <c r="BK89" i="4"/>
  <c r="BC89" i="4"/>
  <c r="AU89" i="4"/>
  <c r="AM89" i="4"/>
  <c r="AE89" i="4"/>
  <c r="W89" i="4"/>
  <c r="O89" i="4"/>
  <c r="G89" i="4"/>
  <c r="IJ90" i="4"/>
  <c r="IB90" i="4"/>
  <c r="HT90" i="4"/>
  <c r="HD90" i="4"/>
  <c r="GV90" i="4"/>
  <c r="GN90" i="4"/>
  <c r="GF90" i="4"/>
  <c r="FX90" i="4"/>
  <c r="FH90" i="4"/>
  <c r="EZ90" i="4"/>
  <c r="ER90" i="4"/>
  <c r="EJ90" i="4"/>
  <c r="EB90" i="4"/>
  <c r="DT90" i="4"/>
  <c r="DD90" i="4"/>
  <c r="CV90" i="4"/>
  <c r="CN90" i="4"/>
  <c r="CF90" i="4"/>
  <c r="BX90" i="4"/>
  <c r="BP90" i="4"/>
  <c r="BH90" i="4"/>
  <c r="AR90" i="4"/>
  <c r="AJ90" i="4"/>
  <c r="AB90" i="4"/>
  <c r="T90" i="4"/>
  <c r="J90" i="4"/>
  <c r="IF91" i="4"/>
  <c r="HP91" i="4"/>
  <c r="GY91" i="4"/>
  <c r="GB91" i="4"/>
  <c r="FF91" i="4"/>
  <c r="EM91" i="4"/>
  <c r="DP91" i="4"/>
  <c r="DP96" i="4" s="1"/>
  <c r="CT91" i="4"/>
  <c r="CA91" i="4"/>
  <c r="BD91" i="4"/>
  <c r="BD96" i="4" s="1"/>
  <c r="AH91" i="4"/>
  <c r="O91" i="4"/>
  <c r="HG93" i="4"/>
  <c r="GN93" i="4"/>
  <c r="EU93" i="4"/>
  <c r="EB93" i="4"/>
  <c r="CI93" i="4"/>
  <c r="BP93" i="4"/>
  <c r="W93" i="4"/>
  <c r="D93" i="4"/>
  <c r="N140" i="4"/>
  <c r="HL91" i="4"/>
  <c r="FP91" i="4"/>
  <c r="DL91" i="4"/>
  <c r="AZ91" i="4"/>
  <c r="HL89" i="4"/>
  <c r="FP89" i="4"/>
  <c r="DT89" i="4"/>
  <c r="CF89" i="4"/>
  <c r="AR89" i="4"/>
  <c r="T89" i="4"/>
  <c r="IC140" i="4"/>
  <c r="HE91" i="4"/>
  <c r="GW91" i="4"/>
  <c r="GO91" i="4"/>
  <c r="GO140" i="4"/>
  <c r="GG91" i="4"/>
  <c r="FY91" i="4"/>
  <c r="FQ91" i="4"/>
  <c r="FI91" i="4"/>
  <c r="FA91" i="4"/>
  <c r="ES91" i="4"/>
  <c r="EK91" i="4"/>
  <c r="EC91" i="4"/>
  <c r="DU91" i="4"/>
  <c r="DM91" i="4"/>
  <c r="DE91" i="4"/>
  <c r="CW91" i="4"/>
  <c r="CO91" i="4"/>
  <c r="CO140" i="4"/>
  <c r="CG91" i="4"/>
  <c r="BY91" i="4"/>
  <c r="BQ91" i="4"/>
  <c r="BI91" i="4"/>
  <c r="BI140" i="4"/>
  <c r="BA91" i="4"/>
  <c r="AS91" i="4"/>
  <c r="AK91" i="4"/>
  <c r="AC91" i="4"/>
  <c r="AC140" i="4"/>
  <c r="U91" i="4"/>
  <c r="M91" i="4"/>
  <c r="E91" i="4"/>
  <c r="IJ87" i="4"/>
  <c r="IB87" i="4"/>
  <c r="HT87" i="4"/>
  <c r="HL87" i="4"/>
  <c r="HD87" i="4"/>
  <c r="GV87" i="4"/>
  <c r="GN87" i="4"/>
  <c r="GF87" i="4"/>
  <c r="FX87" i="4"/>
  <c r="FP87" i="4"/>
  <c r="FH87" i="4"/>
  <c r="EZ87" i="4"/>
  <c r="ER87" i="4"/>
  <c r="EJ87" i="4"/>
  <c r="EB87" i="4"/>
  <c r="DT87" i="4"/>
  <c r="DL87" i="4"/>
  <c r="DD87" i="4"/>
  <c r="CV87" i="4"/>
  <c r="CN87" i="4"/>
  <c r="CF87" i="4"/>
  <c r="BX87" i="4"/>
  <c r="BP87" i="4"/>
  <c r="BH87" i="4"/>
  <c r="AZ87" i="4"/>
  <c r="AR87" i="4"/>
  <c r="AJ87" i="4"/>
  <c r="AB87" i="4"/>
  <c r="T87" i="4"/>
  <c r="L87" i="4"/>
  <c r="D87" i="4"/>
  <c r="IG88" i="4"/>
  <c r="HY88" i="4"/>
  <c r="HQ88" i="4"/>
  <c r="HI88" i="4"/>
  <c r="HA88" i="4"/>
  <c r="GS88" i="4"/>
  <c r="GK88" i="4"/>
  <c r="GC88" i="4"/>
  <c r="FU88" i="4"/>
  <c r="FM88" i="4"/>
  <c r="FE88" i="4"/>
  <c r="EW88" i="4"/>
  <c r="EO88" i="4"/>
  <c r="EG88" i="4"/>
  <c r="DY88" i="4"/>
  <c r="DQ88" i="4"/>
  <c r="DI88" i="4"/>
  <c r="DA88" i="4"/>
  <c r="CS88" i="4"/>
  <c r="CK88" i="4"/>
  <c r="CC88" i="4"/>
  <c r="BU88" i="4"/>
  <c r="BM88" i="4"/>
  <c r="BE88" i="4"/>
  <c r="AW88" i="4"/>
  <c r="AO88" i="4"/>
  <c r="AG88" i="4"/>
  <c r="Y88" i="4"/>
  <c r="Q88" i="4"/>
  <c r="I88" i="4"/>
  <c r="IL89" i="4"/>
  <c r="ID89" i="4"/>
  <c r="HV89" i="4"/>
  <c r="HN89" i="4"/>
  <c r="HF89" i="4"/>
  <c r="GX89" i="4"/>
  <c r="GP89" i="4"/>
  <c r="GH89" i="4"/>
  <c r="FZ89" i="4"/>
  <c r="FR89" i="4"/>
  <c r="FJ89" i="4"/>
  <c r="FB89" i="4"/>
  <c r="ET89" i="4"/>
  <c r="EL89" i="4"/>
  <c r="ED89" i="4"/>
  <c r="DV89" i="4"/>
  <c r="DN89" i="4"/>
  <c r="DF89" i="4"/>
  <c r="CX89" i="4"/>
  <c r="CP89" i="4"/>
  <c r="CH89" i="4"/>
  <c r="BZ89" i="4"/>
  <c r="BR89" i="4"/>
  <c r="BJ89" i="4"/>
  <c r="BB89" i="4"/>
  <c r="AT89" i="4"/>
  <c r="AL89" i="4"/>
  <c r="AD89" i="4"/>
  <c r="V89" i="4"/>
  <c r="N89" i="4"/>
  <c r="F89" i="4"/>
  <c r="II90" i="4"/>
  <c r="IA90" i="4"/>
  <c r="HS90" i="4"/>
  <c r="HK90" i="4"/>
  <c r="HC90" i="4"/>
  <c r="GU90" i="4"/>
  <c r="GM90" i="4"/>
  <c r="GE90" i="4"/>
  <c r="FW90" i="4"/>
  <c r="FO90" i="4"/>
  <c r="FG90" i="4"/>
  <c r="EY90" i="4"/>
  <c r="EQ90" i="4"/>
  <c r="EI90" i="4"/>
  <c r="EA90" i="4"/>
  <c r="DS90" i="4"/>
  <c r="DK90" i="4"/>
  <c r="DC90" i="4"/>
  <c r="CU90" i="4"/>
  <c r="CM90" i="4"/>
  <c r="CE90" i="4"/>
  <c r="BW90" i="4"/>
  <c r="BO90" i="4"/>
  <c r="BG90" i="4"/>
  <c r="AY90" i="4"/>
  <c r="AQ90" i="4"/>
  <c r="AI90" i="4"/>
  <c r="AA90" i="4"/>
  <c r="S90" i="4"/>
  <c r="H90" i="4"/>
  <c r="IE91" i="4"/>
  <c r="HO91" i="4"/>
  <c r="GT91" i="4"/>
  <c r="GA91" i="4"/>
  <c r="FD91" i="4"/>
  <c r="EH91" i="4"/>
  <c r="DO91" i="4"/>
  <c r="CR91" i="4"/>
  <c r="BV91" i="4"/>
  <c r="BC91" i="4"/>
  <c r="AF91" i="4"/>
  <c r="J91" i="4"/>
  <c r="IB93" i="4"/>
  <c r="HE93" i="4"/>
  <c r="GI93" i="4"/>
  <c r="FP93" i="4"/>
  <c r="ES93" i="4"/>
  <c r="DW93" i="4"/>
  <c r="DD93" i="4"/>
  <c r="CG93" i="4"/>
  <c r="BK93" i="4"/>
  <c r="AR93" i="4"/>
  <c r="U93" i="4"/>
  <c r="HA33" i="4"/>
  <c r="FE33" i="4"/>
  <c r="DQ33" i="4"/>
  <c r="AO33" i="4"/>
  <c r="GL77" i="4"/>
  <c r="EH77" i="4"/>
  <c r="J77" i="4"/>
  <c r="HV33" i="4"/>
  <c r="GP33" i="4"/>
  <c r="FJ33" i="4"/>
  <c r="EL33" i="4"/>
  <c r="DF33" i="4"/>
  <c r="CH33" i="4"/>
  <c r="BB33" i="4"/>
  <c r="V33" i="4"/>
  <c r="DE33" i="4"/>
  <c r="BY33" i="4"/>
  <c r="AK33" i="4"/>
  <c r="M33" i="4"/>
  <c r="II33" i="4"/>
  <c r="IA33" i="4"/>
  <c r="HS33" i="4"/>
  <c r="HS78" i="4" s="1"/>
  <c r="HK33" i="4"/>
  <c r="HK78" i="4" s="1"/>
  <c r="HC33" i="4"/>
  <c r="HC78" i="4" s="1"/>
  <c r="GU33" i="4"/>
  <c r="GU78" i="4" s="1"/>
  <c r="GM33" i="4"/>
  <c r="GM78" i="4" s="1"/>
  <c r="GE33" i="4"/>
  <c r="GE78" i="4" s="1"/>
  <c r="FW33" i="4"/>
  <c r="FO33" i="4"/>
  <c r="FG33" i="4"/>
  <c r="FG78" i="4" s="1"/>
  <c r="EY33" i="4"/>
  <c r="EY78" i="4" s="1"/>
  <c r="EQ33" i="4"/>
  <c r="EQ78" i="4" s="1"/>
  <c r="EI33" i="4"/>
  <c r="EI78" i="4" s="1"/>
  <c r="EA33" i="4"/>
  <c r="EA78" i="4" s="1"/>
  <c r="DS33" i="4"/>
  <c r="DS78" i="4" s="1"/>
  <c r="CU33" i="4"/>
  <c r="CU78" i="4" s="1"/>
  <c r="CM33" i="4"/>
  <c r="CM78" i="4" s="1"/>
  <c r="CE33" i="4"/>
  <c r="CE78" i="4" s="1"/>
  <c r="BW33" i="4"/>
  <c r="BW78" i="4" s="1"/>
  <c r="BO33" i="4"/>
  <c r="BO78" i="4" s="1"/>
  <c r="BG33" i="4"/>
  <c r="BG78" i="4" s="1"/>
  <c r="AI33" i="4"/>
  <c r="AI78" i="4" s="1"/>
  <c r="S33" i="4"/>
  <c r="S78" i="4" s="1"/>
  <c r="K33" i="4"/>
  <c r="K78" i="4" s="1"/>
  <c r="C33" i="4"/>
  <c r="C78" i="4" s="1"/>
  <c r="J78" i="4"/>
  <c r="IG33" i="4"/>
  <c r="GS33" i="4"/>
  <c r="EW33" i="4"/>
  <c r="DA33" i="4"/>
  <c r="HB77" i="4"/>
  <c r="HB78" i="4" s="1"/>
  <c r="EX77" i="4"/>
  <c r="CT77" i="4"/>
  <c r="BN77" i="4"/>
  <c r="BN78" i="4" s="1"/>
  <c r="AH77" i="4"/>
  <c r="AH78" i="4" s="1"/>
  <c r="HI33" i="4"/>
  <c r="FM33" i="4"/>
  <c r="DY33" i="4"/>
  <c r="AW33" i="4"/>
  <c r="HZ77" i="4"/>
  <c r="FV77" i="4"/>
  <c r="DZ77" i="4"/>
  <c r="DZ78" i="4" s="1"/>
  <c r="CD77" i="4"/>
  <c r="BF77" i="4"/>
  <c r="BF78" i="4" s="1"/>
  <c r="AP77" i="4"/>
  <c r="AP78" i="4" s="1"/>
  <c r="HX33" i="4"/>
  <c r="HH33" i="4"/>
  <c r="GR33" i="4"/>
  <c r="GB33" i="4"/>
  <c r="FL33" i="4"/>
  <c r="EV33" i="4"/>
  <c r="EF33" i="4"/>
  <c r="DP33" i="4"/>
  <c r="CR33" i="4"/>
  <c r="BL33" i="4"/>
  <c r="AV33" i="4"/>
  <c r="HZ78" i="4"/>
  <c r="FV78" i="4"/>
  <c r="IH77" i="4"/>
  <c r="IH78" i="4" s="1"/>
  <c r="GD77" i="4"/>
  <c r="DR77" i="4"/>
  <c r="BV77" i="4"/>
  <c r="AX77" i="4"/>
  <c r="AX78" i="4" s="1"/>
  <c r="Z77" i="4"/>
  <c r="Z78" i="4" s="1"/>
  <c r="IF33" i="4"/>
  <c r="HP33" i="4"/>
  <c r="GZ33" i="4"/>
  <c r="GJ33" i="4"/>
  <c r="FT33" i="4"/>
  <c r="FD33" i="4"/>
  <c r="EN33" i="4"/>
  <c r="DX33" i="4"/>
  <c r="DH33" i="4"/>
  <c r="CZ33" i="4"/>
  <c r="BT33" i="4"/>
  <c r="BD33" i="4"/>
  <c r="AN33" i="4"/>
  <c r="AF33" i="4"/>
  <c r="H33" i="4"/>
  <c r="IE33" i="4"/>
  <c r="EH78" i="4"/>
  <c r="HY33" i="4"/>
  <c r="GK33" i="4"/>
  <c r="EO33" i="4"/>
  <c r="BM33" i="4"/>
  <c r="HR77" i="4"/>
  <c r="HR78" i="4" s="1"/>
  <c r="FN77" i="4"/>
  <c r="FN78" i="4" s="1"/>
  <c r="DJ77" i="4"/>
  <c r="R77" i="4"/>
  <c r="HN33" i="4"/>
  <c r="GH33" i="4"/>
  <c r="FB33" i="4"/>
  <c r="ED33" i="4"/>
  <c r="CX33" i="4"/>
  <c r="AT33" i="4"/>
  <c r="AA33" i="4"/>
  <c r="AA78" i="4" s="1"/>
  <c r="HQ33" i="4"/>
  <c r="FU33" i="4"/>
  <c r="EG33" i="4"/>
  <c r="CC33" i="4"/>
  <c r="Q33" i="4"/>
  <c r="GT77" i="4"/>
  <c r="GT78" i="4" s="1"/>
  <c r="EP77" i="4"/>
  <c r="CL77" i="4"/>
  <c r="CL78" i="4" s="1"/>
  <c r="B77" i="4"/>
  <c r="B78" i="4" s="1"/>
  <c r="B79" i="4" s="1"/>
  <c r="C20" i="4" s="1"/>
  <c r="C79" i="4" s="1"/>
  <c r="D20" i="4" s="1"/>
  <c r="ID33" i="4"/>
  <c r="GX33" i="4"/>
  <c r="FR33" i="4"/>
  <c r="DV33" i="4"/>
  <c r="CP33" i="4"/>
  <c r="BJ33" i="4"/>
  <c r="AD33" i="4"/>
  <c r="DM33" i="4"/>
  <c r="CO33" i="4"/>
  <c r="AS33" i="4"/>
  <c r="U33" i="4"/>
  <c r="R78" i="4"/>
  <c r="GC33" i="4"/>
  <c r="DI33" i="4"/>
  <c r="BE33" i="4"/>
  <c r="HJ77" i="4"/>
  <c r="HJ78" i="4" s="1"/>
  <c r="FF77" i="4"/>
  <c r="FF78" i="4" s="1"/>
  <c r="DB77" i="4"/>
  <c r="IL33" i="4"/>
  <c r="HF33" i="4"/>
  <c r="FZ33" i="4"/>
  <c r="ET33" i="4"/>
  <c r="DN33" i="4"/>
  <c r="AL33" i="4"/>
  <c r="CW33" i="4"/>
  <c r="CG33" i="4"/>
  <c r="BA33" i="4"/>
  <c r="AC33" i="4"/>
  <c r="DD33" i="4"/>
  <c r="CN33" i="4"/>
  <c r="CF33" i="4"/>
  <c r="BX33" i="4"/>
  <c r="BP33" i="4"/>
  <c r="AR33" i="4"/>
  <c r="AB33" i="4"/>
  <c r="T33" i="4"/>
  <c r="L33" i="4"/>
  <c r="D33" i="4"/>
  <c r="DO33" i="4"/>
  <c r="DG33" i="4"/>
  <c r="CY33" i="4"/>
  <c r="CQ33" i="4"/>
  <c r="CI33" i="4"/>
  <c r="CA33" i="4"/>
  <c r="BS33" i="4"/>
  <c r="BK33" i="4"/>
  <c r="BC33" i="4"/>
  <c r="AU33" i="4"/>
  <c r="AM33" i="4"/>
  <c r="AE33" i="4"/>
  <c r="W33" i="4"/>
  <c r="O33" i="4"/>
  <c r="G33" i="4"/>
  <c r="IJ77" i="4"/>
  <c r="IJ78" i="4" s="1"/>
  <c r="IB77" i="4"/>
  <c r="IB78" i="4" s="1"/>
  <c r="HT77" i="4"/>
  <c r="HL77" i="4"/>
  <c r="HD77" i="4"/>
  <c r="GV77" i="4"/>
  <c r="GN77" i="4"/>
  <c r="GN78" i="4" s="1"/>
  <c r="GF77" i="4"/>
  <c r="FX77" i="4"/>
  <c r="FX78" i="4" s="1"/>
  <c r="FP77" i="4"/>
  <c r="FH77" i="4"/>
  <c r="FH78" i="4" s="1"/>
  <c r="EZ77" i="4"/>
  <c r="EZ78" i="4" s="1"/>
  <c r="ER77" i="4"/>
  <c r="ER78" i="4" s="1"/>
  <c r="EJ77" i="4"/>
  <c r="EJ78" i="4" s="1"/>
  <c r="EB77" i="4"/>
  <c r="EB78" i="4" s="1"/>
  <c r="DT77" i="4"/>
  <c r="DT78" i="4" s="1"/>
  <c r="DL77" i="4"/>
  <c r="DL78" i="4" s="1"/>
  <c r="DD77" i="4"/>
  <c r="CV77" i="4"/>
  <c r="CV78" i="4" s="1"/>
  <c r="CN77" i="4"/>
  <c r="CF77" i="4"/>
  <c r="BX77" i="4"/>
  <c r="BP77" i="4"/>
  <c r="BH77" i="4"/>
  <c r="BH78" i="4" s="1"/>
  <c r="AZ77" i="4"/>
  <c r="AR77" i="4"/>
  <c r="AJ77" i="4"/>
  <c r="AJ78" i="4" s="1"/>
  <c r="AB77" i="4"/>
  <c r="T77" i="4"/>
  <c r="L77" i="4"/>
  <c r="D77" i="4"/>
  <c r="IG77" i="4"/>
  <c r="HY77" i="4"/>
  <c r="HQ77" i="4"/>
  <c r="HI77" i="4"/>
  <c r="HA77" i="4"/>
  <c r="GS77" i="4"/>
  <c r="GK77" i="4"/>
  <c r="GC77" i="4"/>
  <c r="FU77" i="4"/>
  <c r="FM77" i="4"/>
  <c r="FE77" i="4"/>
  <c r="EW77" i="4"/>
  <c r="EO77" i="4"/>
  <c r="EG77" i="4"/>
  <c r="DY77" i="4"/>
  <c r="DQ77" i="4"/>
  <c r="DI77" i="4"/>
  <c r="DA77" i="4"/>
  <c r="CS77" i="4"/>
  <c r="CS78" i="4" s="1"/>
  <c r="CK77" i="4"/>
  <c r="CC77" i="4"/>
  <c r="BU77" i="4"/>
  <c r="BM77" i="4"/>
  <c r="BE77" i="4"/>
  <c r="AW77" i="4"/>
  <c r="IF77" i="4"/>
  <c r="HX77" i="4"/>
  <c r="HP77" i="4"/>
  <c r="HH77" i="4"/>
  <c r="GZ77" i="4"/>
  <c r="GR77" i="4"/>
  <c r="GJ77" i="4"/>
  <c r="GB77" i="4"/>
  <c r="FT77" i="4"/>
  <c r="FL77" i="4"/>
  <c r="FD77" i="4"/>
  <c r="EV77" i="4"/>
  <c r="EN77" i="4"/>
  <c r="EF77" i="4"/>
  <c r="DX77" i="4"/>
  <c r="DP77" i="4"/>
  <c r="DH77" i="4"/>
  <c r="CZ77" i="4"/>
  <c r="CR77" i="4"/>
  <c r="CJ77" i="4"/>
  <c r="CB77" i="4"/>
  <c r="BT77" i="4"/>
  <c r="BL77" i="4"/>
  <c r="BD77" i="4"/>
  <c r="AV77" i="4"/>
  <c r="AN77" i="4"/>
  <c r="AF77" i="4"/>
  <c r="X77" i="4"/>
  <c r="X78" i="4" s="1"/>
  <c r="P77" i="4"/>
  <c r="H77" i="4"/>
  <c r="IE77" i="4"/>
  <c r="HW77" i="4"/>
  <c r="HW78" i="4" s="1"/>
  <c r="HO77" i="4"/>
  <c r="HO78" i="4" s="1"/>
  <c r="HG77" i="4"/>
  <c r="HG78" i="4" s="1"/>
  <c r="GY77" i="4"/>
  <c r="GQ77" i="4"/>
  <c r="GQ78" i="4" s="1"/>
  <c r="GI77" i="4"/>
  <c r="GI78" i="4" s="1"/>
  <c r="GA77" i="4"/>
  <c r="FS77" i="4"/>
  <c r="FS78" i="4" s="1"/>
  <c r="FK77" i="4"/>
  <c r="FC77" i="4"/>
  <c r="EU77" i="4"/>
  <c r="EM77" i="4"/>
  <c r="EM78" i="4" s="1"/>
  <c r="EE77" i="4"/>
  <c r="DW77" i="4"/>
  <c r="DO77" i="4"/>
  <c r="DG77" i="4"/>
  <c r="CY77" i="4"/>
  <c r="CQ77" i="4"/>
  <c r="CI77" i="4"/>
  <c r="CA77" i="4"/>
  <c r="BS77" i="4"/>
  <c r="BK77" i="4"/>
  <c r="BC77" i="4"/>
  <c r="AU77" i="4"/>
  <c r="AM77" i="4"/>
  <c r="AE77" i="4"/>
  <c r="W77" i="4"/>
  <c r="O77" i="4"/>
  <c r="G77" i="4"/>
  <c r="IL77" i="4"/>
  <c r="ID77" i="4"/>
  <c r="HV77" i="4"/>
  <c r="HN77" i="4"/>
  <c r="HF77" i="4"/>
  <c r="GX77" i="4"/>
  <c r="GP77" i="4"/>
  <c r="GH77" i="4"/>
  <c r="FZ77" i="4"/>
  <c r="FR77" i="4"/>
  <c r="FJ77" i="4"/>
  <c r="FB77" i="4"/>
  <c r="ET77" i="4"/>
  <c r="EL77" i="4"/>
  <c r="ED77" i="4"/>
  <c r="DV77" i="4"/>
  <c r="DN77" i="4"/>
  <c r="DF77" i="4"/>
  <c r="CX77" i="4"/>
  <c r="CP77" i="4"/>
  <c r="CH77" i="4"/>
  <c r="BZ77" i="4"/>
  <c r="BZ78" i="4" s="1"/>
  <c r="BR77" i="4"/>
  <c r="BR78" i="4" s="1"/>
  <c r="BJ77" i="4"/>
  <c r="BB77" i="4"/>
  <c r="AT77" i="4"/>
  <c r="AL77" i="4"/>
  <c r="AD77" i="4"/>
  <c r="V77" i="4"/>
  <c r="N77" i="4"/>
  <c r="N78" i="4" s="1"/>
  <c r="F77" i="4"/>
  <c r="F78" i="4" s="1"/>
  <c r="IK77" i="4"/>
  <c r="IK78" i="4" s="1"/>
  <c r="IC77" i="4"/>
  <c r="IC78" i="4" s="1"/>
  <c r="HU77" i="4"/>
  <c r="HU78" i="4" s="1"/>
  <c r="HM77" i="4"/>
  <c r="HE77" i="4"/>
  <c r="HE78" i="4" s="1"/>
  <c r="GW77" i="4"/>
  <c r="GW78" i="4" s="1"/>
  <c r="GO77" i="4"/>
  <c r="GG77" i="4"/>
  <c r="GG78" i="4" s="1"/>
  <c r="FY77" i="4"/>
  <c r="FQ77" i="4"/>
  <c r="FQ78" i="4" s="1"/>
  <c r="FI77" i="4"/>
  <c r="FI78" i="4" s="1"/>
  <c r="FA77" i="4"/>
  <c r="ES77" i="4"/>
  <c r="EK77" i="4"/>
  <c r="EK78" i="4" s="1"/>
  <c r="EC77" i="4"/>
  <c r="EC78" i="4" s="1"/>
  <c r="DU77" i="4"/>
  <c r="DM77" i="4"/>
  <c r="DE77" i="4"/>
  <c r="CW77" i="4"/>
  <c r="CO77" i="4"/>
  <c r="CG77" i="4"/>
  <c r="BY77" i="4"/>
  <c r="BQ77" i="4"/>
  <c r="BQ78" i="4" s="1"/>
  <c r="BI77" i="4"/>
  <c r="BI78" i="4" s="1"/>
  <c r="BA77" i="4"/>
  <c r="AS77" i="4"/>
  <c r="AK77" i="4"/>
  <c r="AC77" i="4"/>
  <c r="U77" i="4"/>
  <c r="M77" i="4"/>
  <c r="E77" i="4"/>
  <c r="E78" i="4" s="1"/>
  <c r="AO77" i="4"/>
  <c r="AG77" i="4"/>
  <c r="AG78" i="4" s="1"/>
  <c r="Y77" i="4"/>
  <c r="Y78" i="4" s="1"/>
  <c r="Q77" i="4"/>
  <c r="I77" i="4"/>
  <c r="EG141" i="4" l="1"/>
  <c r="GY78" i="4"/>
  <c r="CX78" i="4"/>
  <c r="GF78" i="4"/>
  <c r="CT78" i="4"/>
  <c r="CD78" i="4"/>
  <c r="DJ78" i="4"/>
  <c r="EX78" i="4"/>
  <c r="GL78" i="4"/>
  <c r="IG78" i="4"/>
  <c r="BE78" i="4"/>
  <c r="FC78" i="4"/>
  <c r="EU78" i="4"/>
  <c r="FP78" i="4"/>
  <c r="ES78" i="4"/>
  <c r="FK78" i="4"/>
  <c r="FA78" i="4"/>
  <c r="HM78" i="4"/>
  <c r="BV78" i="4"/>
  <c r="AQ78" i="4"/>
  <c r="DU78" i="4"/>
  <c r="GO78" i="4"/>
  <c r="AZ78" i="4"/>
  <c r="GA78" i="4"/>
  <c r="GV78" i="4"/>
  <c r="DW78" i="4"/>
  <c r="BU78" i="4"/>
  <c r="DB78" i="4"/>
  <c r="GD78" i="4"/>
  <c r="CO78" i="4"/>
  <c r="FU78" i="4"/>
  <c r="AF78" i="4"/>
  <c r="FD78" i="4"/>
  <c r="I78" i="4"/>
  <c r="AC78" i="4"/>
  <c r="GH78" i="4"/>
  <c r="GK78" i="4"/>
  <c r="FT78" i="4"/>
  <c r="DR78" i="4"/>
  <c r="BL78" i="4"/>
  <c r="HH78" i="4"/>
  <c r="AW78" i="4"/>
  <c r="HV78" i="4"/>
  <c r="AB78" i="4"/>
  <c r="BA78" i="4"/>
  <c r="HN78" i="4"/>
  <c r="CR78" i="4"/>
  <c r="P78" i="4"/>
  <c r="CB78" i="4"/>
  <c r="HD78" i="4"/>
  <c r="AE78" i="4"/>
  <c r="CQ78" i="4"/>
  <c r="BJ78" i="4"/>
  <c r="EP78" i="4"/>
  <c r="DC78" i="4"/>
  <c r="FY78" i="4"/>
  <c r="EE78" i="4"/>
  <c r="CJ78" i="4"/>
  <c r="HL78" i="4"/>
  <c r="CP78" i="4"/>
  <c r="HP78" i="4"/>
  <c r="FO78" i="4"/>
  <c r="IA78" i="4"/>
  <c r="DK78" i="4"/>
  <c r="CK78" i="4"/>
  <c r="HT78" i="4"/>
  <c r="BX78" i="4"/>
  <c r="AL78" i="4"/>
  <c r="FW78" i="4"/>
  <c r="II78" i="4"/>
  <c r="AO78" i="4"/>
  <c r="EF141" i="4"/>
  <c r="AV141" i="4"/>
  <c r="GV141" i="4"/>
  <c r="CK141" i="4"/>
  <c r="GL141" i="4"/>
  <c r="DE140" i="4"/>
  <c r="EK140" i="4"/>
  <c r="EK141" i="4" s="1"/>
  <c r="GX140" i="4"/>
  <c r="BO96" i="4"/>
  <c r="EA96" i="4"/>
  <c r="GM96" i="4"/>
  <c r="CN140" i="4"/>
  <c r="T96" i="4"/>
  <c r="T141" i="4" s="1"/>
  <c r="CF96" i="4"/>
  <c r="EZ96" i="4"/>
  <c r="EZ141" i="4" s="1"/>
  <c r="HT96" i="4"/>
  <c r="BC140" i="4"/>
  <c r="EE140" i="4"/>
  <c r="GY140" i="4"/>
  <c r="CF140" i="4"/>
  <c r="Z96" i="4"/>
  <c r="CL96" i="4"/>
  <c r="EX96" i="4"/>
  <c r="EX141" i="4" s="1"/>
  <c r="HJ96" i="4"/>
  <c r="HJ141" i="4" s="1"/>
  <c r="AK96" i="4"/>
  <c r="CW96" i="4"/>
  <c r="FI96" i="4"/>
  <c r="HU96" i="4"/>
  <c r="DP140" i="4"/>
  <c r="DP141" i="4" s="1"/>
  <c r="CX140" i="4"/>
  <c r="BJ96" i="4"/>
  <c r="BJ141" i="4" s="1"/>
  <c r="DV96" i="4"/>
  <c r="DV141" i="4" s="1"/>
  <c r="GH96" i="4"/>
  <c r="GH141" i="4" s="1"/>
  <c r="CK140" i="4"/>
  <c r="GC140" i="4"/>
  <c r="GC141" i="4" s="1"/>
  <c r="AT140" i="4"/>
  <c r="AE96" i="4"/>
  <c r="CQ96" i="4"/>
  <c r="FC96" i="4"/>
  <c r="HO96" i="4"/>
  <c r="AX140" i="4"/>
  <c r="F140" i="4"/>
  <c r="M140" i="4"/>
  <c r="AS140" i="4"/>
  <c r="BY140" i="4"/>
  <c r="FY140" i="4"/>
  <c r="HE140" i="4"/>
  <c r="DL140" i="4"/>
  <c r="K96" i="4"/>
  <c r="BW96" i="4"/>
  <c r="EI96" i="4"/>
  <c r="GU96" i="4"/>
  <c r="ER140" i="4"/>
  <c r="ER141" i="4" s="1"/>
  <c r="AB96" i="4"/>
  <c r="CN96" i="4"/>
  <c r="FH96" i="4"/>
  <c r="IB96" i="4"/>
  <c r="BK140" i="4"/>
  <c r="BS140" i="4"/>
  <c r="EM140" i="4"/>
  <c r="HG140" i="4"/>
  <c r="K140" i="4"/>
  <c r="CM140" i="4"/>
  <c r="AS96" i="4"/>
  <c r="DE96" i="4"/>
  <c r="FQ96" i="4"/>
  <c r="IC96" i="4"/>
  <c r="IC141" i="4" s="1"/>
  <c r="X140" i="4"/>
  <c r="X141" i="4" s="1"/>
  <c r="BD140" i="4"/>
  <c r="BD141" i="4" s="1"/>
  <c r="CJ140" i="4"/>
  <c r="CJ141" i="4" s="1"/>
  <c r="GJ140" i="4"/>
  <c r="GJ141" i="4" s="1"/>
  <c r="HP140" i="4"/>
  <c r="HP141" i="4" s="1"/>
  <c r="AI140" i="4"/>
  <c r="DC140" i="4"/>
  <c r="FG140" i="4"/>
  <c r="HK140" i="4"/>
  <c r="D140" i="4"/>
  <c r="GN140" i="4"/>
  <c r="GN141" i="4" s="1"/>
  <c r="FJ140" i="4"/>
  <c r="F96" i="4"/>
  <c r="BR96" i="4"/>
  <c r="ED96" i="4"/>
  <c r="GP96" i="4"/>
  <c r="DF140" i="4"/>
  <c r="AM96" i="4"/>
  <c r="CY96" i="4"/>
  <c r="CY141" i="4" s="1"/>
  <c r="FK96" i="4"/>
  <c r="HW96" i="4"/>
  <c r="CL140" i="4"/>
  <c r="GL140" i="4"/>
  <c r="HR140" i="4"/>
  <c r="HR141" i="4" s="1"/>
  <c r="BR140" i="4"/>
  <c r="DM140" i="4"/>
  <c r="ES140" i="4"/>
  <c r="S96" i="4"/>
  <c r="CE96" i="4"/>
  <c r="EQ96" i="4"/>
  <c r="HC96" i="4"/>
  <c r="HC141" i="4" s="1"/>
  <c r="AJ96" i="4"/>
  <c r="CV96" i="4"/>
  <c r="FP96" i="4"/>
  <c r="IJ96" i="4"/>
  <c r="CA140" i="4"/>
  <c r="EU140" i="4"/>
  <c r="HO140" i="4"/>
  <c r="EY140" i="4"/>
  <c r="GM140" i="4"/>
  <c r="IA140" i="4"/>
  <c r="IA141" i="4" s="1"/>
  <c r="EJ140" i="4"/>
  <c r="BA96" i="4"/>
  <c r="DM96" i="4"/>
  <c r="FY96" i="4"/>
  <c r="IK96" i="4"/>
  <c r="DX140" i="4"/>
  <c r="DX141" i="4" s="1"/>
  <c r="FD140" i="4"/>
  <c r="FD141" i="4" s="1"/>
  <c r="CE140" i="4"/>
  <c r="HT140" i="4"/>
  <c r="HV140" i="4"/>
  <c r="N96" i="4"/>
  <c r="N141" i="4" s="1"/>
  <c r="BZ96" i="4"/>
  <c r="EL96" i="4"/>
  <c r="GX96" i="4"/>
  <c r="GX141" i="4" s="1"/>
  <c r="Y140" i="4"/>
  <c r="Y141" i="4" s="1"/>
  <c r="AW140" i="4"/>
  <c r="AW141" i="4" s="1"/>
  <c r="BU140" i="4"/>
  <c r="BU141" i="4" s="1"/>
  <c r="FM140" i="4"/>
  <c r="FM141" i="4" s="1"/>
  <c r="GK140" i="4"/>
  <c r="GK141" i="4" s="1"/>
  <c r="FR140" i="4"/>
  <c r="AU96" i="4"/>
  <c r="DG96" i="4"/>
  <c r="DG141" i="4" s="1"/>
  <c r="FS96" i="4"/>
  <c r="IE96" i="4"/>
  <c r="BF140" i="4"/>
  <c r="BF141" i="4" s="1"/>
  <c r="DZ140" i="4"/>
  <c r="DZ141" i="4" s="1"/>
  <c r="FF140" i="4"/>
  <c r="FF141" i="4" s="1"/>
  <c r="FX140" i="4"/>
  <c r="U140" i="4"/>
  <c r="GG140" i="4"/>
  <c r="HM140" i="4"/>
  <c r="FP140" i="4"/>
  <c r="AA96" i="4"/>
  <c r="CM96" i="4"/>
  <c r="EY96" i="4"/>
  <c r="HK96" i="4"/>
  <c r="HK141" i="4" s="1"/>
  <c r="GV140" i="4"/>
  <c r="AR96" i="4"/>
  <c r="DD96" i="4"/>
  <c r="DD141" i="4" s="1"/>
  <c r="FX96" i="4"/>
  <c r="CI140" i="4"/>
  <c r="FC140" i="4"/>
  <c r="FK140" i="4"/>
  <c r="HW140" i="4"/>
  <c r="BG140" i="4"/>
  <c r="DK140" i="4"/>
  <c r="AD140" i="4"/>
  <c r="AX96" i="4"/>
  <c r="DJ96" i="4"/>
  <c r="FV96" i="4"/>
  <c r="IH96" i="4"/>
  <c r="BI96" i="4"/>
  <c r="BI141" i="4" s="1"/>
  <c r="DU96" i="4"/>
  <c r="GG96" i="4"/>
  <c r="AF140" i="4"/>
  <c r="AF141" i="4" s="1"/>
  <c r="BL140" i="4"/>
  <c r="BL141" i="4" s="1"/>
  <c r="CR140" i="4"/>
  <c r="CR141" i="4" s="1"/>
  <c r="FL140" i="4"/>
  <c r="FL141" i="4" s="1"/>
  <c r="GR140" i="4"/>
  <c r="GR141" i="4" s="1"/>
  <c r="HX140" i="4"/>
  <c r="HX141" i="4" s="1"/>
  <c r="C140" i="4"/>
  <c r="C141" i="4" s="1"/>
  <c r="DS140" i="4"/>
  <c r="GE140" i="4"/>
  <c r="II140" i="4"/>
  <c r="AJ140" i="4"/>
  <c r="V96" i="4"/>
  <c r="V141" i="4" s="1"/>
  <c r="CH96" i="4"/>
  <c r="CH141" i="4" s="1"/>
  <c r="ET96" i="4"/>
  <c r="ET141" i="4" s="1"/>
  <c r="HF96" i="4"/>
  <c r="HF141" i="4" s="1"/>
  <c r="I140" i="4"/>
  <c r="I141" i="4" s="1"/>
  <c r="CS140" i="4"/>
  <c r="CS141" i="4" s="1"/>
  <c r="DQ140" i="4"/>
  <c r="DQ141" i="4" s="1"/>
  <c r="EO140" i="4"/>
  <c r="EO141" i="4" s="1"/>
  <c r="HI140" i="4"/>
  <c r="HI141" i="4" s="1"/>
  <c r="IG140" i="4"/>
  <c r="IG141" i="4" s="1"/>
  <c r="EI140" i="4"/>
  <c r="FH140" i="4"/>
  <c r="HD140" i="4"/>
  <c r="ID140" i="4"/>
  <c r="BC96" i="4"/>
  <c r="DO96" i="4"/>
  <c r="GA96" i="4"/>
  <c r="GA141" i="4" s="1"/>
  <c r="Z140" i="4"/>
  <c r="BN140" i="4"/>
  <c r="BN141" i="4" s="1"/>
  <c r="CT140" i="4"/>
  <c r="CT141" i="4" s="1"/>
  <c r="FN140" i="4"/>
  <c r="FN141" i="4" s="1"/>
  <c r="GT140" i="4"/>
  <c r="GT141" i="4" s="1"/>
  <c r="HZ140" i="4"/>
  <c r="HZ141" i="4" s="1"/>
  <c r="ED140" i="4"/>
  <c r="BA140" i="4"/>
  <c r="CG140" i="4"/>
  <c r="GP140" i="4"/>
  <c r="DU140" i="4"/>
  <c r="FA140" i="4"/>
  <c r="HU140" i="4"/>
  <c r="AI96" i="4"/>
  <c r="AI141" i="4" s="1"/>
  <c r="CU96" i="4"/>
  <c r="FG96" i="4"/>
  <c r="HS96" i="4"/>
  <c r="AZ96" i="4"/>
  <c r="DL96" i="4"/>
  <c r="DL141" i="4" s="1"/>
  <c r="GF96" i="4"/>
  <c r="G140" i="4"/>
  <c r="O140" i="4"/>
  <c r="CQ140" i="4"/>
  <c r="CY140" i="4"/>
  <c r="FS140" i="4"/>
  <c r="IE140" i="4"/>
  <c r="AA140" i="4"/>
  <c r="GF140" i="4"/>
  <c r="CP140" i="4"/>
  <c r="E96" i="4"/>
  <c r="BQ96" i="4"/>
  <c r="BQ141" i="4" s="1"/>
  <c r="EC96" i="4"/>
  <c r="GO96" i="4"/>
  <c r="GO141" i="4" s="1"/>
  <c r="AN140" i="4"/>
  <c r="AN141" i="4" s="1"/>
  <c r="BT140" i="4"/>
  <c r="BT141" i="4" s="1"/>
  <c r="CZ140" i="4"/>
  <c r="CZ141" i="4" s="1"/>
  <c r="EF140" i="4"/>
  <c r="AY140" i="4"/>
  <c r="BX140" i="4"/>
  <c r="AD96" i="4"/>
  <c r="CP96" i="4"/>
  <c r="FB96" i="4"/>
  <c r="HN96" i="4"/>
  <c r="HN141" i="4" s="1"/>
  <c r="AG140" i="4"/>
  <c r="AG141" i="4" s="1"/>
  <c r="HQ140" i="4"/>
  <c r="HQ141" i="4" s="1"/>
  <c r="L140" i="4"/>
  <c r="BK96" i="4"/>
  <c r="BK141" i="4" s="1"/>
  <c r="DW96" i="4"/>
  <c r="GI96" i="4"/>
  <c r="B140" i="4"/>
  <c r="AH140" i="4"/>
  <c r="AH141" i="4" s="1"/>
  <c r="DB140" i="4"/>
  <c r="DB141" i="4" s="1"/>
  <c r="EH140" i="4"/>
  <c r="EH141" i="4" s="1"/>
  <c r="IB140" i="4"/>
  <c r="FT140" i="4"/>
  <c r="FT141" i="4" s="1"/>
  <c r="GZ140" i="4"/>
  <c r="GZ141" i="4" s="1"/>
  <c r="IF140" i="4"/>
  <c r="IF141" i="4" s="1"/>
  <c r="AL96" i="4"/>
  <c r="CX96" i="4"/>
  <c r="FJ96" i="4"/>
  <c r="FJ141" i="4" s="1"/>
  <c r="HV96" i="4"/>
  <c r="BE140" i="4"/>
  <c r="BE141" i="4" s="1"/>
  <c r="CC140" i="4"/>
  <c r="CC141" i="4" s="1"/>
  <c r="DA140" i="4"/>
  <c r="DA141" i="4" s="1"/>
  <c r="DY140" i="4"/>
  <c r="DY141" i="4" s="1"/>
  <c r="FU140" i="4"/>
  <c r="FU141" i="4" s="1"/>
  <c r="GS140" i="4"/>
  <c r="GS141" i="4" s="1"/>
  <c r="G96" i="4"/>
  <c r="G141" i="4" s="1"/>
  <c r="BS96" i="4"/>
  <c r="EE96" i="4"/>
  <c r="EE141" i="4" s="1"/>
  <c r="GQ96" i="4"/>
  <c r="GQ141" i="4" s="1"/>
  <c r="BV140" i="4"/>
  <c r="BV141" i="4" s="1"/>
  <c r="FV140" i="4"/>
  <c r="HB140" i="4"/>
  <c r="HB141" i="4" s="1"/>
  <c r="FO140" i="4"/>
  <c r="FO141" i="4" s="1"/>
  <c r="M141" i="4"/>
  <c r="EC140" i="4"/>
  <c r="FI140" i="4"/>
  <c r="IK140" i="4"/>
  <c r="HL140" i="4"/>
  <c r="BZ140" i="4"/>
  <c r="AY96" i="4"/>
  <c r="DK96" i="4"/>
  <c r="FW96" i="4"/>
  <c r="II96" i="4"/>
  <c r="II141" i="4" s="1"/>
  <c r="D96" i="4"/>
  <c r="D141" i="4" s="1"/>
  <c r="BP96" i="4"/>
  <c r="EB96" i="4"/>
  <c r="HD96" i="4"/>
  <c r="AE140" i="4"/>
  <c r="AM140" i="4"/>
  <c r="DO140" i="4"/>
  <c r="GI140" i="4"/>
  <c r="BW140" i="4"/>
  <c r="EA140" i="4"/>
  <c r="IJ140" i="4"/>
  <c r="HN140" i="4"/>
  <c r="U96" i="4"/>
  <c r="U141" i="4" s="1"/>
  <c r="CG96" i="4"/>
  <c r="CG141" i="4" s="1"/>
  <c r="ES96" i="4"/>
  <c r="HE96" i="4"/>
  <c r="P140" i="4"/>
  <c r="P141" i="4" s="1"/>
  <c r="DH140" i="4"/>
  <c r="DH141" i="4" s="1"/>
  <c r="EN140" i="4"/>
  <c r="EN141" i="4" s="1"/>
  <c r="S140" i="4"/>
  <c r="CU140" i="4"/>
  <c r="EQ140" i="4"/>
  <c r="AT96" i="4"/>
  <c r="DF96" i="4"/>
  <c r="DF141" i="4" s="1"/>
  <c r="FR96" i="4"/>
  <c r="FR141" i="4" s="1"/>
  <c r="ID96" i="4"/>
  <c r="EW140" i="4"/>
  <c r="EW141" i="4" s="1"/>
  <c r="O96" i="4"/>
  <c r="O141" i="4" s="1"/>
  <c r="CA96" i="4"/>
  <c r="CA141" i="4" s="1"/>
  <c r="EM96" i="4"/>
  <c r="EM141" i="4" s="1"/>
  <c r="GY96" i="4"/>
  <c r="GY141" i="4" s="1"/>
  <c r="J140" i="4"/>
  <c r="J141" i="4" s="1"/>
  <c r="AP140" i="4"/>
  <c r="AP141" i="4" s="1"/>
  <c r="DJ140" i="4"/>
  <c r="EP140" i="4"/>
  <c r="EP141" i="4" s="1"/>
  <c r="IH140" i="4"/>
  <c r="AR140" i="4"/>
  <c r="DC141" i="4"/>
  <c r="FB140" i="4"/>
  <c r="BY141" i="4"/>
  <c r="E140" i="4"/>
  <c r="AK140" i="4"/>
  <c r="BQ140" i="4"/>
  <c r="CW140" i="4"/>
  <c r="FQ140" i="4"/>
  <c r="GW140" i="4"/>
  <c r="GW141" i="4" s="1"/>
  <c r="AZ140" i="4"/>
  <c r="EL140" i="4"/>
  <c r="BG96" i="4"/>
  <c r="BG141" i="4" s="1"/>
  <c r="DS96" i="4"/>
  <c r="GE96" i="4"/>
  <c r="AB140" i="4"/>
  <c r="L96" i="4"/>
  <c r="L141" i="4" s="1"/>
  <c r="BX96" i="4"/>
  <c r="EJ96" i="4"/>
  <c r="HL96" i="4"/>
  <c r="HL141" i="4" s="1"/>
  <c r="AU140" i="4"/>
  <c r="DW140" i="4"/>
  <c r="GQ140" i="4"/>
  <c r="AQ140" i="4"/>
  <c r="AQ141" i="4" s="1"/>
  <c r="FW140" i="4"/>
  <c r="HS140" i="4"/>
  <c r="BH140" i="4"/>
  <c r="BH141" i="4" s="1"/>
  <c r="AC96" i="4"/>
  <c r="AC141" i="4" s="1"/>
  <c r="CO96" i="4"/>
  <c r="CO141" i="4" s="1"/>
  <c r="FA96" i="4"/>
  <c r="HM96" i="4"/>
  <c r="AV140" i="4"/>
  <c r="CB140" i="4"/>
  <c r="CB141" i="4" s="1"/>
  <c r="GB140" i="4"/>
  <c r="GB141" i="4" s="1"/>
  <c r="HH140" i="4"/>
  <c r="HH141" i="4" s="1"/>
  <c r="BO140" i="4"/>
  <c r="GU140" i="4"/>
  <c r="CV140" i="4"/>
  <c r="EB140" i="4"/>
  <c r="AL140" i="4"/>
  <c r="BB96" i="4"/>
  <c r="BB141" i="4" s="1"/>
  <c r="DN96" i="4"/>
  <c r="DN141" i="4" s="1"/>
  <c r="FZ96" i="4"/>
  <c r="FZ141" i="4" s="1"/>
  <c r="IL96" i="4"/>
  <c r="IL141" i="4" s="1"/>
  <c r="Q140" i="4"/>
  <c r="Q141" i="4" s="1"/>
  <c r="AO140" i="4"/>
  <c r="AO141" i="4" s="1"/>
  <c r="BM140" i="4"/>
  <c r="BM141" i="4" s="1"/>
  <c r="HY140" i="4"/>
  <c r="HY141" i="4" s="1"/>
  <c r="BP140" i="4"/>
  <c r="W96" i="4"/>
  <c r="W141" i="4" s="1"/>
  <c r="CI96" i="4"/>
  <c r="EU96" i="4"/>
  <c r="EU141" i="4" s="1"/>
  <c r="HG96" i="4"/>
  <c r="HG141" i="4" s="1"/>
  <c r="CD140" i="4"/>
  <c r="CD141" i="4" s="1"/>
  <c r="GD140" i="4"/>
  <c r="GD141" i="4" s="1"/>
  <c r="BC78" i="4"/>
  <c r="DO78" i="4"/>
  <c r="BK78" i="4"/>
  <c r="CF78" i="4"/>
  <c r="HY78" i="4"/>
  <c r="DH78" i="4"/>
  <c r="IF78" i="4"/>
  <c r="HX78" i="4"/>
  <c r="DY78" i="4"/>
  <c r="O78" i="4"/>
  <c r="CA78" i="4"/>
  <c r="L78" i="4"/>
  <c r="DD78" i="4"/>
  <c r="FZ78" i="4"/>
  <c r="GC78" i="4"/>
  <c r="U78" i="4"/>
  <c r="FR78" i="4"/>
  <c r="CC78" i="4"/>
  <c r="H78" i="4"/>
  <c r="EN78" i="4"/>
  <c r="EF78" i="4"/>
  <c r="HI78" i="4"/>
  <c r="AK78" i="4"/>
  <c r="FJ78" i="4"/>
  <c r="FE78" i="4"/>
  <c r="W78" i="4"/>
  <c r="CI78" i="4"/>
  <c r="T78" i="4"/>
  <c r="HF78" i="4"/>
  <c r="AS78" i="4"/>
  <c r="GX78" i="4"/>
  <c r="EG78" i="4"/>
  <c r="AT78" i="4"/>
  <c r="EV78" i="4"/>
  <c r="BY78" i="4"/>
  <c r="GP78" i="4"/>
  <c r="HA78" i="4"/>
  <c r="IL78" i="4"/>
  <c r="AR78" i="4"/>
  <c r="DM78" i="4"/>
  <c r="HQ78" i="4"/>
  <c r="ED78" i="4"/>
  <c r="BM78" i="4"/>
  <c r="BD78" i="4"/>
  <c r="GJ78" i="4"/>
  <c r="GB78" i="4"/>
  <c r="DA78" i="4"/>
  <c r="V78" i="4"/>
  <c r="ID78" i="4"/>
  <c r="AN78" i="4"/>
  <c r="FL78" i="4"/>
  <c r="DE78" i="4"/>
  <c r="AM78" i="4"/>
  <c r="CY78" i="4"/>
  <c r="CG78" i="4"/>
  <c r="AU78" i="4"/>
  <c r="DG78" i="4"/>
  <c r="BP78" i="4"/>
  <c r="CW78" i="4"/>
  <c r="AD78" i="4"/>
  <c r="FB78" i="4"/>
  <c r="EO78" i="4"/>
  <c r="BT78" i="4"/>
  <c r="GZ78" i="4"/>
  <c r="AV78" i="4"/>
  <c r="GR78" i="4"/>
  <c r="EW78" i="4"/>
  <c r="BB78" i="4"/>
  <c r="CZ78" i="4"/>
  <c r="GS78" i="4"/>
  <c r="CH78" i="4"/>
  <c r="DN78" i="4"/>
  <c r="DF78" i="4"/>
  <c r="G78" i="4"/>
  <c r="BS78" i="4"/>
  <c r="D78" i="4"/>
  <c r="D79" i="4" s="1"/>
  <c r="E20" i="4" s="1"/>
  <c r="E79" i="4" s="1"/>
  <c r="F20" i="4" s="1"/>
  <c r="F79" i="4" s="1"/>
  <c r="G20" i="4" s="1"/>
  <c r="G79" i="4" s="1"/>
  <c r="H20" i="4" s="1"/>
  <c r="H79" i="4" s="1"/>
  <c r="I20" i="4" s="1"/>
  <c r="I79" i="4" s="1"/>
  <c r="J20" i="4" s="1"/>
  <c r="J79" i="4" s="1"/>
  <c r="K20" i="4" s="1"/>
  <c r="K79" i="4" s="1"/>
  <c r="L20" i="4" s="1"/>
  <c r="L79" i="4" s="1"/>
  <c r="M20" i="4" s="1"/>
  <c r="CN78" i="4"/>
  <c r="ET78" i="4"/>
  <c r="DI78" i="4"/>
  <c r="DV78" i="4"/>
  <c r="Q78" i="4"/>
  <c r="IE78" i="4"/>
  <c r="DX78" i="4"/>
  <c r="DP78" i="4"/>
  <c r="FM78" i="4"/>
  <c r="M78" i="4"/>
  <c r="EL78" i="4"/>
  <c r="DQ78" i="4"/>
  <c r="FP141" i="4" l="1"/>
  <c r="BS141" i="4"/>
  <c r="HV141" i="4"/>
  <c r="IE141" i="4"/>
  <c r="CV141" i="4"/>
  <c r="HU141" i="4"/>
  <c r="DK141" i="4"/>
  <c r="CX141" i="4"/>
  <c r="AY141" i="4"/>
  <c r="B141" i="4"/>
  <c r="B142" i="4" s="1"/>
  <c r="C83" i="4" s="1"/>
  <c r="C142" i="4" s="1"/>
  <c r="D83" i="4" s="1"/>
  <c r="D142" i="4" s="1"/>
  <c r="E83" i="4" s="1"/>
  <c r="F15" i="6" a="1"/>
  <c r="F15" i="6" s="1"/>
  <c r="G15" i="6" s="1"/>
  <c r="H15" i="6" s="1"/>
  <c r="C10" i="6" a="1"/>
  <c r="C10" i="6" s="1"/>
  <c r="AK141" i="4"/>
  <c r="BO141" i="4"/>
  <c r="CI141" i="4"/>
  <c r="GI141" i="4"/>
  <c r="CP141" i="4"/>
  <c r="EY141" i="4"/>
  <c r="BZ141" i="4"/>
  <c r="FY141" i="4"/>
  <c r="HO141" i="4"/>
  <c r="EC141" i="4"/>
  <c r="FG141" i="4"/>
  <c r="FV141" i="4"/>
  <c r="FK141" i="4"/>
  <c r="CN141" i="4"/>
  <c r="M79" i="4"/>
  <c r="N20" i="4" s="1"/>
  <c r="N79" i="4" s="1"/>
  <c r="O20" i="4" s="1"/>
  <c r="O79" i="4" s="1"/>
  <c r="P20" i="4" s="1"/>
  <c r="P79" i="4" s="1"/>
  <c r="Q20" i="4" s="1"/>
  <c r="Q79" i="4" s="1"/>
  <c r="R20" i="4" s="1"/>
  <c r="R79" i="4" s="1"/>
  <c r="S20" i="4" s="1"/>
  <c r="S79" i="4" s="1"/>
  <c r="T20" i="4" s="1"/>
  <c r="T79" i="4" s="1"/>
  <c r="U20" i="4" s="1"/>
  <c r="U79" i="4" s="1"/>
  <c r="V20" i="4" s="1"/>
  <c r="V79" i="4" s="1"/>
  <c r="W20" i="4" s="1"/>
  <c r="W79" i="4" s="1"/>
  <c r="X20" i="4" s="1"/>
  <c r="X79" i="4" s="1"/>
  <c r="Y20" i="4" s="1"/>
  <c r="Y79" i="4" s="1"/>
  <c r="Z20" i="4" s="1"/>
  <c r="Z79" i="4" s="1"/>
  <c r="AA20" i="4" s="1"/>
  <c r="AA79" i="4" s="1"/>
  <c r="AB20" i="4" s="1"/>
  <c r="AB79" i="4" s="1"/>
  <c r="AC20" i="4" s="1"/>
  <c r="AC79" i="4" s="1"/>
  <c r="AD20" i="4" s="1"/>
  <c r="AD79" i="4" s="1"/>
  <c r="AE20" i="4" s="1"/>
  <c r="AE79" i="4" s="1"/>
  <c r="AF20" i="4" s="1"/>
  <c r="AF79" i="4" s="1"/>
  <c r="AG20" i="4" s="1"/>
  <c r="AG79" i="4" s="1"/>
  <c r="AH20" i="4" s="1"/>
  <c r="AH79" i="4" s="1"/>
  <c r="AI20" i="4" s="1"/>
  <c r="AI79" i="4" s="1"/>
  <c r="AJ20" i="4" s="1"/>
  <c r="AJ79" i="4" s="1"/>
  <c r="AK20" i="4" s="1"/>
  <c r="AK79" i="4" s="1"/>
  <c r="AL20" i="4" s="1"/>
  <c r="AL79" i="4" s="1"/>
  <c r="AM20" i="4" s="1"/>
  <c r="AM79" i="4" s="1"/>
  <c r="AN20" i="4" s="1"/>
  <c r="AN79" i="4" s="1"/>
  <c r="AO20" i="4" s="1"/>
  <c r="AO79" i="4" s="1"/>
  <c r="AP20" i="4" s="1"/>
  <c r="AP79" i="4" s="1"/>
  <c r="AQ20" i="4" s="1"/>
  <c r="AQ79" i="4" s="1"/>
  <c r="AR20" i="4" s="1"/>
  <c r="AR79" i="4" s="1"/>
  <c r="AS20" i="4" s="1"/>
  <c r="AS79" i="4" s="1"/>
  <c r="AT20" i="4" s="1"/>
  <c r="AT79" i="4" s="1"/>
  <c r="AU20" i="4" s="1"/>
  <c r="AU79" i="4" s="1"/>
  <c r="AV20" i="4" s="1"/>
  <c r="AV79" i="4" s="1"/>
  <c r="AW20" i="4" s="1"/>
  <c r="AW79" i="4" s="1"/>
  <c r="AX20" i="4" s="1"/>
  <c r="AX79" i="4" s="1"/>
  <c r="AY20" i="4" s="1"/>
  <c r="AY79" i="4" s="1"/>
  <c r="AZ20" i="4" s="1"/>
  <c r="AZ79" i="4" s="1"/>
  <c r="BA20" i="4" s="1"/>
  <c r="BA79" i="4" s="1"/>
  <c r="BB20" i="4" s="1"/>
  <c r="BB79" i="4" s="1"/>
  <c r="BC20" i="4" s="1"/>
  <c r="BC79" i="4" s="1"/>
  <c r="BD20" i="4" s="1"/>
  <c r="BD79" i="4" s="1"/>
  <c r="BE20" i="4" s="1"/>
  <c r="BE79" i="4" s="1"/>
  <c r="BF20" i="4" s="1"/>
  <c r="BF79" i="4" s="1"/>
  <c r="BG20" i="4" s="1"/>
  <c r="BG79" i="4" s="1"/>
  <c r="BH20" i="4" s="1"/>
  <c r="BH79" i="4" s="1"/>
  <c r="BI20" i="4" s="1"/>
  <c r="BI79" i="4" s="1"/>
  <c r="BJ20" i="4" s="1"/>
  <c r="BJ79" i="4" s="1"/>
  <c r="BK20" i="4" s="1"/>
  <c r="BK79" i="4" s="1"/>
  <c r="BL20" i="4" s="1"/>
  <c r="BL79" i="4" s="1"/>
  <c r="BM20" i="4" s="1"/>
  <c r="BM79" i="4" s="1"/>
  <c r="BN20" i="4" s="1"/>
  <c r="BN79" i="4" s="1"/>
  <c r="BO20" i="4" s="1"/>
  <c r="BO79" i="4" s="1"/>
  <c r="BP20" i="4" s="1"/>
  <c r="BP79" i="4" s="1"/>
  <c r="BQ20" i="4" s="1"/>
  <c r="BQ79" i="4" s="1"/>
  <c r="BR20" i="4" s="1"/>
  <c r="BR79" i="4" s="1"/>
  <c r="BS20" i="4" s="1"/>
  <c r="BS79" i="4" s="1"/>
  <c r="BT20" i="4" s="1"/>
  <c r="BT79" i="4" s="1"/>
  <c r="BU20" i="4" s="1"/>
  <c r="BU79" i="4" s="1"/>
  <c r="BV20" i="4" s="1"/>
  <c r="BV79" i="4" s="1"/>
  <c r="BW20" i="4" s="1"/>
  <c r="BW79" i="4" s="1"/>
  <c r="BX20" i="4" s="1"/>
  <c r="BX79" i="4" s="1"/>
  <c r="BY20" i="4" s="1"/>
  <c r="BY79" i="4" s="1"/>
  <c r="BZ20" i="4" s="1"/>
  <c r="BZ79" i="4" s="1"/>
  <c r="CA20" i="4" s="1"/>
  <c r="CA79" i="4" s="1"/>
  <c r="CB20" i="4" s="1"/>
  <c r="CB79" i="4" s="1"/>
  <c r="CC20" i="4" s="1"/>
  <c r="CC79" i="4" s="1"/>
  <c r="CD20" i="4" s="1"/>
  <c r="CD79" i="4" s="1"/>
  <c r="CE20" i="4" s="1"/>
  <c r="CE79" i="4" s="1"/>
  <c r="CF20" i="4" s="1"/>
  <c r="CF79" i="4" s="1"/>
  <c r="CG20" i="4" s="1"/>
  <c r="CG79" i="4" s="1"/>
  <c r="CH20" i="4" s="1"/>
  <c r="CH79" i="4" s="1"/>
  <c r="CI20" i="4" s="1"/>
  <c r="CI79" i="4" s="1"/>
  <c r="CJ20" i="4" s="1"/>
  <c r="CJ79" i="4" s="1"/>
  <c r="CK20" i="4" s="1"/>
  <c r="CK79" i="4" s="1"/>
  <c r="CL20" i="4" s="1"/>
  <c r="CL79" i="4" s="1"/>
  <c r="CM20" i="4" s="1"/>
  <c r="CM79" i="4" s="1"/>
  <c r="CN20" i="4" s="1"/>
  <c r="CN79" i="4" s="1"/>
  <c r="CO20" i="4" s="1"/>
  <c r="CO79" i="4" s="1"/>
  <c r="CP20" i="4" s="1"/>
  <c r="CP79" i="4" s="1"/>
  <c r="CQ20" i="4" s="1"/>
  <c r="CQ79" i="4" s="1"/>
  <c r="CR20" i="4" s="1"/>
  <c r="CR79" i="4" s="1"/>
  <c r="CS20" i="4" s="1"/>
  <c r="CS79" i="4" s="1"/>
  <c r="CT20" i="4" s="1"/>
  <c r="CT79" i="4" s="1"/>
  <c r="CU20" i="4" s="1"/>
  <c r="CU79" i="4" s="1"/>
  <c r="CV20" i="4" s="1"/>
  <c r="CV79" i="4" s="1"/>
  <c r="CW20" i="4" s="1"/>
  <c r="CW79" i="4" s="1"/>
  <c r="CX20" i="4" s="1"/>
  <c r="CX79" i="4" s="1"/>
  <c r="CY20" i="4" s="1"/>
  <c r="CY79" i="4" s="1"/>
  <c r="CZ20" i="4" s="1"/>
  <c r="CZ79" i="4" s="1"/>
  <c r="DA20" i="4" s="1"/>
  <c r="DA79" i="4" s="1"/>
  <c r="DB20" i="4" s="1"/>
  <c r="DB79" i="4" s="1"/>
  <c r="DC20" i="4" s="1"/>
  <c r="DC79" i="4" s="1"/>
  <c r="DD20" i="4" s="1"/>
  <c r="DD79" i="4" s="1"/>
  <c r="DE20" i="4" s="1"/>
  <c r="DE79" i="4" s="1"/>
  <c r="DF20" i="4" s="1"/>
  <c r="DF79" i="4" s="1"/>
  <c r="DG20" i="4" s="1"/>
  <c r="DG79" i="4" s="1"/>
  <c r="DH20" i="4" s="1"/>
  <c r="DH79" i="4" s="1"/>
  <c r="DI20" i="4" s="1"/>
  <c r="DI79" i="4" s="1"/>
  <c r="DJ20" i="4" s="1"/>
  <c r="DJ79" i="4" s="1"/>
  <c r="DK20" i="4" s="1"/>
  <c r="DK79" i="4" s="1"/>
  <c r="DL20" i="4" s="1"/>
  <c r="DL79" i="4" s="1"/>
  <c r="DM20" i="4" s="1"/>
  <c r="DM79" i="4" s="1"/>
  <c r="DN20" i="4" s="1"/>
  <c r="DN79" i="4" s="1"/>
  <c r="DO20" i="4" s="1"/>
  <c r="DO79" i="4" s="1"/>
  <c r="DP20" i="4" s="1"/>
  <c r="DP79" i="4" s="1"/>
  <c r="DQ20" i="4" s="1"/>
  <c r="DQ79" i="4" s="1"/>
  <c r="DR20" i="4" s="1"/>
  <c r="DR79" i="4" s="1"/>
  <c r="DS20" i="4" s="1"/>
  <c r="DS79" i="4" s="1"/>
  <c r="DT20" i="4" s="1"/>
  <c r="DT79" i="4" s="1"/>
  <c r="DU20" i="4" s="1"/>
  <c r="DU79" i="4" s="1"/>
  <c r="DV20" i="4" s="1"/>
  <c r="DV79" i="4" s="1"/>
  <c r="DW20" i="4" s="1"/>
  <c r="DW79" i="4" s="1"/>
  <c r="DX20" i="4" s="1"/>
  <c r="DX79" i="4" s="1"/>
  <c r="DY20" i="4" s="1"/>
  <c r="DY79" i="4" s="1"/>
  <c r="DZ20" i="4" s="1"/>
  <c r="DZ79" i="4" s="1"/>
  <c r="EA20" i="4" s="1"/>
  <c r="EA79" i="4" s="1"/>
  <c r="EB20" i="4" s="1"/>
  <c r="EB79" i="4" s="1"/>
  <c r="EC20" i="4" s="1"/>
  <c r="EC79" i="4" s="1"/>
  <c r="ED20" i="4" s="1"/>
  <c r="ED79" i="4" s="1"/>
  <c r="EE20" i="4" s="1"/>
  <c r="EE79" i="4" s="1"/>
  <c r="EF20" i="4" s="1"/>
  <c r="EF79" i="4" s="1"/>
  <c r="EG20" i="4" s="1"/>
  <c r="EG79" i="4" s="1"/>
  <c r="EH20" i="4" s="1"/>
  <c r="EH79" i="4" s="1"/>
  <c r="EI20" i="4" s="1"/>
  <c r="EI79" i="4" s="1"/>
  <c r="EJ20" i="4" s="1"/>
  <c r="EJ79" i="4" s="1"/>
  <c r="EK20" i="4" s="1"/>
  <c r="EK79" i="4" s="1"/>
  <c r="EL20" i="4" s="1"/>
  <c r="EL79" i="4" s="1"/>
  <c r="EM20" i="4" s="1"/>
  <c r="EM79" i="4" s="1"/>
  <c r="EN20" i="4" s="1"/>
  <c r="EN79" i="4" s="1"/>
  <c r="EO20" i="4" s="1"/>
  <c r="EO79" i="4" s="1"/>
  <c r="EP20" i="4" s="1"/>
  <c r="EP79" i="4" s="1"/>
  <c r="EQ20" i="4" s="1"/>
  <c r="EQ79" i="4" s="1"/>
  <c r="ER20" i="4" s="1"/>
  <c r="ER79" i="4" s="1"/>
  <c r="ES20" i="4" s="1"/>
  <c r="ES79" i="4" s="1"/>
  <c r="ET20" i="4" s="1"/>
  <c r="ET79" i="4" s="1"/>
  <c r="EU20" i="4" s="1"/>
  <c r="EU79" i="4" s="1"/>
  <c r="EV20" i="4" s="1"/>
  <c r="EV79" i="4" s="1"/>
  <c r="EW20" i="4" s="1"/>
  <c r="EW79" i="4" s="1"/>
  <c r="EX20" i="4" s="1"/>
  <c r="EX79" i="4" s="1"/>
  <c r="EY20" i="4" s="1"/>
  <c r="EY79" i="4" s="1"/>
  <c r="EZ20" i="4" s="1"/>
  <c r="EZ79" i="4" s="1"/>
  <c r="FA20" i="4" s="1"/>
  <c r="FA79" i="4" s="1"/>
  <c r="FB20" i="4" s="1"/>
  <c r="FB79" i="4" s="1"/>
  <c r="FC20" i="4" s="1"/>
  <c r="FC79" i="4" s="1"/>
  <c r="FD20" i="4" s="1"/>
  <c r="FD79" i="4" s="1"/>
  <c r="FE20" i="4" s="1"/>
  <c r="FE79" i="4" s="1"/>
  <c r="FF20" i="4" s="1"/>
  <c r="FF79" i="4" s="1"/>
  <c r="FG20" i="4" s="1"/>
  <c r="FG79" i="4" s="1"/>
  <c r="FH20" i="4" s="1"/>
  <c r="FH79" i="4" s="1"/>
  <c r="FI20" i="4" s="1"/>
  <c r="FI79" i="4" s="1"/>
  <c r="FJ20" i="4" s="1"/>
  <c r="FJ79" i="4" s="1"/>
  <c r="FK20" i="4" s="1"/>
  <c r="FK79" i="4" s="1"/>
  <c r="FL20" i="4" s="1"/>
  <c r="FL79" i="4" s="1"/>
  <c r="FM20" i="4" s="1"/>
  <c r="FM79" i="4" s="1"/>
  <c r="FN20" i="4" s="1"/>
  <c r="FN79" i="4" s="1"/>
  <c r="FO20" i="4" s="1"/>
  <c r="FO79" i="4" s="1"/>
  <c r="FP20" i="4" s="1"/>
  <c r="FP79" i="4" s="1"/>
  <c r="FQ20" i="4" s="1"/>
  <c r="FQ79" i="4" s="1"/>
  <c r="FR20" i="4" s="1"/>
  <c r="FR79" i="4" s="1"/>
  <c r="FS20" i="4" s="1"/>
  <c r="FS79" i="4" s="1"/>
  <c r="FT20" i="4" s="1"/>
  <c r="FT79" i="4" s="1"/>
  <c r="FU20" i="4" s="1"/>
  <c r="FU79" i="4" s="1"/>
  <c r="FV20" i="4" s="1"/>
  <c r="FV79" i="4" s="1"/>
  <c r="FW20" i="4" s="1"/>
  <c r="FW79" i="4" s="1"/>
  <c r="FX20" i="4" s="1"/>
  <c r="FX79" i="4" s="1"/>
  <c r="FY20" i="4" s="1"/>
  <c r="FY79" i="4" s="1"/>
  <c r="FZ20" i="4" s="1"/>
  <c r="FZ79" i="4" s="1"/>
  <c r="GA20" i="4" s="1"/>
  <c r="GA79" i="4" s="1"/>
  <c r="GB20" i="4" s="1"/>
  <c r="GB79" i="4" s="1"/>
  <c r="GC20" i="4" s="1"/>
  <c r="GC79" i="4" s="1"/>
  <c r="GD20" i="4" s="1"/>
  <c r="GD79" i="4" s="1"/>
  <c r="GE20" i="4" s="1"/>
  <c r="GE79" i="4" s="1"/>
  <c r="GF20" i="4" s="1"/>
  <c r="GF79" i="4" s="1"/>
  <c r="GG20" i="4" s="1"/>
  <c r="GG79" i="4" s="1"/>
  <c r="GH20" i="4" s="1"/>
  <c r="GH79" i="4" s="1"/>
  <c r="GI20" i="4" s="1"/>
  <c r="GI79" i="4" s="1"/>
  <c r="GJ20" i="4" s="1"/>
  <c r="GJ79" i="4" s="1"/>
  <c r="GK20" i="4" s="1"/>
  <c r="GK79" i="4" s="1"/>
  <c r="GL20" i="4" s="1"/>
  <c r="GL79" i="4" s="1"/>
  <c r="GM20" i="4" s="1"/>
  <c r="GM79" i="4" s="1"/>
  <c r="GN20" i="4" s="1"/>
  <c r="GN79" i="4" s="1"/>
  <c r="GO20" i="4" s="1"/>
  <c r="GO79" i="4" s="1"/>
  <c r="GP20" i="4" s="1"/>
  <c r="GP79" i="4" s="1"/>
  <c r="GQ20" i="4" s="1"/>
  <c r="GQ79" i="4" s="1"/>
  <c r="GR20" i="4" s="1"/>
  <c r="GR79" i="4" s="1"/>
  <c r="GS20" i="4" s="1"/>
  <c r="GS79" i="4" s="1"/>
  <c r="GT20" i="4" s="1"/>
  <c r="GT79" i="4" s="1"/>
  <c r="GU20" i="4" s="1"/>
  <c r="GU79" i="4" s="1"/>
  <c r="GV20" i="4" s="1"/>
  <c r="GV79" i="4" s="1"/>
  <c r="GW20" i="4" s="1"/>
  <c r="GW79" i="4" s="1"/>
  <c r="GX20" i="4" s="1"/>
  <c r="GX79" i="4" s="1"/>
  <c r="GY20" i="4" s="1"/>
  <c r="GY79" i="4" s="1"/>
  <c r="GZ20" i="4" s="1"/>
  <c r="GZ79" i="4" s="1"/>
  <c r="HA20" i="4" s="1"/>
  <c r="HA79" i="4" s="1"/>
  <c r="HB20" i="4" s="1"/>
  <c r="HB79" i="4" s="1"/>
  <c r="HC20" i="4" s="1"/>
  <c r="HC79" i="4" s="1"/>
  <c r="HD20" i="4" s="1"/>
  <c r="HD79" i="4" s="1"/>
  <c r="HE20" i="4" s="1"/>
  <c r="HE79" i="4" s="1"/>
  <c r="HF20" i="4" s="1"/>
  <c r="HF79" i="4" s="1"/>
  <c r="HG20" i="4" s="1"/>
  <c r="HG79" i="4" s="1"/>
  <c r="HH20" i="4" s="1"/>
  <c r="HH79" i="4" s="1"/>
  <c r="HI20" i="4" s="1"/>
  <c r="HI79" i="4" s="1"/>
  <c r="HJ20" i="4" s="1"/>
  <c r="HJ79" i="4" s="1"/>
  <c r="HK20" i="4" s="1"/>
  <c r="HK79" i="4" s="1"/>
  <c r="HL20" i="4" s="1"/>
  <c r="HL79" i="4" s="1"/>
  <c r="HM20" i="4" s="1"/>
  <c r="HM79" i="4" s="1"/>
  <c r="HN20" i="4" s="1"/>
  <c r="HN79" i="4" s="1"/>
  <c r="HO20" i="4" s="1"/>
  <c r="HO79" i="4" s="1"/>
  <c r="HP20" i="4" s="1"/>
  <c r="HP79" i="4" s="1"/>
  <c r="HQ20" i="4" s="1"/>
  <c r="HQ79" i="4" s="1"/>
  <c r="HR20" i="4" s="1"/>
  <c r="HR79" i="4" s="1"/>
  <c r="HS20" i="4" s="1"/>
  <c r="HS79" i="4" s="1"/>
  <c r="HT20" i="4" s="1"/>
  <c r="HT79" i="4" s="1"/>
  <c r="HU20" i="4" s="1"/>
  <c r="HU79" i="4" s="1"/>
  <c r="HV20" i="4" s="1"/>
  <c r="HV79" i="4" s="1"/>
  <c r="HW20" i="4" s="1"/>
  <c r="HW79" i="4" s="1"/>
  <c r="HX20" i="4" s="1"/>
  <c r="HX79" i="4" s="1"/>
  <c r="HY20" i="4" s="1"/>
  <c r="HY79" i="4" s="1"/>
  <c r="HZ20" i="4" s="1"/>
  <c r="HZ79" i="4" s="1"/>
  <c r="IA20" i="4" s="1"/>
  <c r="IA79" i="4" s="1"/>
  <c r="IB20" i="4" s="1"/>
  <c r="IB79" i="4" s="1"/>
  <c r="IC20" i="4" s="1"/>
  <c r="IC79" i="4" s="1"/>
  <c r="ID20" i="4" s="1"/>
  <c r="ID79" i="4" s="1"/>
  <c r="IE20" i="4" s="1"/>
  <c r="IE79" i="4" s="1"/>
  <c r="IF20" i="4" s="1"/>
  <c r="IF79" i="4" s="1"/>
  <c r="IG20" i="4" s="1"/>
  <c r="IG79" i="4" s="1"/>
  <c r="IH20" i="4" s="1"/>
  <c r="IH79" i="4" s="1"/>
  <c r="II20" i="4" s="1"/>
  <c r="II79" i="4" s="1"/>
  <c r="IJ20" i="4" s="1"/>
  <c r="IJ79" i="4" s="1"/>
  <c r="IK20" i="4" s="1"/>
  <c r="IK79" i="4" s="1"/>
  <c r="IL20" i="4" s="1"/>
  <c r="IL79" i="4" s="1"/>
  <c r="GG141" i="4"/>
  <c r="AR141" i="4"/>
  <c r="AB141" i="4"/>
  <c r="HM141" i="4"/>
  <c r="GE141" i="4"/>
  <c r="HD141" i="4"/>
  <c r="AL141" i="4"/>
  <c r="FB141" i="4"/>
  <c r="AZ141" i="4"/>
  <c r="DU141" i="4"/>
  <c r="FS141" i="4"/>
  <c r="AJ141" i="4"/>
  <c r="AM141" i="4"/>
  <c r="FC141" i="4"/>
  <c r="FA141" i="4"/>
  <c r="DS141" i="4"/>
  <c r="EB141" i="4"/>
  <c r="HS141" i="4"/>
  <c r="GU141" i="4"/>
  <c r="CQ141" i="4"/>
  <c r="CL141" i="4"/>
  <c r="CF141" i="4"/>
  <c r="HT141" i="4"/>
  <c r="ID141" i="4"/>
  <c r="BP141" i="4"/>
  <c r="DW141" i="4"/>
  <c r="AD141" i="4"/>
  <c r="IH141" i="4"/>
  <c r="AU141" i="4"/>
  <c r="EL141" i="4"/>
  <c r="IK141" i="4"/>
  <c r="GP141" i="4"/>
  <c r="EI141" i="4"/>
  <c r="AE141" i="4"/>
  <c r="Z141" i="4"/>
  <c r="CM141" i="4"/>
  <c r="EQ141" i="4"/>
  <c r="EJ141" i="4"/>
  <c r="HE141" i="4"/>
  <c r="E141" i="4"/>
  <c r="E142" i="4" s="1"/>
  <c r="F83" i="4" s="1"/>
  <c r="DO141" i="4"/>
  <c r="DJ141" i="4"/>
  <c r="AA141" i="4"/>
  <c r="DM141" i="4"/>
  <c r="CE141" i="4"/>
  <c r="BR141" i="4"/>
  <c r="DE141" i="4"/>
  <c r="IB141" i="4"/>
  <c r="K141" i="4"/>
  <c r="FI141" i="4"/>
  <c r="GM141" i="4"/>
  <c r="GF141" i="4"/>
  <c r="CU141" i="4"/>
  <c r="ED141" i="4"/>
  <c r="FQ141" i="4"/>
  <c r="BW141" i="4"/>
  <c r="BX141" i="4"/>
  <c r="AT141" i="4"/>
  <c r="ES141" i="4"/>
  <c r="FW141" i="4"/>
  <c r="BC141" i="4"/>
  <c r="AX141" i="4"/>
  <c r="FX141" i="4"/>
  <c r="BA141" i="4"/>
  <c r="IJ141" i="4"/>
  <c r="S141" i="4"/>
  <c r="HW141" i="4"/>
  <c r="F141" i="4"/>
  <c r="AS141" i="4"/>
  <c r="FH141" i="4"/>
  <c r="CW141" i="4"/>
  <c r="EA141" i="4"/>
  <c r="D10" i="6" l="1"/>
  <c r="C11" i="6"/>
  <c r="E10" i="6"/>
  <c r="F142" i="4"/>
  <c r="G83" i="4" s="1"/>
  <c r="G142" i="4" s="1"/>
  <c r="H83" i="4" s="1"/>
  <c r="H142" i="4" s="1"/>
  <c r="I83" i="4" s="1"/>
  <c r="I142" i="4" s="1"/>
  <c r="J83" i="4" s="1"/>
  <c r="J142" i="4" s="1"/>
  <c r="K83" i="4" s="1"/>
  <c r="K142" i="4" s="1"/>
  <c r="L83" i="4" s="1"/>
  <c r="L142" i="4" s="1"/>
  <c r="M83" i="4" s="1"/>
  <c r="M142" i="4" s="1"/>
  <c r="N83" i="4" s="1"/>
  <c r="N142" i="4" s="1"/>
  <c r="O83" i="4" s="1"/>
  <c r="O142" i="4" s="1"/>
  <c r="P83" i="4" s="1"/>
  <c r="P142" i="4" s="1"/>
  <c r="Q83" i="4" s="1"/>
  <c r="Q142" i="4" s="1"/>
  <c r="R83" i="4" s="1"/>
  <c r="R142" i="4" s="1"/>
  <c r="S83" i="4" s="1"/>
  <c r="S142" i="4" s="1"/>
  <c r="T83" i="4" s="1"/>
  <c r="T142" i="4" s="1"/>
  <c r="U83" i="4" s="1"/>
  <c r="U142" i="4" s="1"/>
  <c r="V83" i="4" s="1"/>
  <c r="V142" i="4" s="1"/>
  <c r="W83" i="4" s="1"/>
  <c r="W142" i="4" s="1"/>
  <c r="X83" i="4" s="1"/>
  <c r="X142" i="4" s="1"/>
  <c r="Y83" i="4" s="1"/>
  <c r="Y142" i="4" s="1"/>
  <c r="Z83" i="4" s="1"/>
  <c r="Z142" i="4" s="1"/>
  <c r="AA83" i="4" s="1"/>
  <c r="AA142" i="4" s="1"/>
  <c r="AB83" i="4" s="1"/>
  <c r="AB142" i="4" s="1"/>
  <c r="AC83" i="4" s="1"/>
  <c r="AC142" i="4" s="1"/>
  <c r="AD83" i="4" s="1"/>
  <c r="AD142" i="4" s="1"/>
  <c r="AE83" i="4" s="1"/>
  <c r="AE142" i="4" s="1"/>
  <c r="AF83" i="4" s="1"/>
  <c r="AF142" i="4" s="1"/>
  <c r="AG83" i="4" s="1"/>
  <c r="AG142" i="4" s="1"/>
  <c r="AH83" i="4" s="1"/>
  <c r="AH142" i="4" s="1"/>
  <c r="AI83" i="4" s="1"/>
  <c r="AI142" i="4" s="1"/>
  <c r="AJ83" i="4" s="1"/>
  <c r="AJ142" i="4" s="1"/>
  <c r="AK83" i="4" s="1"/>
  <c r="AK142" i="4" s="1"/>
  <c r="AL83" i="4" s="1"/>
  <c r="AL142" i="4" s="1"/>
  <c r="AM83" i="4" s="1"/>
  <c r="AM142" i="4" s="1"/>
  <c r="AN83" i="4" s="1"/>
  <c r="AN142" i="4" s="1"/>
  <c r="AO83" i="4" s="1"/>
  <c r="AO142" i="4" s="1"/>
  <c r="AP83" i="4" s="1"/>
  <c r="AP142" i="4" s="1"/>
  <c r="AQ83" i="4" s="1"/>
  <c r="AQ142" i="4" s="1"/>
  <c r="AR83" i="4" s="1"/>
  <c r="AR142" i="4" s="1"/>
  <c r="AS83" i="4" s="1"/>
  <c r="AS142" i="4" s="1"/>
  <c r="AT83" i="4" s="1"/>
  <c r="AT142" i="4" s="1"/>
  <c r="AU83" i="4" s="1"/>
  <c r="AU142" i="4" s="1"/>
  <c r="AV83" i="4" s="1"/>
  <c r="AV142" i="4" s="1"/>
  <c r="AW83" i="4" s="1"/>
  <c r="AW142" i="4" s="1"/>
  <c r="AX83" i="4" s="1"/>
  <c r="AX142" i="4" s="1"/>
  <c r="AY83" i="4" s="1"/>
  <c r="AY142" i="4" s="1"/>
  <c r="AZ83" i="4" s="1"/>
  <c r="AZ142" i="4" s="1"/>
  <c r="BA83" i="4" s="1"/>
  <c r="BA142" i="4" s="1"/>
  <c r="BB83" i="4" s="1"/>
  <c r="BB142" i="4" s="1"/>
  <c r="BC83" i="4" s="1"/>
  <c r="BC142" i="4" s="1"/>
  <c r="BD83" i="4" s="1"/>
  <c r="BD142" i="4" s="1"/>
  <c r="BE83" i="4" s="1"/>
  <c r="BE142" i="4" s="1"/>
  <c r="BF83" i="4" s="1"/>
  <c r="BF142" i="4" s="1"/>
  <c r="BG83" i="4" s="1"/>
  <c r="BG142" i="4" s="1"/>
  <c r="BH83" i="4" s="1"/>
  <c r="BH142" i="4" s="1"/>
  <c r="BI83" i="4" s="1"/>
  <c r="BI142" i="4" s="1"/>
  <c r="BJ83" i="4" s="1"/>
  <c r="BJ142" i="4" s="1"/>
  <c r="BK83" i="4" s="1"/>
  <c r="BK142" i="4" s="1"/>
  <c r="BL83" i="4" s="1"/>
  <c r="BL142" i="4" s="1"/>
  <c r="BM83" i="4" s="1"/>
  <c r="BM142" i="4" s="1"/>
  <c r="BN83" i="4" s="1"/>
  <c r="BN142" i="4" s="1"/>
  <c r="BO83" i="4" s="1"/>
  <c r="BO142" i="4" s="1"/>
  <c r="BP83" i="4" s="1"/>
  <c r="BP142" i="4" s="1"/>
  <c r="BQ83" i="4" s="1"/>
  <c r="BQ142" i="4" s="1"/>
  <c r="BR83" i="4" s="1"/>
  <c r="BR142" i="4" s="1"/>
  <c r="BS83" i="4" s="1"/>
  <c r="BS142" i="4" s="1"/>
  <c r="BT83" i="4" s="1"/>
  <c r="BT142" i="4" s="1"/>
  <c r="BU83" i="4" s="1"/>
  <c r="BU142" i="4" s="1"/>
  <c r="BV83" i="4" s="1"/>
  <c r="BV142" i="4" s="1"/>
  <c r="BW83" i="4" s="1"/>
  <c r="BW142" i="4" s="1"/>
  <c r="BX83" i="4" s="1"/>
  <c r="BX142" i="4" s="1"/>
  <c r="BY83" i="4" s="1"/>
  <c r="BY142" i="4" s="1"/>
  <c r="BZ83" i="4" s="1"/>
  <c r="BZ142" i="4" s="1"/>
  <c r="CA83" i="4" s="1"/>
  <c r="CA142" i="4" s="1"/>
  <c r="CB83" i="4" s="1"/>
  <c r="CB142" i="4" s="1"/>
  <c r="CC83" i="4" s="1"/>
  <c r="CC142" i="4" s="1"/>
  <c r="CD83" i="4" s="1"/>
  <c r="CD142" i="4" s="1"/>
  <c r="CE83" i="4" s="1"/>
  <c r="CE142" i="4" s="1"/>
  <c r="CF83" i="4" s="1"/>
  <c r="CF142" i="4" s="1"/>
  <c r="CG83" i="4" s="1"/>
  <c r="CG142" i="4" s="1"/>
  <c r="CH83" i="4" s="1"/>
  <c r="CH142" i="4" s="1"/>
  <c r="CI83" i="4" s="1"/>
  <c r="CI142" i="4" s="1"/>
  <c r="CJ83" i="4" s="1"/>
  <c r="CJ142" i="4" s="1"/>
  <c r="CK83" i="4" s="1"/>
  <c r="CK142" i="4" s="1"/>
  <c r="CL83" i="4" s="1"/>
  <c r="CL142" i="4" s="1"/>
  <c r="CM83" i="4" s="1"/>
  <c r="CM142" i="4" s="1"/>
  <c r="CN83" i="4" s="1"/>
  <c r="CN142" i="4" s="1"/>
  <c r="CO83" i="4" s="1"/>
  <c r="CO142" i="4" s="1"/>
  <c r="CP83" i="4" s="1"/>
  <c r="CP142" i="4" s="1"/>
  <c r="CQ83" i="4" s="1"/>
  <c r="CQ142" i="4" s="1"/>
  <c r="CR83" i="4" s="1"/>
  <c r="CR142" i="4" s="1"/>
  <c r="CS83" i="4" s="1"/>
  <c r="CS142" i="4" s="1"/>
  <c r="CT83" i="4" s="1"/>
  <c r="CT142" i="4" s="1"/>
  <c r="CU83" i="4" s="1"/>
  <c r="CU142" i="4" s="1"/>
  <c r="CV83" i="4" s="1"/>
  <c r="CV142" i="4" s="1"/>
  <c r="CW83" i="4" s="1"/>
  <c r="CW142" i="4" s="1"/>
  <c r="CX83" i="4" s="1"/>
  <c r="CX142" i="4" s="1"/>
  <c r="CY83" i="4" s="1"/>
  <c r="CY142" i="4" s="1"/>
  <c r="CZ83" i="4" s="1"/>
  <c r="CZ142" i="4" s="1"/>
  <c r="DA83" i="4" s="1"/>
  <c r="DA142" i="4" s="1"/>
  <c r="DB83" i="4" s="1"/>
  <c r="DB142" i="4" s="1"/>
  <c r="DC83" i="4" s="1"/>
  <c r="DC142" i="4" s="1"/>
  <c r="DD83" i="4" s="1"/>
  <c r="DD142" i="4" s="1"/>
  <c r="DE83" i="4" s="1"/>
  <c r="DE142" i="4" s="1"/>
  <c r="DF83" i="4" s="1"/>
  <c r="DF142" i="4" s="1"/>
  <c r="DG83" i="4" s="1"/>
  <c r="DG142" i="4" s="1"/>
  <c r="DH83" i="4" s="1"/>
  <c r="DH142" i="4" s="1"/>
  <c r="DI83" i="4" s="1"/>
  <c r="DI142" i="4" s="1"/>
  <c r="DJ83" i="4" s="1"/>
  <c r="DJ142" i="4" s="1"/>
  <c r="DK83" i="4" s="1"/>
  <c r="DK142" i="4" s="1"/>
  <c r="DL83" i="4" s="1"/>
  <c r="DL142" i="4" s="1"/>
  <c r="DM83" i="4" s="1"/>
  <c r="DM142" i="4" s="1"/>
  <c r="DN83" i="4" s="1"/>
  <c r="DN142" i="4" s="1"/>
  <c r="DO83" i="4" s="1"/>
  <c r="DO142" i="4" s="1"/>
  <c r="DP83" i="4" s="1"/>
  <c r="DP142" i="4" s="1"/>
  <c r="DQ83" i="4" s="1"/>
  <c r="DQ142" i="4" s="1"/>
  <c r="DR83" i="4" s="1"/>
  <c r="DR142" i="4" s="1"/>
  <c r="DS83" i="4" s="1"/>
  <c r="DS142" i="4" s="1"/>
  <c r="DT83" i="4" s="1"/>
  <c r="DT142" i="4" s="1"/>
  <c r="DU83" i="4" s="1"/>
  <c r="DU142" i="4" s="1"/>
  <c r="DV83" i="4" s="1"/>
  <c r="DV142" i="4" s="1"/>
  <c r="DW83" i="4" s="1"/>
  <c r="DW142" i="4" s="1"/>
  <c r="DX83" i="4" s="1"/>
  <c r="DX142" i="4" s="1"/>
  <c r="DY83" i="4" s="1"/>
  <c r="DY142" i="4" s="1"/>
  <c r="DZ83" i="4" s="1"/>
  <c r="DZ142" i="4" s="1"/>
  <c r="EA83" i="4" s="1"/>
  <c r="EA142" i="4" s="1"/>
  <c r="EB83" i="4" s="1"/>
  <c r="EB142" i="4" s="1"/>
  <c r="EC83" i="4" s="1"/>
  <c r="EC142" i="4" s="1"/>
  <c r="ED83" i="4" s="1"/>
  <c r="ED142" i="4" s="1"/>
  <c r="EE83" i="4" s="1"/>
  <c r="EE142" i="4" s="1"/>
  <c r="EF83" i="4" s="1"/>
  <c r="EF142" i="4" s="1"/>
  <c r="EG83" i="4" s="1"/>
  <c r="EG142" i="4" s="1"/>
  <c r="EH83" i="4" s="1"/>
  <c r="EH142" i="4" s="1"/>
  <c r="EI83" i="4" s="1"/>
  <c r="EI142" i="4" s="1"/>
  <c r="EJ83" i="4" s="1"/>
  <c r="EJ142" i="4" s="1"/>
  <c r="EK83" i="4" s="1"/>
  <c r="EK142" i="4" s="1"/>
  <c r="EL83" i="4" s="1"/>
  <c r="EL142" i="4" s="1"/>
  <c r="EM83" i="4" s="1"/>
  <c r="EM142" i="4" s="1"/>
  <c r="EN83" i="4" s="1"/>
  <c r="EN142" i="4" s="1"/>
  <c r="EO83" i="4" s="1"/>
  <c r="EO142" i="4" s="1"/>
  <c r="EP83" i="4" s="1"/>
  <c r="EP142" i="4" s="1"/>
  <c r="EQ83" i="4" s="1"/>
  <c r="EQ142" i="4" s="1"/>
  <c r="ER83" i="4" s="1"/>
  <c r="ER142" i="4" s="1"/>
  <c r="ES83" i="4" s="1"/>
  <c r="ES142" i="4" s="1"/>
  <c r="ET83" i="4" s="1"/>
  <c r="ET142" i="4" s="1"/>
  <c r="EU83" i="4" s="1"/>
  <c r="EU142" i="4" s="1"/>
  <c r="EV83" i="4" s="1"/>
  <c r="EV142" i="4" s="1"/>
  <c r="EW83" i="4" s="1"/>
  <c r="EW142" i="4" s="1"/>
  <c r="EX83" i="4" s="1"/>
  <c r="EX142" i="4" s="1"/>
  <c r="EY83" i="4" s="1"/>
  <c r="EY142" i="4" s="1"/>
  <c r="EZ83" i="4" s="1"/>
  <c r="EZ142" i="4" s="1"/>
  <c r="FA83" i="4" s="1"/>
  <c r="FA142" i="4" s="1"/>
  <c r="FB83" i="4" s="1"/>
  <c r="FB142" i="4" s="1"/>
  <c r="FC83" i="4" s="1"/>
  <c r="FC142" i="4" s="1"/>
  <c r="FD83" i="4" s="1"/>
  <c r="FD142" i="4" s="1"/>
  <c r="FE83" i="4" s="1"/>
  <c r="FE142" i="4" s="1"/>
  <c r="FF83" i="4" s="1"/>
  <c r="FF142" i="4" s="1"/>
  <c r="FG83" i="4" s="1"/>
  <c r="FG142" i="4" s="1"/>
  <c r="FH83" i="4" s="1"/>
  <c r="FH142" i="4" s="1"/>
  <c r="FI83" i="4" s="1"/>
  <c r="FI142" i="4" s="1"/>
  <c r="FJ83" i="4" s="1"/>
  <c r="FJ142" i="4" s="1"/>
  <c r="FK83" i="4" s="1"/>
  <c r="FK142" i="4" s="1"/>
  <c r="FL83" i="4" s="1"/>
  <c r="FL142" i="4" s="1"/>
  <c r="FM83" i="4" s="1"/>
  <c r="FM142" i="4" s="1"/>
  <c r="FN83" i="4" s="1"/>
  <c r="FN142" i="4" s="1"/>
  <c r="FO83" i="4" s="1"/>
  <c r="FO142" i="4" s="1"/>
  <c r="FP83" i="4" s="1"/>
  <c r="FP142" i="4" s="1"/>
  <c r="FQ83" i="4" s="1"/>
  <c r="FQ142" i="4" s="1"/>
  <c r="FR83" i="4" s="1"/>
  <c r="FR142" i="4" s="1"/>
  <c r="FS83" i="4" s="1"/>
  <c r="FS142" i="4" s="1"/>
  <c r="FT83" i="4" s="1"/>
  <c r="FT142" i="4" s="1"/>
  <c r="FU83" i="4" s="1"/>
  <c r="FU142" i="4" s="1"/>
  <c r="FV83" i="4" s="1"/>
  <c r="FV142" i="4" s="1"/>
  <c r="FW83" i="4" s="1"/>
  <c r="FW142" i="4" s="1"/>
  <c r="FX83" i="4" s="1"/>
  <c r="FX142" i="4" s="1"/>
  <c r="FY83" i="4" s="1"/>
  <c r="FY142" i="4" s="1"/>
  <c r="FZ83" i="4" s="1"/>
  <c r="FZ142" i="4" s="1"/>
  <c r="GA83" i="4" s="1"/>
  <c r="GA142" i="4" s="1"/>
  <c r="GB83" i="4" s="1"/>
  <c r="GB142" i="4" s="1"/>
  <c r="GC83" i="4" s="1"/>
  <c r="GC142" i="4" s="1"/>
  <c r="GD83" i="4" s="1"/>
  <c r="GD142" i="4" s="1"/>
  <c r="GE83" i="4" s="1"/>
  <c r="GE142" i="4" s="1"/>
  <c r="GF83" i="4" s="1"/>
  <c r="GF142" i="4" s="1"/>
  <c r="GG83" i="4" s="1"/>
  <c r="GG142" i="4" s="1"/>
  <c r="GH83" i="4" s="1"/>
  <c r="GH142" i="4" s="1"/>
  <c r="GI83" i="4" s="1"/>
  <c r="GI142" i="4" s="1"/>
  <c r="GJ83" i="4" s="1"/>
  <c r="GJ142" i="4" s="1"/>
  <c r="GK83" i="4" s="1"/>
  <c r="GK142" i="4" s="1"/>
  <c r="GL83" i="4" s="1"/>
  <c r="GL142" i="4" s="1"/>
  <c r="GM83" i="4" s="1"/>
  <c r="GM142" i="4" s="1"/>
  <c r="GN83" i="4" s="1"/>
  <c r="GN142" i="4" s="1"/>
  <c r="GO83" i="4" s="1"/>
  <c r="GO142" i="4" s="1"/>
  <c r="GP83" i="4" s="1"/>
  <c r="GP142" i="4" s="1"/>
  <c r="GQ83" i="4" s="1"/>
  <c r="GQ142" i="4" s="1"/>
  <c r="GR83" i="4" s="1"/>
  <c r="GR142" i="4" s="1"/>
  <c r="GS83" i="4" s="1"/>
  <c r="GS142" i="4" s="1"/>
  <c r="GT83" i="4" s="1"/>
  <c r="GT142" i="4" s="1"/>
  <c r="GU83" i="4" s="1"/>
  <c r="GU142" i="4" s="1"/>
  <c r="GV83" i="4" s="1"/>
  <c r="GV142" i="4" s="1"/>
  <c r="GW83" i="4" s="1"/>
  <c r="GW142" i="4" s="1"/>
  <c r="GX83" i="4" s="1"/>
  <c r="GX142" i="4" s="1"/>
  <c r="GY83" i="4" s="1"/>
  <c r="GY142" i="4" s="1"/>
  <c r="GZ83" i="4" s="1"/>
  <c r="GZ142" i="4" s="1"/>
  <c r="HA83" i="4" s="1"/>
  <c r="HA142" i="4" s="1"/>
  <c r="HB83" i="4" s="1"/>
  <c r="HB142" i="4" s="1"/>
  <c r="HC83" i="4" s="1"/>
  <c r="HC142" i="4" s="1"/>
  <c r="HD83" i="4" s="1"/>
  <c r="HD142" i="4" s="1"/>
  <c r="HE83" i="4" s="1"/>
  <c r="HE142" i="4" s="1"/>
  <c r="HF83" i="4" s="1"/>
  <c r="HF142" i="4" s="1"/>
  <c r="HG83" i="4" s="1"/>
  <c r="HG142" i="4" s="1"/>
  <c r="HH83" i="4" s="1"/>
  <c r="HH142" i="4" s="1"/>
  <c r="HI83" i="4" s="1"/>
  <c r="HI142" i="4" s="1"/>
  <c r="HJ83" i="4" s="1"/>
  <c r="HJ142" i="4" s="1"/>
  <c r="HK83" i="4" s="1"/>
  <c r="HK142" i="4" s="1"/>
  <c r="HL83" i="4" s="1"/>
  <c r="HL142" i="4" s="1"/>
  <c r="HM83" i="4" s="1"/>
  <c r="HM142" i="4" s="1"/>
  <c r="HN83" i="4" s="1"/>
  <c r="HN142" i="4" s="1"/>
  <c r="HO83" i="4" s="1"/>
  <c r="HO142" i="4" s="1"/>
  <c r="HP83" i="4" s="1"/>
  <c r="HP142" i="4" s="1"/>
  <c r="HQ83" i="4" s="1"/>
  <c r="HQ142" i="4" s="1"/>
  <c r="HR83" i="4" s="1"/>
  <c r="HR142" i="4" s="1"/>
  <c r="HS83" i="4" s="1"/>
  <c r="HS142" i="4" s="1"/>
  <c r="HT83" i="4" s="1"/>
  <c r="HT142" i="4" s="1"/>
  <c r="HU83" i="4" s="1"/>
  <c r="HU142" i="4" s="1"/>
  <c r="HV83" i="4" s="1"/>
  <c r="HV142" i="4" s="1"/>
  <c r="HW83" i="4" s="1"/>
  <c r="HW142" i="4" s="1"/>
  <c r="HX83" i="4" s="1"/>
  <c r="HX142" i="4" s="1"/>
  <c r="HY83" i="4" s="1"/>
  <c r="HY142" i="4" s="1"/>
  <c r="HZ83" i="4" s="1"/>
  <c r="HZ142" i="4" s="1"/>
  <c r="IA83" i="4" s="1"/>
  <c r="IA142" i="4" s="1"/>
  <c r="IB83" i="4" s="1"/>
  <c r="IB142" i="4" s="1"/>
  <c r="IC83" i="4" s="1"/>
  <c r="IC142" i="4" s="1"/>
  <c r="ID83" i="4" s="1"/>
  <c r="ID142" i="4" s="1"/>
  <c r="IE83" i="4" s="1"/>
  <c r="IE142" i="4" s="1"/>
  <c r="IF83" i="4" s="1"/>
  <c r="IF142" i="4" s="1"/>
  <c r="IG83" i="4" s="1"/>
  <c r="IG142" i="4" s="1"/>
  <c r="IH83" i="4" s="1"/>
  <c r="IH142" i="4" s="1"/>
  <c r="II83" i="4" s="1"/>
  <c r="II142" i="4" s="1"/>
  <c r="IJ83" i="4" s="1"/>
  <c r="IJ142" i="4" s="1"/>
  <c r="IK83" i="4" s="1"/>
  <c r="IK142" i="4" s="1"/>
  <c r="IL83" i="4" s="1"/>
  <c r="IL142" i="4" s="1"/>
  <c r="C6" i="5"/>
  <c r="B6" i="5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J2" i="1"/>
  <c r="H2" i="1"/>
  <c r="A15" i="4"/>
  <c r="A14" i="4"/>
  <c r="A13" i="4"/>
  <c r="B6" i="4"/>
  <c r="B3" i="3"/>
  <c r="B5" i="3" s="1"/>
  <c r="D5" i="3" s="1"/>
  <c r="E11" i="6" l="1"/>
  <c r="D11" i="6"/>
  <c r="I28" i="5"/>
  <c r="I27" i="5"/>
  <c r="I30" i="5"/>
  <c r="I13" i="5"/>
  <c r="I29" i="5"/>
  <c r="I20" i="5"/>
  <c r="I16" i="5"/>
  <c r="I21" i="5"/>
  <c r="I14" i="5"/>
  <c r="I24" i="5"/>
  <c r="I19" i="5"/>
  <c r="I18" i="5"/>
  <c r="I17" i="5"/>
  <c r="I23" i="5"/>
  <c r="I15" i="5"/>
  <c r="I22" i="5"/>
  <c r="B16" i="5"/>
  <c r="C16" i="5" s="1"/>
  <c r="B21" i="5"/>
  <c r="B20" i="5"/>
  <c r="B13" i="5"/>
  <c r="B14" i="5"/>
  <c r="B24" i="5"/>
  <c r="B19" i="5"/>
  <c r="B18" i="5"/>
  <c r="B17" i="5"/>
  <c r="B15" i="5"/>
  <c r="B23" i="5"/>
  <c r="B22" i="5"/>
  <c r="B9" i="5"/>
  <c r="C9" i="5"/>
  <c r="E9" i="5"/>
  <c r="D15" i="3"/>
  <c r="B3" i="4"/>
  <c r="B5" i="4" s="1"/>
  <c r="D11" i="3"/>
  <c r="D6" i="3"/>
  <c r="D14" i="3"/>
  <c r="D9" i="3"/>
  <c r="D17" i="3"/>
  <c r="D13" i="3"/>
  <c r="D7" i="3"/>
  <c r="B17" i="3"/>
  <c r="B15" i="3"/>
  <c r="B14" i="3"/>
  <c r="B13" i="3"/>
  <c r="B11" i="3"/>
  <c r="B9" i="3"/>
  <c r="B7" i="3"/>
  <c r="B6" i="3"/>
  <c r="M5" i="3"/>
  <c r="L5" i="3"/>
  <c r="K5" i="3"/>
  <c r="J5" i="3"/>
  <c r="I5" i="3"/>
  <c r="H5" i="3"/>
  <c r="G5" i="3"/>
  <c r="F5" i="3"/>
  <c r="E5" i="3"/>
  <c r="C5" i="3"/>
  <c r="J29" i="5" l="1"/>
  <c r="J28" i="5"/>
  <c r="J30" i="5"/>
  <c r="J27" i="5"/>
  <c r="J22" i="5"/>
  <c r="J15" i="5"/>
  <c r="J18" i="5"/>
  <c r="J19" i="5"/>
  <c r="J24" i="5"/>
  <c r="J14" i="5"/>
  <c r="J21" i="5"/>
  <c r="J16" i="5"/>
  <c r="J23" i="5"/>
  <c r="J20" i="5"/>
  <c r="J17" i="5"/>
  <c r="J13" i="5"/>
  <c r="D16" i="5"/>
  <c r="E16" i="5" s="1"/>
  <c r="C17" i="5"/>
  <c r="D17" i="5"/>
  <c r="C18" i="5"/>
  <c r="D18" i="5"/>
  <c r="C19" i="5"/>
  <c r="D19" i="5"/>
  <c r="C24" i="5"/>
  <c r="D24" i="5"/>
  <c r="C14" i="5"/>
  <c r="D14" i="5"/>
  <c r="C22" i="5"/>
  <c r="D22" i="5"/>
  <c r="C13" i="5"/>
  <c r="D13" i="5"/>
  <c r="C23" i="5"/>
  <c r="D23" i="5"/>
  <c r="C20" i="5"/>
  <c r="D20" i="5"/>
  <c r="C21" i="5"/>
  <c r="D21" i="5"/>
  <c r="C15" i="5"/>
  <c r="D15" i="5"/>
  <c r="D9" i="5"/>
  <c r="B14" i="4"/>
  <c r="B15" i="4"/>
  <c r="B8" i="4"/>
  <c r="B13" i="4"/>
  <c r="M5" i="4"/>
  <c r="B7" i="4"/>
  <c r="K5" i="4"/>
  <c r="L5" i="4"/>
  <c r="I5" i="4"/>
  <c r="J5" i="4"/>
  <c r="G5" i="4"/>
  <c r="H5" i="4"/>
  <c r="E5" i="4"/>
  <c r="F5" i="4"/>
  <c r="C5" i="4"/>
  <c r="D5" i="4"/>
  <c r="E15" i="3"/>
  <c r="E7" i="3"/>
  <c r="E17" i="3"/>
  <c r="E9" i="3"/>
  <c r="E14" i="3"/>
  <c r="E6" i="3"/>
  <c r="E11" i="3"/>
  <c r="E13" i="3"/>
  <c r="F17" i="3"/>
  <c r="F9" i="3"/>
  <c r="F14" i="3"/>
  <c r="F6" i="3"/>
  <c r="F13" i="3"/>
  <c r="F15" i="3"/>
  <c r="F7" i="3"/>
  <c r="F11" i="3"/>
  <c r="H14" i="3"/>
  <c r="H6" i="3"/>
  <c r="H11" i="3"/>
  <c r="H9" i="3"/>
  <c r="H7" i="3"/>
  <c r="H17" i="3"/>
  <c r="H13" i="3"/>
  <c r="H15" i="3"/>
  <c r="M15" i="3"/>
  <c r="M7" i="3"/>
  <c r="M17" i="3"/>
  <c r="M9" i="3"/>
  <c r="M11" i="3"/>
  <c r="M13" i="3"/>
  <c r="M14" i="3"/>
  <c r="M6" i="3"/>
  <c r="G17" i="3"/>
  <c r="G9" i="3"/>
  <c r="G14" i="3"/>
  <c r="G6" i="3"/>
  <c r="G11" i="3"/>
  <c r="G13" i="3"/>
  <c r="G15" i="3"/>
  <c r="G7" i="3"/>
  <c r="I11" i="3"/>
  <c r="I14" i="3"/>
  <c r="I6" i="3"/>
  <c r="I13" i="3"/>
  <c r="I15" i="3"/>
  <c r="I17" i="3"/>
  <c r="I7" i="3"/>
  <c r="I9" i="3"/>
  <c r="C13" i="3"/>
  <c r="C14" i="3"/>
  <c r="C15" i="3"/>
  <c r="C7" i="3"/>
  <c r="C6" i="3"/>
  <c r="C17" i="3"/>
  <c r="C9" i="3"/>
  <c r="C11" i="3"/>
  <c r="L15" i="3"/>
  <c r="L7" i="3"/>
  <c r="L6" i="3"/>
  <c r="L11" i="3"/>
  <c r="L13" i="3"/>
  <c r="L17" i="3"/>
  <c r="L9" i="3"/>
  <c r="L14" i="3"/>
  <c r="J13" i="3"/>
  <c r="J11" i="3"/>
  <c r="J17" i="3"/>
  <c r="J6" i="3"/>
  <c r="J15" i="3"/>
  <c r="J7" i="3"/>
  <c r="J9" i="3"/>
  <c r="J14" i="3"/>
  <c r="K13" i="3"/>
  <c r="K15" i="3"/>
  <c r="K7" i="3"/>
  <c r="K17" i="3"/>
  <c r="K9" i="3"/>
  <c r="K14" i="3"/>
  <c r="K11" i="3"/>
  <c r="K6" i="3"/>
  <c r="D8" i="3"/>
  <c r="D10" i="3" s="1"/>
  <c r="D12" i="3" s="1"/>
  <c r="D16" i="3" s="1"/>
  <c r="D18" i="3" s="1"/>
  <c r="B8" i="3"/>
  <c r="E17" i="5" l="1"/>
  <c r="E15" i="5"/>
  <c r="E13" i="5"/>
  <c r="F13" i="5" s="1"/>
  <c r="E19" i="5"/>
  <c r="E14" i="5"/>
  <c r="E21" i="5"/>
  <c r="E20" i="5"/>
  <c r="E23" i="5"/>
  <c r="E24" i="5"/>
  <c r="E22" i="5"/>
  <c r="E18" i="5"/>
  <c r="D15" i="4"/>
  <c r="D14" i="4"/>
  <c r="D13" i="4"/>
  <c r="L15" i="4"/>
  <c r="L14" i="4"/>
  <c r="L13" i="4"/>
  <c r="C13" i="4"/>
  <c r="C14" i="4"/>
  <c r="C15" i="4"/>
  <c r="K13" i="4"/>
  <c r="K15" i="4"/>
  <c r="K14" i="4"/>
  <c r="F14" i="4"/>
  <c r="F15" i="4"/>
  <c r="F13" i="4"/>
  <c r="E15" i="4"/>
  <c r="E14" i="4"/>
  <c r="E13" i="4"/>
  <c r="M15" i="4"/>
  <c r="N15" i="4" s="1"/>
  <c r="M14" i="4"/>
  <c r="N14" i="4" s="1"/>
  <c r="M13" i="4"/>
  <c r="N13" i="4" s="1"/>
  <c r="H14" i="4"/>
  <c r="H13" i="4"/>
  <c r="H15" i="4"/>
  <c r="G14" i="4"/>
  <c r="G13" i="4"/>
  <c r="G15" i="4"/>
  <c r="J13" i="4"/>
  <c r="J15" i="4"/>
  <c r="J14" i="4"/>
  <c r="I14" i="4"/>
  <c r="I13" i="4"/>
  <c r="I15" i="4"/>
  <c r="M7" i="4"/>
  <c r="M8" i="4"/>
  <c r="G8" i="4"/>
  <c r="G7" i="4"/>
  <c r="D7" i="4"/>
  <c r="D8" i="4"/>
  <c r="L7" i="4"/>
  <c r="L8" i="4"/>
  <c r="C8" i="4"/>
  <c r="C7" i="4"/>
  <c r="K8" i="4"/>
  <c r="K7" i="4"/>
  <c r="F7" i="4"/>
  <c r="F8" i="4"/>
  <c r="E7" i="4"/>
  <c r="E8" i="4"/>
  <c r="H8" i="4"/>
  <c r="H7" i="4"/>
  <c r="J8" i="4"/>
  <c r="J7" i="4"/>
  <c r="I8" i="4"/>
  <c r="I7" i="4"/>
  <c r="B9" i="4"/>
  <c r="M8" i="3"/>
  <c r="M10" i="3" s="1"/>
  <c r="M12" i="3" s="1"/>
  <c r="M16" i="3" s="1"/>
  <c r="M18" i="3" s="1"/>
  <c r="N13" i="3"/>
  <c r="N11" i="3"/>
  <c r="L8" i="3"/>
  <c r="L10" i="3" s="1"/>
  <c r="L12" i="3" s="1"/>
  <c r="L16" i="3" s="1"/>
  <c r="L18" i="3" s="1"/>
  <c r="N14" i="3"/>
  <c r="E8" i="3"/>
  <c r="E10" i="3" s="1"/>
  <c r="E12" i="3" s="1"/>
  <c r="E16" i="3" s="1"/>
  <c r="E18" i="3" s="1"/>
  <c r="K8" i="3"/>
  <c r="K10" i="3" s="1"/>
  <c r="K12" i="3" s="1"/>
  <c r="K16" i="3" s="1"/>
  <c r="K18" i="3" s="1"/>
  <c r="N9" i="3"/>
  <c r="N17" i="3"/>
  <c r="N7" i="3"/>
  <c r="N15" i="3"/>
  <c r="C8" i="3"/>
  <c r="B10" i="3"/>
  <c r="N6" i="3"/>
  <c r="J8" i="3"/>
  <c r="J10" i="3" s="1"/>
  <c r="J12" i="3" s="1"/>
  <c r="J16" i="3" s="1"/>
  <c r="J18" i="3" s="1"/>
  <c r="G8" i="3"/>
  <c r="G10" i="3" s="1"/>
  <c r="G12" i="3" s="1"/>
  <c r="G16" i="3" s="1"/>
  <c r="G18" i="3" s="1"/>
  <c r="I8" i="3"/>
  <c r="I10" i="3" s="1"/>
  <c r="I12" i="3" s="1"/>
  <c r="I16" i="3" s="1"/>
  <c r="I18" i="3" s="1"/>
  <c r="H8" i="3"/>
  <c r="H10" i="3" s="1"/>
  <c r="H12" i="3" s="1"/>
  <c r="H16" i="3" s="1"/>
  <c r="H18" i="3" s="1"/>
  <c r="F8" i="3"/>
  <c r="F10" i="3" s="1"/>
  <c r="F12" i="3" s="1"/>
  <c r="F16" i="3" s="1"/>
  <c r="F18" i="3" s="1"/>
  <c r="F14" i="5" l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J9" i="4"/>
  <c r="K9" i="4"/>
  <c r="G9" i="4"/>
  <c r="H9" i="4"/>
  <c r="C9" i="4"/>
  <c r="N8" i="4"/>
  <c r="I9" i="4"/>
  <c r="L9" i="4"/>
  <c r="E9" i="4"/>
  <c r="N7" i="4"/>
  <c r="F9" i="4"/>
  <c r="D9" i="4"/>
  <c r="M9" i="4"/>
  <c r="B10" i="4"/>
  <c r="C6" i="4" s="1"/>
  <c r="N8" i="3"/>
  <c r="C10" i="3"/>
  <c r="C12" i="3" s="1"/>
  <c r="C16" i="3" s="1"/>
  <c r="C18" i="3" s="1"/>
  <c r="B12" i="3"/>
  <c r="C10" i="4" l="1"/>
  <c r="D6" i="4" s="1"/>
  <c r="D10" i="4" s="1"/>
  <c r="E6" i="4" s="1"/>
  <c r="E10" i="4" s="1"/>
  <c r="N9" i="4"/>
  <c r="N10" i="3"/>
  <c r="N12" i="3"/>
  <c r="B16" i="3"/>
  <c r="F6" i="4" l="1"/>
  <c r="F10" i="4" s="1"/>
  <c r="B18" i="3"/>
  <c r="N18" i="3" s="1"/>
  <c r="N16" i="3"/>
  <c r="G6" i="4" l="1"/>
  <c r="G10" i="4" s="1"/>
  <c r="H6" i="4" l="1"/>
  <c r="H10" i="4" s="1"/>
  <c r="I6" i="4" l="1"/>
  <c r="I10" i="4" s="1"/>
  <c r="J6" i="4" l="1"/>
  <c r="J10" i="4" s="1"/>
  <c r="K6" i="4" l="1"/>
  <c r="K10" i="4" s="1"/>
  <c r="L6" i="4" l="1"/>
  <c r="L10" i="4" s="1"/>
  <c r="M6" i="4" l="1"/>
  <c r="M10" i="4" s="1"/>
  <c r="N1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<sst xmlns="http://schemas.openxmlformats.org/spreadsheetml/2006/main" count="466" uniqueCount="159">
  <si>
    <t>Categoria</t>
  </si>
  <si>
    <t>Tipo</t>
  </si>
  <si>
    <t>Grupo DRE</t>
  </si>
  <si>
    <t>Vendas de Produtos</t>
  </si>
  <si>
    <t>Receita</t>
  </si>
  <si>
    <t>Receita Bruta</t>
  </si>
  <si>
    <t>Vendas de Serviços</t>
  </si>
  <si>
    <t>Outras Receitas</t>
  </si>
  <si>
    <t>Impostos sobre Vendas</t>
  </si>
  <si>
    <t>Despesa</t>
  </si>
  <si>
    <t>Deduções</t>
  </si>
  <si>
    <t>Devoluções</t>
  </si>
  <si>
    <t>Custo de Mercadoria Vendida</t>
  </si>
  <si>
    <t>CMV</t>
  </si>
  <si>
    <t>Custo de Serviços Prestados</t>
  </si>
  <si>
    <t>Salários e Encargos</t>
  </si>
  <si>
    <t>Despesas Operacionais</t>
  </si>
  <si>
    <t>Aluguel</t>
  </si>
  <si>
    <t>Água, Luz e Internet</t>
  </si>
  <si>
    <t>Material de Escritório</t>
  </si>
  <si>
    <t>Marketing e Publicidade</t>
  </si>
  <si>
    <t>Manutenção</t>
  </si>
  <si>
    <t>Transporte e Viagens</t>
  </si>
  <si>
    <t>Serviços de Terceiros</t>
  </si>
  <si>
    <t>Juros e Tarifas Bancárias</t>
  </si>
  <si>
    <t>Despesas Financeiras</t>
  </si>
  <si>
    <t>Empréstimos e Financiamentos</t>
  </si>
  <si>
    <t>Receitas Financeiras</t>
  </si>
  <si>
    <t>Impostos sobre Lucro</t>
  </si>
  <si>
    <t>Impostos</t>
  </si>
  <si>
    <t>Banco</t>
  </si>
  <si>
    <t>Saldo Inicial</t>
  </si>
  <si>
    <t>Banco do Brasil</t>
  </si>
  <si>
    <t>Itaú</t>
  </si>
  <si>
    <t>Caixa</t>
  </si>
  <si>
    <t>Data</t>
  </si>
  <si>
    <t>Descrição</t>
  </si>
  <si>
    <t>Entrada</t>
  </si>
  <si>
    <t>Saída</t>
  </si>
  <si>
    <t>Valor</t>
  </si>
  <si>
    <t>Mês</t>
  </si>
  <si>
    <t>DRE - Demonstração do Resultado</t>
  </si>
  <si>
    <t>Ano:</t>
  </si>
  <si>
    <t>Grupo</t>
  </si>
  <si>
    <t>Total Ano</t>
  </si>
  <si>
    <t>(+) Receita Bruta</t>
  </si>
  <si>
    <t>(-) Deduções</t>
  </si>
  <si>
    <t>(=) Receita Líquida</t>
  </si>
  <si>
    <t>(-) CMV</t>
  </si>
  <si>
    <t>(=) Lucro Bruto</t>
  </si>
  <si>
    <t>(-) Despesas Operacionais</t>
  </si>
  <si>
    <t>(=) EBITDA</t>
  </si>
  <si>
    <t>(+) Receitas Financeiras</t>
  </si>
  <si>
    <t>(-) Despesas Financeiras</t>
  </si>
  <si>
    <t>(+) Outras Receitas</t>
  </si>
  <si>
    <t>(=) Resultado antes dos Impostos</t>
  </si>
  <si>
    <t>(-) Impostos sobre Lucro</t>
  </si>
  <si>
    <t>(=) LUCRO LÍQUIDO</t>
  </si>
  <si>
    <t>Fluxo de Caixa</t>
  </si>
  <si>
    <t>Item</t>
  </si>
  <si>
    <t>Total</t>
  </si>
  <si>
    <t>(+) Total de Entradas</t>
  </si>
  <si>
    <t>(-) Total de Saídas</t>
  </si>
  <si>
    <t>(=) Fluxo do Mês</t>
  </si>
  <si>
    <t>(=) Saldo Acumulado</t>
  </si>
  <si>
    <t>Detalhamento por Banco</t>
  </si>
  <si>
    <t>Venda de produto - NF 001</t>
  </si>
  <si>
    <t>Aluguel janeiro</t>
  </si>
  <si>
    <t>Serviço prestado</t>
  </si>
  <si>
    <t>Folha de pagamento</t>
  </si>
  <si>
    <t>DASHBOARD FINANCEIRO</t>
  </si>
  <si>
    <t>FILTROS</t>
  </si>
  <si>
    <t>Mês Inicial</t>
  </si>
  <si>
    <t>Mês Final</t>
  </si>
  <si>
    <t>Todas</t>
  </si>
  <si>
    <t>Todos</t>
  </si>
  <si>
    <t>ENTRADAS</t>
  </si>
  <si>
    <t>SAÍDAS</t>
  </si>
  <si>
    <t>RESULTADO</t>
  </si>
  <si>
    <t>SALDO ATUAL</t>
  </si>
  <si>
    <t>EVOLUÇÃO MENSAL</t>
  </si>
  <si>
    <t>Entradas</t>
  </si>
  <si>
    <t>Saídas</t>
  </si>
  <si>
    <t>Resultado</t>
  </si>
  <si>
    <t>Saldo Acum.</t>
  </si>
  <si>
    <t>TOP DESPESAS POR CATEGORIA</t>
  </si>
  <si>
    <t>%</t>
  </si>
  <si>
    <t>TOP RECEITAS POR CATEGORIA</t>
  </si>
  <si>
    <t>Recebimento de Clientes</t>
  </si>
  <si>
    <t>Vendas Online</t>
  </si>
  <si>
    <t>Comissões Recebidas</t>
  </si>
  <si>
    <t>Aluguel Recebido</t>
  </si>
  <si>
    <t>Reembolsos</t>
  </si>
  <si>
    <t>Aporte de Sócios</t>
  </si>
  <si>
    <t>Empréstimo Recebido</t>
  </si>
  <si>
    <t>Frete sobre Vendas</t>
  </si>
  <si>
    <t>Embalagens</t>
  </si>
  <si>
    <t>Combustível</t>
  </si>
  <si>
    <t>Pró-labore</t>
  </si>
  <si>
    <t>Benefícios (VR/VT/Plano)</t>
  </si>
  <si>
    <t>Software e Assinaturas</t>
  </si>
  <si>
    <t>Telefone e Celular</t>
  </si>
  <si>
    <t>Limpeza e Conservação</t>
  </si>
  <si>
    <t>Seguros</t>
  </si>
  <si>
    <t>Treinamento e Capacitação</t>
  </si>
  <si>
    <t>Honorários Contábeis</t>
  </si>
  <si>
    <t>Honorários Jurídicos</t>
  </si>
  <si>
    <t>Equipamentos e Informática</t>
  </si>
  <si>
    <t>Móveis e Utensílios</t>
  </si>
  <si>
    <t>Refeições e Confraternizações</t>
  </si>
  <si>
    <t>Correios e Entregas</t>
  </si>
  <si>
    <t>Taxas e Anuidades</t>
  </si>
  <si>
    <t>IOF</t>
  </si>
  <si>
    <t>Cartão de Crédito</t>
  </si>
  <si>
    <t>Multas e Juros</t>
  </si>
  <si>
    <t>Pagamento de Fornecedores</t>
  </si>
  <si>
    <t>Retirada de Sócios</t>
  </si>
  <si>
    <t>INSS / FGTS</t>
  </si>
  <si>
    <t>Simples Nacional / DAS</t>
  </si>
  <si>
    <t>ISS</t>
  </si>
  <si>
    <t>ICMS</t>
  </si>
  <si>
    <t>PIS/COFINS</t>
  </si>
  <si>
    <t>FLUXO DE CAIXA DIÁRIO (Mai-Dez)</t>
  </si>
  <si>
    <t>Data →</t>
  </si>
  <si>
    <t>SALDO INICIAL DO DIA</t>
  </si>
  <si>
    <t>💰 RECEITAS</t>
  </si>
  <si>
    <t>TOTAL ENTRADAS</t>
  </si>
  <si>
    <t>💸 DESPESAS</t>
  </si>
  <si>
    <t>TOTAL SAÍDAS</t>
  </si>
  <si>
    <t>FLUXO DO DIA</t>
  </si>
  <si>
    <t>SALDO FINAL DO DIA</t>
  </si>
  <si>
    <t>FORECAST DIÁRIO (Mai-Dez)</t>
  </si>
  <si>
    <t>SALDO INICIAL DO DIA (Forecast)</t>
  </si>
  <si>
    <t>💰 RECEITAS PREVISTAS</t>
  </si>
  <si>
    <t>TOTAL ENTRADAS PREVISTAS</t>
  </si>
  <si>
    <t>💸 DESPESAS PREVISTAS</t>
  </si>
  <si>
    <t>TOTAL SAÍDAS PREVISTAS</t>
  </si>
  <si>
    <t>FLUXO PREVISTO DO DIA</t>
  </si>
  <si>
    <t>SALDO FINAL FORECAST</t>
  </si>
  <si>
    <t>REALIZADO vs FORECAST</t>
  </si>
  <si>
    <t>Data Inicial</t>
  </si>
  <si>
    <t>Data Final</t>
  </si>
  <si>
    <t>Visão</t>
  </si>
  <si>
    <t>REALIZADO</t>
  </si>
  <si>
    <t>FORECAST</t>
  </si>
  <si>
    <t>DESVIO R$</t>
  </si>
  <si>
    <t>DESVIO %</t>
  </si>
  <si>
    <t>EVOLUÇÃO TEMPORAL (conforme visão)</t>
  </si>
  <si>
    <t>Período</t>
  </si>
  <si>
    <t>Realizado Entradas</t>
  </si>
  <si>
    <t>Forecast Entradas</t>
  </si>
  <si>
    <t>Realizado Saídas</t>
  </si>
  <si>
    <t>Forecast Saídas</t>
  </si>
  <si>
    <t>Desvio Resultado</t>
  </si>
  <si>
    <t>Desvio %</t>
  </si>
  <si>
    <t>DESVIO POR CATEGORIA</t>
  </si>
  <si>
    <t>Realizado</t>
  </si>
  <si>
    <t>Forecast</t>
  </si>
  <si>
    <t>Desvio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</si>
</sst>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yy"/>
    <numFmt numFmtId="165" formatCode="0.0%"/>
    <numFmt numFmtId="166" formatCode="&quot;R$&quot;\ #,##0.00;[Red]\(&quot;R$&quot;\ #,##0.00\);\-"/>
    <numFmt numFmtId="167" formatCode="0.0%;[Red]\-0.0%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6"/>
      <color rgb="FF548235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b/>
      <sz val="16"/>
      <color rgb="FF2E75B6"/>
      <name val="Aptos Narrow"/>
      <family val="2"/>
      <scheme val="minor"/>
    </font>
    <font>
      <b/>
      <sz val="16"/>
      <color rgb="FF7030A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385723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9F0"/>
        <bgColor indexed="64"/>
      </patternFill>
    </fill>
    <fill>
      <patternFill patternType="solid">
        <fgColor rgb="FF9966CC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4" fillId="3" borderId="0" xfId="0" applyFont="1" applyFill="1"/>
    <xf numFmtId="0" fontId="2" fillId="2" borderId="0" xfId="0" applyFont="1" applyFill="1" applyAlignment="1">
      <alignment horizontal="center"/>
    </xf>
    <xf numFmtId="17" fontId="2" fillId="2" borderId="0" xfId="0" applyNumberFormat="1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4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14" fontId="2" fillId="2" borderId="0" xfId="0" applyNumberFormat="1" applyFont="1" applyFill="1"/>
    <xf numFmtId="164" fontId="2" fillId="2" borderId="0" xfId="0" applyNumberFormat="1" applyFont="1" applyFill="1"/>
    <xf numFmtId="0" fontId="2" fillId="6" borderId="0" xfId="0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7" fontId="4" fillId="5" borderId="0" xfId="0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17" fontId="0" fillId="0" borderId="0" xfId="0" applyNumberFormat="1" applyAlignment="1">
      <alignment horizontal="center"/>
    </xf>
    <xf numFmtId="0" fontId="2" fillId="9" borderId="0" xfId="0" applyFont="1" applyFill="1"/>
    <xf numFmtId="0" fontId="1" fillId="12" borderId="0" xfId="0" applyFont="1" applyFill="1" applyAlignment="1">
      <alignment horizontal="center"/>
    </xf>
    <xf numFmtId="0" fontId="1" fillId="12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165" fontId="0" fillId="0" borderId="0" xfId="0" applyNumberFormat="1"/>
    <xf numFmtId="166" fontId="12" fillId="11" borderId="0" xfId="0" applyNumberFormat="1" applyFont="1" applyFill="1" applyAlignment="1">
      <alignment horizontal="center"/>
    </xf>
    <xf numFmtId="166" fontId="13" fillId="12" borderId="0" xfId="0" applyNumberFormat="1" applyFont="1" applyFill="1" applyAlignment="1">
      <alignment horizontal="center"/>
    </xf>
    <xf numFmtId="166" fontId="14" fillId="7" borderId="0" xfId="0" applyNumberFormat="1" applyFont="1" applyFill="1" applyAlignment="1">
      <alignment horizontal="center"/>
    </xf>
    <xf numFmtId="166" fontId="15" fillId="13" borderId="0" xfId="0" applyNumberFormat="1" applyFont="1" applyFill="1" applyAlignment="1">
      <alignment horizontal="center"/>
    </xf>
    <xf numFmtId="166" fontId="0" fillId="0" borderId="0" xfId="0" applyNumberFormat="1"/>
    <xf numFmtId="166" fontId="2" fillId="2" borderId="0" xfId="0" applyNumberFormat="1" applyFont="1" applyFill="1"/>
    <xf numFmtId="166" fontId="1" fillId="5" borderId="0" xfId="0" applyNumberFormat="1" applyFont="1" applyFill="1"/>
    <xf numFmtId="166" fontId="1" fillId="4" borderId="0" xfId="0" applyNumberFormat="1" applyFont="1" applyFill="1"/>
    <xf numFmtId="166" fontId="2" fillId="5" borderId="0" xfId="0" applyNumberFormat="1" applyFont="1" applyFill="1"/>
    <xf numFmtId="16" fontId="2" fillId="2" borderId="0" xfId="0" applyNumberFormat="1" applyFont="1" applyFill="1" applyAlignment="1">
      <alignment horizontal="center"/>
    </xf>
    <xf numFmtId="166" fontId="1" fillId="7" borderId="0" xfId="0" applyNumberFormat="1" applyFont="1" applyFill="1"/>
    <xf numFmtId="166" fontId="2" fillId="8" borderId="0" xfId="0" applyNumberFormat="1" applyFont="1" applyFill="1"/>
    <xf numFmtId="0" fontId="17" fillId="11" borderId="0" xfId="0" applyFont="1" applyFill="1"/>
    <xf numFmtId="166" fontId="17" fillId="11" borderId="0" xfId="0" applyNumberFormat="1" applyFont="1" applyFill="1"/>
    <xf numFmtId="166" fontId="2" fillId="9" borderId="0" xfId="0" applyNumberFormat="1" applyFont="1" applyFill="1"/>
    <xf numFmtId="0" fontId="8" fillId="12" borderId="0" xfId="0" applyFont="1" applyFill="1"/>
    <xf numFmtId="166" fontId="8" fillId="12" borderId="0" xfId="0" applyNumberFormat="1" applyFont="1" applyFill="1"/>
    <xf numFmtId="0" fontId="1" fillId="5" borderId="0" xfId="0" applyFont="1" applyFill="1"/>
    <xf numFmtId="0" fontId="2" fillId="10" borderId="0" xfId="0" applyFont="1" applyFill="1"/>
    <xf numFmtId="16" fontId="2" fillId="10" borderId="0" xfId="0" applyNumberFormat="1" applyFont="1" applyFill="1" applyAlignment="1">
      <alignment horizontal="center"/>
    </xf>
    <xf numFmtId="0" fontId="1" fillId="13" borderId="0" xfId="0" applyFont="1" applyFill="1"/>
    <xf numFmtId="166" fontId="1" fillId="13" borderId="0" xfId="0" applyNumberFormat="1" applyFont="1" applyFill="1"/>
    <xf numFmtId="0" fontId="2" fillId="14" borderId="0" xfId="0" applyFont="1" applyFill="1"/>
    <xf numFmtId="166" fontId="2" fillId="14" borderId="0" xfId="0" applyNumberFormat="1" applyFont="1" applyFill="1"/>
    <xf numFmtId="166" fontId="2" fillId="10" borderId="0" xfId="0" applyNumberFormat="1" applyFont="1" applyFill="1"/>
    <xf numFmtId="14" fontId="4" fillId="5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167" fontId="0" fillId="0" borderId="0" xfId="0" applyNumberFormat="1"/>
    <xf numFmtId="166" fontId="1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66" fontId="18" fillId="7" borderId="0" xfId="0" applyNumberFormat="1" applyFont="1" applyFill="1" applyAlignment="1">
      <alignment horizontal="center"/>
    </xf>
    <xf numFmtId="167" fontId="18" fillId="7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3" fillId="2" borderId="0" xfId="0" applyFont="1" applyFill="1"/>
    <xf numFmtId="0" fontId="9" fillId="2" borderId="0" xfId="0" applyFont="1" applyFill="1"/>
    <xf numFmtId="0" fontId="16" fillId="2" borderId="0" xfId="0" applyFont="1" applyFill="1"/>
    <xf numFmtId="0" fontId="16" fillId="10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vs Saídas (Mensal)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Dashboard!$C$12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numRef>
              <c:f>Dashboard!$B$13:$B$24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Dashboard!$C$13:$C$24</c:f>
              <c:numCache>
                <c:formatCode>"R$"\ #,##0.00;[Red]\("R$"\ #,##0.00\);\-</c:formatCode>
                <c:ptCount val="12"/>
                <c:pt idx="0">
                  <c:v>15000</c:v>
                </c:pt>
                <c:pt idx="1">
                  <c:v>8000</c:v>
                </c:pt>
                <c:pt idx="2">
                  <c:v>0</c:v>
                </c:pt>
                <c:pt idx="3">
                  <c:v>0</c:v>
                </c:pt>
                <c:pt idx="4">
                  <c:v>25000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A-41D4-B4F7-764E616B5AE8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Dashboard!$B$13:$B$24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Dashboard!$D$13:$D$24</c:f>
              <c:numCache>
                <c:formatCode>"R$"\ #,##0.00;[Red]\("R$"\ #,##0.00\);\-</c:formatCode>
                <c:ptCount val="12"/>
                <c:pt idx="0">
                  <c:v>3500</c:v>
                </c:pt>
                <c:pt idx="1">
                  <c:v>12000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A-41D4-B4F7-764E616B5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517712"/>
        <c:axId val="627504752"/>
      </c:barChart>
      <c:dateAx>
        <c:axId val="627517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504752"/>
        <c:crosses val="autoZero"/>
        <c:auto val="1"/>
        <c:lblOffset val="100"/>
        <c:baseTimeUnit val="months"/>
      </c:dateAx>
      <c:valAx>
        <c:axId val="62750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5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Saldo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Dashboard!$F$12</c:f>
              <c:strCache>
                <c:ptCount val="1"/>
                <c:pt idx="0">
                  <c:v>Saldo Acum.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Dashboard!$F$13:$F$24</c:f>
              <c:numCache>
                <c:formatCode>"R$"\ #,##0.00;[Red]\("R$"\ #,##0.00\);\-</c:formatCode>
                <c:ptCount val="12"/>
                <c:pt idx="0">
                  <c:v>11500</c:v>
                </c:pt>
                <c:pt idx="1">
                  <c:v>7500</c:v>
                </c:pt>
                <c:pt idx="2">
                  <c:v>7500</c:v>
                </c:pt>
                <c:pt idx="3">
                  <c:v>7500</c:v>
                </c:pt>
                <c:pt idx="4">
                  <c:v>32500</c:v>
                </c:pt>
                <c:pt idx="5">
                  <c:v>32500</c:v>
                </c:pt>
                <c:pt idx="6">
                  <c:v>32500</c:v>
                </c:pt>
                <c:pt idx="7">
                  <c:v>32500</c:v>
                </c:pt>
                <c:pt idx="8">
                  <c:v>32500</c:v>
                </c:pt>
                <c:pt idx="9">
                  <c:v>32500</c:v>
                </c:pt>
                <c:pt idx="10">
                  <c:v>32500</c:v>
                </c:pt>
                <c:pt idx="11">
                  <c:v>32500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B-4C16-93CD-5896A4F23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57952"/>
        <c:axId val="556968992"/>
      </c:lineChart>
      <c:catAx>
        <c:axId val="556957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968992"/>
        <c:crosses val="autoZero"/>
        <c:auto val="1"/>
        <c:lblAlgn val="ctr"/>
        <c:lblOffset val="100"/>
        <c:noMultiLvlLbl val="0"/>
      </c:catAx>
      <c:valAx>
        <c:axId val="5569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95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Saldo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Dashboard!$F$12</c:f>
              <c:strCache>
                <c:ptCount val="1"/>
                <c:pt idx="0">
                  <c:v>Saldo Acum.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Dashboard!$B$13:$B$24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Dashboard!$F$13:$F$24</c:f>
              <c:numCache>
                <c:formatCode>"R$"\ #,##0.00;[Red]\("R$"\ #,##0.00\);\-</c:formatCode>
                <c:ptCount val="12"/>
                <c:pt idx="0">
                  <c:v>11500</c:v>
                </c:pt>
                <c:pt idx="1">
                  <c:v>7500</c:v>
                </c:pt>
                <c:pt idx="2">
                  <c:v>7500</c:v>
                </c:pt>
                <c:pt idx="3">
                  <c:v>7500</c:v>
                </c:pt>
                <c:pt idx="4">
                  <c:v>32500</c:v>
                </c:pt>
                <c:pt idx="5">
                  <c:v>32500</c:v>
                </c:pt>
                <c:pt idx="6">
                  <c:v>32500</c:v>
                </c:pt>
                <c:pt idx="7">
                  <c:v>32500</c:v>
                </c:pt>
                <c:pt idx="8">
                  <c:v>32500</c:v>
                </c:pt>
                <c:pt idx="9">
                  <c:v>32500</c:v>
                </c:pt>
                <c:pt idx="10">
                  <c:v>32500</c:v>
                </c:pt>
                <c:pt idx="11">
                  <c:v>32500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F-4ADE-A6CF-EBBC2537B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687600"/>
        <c:axId val="629686160"/>
      </c:lineChart>
      <c:dateAx>
        <c:axId val="6296876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9686160"/>
        <c:crosses val="autoZero"/>
        <c:auto val="1"/>
        <c:lblOffset val="100"/>
        <c:baseTimeUnit val="months"/>
      </c:dateAx>
      <c:valAx>
        <c:axId val="6296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968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Dashboard!$I$12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D1-42CD-8091-189C2379FC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D1-42CD-8091-189C2379FC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D1-42CD-8091-189C2379FC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D1-42CD-8091-189C2379FC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D1-42CD-8091-189C2379FC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D1-42CD-8091-189C2379FC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3D1-42CD-8091-189C2379FC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3D1-42CD-8091-189C2379FC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3D1-42CD-8091-189C2379FC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3D1-42CD-8091-189C2379FC2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3D1-42CD-8091-189C2379FC2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3D1-42CD-8091-189C2379FC2C}"/>
              </c:ext>
            </c:extLst>
          </c:dPt>
          <c:cat>
            <c:strRef>
              <c:f>Dashboard!$H$13:$H$24</c:f>
              <c:strCache>
                <c:ptCount val="12"/>
                <c:pt idx="0">
                  <c:v>Impostos sobre Vendas</c:v>
                </c:pt>
                <c:pt idx="1">
                  <c:v>Devoluções</c:v>
                </c:pt>
                <c:pt idx="2">
                  <c:v>Custo de Mercadoria Vendida</c:v>
                </c:pt>
                <c:pt idx="3">
                  <c:v>Custo de Serviços Prestados</c:v>
                </c:pt>
                <c:pt idx="4">
                  <c:v>Salários e Encargos</c:v>
                </c:pt>
                <c:pt idx="5">
                  <c:v>Aluguel</c:v>
                </c:pt>
                <c:pt idx="6">
                  <c:v>Água, Luz e Internet</c:v>
                </c:pt>
                <c:pt idx="7">
                  <c:v>Material de Escritório</c:v>
                </c:pt>
                <c:pt idx="8">
                  <c:v>Marketing e Publicidade</c:v>
                </c:pt>
                <c:pt idx="9">
                  <c:v>Manutenção</c:v>
                </c:pt>
                <c:pt idx="10">
                  <c:v>Transporte e Viagens</c:v>
                </c:pt>
                <c:pt idx="11">
                  <c:v>Serviços de Terceiros</c:v>
                </c:pt>
              </c:strCache>
            </c:strRef>
          </c:cat>
          <c:val>
            <c:numRef>
              <c:f>Dashboard!$I$13:$I$24</c:f>
              <c:numCache>
                <c:formatCode>"R$"\ #,##0.00;[Red]\("R$"\ 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12000</c:v>
                </c:pt>
                <c:pt idx="5">
                  <c:v>3500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499D-84C5-4CA5A683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e Saídas: Realizado vs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'Realizado vs Forecast'!$F$14:$F$66</c:f>
              <c:strCache>
                <c:ptCount val="53"/>
                <c:pt idx="0">
                  <c:v>Forecast Saídas</c:v>
                </c:pt>
                <c:pt idx="1">
                  <c:v>(R$ 88.765,82)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multiLvlStrRef>
              <c:f>'Realizado vs Forecast'!$B$67:$E$67</c:f>
            </c:multiLvlStrRef>
          </c:cat>
          <c:val>
            <c:numRef>
              <c:f>'Realizado vs Forecast'!$F$67</c:f>
              <c:numCache>
                <c:formatCode>"R$"\ #,##0.00;[Red]\("R$"\ #,##0.00\);\-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8-4629-87F8-41C679DAF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841535"/>
        <c:axId val="767849695"/>
      </c:barChart>
      <c:catAx>
        <c:axId val="76784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7849695"/>
        <c:crosses val="autoZero"/>
        <c:auto val="1"/>
        <c:lblAlgn val="ctr"/>
        <c:lblOffset val="100"/>
        <c:noMultiLvlLbl val="0"/>
      </c:catAx>
      <c:valAx>
        <c:axId val="7678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784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Desvio % por 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'Realizado vs Forecast'!$H$14:$H$66</c:f>
              <c:strCache>
                <c:ptCount val="53"/>
                <c:pt idx="0">
                  <c:v>Desvio %</c:v>
                </c:pt>
                <c:pt idx="1">
                  <c:v>-87,3%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'Realizado vs Forecast'!$B$15:$B$67</c:f>
              <c:strCache>
                <c:ptCount val="1"/>
                <c:pt idx="0">
                  <c:v>01/05/2026</c:v>
                </c:pt>
              </c:strCache>
            </c:strRef>
          </c:cat>
          <c:val>
            <c:numRef>
              <c:f>'Realizado vs Forecast'!$H$67</c:f>
              <c:numCache>
                <c:formatCode>0.0%;[Red]\-0.0%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1-4042-B7EB-0B15BF63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299647"/>
        <c:axId val="831301567"/>
      </c:lineChart>
      <c:dateAx>
        <c:axId val="8312996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301567"/>
        <c:crosses val="autoZero"/>
        <c:auto val="1"/>
        <c:lblOffset val="100"/>
        <c:baseTimeUnit val="days"/>
      </c:dateAx>
      <c:valAx>
        <c:axId val="83130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29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Desvio por Categoria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'Realizado vs Forecast'!$M$5</c:f>
              <c:strCache>
                <c:ptCount val="1"/>
                <c:pt idx="0">
                  <c:v>Desvio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'Realizado vs Forecast'!$J$6:$J$58</c:f>
              <c:strCache>
                <c:ptCount val="53"/>
                <c:pt idx="0">
                  <c:v>Vendas de Produtos</c:v>
                </c:pt>
                <c:pt idx="1">
                  <c:v>Vendas de Serviços</c:v>
                </c:pt>
                <c:pt idx="2">
                  <c:v>Outras Receitas</c:v>
                </c:pt>
                <c:pt idx="3">
                  <c:v>Receitas Financeiras</c:v>
                </c:pt>
                <c:pt idx="4">
                  <c:v>Recebimento de Clientes</c:v>
                </c:pt>
                <c:pt idx="5">
                  <c:v>Vendas Online</c:v>
                </c:pt>
                <c:pt idx="6">
                  <c:v>Comissões Recebidas</c:v>
                </c:pt>
                <c:pt idx="7">
                  <c:v>Aluguel Recebido</c:v>
                </c:pt>
                <c:pt idx="8">
                  <c:v>Reembolsos</c:v>
                </c:pt>
                <c:pt idx="9">
                  <c:v>Aporte de Sócios</c:v>
                </c:pt>
                <c:pt idx="10">
                  <c:v>Empréstimo Recebido</c:v>
                </c:pt>
                <c:pt idx="11">
                  <c:v>Impostos sobre Vendas</c:v>
                </c:pt>
                <c:pt idx="12">
                  <c:v>Devoluções</c:v>
                </c:pt>
                <c:pt idx="13">
                  <c:v>Custo de Mercadoria Vendida</c:v>
                </c:pt>
                <c:pt idx="14">
                  <c:v>Custo de Serviços Prestados</c:v>
                </c:pt>
                <c:pt idx="15">
                  <c:v>Salários e Encargos</c:v>
                </c:pt>
                <c:pt idx="16">
                  <c:v>Aluguel</c:v>
                </c:pt>
                <c:pt idx="17">
                  <c:v>Água, Luz e Internet</c:v>
                </c:pt>
                <c:pt idx="18">
                  <c:v>Material de Escritório</c:v>
                </c:pt>
                <c:pt idx="19">
                  <c:v>Marketing e Publicidade</c:v>
                </c:pt>
                <c:pt idx="20">
                  <c:v>Manutenção</c:v>
                </c:pt>
                <c:pt idx="21">
                  <c:v>Transporte e Viagens</c:v>
                </c:pt>
                <c:pt idx="22">
                  <c:v>Serviços de Terceiros</c:v>
                </c:pt>
                <c:pt idx="23">
                  <c:v>Juros e Tarifas Bancárias</c:v>
                </c:pt>
                <c:pt idx="24">
                  <c:v>Empréstimos e Financiamentos</c:v>
                </c:pt>
                <c:pt idx="25">
                  <c:v>Impostos sobre Lucro</c:v>
                </c:pt>
                <c:pt idx="26">
                  <c:v>Frete sobre Vendas</c:v>
                </c:pt>
                <c:pt idx="27">
                  <c:v>Embalagens</c:v>
                </c:pt>
                <c:pt idx="28">
                  <c:v>Combustível</c:v>
                </c:pt>
                <c:pt idx="29">
                  <c:v>Pró-labore</c:v>
                </c:pt>
                <c:pt idx="30">
                  <c:v>Benefícios (VR/VT/Plano)</c:v>
                </c:pt>
                <c:pt idx="31">
                  <c:v>Software e Assinaturas</c:v>
                </c:pt>
                <c:pt idx="32">
                  <c:v>Telefone e Celular</c:v>
                </c:pt>
                <c:pt idx="33">
                  <c:v>Limpeza e Conservação</c:v>
                </c:pt>
                <c:pt idx="34">
                  <c:v>Seguros</c:v>
                </c:pt>
                <c:pt idx="35">
                  <c:v>Treinamento e Capacitação</c:v>
                </c:pt>
                <c:pt idx="36">
                  <c:v>Honorários Contábeis</c:v>
                </c:pt>
                <c:pt idx="37">
                  <c:v>Honorários Jurídicos</c:v>
                </c:pt>
                <c:pt idx="38">
                  <c:v>Equipamentos e Informática</c:v>
                </c:pt>
                <c:pt idx="39">
                  <c:v>Móveis e Utensílios</c:v>
                </c:pt>
                <c:pt idx="40">
                  <c:v>Refeições e Confraternizações</c:v>
                </c:pt>
                <c:pt idx="41">
                  <c:v>Correios e Entregas</c:v>
                </c:pt>
                <c:pt idx="42">
                  <c:v>Taxas e Anuidades</c:v>
                </c:pt>
                <c:pt idx="43">
                  <c:v>IOF</c:v>
                </c:pt>
                <c:pt idx="44">
                  <c:v>Cartão de Crédito</c:v>
                </c:pt>
                <c:pt idx="45">
                  <c:v>Multas e Juros</c:v>
                </c:pt>
                <c:pt idx="46">
                  <c:v>Pagamento de Fornecedores</c:v>
                </c:pt>
                <c:pt idx="47">
                  <c:v>Retirada de Sócios</c:v>
                </c:pt>
                <c:pt idx="48">
                  <c:v>INSS / FGTS</c:v>
                </c:pt>
                <c:pt idx="49">
                  <c:v>Simples Nacional / DAS</c:v>
                </c:pt>
                <c:pt idx="50">
                  <c:v>ISS</c:v>
                </c:pt>
                <c:pt idx="51">
                  <c:v>ICMS</c:v>
                </c:pt>
                <c:pt idx="52">
                  <c:v>PIS/COFINS</c:v>
                </c:pt>
              </c:strCache>
            </c:strRef>
          </c:cat>
          <c:val>
            <c:numRef>
              <c:f>'Realizado vs Forecast'!$M$6:$M$58</c:f>
              <c:numCache>
                <c:formatCode>"R$"\ #,##0.00;[Red]\("R$"\ #,##0.00\);\-</c:formatCode>
                <c:ptCount val="53"/>
                <c:pt idx="0">
                  <c:v>-32367.269999999997</c:v>
                </c:pt>
                <c:pt idx="1">
                  <c:v>7883.9900000000016</c:v>
                </c:pt>
                <c:pt idx="2">
                  <c:v>-1009.2600000000001</c:v>
                </c:pt>
                <c:pt idx="3">
                  <c:v>-644.73</c:v>
                </c:pt>
                <c:pt idx="4">
                  <c:v>-42356.1</c:v>
                </c:pt>
                <c:pt idx="5">
                  <c:v>-12277.93</c:v>
                </c:pt>
                <c:pt idx="6">
                  <c:v>-2138.8399999999997</c:v>
                </c:pt>
                <c:pt idx="7">
                  <c:v>0</c:v>
                </c:pt>
                <c:pt idx="8">
                  <c:v>-414.64</c:v>
                </c:pt>
                <c:pt idx="9">
                  <c:v>0</c:v>
                </c:pt>
                <c:pt idx="10">
                  <c:v>0</c:v>
                </c:pt>
                <c:pt idx="11">
                  <c:v>3144.3100000000004</c:v>
                </c:pt>
                <c:pt idx="12">
                  <c:v>620.35</c:v>
                </c:pt>
                <c:pt idx="13">
                  <c:v>17068.779999999995</c:v>
                </c:pt>
                <c:pt idx="14">
                  <c:v>4231.28</c:v>
                </c:pt>
                <c:pt idx="15">
                  <c:v>10388.23</c:v>
                </c:pt>
                <c:pt idx="16">
                  <c:v>2690.7400000000002</c:v>
                </c:pt>
                <c:pt idx="17">
                  <c:v>815.33999999999992</c:v>
                </c:pt>
                <c:pt idx="18">
                  <c:v>321.76000000000005</c:v>
                </c:pt>
                <c:pt idx="19">
                  <c:v>2070.14</c:v>
                </c:pt>
                <c:pt idx="20">
                  <c:v>516.14</c:v>
                </c:pt>
                <c:pt idx="21">
                  <c:v>821.59</c:v>
                </c:pt>
                <c:pt idx="22">
                  <c:v>1683.1299999999997</c:v>
                </c:pt>
                <c:pt idx="23">
                  <c:v>206.88</c:v>
                </c:pt>
                <c:pt idx="24">
                  <c:v>0</c:v>
                </c:pt>
                <c:pt idx="25">
                  <c:v>2187.71</c:v>
                </c:pt>
                <c:pt idx="26">
                  <c:v>628.33000000000004</c:v>
                </c:pt>
                <c:pt idx="27">
                  <c:v>430.03000000000003</c:v>
                </c:pt>
                <c:pt idx="28">
                  <c:v>748.79000000000008</c:v>
                </c:pt>
                <c:pt idx="29">
                  <c:v>5269.28</c:v>
                </c:pt>
                <c:pt idx="30">
                  <c:v>1714.47</c:v>
                </c:pt>
                <c:pt idx="31">
                  <c:v>532.13</c:v>
                </c:pt>
                <c:pt idx="32">
                  <c:v>256.29000000000002</c:v>
                </c:pt>
                <c:pt idx="33">
                  <c:v>317.64</c:v>
                </c:pt>
                <c:pt idx="34">
                  <c:v>426.39000000000004</c:v>
                </c:pt>
                <c:pt idx="35">
                  <c:v>314.32</c:v>
                </c:pt>
                <c:pt idx="36">
                  <c:v>1013.21</c:v>
                </c:pt>
                <c:pt idx="37">
                  <c:v>542.35</c:v>
                </c:pt>
                <c:pt idx="38">
                  <c:v>646.45999999999992</c:v>
                </c:pt>
                <c:pt idx="39">
                  <c:v>222.23</c:v>
                </c:pt>
                <c:pt idx="40">
                  <c:v>533.41999999999996</c:v>
                </c:pt>
                <c:pt idx="41">
                  <c:v>308.61</c:v>
                </c:pt>
                <c:pt idx="42">
                  <c:v>215.45</c:v>
                </c:pt>
                <c:pt idx="43">
                  <c:v>104.49</c:v>
                </c:pt>
                <c:pt idx="44">
                  <c:v>1071.95</c:v>
                </c:pt>
                <c:pt idx="45">
                  <c:v>103.34</c:v>
                </c:pt>
                <c:pt idx="46">
                  <c:v>12564.189999999997</c:v>
                </c:pt>
                <c:pt idx="47">
                  <c:v>2129.04</c:v>
                </c:pt>
                <c:pt idx="48">
                  <c:v>3244.2700000000004</c:v>
                </c:pt>
                <c:pt idx="49">
                  <c:v>4235.7500000000009</c:v>
                </c:pt>
                <c:pt idx="50">
                  <c:v>1246.7399999999998</c:v>
                </c:pt>
                <c:pt idx="51">
                  <c:v>1705.32</c:v>
                </c:pt>
                <c:pt idx="52">
                  <c:v>1474.9499999999998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D2-469E-9673-4FACD00F8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940928"/>
        <c:axId val="1754932768"/>
      </c:barChart>
      <c:catAx>
        <c:axId val="175494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4932768"/>
        <c:crosses val="autoZero"/>
        <c:auto val="1"/>
        <c:lblAlgn val="ctr"/>
        <c:lblOffset val="100"/>
        <c:noMultiLvlLbl val="0"/>
      </c:catAx>
      <c:valAx>
        <c:axId val="175493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;[Red]\(&quot;R$&quot;\ 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494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60959</xdr:rowOff>
    </xdr:from>
    <xdr:to>
      <xdr:col>5</xdr:col>
      <xdr:colOff>1520190</xdr:colOff>
      <xdr:row>41</xdr:row>
      <xdr:rowOff>89534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896790-8E03-A8E7-0860-69B23F6E9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42</xdr:row>
      <xdr:rowOff>87629</xdr:rowOff>
    </xdr:from>
    <xdr:to>
      <xdr:col>5</xdr:col>
      <xdr:colOff>1520190</xdr:colOff>
      <xdr:row>58</xdr:row>
      <xdr:rowOff>116204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7CAE3F-EE74-2435-4588-C0D2D5711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87629</xdr:rowOff>
    </xdr:from>
    <xdr:to>
      <xdr:col>5</xdr:col>
      <xdr:colOff>1520190</xdr:colOff>
      <xdr:row>58</xdr:row>
      <xdr:rowOff>116204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B5FFAB7-A226-51E2-7155-B6993608D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186690</xdr:colOff>
      <xdr:row>31</xdr:row>
      <xdr:rowOff>57149</xdr:rowOff>
    </xdr:from>
    <xdr:to>
      <xdr:col>9</xdr:col>
      <xdr:colOff>891540</xdr:colOff>
      <xdr:row>58</xdr:row>
      <xdr:rowOff>102869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5D0A97-CDE4-003F-0770-18E8B2B8D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68</xdr:row>
      <xdr:rowOff>0</xdr:rowOff>
    </xdr:from>
    <xdr:to>
      <xdr:col>8</xdr:col>
      <xdr:colOff>0</xdr:colOff>
      <xdr:row>85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DA4E7B-5898-4FFD-D1B3-2907E7E51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8</xdr:col>
      <xdr:colOff>0</xdr:colOff>
      <xdr:row>102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29B490-1D9B-66E1-305F-0B2C9A4FC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59</xdr:row>
      <xdr:rowOff>0</xdr:rowOff>
    </xdr:from>
    <xdr:to>
      <xdr:col>16</xdr:col>
      <xdr:colOff>0</xdr:colOff>
      <xdr:row>110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38ACF5-4285-7332-8E24-372B96714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8E6270-3F2F-4BBB-9DB1-2B576B4C899B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3e729171-54fd-44af-a8c2-6c497777a43d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1494-6EAF-479D-944C-7F3E9EABC04D}">
  <dimension ref="A1:J200"/>
  <sheetViews>
    <sheetView workbookViewId="0">
      <selection activeCell="A7" sqref="A7"/>
    </sheetView>
  </sheetViews>
  <sheetFormatPr defaultRowHeight="14.4" x14ac:dyDescent="0.3"/>
  <cols>
    <col min="1" max="1" width="10.33203125" bestFit="1" customWidth="1"/>
    <col min="2" max="2" width="9.6640625" bestFit="1" customWidth="1"/>
    <col min="3" max="3" width="9.44140625" bestFit="1" customWidth="1"/>
    <col min="4" max="4" width="8.33203125" bestFit="1" customWidth="1"/>
    <col min="5" max="5" width="21.77734375" bestFit="1" customWidth="1"/>
    <col min="6" max="6" width="12.88671875" bestFit="1" customWidth="1"/>
    <col min="7" max="7" width="12.6640625" bestFit="1" customWidth="1"/>
    <col min="8" max="8" width="14" bestFit="1" customWidth="1"/>
    <col min="9" max="9" width="6.21875" bestFit="1" customWidth="1"/>
    <col min="10" max="10" width="7.6640625" bestFit="1" customWidth="1"/>
  </cols>
  <sheetData>
    <row r="1" spans="1:10" x14ac:dyDescent="0.3">
      <c r="A1" s="1" t="s">
        <v>35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38</v>
      </c>
      <c r="H1" s="1" t="s">
        <v>39</v>
      </c>
      <c r="I1" s="1" t="s">
        <v>30</v>
      </c>
      <c r="J1" s="1" t="s">
        <v>40</v>
      </c>
    </row>
    <row r="2" spans="1:10" x14ac:dyDescent="0.3">
      <c r="A2" s="15">
        <v>46027</v>
      </c>
      <c r="B2" s="1" t="s">
        <v>66</v>
      </c>
      <c r="C2" s="1" t="s">
        <v>3</v>
      </c>
      <c r="D2" s="1" t="str">
        <f>IF(C2="","",VLOOKUP(C2,Categorias!$A$2:$C$54,2,FALSE))</f>
        <v>Receita</v>
      </c>
      <c r="E2" s="1" t="str">
        <f>IF(C2="","",VLOOKUP(C2,Categorias!$A$2:$C$54,3,FALSE))</f>
        <v>Receita Bruta</v>
      </c>
      <c r="F2" s="40">
        <v>15000</v>
      </c>
      <c r="G2" s="40"/>
      <c r="H2" s="40">
        <f t="shared" ref="H2:H33" si="0">IF(F2="",0,F2)-IF(G2="",0,G2)</f>
        <v>15000</v>
      </c>
      <c r="I2" s="1" t="s">
        <v>32</v>
      </c>
      <c r="J2" s="16">
        <f t="shared" ref="J2:J33" si="1">IF(A2="","",DATE(YEAR(A2),MONTH(A2),1))</f>
        <v>46023</v>
      </c>
    </row>
    <row r="3" spans="1:10" x14ac:dyDescent="0.3">
      <c r="A3" s="2">
        <v>46032</v>
      </c>
      <c r="B3" t="s">
        <v>67</v>
      </c>
      <c r="C3" t="s">
        <v>17</v>
      </c>
      <c r="D3" t="str">
        <f>IF(C3="","",VLOOKUP(C3,Categorias!$A$2:$C$54,2,FALSE))</f>
        <v>Despesa</v>
      </c>
      <c r="E3" t="str">
        <f>IF(C3="","",VLOOKUP(C3,Categorias!$A$2:$C$54,3,FALSE))</f>
        <v>Despesas Operacionais</v>
      </c>
      <c r="F3" s="39"/>
      <c r="G3" s="39">
        <v>3500</v>
      </c>
      <c r="H3" s="39">
        <f t="shared" si="0"/>
        <v>-3500</v>
      </c>
      <c r="I3" t="s">
        <v>33</v>
      </c>
      <c r="J3" s="3">
        <f t="shared" si="1"/>
        <v>46023</v>
      </c>
    </row>
    <row r="4" spans="1:10" x14ac:dyDescent="0.3">
      <c r="A4" s="2">
        <v>46068</v>
      </c>
      <c r="B4" t="s">
        <v>68</v>
      </c>
      <c r="C4" t="s">
        <v>6</v>
      </c>
      <c r="D4" t="str">
        <f>IF(C4="","",VLOOKUP(C4,Categorias!$A$2:$C$54,2,FALSE))</f>
        <v>Receita</v>
      </c>
      <c r="E4" t="str">
        <f>IF(C4="","",VLOOKUP(C4,Categorias!$A$2:$C$54,3,FALSE))</f>
        <v>Receita Bruta</v>
      </c>
      <c r="F4" s="39">
        <v>8000</v>
      </c>
      <c r="G4" s="39"/>
      <c r="H4" s="39">
        <f t="shared" si="0"/>
        <v>8000</v>
      </c>
      <c r="I4" t="s">
        <v>32</v>
      </c>
      <c r="J4" s="3">
        <f t="shared" si="1"/>
        <v>46054</v>
      </c>
    </row>
    <row r="5" spans="1:10" x14ac:dyDescent="0.3">
      <c r="A5" s="2">
        <v>46073</v>
      </c>
      <c r="B5" t="s">
        <v>69</v>
      </c>
      <c r="C5" t="s">
        <v>15</v>
      </c>
      <c r="D5" t="str">
        <f>IF(C5="","",VLOOKUP(C5,Categorias!$A$2:$C$54,2,FALSE))</f>
        <v>Despesa</v>
      </c>
      <c r="E5" t="str">
        <f>IF(C5="","",VLOOKUP(C5,Categorias!$A$2:$C$54,3,FALSE))</f>
        <v>Despesas Operacionais</v>
      </c>
      <c r="F5" s="39"/>
      <c r="G5" s="39">
        <v>12000</v>
      </c>
      <c r="H5" s="39">
        <f t="shared" si="0"/>
        <v>-12000</v>
      </c>
      <c r="I5" t="s">
        <v>33</v>
      </c>
      <c r="J5" s="3">
        <f t="shared" si="1"/>
        <v>46054</v>
      </c>
    </row>
    <row r="6" spans="1:10" x14ac:dyDescent="0.3">
      <c r="A6" s="2">
        <v>46152</v>
      </c>
      <c r="B6" t="s">
        <v>68</v>
      </c>
      <c r="C6" t="s">
        <v>6</v>
      </c>
      <c r="D6" t="str">
        <f>IF(C6="","",VLOOKUP(C6,Categorias!$A$2:$C$54,2,FALSE))</f>
        <v>Receita</v>
      </c>
      <c r="E6" t="str">
        <f>IF(C6="","",VLOOKUP(C6,Categorias!$A$2:$C$54,3,FALSE))</f>
        <v>Receita Bruta</v>
      </c>
      <c r="F6" s="39">
        <v>25000</v>
      </c>
      <c r="G6" s="39"/>
      <c r="H6" s="39">
        <f t="shared" si="0"/>
        <v>25000</v>
      </c>
      <c r="I6" t="s">
        <v>32</v>
      </c>
      <c r="J6" s="3">
        <f t="shared" si="1"/>
        <v>46143</v>
      </c>
    </row>
    <row r="7" spans="1:10" x14ac:dyDescent="0.3">
      <c r="A7" s="2"/>
      <c r="D7" t="str">
        <f>IF(C7="","",VLOOKUP(C7,Categorias!$A$2:$C$54,2,FALSE))</f>
        <v/>
      </c>
      <c r="E7" t="str">
        <f>IF(C7="","",VLOOKUP(C7,Categorias!$A$2:$C$54,3,FALSE))</f>
        <v/>
      </c>
      <c r="F7" s="39"/>
      <c r="G7" s="39"/>
      <c r="H7" s="39">
        <f t="shared" si="0"/>
        <v>0</v>
      </c>
      <c r="J7" s="3" t="str">
        <f t="shared" si="1"/>
        <v/>
      </c>
    </row>
    <row r="8" spans="1:10" x14ac:dyDescent="0.3">
      <c r="A8" s="2"/>
      <c r="D8" t="str">
        <f>IF(C8="","",VLOOKUP(C8,Categorias!$A$2:$C$54,2,FALSE))</f>
        <v/>
      </c>
      <c r="E8" t="str">
        <f>IF(C8="","",VLOOKUP(C8,Categorias!$A$2:$C$54,3,FALSE))</f>
        <v/>
      </c>
      <c r="F8" s="39"/>
      <c r="G8" s="39"/>
      <c r="H8" s="39">
        <f t="shared" si="0"/>
        <v>0</v>
      </c>
      <c r="J8" s="3" t="str">
        <f t="shared" si="1"/>
        <v/>
      </c>
    </row>
    <row r="9" spans="1:10" x14ac:dyDescent="0.3">
      <c r="A9" s="2"/>
      <c r="D9" t="str">
        <f>IF(C9="","",VLOOKUP(C9,Categorias!$A$2:$C$54,2,FALSE))</f>
        <v/>
      </c>
      <c r="E9" t="str">
        <f>IF(C9="","",VLOOKUP(C9,Categorias!$A$2:$C$54,3,FALSE))</f>
        <v/>
      </c>
      <c r="F9" s="39"/>
      <c r="G9" s="39"/>
      <c r="H9" s="39">
        <f t="shared" si="0"/>
        <v>0</v>
      </c>
      <c r="J9" s="3" t="str">
        <f t="shared" si="1"/>
        <v/>
      </c>
    </row>
    <row r="10" spans="1:10" x14ac:dyDescent="0.3">
      <c r="A10" s="2"/>
      <c r="D10" t="str">
        <f>IF(C10="","",VLOOKUP(C10,Categorias!$A$2:$C$54,2,FALSE))</f>
        <v/>
      </c>
      <c r="E10" t="str">
        <f>IF(C10="","",VLOOKUP(C10,Categorias!$A$2:$C$54,3,FALSE))</f>
        <v/>
      </c>
      <c r="F10" s="39"/>
      <c r="G10" s="39"/>
      <c r="H10" s="39">
        <f t="shared" si="0"/>
        <v>0</v>
      </c>
      <c r="J10" s="3" t="str">
        <f t="shared" si="1"/>
        <v/>
      </c>
    </row>
    <row r="11" spans="1:10" x14ac:dyDescent="0.3">
      <c r="A11" s="2"/>
      <c r="D11" t="str">
        <f>IF(C11="","",VLOOKUP(C11,Categorias!$A$2:$C$54,2,FALSE))</f>
        <v/>
      </c>
      <c r="E11" t="str">
        <f>IF(C11="","",VLOOKUP(C11,Categorias!$A$2:$C$54,3,FALSE))</f>
        <v/>
      </c>
      <c r="F11" s="39"/>
      <c r="G11" s="39"/>
      <c r="H11" s="39">
        <f t="shared" si="0"/>
        <v>0</v>
      </c>
      <c r="J11" s="3" t="str">
        <f t="shared" si="1"/>
        <v/>
      </c>
    </row>
    <row r="12" spans="1:10" x14ac:dyDescent="0.3">
      <c r="A12" s="2"/>
      <c r="D12" t="str">
        <f>IF(C12="","",VLOOKUP(C12,Categorias!$A$2:$C$54,2,FALSE))</f>
        <v/>
      </c>
      <c r="E12" t="str">
        <f>IF(C12="","",VLOOKUP(C12,Categorias!$A$2:$C$54,3,FALSE))</f>
        <v/>
      </c>
      <c r="F12" s="39"/>
      <c r="G12" s="39"/>
      <c r="H12" s="39">
        <f t="shared" si="0"/>
        <v>0</v>
      </c>
      <c r="J12" s="3" t="str">
        <f t="shared" si="1"/>
        <v/>
      </c>
    </row>
    <row r="13" spans="1:10" x14ac:dyDescent="0.3">
      <c r="A13" s="2"/>
      <c r="D13" t="str">
        <f>IF(C13="","",VLOOKUP(C13,Categorias!$A$2:$C$54,2,FALSE))</f>
        <v/>
      </c>
      <c r="E13" t="str">
        <f>IF(C13="","",VLOOKUP(C13,Categorias!$A$2:$C$54,3,FALSE))</f>
        <v/>
      </c>
      <c r="F13" s="39"/>
      <c r="G13" s="39"/>
      <c r="H13" s="39">
        <f t="shared" si="0"/>
        <v>0</v>
      </c>
      <c r="J13" s="3" t="str">
        <f t="shared" si="1"/>
        <v/>
      </c>
    </row>
    <row r="14" spans="1:10" x14ac:dyDescent="0.3">
      <c r="A14" s="2"/>
      <c r="D14" t="str">
        <f>IF(C14="","",VLOOKUP(C14,Categorias!$A$2:$C$54,2,FALSE))</f>
        <v/>
      </c>
      <c r="E14" t="str">
        <f>IF(C14="","",VLOOKUP(C14,Categorias!$A$2:$C$54,3,FALSE))</f>
        <v/>
      </c>
      <c r="F14" s="39"/>
      <c r="G14" s="39"/>
      <c r="H14" s="39">
        <f t="shared" si="0"/>
        <v>0</v>
      </c>
      <c r="J14" s="3" t="str">
        <f t="shared" si="1"/>
        <v/>
      </c>
    </row>
    <row r="15" spans="1:10" x14ac:dyDescent="0.3">
      <c r="A15" s="2"/>
      <c r="D15" t="str">
        <f>IF(C15="","",VLOOKUP(C15,Categorias!$A$2:$C$54,2,FALSE))</f>
        <v/>
      </c>
      <c r="E15" t="str">
        <f>IF(C15="","",VLOOKUP(C15,Categorias!$A$2:$C$54,3,FALSE))</f>
        <v/>
      </c>
      <c r="F15" s="39"/>
      <c r="G15" s="39"/>
      <c r="H15" s="39">
        <f t="shared" si="0"/>
        <v>0</v>
      </c>
      <c r="J15" s="3" t="str">
        <f t="shared" si="1"/>
        <v/>
      </c>
    </row>
    <row r="16" spans="1:10" x14ac:dyDescent="0.3">
      <c r="A16" s="2"/>
      <c r="D16" t="str">
        <f>IF(C16="","",VLOOKUP(C16,Categorias!$A$2:$C$54,2,FALSE))</f>
        <v/>
      </c>
      <c r="E16" t="str">
        <f>IF(C16="","",VLOOKUP(C16,Categorias!$A$2:$C$54,3,FALSE))</f>
        <v/>
      </c>
      <c r="F16" s="39"/>
      <c r="G16" s="39"/>
      <c r="H16" s="39">
        <f t="shared" si="0"/>
        <v>0</v>
      </c>
      <c r="J16" s="3" t="str">
        <f t="shared" si="1"/>
        <v/>
      </c>
    </row>
    <row r="17" spans="1:10" x14ac:dyDescent="0.3">
      <c r="A17" s="2"/>
      <c r="D17" t="str">
        <f>IF(C17="","",VLOOKUP(C17,Categorias!$A$2:$C$54,2,FALSE))</f>
        <v/>
      </c>
      <c r="E17" t="str">
        <f>IF(C17="","",VLOOKUP(C17,Categorias!$A$2:$C$54,3,FALSE))</f>
        <v/>
      </c>
      <c r="F17" s="39"/>
      <c r="G17" s="39"/>
      <c r="H17" s="39">
        <f t="shared" si="0"/>
        <v>0</v>
      </c>
      <c r="J17" s="3" t="str">
        <f t="shared" si="1"/>
        <v/>
      </c>
    </row>
    <row r="18" spans="1:10" x14ac:dyDescent="0.3">
      <c r="A18" s="2"/>
      <c r="D18" t="str">
        <f>IF(C18="","",VLOOKUP(C18,Categorias!$A$2:$C$54,2,FALSE))</f>
        <v/>
      </c>
      <c r="E18" t="str">
        <f>IF(C18="","",VLOOKUP(C18,Categorias!$A$2:$C$54,3,FALSE))</f>
        <v/>
      </c>
      <c r="F18" s="39"/>
      <c r="G18" s="39"/>
      <c r="H18" s="39">
        <f t="shared" si="0"/>
        <v>0</v>
      </c>
      <c r="J18" s="3" t="str">
        <f t="shared" si="1"/>
        <v/>
      </c>
    </row>
    <row r="19" spans="1:10" x14ac:dyDescent="0.3">
      <c r="A19" s="2"/>
      <c r="D19" t="str">
        <f>IF(C19="","",VLOOKUP(C19,Categorias!$A$2:$C$54,2,FALSE))</f>
        <v/>
      </c>
      <c r="E19" t="str">
        <f>IF(C19="","",VLOOKUP(C19,Categorias!$A$2:$C$54,3,FALSE))</f>
        <v/>
      </c>
      <c r="F19" s="39"/>
      <c r="G19" s="39"/>
      <c r="H19" s="39">
        <f t="shared" si="0"/>
        <v>0</v>
      </c>
      <c r="J19" s="3" t="str">
        <f t="shared" si="1"/>
        <v/>
      </c>
    </row>
    <row r="20" spans="1:10" x14ac:dyDescent="0.3">
      <c r="A20" s="2"/>
      <c r="D20" t="str">
        <f>IF(C20="","",VLOOKUP(C20,Categorias!$A$2:$C$54,2,FALSE))</f>
        <v/>
      </c>
      <c r="E20" t="str">
        <f>IF(C20="","",VLOOKUP(C20,Categorias!$A$2:$C$54,3,FALSE))</f>
        <v/>
      </c>
      <c r="F20" s="39"/>
      <c r="G20" s="39"/>
      <c r="H20" s="39">
        <f t="shared" si="0"/>
        <v>0</v>
      </c>
      <c r="J20" s="3" t="str">
        <f t="shared" si="1"/>
        <v/>
      </c>
    </row>
    <row r="21" spans="1:10" x14ac:dyDescent="0.3">
      <c r="A21" s="2"/>
      <c r="D21" t="str">
        <f>IF(C21="","",VLOOKUP(C21,Categorias!$A$2:$C$54,2,FALSE))</f>
        <v/>
      </c>
      <c r="E21" t="str">
        <f>IF(C21="","",VLOOKUP(C21,Categorias!$A$2:$C$54,3,FALSE))</f>
        <v/>
      </c>
      <c r="F21" s="39"/>
      <c r="G21" s="39"/>
      <c r="H21" s="39">
        <f t="shared" si="0"/>
        <v>0</v>
      </c>
      <c r="J21" s="3" t="str">
        <f t="shared" si="1"/>
        <v/>
      </c>
    </row>
    <row r="22" spans="1:10" x14ac:dyDescent="0.3">
      <c r="A22" s="2"/>
      <c r="D22" t="str">
        <f>IF(C22="","",VLOOKUP(C22,Categorias!$A$2:$C$54,2,FALSE))</f>
        <v/>
      </c>
      <c r="E22" t="str">
        <f>IF(C22="","",VLOOKUP(C22,Categorias!$A$2:$C$54,3,FALSE))</f>
        <v/>
      </c>
      <c r="F22" s="39"/>
      <c r="G22" s="39"/>
      <c r="H22" s="39">
        <f t="shared" si="0"/>
        <v>0</v>
      </c>
      <c r="J22" s="3" t="str">
        <f t="shared" si="1"/>
        <v/>
      </c>
    </row>
    <row r="23" spans="1:10" x14ac:dyDescent="0.3">
      <c r="A23" s="2"/>
      <c r="D23" t="str">
        <f>IF(C23="","",VLOOKUP(C23,Categorias!$A$2:$C$54,2,FALSE))</f>
        <v/>
      </c>
      <c r="E23" t="str">
        <f>IF(C23="","",VLOOKUP(C23,Categorias!$A$2:$C$54,3,FALSE))</f>
        <v/>
      </c>
      <c r="F23" s="39"/>
      <c r="G23" s="39"/>
      <c r="H23" s="39">
        <f t="shared" si="0"/>
        <v>0</v>
      </c>
      <c r="J23" s="3" t="str">
        <f t="shared" si="1"/>
        <v/>
      </c>
    </row>
    <row r="24" spans="1:10" x14ac:dyDescent="0.3">
      <c r="A24" s="2"/>
      <c r="D24" t="str">
        <f>IF(C24="","",VLOOKUP(C24,Categorias!$A$2:$C$54,2,FALSE))</f>
        <v/>
      </c>
      <c r="E24" t="str">
        <f>IF(C24="","",VLOOKUP(C24,Categorias!$A$2:$C$54,3,FALSE))</f>
        <v/>
      </c>
      <c r="F24" s="39"/>
      <c r="G24" s="39"/>
      <c r="H24" s="39">
        <f t="shared" si="0"/>
        <v>0</v>
      </c>
      <c r="J24" s="3" t="str">
        <f t="shared" si="1"/>
        <v/>
      </c>
    </row>
    <row r="25" spans="1:10" x14ac:dyDescent="0.3">
      <c r="A25" s="2"/>
      <c r="D25" t="str">
        <f>IF(C25="","",VLOOKUP(C25,Categorias!$A$2:$C$54,2,FALSE))</f>
        <v/>
      </c>
      <c r="E25" t="str">
        <f>IF(C25="","",VLOOKUP(C25,Categorias!$A$2:$C$54,3,FALSE))</f>
        <v/>
      </c>
      <c r="F25" s="39"/>
      <c r="G25" s="39"/>
      <c r="H25" s="39">
        <f t="shared" si="0"/>
        <v>0</v>
      </c>
      <c r="J25" s="3" t="str">
        <f t="shared" si="1"/>
        <v/>
      </c>
    </row>
    <row r="26" spans="1:10" x14ac:dyDescent="0.3">
      <c r="A26" s="2"/>
      <c r="D26" t="str">
        <f>IF(C26="","",VLOOKUP(C26,Categorias!$A$2:$C$54,2,FALSE))</f>
        <v/>
      </c>
      <c r="E26" t="str">
        <f>IF(C26="","",VLOOKUP(C26,Categorias!$A$2:$C$54,3,FALSE))</f>
        <v/>
      </c>
      <c r="F26" s="39"/>
      <c r="G26" s="39"/>
      <c r="H26" s="39">
        <f t="shared" si="0"/>
        <v>0</v>
      </c>
      <c r="J26" s="3" t="str">
        <f t="shared" si="1"/>
        <v/>
      </c>
    </row>
    <row r="27" spans="1:10" x14ac:dyDescent="0.3">
      <c r="A27" s="2"/>
      <c r="D27" t="str">
        <f>IF(C27="","",VLOOKUP(C27,Categorias!$A$2:$C$54,2,FALSE))</f>
        <v/>
      </c>
      <c r="E27" t="str">
        <f>IF(C27="","",VLOOKUP(C27,Categorias!$A$2:$C$54,3,FALSE))</f>
        <v/>
      </c>
      <c r="F27" s="39"/>
      <c r="G27" s="39"/>
      <c r="H27" s="39">
        <f t="shared" si="0"/>
        <v>0</v>
      </c>
      <c r="J27" s="3" t="str">
        <f t="shared" si="1"/>
        <v/>
      </c>
    </row>
    <row r="28" spans="1:10" x14ac:dyDescent="0.3">
      <c r="A28" s="2"/>
      <c r="D28" t="str">
        <f>IF(C28="","",VLOOKUP(C28,Categorias!$A$2:$C$54,2,FALSE))</f>
        <v/>
      </c>
      <c r="E28" t="str">
        <f>IF(C28="","",VLOOKUP(C28,Categorias!$A$2:$C$54,3,FALSE))</f>
        <v/>
      </c>
      <c r="F28" s="39"/>
      <c r="G28" s="39"/>
      <c r="H28" s="39">
        <f t="shared" si="0"/>
        <v>0</v>
      </c>
      <c r="J28" s="3" t="str">
        <f t="shared" si="1"/>
        <v/>
      </c>
    </row>
    <row r="29" spans="1:10" x14ac:dyDescent="0.3">
      <c r="A29" s="2"/>
      <c r="D29" t="str">
        <f>IF(C29="","",VLOOKUP(C29,Categorias!$A$2:$C$54,2,FALSE))</f>
        <v/>
      </c>
      <c r="E29" t="str">
        <f>IF(C29="","",VLOOKUP(C29,Categorias!$A$2:$C$54,3,FALSE))</f>
        <v/>
      </c>
      <c r="F29" s="39"/>
      <c r="G29" s="39"/>
      <c r="H29" s="39">
        <f t="shared" si="0"/>
        <v>0</v>
      </c>
      <c r="J29" s="3" t="str">
        <f t="shared" si="1"/>
        <v/>
      </c>
    </row>
    <row r="30" spans="1:10" x14ac:dyDescent="0.3">
      <c r="A30" s="2"/>
      <c r="D30" t="str">
        <f>IF(C30="","",VLOOKUP(C30,Categorias!$A$2:$C$54,2,FALSE))</f>
        <v/>
      </c>
      <c r="E30" t="str">
        <f>IF(C30="","",VLOOKUP(C30,Categorias!$A$2:$C$54,3,FALSE))</f>
        <v/>
      </c>
      <c r="F30" s="39"/>
      <c r="G30" s="39"/>
      <c r="H30" s="39">
        <f t="shared" si="0"/>
        <v>0</v>
      </c>
      <c r="J30" s="3" t="str">
        <f t="shared" si="1"/>
        <v/>
      </c>
    </row>
    <row r="31" spans="1:10" x14ac:dyDescent="0.3">
      <c r="A31" s="2"/>
      <c r="D31" t="str">
        <f>IF(C31="","",VLOOKUP(C31,Categorias!$A$2:$C$54,2,FALSE))</f>
        <v/>
      </c>
      <c r="E31" t="str">
        <f>IF(C31="","",VLOOKUP(C31,Categorias!$A$2:$C$54,3,FALSE))</f>
        <v/>
      </c>
      <c r="F31" s="39"/>
      <c r="G31" s="39"/>
      <c r="H31" s="39">
        <f t="shared" si="0"/>
        <v>0</v>
      </c>
      <c r="J31" s="3" t="str">
        <f t="shared" si="1"/>
        <v/>
      </c>
    </row>
    <row r="32" spans="1:10" x14ac:dyDescent="0.3">
      <c r="A32" s="2"/>
      <c r="D32" t="str">
        <f>IF(C32="","",VLOOKUP(C32,Categorias!$A$2:$C$54,2,FALSE))</f>
        <v/>
      </c>
      <c r="E32" t="str">
        <f>IF(C32="","",VLOOKUP(C32,Categorias!$A$2:$C$54,3,FALSE))</f>
        <v/>
      </c>
      <c r="F32" s="39"/>
      <c r="G32" s="39"/>
      <c r="H32" s="39">
        <f t="shared" si="0"/>
        <v>0</v>
      </c>
      <c r="J32" s="3" t="str">
        <f t="shared" si="1"/>
        <v/>
      </c>
    </row>
    <row r="33" spans="1:10" x14ac:dyDescent="0.3">
      <c r="A33" s="2"/>
      <c r="D33" t="str">
        <f>IF(C33="","",VLOOKUP(C33,Categorias!$A$2:$C$54,2,FALSE))</f>
        <v/>
      </c>
      <c r="E33" t="str">
        <f>IF(C33="","",VLOOKUP(C33,Categorias!$A$2:$C$54,3,FALSE))</f>
        <v/>
      </c>
      <c r="F33" s="39"/>
      <c r="G33" s="39"/>
      <c r="H33" s="39">
        <f t="shared" si="0"/>
        <v>0</v>
      </c>
      <c r="J33" s="3" t="str">
        <f t="shared" si="1"/>
        <v/>
      </c>
    </row>
    <row r="34" spans="1:10" x14ac:dyDescent="0.3">
      <c r="A34" s="2"/>
      <c r="D34" t="str">
        <f>IF(C34="","",VLOOKUP(C34,Categorias!$A$2:$C$54,2,FALSE))</f>
        <v/>
      </c>
      <c r="E34" t="str">
        <f>IF(C34="","",VLOOKUP(C34,Categorias!$A$2:$C$54,3,FALSE))</f>
        <v/>
      </c>
      <c r="F34" s="39"/>
      <c r="G34" s="39"/>
      <c r="H34" s="39">
        <f t="shared" ref="H34:H65" si="2">IF(F34="",0,F34)-IF(G34="",0,G34)</f>
        <v>0</v>
      </c>
      <c r="J34" s="3" t="str">
        <f t="shared" ref="J34:J65" si="3">IF(A34="","",DATE(YEAR(A34),MONTH(A34),1))</f>
        <v/>
      </c>
    </row>
    <row r="35" spans="1:10" x14ac:dyDescent="0.3">
      <c r="A35" s="2"/>
      <c r="D35" t="str">
        <f>IF(C35="","",VLOOKUP(C35,Categorias!$A$2:$C$54,2,FALSE))</f>
        <v/>
      </c>
      <c r="E35" t="str">
        <f>IF(C35="","",VLOOKUP(C35,Categorias!$A$2:$C$54,3,FALSE))</f>
        <v/>
      </c>
      <c r="F35" s="39"/>
      <c r="G35" s="39"/>
      <c r="H35" s="39">
        <f t="shared" si="2"/>
        <v>0</v>
      </c>
      <c r="J35" s="3" t="str">
        <f t="shared" si="3"/>
        <v/>
      </c>
    </row>
    <row r="36" spans="1:10" x14ac:dyDescent="0.3">
      <c r="A36" s="2"/>
      <c r="D36" t="str">
        <f>IF(C36="","",VLOOKUP(C36,Categorias!$A$2:$C$54,2,FALSE))</f>
        <v/>
      </c>
      <c r="E36" t="str">
        <f>IF(C36="","",VLOOKUP(C36,Categorias!$A$2:$C$54,3,FALSE))</f>
        <v/>
      </c>
      <c r="F36" s="39"/>
      <c r="G36" s="39"/>
      <c r="H36" s="39">
        <f t="shared" si="2"/>
        <v>0</v>
      </c>
      <c r="J36" s="3" t="str">
        <f t="shared" si="3"/>
        <v/>
      </c>
    </row>
    <row r="37" spans="1:10" x14ac:dyDescent="0.3">
      <c r="A37" s="2"/>
      <c r="D37" t="str">
        <f>IF(C37="","",VLOOKUP(C37,Categorias!$A$2:$C$54,2,FALSE))</f>
        <v/>
      </c>
      <c r="E37" t="str">
        <f>IF(C37="","",VLOOKUP(C37,Categorias!$A$2:$C$54,3,FALSE))</f>
        <v/>
      </c>
      <c r="F37" s="39"/>
      <c r="G37" s="39"/>
      <c r="H37" s="39">
        <f t="shared" si="2"/>
        <v>0</v>
      </c>
      <c r="J37" s="3" t="str">
        <f t="shared" si="3"/>
        <v/>
      </c>
    </row>
    <row r="38" spans="1:10" x14ac:dyDescent="0.3">
      <c r="A38" s="2"/>
      <c r="D38" t="str">
        <f>IF(C38="","",VLOOKUP(C38,Categorias!$A$2:$C$54,2,FALSE))</f>
        <v/>
      </c>
      <c r="E38" t="str">
        <f>IF(C38="","",VLOOKUP(C38,Categorias!$A$2:$C$54,3,FALSE))</f>
        <v/>
      </c>
      <c r="F38" s="39"/>
      <c r="G38" s="39"/>
      <c r="H38" s="39">
        <f t="shared" si="2"/>
        <v>0</v>
      </c>
      <c r="J38" s="3" t="str">
        <f t="shared" si="3"/>
        <v/>
      </c>
    </row>
    <row r="39" spans="1:10" x14ac:dyDescent="0.3">
      <c r="A39" s="2"/>
      <c r="D39" t="str">
        <f>IF(C39="","",VLOOKUP(C39,Categorias!$A$2:$C$54,2,FALSE))</f>
        <v/>
      </c>
      <c r="E39" t="str">
        <f>IF(C39="","",VLOOKUP(C39,Categorias!$A$2:$C$54,3,FALSE))</f>
        <v/>
      </c>
      <c r="F39" s="39"/>
      <c r="G39" s="39"/>
      <c r="H39" s="39">
        <f t="shared" si="2"/>
        <v>0</v>
      </c>
      <c r="J39" s="3" t="str">
        <f t="shared" si="3"/>
        <v/>
      </c>
    </row>
    <row r="40" spans="1:10" x14ac:dyDescent="0.3">
      <c r="A40" s="2"/>
      <c r="D40" t="str">
        <f>IF(C40="","",VLOOKUP(C40,Categorias!$A$2:$C$54,2,FALSE))</f>
        <v/>
      </c>
      <c r="E40" t="str">
        <f>IF(C40="","",VLOOKUP(C40,Categorias!$A$2:$C$54,3,FALSE))</f>
        <v/>
      </c>
      <c r="F40" s="39"/>
      <c r="G40" s="39"/>
      <c r="H40" s="39">
        <f t="shared" si="2"/>
        <v>0</v>
      </c>
      <c r="J40" s="3" t="str">
        <f t="shared" si="3"/>
        <v/>
      </c>
    </row>
    <row r="41" spans="1:10" x14ac:dyDescent="0.3">
      <c r="A41" s="2"/>
      <c r="D41" t="str">
        <f>IF(C41="","",VLOOKUP(C41,Categorias!$A$2:$C$54,2,FALSE))</f>
        <v/>
      </c>
      <c r="E41" t="str">
        <f>IF(C41="","",VLOOKUP(C41,Categorias!$A$2:$C$54,3,FALSE))</f>
        <v/>
      </c>
      <c r="F41" s="39"/>
      <c r="G41" s="39"/>
      <c r="H41" s="39">
        <f t="shared" si="2"/>
        <v>0</v>
      </c>
      <c r="J41" s="3" t="str">
        <f t="shared" si="3"/>
        <v/>
      </c>
    </row>
    <row r="42" spans="1:10" x14ac:dyDescent="0.3">
      <c r="A42" s="2"/>
      <c r="D42" t="str">
        <f>IF(C42="","",VLOOKUP(C42,Categorias!$A$2:$C$54,2,FALSE))</f>
        <v/>
      </c>
      <c r="E42" t="str">
        <f>IF(C42="","",VLOOKUP(C42,Categorias!$A$2:$C$54,3,FALSE))</f>
        <v/>
      </c>
      <c r="F42" s="39"/>
      <c r="G42" s="39"/>
      <c r="H42" s="39">
        <f t="shared" si="2"/>
        <v>0</v>
      </c>
      <c r="J42" s="3" t="str">
        <f t="shared" si="3"/>
        <v/>
      </c>
    </row>
    <row r="43" spans="1:10" x14ac:dyDescent="0.3">
      <c r="A43" s="2"/>
      <c r="D43" t="str">
        <f>IF(C43="","",VLOOKUP(C43,Categorias!$A$2:$C$54,2,FALSE))</f>
        <v/>
      </c>
      <c r="E43" t="str">
        <f>IF(C43="","",VLOOKUP(C43,Categorias!$A$2:$C$54,3,FALSE))</f>
        <v/>
      </c>
      <c r="F43" s="39"/>
      <c r="G43" s="39"/>
      <c r="H43" s="39">
        <f t="shared" si="2"/>
        <v>0</v>
      </c>
      <c r="J43" s="3" t="str">
        <f t="shared" si="3"/>
        <v/>
      </c>
    </row>
    <row r="44" spans="1:10" x14ac:dyDescent="0.3">
      <c r="A44" s="2"/>
      <c r="D44" t="str">
        <f>IF(C44="","",VLOOKUP(C44,Categorias!$A$2:$C$54,2,FALSE))</f>
        <v/>
      </c>
      <c r="E44" t="str">
        <f>IF(C44="","",VLOOKUP(C44,Categorias!$A$2:$C$54,3,FALSE))</f>
        <v/>
      </c>
      <c r="F44" s="39"/>
      <c r="G44" s="39"/>
      <c r="H44" s="39">
        <f t="shared" si="2"/>
        <v>0</v>
      </c>
      <c r="J44" s="3" t="str">
        <f t="shared" si="3"/>
        <v/>
      </c>
    </row>
    <row r="45" spans="1:10" x14ac:dyDescent="0.3">
      <c r="A45" s="2"/>
      <c r="D45" t="str">
        <f>IF(C45="","",VLOOKUP(C45,Categorias!$A$2:$C$54,2,FALSE))</f>
        <v/>
      </c>
      <c r="E45" t="str">
        <f>IF(C45="","",VLOOKUP(C45,Categorias!$A$2:$C$54,3,FALSE))</f>
        <v/>
      </c>
      <c r="F45" s="39"/>
      <c r="G45" s="39"/>
      <c r="H45" s="39">
        <f t="shared" si="2"/>
        <v>0</v>
      </c>
      <c r="J45" s="3" t="str">
        <f t="shared" si="3"/>
        <v/>
      </c>
    </row>
    <row r="46" spans="1:10" x14ac:dyDescent="0.3">
      <c r="A46" s="2"/>
      <c r="D46" t="str">
        <f>IF(C46="","",VLOOKUP(C46,Categorias!$A$2:$C$54,2,FALSE))</f>
        <v/>
      </c>
      <c r="E46" t="str">
        <f>IF(C46="","",VLOOKUP(C46,Categorias!$A$2:$C$54,3,FALSE))</f>
        <v/>
      </c>
      <c r="F46" s="39"/>
      <c r="G46" s="39"/>
      <c r="H46" s="39">
        <f t="shared" si="2"/>
        <v>0</v>
      </c>
      <c r="J46" s="3" t="str">
        <f t="shared" si="3"/>
        <v/>
      </c>
    </row>
    <row r="47" spans="1:10" x14ac:dyDescent="0.3">
      <c r="A47" s="2"/>
      <c r="D47" t="str">
        <f>IF(C47="","",VLOOKUP(C47,Categorias!$A$2:$C$54,2,FALSE))</f>
        <v/>
      </c>
      <c r="E47" t="str">
        <f>IF(C47="","",VLOOKUP(C47,Categorias!$A$2:$C$54,3,FALSE))</f>
        <v/>
      </c>
      <c r="F47" s="39"/>
      <c r="G47" s="39"/>
      <c r="H47" s="39">
        <f t="shared" si="2"/>
        <v>0</v>
      </c>
      <c r="J47" s="3" t="str">
        <f t="shared" si="3"/>
        <v/>
      </c>
    </row>
    <row r="48" spans="1:10" x14ac:dyDescent="0.3">
      <c r="A48" s="2"/>
      <c r="D48" t="str">
        <f>IF(C48="","",VLOOKUP(C48,Categorias!$A$2:$C$54,2,FALSE))</f>
        <v/>
      </c>
      <c r="E48" t="str">
        <f>IF(C48="","",VLOOKUP(C48,Categorias!$A$2:$C$54,3,FALSE))</f>
        <v/>
      </c>
      <c r="F48" s="39"/>
      <c r="G48" s="39"/>
      <c r="H48" s="39">
        <f t="shared" si="2"/>
        <v>0</v>
      </c>
      <c r="J48" s="3" t="str">
        <f t="shared" si="3"/>
        <v/>
      </c>
    </row>
    <row r="49" spans="1:10" x14ac:dyDescent="0.3">
      <c r="A49" s="2"/>
      <c r="D49" t="str">
        <f>IF(C49="","",VLOOKUP(C49,Categorias!$A$2:$C$54,2,FALSE))</f>
        <v/>
      </c>
      <c r="E49" t="str">
        <f>IF(C49="","",VLOOKUP(C49,Categorias!$A$2:$C$54,3,FALSE))</f>
        <v/>
      </c>
      <c r="F49" s="39"/>
      <c r="G49" s="39"/>
      <c r="H49" s="39">
        <f t="shared" si="2"/>
        <v>0</v>
      </c>
      <c r="J49" s="3" t="str">
        <f t="shared" si="3"/>
        <v/>
      </c>
    </row>
    <row r="50" spans="1:10" x14ac:dyDescent="0.3">
      <c r="A50" s="2"/>
      <c r="D50" t="str">
        <f>IF(C50="","",VLOOKUP(C50,Categorias!$A$2:$C$54,2,FALSE))</f>
        <v/>
      </c>
      <c r="E50" t="str">
        <f>IF(C50="","",VLOOKUP(C50,Categorias!$A$2:$C$54,3,FALSE))</f>
        <v/>
      </c>
      <c r="F50" s="39"/>
      <c r="G50" s="39"/>
      <c r="H50" s="39">
        <f t="shared" si="2"/>
        <v>0</v>
      </c>
      <c r="J50" s="3" t="str">
        <f t="shared" si="3"/>
        <v/>
      </c>
    </row>
    <row r="51" spans="1:10" x14ac:dyDescent="0.3">
      <c r="A51" s="2"/>
      <c r="D51" t="str">
        <f>IF(C51="","",VLOOKUP(C51,Categorias!$A$2:$C$54,2,FALSE))</f>
        <v/>
      </c>
      <c r="E51" t="str">
        <f>IF(C51="","",VLOOKUP(C51,Categorias!$A$2:$C$54,3,FALSE))</f>
        <v/>
      </c>
      <c r="F51" s="39"/>
      <c r="G51" s="39"/>
      <c r="H51" s="39">
        <f t="shared" si="2"/>
        <v>0</v>
      </c>
      <c r="J51" s="3" t="str">
        <f t="shared" si="3"/>
        <v/>
      </c>
    </row>
    <row r="52" spans="1:10" x14ac:dyDescent="0.3">
      <c r="A52" s="2"/>
      <c r="D52" t="str">
        <f>IF(C52="","",VLOOKUP(C52,Categorias!$A$2:$C$54,2,FALSE))</f>
        <v/>
      </c>
      <c r="E52" t="str">
        <f>IF(C52="","",VLOOKUP(C52,Categorias!$A$2:$C$54,3,FALSE))</f>
        <v/>
      </c>
      <c r="F52" s="39"/>
      <c r="G52" s="39"/>
      <c r="H52" s="39">
        <f t="shared" si="2"/>
        <v>0</v>
      </c>
      <c r="J52" s="3" t="str">
        <f t="shared" si="3"/>
        <v/>
      </c>
    </row>
    <row r="53" spans="1:10" x14ac:dyDescent="0.3">
      <c r="A53" s="2"/>
      <c r="D53" t="str">
        <f>IF(C53="","",VLOOKUP(C53,Categorias!$A$2:$C$54,2,FALSE))</f>
        <v/>
      </c>
      <c r="E53" t="str">
        <f>IF(C53="","",VLOOKUP(C53,Categorias!$A$2:$C$54,3,FALSE))</f>
        <v/>
      </c>
      <c r="F53" s="39"/>
      <c r="G53" s="39"/>
      <c r="H53" s="39">
        <f t="shared" si="2"/>
        <v>0</v>
      </c>
      <c r="J53" s="3" t="str">
        <f t="shared" si="3"/>
        <v/>
      </c>
    </row>
    <row r="54" spans="1:10" x14ac:dyDescent="0.3">
      <c r="A54" s="2"/>
      <c r="D54" t="str">
        <f>IF(C54="","",VLOOKUP(C54,Categorias!$A$2:$C$54,2,FALSE))</f>
        <v/>
      </c>
      <c r="E54" t="str">
        <f>IF(C54="","",VLOOKUP(C54,Categorias!$A$2:$C$54,3,FALSE))</f>
        <v/>
      </c>
      <c r="F54" s="39"/>
      <c r="G54" s="39"/>
      <c r="H54" s="39">
        <f t="shared" si="2"/>
        <v>0</v>
      </c>
      <c r="J54" s="3" t="str">
        <f t="shared" si="3"/>
        <v/>
      </c>
    </row>
    <row r="55" spans="1:10" x14ac:dyDescent="0.3">
      <c r="A55" s="2"/>
      <c r="D55" t="str">
        <f>IF(C55="","",VLOOKUP(C55,Categorias!$A$2:$C$54,2,FALSE))</f>
        <v/>
      </c>
      <c r="E55" t="str">
        <f>IF(C55="","",VLOOKUP(C55,Categorias!$A$2:$C$54,3,FALSE))</f>
        <v/>
      </c>
      <c r="F55" s="39"/>
      <c r="G55" s="39"/>
      <c r="H55" s="39">
        <f t="shared" si="2"/>
        <v>0</v>
      </c>
      <c r="J55" s="3" t="str">
        <f t="shared" si="3"/>
        <v/>
      </c>
    </row>
    <row r="56" spans="1:10" x14ac:dyDescent="0.3">
      <c r="A56" s="2"/>
      <c r="D56" t="str">
        <f>IF(C56="","",VLOOKUP(C56,Categorias!$A$2:$C$54,2,FALSE))</f>
        <v/>
      </c>
      <c r="E56" t="str">
        <f>IF(C56="","",VLOOKUP(C56,Categorias!$A$2:$C$54,3,FALSE))</f>
        <v/>
      </c>
      <c r="F56" s="39"/>
      <c r="G56" s="39"/>
      <c r="H56" s="39">
        <f t="shared" si="2"/>
        <v>0</v>
      </c>
      <c r="J56" s="3" t="str">
        <f t="shared" si="3"/>
        <v/>
      </c>
    </row>
    <row r="57" spans="1:10" x14ac:dyDescent="0.3">
      <c r="A57" s="2"/>
      <c r="D57" t="str">
        <f>IF(C57="","",VLOOKUP(C57,Categorias!$A$2:$C$54,2,FALSE))</f>
        <v/>
      </c>
      <c r="E57" t="str">
        <f>IF(C57="","",VLOOKUP(C57,Categorias!$A$2:$C$54,3,FALSE))</f>
        <v/>
      </c>
      <c r="F57" s="39"/>
      <c r="G57" s="39"/>
      <c r="H57" s="39">
        <f t="shared" si="2"/>
        <v>0</v>
      </c>
      <c r="J57" s="3" t="str">
        <f t="shared" si="3"/>
        <v/>
      </c>
    </row>
    <row r="58" spans="1:10" x14ac:dyDescent="0.3">
      <c r="A58" s="2"/>
      <c r="D58" t="str">
        <f>IF(C58="","",VLOOKUP(C58,Categorias!$A$2:$C$54,2,FALSE))</f>
        <v/>
      </c>
      <c r="E58" t="str">
        <f>IF(C58="","",VLOOKUP(C58,Categorias!$A$2:$C$54,3,FALSE))</f>
        <v/>
      </c>
      <c r="F58" s="39"/>
      <c r="G58" s="39"/>
      <c r="H58" s="39">
        <f t="shared" si="2"/>
        <v>0</v>
      </c>
      <c r="J58" s="3" t="str">
        <f t="shared" si="3"/>
        <v/>
      </c>
    </row>
    <row r="59" spans="1:10" x14ac:dyDescent="0.3">
      <c r="A59" s="2"/>
      <c r="D59" t="str">
        <f>IF(C59="","",VLOOKUP(C59,Categorias!$A$2:$C$54,2,FALSE))</f>
        <v/>
      </c>
      <c r="E59" t="str">
        <f>IF(C59="","",VLOOKUP(C59,Categorias!$A$2:$C$54,3,FALSE))</f>
        <v/>
      </c>
      <c r="F59" s="39"/>
      <c r="G59" s="39"/>
      <c r="H59" s="39">
        <f t="shared" si="2"/>
        <v>0</v>
      </c>
      <c r="J59" s="3" t="str">
        <f t="shared" si="3"/>
        <v/>
      </c>
    </row>
    <row r="60" spans="1:10" x14ac:dyDescent="0.3">
      <c r="A60" s="2"/>
      <c r="D60" t="str">
        <f>IF(C60="","",VLOOKUP(C60,Categorias!$A$2:$C$54,2,FALSE))</f>
        <v/>
      </c>
      <c r="E60" t="str">
        <f>IF(C60="","",VLOOKUP(C60,Categorias!$A$2:$C$54,3,FALSE))</f>
        <v/>
      </c>
      <c r="F60" s="39"/>
      <c r="G60" s="39"/>
      <c r="H60" s="39">
        <f t="shared" si="2"/>
        <v>0</v>
      </c>
      <c r="J60" s="3" t="str">
        <f t="shared" si="3"/>
        <v/>
      </c>
    </row>
    <row r="61" spans="1:10" x14ac:dyDescent="0.3">
      <c r="A61" s="2"/>
      <c r="D61" t="str">
        <f>IF(C61="","",VLOOKUP(C61,Categorias!$A$2:$C$54,2,FALSE))</f>
        <v/>
      </c>
      <c r="E61" t="str">
        <f>IF(C61="","",VLOOKUP(C61,Categorias!$A$2:$C$54,3,FALSE))</f>
        <v/>
      </c>
      <c r="F61" s="39"/>
      <c r="G61" s="39"/>
      <c r="H61" s="39">
        <f t="shared" si="2"/>
        <v>0</v>
      </c>
      <c r="J61" s="3" t="str">
        <f t="shared" si="3"/>
        <v/>
      </c>
    </row>
    <row r="62" spans="1:10" x14ac:dyDescent="0.3">
      <c r="A62" s="2"/>
      <c r="D62" t="str">
        <f>IF(C62="","",VLOOKUP(C62,Categorias!$A$2:$C$54,2,FALSE))</f>
        <v/>
      </c>
      <c r="E62" t="str">
        <f>IF(C62="","",VLOOKUP(C62,Categorias!$A$2:$C$54,3,FALSE))</f>
        <v/>
      </c>
      <c r="F62" s="39"/>
      <c r="G62" s="39"/>
      <c r="H62" s="39">
        <f t="shared" si="2"/>
        <v>0</v>
      </c>
      <c r="J62" s="3" t="str">
        <f t="shared" si="3"/>
        <v/>
      </c>
    </row>
    <row r="63" spans="1:10" x14ac:dyDescent="0.3">
      <c r="A63" s="2"/>
      <c r="D63" t="str">
        <f>IF(C63="","",VLOOKUP(C63,Categorias!$A$2:$C$54,2,FALSE))</f>
        <v/>
      </c>
      <c r="E63" t="str">
        <f>IF(C63="","",VLOOKUP(C63,Categorias!$A$2:$C$54,3,FALSE))</f>
        <v/>
      </c>
      <c r="F63" s="39"/>
      <c r="G63" s="39"/>
      <c r="H63" s="39">
        <f t="shared" si="2"/>
        <v>0</v>
      </c>
      <c r="J63" s="3" t="str">
        <f t="shared" si="3"/>
        <v/>
      </c>
    </row>
    <row r="64" spans="1:10" x14ac:dyDescent="0.3">
      <c r="A64" s="2"/>
      <c r="D64" t="str">
        <f>IF(C64="","",VLOOKUP(C64,Categorias!$A$2:$C$54,2,FALSE))</f>
        <v/>
      </c>
      <c r="E64" t="str">
        <f>IF(C64="","",VLOOKUP(C64,Categorias!$A$2:$C$54,3,FALSE))</f>
        <v/>
      </c>
      <c r="F64" s="39"/>
      <c r="G64" s="39"/>
      <c r="H64" s="39">
        <f t="shared" si="2"/>
        <v>0</v>
      </c>
      <c r="J64" s="3" t="str">
        <f t="shared" si="3"/>
        <v/>
      </c>
    </row>
    <row r="65" spans="1:10" x14ac:dyDescent="0.3">
      <c r="A65" s="2"/>
      <c r="D65" t="str">
        <f>IF(C65="","",VLOOKUP(C65,Categorias!$A$2:$C$54,2,FALSE))</f>
        <v/>
      </c>
      <c r="E65" t="str">
        <f>IF(C65="","",VLOOKUP(C65,Categorias!$A$2:$C$54,3,FALSE))</f>
        <v/>
      </c>
      <c r="F65" s="39"/>
      <c r="G65" s="39"/>
      <c r="H65" s="39">
        <f t="shared" si="2"/>
        <v>0</v>
      </c>
      <c r="J65" s="3" t="str">
        <f t="shared" si="3"/>
        <v/>
      </c>
    </row>
    <row r="66" spans="1:10" x14ac:dyDescent="0.3">
      <c r="A66" s="2"/>
      <c r="D66" t="str">
        <f>IF(C66="","",VLOOKUP(C66,Categorias!$A$2:$C$54,2,FALSE))</f>
        <v/>
      </c>
      <c r="E66" t="str">
        <f>IF(C66="","",VLOOKUP(C66,Categorias!$A$2:$C$54,3,FALSE))</f>
        <v/>
      </c>
      <c r="F66" s="39"/>
      <c r="G66" s="39"/>
      <c r="H66" s="39">
        <f t="shared" ref="H66:H97" si="4">IF(F66="",0,F66)-IF(G66="",0,G66)</f>
        <v>0</v>
      </c>
      <c r="J66" s="3" t="str">
        <f t="shared" ref="J66:J97" si="5">IF(A66="","",DATE(YEAR(A66),MONTH(A66),1))</f>
        <v/>
      </c>
    </row>
    <row r="67" spans="1:10" x14ac:dyDescent="0.3">
      <c r="A67" s="2"/>
      <c r="D67" t="str">
        <f>IF(C67="","",VLOOKUP(C67,Categorias!$A$2:$C$54,2,FALSE))</f>
        <v/>
      </c>
      <c r="E67" t="str">
        <f>IF(C67="","",VLOOKUP(C67,Categorias!$A$2:$C$54,3,FALSE))</f>
        <v/>
      </c>
      <c r="F67" s="39"/>
      <c r="G67" s="39"/>
      <c r="H67" s="39">
        <f t="shared" si="4"/>
        <v>0</v>
      </c>
      <c r="J67" s="3" t="str">
        <f t="shared" si="5"/>
        <v/>
      </c>
    </row>
    <row r="68" spans="1:10" x14ac:dyDescent="0.3">
      <c r="A68" s="2"/>
      <c r="D68" t="str">
        <f>IF(C68="","",VLOOKUP(C68,Categorias!$A$2:$C$54,2,FALSE))</f>
        <v/>
      </c>
      <c r="E68" t="str">
        <f>IF(C68="","",VLOOKUP(C68,Categorias!$A$2:$C$54,3,FALSE))</f>
        <v/>
      </c>
      <c r="F68" s="39"/>
      <c r="G68" s="39"/>
      <c r="H68" s="39">
        <f t="shared" si="4"/>
        <v>0</v>
      </c>
      <c r="J68" s="3" t="str">
        <f t="shared" si="5"/>
        <v/>
      </c>
    </row>
    <row r="69" spans="1:10" x14ac:dyDescent="0.3">
      <c r="A69" s="2"/>
      <c r="D69" t="str">
        <f>IF(C69="","",VLOOKUP(C69,Categorias!$A$2:$C$54,2,FALSE))</f>
        <v/>
      </c>
      <c r="E69" t="str">
        <f>IF(C69="","",VLOOKUP(C69,Categorias!$A$2:$C$54,3,FALSE))</f>
        <v/>
      </c>
      <c r="F69" s="39"/>
      <c r="G69" s="39"/>
      <c r="H69" s="39">
        <f t="shared" si="4"/>
        <v>0</v>
      </c>
      <c r="J69" s="3" t="str">
        <f t="shared" si="5"/>
        <v/>
      </c>
    </row>
    <row r="70" spans="1:10" x14ac:dyDescent="0.3">
      <c r="A70" s="2"/>
      <c r="D70" t="str">
        <f>IF(C70="","",VLOOKUP(C70,Categorias!$A$2:$C$54,2,FALSE))</f>
        <v/>
      </c>
      <c r="E70" t="str">
        <f>IF(C70="","",VLOOKUP(C70,Categorias!$A$2:$C$54,3,FALSE))</f>
        <v/>
      </c>
      <c r="F70" s="39"/>
      <c r="G70" s="39"/>
      <c r="H70" s="39">
        <f t="shared" si="4"/>
        <v>0</v>
      </c>
      <c r="J70" s="3" t="str">
        <f t="shared" si="5"/>
        <v/>
      </c>
    </row>
    <row r="71" spans="1:10" x14ac:dyDescent="0.3">
      <c r="A71" s="2"/>
      <c r="D71" t="str">
        <f>IF(C71="","",VLOOKUP(C71,Categorias!$A$2:$C$54,2,FALSE))</f>
        <v/>
      </c>
      <c r="E71" t="str">
        <f>IF(C71="","",VLOOKUP(C71,Categorias!$A$2:$C$54,3,FALSE))</f>
        <v/>
      </c>
      <c r="F71" s="39"/>
      <c r="G71" s="39"/>
      <c r="H71" s="39">
        <f t="shared" si="4"/>
        <v>0</v>
      </c>
      <c r="J71" s="3" t="str">
        <f t="shared" si="5"/>
        <v/>
      </c>
    </row>
    <row r="72" spans="1:10" x14ac:dyDescent="0.3">
      <c r="A72" s="2"/>
      <c r="D72" t="str">
        <f>IF(C72="","",VLOOKUP(C72,Categorias!$A$2:$C$54,2,FALSE))</f>
        <v/>
      </c>
      <c r="E72" t="str">
        <f>IF(C72="","",VLOOKUP(C72,Categorias!$A$2:$C$54,3,FALSE))</f>
        <v/>
      </c>
      <c r="F72" s="39"/>
      <c r="G72" s="39"/>
      <c r="H72" s="39">
        <f t="shared" si="4"/>
        <v>0</v>
      </c>
      <c r="J72" s="3" t="str">
        <f t="shared" si="5"/>
        <v/>
      </c>
    </row>
    <row r="73" spans="1:10" x14ac:dyDescent="0.3">
      <c r="A73" s="2"/>
      <c r="D73" t="str">
        <f>IF(C73="","",VLOOKUP(C73,Categorias!$A$2:$C$54,2,FALSE))</f>
        <v/>
      </c>
      <c r="E73" t="str">
        <f>IF(C73="","",VLOOKUP(C73,Categorias!$A$2:$C$54,3,FALSE))</f>
        <v/>
      </c>
      <c r="F73" s="39"/>
      <c r="G73" s="39"/>
      <c r="H73" s="39">
        <f t="shared" si="4"/>
        <v>0</v>
      </c>
      <c r="J73" s="3" t="str">
        <f t="shared" si="5"/>
        <v/>
      </c>
    </row>
    <row r="74" spans="1:10" x14ac:dyDescent="0.3">
      <c r="A74" s="2"/>
      <c r="D74" t="str">
        <f>IF(C74="","",VLOOKUP(C74,Categorias!$A$2:$C$54,2,FALSE))</f>
        <v/>
      </c>
      <c r="E74" t="str">
        <f>IF(C74="","",VLOOKUP(C74,Categorias!$A$2:$C$54,3,FALSE))</f>
        <v/>
      </c>
      <c r="F74" s="39"/>
      <c r="G74" s="39"/>
      <c r="H74" s="39">
        <f t="shared" si="4"/>
        <v>0</v>
      </c>
      <c r="J74" s="3" t="str">
        <f t="shared" si="5"/>
        <v/>
      </c>
    </row>
    <row r="75" spans="1:10" x14ac:dyDescent="0.3">
      <c r="A75" s="2"/>
      <c r="D75" t="str">
        <f>IF(C75="","",VLOOKUP(C75,Categorias!$A$2:$C$54,2,FALSE))</f>
        <v/>
      </c>
      <c r="E75" t="str">
        <f>IF(C75="","",VLOOKUP(C75,Categorias!$A$2:$C$54,3,FALSE))</f>
        <v/>
      </c>
      <c r="F75" s="39"/>
      <c r="G75" s="39"/>
      <c r="H75" s="39">
        <f t="shared" si="4"/>
        <v>0</v>
      </c>
      <c r="J75" s="3" t="str">
        <f t="shared" si="5"/>
        <v/>
      </c>
    </row>
    <row r="76" spans="1:10" x14ac:dyDescent="0.3">
      <c r="A76" s="2"/>
      <c r="D76" t="str">
        <f>IF(C76="","",VLOOKUP(C76,Categorias!$A$2:$C$54,2,FALSE))</f>
        <v/>
      </c>
      <c r="E76" t="str">
        <f>IF(C76="","",VLOOKUP(C76,Categorias!$A$2:$C$54,3,FALSE))</f>
        <v/>
      </c>
      <c r="F76" s="39"/>
      <c r="G76" s="39"/>
      <c r="H76" s="39">
        <f t="shared" si="4"/>
        <v>0</v>
      </c>
      <c r="J76" s="3" t="str">
        <f t="shared" si="5"/>
        <v/>
      </c>
    </row>
    <row r="77" spans="1:10" x14ac:dyDescent="0.3">
      <c r="A77" s="2"/>
      <c r="D77" t="str">
        <f>IF(C77="","",VLOOKUP(C77,Categorias!$A$2:$C$54,2,FALSE))</f>
        <v/>
      </c>
      <c r="E77" t="str">
        <f>IF(C77="","",VLOOKUP(C77,Categorias!$A$2:$C$54,3,FALSE))</f>
        <v/>
      </c>
      <c r="F77" s="39"/>
      <c r="G77" s="39"/>
      <c r="H77" s="39">
        <f t="shared" si="4"/>
        <v>0</v>
      </c>
      <c r="J77" s="3" t="str">
        <f t="shared" si="5"/>
        <v/>
      </c>
    </row>
    <row r="78" spans="1:10" x14ac:dyDescent="0.3">
      <c r="A78" s="2"/>
      <c r="D78" t="str">
        <f>IF(C78="","",VLOOKUP(C78,Categorias!$A$2:$C$54,2,FALSE))</f>
        <v/>
      </c>
      <c r="E78" t="str">
        <f>IF(C78="","",VLOOKUP(C78,Categorias!$A$2:$C$54,3,FALSE))</f>
        <v/>
      </c>
      <c r="F78" s="39"/>
      <c r="G78" s="39"/>
      <c r="H78" s="39">
        <f t="shared" si="4"/>
        <v>0</v>
      </c>
      <c r="J78" s="3" t="str">
        <f t="shared" si="5"/>
        <v/>
      </c>
    </row>
    <row r="79" spans="1:10" x14ac:dyDescent="0.3">
      <c r="A79" s="2"/>
      <c r="D79" t="str">
        <f>IF(C79="","",VLOOKUP(C79,Categorias!$A$2:$C$54,2,FALSE))</f>
        <v/>
      </c>
      <c r="E79" t="str">
        <f>IF(C79="","",VLOOKUP(C79,Categorias!$A$2:$C$54,3,FALSE))</f>
        <v/>
      </c>
      <c r="F79" s="39"/>
      <c r="G79" s="39"/>
      <c r="H79" s="39">
        <f t="shared" si="4"/>
        <v>0</v>
      </c>
      <c r="J79" s="3" t="str">
        <f t="shared" si="5"/>
        <v/>
      </c>
    </row>
    <row r="80" spans="1:10" x14ac:dyDescent="0.3">
      <c r="A80" s="2"/>
      <c r="D80" t="str">
        <f>IF(C80="","",VLOOKUP(C80,Categorias!$A$2:$C$54,2,FALSE))</f>
        <v/>
      </c>
      <c r="E80" t="str">
        <f>IF(C80="","",VLOOKUP(C80,Categorias!$A$2:$C$54,3,FALSE))</f>
        <v/>
      </c>
      <c r="F80" s="39"/>
      <c r="G80" s="39"/>
      <c r="H80" s="39">
        <f t="shared" si="4"/>
        <v>0</v>
      </c>
      <c r="J80" s="3" t="str">
        <f t="shared" si="5"/>
        <v/>
      </c>
    </row>
    <row r="81" spans="1:10" x14ac:dyDescent="0.3">
      <c r="A81" s="2"/>
      <c r="D81" t="str">
        <f>IF(C81="","",VLOOKUP(C81,Categorias!$A$2:$C$54,2,FALSE))</f>
        <v/>
      </c>
      <c r="E81" t="str">
        <f>IF(C81="","",VLOOKUP(C81,Categorias!$A$2:$C$54,3,FALSE))</f>
        <v/>
      </c>
      <c r="F81" s="39"/>
      <c r="G81" s="39"/>
      <c r="H81" s="39">
        <f t="shared" si="4"/>
        <v>0</v>
      </c>
      <c r="J81" s="3" t="str">
        <f t="shared" si="5"/>
        <v/>
      </c>
    </row>
    <row r="82" spans="1:10" x14ac:dyDescent="0.3">
      <c r="A82" s="2"/>
      <c r="D82" t="str">
        <f>IF(C82="","",VLOOKUP(C82,Categorias!$A$2:$C$54,2,FALSE))</f>
        <v/>
      </c>
      <c r="E82" t="str">
        <f>IF(C82="","",VLOOKUP(C82,Categorias!$A$2:$C$54,3,FALSE))</f>
        <v/>
      </c>
      <c r="F82" s="39"/>
      <c r="G82" s="39"/>
      <c r="H82" s="39">
        <f t="shared" si="4"/>
        <v>0</v>
      </c>
      <c r="J82" s="3" t="str">
        <f t="shared" si="5"/>
        <v/>
      </c>
    </row>
    <row r="83" spans="1:10" x14ac:dyDescent="0.3">
      <c r="A83" s="2"/>
      <c r="D83" t="str">
        <f>IF(C83="","",VLOOKUP(C83,Categorias!$A$2:$C$54,2,FALSE))</f>
        <v/>
      </c>
      <c r="E83" t="str">
        <f>IF(C83="","",VLOOKUP(C83,Categorias!$A$2:$C$54,3,FALSE))</f>
        <v/>
      </c>
      <c r="F83" s="39"/>
      <c r="G83" s="39"/>
      <c r="H83" s="39">
        <f t="shared" si="4"/>
        <v>0</v>
      </c>
      <c r="J83" s="3" t="str">
        <f t="shared" si="5"/>
        <v/>
      </c>
    </row>
    <row r="84" spans="1:10" x14ac:dyDescent="0.3">
      <c r="A84" s="2"/>
      <c r="D84" t="str">
        <f>IF(C84="","",VLOOKUP(C84,Categorias!$A$2:$C$54,2,FALSE))</f>
        <v/>
      </c>
      <c r="E84" t="str">
        <f>IF(C84="","",VLOOKUP(C84,Categorias!$A$2:$C$54,3,FALSE))</f>
        <v/>
      </c>
      <c r="F84" s="39"/>
      <c r="G84" s="39"/>
      <c r="H84" s="39">
        <f t="shared" si="4"/>
        <v>0</v>
      </c>
      <c r="J84" s="3" t="str">
        <f t="shared" si="5"/>
        <v/>
      </c>
    </row>
    <row r="85" spans="1:10" x14ac:dyDescent="0.3">
      <c r="A85" s="2"/>
      <c r="D85" t="str">
        <f>IF(C85="","",VLOOKUP(C85,Categorias!$A$2:$C$54,2,FALSE))</f>
        <v/>
      </c>
      <c r="E85" t="str">
        <f>IF(C85="","",VLOOKUP(C85,Categorias!$A$2:$C$54,3,FALSE))</f>
        <v/>
      </c>
      <c r="F85" s="39"/>
      <c r="G85" s="39"/>
      <c r="H85" s="39">
        <f t="shared" si="4"/>
        <v>0</v>
      </c>
      <c r="J85" s="3" t="str">
        <f t="shared" si="5"/>
        <v/>
      </c>
    </row>
    <row r="86" spans="1:10" x14ac:dyDescent="0.3">
      <c r="A86" s="2"/>
      <c r="D86" t="str">
        <f>IF(C86="","",VLOOKUP(C86,Categorias!$A$2:$C$54,2,FALSE))</f>
        <v/>
      </c>
      <c r="E86" t="str">
        <f>IF(C86="","",VLOOKUP(C86,Categorias!$A$2:$C$54,3,FALSE))</f>
        <v/>
      </c>
      <c r="F86" s="39"/>
      <c r="G86" s="39"/>
      <c r="H86" s="39">
        <f t="shared" si="4"/>
        <v>0</v>
      </c>
      <c r="J86" s="3" t="str">
        <f t="shared" si="5"/>
        <v/>
      </c>
    </row>
    <row r="87" spans="1:10" x14ac:dyDescent="0.3">
      <c r="A87" s="2"/>
      <c r="D87" t="str">
        <f>IF(C87="","",VLOOKUP(C87,Categorias!$A$2:$C$54,2,FALSE))</f>
        <v/>
      </c>
      <c r="E87" t="str">
        <f>IF(C87="","",VLOOKUP(C87,Categorias!$A$2:$C$54,3,FALSE))</f>
        <v/>
      </c>
      <c r="F87" s="39"/>
      <c r="G87" s="39"/>
      <c r="H87" s="39">
        <f t="shared" si="4"/>
        <v>0</v>
      </c>
      <c r="J87" s="3" t="str">
        <f t="shared" si="5"/>
        <v/>
      </c>
    </row>
    <row r="88" spans="1:10" x14ac:dyDescent="0.3">
      <c r="A88" s="2"/>
      <c r="D88" t="str">
        <f>IF(C88="","",VLOOKUP(C88,Categorias!$A$2:$C$54,2,FALSE))</f>
        <v/>
      </c>
      <c r="E88" t="str">
        <f>IF(C88="","",VLOOKUP(C88,Categorias!$A$2:$C$54,3,FALSE))</f>
        <v/>
      </c>
      <c r="F88" s="39"/>
      <c r="G88" s="39"/>
      <c r="H88" s="39">
        <f t="shared" si="4"/>
        <v>0</v>
      </c>
      <c r="J88" s="3" t="str">
        <f t="shared" si="5"/>
        <v/>
      </c>
    </row>
    <row r="89" spans="1:10" x14ac:dyDescent="0.3">
      <c r="A89" s="2"/>
      <c r="D89" t="str">
        <f>IF(C89="","",VLOOKUP(C89,Categorias!$A$2:$C$54,2,FALSE))</f>
        <v/>
      </c>
      <c r="E89" t="str">
        <f>IF(C89="","",VLOOKUP(C89,Categorias!$A$2:$C$54,3,FALSE))</f>
        <v/>
      </c>
      <c r="F89" s="39"/>
      <c r="G89" s="39"/>
      <c r="H89" s="39">
        <f t="shared" si="4"/>
        <v>0</v>
      </c>
      <c r="J89" s="3" t="str">
        <f t="shared" si="5"/>
        <v/>
      </c>
    </row>
    <row r="90" spans="1:10" x14ac:dyDescent="0.3">
      <c r="A90" s="2"/>
      <c r="D90" t="str">
        <f>IF(C90="","",VLOOKUP(C90,Categorias!$A$2:$C$54,2,FALSE))</f>
        <v/>
      </c>
      <c r="E90" t="str">
        <f>IF(C90="","",VLOOKUP(C90,Categorias!$A$2:$C$54,3,FALSE))</f>
        <v/>
      </c>
      <c r="F90" s="39"/>
      <c r="G90" s="39"/>
      <c r="H90" s="39">
        <f t="shared" si="4"/>
        <v>0</v>
      </c>
      <c r="J90" s="3" t="str">
        <f t="shared" si="5"/>
        <v/>
      </c>
    </row>
    <row r="91" spans="1:10" x14ac:dyDescent="0.3">
      <c r="A91" s="2"/>
      <c r="D91" t="str">
        <f>IF(C91="","",VLOOKUP(C91,Categorias!$A$2:$C$54,2,FALSE))</f>
        <v/>
      </c>
      <c r="E91" t="str">
        <f>IF(C91="","",VLOOKUP(C91,Categorias!$A$2:$C$54,3,FALSE))</f>
        <v/>
      </c>
      <c r="F91" s="39"/>
      <c r="G91" s="39"/>
      <c r="H91" s="39">
        <f t="shared" si="4"/>
        <v>0</v>
      </c>
      <c r="J91" s="3" t="str">
        <f t="shared" si="5"/>
        <v/>
      </c>
    </row>
    <row r="92" spans="1:10" x14ac:dyDescent="0.3">
      <c r="A92" s="2"/>
      <c r="D92" t="str">
        <f>IF(C92="","",VLOOKUP(C92,Categorias!$A$2:$C$54,2,FALSE))</f>
        <v/>
      </c>
      <c r="E92" t="str">
        <f>IF(C92="","",VLOOKUP(C92,Categorias!$A$2:$C$54,3,FALSE))</f>
        <v/>
      </c>
      <c r="F92" s="39"/>
      <c r="G92" s="39"/>
      <c r="H92" s="39">
        <f t="shared" si="4"/>
        <v>0</v>
      </c>
      <c r="J92" s="3" t="str">
        <f t="shared" si="5"/>
        <v/>
      </c>
    </row>
    <row r="93" spans="1:10" x14ac:dyDescent="0.3">
      <c r="A93" s="2"/>
      <c r="D93" t="str">
        <f>IF(C93="","",VLOOKUP(C93,Categorias!$A$2:$C$54,2,FALSE))</f>
        <v/>
      </c>
      <c r="E93" t="str">
        <f>IF(C93="","",VLOOKUP(C93,Categorias!$A$2:$C$54,3,FALSE))</f>
        <v/>
      </c>
      <c r="F93" s="39"/>
      <c r="G93" s="39"/>
      <c r="H93" s="39">
        <f t="shared" si="4"/>
        <v>0</v>
      </c>
      <c r="J93" s="3" t="str">
        <f t="shared" si="5"/>
        <v/>
      </c>
    </row>
    <row r="94" spans="1:10" x14ac:dyDescent="0.3">
      <c r="A94" s="2"/>
      <c r="D94" t="str">
        <f>IF(C94="","",VLOOKUP(C94,Categorias!$A$2:$C$54,2,FALSE))</f>
        <v/>
      </c>
      <c r="E94" t="str">
        <f>IF(C94="","",VLOOKUP(C94,Categorias!$A$2:$C$54,3,FALSE))</f>
        <v/>
      </c>
      <c r="F94" s="39"/>
      <c r="G94" s="39"/>
      <c r="H94" s="39">
        <f t="shared" si="4"/>
        <v>0</v>
      </c>
      <c r="J94" s="3" t="str">
        <f t="shared" si="5"/>
        <v/>
      </c>
    </row>
    <row r="95" spans="1:10" x14ac:dyDescent="0.3">
      <c r="A95" s="2"/>
      <c r="D95" t="str">
        <f>IF(C95="","",VLOOKUP(C95,Categorias!$A$2:$C$54,2,FALSE))</f>
        <v/>
      </c>
      <c r="E95" t="str">
        <f>IF(C95="","",VLOOKUP(C95,Categorias!$A$2:$C$54,3,FALSE))</f>
        <v/>
      </c>
      <c r="F95" s="39"/>
      <c r="G95" s="39"/>
      <c r="H95" s="39">
        <f t="shared" si="4"/>
        <v>0</v>
      </c>
      <c r="J95" s="3" t="str">
        <f t="shared" si="5"/>
        <v/>
      </c>
    </row>
    <row r="96" spans="1:10" x14ac:dyDescent="0.3">
      <c r="A96" s="2"/>
      <c r="D96" t="str">
        <f>IF(C96="","",VLOOKUP(C96,Categorias!$A$2:$C$54,2,FALSE))</f>
        <v/>
      </c>
      <c r="E96" t="str">
        <f>IF(C96="","",VLOOKUP(C96,Categorias!$A$2:$C$54,3,FALSE))</f>
        <v/>
      </c>
      <c r="F96" s="39"/>
      <c r="G96" s="39"/>
      <c r="H96" s="39">
        <f t="shared" si="4"/>
        <v>0</v>
      </c>
      <c r="J96" s="3" t="str">
        <f t="shared" si="5"/>
        <v/>
      </c>
    </row>
    <row r="97" spans="1:10" x14ac:dyDescent="0.3">
      <c r="A97" s="2"/>
      <c r="D97" t="str">
        <f>IF(C97="","",VLOOKUP(C97,Categorias!$A$2:$C$54,2,FALSE))</f>
        <v/>
      </c>
      <c r="E97" t="str">
        <f>IF(C97="","",VLOOKUP(C97,Categorias!$A$2:$C$54,3,FALSE))</f>
        <v/>
      </c>
      <c r="F97" s="39"/>
      <c r="G97" s="39"/>
      <c r="H97" s="39">
        <f t="shared" si="4"/>
        <v>0</v>
      </c>
      <c r="J97" s="3" t="str">
        <f t="shared" si="5"/>
        <v/>
      </c>
    </row>
    <row r="98" spans="1:10" x14ac:dyDescent="0.3">
      <c r="A98" s="2"/>
      <c r="D98" t="str">
        <f>IF(C98="","",VLOOKUP(C98,Categorias!$A$2:$C$54,2,FALSE))</f>
        <v/>
      </c>
      <c r="E98" t="str">
        <f>IF(C98="","",VLOOKUP(C98,Categorias!$A$2:$C$54,3,FALSE))</f>
        <v/>
      </c>
      <c r="F98" s="39"/>
      <c r="G98" s="39"/>
      <c r="H98" s="39">
        <f t="shared" ref="H98:H129" si="6">IF(F98="",0,F98)-IF(G98="",0,G98)</f>
        <v>0</v>
      </c>
      <c r="J98" s="3" t="str">
        <f t="shared" ref="J98:J129" si="7">IF(A98="","",DATE(YEAR(A98),MONTH(A98),1))</f>
        <v/>
      </c>
    </row>
    <row r="99" spans="1:10" x14ac:dyDescent="0.3">
      <c r="A99" s="2"/>
      <c r="D99" t="str">
        <f>IF(C99="","",VLOOKUP(C99,Categorias!$A$2:$C$54,2,FALSE))</f>
        <v/>
      </c>
      <c r="E99" t="str">
        <f>IF(C99="","",VLOOKUP(C99,Categorias!$A$2:$C$54,3,FALSE))</f>
        <v/>
      </c>
      <c r="F99" s="39"/>
      <c r="G99" s="39"/>
      <c r="H99" s="39">
        <f t="shared" si="6"/>
        <v>0</v>
      </c>
      <c r="J99" s="3" t="str">
        <f t="shared" si="7"/>
        <v/>
      </c>
    </row>
    <row r="100" spans="1:10" x14ac:dyDescent="0.3">
      <c r="A100" s="2"/>
      <c r="D100" t="str">
        <f>IF(C100="","",VLOOKUP(C100,Categorias!$A$2:$C$54,2,FALSE))</f>
        <v/>
      </c>
      <c r="E100" t="str">
        <f>IF(C100="","",VLOOKUP(C100,Categorias!$A$2:$C$54,3,FALSE))</f>
        <v/>
      </c>
      <c r="F100" s="39"/>
      <c r="G100" s="39"/>
      <c r="H100" s="39">
        <f t="shared" si="6"/>
        <v>0</v>
      </c>
      <c r="J100" s="3" t="str">
        <f t="shared" si="7"/>
        <v/>
      </c>
    </row>
    <row r="101" spans="1:10" x14ac:dyDescent="0.3">
      <c r="A101" s="2"/>
      <c r="D101" t="str">
        <f>IF(C101="","",VLOOKUP(C101,Categorias!$A$2:$C$54,2,FALSE))</f>
        <v/>
      </c>
      <c r="E101" t="str">
        <f>IF(C101="","",VLOOKUP(C101,Categorias!$A$2:$C$54,3,FALSE))</f>
        <v/>
      </c>
      <c r="F101" s="39"/>
      <c r="G101" s="39"/>
      <c r="H101" s="39">
        <f t="shared" si="6"/>
        <v>0</v>
      </c>
      <c r="J101" s="3" t="str">
        <f t="shared" si="7"/>
        <v/>
      </c>
    </row>
    <row r="102" spans="1:10" x14ac:dyDescent="0.3">
      <c r="A102" s="2"/>
      <c r="D102" t="str">
        <f>IF(C102="","",VLOOKUP(C102,Categorias!$A$2:$C$54,2,FALSE))</f>
        <v/>
      </c>
      <c r="E102" t="str">
        <f>IF(C102="","",VLOOKUP(C102,Categorias!$A$2:$C$54,3,FALSE))</f>
        <v/>
      </c>
      <c r="F102" s="39"/>
      <c r="G102" s="39"/>
      <c r="H102" s="39">
        <f t="shared" si="6"/>
        <v>0</v>
      </c>
      <c r="J102" s="3" t="str">
        <f t="shared" si="7"/>
        <v/>
      </c>
    </row>
    <row r="103" spans="1:10" x14ac:dyDescent="0.3">
      <c r="A103" s="2"/>
      <c r="D103" t="str">
        <f>IF(C103="","",VLOOKUP(C103,Categorias!$A$2:$C$54,2,FALSE))</f>
        <v/>
      </c>
      <c r="E103" t="str">
        <f>IF(C103="","",VLOOKUP(C103,Categorias!$A$2:$C$54,3,FALSE))</f>
        <v/>
      </c>
      <c r="F103" s="39"/>
      <c r="G103" s="39"/>
      <c r="H103" s="39">
        <f t="shared" si="6"/>
        <v>0</v>
      </c>
      <c r="J103" s="3" t="str">
        <f t="shared" si="7"/>
        <v/>
      </c>
    </row>
    <row r="104" spans="1:10" x14ac:dyDescent="0.3">
      <c r="A104" s="2"/>
      <c r="D104" t="str">
        <f>IF(C104="","",VLOOKUP(C104,Categorias!$A$2:$C$54,2,FALSE))</f>
        <v/>
      </c>
      <c r="E104" t="str">
        <f>IF(C104="","",VLOOKUP(C104,Categorias!$A$2:$C$54,3,FALSE))</f>
        <v/>
      </c>
      <c r="F104" s="39"/>
      <c r="G104" s="39"/>
      <c r="H104" s="39">
        <f t="shared" si="6"/>
        <v>0</v>
      </c>
      <c r="J104" s="3" t="str">
        <f t="shared" si="7"/>
        <v/>
      </c>
    </row>
    <row r="105" spans="1:10" x14ac:dyDescent="0.3">
      <c r="A105" s="2"/>
      <c r="D105" t="str">
        <f>IF(C105="","",VLOOKUP(C105,Categorias!$A$2:$C$54,2,FALSE))</f>
        <v/>
      </c>
      <c r="E105" t="str">
        <f>IF(C105="","",VLOOKUP(C105,Categorias!$A$2:$C$54,3,FALSE))</f>
        <v/>
      </c>
      <c r="F105" s="39"/>
      <c r="G105" s="39"/>
      <c r="H105" s="39">
        <f t="shared" si="6"/>
        <v>0</v>
      </c>
      <c r="J105" s="3" t="str">
        <f t="shared" si="7"/>
        <v/>
      </c>
    </row>
    <row r="106" spans="1:10" x14ac:dyDescent="0.3">
      <c r="A106" s="2"/>
      <c r="D106" t="str">
        <f>IF(C106="","",VLOOKUP(C106,Categorias!$A$2:$C$54,2,FALSE))</f>
        <v/>
      </c>
      <c r="E106" t="str">
        <f>IF(C106="","",VLOOKUP(C106,Categorias!$A$2:$C$54,3,FALSE))</f>
        <v/>
      </c>
      <c r="F106" s="39"/>
      <c r="G106" s="39"/>
      <c r="H106" s="39">
        <f t="shared" si="6"/>
        <v>0</v>
      </c>
      <c r="J106" s="3" t="str">
        <f t="shared" si="7"/>
        <v/>
      </c>
    </row>
    <row r="107" spans="1:10" x14ac:dyDescent="0.3">
      <c r="A107" s="2"/>
      <c r="D107" t="str">
        <f>IF(C107="","",VLOOKUP(C107,Categorias!$A$2:$C$54,2,FALSE))</f>
        <v/>
      </c>
      <c r="E107" t="str">
        <f>IF(C107="","",VLOOKUP(C107,Categorias!$A$2:$C$54,3,FALSE))</f>
        <v/>
      </c>
      <c r="F107" s="39"/>
      <c r="G107" s="39"/>
      <c r="H107" s="39">
        <f t="shared" si="6"/>
        <v>0</v>
      </c>
      <c r="J107" s="3" t="str">
        <f t="shared" si="7"/>
        <v/>
      </c>
    </row>
    <row r="108" spans="1:10" x14ac:dyDescent="0.3">
      <c r="A108" s="2"/>
      <c r="D108" t="str">
        <f>IF(C108="","",VLOOKUP(C108,Categorias!$A$2:$C$54,2,FALSE))</f>
        <v/>
      </c>
      <c r="E108" t="str">
        <f>IF(C108="","",VLOOKUP(C108,Categorias!$A$2:$C$54,3,FALSE))</f>
        <v/>
      </c>
      <c r="F108" s="39"/>
      <c r="G108" s="39"/>
      <c r="H108" s="39">
        <f t="shared" si="6"/>
        <v>0</v>
      </c>
      <c r="J108" s="3" t="str">
        <f t="shared" si="7"/>
        <v/>
      </c>
    </row>
    <row r="109" spans="1:10" x14ac:dyDescent="0.3">
      <c r="A109" s="2"/>
      <c r="D109" t="str">
        <f>IF(C109="","",VLOOKUP(C109,Categorias!$A$2:$C$54,2,FALSE))</f>
        <v/>
      </c>
      <c r="E109" t="str">
        <f>IF(C109="","",VLOOKUP(C109,Categorias!$A$2:$C$54,3,FALSE))</f>
        <v/>
      </c>
      <c r="F109" s="39"/>
      <c r="G109" s="39"/>
      <c r="H109" s="39">
        <f t="shared" si="6"/>
        <v>0</v>
      </c>
      <c r="J109" s="3" t="str">
        <f t="shared" si="7"/>
        <v/>
      </c>
    </row>
    <row r="110" spans="1:10" x14ac:dyDescent="0.3">
      <c r="A110" s="2"/>
      <c r="D110" t="str">
        <f>IF(C110="","",VLOOKUP(C110,Categorias!$A$2:$C$54,2,FALSE))</f>
        <v/>
      </c>
      <c r="E110" t="str">
        <f>IF(C110="","",VLOOKUP(C110,Categorias!$A$2:$C$54,3,FALSE))</f>
        <v/>
      </c>
      <c r="F110" s="39"/>
      <c r="G110" s="39"/>
      <c r="H110" s="39">
        <f t="shared" si="6"/>
        <v>0</v>
      </c>
      <c r="J110" s="3" t="str">
        <f t="shared" si="7"/>
        <v/>
      </c>
    </row>
    <row r="111" spans="1:10" x14ac:dyDescent="0.3">
      <c r="A111" s="2"/>
      <c r="D111" t="str">
        <f>IF(C111="","",VLOOKUP(C111,Categorias!$A$2:$C$54,2,FALSE))</f>
        <v/>
      </c>
      <c r="E111" t="str">
        <f>IF(C111="","",VLOOKUP(C111,Categorias!$A$2:$C$54,3,FALSE))</f>
        <v/>
      </c>
      <c r="F111" s="39"/>
      <c r="G111" s="39"/>
      <c r="H111" s="39">
        <f t="shared" si="6"/>
        <v>0</v>
      </c>
      <c r="J111" s="3" t="str">
        <f t="shared" si="7"/>
        <v/>
      </c>
    </row>
    <row r="112" spans="1:10" x14ac:dyDescent="0.3">
      <c r="A112" s="2"/>
      <c r="D112" t="str">
        <f>IF(C112="","",VLOOKUP(C112,Categorias!$A$2:$C$54,2,FALSE))</f>
        <v/>
      </c>
      <c r="E112" t="str">
        <f>IF(C112="","",VLOOKUP(C112,Categorias!$A$2:$C$54,3,FALSE))</f>
        <v/>
      </c>
      <c r="F112" s="39"/>
      <c r="G112" s="39"/>
      <c r="H112" s="39">
        <f t="shared" si="6"/>
        <v>0</v>
      </c>
      <c r="J112" s="3" t="str">
        <f t="shared" si="7"/>
        <v/>
      </c>
    </row>
    <row r="113" spans="1:10" x14ac:dyDescent="0.3">
      <c r="A113" s="2"/>
      <c r="D113" t="str">
        <f>IF(C113="","",VLOOKUP(C113,Categorias!$A$2:$C$54,2,FALSE))</f>
        <v/>
      </c>
      <c r="E113" t="str">
        <f>IF(C113="","",VLOOKUP(C113,Categorias!$A$2:$C$54,3,FALSE))</f>
        <v/>
      </c>
      <c r="F113" s="39"/>
      <c r="G113" s="39"/>
      <c r="H113" s="39">
        <f t="shared" si="6"/>
        <v>0</v>
      </c>
      <c r="J113" s="3" t="str">
        <f t="shared" si="7"/>
        <v/>
      </c>
    </row>
    <row r="114" spans="1:10" x14ac:dyDescent="0.3">
      <c r="A114" s="2"/>
      <c r="D114" t="str">
        <f>IF(C114="","",VLOOKUP(C114,Categorias!$A$2:$C$54,2,FALSE))</f>
        <v/>
      </c>
      <c r="E114" t="str">
        <f>IF(C114="","",VLOOKUP(C114,Categorias!$A$2:$C$54,3,FALSE))</f>
        <v/>
      </c>
      <c r="F114" s="39"/>
      <c r="G114" s="39"/>
      <c r="H114" s="39">
        <f t="shared" si="6"/>
        <v>0</v>
      </c>
      <c r="J114" s="3" t="str">
        <f t="shared" si="7"/>
        <v/>
      </c>
    </row>
    <row r="115" spans="1:10" x14ac:dyDescent="0.3">
      <c r="A115" s="2"/>
      <c r="D115" t="str">
        <f>IF(C115="","",VLOOKUP(C115,Categorias!$A$2:$C$54,2,FALSE))</f>
        <v/>
      </c>
      <c r="E115" t="str">
        <f>IF(C115="","",VLOOKUP(C115,Categorias!$A$2:$C$54,3,FALSE))</f>
        <v/>
      </c>
      <c r="F115" s="39"/>
      <c r="G115" s="39"/>
      <c r="H115" s="39">
        <f t="shared" si="6"/>
        <v>0</v>
      </c>
      <c r="J115" s="3" t="str">
        <f t="shared" si="7"/>
        <v/>
      </c>
    </row>
    <row r="116" spans="1:10" x14ac:dyDescent="0.3">
      <c r="A116" s="2"/>
      <c r="D116" t="str">
        <f>IF(C116="","",VLOOKUP(C116,Categorias!$A$2:$C$54,2,FALSE))</f>
        <v/>
      </c>
      <c r="E116" t="str">
        <f>IF(C116="","",VLOOKUP(C116,Categorias!$A$2:$C$54,3,FALSE))</f>
        <v/>
      </c>
      <c r="F116" s="39"/>
      <c r="G116" s="39"/>
      <c r="H116" s="39">
        <f t="shared" si="6"/>
        <v>0</v>
      </c>
      <c r="J116" s="3" t="str">
        <f t="shared" si="7"/>
        <v/>
      </c>
    </row>
    <row r="117" spans="1:10" x14ac:dyDescent="0.3">
      <c r="A117" s="2"/>
      <c r="D117" t="str">
        <f>IF(C117="","",VLOOKUP(C117,Categorias!$A$2:$C$54,2,FALSE))</f>
        <v/>
      </c>
      <c r="E117" t="str">
        <f>IF(C117="","",VLOOKUP(C117,Categorias!$A$2:$C$54,3,FALSE))</f>
        <v/>
      </c>
      <c r="F117" s="39"/>
      <c r="G117" s="39"/>
      <c r="H117" s="39">
        <f t="shared" si="6"/>
        <v>0</v>
      </c>
      <c r="J117" s="3" t="str">
        <f t="shared" si="7"/>
        <v/>
      </c>
    </row>
    <row r="118" spans="1:10" x14ac:dyDescent="0.3">
      <c r="A118" s="2"/>
      <c r="D118" t="str">
        <f>IF(C118="","",VLOOKUP(C118,Categorias!$A$2:$C$54,2,FALSE))</f>
        <v/>
      </c>
      <c r="E118" t="str">
        <f>IF(C118="","",VLOOKUP(C118,Categorias!$A$2:$C$54,3,FALSE))</f>
        <v/>
      </c>
      <c r="F118" s="39"/>
      <c r="G118" s="39"/>
      <c r="H118" s="39">
        <f t="shared" si="6"/>
        <v>0</v>
      </c>
      <c r="J118" s="3" t="str">
        <f t="shared" si="7"/>
        <v/>
      </c>
    </row>
    <row r="119" spans="1:10" x14ac:dyDescent="0.3">
      <c r="A119" s="2"/>
      <c r="D119" t="str">
        <f>IF(C119="","",VLOOKUP(C119,Categorias!$A$2:$C$54,2,FALSE))</f>
        <v/>
      </c>
      <c r="E119" t="str">
        <f>IF(C119="","",VLOOKUP(C119,Categorias!$A$2:$C$54,3,FALSE))</f>
        <v/>
      </c>
      <c r="F119" s="39"/>
      <c r="G119" s="39"/>
      <c r="H119" s="39">
        <f t="shared" si="6"/>
        <v>0</v>
      </c>
      <c r="J119" s="3" t="str">
        <f t="shared" si="7"/>
        <v/>
      </c>
    </row>
    <row r="120" spans="1:10" x14ac:dyDescent="0.3">
      <c r="A120" s="2"/>
      <c r="D120" t="str">
        <f>IF(C120="","",VLOOKUP(C120,Categorias!$A$2:$C$54,2,FALSE))</f>
        <v/>
      </c>
      <c r="E120" t="str">
        <f>IF(C120="","",VLOOKUP(C120,Categorias!$A$2:$C$54,3,FALSE))</f>
        <v/>
      </c>
      <c r="F120" s="39"/>
      <c r="G120" s="39"/>
      <c r="H120" s="39">
        <f t="shared" si="6"/>
        <v>0</v>
      </c>
      <c r="J120" s="3" t="str">
        <f t="shared" si="7"/>
        <v/>
      </c>
    </row>
    <row r="121" spans="1:10" x14ac:dyDescent="0.3">
      <c r="A121" s="2"/>
      <c r="D121" t="str">
        <f>IF(C121="","",VLOOKUP(C121,Categorias!$A$2:$C$54,2,FALSE))</f>
        <v/>
      </c>
      <c r="E121" t="str">
        <f>IF(C121="","",VLOOKUP(C121,Categorias!$A$2:$C$54,3,FALSE))</f>
        <v/>
      </c>
      <c r="F121" s="39"/>
      <c r="G121" s="39"/>
      <c r="H121" s="39">
        <f t="shared" si="6"/>
        <v>0</v>
      </c>
      <c r="J121" s="3" t="str">
        <f t="shared" si="7"/>
        <v/>
      </c>
    </row>
    <row r="122" spans="1:10" x14ac:dyDescent="0.3">
      <c r="A122" s="2"/>
      <c r="D122" t="str">
        <f>IF(C122="","",VLOOKUP(C122,Categorias!$A$2:$C$54,2,FALSE))</f>
        <v/>
      </c>
      <c r="E122" t="str">
        <f>IF(C122="","",VLOOKUP(C122,Categorias!$A$2:$C$54,3,FALSE))</f>
        <v/>
      </c>
      <c r="F122" s="39"/>
      <c r="G122" s="39"/>
      <c r="H122" s="39">
        <f t="shared" si="6"/>
        <v>0</v>
      </c>
      <c r="J122" s="3" t="str">
        <f t="shared" si="7"/>
        <v/>
      </c>
    </row>
    <row r="123" spans="1:10" x14ac:dyDescent="0.3">
      <c r="A123" s="2"/>
      <c r="D123" t="str">
        <f>IF(C123="","",VLOOKUP(C123,Categorias!$A$2:$C$54,2,FALSE))</f>
        <v/>
      </c>
      <c r="E123" t="str">
        <f>IF(C123="","",VLOOKUP(C123,Categorias!$A$2:$C$54,3,FALSE))</f>
        <v/>
      </c>
      <c r="F123" s="39"/>
      <c r="G123" s="39"/>
      <c r="H123" s="39">
        <f t="shared" si="6"/>
        <v>0</v>
      </c>
      <c r="J123" s="3" t="str">
        <f t="shared" si="7"/>
        <v/>
      </c>
    </row>
    <row r="124" spans="1:10" x14ac:dyDescent="0.3">
      <c r="A124" s="2"/>
      <c r="D124" t="str">
        <f>IF(C124="","",VLOOKUP(C124,Categorias!$A$2:$C$54,2,FALSE))</f>
        <v/>
      </c>
      <c r="E124" t="str">
        <f>IF(C124="","",VLOOKUP(C124,Categorias!$A$2:$C$54,3,FALSE))</f>
        <v/>
      </c>
      <c r="F124" s="39"/>
      <c r="G124" s="39"/>
      <c r="H124" s="39">
        <f t="shared" si="6"/>
        <v>0</v>
      </c>
      <c r="J124" s="3" t="str">
        <f t="shared" si="7"/>
        <v/>
      </c>
    </row>
    <row r="125" spans="1:10" x14ac:dyDescent="0.3">
      <c r="A125" s="2"/>
      <c r="D125" t="str">
        <f>IF(C125="","",VLOOKUP(C125,Categorias!$A$2:$C$54,2,FALSE))</f>
        <v/>
      </c>
      <c r="E125" t="str">
        <f>IF(C125="","",VLOOKUP(C125,Categorias!$A$2:$C$54,3,FALSE))</f>
        <v/>
      </c>
      <c r="F125" s="39"/>
      <c r="G125" s="39"/>
      <c r="H125" s="39">
        <f t="shared" si="6"/>
        <v>0</v>
      </c>
      <c r="J125" s="3" t="str">
        <f t="shared" si="7"/>
        <v/>
      </c>
    </row>
    <row r="126" spans="1:10" x14ac:dyDescent="0.3">
      <c r="A126" s="2"/>
      <c r="D126" t="str">
        <f>IF(C126="","",VLOOKUP(C126,Categorias!$A$2:$C$54,2,FALSE))</f>
        <v/>
      </c>
      <c r="E126" t="str">
        <f>IF(C126="","",VLOOKUP(C126,Categorias!$A$2:$C$54,3,FALSE))</f>
        <v/>
      </c>
      <c r="F126" s="39"/>
      <c r="G126" s="39"/>
      <c r="H126" s="39">
        <f t="shared" si="6"/>
        <v>0</v>
      </c>
      <c r="J126" s="3" t="str">
        <f t="shared" si="7"/>
        <v/>
      </c>
    </row>
    <row r="127" spans="1:10" x14ac:dyDescent="0.3">
      <c r="A127" s="2"/>
      <c r="D127" t="str">
        <f>IF(C127="","",VLOOKUP(C127,Categorias!$A$2:$C$54,2,FALSE))</f>
        <v/>
      </c>
      <c r="E127" t="str">
        <f>IF(C127="","",VLOOKUP(C127,Categorias!$A$2:$C$54,3,FALSE))</f>
        <v/>
      </c>
      <c r="F127" s="39"/>
      <c r="G127" s="39"/>
      <c r="H127" s="39">
        <f t="shared" si="6"/>
        <v>0</v>
      </c>
      <c r="J127" s="3" t="str">
        <f t="shared" si="7"/>
        <v/>
      </c>
    </row>
    <row r="128" spans="1:10" x14ac:dyDescent="0.3">
      <c r="A128" s="2"/>
      <c r="D128" t="str">
        <f>IF(C128="","",VLOOKUP(C128,Categorias!$A$2:$C$54,2,FALSE))</f>
        <v/>
      </c>
      <c r="E128" t="str">
        <f>IF(C128="","",VLOOKUP(C128,Categorias!$A$2:$C$54,3,FALSE))</f>
        <v/>
      </c>
      <c r="F128" s="39"/>
      <c r="G128" s="39"/>
      <c r="H128" s="39">
        <f t="shared" si="6"/>
        <v>0</v>
      </c>
      <c r="J128" s="3" t="str">
        <f t="shared" si="7"/>
        <v/>
      </c>
    </row>
    <row r="129" spans="1:10" x14ac:dyDescent="0.3">
      <c r="A129" s="2"/>
      <c r="D129" t="str">
        <f>IF(C129="","",VLOOKUP(C129,Categorias!$A$2:$C$54,2,FALSE))</f>
        <v/>
      </c>
      <c r="E129" t="str">
        <f>IF(C129="","",VLOOKUP(C129,Categorias!$A$2:$C$54,3,FALSE))</f>
        <v/>
      </c>
      <c r="F129" s="39"/>
      <c r="G129" s="39"/>
      <c r="H129" s="39">
        <f t="shared" si="6"/>
        <v>0</v>
      </c>
      <c r="J129" s="3" t="str">
        <f t="shared" si="7"/>
        <v/>
      </c>
    </row>
    <row r="130" spans="1:10" x14ac:dyDescent="0.3">
      <c r="A130" s="2"/>
      <c r="D130" t="str">
        <f>IF(C130="","",VLOOKUP(C130,Categorias!$A$2:$C$54,2,FALSE))</f>
        <v/>
      </c>
      <c r="E130" t="str">
        <f>IF(C130="","",VLOOKUP(C130,Categorias!$A$2:$C$54,3,FALSE))</f>
        <v/>
      </c>
      <c r="F130" s="39"/>
      <c r="G130" s="39"/>
      <c r="H130" s="39">
        <f t="shared" ref="H130:H161" si="8">IF(F130="",0,F130)-IF(G130="",0,G130)</f>
        <v>0</v>
      </c>
      <c r="J130" s="3" t="str">
        <f t="shared" ref="J130:J161" si="9">IF(A130="","",DATE(YEAR(A130),MONTH(A130),1))</f>
        <v/>
      </c>
    </row>
    <row r="131" spans="1:10" x14ac:dyDescent="0.3">
      <c r="A131" s="2"/>
      <c r="D131" t="str">
        <f>IF(C131="","",VLOOKUP(C131,Categorias!$A$2:$C$54,2,FALSE))</f>
        <v/>
      </c>
      <c r="E131" t="str">
        <f>IF(C131="","",VLOOKUP(C131,Categorias!$A$2:$C$54,3,FALSE))</f>
        <v/>
      </c>
      <c r="F131" s="39"/>
      <c r="G131" s="39"/>
      <c r="H131" s="39">
        <f t="shared" si="8"/>
        <v>0</v>
      </c>
      <c r="J131" s="3" t="str">
        <f t="shared" si="9"/>
        <v/>
      </c>
    </row>
    <row r="132" spans="1:10" x14ac:dyDescent="0.3">
      <c r="A132" s="2"/>
      <c r="D132" t="str">
        <f>IF(C132="","",VLOOKUP(C132,Categorias!$A$2:$C$54,2,FALSE))</f>
        <v/>
      </c>
      <c r="E132" t="str">
        <f>IF(C132="","",VLOOKUP(C132,Categorias!$A$2:$C$54,3,FALSE))</f>
        <v/>
      </c>
      <c r="F132" s="39"/>
      <c r="G132" s="39"/>
      <c r="H132" s="39">
        <f t="shared" si="8"/>
        <v>0</v>
      </c>
      <c r="J132" s="3" t="str">
        <f t="shared" si="9"/>
        <v/>
      </c>
    </row>
    <row r="133" spans="1:10" x14ac:dyDescent="0.3">
      <c r="A133" s="2"/>
      <c r="D133" t="str">
        <f>IF(C133="","",VLOOKUP(C133,Categorias!$A$2:$C$54,2,FALSE))</f>
        <v/>
      </c>
      <c r="E133" t="str">
        <f>IF(C133="","",VLOOKUP(C133,Categorias!$A$2:$C$54,3,FALSE))</f>
        <v/>
      </c>
      <c r="F133" s="39"/>
      <c r="G133" s="39"/>
      <c r="H133" s="39">
        <f t="shared" si="8"/>
        <v>0</v>
      </c>
      <c r="J133" s="3" t="str">
        <f t="shared" si="9"/>
        <v/>
      </c>
    </row>
    <row r="134" spans="1:10" x14ac:dyDescent="0.3">
      <c r="A134" s="2"/>
      <c r="D134" t="str">
        <f>IF(C134="","",VLOOKUP(C134,Categorias!$A$2:$C$54,2,FALSE))</f>
        <v/>
      </c>
      <c r="E134" t="str">
        <f>IF(C134="","",VLOOKUP(C134,Categorias!$A$2:$C$54,3,FALSE))</f>
        <v/>
      </c>
      <c r="F134" s="39"/>
      <c r="G134" s="39"/>
      <c r="H134" s="39">
        <f t="shared" si="8"/>
        <v>0</v>
      </c>
      <c r="J134" s="3" t="str">
        <f t="shared" si="9"/>
        <v/>
      </c>
    </row>
    <row r="135" spans="1:10" x14ac:dyDescent="0.3">
      <c r="A135" s="2"/>
      <c r="D135" t="str">
        <f>IF(C135="","",VLOOKUP(C135,Categorias!$A$2:$C$54,2,FALSE))</f>
        <v/>
      </c>
      <c r="E135" t="str">
        <f>IF(C135="","",VLOOKUP(C135,Categorias!$A$2:$C$54,3,FALSE))</f>
        <v/>
      </c>
      <c r="F135" s="39"/>
      <c r="G135" s="39"/>
      <c r="H135" s="39">
        <f t="shared" si="8"/>
        <v>0</v>
      </c>
      <c r="J135" s="3" t="str">
        <f t="shared" si="9"/>
        <v/>
      </c>
    </row>
    <row r="136" spans="1:10" x14ac:dyDescent="0.3">
      <c r="A136" s="2"/>
      <c r="D136" t="str">
        <f>IF(C136="","",VLOOKUP(C136,Categorias!$A$2:$C$54,2,FALSE))</f>
        <v/>
      </c>
      <c r="E136" t="str">
        <f>IF(C136="","",VLOOKUP(C136,Categorias!$A$2:$C$54,3,FALSE))</f>
        <v/>
      </c>
      <c r="F136" s="39"/>
      <c r="G136" s="39"/>
      <c r="H136" s="39">
        <f t="shared" si="8"/>
        <v>0</v>
      </c>
      <c r="J136" s="3" t="str">
        <f t="shared" si="9"/>
        <v/>
      </c>
    </row>
    <row r="137" spans="1:10" x14ac:dyDescent="0.3">
      <c r="A137" s="2"/>
      <c r="D137" t="str">
        <f>IF(C137="","",VLOOKUP(C137,Categorias!$A$2:$C$54,2,FALSE))</f>
        <v/>
      </c>
      <c r="E137" t="str">
        <f>IF(C137="","",VLOOKUP(C137,Categorias!$A$2:$C$54,3,FALSE))</f>
        <v/>
      </c>
      <c r="F137" s="39"/>
      <c r="G137" s="39"/>
      <c r="H137" s="39">
        <f t="shared" si="8"/>
        <v>0</v>
      </c>
      <c r="J137" s="3" t="str">
        <f t="shared" si="9"/>
        <v/>
      </c>
    </row>
    <row r="138" spans="1:10" x14ac:dyDescent="0.3">
      <c r="A138" s="2"/>
      <c r="D138" t="str">
        <f>IF(C138="","",VLOOKUP(C138,Categorias!$A$2:$C$54,2,FALSE))</f>
        <v/>
      </c>
      <c r="E138" t="str">
        <f>IF(C138="","",VLOOKUP(C138,Categorias!$A$2:$C$54,3,FALSE))</f>
        <v/>
      </c>
      <c r="F138" s="39"/>
      <c r="G138" s="39"/>
      <c r="H138" s="39">
        <f t="shared" si="8"/>
        <v>0</v>
      </c>
      <c r="J138" s="3" t="str">
        <f t="shared" si="9"/>
        <v/>
      </c>
    </row>
    <row r="139" spans="1:10" x14ac:dyDescent="0.3">
      <c r="A139" s="2"/>
      <c r="D139" t="str">
        <f>IF(C139="","",VLOOKUP(C139,Categorias!$A$2:$C$54,2,FALSE))</f>
        <v/>
      </c>
      <c r="E139" t="str">
        <f>IF(C139="","",VLOOKUP(C139,Categorias!$A$2:$C$54,3,FALSE))</f>
        <v/>
      </c>
      <c r="F139" s="39"/>
      <c r="G139" s="39"/>
      <c r="H139" s="39">
        <f t="shared" si="8"/>
        <v>0</v>
      </c>
      <c r="J139" s="3" t="str">
        <f t="shared" si="9"/>
        <v/>
      </c>
    </row>
    <row r="140" spans="1:10" x14ac:dyDescent="0.3">
      <c r="A140" s="2"/>
      <c r="D140" t="str">
        <f>IF(C140="","",VLOOKUP(C140,Categorias!$A$2:$C$54,2,FALSE))</f>
        <v/>
      </c>
      <c r="E140" t="str">
        <f>IF(C140="","",VLOOKUP(C140,Categorias!$A$2:$C$54,3,FALSE))</f>
        <v/>
      </c>
      <c r="F140" s="39"/>
      <c r="G140" s="39"/>
      <c r="H140" s="39">
        <f t="shared" si="8"/>
        <v>0</v>
      </c>
      <c r="J140" s="3" t="str">
        <f t="shared" si="9"/>
        <v/>
      </c>
    </row>
    <row r="141" spans="1:10" x14ac:dyDescent="0.3">
      <c r="A141" s="2"/>
      <c r="D141" t="str">
        <f>IF(C141="","",VLOOKUP(C141,Categorias!$A$2:$C$54,2,FALSE))</f>
        <v/>
      </c>
      <c r="E141" t="str">
        <f>IF(C141="","",VLOOKUP(C141,Categorias!$A$2:$C$54,3,FALSE))</f>
        <v/>
      </c>
      <c r="F141" s="39"/>
      <c r="G141" s="39"/>
      <c r="H141" s="39">
        <f t="shared" si="8"/>
        <v>0</v>
      </c>
      <c r="J141" s="3" t="str">
        <f t="shared" si="9"/>
        <v/>
      </c>
    </row>
    <row r="142" spans="1:10" x14ac:dyDescent="0.3">
      <c r="A142" s="2"/>
      <c r="D142" t="str">
        <f>IF(C142="","",VLOOKUP(C142,Categorias!$A$2:$C$54,2,FALSE))</f>
        <v/>
      </c>
      <c r="E142" t="str">
        <f>IF(C142="","",VLOOKUP(C142,Categorias!$A$2:$C$54,3,FALSE))</f>
        <v/>
      </c>
      <c r="F142" s="39"/>
      <c r="G142" s="39"/>
      <c r="H142" s="39">
        <f t="shared" si="8"/>
        <v>0</v>
      </c>
      <c r="J142" s="3" t="str">
        <f t="shared" si="9"/>
        <v/>
      </c>
    </row>
    <row r="143" spans="1:10" x14ac:dyDescent="0.3">
      <c r="A143" s="2"/>
      <c r="D143" t="str">
        <f>IF(C143="","",VLOOKUP(C143,Categorias!$A$2:$C$54,2,FALSE))</f>
        <v/>
      </c>
      <c r="E143" t="str">
        <f>IF(C143="","",VLOOKUP(C143,Categorias!$A$2:$C$54,3,FALSE))</f>
        <v/>
      </c>
      <c r="F143" s="39"/>
      <c r="G143" s="39"/>
      <c r="H143" s="39">
        <f t="shared" si="8"/>
        <v>0</v>
      </c>
      <c r="J143" s="3" t="str">
        <f t="shared" si="9"/>
        <v/>
      </c>
    </row>
    <row r="144" spans="1:10" x14ac:dyDescent="0.3">
      <c r="A144" s="2"/>
      <c r="D144" t="str">
        <f>IF(C144="","",VLOOKUP(C144,Categorias!$A$2:$C$54,2,FALSE))</f>
        <v/>
      </c>
      <c r="E144" t="str">
        <f>IF(C144="","",VLOOKUP(C144,Categorias!$A$2:$C$54,3,FALSE))</f>
        <v/>
      </c>
      <c r="F144" s="39"/>
      <c r="G144" s="39"/>
      <c r="H144" s="39">
        <f t="shared" si="8"/>
        <v>0</v>
      </c>
      <c r="J144" s="3" t="str">
        <f t="shared" si="9"/>
        <v/>
      </c>
    </row>
    <row r="145" spans="1:10" x14ac:dyDescent="0.3">
      <c r="A145" s="2"/>
      <c r="D145" t="str">
        <f>IF(C145="","",VLOOKUP(C145,Categorias!$A$2:$C$54,2,FALSE))</f>
        <v/>
      </c>
      <c r="E145" t="str">
        <f>IF(C145="","",VLOOKUP(C145,Categorias!$A$2:$C$54,3,FALSE))</f>
        <v/>
      </c>
      <c r="F145" s="39"/>
      <c r="G145" s="39"/>
      <c r="H145" s="39">
        <f t="shared" si="8"/>
        <v>0</v>
      </c>
      <c r="J145" s="3" t="str">
        <f t="shared" si="9"/>
        <v/>
      </c>
    </row>
    <row r="146" spans="1:10" x14ac:dyDescent="0.3">
      <c r="A146" s="2"/>
      <c r="D146" t="str">
        <f>IF(C146="","",VLOOKUP(C146,Categorias!$A$2:$C$54,2,FALSE))</f>
        <v/>
      </c>
      <c r="E146" t="str">
        <f>IF(C146="","",VLOOKUP(C146,Categorias!$A$2:$C$54,3,FALSE))</f>
        <v/>
      </c>
      <c r="F146" s="39"/>
      <c r="G146" s="39"/>
      <c r="H146" s="39">
        <f t="shared" si="8"/>
        <v>0</v>
      </c>
      <c r="J146" s="3" t="str">
        <f t="shared" si="9"/>
        <v/>
      </c>
    </row>
    <row r="147" spans="1:10" x14ac:dyDescent="0.3">
      <c r="A147" s="2"/>
      <c r="D147" t="str">
        <f>IF(C147="","",VLOOKUP(C147,Categorias!$A$2:$C$54,2,FALSE))</f>
        <v/>
      </c>
      <c r="E147" t="str">
        <f>IF(C147="","",VLOOKUP(C147,Categorias!$A$2:$C$54,3,FALSE))</f>
        <v/>
      </c>
      <c r="F147" s="39"/>
      <c r="G147" s="39"/>
      <c r="H147" s="39">
        <f t="shared" si="8"/>
        <v>0</v>
      </c>
      <c r="J147" s="3" t="str">
        <f t="shared" si="9"/>
        <v/>
      </c>
    </row>
    <row r="148" spans="1:10" x14ac:dyDescent="0.3">
      <c r="A148" s="2"/>
      <c r="D148" t="str">
        <f>IF(C148="","",VLOOKUP(C148,Categorias!$A$2:$C$54,2,FALSE))</f>
        <v/>
      </c>
      <c r="E148" t="str">
        <f>IF(C148="","",VLOOKUP(C148,Categorias!$A$2:$C$54,3,FALSE))</f>
        <v/>
      </c>
      <c r="F148" s="39"/>
      <c r="G148" s="39"/>
      <c r="H148" s="39">
        <f t="shared" si="8"/>
        <v>0</v>
      </c>
      <c r="J148" s="3" t="str">
        <f t="shared" si="9"/>
        <v/>
      </c>
    </row>
    <row r="149" spans="1:10" x14ac:dyDescent="0.3">
      <c r="A149" s="2"/>
      <c r="D149" t="str">
        <f>IF(C149="","",VLOOKUP(C149,Categorias!$A$2:$C$54,2,FALSE))</f>
        <v/>
      </c>
      <c r="E149" t="str">
        <f>IF(C149="","",VLOOKUP(C149,Categorias!$A$2:$C$54,3,FALSE))</f>
        <v/>
      </c>
      <c r="F149" s="39"/>
      <c r="G149" s="39"/>
      <c r="H149" s="39">
        <f t="shared" si="8"/>
        <v>0</v>
      </c>
      <c r="J149" s="3" t="str">
        <f t="shared" si="9"/>
        <v/>
      </c>
    </row>
    <row r="150" spans="1:10" x14ac:dyDescent="0.3">
      <c r="A150" s="2"/>
      <c r="D150" t="str">
        <f>IF(C150="","",VLOOKUP(C150,Categorias!$A$2:$C$54,2,FALSE))</f>
        <v/>
      </c>
      <c r="E150" t="str">
        <f>IF(C150="","",VLOOKUP(C150,Categorias!$A$2:$C$54,3,FALSE))</f>
        <v/>
      </c>
      <c r="F150" s="39"/>
      <c r="G150" s="39"/>
      <c r="H150" s="39">
        <f t="shared" si="8"/>
        <v>0</v>
      </c>
      <c r="J150" s="3" t="str">
        <f t="shared" si="9"/>
        <v/>
      </c>
    </row>
    <row r="151" spans="1:10" x14ac:dyDescent="0.3">
      <c r="A151" s="2"/>
      <c r="D151" t="str">
        <f>IF(C151="","",VLOOKUP(C151,Categorias!$A$2:$C$54,2,FALSE))</f>
        <v/>
      </c>
      <c r="E151" t="str">
        <f>IF(C151="","",VLOOKUP(C151,Categorias!$A$2:$C$54,3,FALSE))</f>
        <v/>
      </c>
      <c r="F151" s="39"/>
      <c r="G151" s="39"/>
      <c r="H151" s="39">
        <f t="shared" si="8"/>
        <v>0</v>
      </c>
      <c r="J151" s="3" t="str">
        <f t="shared" si="9"/>
        <v/>
      </c>
    </row>
    <row r="152" spans="1:10" x14ac:dyDescent="0.3">
      <c r="A152" s="2"/>
      <c r="D152" t="str">
        <f>IF(C152="","",VLOOKUP(C152,Categorias!$A$2:$C$54,2,FALSE))</f>
        <v/>
      </c>
      <c r="E152" t="str">
        <f>IF(C152="","",VLOOKUP(C152,Categorias!$A$2:$C$54,3,FALSE))</f>
        <v/>
      </c>
      <c r="F152" s="39"/>
      <c r="G152" s="39"/>
      <c r="H152" s="39">
        <f t="shared" si="8"/>
        <v>0</v>
      </c>
      <c r="J152" s="3" t="str">
        <f t="shared" si="9"/>
        <v/>
      </c>
    </row>
    <row r="153" spans="1:10" x14ac:dyDescent="0.3">
      <c r="A153" s="2"/>
      <c r="D153" t="str">
        <f>IF(C153="","",VLOOKUP(C153,Categorias!$A$2:$C$54,2,FALSE))</f>
        <v/>
      </c>
      <c r="E153" t="str">
        <f>IF(C153="","",VLOOKUP(C153,Categorias!$A$2:$C$54,3,FALSE))</f>
        <v/>
      </c>
      <c r="F153" s="39"/>
      <c r="G153" s="39"/>
      <c r="H153" s="39">
        <f t="shared" si="8"/>
        <v>0</v>
      </c>
      <c r="J153" s="3" t="str">
        <f t="shared" si="9"/>
        <v/>
      </c>
    </row>
    <row r="154" spans="1:10" x14ac:dyDescent="0.3">
      <c r="A154" s="2"/>
      <c r="D154" t="str">
        <f>IF(C154="","",VLOOKUP(C154,Categorias!$A$2:$C$54,2,FALSE))</f>
        <v/>
      </c>
      <c r="E154" t="str">
        <f>IF(C154="","",VLOOKUP(C154,Categorias!$A$2:$C$54,3,FALSE))</f>
        <v/>
      </c>
      <c r="F154" s="39"/>
      <c r="G154" s="39"/>
      <c r="H154" s="39">
        <f t="shared" si="8"/>
        <v>0</v>
      </c>
      <c r="J154" s="3" t="str">
        <f t="shared" si="9"/>
        <v/>
      </c>
    </row>
    <row r="155" spans="1:10" x14ac:dyDescent="0.3">
      <c r="A155" s="2"/>
      <c r="D155" t="str">
        <f>IF(C155="","",VLOOKUP(C155,Categorias!$A$2:$C$54,2,FALSE))</f>
        <v/>
      </c>
      <c r="E155" t="str">
        <f>IF(C155="","",VLOOKUP(C155,Categorias!$A$2:$C$54,3,FALSE))</f>
        <v/>
      </c>
      <c r="F155" s="39"/>
      <c r="G155" s="39"/>
      <c r="H155" s="39">
        <f t="shared" si="8"/>
        <v>0</v>
      </c>
      <c r="J155" s="3" t="str">
        <f t="shared" si="9"/>
        <v/>
      </c>
    </row>
    <row r="156" spans="1:10" x14ac:dyDescent="0.3">
      <c r="A156" s="2"/>
      <c r="D156" t="str">
        <f>IF(C156="","",VLOOKUP(C156,Categorias!$A$2:$C$54,2,FALSE))</f>
        <v/>
      </c>
      <c r="E156" t="str">
        <f>IF(C156="","",VLOOKUP(C156,Categorias!$A$2:$C$54,3,FALSE))</f>
        <v/>
      </c>
      <c r="F156" s="39"/>
      <c r="G156" s="39"/>
      <c r="H156" s="39">
        <f t="shared" si="8"/>
        <v>0</v>
      </c>
      <c r="J156" s="3" t="str">
        <f t="shared" si="9"/>
        <v/>
      </c>
    </row>
    <row r="157" spans="1:10" x14ac:dyDescent="0.3">
      <c r="A157" s="2"/>
      <c r="D157" t="str">
        <f>IF(C157="","",VLOOKUP(C157,Categorias!$A$2:$C$54,2,FALSE))</f>
        <v/>
      </c>
      <c r="E157" t="str">
        <f>IF(C157="","",VLOOKUP(C157,Categorias!$A$2:$C$54,3,FALSE))</f>
        <v/>
      </c>
      <c r="F157" s="39"/>
      <c r="G157" s="39"/>
      <c r="H157" s="39">
        <f t="shared" si="8"/>
        <v>0</v>
      </c>
      <c r="J157" s="3" t="str">
        <f t="shared" si="9"/>
        <v/>
      </c>
    </row>
    <row r="158" spans="1:10" x14ac:dyDescent="0.3">
      <c r="A158" s="2"/>
      <c r="D158" t="str">
        <f>IF(C158="","",VLOOKUP(C158,Categorias!$A$2:$C$54,2,FALSE))</f>
        <v/>
      </c>
      <c r="E158" t="str">
        <f>IF(C158="","",VLOOKUP(C158,Categorias!$A$2:$C$54,3,FALSE))</f>
        <v/>
      </c>
      <c r="F158" s="39"/>
      <c r="G158" s="39"/>
      <c r="H158" s="39">
        <f t="shared" si="8"/>
        <v>0</v>
      </c>
      <c r="J158" s="3" t="str">
        <f t="shared" si="9"/>
        <v/>
      </c>
    </row>
    <row r="159" spans="1:10" x14ac:dyDescent="0.3">
      <c r="A159" s="2"/>
      <c r="D159" t="str">
        <f>IF(C159="","",VLOOKUP(C159,Categorias!$A$2:$C$54,2,FALSE))</f>
        <v/>
      </c>
      <c r="E159" t="str">
        <f>IF(C159="","",VLOOKUP(C159,Categorias!$A$2:$C$54,3,FALSE))</f>
        <v/>
      </c>
      <c r="F159" s="39"/>
      <c r="G159" s="39"/>
      <c r="H159" s="39">
        <f t="shared" si="8"/>
        <v>0</v>
      </c>
      <c r="J159" s="3" t="str">
        <f t="shared" si="9"/>
        <v/>
      </c>
    </row>
    <row r="160" spans="1:10" x14ac:dyDescent="0.3">
      <c r="A160" s="2"/>
      <c r="D160" t="str">
        <f>IF(C160="","",VLOOKUP(C160,Categorias!$A$2:$C$54,2,FALSE))</f>
        <v/>
      </c>
      <c r="E160" t="str">
        <f>IF(C160="","",VLOOKUP(C160,Categorias!$A$2:$C$54,3,FALSE))</f>
        <v/>
      </c>
      <c r="F160" s="39"/>
      <c r="G160" s="39"/>
      <c r="H160" s="39">
        <f t="shared" si="8"/>
        <v>0</v>
      </c>
      <c r="J160" s="3" t="str">
        <f t="shared" si="9"/>
        <v/>
      </c>
    </row>
    <row r="161" spans="1:10" x14ac:dyDescent="0.3">
      <c r="A161" s="2"/>
      <c r="D161" t="str">
        <f>IF(C161="","",VLOOKUP(C161,Categorias!$A$2:$C$54,2,FALSE))</f>
        <v/>
      </c>
      <c r="E161" t="str">
        <f>IF(C161="","",VLOOKUP(C161,Categorias!$A$2:$C$54,3,FALSE))</f>
        <v/>
      </c>
      <c r="F161" s="39"/>
      <c r="G161" s="39"/>
      <c r="H161" s="39">
        <f t="shared" si="8"/>
        <v>0</v>
      </c>
      <c r="J161" s="3" t="str">
        <f t="shared" si="9"/>
        <v/>
      </c>
    </row>
    <row r="162" spans="1:10" x14ac:dyDescent="0.3">
      <c r="A162" s="2"/>
      <c r="D162" t="str">
        <f>IF(C162="","",VLOOKUP(C162,Categorias!$A$2:$C$54,2,FALSE))</f>
        <v/>
      </c>
      <c r="E162" t="str">
        <f>IF(C162="","",VLOOKUP(C162,Categorias!$A$2:$C$54,3,FALSE))</f>
        <v/>
      </c>
      <c r="F162" s="39"/>
      <c r="G162" s="39"/>
      <c r="H162" s="39">
        <f t="shared" ref="H162:H193" si="10">IF(F162="",0,F162)-IF(G162="",0,G162)</f>
        <v>0</v>
      </c>
      <c r="J162" s="3" t="str">
        <f t="shared" ref="J162:J193" si="11">IF(A162="","",DATE(YEAR(A162),MONTH(A162),1))</f>
        <v/>
      </c>
    </row>
    <row r="163" spans="1:10" x14ac:dyDescent="0.3">
      <c r="A163" s="2"/>
      <c r="D163" t="str">
        <f>IF(C163="","",VLOOKUP(C163,Categorias!$A$2:$C$54,2,FALSE))</f>
        <v/>
      </c>
      <c r="E163" t="str">
        <f>IF(C163="","",VLOOKUP(C163,Categorias!$A$2:$C$54,3,FALSE))</f>
        <v/>
      </c>
      <c r="F163" s="39"/>
      <c r="G163" s="39"/>
      <c r="H163" s="39">
        <f t="shared" si="10"/>
        <v>0</v>
      </c>
      <c r="J163" s="3" t="str">
        <f t="shared" si="11"/>
        <v/>
      </c>
    </row>
    <row r="164" spans="1:10" x14ac:dyDescent="0.3">
      <c r="A164" s="2"/>
      <c r="D164" t="str">
        <f>IF(C164="","",VLOOKUP(C164,Categorias!$A$2:$C$54,2,FALSE))</f>
        <v/>
      </c>
      <c r="E164" t="str">
        <f>IF(C164="","",VLOOKUP(C164,Categorias!$A$2:$C$54,3,FALSE))</f>
        <v/>
      </c>
      <c r="F164" s="39"/>
      <c r="G164" s="39"/>
      <c r="H164" s="39">
        <f t="shared" si="10"/>
        <v>0</v>
      </c>
      <c r="J164" s="3" t="str">
        <f t="shared" si="11"/>
        <v/>
      </c>
    </row>
    <row r="165" spans="1:10" x14ac:dyDescent="0.3">
      <c r="A165" s="2"/>
      <c r="D165" t="str">
        <f>IF(C165="","",VLOOKUP(C165,Categorias!$A$2:$C$54,2,FALSE))</f>
        <v/>
      </c>
      <c r="E165" t="str">
        <f>IF(C165="","",VLOOKUP(C165,Categorias!$A$2:$C$54,3,FALSE))</f>
        <v/>
      </c>
      <c r="F165" s="39"/>
      <c r="G165" s="39"/>
      <c r="H165" s="39">
        <f t="shared" si="10"/>
        <v>0</v>
      </c>
      <c r="J165" s="3" t="str">
        <f t="shared" si="11"/>
        <v/>
      </c>
    </row>
    <row r="166" spans="1:10" x14ac:dyDescent="0.3">
      <c r="A166" s="2"/>
      <c r="D166" t="str">
        <f>IF(C166="","",VLOOKUP(C166,Categorias!$A$2:$C$54,2,FALSE))</f>
        <v/>
      </c>
      <c r="E166" t="str">
        <f>IF(C166="","",VLOOKUP(C166,Categorias!$A$2:$C$54,3,FALSE))</f>
        <v/>
      </c>
      <c r="F166" s="39"/>
      <c r="G166" s="39"/>
      <c r="H166" s="39">
        <f t="shared" si="10"/>
        <v>0</v>
      </c>
      <c r="J166" s="3" t="str">
        <f t="shared" si="11"/>
        <v/>
      </c>
    </row>
    <row r="167" spans="1:10" x14ac:dyDescent="0.3">
      <c r="A167" s="2"/>
      <c r="D167" t="str">
        <f>IF(C167="","",VLOOKUP(C167,Categorias!$A$2:$C$54,2,FALSE))</f>
        <v/>
      </c>
      <c r="E167" t="str">
        <f>IF(C167="","",VLOOKUP(C167,Categorias!$A$2:$C$54,3,FALSE))</f>
        <v/>
      </c>
      <c r="F167" s="39"/>
      <c r="G167" s="39"/>
      <c r="H167" s="39">
        <f t="shared" si="10"/>
        <v>0</v>
      </c>
      <c r="J167" s="3" t="str">
        <f t="shared" si="11"/>
        <v/>
      </c>
    </row>
    <row r="168" spans="1:10" x14ac:dyDescent="0.3">
      <c r="A168" s="2"/>
      <c r="D168" t="str">
        <f>IF(C168="","",VLOOKUP(C168,Categorias!$A$2:$C$54,2,FALSE))</f>
        <v/>
      </c>
      <c r="E168" t="str">
        <f>IF(C168="","",VLOOKUP(C168,Categorias!$A$2:$C$54,3,FALSE))</f>
        <v/>
      </c>
      <c r="F168" s="39"/>
      <c r="G168" s="39"/>
      <c r="H168" s="39">
        <f t="shared" si="10"/>
        <v>0</v>
      </c>
      <c r="J168" s="3" t="str">
        <f t="shared" si="11"/>
        <v/>
      </c>
    </row>
    <row r="169" spans="1:10" x14ac:dyDescent="0.3">
      <c r="A169" s="2"/>
      <c r="D169" t="str">
        <f>IF(C169="","",VLOOKUP(C169,Categorias!$A$2:$C$54,2,FALSE))</f>
        <v/>
      </c>
      <c r="E169" t="str">
        <f>IF(C169="","",VLOOKUP(C169,Categorias!$A$2:$C$54,3,FALSE))</f>
        <v/>
      </c>
      <c r="F169" s="39"/>
      <c r="G169" s="39"/>
      <c r="H169" s="39">
        <f t="shared" si="10"/>
        <v>0</v>
      </c>
      <c r="J169" s="3" t="str">
        <f t="shared" si="11"/>
        <v/>
      </c>
    </row>
    <row r="170" spans="1:10" x14ac:dyDescent="0.3">
      <c r="A170" s="2"/>
      <c r="D170" t="str">
        <f>IF(C170="","",VLOOKUP(C170,Categorias!$A$2:$C$54,2,FALSE))</f>
        <v/>
      </c>
      <c r="E170" t="str">
        <f>IF(C170="","",VLOOKUP(C170,Categorias!$A$2:$C$54,3,FALSE))</f>
        <v/>
      </c>
      <c r="F170" s="39"/>
      <c r="G170" s="39"/>
      <c r="H170" s="39">
        <f t="shared" si="10"/>
        <v>0</v>
      </c>
      <c r="J170" s="3" t="str">
        <f t="shared" si="11"/>
        <v/>
      </c>
    </row>
    <row r="171" spans="1:10" x14ac:dyDescent="0.3">
      <c r="A171" s="2"/>
      <c r="D171" t="str">
        <f>IF(C171="","",VLOOKUP(C171,Categorias!$A$2:$C$54,2,FALSE))</f>
        <v/>
      </c>
      <c r="E171" t="str">
        <f>IF(C171="","",VLOOKUP(C171,Categorias!$A$2:$C$54,3,FALSE))</f>
        <v/>
      </c>
      <c r="F171" s="39"/>
      <c r="G171" s="39"/>
      <c r="H171" s="39">
        <f t="shared" si="10"/>
        <v>0</v>
      </c>
      <c r="J171" s="3" t="str">
        <f t="shared" si="11"/>
        <v/>
      </c>
    </row>
    <row r="172" spans="1:10" x14ac:dyDescent="0.3">
      <c r="A172" s="2"/>
      <c r="D172" t="str">
        <f>IF(C172="","",VLOOKUP(C172,Categorias!$A$2:$C$54,2,FALSE))</f>
        <v/>
      </c>
      <c r="E172" t="str">
        <f>IF(C172="","",VLOOKUP(C172,Categorias!$A$2:$C$54,3,FALSE))</f>
        <v/>
      </c>
      <c r="F172" s="39"/>
      <c r="G172" s="39"/>
      <c r="H172" s="39">
        <f t="shared" si="10"/>
        <v>0</v>
      </c>
      <c r="J172" s="3" t="str">
        <f t="shared" si="11"/>
        <v/>
      </c>
    </row>
    <row r="173" spans="1:10" x14ac:dyDescent="0.3">
      <c r="A173" s="2"/>
      <c r="D173" t="str">
        <f>IF(C173="","",VLOOKUP(C173,Categorias!$A$2:$C$54,2,FALSE))</f>
        <v/>
      </c>
      <c r="E173" t="str">
        <f>IF(C173="","",VLOOKUP(C173,Categorias!$A$2:$C$54,3,FALSE))</f>
        <v/>
      </c>
      <c r="F173" s="39"/>
      <c r="G173" s="39"/>
      <c r="H173" s="39">
        <f t="shared" si="10"/>
        <v>0</v>
      </c>
      <c r="J173" s="3" t="str">
        <f t="shared" si="11"/>
        <v/>
      </c>
    </row>
    <row r="174" spans="1:10" x14ac:dyDescent="0.3">
      <c r="A174" s="2"/>
      <c r="D174" t="str">
        <f>IF(C174="","",VLOOKUP(C174,Categorias!$A$2:$C$54,2,FALSE))</f>
        <v/>
      </c>
      <c r="E174" t="str">
        <f>IF(C174="","",VLOOKUP(C174,Categorias!$A$2:$C$54,3,FALSE))</f>
        <v/>
      </c>
      <c r="F174" s="39"/>
      <c r="G174" s="39"/>
      <c r="H174" s="39">
        <f t="shared" si="10"/>
        <v>0</v>
      </c>
      <c r="J174" s="3" t="str">
        <f t="shared" si="11"/>
        <v/>
      </c>
    </row>
    <row r="175" spans="1:10" x14ac:dyDescent="0.3">
      <c r="A175" s="2"/>
      <c r="D175" t="str">
        <f>IF(C175="","",VLOOKUP(C175,Categorias!$A$2:$C$54,2,FALSE))</f>
        <v/>
      </c>
      <c r="E175" t="str">
        <f>IF(C175="","",VLOOKUP(C175,Categorias!$A$2:$C$54,3,FALSE))</f>
        <v/>
      </c>
      <c r="F175" s="39"/>
      <c r="G175" s="39"/>
      <c r="H175" s="39">
        <f t="shared" si="10"/>
        <v>0</v>
      </c>
      <c r="J175" s="3" t="str">
        <f t="shared" si="11"/>
        <v/>
      </c>
    </row>
    <row r="176" spans="1:10" x14ac:dyDescent="0.3">
      <c r="A176" s="2"/>
      <c r="D176" t="str">
        <f>IF(C176="","",VLOOKUP(C176,Categorias!$A$2:$C$54,2,FALSE))</f>
        <v/>
      </c>
      <c r="E176" t="str">
        <f>IF(C176="","",VLOOKUP(C176,Categorias!$A$2:$C$54,3,FALSE))</f>
        <v/>
      </c>
      <c r="F176" s="39"/>
      <c r="G176" s="39"/>
      <c r="H176" s="39">
        <f t="shared" si="10"/>
        <v>0</v>
      </c>
      <c r="J176" s="3" t="str">
        <f t="shared" si="11"/>
        <v/>
      </c>
    </row>
    <row r="177" spans="1:10" x14ac:dyDescent="0.3">
      <c r="A177" s="2"/>
      <c r="D177" t="str">
        <f>IF(C177="","",VLOOKUP(C177,Categorias!$A$2:$C$54,2,FALSE))</f>
        <v/>
      </c>
      <c r="E177" t="str">
        <f>IF(C177="","",VLOOKUP(C177,Categorias!$A$2:$C$54,3,FALSE))</f>
        <v/>
      </c>
      <c r="F177" s="39"/>
      <c r="G177" s="39"/>
      <c r="H177" s="39">
        <f t="shared" si="10"/>
        <v>0</v>
      </c>
      <c r="J177" s="3" t="str">
        <f t="shared" si="11"/>
        <v/>
      </c>
    </row>
    <row r="178" spans="1:10" x14ac:dyDescent="0.3">
      <c r="A178" s="2"/>
      <c r="D178" t="str">
        <f>IF(C178="","",VLOOKUP(C178,Categorias!$A$2:$C$54,2,FALSE))</f>
        <v/>
      </c>
      <c r="E178" t="str">
        <f>IF(C178="","",VLOOKUP(C178,Categorias!$A$2:$C$54,3,FALSE))</f>
        <v/>
      </c>
      <c r="F178" s="39"/>
      <c r="G178" s="39"/>
      <c r="H178" s="39">
        <f t="shared" si="10"/>
        <v>0</v>
      </c>
      <c r="J178" s="3" t="str">
        <f t="shared" si="11"/>
        <v/>
      </c>
    </row>
    <row r="179" spans="1:10" x14ac:dyDescent="0.3">
      <c r="A179" s="2"/>
      <c r="D179" t="str">
        <f>IF(C179="","",VLOOKUP(C179,Categorias!$A$2:$C$54,2,FALSE))</f>
        <v/>
      </c>
      <c r="E179" t="str">
        <f>IF(C179="","",VLOOKUP(C179,Categorias!$A$2:$C$54,3,FALSE))</f>
        <v/>
      </c>
      <c r="F179" s="39"/>
      <c r="G179" s="39"/>
      <c r="H179" s="39">
        <f t="shared" si="10"/>
        <v>0</v>
      </c>
      <c r="J179" s="3" t="str">
        <f t="shared" si="11"/>
        <v/>
      </c>
    </row>
    <row r="180" spans="1:10" x14ac:dyDescent="0.3">
      <c r="A180" s="2"/>
      <c r="D180" t="str">
        <f>IF(C180="","",VLOOKUP(C180,Categorias!$A$2:$C$54,2,FALSE))</f>
        <v/>
      </c>
      <c r="E180" t="str">
        <f>IF(C180="","",VLOOKUP(C180,Categorias!$A$2:$C$54,3,FALSE))</f>
        <v/>
      </c>
      <c r="F180" s="39"/>
      <c r="G180" s="39"/>
      <c r="H180" s="39">
        <f t="shared" si="10"/>
        <v>0</v>
      </c>
      <c r="J180" s="3" t="str">
        <f t="shared" si="11"/>
        <v/>
      </c>
    </row>
    <row r="181" spans="1:10" x14ac:dyDescent="0.3">
      <c r="A181" s="2"/>
      <c r="D181" t="str">
        <f>IF(C181="","",VLOOKUP(C181,Categorias!$A$2:$C$54,2,FALSE))</f>
        <v/>
      </c>
      <c r="E181" t="str">
        <f>IF(C181="","",VLOOKUP(C181,Categorias!$A$2:$C$54,3,FALSE))</f>
        <v/>
      </c>
      <c r="F181" s="39"/>
      <c r="G181" s="39"/>
      <c r="H181" s="39">
        <f t="shared" si="10"/>
        <v>0</v>
      </c>
      <c r="J181" s="3" t="str">
        <f t="shared" si="11"/>
        <v/>
      </c>
    </row>
    <row r="182" spans="1:10" x14ac:dyDescent="0.3">
      <c r="A182" s="2"/>
      <c r="D182" t="str">
        <f>IF(C182="","",VLOOKUP(C182,Categorias!$A$2:$C$54,2,FALSE))</f>
        <v/>
      </c>
      <c r="E182" t="str">
        <f>IF(C182="","",VLOOKUP(C182,Categorias!$A$2:$C$54,3,FALSE))</f>
        <v/>
      </c>
      <c r="F182" s="39"/>
      <c r="G182" s="39"/>
      <c r="H182" s="39">
        <f t="shared" si="10"/>
        <v>0</v>
      </c>
      <c r="J182" s="3" t="str">
        <f t="shared" si="11"/>
        <v/>
      </c>
    </row>
    <row r="183" spans="1:10" x14ac:dyDescent="0.3">
      <c r="A183" s="2"/>
      <c r="D183" t="str">
        <f>IF(C183="","",VLOOKUP(C183,Categorias!$A$2:$C$54,2,FALSE))</f>
        <v/>
      </c>
      <c r="E183" t="str">
        <f>IF(C183="","",VLOOKUP(C183,Categorias!$A$2:$C$54,3,FALSE))</f>
        <v/>
      </c>
      <c r="F183" s="39"/>
      <c r="G183" s="39"/>
      <c r="H183" s="39">
        <f t="shared" si="10"/>
        <v>0</v>
      </c>
      <c r="J183" s="3" t="str">
        <f t="shared" si="11"/>
        <v/>
      </c>
    </row>
    <row r="184" spans="1:10" x14ac:dyDescent="0.3">
      <c r="A184" s="2"/>
      <c r="D184" t="str">
        <f>IF(C184="","",VLOOKUP(C184,Categorias!$A$2:$C$54,2,FALSE))</f>
        <v/>
      </c>
      <c r="E184" t="str">
        <f>IF(C184="","",VLOOKUP(C184,Categorias!$A$2:$C$54,3,FALSE))</f>
        <v/>
      </c>
      <c r="F184" s="39"/>
      <c r="G184" s="39"/>
      <c r="H184" s="39">
        <f t="shared" si="10"/>
        <v>0</v>
      </c>
      <c r="J184" s="3" t="str">
        <f t="shared" si="11"/>
        <v/>
      </c>
    </row>
    <row r="185" spans="1:10" x14ac:dyDescent="0.3">
      <c r="A185" s="2"/>
      <c r="D185" t="str">
        <f>IF(C185="","",VLOOKUP(C185,Categorias!$A$2:$C$54,2,FALSE))</f>
        <v/>
      </c>
      <c r="E185" t="str">
        <f>IF(C185="","",VLOOKUP(C185,Categorias!$A$2:$C$54,3,FALSE))</f>
        <v/>
      </c>
      <c r="F185" s="39"/>
      <c r="G185" s="39"/>
      <c r="H185" s="39">
        <f t="shared" si="10"/>
        <v>0</v>
      </c>
      <c r="J185" s="3" t="str">
        <f t="shared" si="11"/>
        <v/>
      </c>
    </row>
    <row r="186" spans="1:10" x14ac:dyDescent="0.3">
      <c r="A186" s="2"/>
      <c r="D186" t="str">
        <f>IF(C186="","",VLOOKUP(C186,Categorias!$A$2:$C$54,2,FALSE))</f>
        <v/>
      </c>
      <c r="E186" t="str">
        <f>IF(C186="","",VLOOKUP(C186,Categorias!$A$2:$C$54,3,FALSE))</f>
        <v/>
      </c>
      <c r="F186" s="39"/>
      <c r="G186" s="39"/>
      <c r="H186" s="39">
        <f t="shared" si="10"/>
        <v>0</v>
      </c>
      <c r="J186" s="3" t="str">
        <f t="shared" si="11"/>
        <v/>
      </c>
    </row>
    <row r="187" spans="1:10" x14ac:dyDescent="0.3">
      <c r="A187" s="2"/>
      <c r="D187" t="str">
        <f>IF(C187="","",VLOOKUP(C187,Categorias!$A$2:$C$54,2,FALSE))</f>
        <v/>
      </c>
      <c r="E187" t="str">
        <f>IF(C187="","",VLOOKUP(C187,Categorias!$A$2:$C$54,3,FALSE))</f>
        <v/>
      </c>
      <c r="F187" s="39"/>
      <c r="G187" s="39"/>
      <c r="H187" s="39">
        <f t="shared" si="10"/>
        <v>0</v>
      </c>
      <c r="J187" s="3" t="str">
        <f t="shared" si="11"/>
        <v/>
      </c>
    </row>
    <row r="188" spans="1:10" x14ac:dyDescent="0.3">
      <c r="A188" s="2"/>
      <c r="D188" t="str">
        <f>IF(C188="","",VLOOKUP(C188,Categorias!$A$2:$C$54,2,FALSE))</f>
        <v/>
      </c>
      <c r="E188" t="str">
        <f>IF(C188="","",VLOOKUP(C188,Categorias!$A$2:$C$54,3,FALSE))</f>
        <v/>
      </c>
      <c r="F188" s="39"/>
      <c r="G188" s="39"/>
      <c r="H188" s="39">
        <f t="shared" si="10"/>
        <v>0</v>
      </c>
      <c r="J188" s="3" t="str">
        <f t="shared" si="11"/>
        <v/>
      </c>
    </row>
    <row r="189" spans="1:10" x14ac:dyDescent="0.3">
      <c r="A189" s="2"/>
      <c r="D189" t="str">
        <f>IF(C189="","",VLOOKUP(C189,Categorias!$A$2:$C$54,2,FALSE))</f>
        <v/>
      </c>
      <c r="E189" t="str">
        <f>IF(C189="","",VLOOKUP(C189,Categorias!$A$2:$C$54,3,FALSE))</f>
        <v/>
      </c>
      <c r="F189" s="39"/>
      <c r="G189" s="39"/>
      <c r="H189" s="39">
        <f t="shared" si="10"/>
        <v>0</v>
      </c>
      <c r="J189" s="3" t="str">
        <f t="shared" si="11"/>
        <v/>
      </c>
    </row>
    <row r="190" spans="1:10" x14ac:dyDescent="0.3">
      <c r="A190" s="2"/>
      <c r="D190" t="str">
        <f>IF(C190="","",VLOOKUP(C190,Categorias!$A$2:$C$54,2,FALSE))</f>
        <v/>
      </c>
      <c r="E190" t="str">
        <f>IF(C190="","",VLOOKUP(C190,Categorias!$A$2:$C$54,3,FALSE))</f>
        <v/>
      </c>
      <c r="F190" s="39"/>
      <c r="G190" s="39"/>
      <c r="H190" s="39">
        <f t="shared" si="10"/>
        <v>0</v>
      </c>
      <c r="J190" s="3" t="str">
        <f t="shared" si="11"/>
        <v/>
      </c>
    </row>
    <row r="191" spans="1:10" x14ac:dyDescent="0.3">
      <c r="A191" s="2"/>
      <c r="D191" t="str">
        <f>IF(C191="","",VLOOKUP(C191,Categorias!$A$2:$C$54,2,FALSE))</f>
        <v/>
      </c>
      <c r="E191" t="str">
        <f>IF(C191="","",VLOOKUP(C191,Categorias!$A$2:$C$54,3,FALSE))</f>
        <v/>
      </c>
      <c r="F191" s="39"/>
      <c r="G191" s="39"/>
      <c r="H191" s="39">
        <f t="shared" si="10"/>
        <v>0</v>
      </c>
      <c r="J191" s="3" t="str">
        <f t="shared" si="11"/>
        <v/>
      </c>
    </row>
    <row r="192" spans="1:10" x14ac:dyDescent="0.3">
      <c r="A192" s="2"/>
      <c r="D192" t="str">
        <f>IF(C192="","",VLOOKUP(C192,Categorias!$A$2:$C$54,2,FALSE))</f>
        <v/>
      </c>
      <c r="E192" t="str">
        <f>IF(C192="","",VLOOKUP(C192,Categorias!$A$2:$C$54,3,FALSE))</f>
        <v/>
      </c>
      <c r="F192" s="39"/>
      <c r="G192" s="39"/>
      <c r="H192" s="39">
        <f t="shared" si="10"/>
        <v>0</v>
      </c>
      <c r="J192" s="3" t="str">
        <f t="shared" si="11"/>
        <v/>
      </c>
    </row>
    <row r="193" spans="1:10" x14ac:dyDescent="0.3">
      <c r="A193" s="2"/>
      <c r="D193" t="str">
        <f>IF(C193="","",VLOOKUP(C193,Categorias!$A$2:$C$54,2,FALSE))</f>
        <v/>
      </c>
      <c r="E193" t="str">
        <f>IF(C193="","",VLOOKUP(C193,Categorias!$A$2:$C$54,3,FALSE))</f>
        <v/>
      </c>
      <c r="F193" s="39"/>
      <c r="G193" s="39"/>
      <c r="H193" s="39">
        <f t="shared" si="10"/>
        <v>0</v>
      </c>
      <c r="J193" s="3" t="str">
        <f t="shared" si="11"/>
        <v/>
      </c>
    </row>
    <row r="194" spans="1:10" x14ac:dyDescent="0.3">
      <c r="A194" s="2"/>
      <c r="D194" t="str">
        <f>IF(C194="","",VLOOKUP(C194,Categorias!$A$2:$C$54,2,FALSE))</f>
        <v/>
      </c>
      <c r="E194" t="str">
        <f>IF(C194="","",VLOOKUP(C194,Categorias!$A$2:$C$54,3,FALSE))</f>
        <v/>
      </c>
      <c r="F194" s="39"/>
      <c r="G194" s="39"/>
      <c r="H194" s="39">
        <f t="shared" ref="H194:H200" si="12">IF(F194="",0,F194)-IF(G194="",0,G194)</f>
        <v>0</v>
      </c>
      <c r="J194" s="3" t="str">
        <f t="shared" ref="J194:J200" si="13">IF(A194="","",DATE(YEAR(A194),MONTH(A194),1))</f>
        <v/>
      </c>
    </row>
    <row r="195" spans="1:10" x14ac:dyDescent="0.3">
      <c r="A195" s="2"/>
      <c r="D195" t="str">
        <f>IF(C195="","",VLOOKUP(C195,Categorias!$A$2:$C$54,2,FALSE))</f>
        <v/>
      </c>
      <c r="E195" t="str">
        <f>IF(C195="","",VLOOKUP(C195,Categorias!$A$2:$C$54,3,FALSE))</f>
        <v/>
      </c>
      <c r="F195" s="39"/>
      <c r="G195" s="39"/>
      <c r="H195" s="39">
        <f t="shared" si="12"/>
        <v>0</v>
      </c>
      <c r="J195" s="3" t="str">
        <f t="shared" si="13"/>
        <v/>
      </c>
    </row>
    <row r="196" spans="1:10" x14ac:dyDescent="0.3">
      <c r="A196" s="2"/>
      <c r="D196" t="str">
        <f>IF(C196="","",VLOOKUP(C196,Categorias!$A$2:$C$54,2,FALSE))</f>
        <v/>
      </c>
      <c r="E196" t="str">
        <f>IF(C196="","",VLOOKUP(C196,Categorias!$A$2:$C$54,3,FALSE))</f>
        <v/>
      </c>
      <c r="F196" s="39"/>
      <c r="G196" s="39"/>
      <c r="H196" s="39">
        <f t="shared" si="12"/>
        <v>0</v>
      </c>
      <c r="J196" s="3" t="str">
        <f t="shared" si="13"/>
        <v/>
      </c>
    </row>
    <row r="197" spans="1:10" x14ac:dyDescent="0.3">
      <c r="A197" s="2"/>
      <c r="D197" t="str">
        <f>IF(C197="","",VLOOKUP(C197,Categorias!$A$2:$C$54,2,FALSE))</f>
        <v/>
      </c>
      <c r="E197" t="str">
        <f>IF(C197="","",VLOOKUP(C197,Categorias!$A$2:$C$54,3,FALSE))</f>
        <v/>
      </c>
      <c r="F197" s="39"/>
      <c r="G197" s="39"/>
      <c r="H197" s="39">
        <f t="shared" si="12"/>
        <v>0</v>
      </c>
      <c r="J197" s="3" t="str">
        <f t="shared" si="13"/>
        <v/>
      </c>
    </row>
    <row r="198" spans="1:10" x14ac:dyDescent="0.3">
      <c r="A198" s="2"/>
      <c r="D198" t="str">
        <f>IF(C198="","",VLOOKUP(C198,Categorias!$A$2:$C$54,2,FALSE))</f>
        <v/>
      </c>
      <c r="E198" t="str">
        <f>IF(C198="","",VLOOKUP(C198,Categorias!$A$2:$C$54,3,FALSE))</f>
        <v/>
      </c>
      <c r="F198" s="39"/>
      <c r="G198" s="39"/>
      <c r="H198" s="39">
        <f t="shared" si="12"/>
        <v>0</v>
      </c>
      <c r="J198" s="3" t="str">
        <f t="shared" si="13"/>
        <v/>
      </c>
    </row>
    <row r="199" spans="1:10" x14ac:dyDescent="0.3">
      <c r="A199" s="2"/>
      <c r="D199" t="str">
        <f>IF(C199="","",VLOOKUP(C199,Categorias!$A$2:$C$54,2,FALSE))</f>
        <v/>
      </c>
      <c r="E199" t="str">
        <f>IF(C199="","",VLOOKUP(C199,Categorias!$A$2:$C$54,3,FALSE))</f>
        <v/>
      </c>
      <c r="F199" s="39"/>
      <c r="G199" s="39"/>
      <c r="H199" s="39">
        <f t="shared" si="12"/>
        <v>0</v>
      </c>
      <c r="J199" s="3" t="str">
        <f t="shared" si="13"/>
        <v/>
      </c>
    </row>
    <row r="200" spans="1:10" x14ac:dyDescent="0.3">
      <c r="A200" s="2"/>
      <c r="D200" t="str">
        <f>IF(C200="","",VLOOKUP(C200,Categorias!$A$2:$C$54,2,FALSE))</f>
        <v/>
      </c>
      <c r="E200" t="str">
        <f>IF(C200="","",VLOOKUP(C200,Categorias!$A$2:$C$54,3,FALSE))</f>
        <v/>
      </c>
      <c r="F200" s="39"/>
      <c r="G200" s="39"/>
      <c r="H200" s="39">
        <f t="shared" si="12"/>
        <v>0</v>
      </c>
      <c r="J200" s="3" t="str">
        <f t="shared" si="13"/>
        <v/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90B507-5F0E-42EC-A328-DA2F70E43D7D}">
          <x14:formula1>
            <xm:f>Categorias!$E$2:$E$4</xm:f>
          </x14:formula1>
          <xm:sqref>I2:I200</xm:sqref>
        </x14:dataValidation>
        <x14:dataValidation type="list" allowBlank="1" showInputMessage="1" showErrorMessage="1" xr:uid="{8BA232A7-A06C-4D2B-AD98-3B8734688396}">
          <x14:formula1>
            <xm:f>Categorias!$A$2:$A$54</xm:f>
          </x14:formula1>
          <xm:sqref>C2:C200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D656-3DC7-48B3-9176-291F0988EE86}">
  <dimension ref="A1:F54"/>
  <sheetViews>
    <sheetView workbookViewId="0"/>
  </sheetViews>
  <sheetFormatPr defaultRowHeight="14.4" x14ac:dyDescent="0.3"/>
  <cols>
    <col min="1" max="6" width="2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1" t="s">
        <v>30</v>
      </c>
      <c r="F1" s="1" t="s">
        <v>31</v>
      </c>
    </row>
    <row r="2" spans="1:6" x14ac:dyDescent="0.3">
      <c r="A2" t="s">
        <v>3</v>
      </c>
      <c r="B2" t="s">
        <v>4</v>
      </c>
      <c r="C2" t="s">
        <v>5</v>
      </c>
      <c r="E2" t="s">
        <v>32</v>
      </c>
      <c r="F2" s="39">
        <v>0</v>
      </c>
    </row>
    <row r="3" spans="1:6" x14ac:dyDescent="0.3">
      <c r="A3" t="s">
        <v>6</v>
      </c>
      <c r="B3" t="s">
        <v>4</v>
      </c>
      <c r="C3" t="s">
        <v>5</v>
      </c>
      <c r="E3" t="s">
        <v>33</v>
      </c>
      <c r="F3" s="39">
        <v>0</v>
      </c>
    </row>
    <row r="4" spans="1:6" x14ac:dyDescent="0.3">
      <c r="A4" t="s">
        <v>7</v>
      </c>
      <c r="B4" t="s">
        <v>4</v>
      </c>
      <c r="C4" t="s">
        <v>7</v>
      </c>
      <c r="E4" t="s">
        <v>34</v>
      </c>
      <c r="F4" s="39">
        <v>0</v>
      </c>
    </row>
    <row r="5" spans="1:6" x14ac:dyDescent="0.3">
      <c r="A5" t="s">
        <v>8</v>
      </c>
      <c r="B5" t="s">
        <v>9</v>
      </c>
      <c r="C5" t="s">
        <v>10</v>
      </c>
    </row>
    <row r="6" spans="1:6" x14ac:dyDescent="0.3">
      <c r="A6" t="s">
        <v>11</v>
      </c>
      <c r="B6" t="s">
        <v>9</v>
      </c>
      <c r="C6" t="s">
        <v>10</v>
      </c>
    </row>
    <row r="7" spans="1:6" x14ac:dyDescent="0.3">
      <c r="A7" t="s">
        <v>12</v>
      </c>
      <c r="B7" t="s">
        <v>9</v>
      </c>
      <c r="C7" t="s">
        <v>13</v>
      </c>
    </row>
    <row r="8" spans="1:6" x14ac:dyDescent="0.3">
      <c r="A8" t="s">
        <v>14</v>
      </c>
      <c r="B8" t="s">
        <v>9</v>
      </c>
      <c r="C8" t="s">
        <v>13</v>
      </c>
    </row>
    <row r="9" spans="1:6" x14ac:dyDescent="0.3">
      <c r="A9" t="s">
        <v>15</v>
      </c>
      <c r="B9" t="s">
        <v>9</v>
      </c>
      <c r="C9" t="s">
        <v>16</v>
      </c>
    </row>
    <row r="10" spans="1:6" x14ac:dyDescent="0.3">
      <c r="A10" t="s">
        <v>17</v>
      </c>
      <c r="B10" t="s">
        <v>9</v>
      </c>
      <c r="C10" t="s">
        <v>16</v>
      </c>
    </row>
    <row r="11" spans="1:6" x14ac:dyDescent="0.3">
      <c r="A11" t="s">
        <v>18</v>
      </c>
      <c r="B11" t="s">
        <v>9</v>
      </c>
      <c r="C11" t="s">
        <v>16</v>
      </c>
    </row>
    <row r="12" spans="1:6" x14ac:dyDescent="0.3">
      <c r="A12" t="s">
        <v>19</v>
      </c>
      <c r="B12" t="s">
        <v>9</v>
      </c>
      <c r="C12" t="s">
        <v>16</v>
      </c>
    </row>
    <row r="13" spans="1:6" x14ac:dyDescent="0.3">
      <c r="A13" t="s">
        <v>20</v>
      </c>
      <c r="B13" t="s">
        <v>9</v>
      </c>
      <c r="C13" t="s">
        <v>16</v>
      </c>
    </row>
    <row r="14" spans="1:6" x14ac:dyDescent="0.3">
      <c r="A14" t="s">
        <v>21</v>
      </c>
      <c r="B14" t="s">
        <v>9</v>
      </c>
      <c r="C14" t="s">
        <v>16</v>
      </c>
    </row>
    <row r="15" spans="1:6" x14ac:dyDescent="0.3">
      <c r="A15" t="s">
        <v>22</v>
      </c>
      <c r="B15" t="s">
        <v>9</v>
      </c>
      <c r="C15" t="s">
        <v>16</v>
      </c>
    </row>
    <row r="16" spans="1:6" x14ac:dyDescent="0.3">
      <c r="A16" t="s">
        <v>23</v>
      </c>
      <c r="B16" t="s">
        <v>9</v>
      </c>
      <c r="C16" t="s">
        <v>16</v>
      </c>
    </row>
    <row r="17" spans="1:3" x14ac:dyDescent="0.3">
      <c r="A17" t="s">
        <v>24</v>
      </c>
      <c r="B17" t="s">
        <v>9</v>
      </c>
      <c r="C17" t="s">
        <v>25</v>
      </c>
    </row>
    <row r="18" spans="1:3" x14ac:dyDescent="0.3">
      <c r="A18" t="s">
        <v>26</v>
      </c>
      <c r="B18" t="s">
        <v>9</v>
      </c>
      <c r="C18" t="s">
        <v>25</v>
      </c>
    </row>
    <row r="19" spans="1:3" x14ac:dyDescent="0.3">
      <c r="A19" t="s">
        <v>27</v>
      </c>
      <c r="B19" t="s">
        <v>4</v>
      </c>
      <c r="C19" t="s">
        <v>27</v>
      </c>
    </row>
    <row r="20" spans="1:3" x14ac:dyDescent="0.3">
      <c r="A20" t="s">
        <v>28</v>
      </c>
      <c r="B20" t="s">
        <v>9</v>
      </c>
      <c r="C20" t="s">
        <v>29</v>
      </c>
    </row>
    <row r="21" spans="1:3" x14ac:dyDescent="0.3">
      <c r="A21" t="s">
        <v>88</v>
      </c>
      <c r="B21" t="s">
        <v>4</v>
      </c>
      <c r="C21" t="s">
        <v>5</v>
      </c>
    </row>
    <row r="22" spans="1:3" x14ac:dyDescent="0.3">
      <c r="A22" t="s">
        <v>89</v>
      </c>
      <c r="B22" t="s">
        <v>4</v>
      </c>
      <c r="C22" t="s">
        <v>5</v>
      </c>
    </row>
    <row r="23" spans="1:3" x14ac:dyDescent="0.3">
      <c r="A23" t="s">
        <v>90</v>
      </c>
      <c r="B23" t="s">
        <v>4</v>
      </c>
      <c r="C23" t="s">
        <v>7</v>
      </c>
    </row>
    <row r="24" spans="1:3" x14ac:dyDescent="0.3">
      <c r="A24" t="s">
        <v>91</v>
      </c>
      <c r="B24" t="s">
        <v>4</v>
      </c>
      <c r="C24" t="s">
        <v>7</v>
      </c>
    </row>
    <row r="25" spans="1:3" x14ac:dyDescent="0.3">
      <c r="A25" t="s">
        <v>92</v>
      </c>
      <c r="B25" t="s">
        <v>4</v>
      </c>
      <c r="C25" t="s">
        <v>7</v>
      </c>
    </row>
    <row r="26" spans="1:3" x14ac:dyDescent="0.3">
      <c r="A26" t="s">
        <v>93</v>
      </c>
      <c r="B26" t="s">
        <v>4</v>
      </c>
      <c r="C26" t="s">
        <v>7</v>
      </c>
    </row>
    <row r="27" spans="1:3" x14ac:dyDescent="0.3">
      <c r="A27" t="s">
        <v>94</v>
      </c>
      <c r="B27" t="s">
        <v>4</v>
      </c>
      <c r="C27" t="s">
        <v>7</v>
      </c>
    </row>
    <row r="28" spans="1:3" x14ac:dyDescent="0.3">
      <c r="A28" t="s">
        <v>95</v>
      </c>
      <c r="B28" t="s">
        <v>9</v>
      </c>
      <c r="C28" t="s">
        <v>16</v>
      </c>
    </row>
    <row r="29" spans="1:3" x14ac:dyDescent="0.3">
      <c r="A29" t="s">
        <v>96</v>
      </c>
      <c r="B29" t="s">
        <v>9</v>
      </c>
      <c r="C29" t="s">
        <v>13</v>
      </c>
    </row>
    <row r="30" spans="1:3" x14ac:dyDescent="0.3">
      <c r="A30" t="s">
        <v>97</v>
      </c>
      <c r="B30" t="s">
        <v>9</v>
      </c>
      <c r="C30" t="s">
        <v>16</v>
      </c>
    </row>
    <row r="31" spans="1:3" x14ac:dyDescent="0.3">
      <c r="A31" t="s">
        <v>98</v>
      </c>
      <c r="B31" t="s">
        <v>9</v>
      </c>
      <c r="C31" t="s">
        <v>16</v>
      </c>
    </row>
    <row r="32" spans="1:3" x14ac:dyDescent="0.3">
      <c r="A32" t="s">
        <v>99</v>
      </c>
      <c r="B32" t="s">
        <v>9</v>
      </c>
      <c r="C32" t="s">
        <v>16</v>
      </c>
    </row>
    <row r="33" spans="1:3" x14ac:dyDescent="0.3">
      <c r="A33" t="s">
        <v>100</v>
      </c>
      <c r="B33" t="s">
        <v>9</v>
      </c>
      <c r="C33" t="s">
        <v>16</v>
      </c>
    </row>
    <row r="34" spans="1:3" x14ac:dyDescent="0.3">
      <c r="A34" t="s">
        <v>101</v>
      </c>
      <c r="B34" t="s">
        <v>9</v>
      </c>
      <c r="C34" t="s">
        <v>16</v>
      </c>
    </row>
    <row r="35" spans="1:3" x14ac:dyDescent="0.3">
      <c r="A35" t="s">
        <v>102</v>
      </c>
      <c r="B35" t="s">
        <v>9</v>
      </c>
      <c r="C35" t="s">
        <v>16</v>
      </c>
    </row>
    <row r="36" spans="1:3" x14ac:dyDescent="0.3">
      <c r="A36" t="s">
        <v>103</v>
      </c>
      <c r="B36" t="s">
        <v>9</v>
      </c>
      <c r="C36" t="s">
        <v>16</v>
      </c>
    </row>
    <row r="37" spans="1:3" x14ac:dyDescent="0.3">
      <c r="A37" t="s">
        <v>104</v>
      </c>
      <c r="B37" t="s">
        <v>9</v>
      </c>
      <c r="C37" t="s">
        <v>16</v>
      </c>
    </row>
    <row r="38" spans="1:3" x14ac:dyDescent="0.3">
      <c r="A38" t="s">
        <v>105</v>
      </c>
      <c r="B38" t="s">
        <v>9</v>
      </c>
      <c r="C38" t="s">
        <v>16</v>
      </c>
    </row>
    <row r="39" spans="1:3" x14ac:dyDescent="0.3">
      <c r="A39" t="s">
        <v>106</v>
      </c>
      <c r="B39" t="s">
        <v>9</v>
      </c>
      <c r="C39" t="s">
        <v>16</v>
      </c>
    </row>
    <row r="40" spans="1:3" x14ac:dyDescent="0.3">
      <c r="A40" t="s">
        <v>107</v>
      </c>
      <c r="B40" t="s">
        <v>9</v>
      </c>
      <c r="C40" t="s">
        <v>16</v>
      </c>
    </row>
    <row r="41" spans="1:3" x14ac:dyDescent="0.3">
      <c r="A41" t="s">
        <v>108</v>
      </c>
      <c r="B41" t="s">
        <v>9</v>
      </c>
      <c r="C41" t="s">
        <v>16</v>
      </c>
    </row>
    <row r="42" spans="1:3" x14ac:dyDescent="0.3">
      <c r="A42" t="s">
        <v>109</v>
      </c>
      <c r="B42" t="s">
        <v>9</v>
      </c>
      <c r="C42" t="s">
        <v>16</v>
      </c>
    </row>
    <row r="43" spans="1:3" x14ac:dyDescent="0.3">
      <c r="A43" t="s">
        <v>110</v>
      </c>
      <c r="B43" t="s">
        <v>9</v>
      </c>
      <c r="C43" t="s">
        <v>16</v>
      </c>
    </row>
    <row r="44" spans="1:3" x14ac:dyDescent="0.3">
      <c r="A44" t="s">
        <v>111</v>
      </c>
      <c r="B44" t="s">
        <v>9</v>
      </c>
      <c r="C44" t="s">
        <v>16</v>
      </c>
    </row>
    <row r="45" spans="1:3" x14ac:dyDescent="0.3">
      <c r="A45" t="s">
        <v>112</v>
      </c>
      <c r="B45" t="s">
        <v>9</v>
      </c>
      <c r="C45" t="s">
        <v>25</v>
      </c>
    </row>
    <row r="46" spans="1:3" x14ac:dyDescent="0.3">
      <c r="A46" t="s">
        <v>113</v>
      </c>
      <c r="B46" t="s">
        <v>9</v>
      </c>
      <c r="C46" t="s">
        <v>25</v>
      </c>
    </row>
    <row r="47" spans="1:3" x14ac:dyDescent="0.3">
      <c r="A47" t="s">
        <v>114</v>
      </c>
      <c r="B47" t="s">
        <v>9</v>
      </c>
      <c r="C47" t="s">
        <v>25</v>
      </c>
    </row>
    <row r="48" spans="1:3" x14ac:dyDescent="0.3">
      <c r="A48" t="s">
        <v>115</v>
      </c>
      <c r="B48" t="s">
        <v>9</v>
      </c>
      <c r="C48" t="s">
        <v>13</v>
      </c>
    </row>
    <row r="49" spans="1:3" x14ac:dyDescent="0.3">
      <c r="A49" t="s">
        <v>116</v>
      </c>
      <c r="B49" t="s">
        <v>9</v>
      </c>
      <c r="C49" t="s">
        <v>16</v>
      </c>
    </row>
    <row r="50" spans="1:3" x14ac:dyDescent="0.3">
      <c r="A50" t="s">
        <v>117</v>
      </c>
      <c r="B50" t="s">
        <v>9</v>
      </c>
      <c r="C50" t="s">
        <v>16</v>
      </c>
    </row>
    <row r="51" spans="1:3" x14ac:dyDescent="0.3">
      <c r="A51" t="s">
        <v>118</v>
      </c>
      <c r="B51" t="s">
        <v>9</v>
      </c>
      <c r="C51" t="s">
        <v>29</v>
      </c>
    </row>
    <row r="52" spans="1:3" x14ac:dyDescent="0.3">
      <c r="A52" t="s">
        <v>119</v>
      </c>
      <c r="B52" t="s">
        <v>9</v>
      </c>
      <c r="C52" t="s">
        <v>10</v>
      </c>
    </row>
    <row r="53" spans="1:3" x14ac:dyDescent="0.3">
      <c r="A53" t="s">
        <v>120</v>
      </c>
      <c r="B53" t="s">
        <v>9</v>
      </c>
      <c r="C53" t="s">
        <v>10</v>
      </c>
    </row>
    <row r="54" spans="1:3" x14ac:dyDescent="0.3">
      <c r="A54" t="s">
        <v>121</v>
      </c>
      <c r="B54" t="s">
        <v>9</v>
      </c>
      <c r="C54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901C-D006-4302-8878-4A61F37CC4A1}">
  <dimension ref="A1:N18"/>
  <sheetViews>
    <sheetView workbookViewId="0">
      <selection sqref="A1:N1"/>
    </sheetView>
  </sheetViews>
  <sheetFormatPr defaultRowHeight="14.4" x14ac:dyDescent="0.3"/>
  <cols>
    <col min="1" max="1" width="40.77734375" customWidth="1"/>
    <col min="2" max="2" width="13" bestFit="1" customWidth="1"/>
    <col min="3" max="3" width="14" bestFit="1" customWidth="1"/>
    <col min="14" max="14" width="14.33203125" bestFit="1" customWidth="1"/>
  </cols>
  <sheetData>
    <row r="1" spans="1:14" ht="18" x14ac:dyDescent="0.35">
      <c r="A1" s="73" t="s">
        <v>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3" spans="1:14" x14ac:dyDescent="0.3">
      <c r="A3" s="4" t="s">
        <v>42</v>
      </c>
      <c r="B3" s="5">
        <f ca="1">YEAR(TODAY())</f>
        <v>2026</v>
      </c>
    </row>
    <row r="5" spans="1:14" x14ac:dyDescent="0.3">
      <c r="A5" s="1" t="s">
        <v>43</v>
      </c>
      <c r="B5" s="7">
        <f ca="1">DATE($B$3,1,1)</f>
        <v>46023</v>
      </c>
      <c r="C5" s="7">
        <f ca="1">EDATE(B5,1)</f>
        <v>46054</v>
      </c>
      <c r="D5" s="7">
        <f ca="1">EDATE(B5,2)</f>
        <v>46082</v>
      </c>
      <c r="E5" s="7">
        <f ca="1">EDATE(B5,3)</f>
        <v>46113</v>
      </c>
      <c r="F5" s="7">
        <f ca="1">EDATE(B5,4)</f>
        <v>46143</v>
      </c>
      <c r="G5" s="7">
        <f ca="1">EDATE(B5,5)</f>
        <v>46174</v>
      </c>
      <c r="H5" s="7">
        <f ca="1">EDATE(B5,6)</f>
        <v>46204</v>
      </c>
      <c r="I5" s="7">
        <f ca="1">EDATE(B5,7)</f>
        <v>46235</v>
      </c>
      <c r="J5" s="7">
        <f ca="1">EDATE(B5,8)</f>
        <v>46266</v>
      </c>
      <c r="K5" s="7">
        <f ca="1">EDATE(B5,9)</f>
        <v>46296</v>
      </c>
      <c r="L5" s="7">
        <f ca="1">EDATE(B5,10)</f>
        <v>46327</v>
      </c>
      <c r="M5" s="7">
        <f ca="1">EDATE(B5,11)</f>
        <v>46357</v>
      </c>
      <c r="N5" s="6" t="s">
        <v>44</v>
      </c>
    </row>
    <row r="6" spans="1:14" x14ac:dyDescent="0.3">
      <c r="A6" s="4" t="s">
        <v>45</v>
      </c>
      <c r="B6" s="39">
        <f ca="1">SUMIFS(Lançamentos!$F:$F,Lançamentos!$E:$E,"Receita Bruta",Lançamentos!$J:$J,B$5)</f>
        <v>15000</v>
      </c>
      <c r="C6" s="39">
        <f ca="1">SUMIFS(Lançamentos!$F:$F,Lançamentos!$E:$E,"Receita Bruta",Lançamentos!$J:$J,C$5)</f>
        <v>8000</v>
      </c>
      <c r="D6" s="39">
        <f ca="1">SUMIFS(Lançamentos!$F:$F,Lançamentos!$E:$E,"Receita Bruta",Lançamentos!$J:$J,D$5)</f>
        <v>0</v>
      </c>
      <c r="E6" s="39">
        <f ca="1">SUMIFS(Lançamentos!$F:$F,Lançamentos!$E:$E,"Receita Bruta",Lançamentos!$J:$J,E$5)</f>
        <v>0</v>
      </c>
      <c r="F6" s="39">
        <f ca="1">SUMIFS(Lançamentos!$F:$F,Lançamentos!$E:$E,"Receita Bruta",Lançamentos!$J:$J,F$5)</f>
        <v>25000</v>
      </c>
      <c r="G6" s="39">
        <f ca="1">SUMIFS(Lançamentos!$F:$F,Lançamentos!$E:$E,"Receita Bruta",Lançamentos!$J:$J,G$5)</f>
        <v>0</v>
      </c>
      <c r="H6" s="39">
        <f ca="1">SUMIFS(Lançamentos!$F:$F,Lançamentos!$E:$E,"Receita Bruta",Lançamentos!$J:$J,H$5)</f>
        <v>0</v>
      </c>
      <c r="I6" s="39">
        <f ca="1">SUMIFS(Lançamentos!$F:$F,Lançamentos!$E:$E,"Receita Bruta",Lançamentos!$J:$J,I$5)</f>
        <v>0</v>
      </c>
      <c r="J6" s="39">
        <f ca="1">SUMIFS(Lançamentos!$F:$F,Lançamentos!$E:$E,"Receita Bruta",Lançamentos!$J:$J,J$5)</f>
        <v>0</v>
      </c>
      <c r="K6" s="39">
        <f ca="1">SUMIFS(Lançamentos!$F:$F,Lançamentos!$E:$E,"Receita Bruta",Lançamentos!$J:$J,K$5)</f>
        <v>0</v>
      </c>
      <c r="L6" s="39">
        <f ca="1">SUMIFS(Lançamentos!$F:$F,Lançamentos!$E:$E,"Receita Bruta",Lançamentos!$J:$J,L$5)</f>
        <v>0</v>
      </c>
      <c r="M6" s="39">
        <f ca="1">SUMIFS(Lançamentos!$F:$F,Lançamentos!$E:$E,"Receita Bruta",Lançamentos!$J:$J,M$5)</f>
        <v>0</v>
      </c>
      <c r="N6" s="41">
        <f t="shared" ref="N6:N18" ca="1" si="0">SUM(B6:M6)</f>
        <v>48000</v>
      </c>
    </row>
    <row r="7" spans="1:14" x14ac:dyDescent="0.3">
      <c r="A7" s="9" t="s">
        <v>46</v>
      </c>
      <c r="B7" s="39">
        <f ca="1">-SUMIFS(Lançamentos!$G:$G,Lançamentos!$E:$E,"Deduções",Lançamentos!$J:$J,B$5)</f>
        <v>0</v>
      </c>
      <c r="C7" s="39">
        <f ca="1">-SUMIFS(Lançamentos!$G:$G,Lançamentos!$E:$E,"Deduções",Lançamentos!$J:$J,C$5)</f>
        <v>0</v>
      </c>
      <c r="D7" s="39">
        <f ca="1">-SUMIFS(Lançamentos!$G:$G,Lançamentos!$E:$E,"Deduções",Lançamentos!$J:$J,D$5)</f>
        <v>0</v>
      </c>
      <c r="E7" s="39">
        <f ca="1">-SUMIFS(Lançamentos!$G:$G,Lançamentos!$E:$E,"Deduções",Lançamentos!$J:$J,E$5)</f>
        <v>0</v>
      </c>
      <c r="F7" s="39">
        <f ca="1">-SUMIFS(Lançamentos!$G:$G,Lançamentos!$E:$E,"Deduções",Lançamentos!$J:$J,F$5)</f>
        <v>0</v>
      </c>
      <c r="G7" s="39">
        <f ca="1">-SUMIFS(Lançamentos!$G:$G,Lançamentos!$E:$E,"Deduções",Lançamentos!$J:$J,G$5)</f>
        <v>0</v>
      </c>
      <c r="H7" s="39">
        <f ca="1">-SUMIFS(Lançamentos!$G:$G,Lançamentos!$E:$E,"Deduções",Lançamentos!$J:$J,H$5)</f>
        <v>0</v>
      </c>
      <c r="I7" s="39">
        <f ca="1">-SUMIFS(Lançamentos!$G:$G,Lançamentos!$E:$E,"Deduções",Lançamentos!$J:$J,I$5)</f>
        <v>0</v>
      </c>
      <c r="J7" s="39">
        <f ca="1">-SUMIFS(Lançamentos!$G:$G,Lançamentos!$E:$E,"Deduções",Lançamentos!$J:$J,J$5)</f>
        <v>0</v>
      </c>
      <c r="K7" s="39">
        <f ca="1">-SUMIFS(Lançamentos!$G:$G,Lançamentos!$E:$E,"Deduções",Lançamentos!$J:$J,K$5)</f>
        <v>0</v>
      </c>
      <c r="L7" s="39">
        <f ca="1">-SUMIFS(Lançamentos!$G:$G,Lançamentos!$E:$E,"Deduções",Lançamentos!$J:$J,L$5)</f>
        <v>0</v>
      </c>
      <c r="M7" s="39">
        <f ca="1">-SUMIFS(Lançamentos!$G:$G,Lançamentos!$E:$E,"Deduções",Lançamentos!$J:$J,M$5)</f>
        <v>0</v>
      </c>
      <c r="N7" s="41">
        <f t="shared" ca="1" si="0"/>
        <v>0</v>
      </c>
    </row>
    <row r="8" spans="1:14" x14ac:dyDescent="0.3">
      <c r="A8" s="10" t="s">
        <v>47</v>
      </c>
      <c r="B8" s="42">
        <f ca="1">B6+B7</f>
        <v>15000</v>
      </c>
      <c r="C8" s="42">
        <f t="shared" ref="C8:M8" ca="1" si="1">C6+C7</f>
        <v>8000</v>
      </c>
      <c r="D8" s="42">
        <f t="shared" ca="1" si="1"/>
        <v>0</v>
      </c>
      <c r="E8" s="42">
        <f t="shared" ca="1" si="1"/>
        <v>0</v>
      </c>
      <c r="F8" s="42">
        <f t="shared" ca="1" si="1"/>
        <v>25000</v>
      </c>
      <c r="G8" s="42">
        <f t="shared" ca="1" si="1"/>
        <v>0</v>
      </c>
      <c r="H8" s="42">
        <f t="shared" ca="1" si="1"/>
        <v>0</v>
      </c>
      <c r="I8" s="42">
        <f t="shared" ca="1" si="1"/>
        <v>0</v>
      </c>
      <c r="J8" s="42">
        <f t="shared" ca="1" si="1"/>
        <v>0</v>
      </c>
      <c r="K8" s="42">
        <f t="shared" ca="1" si="1"/>
        <v>0</v>
      </c>
      <c r="L8" s="42">
        <f t="shared" ca="1" si="1"/>
        <v>0</v>
      </c>
      <c r="M8" s="42">
        <f t="shared" ca="1" si="1"/>
        <v>0</v>
      </c>
      <c r="N8" s="41">
        <f t="shared" ca="1" si="0"/>
        <v>48000</v>
      </c>
    </row>
    <row r="9" spans="1:14" x14ac:dyDescent="0.3">
      <c r="A9" s="9" t="s">
        <v>48</v>
      </c>
      <c r="B9" s="39">
        <f ca="1">-SUMIFS(Lançamentos!$G:$G,Lançamentos!$E:$E,"CMV",Lançamentos!$J:$J,B$5)</f>
        <v>0</v>
      </c>
      <c r="C9" s="39">
        <f ca="1">-SUMIFS(Lançamentos!$G:$G,Lançamentos!$E:$E,"CMV",Lançamentos!$J:$J,C$5)</f>
        <v>0</v>
      </c>
      <c r="D9" s="39">
        <f ca="1">-SUMIFS(Lançamentos!$G:$G,Lançamentos!$E:$E,"CMV",Lançamentos!$J:$J,D$5)</f>
        <v>0</v>
      </c>
      <c r="E9" s="39">
        <f ca="1">-SUMIFS(Lançamentos!$G:$G,Lançamentos!$E:$E,"CMV",Lançamentos!$J:$J,E$5)</f>
        <v>0</v>
      </c>
      <c r="F9" s="39">
        <f ca="1">-SUMIFS(Lançamentos!$G:$G,Lançamentos!$E:$E,"CMV",Lançamentos!$J:$J,F$5)</f>
        <v>0</v>
      </c>
      <c r="G9" s="39">
        <f ca="1">-SUMIFS(Lançamentos!$G:$G,Lançamentos!$E:$E,"CMV",Lançamentos!$J:$J,G$5)</f>
        <v>0</v>
      </c>
      <c r="H9" s="39">
        <f ca="1">-SUMIFS(Lançamentos!$G:$G,Lançamentos!$E:$E,"CMV",Lançamentos!$J:$J,H$5)</f>
        <v>0</v>
      </c>
      <c r="I9" s="39">
        <f ca="1">-SUMIFS(Lançamentos!$G:$G,Lançamentos!$E:$E,"CMV",Lançamentos!$J:$J,I$5)</f>
        <v>0</v>
      </c>
      <c r="J9" s="39">
        <f ca="1">-SUMIFS(Lançamentos!$G:$G,Lançamentos!$E:$E,"CMV",Lançamentos!$J:$J,J$5)</f>
        <v>0</v>
      </c>
      <c r="K9" s="39">
        <f ca="1">-SUMIFS(Lançamentos!$G:$G,Lançamentos!$E:$E,"CMV",Lançamentos!$J:$J,K$5)</f>
        <v>0</v>
      </c>
      <c r="L9" s="39">
        <f ca="1">-SUMIFS(Lançamentos!$G:$G,Lançamentos!$E:$E,"CMV",Lançamentos!$J:$J,L$5)</f>
        <v>0</v>
      </c>
      <c r="M9" s="39">
        <f ca="1">-SUMIFS(Lançamentos!$G:$G,Lançamentos!$E:$E,"CMV",Lançamentos!$J:$J,M$5)</f>
        <v>0</v>
      </c>
      <c r="N9" s="41">
        <f t="shared" ca="1" si="0"/>
        <v>0</v>
      </c>
    </row>
    <row r="10" spans="1:14" x14ac:dyDescent="0.3">
      <c r="A10" s="10" t="s">
        <v>49</v>
      </c>
      <c r="B10" s="42">
        <f ca="1">B8+B9</f>
        <v>15000</v>
      </c>
      <c r="C10" s="42">
        <f t="shared" ref="C10:M10" ca="1" si="2">C8+C9</f>
        <v>8000</v>
      </c>
      <c r="D10" s="42">
        <f t="shared" ca="1" si="2"/>
        <v>0</v>
      </c>
      <c r="E10" s="42">
        <f t="shared" ca="1" si="2"/>
        <v>0</v>
      </c>
      <c r="F10" s="42">
        <f t="shared" ca="1" si="2"/>
        <v>25000</v>
      </c>
      <c r="G10" s="42">
        <f t="shared" ca="1" si="2"/>
        <v>0</v>
      </c>
      <c r="H10" s="42">
        <f t="shared" ca="1" si="2"/>
        <v>0</v>
      </c>
      <c r="I10" s="42">
        <f t="shared" ca="1" si="2"/>
        <v>0</v>
      </c>
      <c r="J10" s="42">
        <f t="shared" ca="1" si="2"/>
        <v>0</v>
      </c>
      <c r="K10" s="42">
        <f t="shared" ca="1" si="2"/>
        <v>0</v>
      </c>
      <c r="L10" s="42">
        <f t="shared" ca="1" si="2"/>
        <v>0</v>
      </c>
      <c r="M10" s="42">
        <f t="shared" ca="1" si="2"/>
        <v>0</v>
      </c>
      <c r="N10" s="41">
        <f t="shared" ca="1" si="0"/>
        <v>48000</v>
      </c>
    </row>
    <row r="11" spans="1:14" x14ac:dyDescent="0.3">
      <c r="A11" s="9" t="s">
        <v>50</v>
      </c>
      <c r="B11" s="39">
        <f ca="1">-SUMIFS(Lançamentos!$G:$G,Lançamentos!$E:$E,"Despesas Operacionais",Lançamentos!$J:$J,B$5)</f>
        <v>-3500</v>
      </c>
      <c r="C11" s="39">
        <f ca="1">-SUMIFS(Lançamentos!$G:$G,Lançamentos!$E:$E,"Despesas Operacionais",Lançamentos!$J:$J,C$5)</f>
        <v>-12000</v>
      </c>
      <c r="D11" s="39">
        <f ca="1">-SUMIFS(Lançamentos!$G:$G,Lançamentos!$E:$E,"Despesas Operacionais",Lançamentos!$J:$J,D$5)</f>
        <v>0</v>
      </c>
      <c r="E11" s="39">
        <f ca="1">-SUMIFS(Lançamentos!$G:$G,Lançamentos!$E:$E,"Despesas Operacionais",Lançamentos!$J:$J,E$5)</f>
        <v>0</v>
      </c>
      <c r="F11" s="39">
        <f ca="1">-SUMIFS(Lançamentos!$G:$G,Lançamentos!$E:$E,"Despesas Operacionais",Lançamentos!$J:$J,F$5)</f>
        <v>0</v>
      </c>
      <c r="G11" s="39">
        <f ca="1">-SUMIFS(Lançamentos!$G:$G,Lançamentos!$E:$E,"Despesas Operacionais",Lançamentos!$J:$J,G$5)</f>
        <v>0</v>
      </c>
      <c r="H11" s="39">
        <f ca="1">-SUMIFS(Lançamentos!$G:$G,Lançamentos!$E:$E,"Despesas Operacionais",Lançamentos!$J:$J,H$5)</f>
        <v>0</v>
      </c>
      <c r="I11" s="39">
        <f ca="1">-SUMIFS(Lançamentos!$G:$G,Lançamentos!$E:$E,"Despesas Operacionais",Lançamentos!$J:$J,I$5)</f>
        <v>0</v>
      </c>
      <c r="J11" s="39">
        <f ca="1">-SUMIFS(Lançamentos!$G:$G,Lançamentos!$E:$E,"Despesas Operacionais",Lançamentos!$J:$J,J$5)</f>
        <v>0</v>
      </c>
      <c r="K11" s="39">
        <f ca="1">-SUMIFS(Lançamentos!$G:$G,Lançamentos!$E:$E,"Despesas Operacionais",Lançamentos!$J:$J,K$5)</f>
        <v>0</v>
      </c>
      <c r="L11" s="39">
        <f ca="1">-SUMIFS(Lançamentos!$G:$G,Lançamentos!$E:$E,"Despesas Operacionais",Lançamentos!$J:$J,L$5)</f>
        <v>0</v>
      </c>
      <c r="M11" s="39">
        <f ca="1">-SUMIFS(Lançamentos!$G:$G,Lançamentos!$E:$E,"Despesas Operacionais",Lançamentos!$J:$J,M$5)</f>
        <v>0</v>
      </c>
      <c r="N11" s="41">
        <f t="shared" ca="1" si="0"/>
        <v>-15500</v>
      </c>
    </row>
    <row r="12" spans="1:14" x14ac:dyDescent="0.3">
      <c r="A12" s="10" t="s">
        <v>51</v>
      </c>
      <c r="B12" s="42">
        <f ca="1">B10+B11</f>
        <v>11500</v>
      </c>
      <c r="C12" s="42">
        <f t="shared" ref="C12:M12" ca="1" si="3">C10+C11</f>
        <v>-4000</v>
      </c>
      <c r="D12" s="42">
        <f t="shared" ca="1" si="3"/>
        <v>0</v>
      </c>
      <c r="E12" s="42">
        <f t="shared" ca="1" si="3"/>
        <v>0</v>
      </c>
      <c r="F12" s="42">
        <f t="shared" ca="1" si="3"/>
        <v>25000</v>
      </c>
      <c r="G12" s="42">
        <f t="shared" ca="1" si="3"/>
        <v>0</v>
      </c>
      <c r="H12" s="42">
        <f t="shared" ca="1" si="3"/>
        <v>0</v>
      </c>
      <c r="I12" s="42">
        <f t="shared" ca="1" si="3"/>
        <v>0</v>
      </c>
      <c r="J12" s="42">
        <f t="shared" ca="1" si="3"/>
        <v>0</v>
      </c>
      <c r="K12" s="42">
        <f t="shared" ca="1" si="3"/>
        <v>0</v>
      </c>
      <c r="L12" s="42">
        <f t="shared" ca="1" si="3"/>
        <v>0</v>
      </c>
      <c r="M12" s="42">
        <f t="shared" ca="1" si="3"/>
        <v>0</v>
      </c>
      <c r="N12" s="41">
        <f t="shared" ca="1" si="0"/>
        <v>32500</v>
      </c>
    </row>
    <row r="13" spans="1:14" x14ac:dyDescent="0.3">
      <c r="A13" s="9" t="s">
        <v>52</v>
      </c>
      <c r="B13" s="39">
        <f ca="1">SUMIFS(Lançamentos!$F:$F,Lançamentos!$E:$E,"Receitas Financeiras",Lançamentos!$J:$J,B$5)</f>
        <v>0</v>
      </c>
      <c r="C13" s="39">
        <f ca="1">SUMIFS(Lançamentos!$F:$F,Lançamentos!$E:$E,"Receitas Financeiras",Lançamentos!$J:$J,C$5)</f>
        <v>0</v>
      </c>
      <c r="D13" s="39">
        <f ca="1">SUMIFS(Lançamentos!$F:$F,Lançamentos!$E:$E,"Receitas Financeiras",Lançamentos!$J:$J,D$5)</f>
        <v>0</v>
      </c>
      <c r="E13" s="39">
        <f ca="1">SUMIFS(Lançamentos!$F:$F,Lançamentos!$E:$E,"Receitas Financeiras",Lançamentos!$J:$J,E$5)</f>
        <v>0</v>
      </c>
      <c r="F13" s="39">
        <f ca="1">SUMIFS(Lançamentos!$F:$F,Lançamentos!$E:$E,"Receitas Financeiras",Lançamentos!$J:$J,F$5)</f>
        <v>0</v>
      </c>
      <c r="G13" s="39">
        <f ca="1">SUMIFS(Lançamentos!$F:$F,Lançamentos!$E:$E,"Receitas Financeiras",Lançamentos!$J:$J,G$5)</f>
        <v>0</v>
      </c>
      <c r="H13" s="39">
        <f ca="1">SUMIFS(Lançamentos!$F:$F,Lançamentos!$E:$E,"Receitas Financeiras",Lançamentos!$J:$J,H$5)</f>
        <v>0</v>
      </c>
      <c r="I13" s="39">
        <f ca="1">SUMIFS(Lançamentos!$F:$F,Lançamentos!$E:$E,"Receitas Financeiras",Lançamentos!$J:$J,I$5)</f>
        <v>0</v>
      </c>
      <c r="J13" s="39">
        <f ca="1">SUMIFS(Lançamentos!$F:$F,Lançamentos!$E:$E,"Receitas Financeiras",Lançamentos!$J:$J,J$5)</f>
        <v>0</v>
      </c>
      <c r="K13" s="39">
        <f ca="1">SUMIFS(Lançamentos!$F:$F,Lançamentos!$E:$E,"Receitas Financeiras",Lançamentos!$J:$J,K$5)</f>
        <v>0</v>
      </c>
      <c r="L13" s="39">
        <f ca="1">SUMIFS(Lançamentos!$F:$F,Lançamentos!$E:$E,"Receitas Financeiras",Lançamentos!$J:$J,L$5)</f>
        <v>0</v>
      </c>
      <c r="M13" s="39">
        <f ca="1">SUMIFS(Lançamentos!$F:$F,Lançamentos!$E:$E,"Receitas Financeiras",Lançamentos!$J:$J,M$5)</f>
        <v>0</v>
      </c>
      <c r="N13" s="41">
        <f t="shared" ca="1" si="0"/>
        <v>0</v>
      </c>
    </row>
    <row r="14" spans="1:14" x14ac:dyDescent="0.3">
      <c r="A14" s="11" t="s">
        <v>53</v>
      </c>
      <c r="B14" s="39">
        <f ca="1">-SUMIFS(Lançamentos!$G:$G,Lançamentos!$E:$E,"Despesas Financeiras",Lançamentos!$J:$J,B$5)</f>
        <v>0</v>
      </c>
      <c r="C14" s="39">
        <f ca="1">-SUMIFS(Lançamentos!$G:$G,Lançamentos!$E:$E,"Despesas Financeiras",Lançamentos!$J:$J,C$5)</f>
        <v>0</v>
      </c>
      <c r="D14" s="39">
        <f ca="1">-SUMIFS(Lançamentos!$G:$G,Lançamentos!$E:$E,"Despesas Financeiras",Lançamentos!$J:$J,D$5)</f>
        <v>0</v>
      </c>
      <c r="E14" s="39">
        <f ca="1">-SUMIFS(Lançamentos!$G:$G,Lançamentos!$E:$E,"Despesas Financeiras",Lançamentos!$J:$J,E$5)</f>
        <v>0</v>
      </c>
      <c r="F14" s="39">
        <f ca="1">-SUMIFS(Lançamentos!$G:$G,Lançamentos!$E:$E,"Despesas Financeiras",Lançamentos!$J:$J,F$5)</f>
        <v>0</v>
      </c>
      <c r="G14" s="39">
        <f ca="1">-SUMIFS(Lançamentos!$G:$G,Lançamentos!$E:$E,"Despesas Financeiras",Lançamentos!$J:$J,G$5)</f>
        <v>0</v>
      </c>
      <c r="H14" s="39">
        <f ca="1">-SUMIFS(Lançamentos!$G:$G,Lançamentos!$E:$E,"Despesas Financeiras",Lançamentos!$J:$J,H$5)</f>
        <v>0</v>
      </c>
      <c r="I14" s="39">
        <f ca="1">-SUMIFS(Lançamentos!$G:$G,Lançamentos!$E:$E,"Despesas Financeiras",Lançamentos!$J:$J,I$5)</f>
        <v>0</v>
      </c>
      <c r="J14" s="39">
        <f ca="1">-SUMIFS(Lançamentos!$G:$G,Lançamentos!$E:$E,"Despesas Financeiras",Lançamentos!$J:$J,J$5)</f>
        <v>0</v>
      </c>
      <c r="K14" s="39">
        <f ca="1">-SUMIFS(Lançamentos!$G:$G,Lançamentos!$E:$E,"Despesas Financeiras",Lançamentos!$J:$J,K$5)</f>
        <v>0</v>
      </c>
      <c r="L14" s="39">
        <f ca="1">-SUMIFS(Lançamentos!$G:$G,Lançamentos!$E:$E,"Despesas Financeiras",Lançamentos!$J:$J,L$5)</f>
        <v>0</v>
      </c>
      <c r="M14" s="39">
        <f ca="1">-SUMIFS(Lançamentos!$G:$G,Lançamentos!$E:$E,"Despesas Financeiras",Lançamentos!$J:$J,M$5)</f>
        <v>0</v>
      </c>
      <c r="N14" s="41">
        <f t="shared" ca="1" si="0"/>
        <v>0</v>
      </c>
    </row>
    <row r="15" spans="1:14" x14ac:dyDescent="0.3">
      <c r="A15" t="s">
        <v>54</v>
      </c>
      <c r="B15" s="39">
        <f ca="1">SUMIFS(Lançamentos!$F:$F,Lançamentos!$E:$E,"Outras Receitas",Lançamentos!$J:$J,B$5)</f>
        <v>0</v>
      </c>
      <c r="C15" s="39">
        <f ca="1">SUMIFS(Lançamentos!$F:$F,Lançamentos!$E:$E,"Outras Receitas",Lançamentos!$J:$J,C$5)</f>
        <v>0</v>
      </c>
      <c r="D15" s="39">
        <f ca="1">SUMIFS(Lançamentos!$F:$F,Lançamentos!$E:$E,"Outras Receitas",Lançamentos!$J:$J,D$5)</f>
        <v>0</v>
      </c>
      <c r="E15" s="39">
        <f ca="1">SUMIFS(Lançamentos!$F:$F,Lançamentos!$E:$E,"Outras Receitas",Lançamentos!$J:$J,E$5)</f>
        <v>0</v>
      </c>
      <c r="F15" s="39">
        <f ca="1">SUMIFS(Lançamentos!$F:$F,Lançamentos!$E:$E,"Outras Receitas",Lançamentos!$J:$J,F$5)</f>
        <v>0</v>
      </c>
      <c r="G15" s="39">
        <f ca="1">SUMIFS(Lançamentos!$F:$F,Lançamentos!$E:$E,"Outras Receitas",Lançamentos!$J:$J,G$5)</f>
        <v>0</v>
      </c>
      <c r="H15" s="39">
        <f ca="1">SUMIFS(Lançamentos!$F:$F,Lançamentos!$E:$E,"Outras Receitas",Lançamentos!$J:$J,H$5)</f>
        <v>0</v>
      </c>
      <c r="I15" s="39">
        <f ca="1">SUMIFS(Lançamentos!$F:$F,Lançamentos!$E:$E,"Outras Receitas",Lançamentos!$J:$J,I$5)</f>
        <v>0</v>
      </c>
      <c r="J15" s="39">
        <f ca="1">SUMIFS(Lançamentos!$F:$F,Lançamentos!$E:$E,"Outras Receitas",Lançamentos!$J:$J,J$5)</f>
        <v>0</v>
      </c>
      <c r="K15" s="39">
        <f ca="1">SUMIFS(Lançamentos!$F:$F,Lançamentos!$E:$E,"Outras Receitas",Lançamentos!$J:$J,K$5)</f>
        <v>0</v>
      </c>
      <c r="L15" s="39">
        <f ca="1">SUMIFS(Lançamentos!$F:$F,Lançamentos!$E:$E,"Outras Receitas",Lançamentos!$J:$J,L$5)</f>
        <v>0</v>
      </c>
      <c r="M15" s="39">
        <f ca="1">SUMIFS(Lançamentos!$F:$F,Lançamentos!$E:$E,"Outras Receitas",Lançamentos!$J:$J,M$5)</f>
        <v>0</v>
      </c>
      <c r="N15" s="41">
        <f t="shared" ca="1" si="0"/>
        <v>0</v>
      </c>
    </row>
    <row r="16" spans="1:14" x14ac:dyDescent="0.3">
      <c r="A16" s="10" t="s">
        <v>55</v>
      </c>
      <c r="B16" s="42">
        <f ca="1">B12+B13+B14+B15</f>
        <v>11500</v>
      </c>
      <c r="C16" s="42">
        <f t="shared" ref="C16:M16" ca="1" si="4">C12+C13+C14+C15</f>
        <v>-4000</v>
      </c>
      <c r="D16" s="42">
        <f t="shared" ca="1" si="4"/>
        <v>0</v>
      </c>
      <c r="E16" s="42">
        <f t="shared" ca="1" si="4"/>
        <v>0</v>
      </c>
      <c r="F16" s="42">
        <f t="shared" ca="1" si="4"/>
        <v>25000</v>
      </c>
      <c r="G16" s="42">
        <f t="shared" ca="1" si="4"/>
        <v>0</v>
      </c>
      <c r="H16" s="42">
        <f t="shared" ca="1" si="4"/>
        <v>0</v>
      </c>
      <c r="I16" s="42">
        <f t="shared" ca="1" si="4"/>
        <v>0</v>
      </c>
      <c r="J16" s="42">
        <f t="shared" ca="1" si="4"/>
        <v>0</v>
      </c>
      <c r="K16" s="42">
        <f t="shared" ca="1" si="4"/>
        <v>0</v>
      </c>
      <c r="L16" s="42">
        <f t="shared" ca="1" si="4"/>
        <v>0</v>
      </c>
      <c r="M16" s="42">
        <f t="shared" ca="1" si="4"/>
        <v>0</v>
      </c>
      <c r="N16" s="41">
        <f t="shared" ca="1" si="0"/>
        <v>32500</v>
      </c>
    </row>
    <row r="17" spans="1:14" x14ac:dyDescent="0.3">
      <c r="A17" s="8" t="s">
        <v>56</v>
      </c>
      <c r="B17" s="39">
        <f ca="1">-SUMIFS(Lançamentos!$G:$G,Lançamentos!$E:$E,"Impostos",Lançamentos!$J:$J,B$5)</f>
        <v>0</v>
      </c>
      <c r="C17" s="39">
        <f ca="1">-SUMIFS(Lançamentos!$G:$G,Lançamentos!$E:$E,"Impostos",Lançamentos!$J:$J,C$5)</f>
        <v>0</v>
      </c>
      <c r="D17" s="39">
        <f ca="1">-SUMIFS(Lançamentos!$G:$G,Lançamentos!$E:$E,"Impostos",Lançamentos!$J:$J,D$5)</f>
        <v>0</v>
      </c>
      <c r="E17" s="39">
        <f ca="1">-SUMIFS(Lançamentos!$G:$G,Lançamentos!$E:$E,"Impostos",Lançamentos!$J:$J,E$5)</f>
        <v>0</v>
      </c>
      <c r="F17" s="39">
        <f ca="1">-SUMIFS(Lançamentos!$G:$G,Lançamentos!$E:$E,"Impostos",Lançamentos!$J:$J,F$5)</f>
        <v>0</v>
      </c>
      <c r="G17" s="39">
        <f ca="1">-SUMIFS(Lançamentos!$G:$G,Lançamentos!$E:$E,"Impostos",Lançamentos!$J:$J,G$5)</f>
        <v>0</v>
      </c>
      <c r="H17" s="39">
        <f ca="1">-SUMIFS(Lançamentos!$G:$G,Lançamentos!$E:$E,"Impostos",Lançamentos!$J:$J,H$5)</f>
        <v>0</v>
      </c>
      <c r="I17" s="39">
        <f ca="1">-SUMIFS(Lançamentos!$G:$G,Lançamentos!$E:$E,"Impostos",Lançamentos!$J:$J,I$5)</f>
        <v>0</v>
      </c>
      <c r="J17" s="39">
        <f ca="1">-SUMIFS(Lançamentos!$G:$G,Lançamentos!$E:$E,"Impostos",Lançamentos!$J:$J,J$5)</f>
        <v>0</v>
      </c>
      <c r="K17" s="39">
        <f ca="1">-SUMIFS(Lançamentos!$G:$G,Lançamentos!$E:$E,"Impostos",Lançamentos!$J:$J,K$5)</f>
        <v>0</v>
      </c>
      <c r="L17" s="39">
        <f ca="1">-SUMIFS(Lançamentos!$G:$G,Lançamentos!$E:$E,"Impostos",Lançamentos!$J:$J,L$5)</f>
        <v>0</v>
      </c>
      <c r="M17" s="39">
        <f ca="1">-SUMIFS(Lançamentos!$G:$G,Lançamentos!$E:$E,"Impostos",Lançamentos!$J:$J,M$5)</f>
        <v>0</v>
      </c>
      <c r="N17" s="41">
        <f t="shared" ca="1" si="0"/>
        <v>0</v>
      </c>
    </row>
    <row r="18" spans="1:14" x14ac:dyDescent="0.3">
      <c r="A18" s="1" t="s">
        <v>57</v>
      </c>
      <c r="B18" s="40">
        <f ca="1">B16+B17</f>
        <v>11500</v>
      </c>
      <c r="C18" s="40">
        <f t="shared" ref="C18:M18" ca="1" si="5">C16+C17</f>
        <v>-4000</v>
      </c>
      <c r="D18" s="40">
        <f t="shared" ca="1" si="5"/>
        <v>0</v>
      </c>
      <c r="E18" s="40">
        <f t="shared" ca="1" si="5"/>
        <v>0</v>
      </c>
      <c r="F18" s="40">
        <f t="shared" ca="1" si="5"/>
        <v>25000</v>
      </c>
      <c r="G18" s="40">
        <f t="shared" ca="1" si="5"/>
        <v>0</v>
      </c>
      <c r="H18" s="40">
        <f t="shared" ca="1" si="5"/>
        <v>0</v>
      </c>
      <c r="I18" s="40">
        <f t="shared" ca="1" si="5"/>
        <v>0</v>
      </c>
      <c r="J18" s="40">
        <f t="shared" ca="1" si="5"/>
        <v>0</v>
      </c>
      <c r="K18" s="40">
        <f t="shared" ca="1" si="5"/>
        <v>0</v>
      </c>
      <c r="L18" s="40">
        <f t="shared" ca="1" si="5"/>
        <v>0</v>
      </c>
      <c r="M18" s="40">
        <f t="shared" ca="1" si="5"/>
        <v>0</v>
      </c>
      <c r="N18" s="41">
        <f t="shared" ca="1" si="0"/>
        <v>32500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926-CFB3-4E19-86CF-367E812BDFC4}">
  <dimension ref="A1:IL142"/>
  <sheetViews>
    <sheetView tabSelected="1" topLeftCell="A79" workbookViewId="0">
      <selection activeCell="H89" sqref="H89"/>
    </sheetView>
  </sheetViews>
  <sheetFormatPr defaultRowHeight="14.4" x14ac:dyDescent="0.3"/>
  <cols>
    <col min="1" max="1" width="40.77734375" customWidth="1"/>
    <col min="2" max="5" width="11.109375" customWidth="1"/>
    <col min="6" max="6" width="11.5546875" bestFit="1" customWidth="1"/>
    <col min="7" max="246" width="11.109375" customWidth="1"/>
  </cols>
  <sheetData>
    <row r="1" spans="1:14" ht="18" x14ac:dyDescent="0.35">
      <c r="A1" s="73" t="s">
        <v>58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3" spans="1:14" x14ac:dyDescent="0.3">
      <c r="A3" s="4" t="s">
        <v>42</v>
      </c>
      <c r="B3" s="5">
        <f ca="1">DRE!B3</f>
        <v>2026</v>
      </c>
    </row>
    <row r="5" spans="1:14" x14ac:dyDescent="0.3">
      <c r="A5" s="1" t="s">
        <v>59</v>
      </c>
      <c r="B5" s="7">
        <f ca="1">DATE($B$3,1,1)</f>
        <v>46023</v>
      </c>
      <c r="C5" s="7">
        <f ca="1">EDATE(B5,1)</f>
        <v>46054</v>
      </c>
      <c r="D5" s="7">
        <f ca="1">EDATE(B5,2)</f>
        <v>46082</v>
      </c>
      <c r="E5" s="7">
        <f ca="1">EDATE(B5,3)</f>
        <v>46113</v>
      </c>
      <c r="F5" s="7">
        <f ca="1">EDATE(B5,4)</f>
        <v>46143</v>
      </c>
      <c r="G5" s="7">
        <f ca="1">EDATE(B5,5)</f>
        <v>46174</v>
      </c>
      <c r="H5" s="7">
        <f ca="1">EDATE(B5,6)</f>
        <v>46204</v>
      </c>
      <c r="I5" s="7">
        <f ca="1">EDATE(B5,7)</f>
        <v>46235</v>
      </c>
      <c r="J5" s="7">
        <f ca="1">EDATE(B5,8)</f>
        <v>46266</v>
      </c>
      <c r="K5" s="7">
        <f ca="1">EDATE(B5,9)</f>
        <v>46296</v>
      </c>
      <c r="L5" s="7">
        <f ca="1">EDATE(B5,10)</f>
        <v>46327</v>
      </c>
      <c r="M5" s="7">
        <f ca="1">EDATE(B5,11)</f>
        <v>46357</v>
      </c>
      <c r="N5" s="6" t="s">
        <v>60</v>
      </c>
    </row>
    <row r="6" spans="1:14" x14ac:dyDescent="0.3">
      <c r="A6" s="10" t="s">
        <v>31</v>
      </c>
      <c r="B6" s="42">
        <f>SUM(Categorias!F2:F4)</f>
        <v>0</v>
      </c>
      <c r="C6" s="42">
        <f t="shared" ref="C6:M6" ca="1" si="0">B10</f>
        <v>11500</v>
      </c>
      <c r="D6" s="42">
        <f t="shared" ca="1" si="0"/>
        <v>7500</v>
      </c>
      <c r="E6" s="42">
        <f t="shared" ca="1" si="0"/>
        <v>7500</v>
      </c>
      <c r="F6" s="42">
        <f t="shared" ca="1" si="0"/>
        <v>7500</v>
      </c>
      <c r="G6" s="42">
        <f t="shared" ca="1" si="0"/>
        <v>32500</v>
      </c>
      <c r="H6" s="42">
        <f t="shared" ca="1" si="0"/>
        <v>32500</v>
      </c>
      <c r="I6" s="42">
        <f t="shared" ca="1" si="0"/>
        <v>32500</v>
      </c>
      <c r="J6" s="42">
        <f t="shared" ca="1" si="0"/>
        <v>32500</v>
      </c>
      <c r="K6" s="42">
        <f t="shared" ca="1" si="0"/>
        <v>32500</v>
      </c>
      <c r="L6" s="42">
        <f t="shared" ca="1" si="0"/>
        <v>32500</v>
      </c>
      <c r="M6" s="42">
        <f t="shared" ca="1" si="0"/>
        <v>32500</v>
      </c>
      <c r="N6" s="39"/>
    </row>
    <row r="7" spans="1:14" x14ac:dyDescent="0.3">
      <c r="A7" s="12" t="s">
        <v>61</v>
      </c>
      <c r="B7" s="39">
        <f ca="1">SUMIFS(Lançamentos!$F:$F,Lançamentos!$J:$J,B$5)</f>
        <v>15000</v>
      </c>
      <c r="C7" s="39">
        <f ca="1">SUMIFS(Lançamentos!$F:$F,Lançamentos!$J:$J,C$5)</f>
        <v>8000</v>
      </c>
      <c r="D7" s="39">
        <f ca="1">SUMIFS(Lançamentos!$F:$F,Lançamentos!$J:$J,D$5)</f>
        <v>0</v>
      </c>
      <c r="E7" s="39">
        <f ca="1">SUMIFS(Lançamentos!$F:$F,Lançamentos!$J:$J,E$5)</f>
        <v>0</v>
      </c>
      <c r="F7" s="39">
        <f ca="1">SUMIFS(Lançamentos!$F:$F,Lançamentos!$J:$J,F$5)</f>
        <v>25000</v>
      </c>
      <c r="G7" s="39">
        <f ca="1">SUMIFS(Lançamentos!$F:$F,Lançamentos!$J:$J,G$5)</f>
        <v>0</v>
      </c>
      <c r="H7" s="39">
        <f ca="1">SUMIFS(Lançamentos!$F:$F,Lançamentos!$J:$J,H$5)</f>
        <v>0</v>
      </c>
      <c r="I7" s="39">
        <f ca="1">SUMIFS(Lançamentos!$F:$F,Lançamentos!$J:$J,I$5)</f>
        <v>0</v>
      </c>
      <c r="J7" s="39">
        <f ca="1">SUMIFS(Lançamentos!$F:$F,Lançamentos!$J:$J,J$5)</f>
        <v>0</v>
      </c>
      <c r="K7" s="39">
        <f ca="1">SUMIFS(Lançamentos!$F:$F,Lançamentos!$J:$J,K$5)</f>
        <v>0</v>
      </c>
      <c r="L7" s="39">
        <f ca="1">SUMIFS(Lançamentos!$F:$F,Lançamentos!$J:$J,L$5)</f>
        <v>0</v>
      </c>
      <c r="M7" s="39">
        <f ca="1">SUMIFS(Lançamentos!$F:$F,Lançamentos!$J:$J,M$5)</f>
        <v>0</v>
      </c>
      <c r="N7" s="41">
        <f ca="1">SUM(B7:M7)</f>
        <v>48000</v>
      </c>
    </row>
    <row r="8" spans="1:14" x14ac:dyDescent="0.3">
      <c r="A8" s="13" t="s">
        <v>62</v>
      </c>
      <c r="B8" s="39">
        <f ca="1">-SUMIFS(Lançamentos!$G:$G,Lançamentos!$J:$J,B$5)</f>
        <v>-3500</v>
      </c>
      <c r="C8" s="39">
        <f ca="1">-SUMIFS(Lançamentos!$G:$G,Lançamentos!$J:$J,C$5)</f>
        <v>-12000</v>
      </c>
      <c r="D8" s="39">
        <f ca="1">-SUMIFS(Lançamentos!$G:$G,Lançamentos!$J:$J,D$5)</f>
        <v>0</v>
      </c>
      <c r="E8" s="39">
        <f ca="1">-SUMIFS(Lançamentos!$G:$G,Lançamentos!$J:$J,E$5)</f>
        <v>0</v>
      </c>
      <c r="F8" s="39">
        <f ca="1">-SUMIFS(Lançamentos!$G:$G,Lançamentos!$J:$J,F$5)</f>
        <v>0</v>
      </c>
      <c r="G8" s="39">
        <f ca="1">-SUMIFS(Lançamentos!$G:$G,Lançamentos!$J:$J,G$5)</f>
        <v>0</v>
      </c>
      <c r="H8" s="39">
        <f ca="1">-SUMIFS(Lançamentos!$G:$G,Lançamentos!$J:$J,H$5)</f>
        <v>0</v>
      </c>
      <c r="I8" s="39">
        <f ca="1">-SUMIFS(Lançamentos!$G:$G,Lançamentos!$J:$J,I$5)</f>
        <v>0</v>
      </c>
      <c r="J8" s="39">
        <f ca="1">-SUMIFS(Lançamentos!$G:$G,Lançamentos!$J:$J,J$5)</f>
        <v>0</v>
      </c>
      <c r="K8" s="39">
        <f ca="1">-SUMIFS(Lançamentos!$G:$G,Lançamentos!$J:$J,K$5)</f>
        <v>0</v>
      </c>
      <c r="L8" s="39">
        <f ca="1">-SUMIFS(Lançamentos!$G:$G,Lançamentos!$J:$J,L$5)</f>
        <v>0</v>
      </c>
      <c r="M8" s="39">
        <f ca="1">-SUMIFS(Lançamentos!$G:$G,Lançamentos!$J:$J,M$5)</f>
        <v>0</v>
      </c>
      <c r="N8" s="41">
        <f ca="1">SUM(B8:M8)</f>
        <v>-15500</v>
      </c>
    </row>
    <row r="9" spans="1:14" x14ac:dyDescent="0.3">
      <c r="A9" s="10" t="s">
        <v>63</v>
      </c>
      <c r="B9" s="42">
        <f ca="1">B7+B8</f>
        <v>11500</v>
      </c>
      <c r="C9" s="42">
        <f t="shared" ref="C9:M9" ca="1" si="1">C7+C8</f>
        <v>-4000</v>
      </c>
      <c r="D9" s="42">
        <f t="shared" ca="1" si="1"/>
        <v>0</v>
      </c>
      <c r="E9" s="42">
        <f t="shared" ca="1" si="1"/>
        <v>0</v>
      </c>
      <c r="F9" s="42">
        <f t="shared" ca="1" si="1"/>
        <v>25000</v>
      </c>
      <c r="G9" s="42">
        <f t="shared" ca="1" si="1"/>
        <v>0</v>
      </c>
      <c r="H9" s="42">
        <f t="shared" ca="1" si="1"/>
        <v>0</v>
      </c>
      <c r="I9" s="42">
        <f t="shared" ca="1" si="1"/>
        <v>0</v>
      </c>
      <c r="J9" s="42">
        <f t="shared" ca="1" si="1"/>
        <v>0</v>
      </c>
      <c r="K9" s="42">
        <f t="shared" ca="1" si="1"/>
        <v>0</v>
      </c>
      <c r="L9" s="42">
        <f t="shared" ca="1" si="1"/>
        <v>0</v>
      </c>
      <c r="M9" s="42">
        <f t="shared" ca="1" si="1"/>
        <v>0</v>
      </c>
      <c r="N9" s="41">
        <f ca="1">SUM(B9:M9)</f>
        <v>32500</v>
      </c>
    </row>
    <row r="10" spans="1:14" x14ac:dyDescent="0.3">
      <c r="A10" s="1" t="s">
        <v>64</v>
      </c>
      <c r="B10" s="40">
        <f ca="1">B6+B9</f>
        <v>11500</v>
      </c>
      <c r="C10" s="40">
        <f t="shared" ref="C10:M10" ca="1" si="2">C6+C9</f>
        <v>7500</v>
      </c>
      <c r="D10" s="40">
        <f t="shared" ca="1" si="2"/>
        <v>7500</v>
      </c>
      <c r="E10" s="40">
        <f t="shared" ca="1" si="2"/>
        <v>7500</v>
      </c>
      <c r="F10" s="40">
        <f t="shared" ca="1" si="2"/>
        <v>32500</v>
      </c>
      <c r="G10" s="40">
        <f t="shared" ca="1" si="2"/>
        <v>32500</v>
      </c>
      <c r="H10" s="40">
        <f t="shared" ca="1" si="2"/>
        <v>32500</v>
      </c>
      <c r="I10" s="40">
        <f t="shared" ca="1" si="2"/>
        <v>32500</v>
      </c>
      <c r="J10" s="40">
        <f t="shared" ca="1" si="2"/>
        <v>32500</v>
      </c>
      <c r="K10" s="40">
        <f t="shared" ca="1" si="2"/>
        <v>32500</v>
      </c>
      <c r="L10" s="40">
        <f t="shared" ca="1" si="2"/>
        <v>32500</v>
      </c>
      <c r="M10" s="40">
        <f t="shared" ca="1" si="2"/>
        <v>32500</v>
      </c>
      <c r="N10" s="43">
        <f ca="1">M10</f>
        <v>32500</v>
      </c>
    </row>
    <row r="12" spans="1:14" ht="15.6" x14ac:dyDescent="0.3">
      <c r="A12" s="74" t="s">
        <v>65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</row>
    <row r="13" spans="1:14" x14ac:dyDescent="0.3">
      <c r="A13" s="4" t="str">
        <f>Categorias!E2</f>
        <v>Banco do Brasil</v>
      </c>
      <c r="B13" s="39">
        <f ca="1">Categorias!F2+SUMIFS(Lançamentos!$F:$F,Lançamentos!$I:$I,$A13,Lançamentos!$J:$J,B$5)-SUMIFS(Lançamentos!$G:$G,Lançamentos!$I:$I,$A13,Lançamentos!$J:$J,B$5)</f>
        <v>15000</v>
      </c>
      <c r="C13" s="39">
        <f ca="1">Categorias!G2+SUMIFS(Lançamentos!$F:$F,Lançamentos!$I:$I,$A13,Lançamentos!$J:$J,C$5)-SUMIFS(Lançamentos!$G:$G,Lançamentos!$I:$I,$A13,Lançamentos!$J:$J,C$5)</f>
        <v>8000</v>
      </c>
      <c r="D13" s="39">
        <f ca="1">Categorias!H2+SUMIFS(Lançamentos!$F:$F,Lançamentos!$I:$I,$A13,Lançamentos!$J:$J,D$5)-SUMIFS(Lançamentos!$G:$G,Lançamentos!$I:$I,$A13,Lançamentos!$J:$J,D$5)</f>
        <v>0</v>
      </c>
      <c r="E13" s="39">
        <f ca="1">Categorias!I2+SUMIFS(Lançamentos!$F:$F,Lançamentos!$I:$I,$A13,Lançamentos!$J:$J,E$5)-SUMIFS(Lançamentos!$G:$G,Lançamentos!$I:$I,$A13,Lançamentos!$J:$J,E$5)</f>
        <v>0</v>
      </c>
      <c r="F13" s="39">
        <f ca="1">Categorias!J2+SUMIFS(Lançamentos!$F:$F,Lançamentos!$I:$I,$A13,Lançamentos!$J:$J,F$5)-SUMIFS(Lançamentos!$G:$G,Lançamentos!$I:$I,$A13,Lançamentos!$J:$J,F$5)</f>
        <v>25000</v>
      </c>
      <c r="G13" s="39">
        <f ca="1">Categorias!K2+SUMIFS(Lançamentos!$F:$F,Lançamentos!$I:$I,$A13,Lançamentos!$J:$J,G$5)-SUMIFS(Lançamentos!$G:$G,Lançamentos!$I:$I,$A13,Lançamentos!$J:$J,G$5)</f>
        <v>0</v>
      </c>
      <c r="H13" s="39">
        <f ca="1">Categorias!L2+SUMIFS(Lançamentos!$F:$F,Lançamentos!$I:$I,$A13,Lançamentos!$J:$J,H$5)-SUMIFS(Lançamentos!$G:$G,Lançamentos!$I:$I,$A13,Lançamentos!$J:$J,H$5)</f>
        <v>0</v>
      </c>
      <c r="I13" s="39">
        <f ca="1">Categorias!M2+SUMIFS(Lançamentos!$F:$F,Lançamentos!$I:$I,$A13,Lançamentos!$J:$J,I$5)-SUMIFS(Lançamentos!$G:$G,Lançamentos!$I:$I,$A13,Lançamentos!$J:$J,I$5)</f>
        <v>0</v>
      </c>
      <c r="J13" s="39">
        <f ca="1">Categorias!N2+SUMIFS(Lançamentos!$F:$F,Lançamentos!$I:$I,$A13,Lançamentos!$J:$J,J$5)-SUMIFS(Lançamentos!$G:$G,Lançamentos!$I:$I,$A13,Lançamentos!$J:$J,J$5)</f>
        <v>0</v>
      </c>
      <c r="K13" s="39">
        <f ca="1">Categorias!O2+SUMIFS(Lançamentos!$F:$F,Lançamentos!$I:$I,$A13,Lançamentos!$J:$J,K$5)-SUMIFS(Lançamentos!$G:$G,Lançamentos!$I:$I,$A13,Lançamentos!$J:$J,K$5)</f>
        <v>0</v>
      </c>
      <c r="L13" s="39">
        <f ca="1">Categorias!P2+SUMIFS(Lançamentos!$F:$F,Lançamentos!$I:$I,$A13,Lançamentos!$J:$J,L$5)-SUMIFS(Lançamentos!$G:$G,Lançamentos!$I:$I,$A13,Lançamentos!$J:$J,L$5)</f>
        <v>0</v>
      </c>
      <c r="M13" s="39">
        <f ca="1">Categorias!Q2+SUMIFS(Lançamentos!$F:$F,Lançamentos!$I:$I,$A13,Lançamentos!$J:$J,M$5)-SUMIFS(Lançamentos!$G:$G,Lançamentos!$I:$I,$A13,Lançamentos!$J:$J,M$5)</f>
        <v>0</v>
      </c>
      <c r="N13" s="39">
        <f ca="1">M13</f>
        <v>0</v>
      </c>
    </row>
    <row r="14" spans="1:14" x14ac:dyDescent="0.3">
      <c r="A14" s="4" t="str">
        <f>Categorias!E3</f>
        <v>Itaú</v>
      </c>
      <c r="B14" s="39">
        <f ca="1">Categorias!F3+SUMIFS(Lançamentos!$F:$F,Lançamentos!$I:$I,$A14,Lançamentos!$J:$J,B$5)-SUMIFS(Lançamentos!$G:$G,Lançamentos!$I:$I,$A14,Lançamentos!$J:$J,B$5)</f>
        <v>-3500</v>
      </c>
      <c r="C14" s="39">
        <f ca="1">Categorias!G3+SUMIFS(Lançamentos!$F:$F,Lançamentos!$I:$I,$A14,Lançamentos!$J:$J,C$5)-SUMIFS(Lançamentos!$G:$G,Lançamentos!$I:$I,$A14,Lançamentos!$J:$J,C$5)</f>
        <v>-12000</v>
      </c>
      <c r="D14" s="39">
        <f ca="1">Categorias!H3+SUMIFS(Lançamentos!$F:$F,Lançamentos!$I:$I,$A14,Lançamentos!$J:$J,D$5)-SUMIFS(Lançamentos!$G:$G,Lançamentos!$I:$I,$A14,Lançamentos!$J:$J,D$5)</f>
        <v>0</v>
      </c>
      <c r="E14" s="39">
        <f ca="1">Categorias!I3+SUMIFS(Lançamentos!$F:$F,Lançamentos!$I:$I,$A14,Lançamentos!$J:$J,E$5)-SUMIFS(Lançamentos!$G:$G,Lançamentos!$I:$I,$A14,Lançamentos!$J:$J,E$5)</f>
        <v>0</v>
      </c>
      <c r="F14" s="39">
        <f ca="1">Categorias!J3+SUMIFS(Lançamentos!$F:$F,Lançamentos!$I:$I,$A14,Lançamentos!$J:$J,F$5)-SUMIFS(Lançamentos!$G:$G,Lançamentos!$I:$I,$A14,Lançamentos!$J:$J,F$5)</f>
        <v>0</v>
      </c>
      <c r="G14" s="39">
        <f ca="1">Categorias!K3+SUMIFS(Lançamentos!$F:$F,Lançamentos!$I:$I,$A14,Lançamentos!$J:$J,G$5)-SUMIFS(Lançamentos!$G:$G,Lançamentos!$I:$I,$A14,Lançamentos!$J:$J,G$5)</f>
        <v>0</v>
      </c>
      <c r="H14" s="39">
        <f ca="1">Categorias!L3+SUMIFS(Lançamentos!$F:$F,Lançamentos!$I:$I,$A14,Lançamentos!$J:$J,H$5)-SUMIFS(Lançamentos!$G:$G,Lançamentos!$I:$I,$A14,Lançamentos!$J:$J,H$5)</f>
        <v>0</v>
      </c>
      <c r="I14" s="39">
        <f ca="1">Categorias!M3+SUMIFS(Lançamentos!$F:$F,Lançamentos!$I:$I,$A14,Lançamentos!$J:$J,I$5)-SUMIFS(Lançamentos!$G:$G,Lançamentos!$I:$I,$A14,Lançamentos!$J:$J,I$5)</f>
        <v>0</v>
      </c>
      <c r="J14" s="39">
        <f ca="1">Categorias!N3+SUMIFS(Lançamentos!$F:$F,Lançamentos!$I:$I,$A14,Lançamentos!$J:$J,J$5)-SUMIFS(Lançamentos!$G:$G,Lançamentos!$I:$I,$A14,Lançamentos!$J:$J,J$5)</f>
        <v>0</v>
      </c>
      <c r="K14" s="39">
        <f ca="1">Categorias!O3+SUMIFS(Lançamentos!$F:$F,Lançamentos!$I:$I,$A14,Lançamentos!$J:$J,K$5)-SUMIFS(Lançamentos!$G:$G,Lançamentos!$I:$I,$A14,Lançamentos!$J:$J,K$5)</f>
        <v>0</v>
      </c>
      <c r="L14" s="39">
        <f ca="1">Categorias!P3+SUMIFS(Lançamentos!$F:$F,Lançamentos!$I:$I,$A14,Lançamentos!$J:$J,L$5)-SUMIFS(Lançamentos!$G:$G,Lançamentos!$I:$I,$A14,Lançamentos!$J:$J,L$5)</f>
        <v>0</v>
      </c>
      <c r="M14" s="39">
        <f ca="1">Categorias!Q3+SUMIFS(Lançamentos!$F:$F,Lançamentos!$I:$I,$A14,Lançamentos!$J:$J,M$5)-SUMIFS(Lançamentos!$G:$G,Lançamentos!$I:$I,$A14,Lançamentos!$J:$J,M$5)</f>
        <v>0</v>
      </c>
      <c r="N14" s="39">
        <f ca="1">M14</f>
        <v>0</v>
      </c>
    </row>
    <row r="15" spans="1:14" x14ac:dyDescent="0.3">
      <c r="A15" s="4" t="str">
        <f>Categorias!E4</f>
        <v>Caixa</v>
      </c>
      <c r="B15" s="39">
        <f ca="1">Categorias!F4+SUMIFS(Lançamentos!$F:$F,Lançamentos!$I:$I,$A15,Lançamentos!$J:$J,B$5)-SUMIFS(Lançamentos!$G:$G,Lançamentos!$I:$I,$A15,Lançamentos!$J:$J,B$5)</f>
        <v>0</v>
      </c>
      <c r="C15" s="39">
        <f ca="1">Categorias!G4+SUMIFS(Lançamentos!$F:$F,Lançamentos!$I:$I,$A15,Lançamentos!$J:$J,C$5)-SUMIFS(Lançamentos!$G:$G,Lançamentos!$I:$I,$A15,Lançamentos!$J:$J,C$5)</f>
        <v>0</v>
      </c>
      <c r="D15" s="39">
        <f ca="1">Categorias!H4+SUMIFS(Lançamentos!$F:$F,Lançamentos!$I:$I,$A15,Lançamentos!$J:$J,D$5)-SUMIFS(Lançamentos!$G:$G,Lançamentos!$I:$I,$A15,Lançamentos!$J:$J,D$5)</f>
        <v>0</v>
      </c>
      <c r="E15" s="39">
        <f ca="1">Categorias!I4+SUMIFS(Lançamentos!$F:$F,Lançamentos!$I:$I,$A15,Lançamentos!$J:$J,E$5)-SUMIFS(Lançamentos!$G:$G,Lançamentos!$I:$I,$A15,Lançamentos!$J:$J,E$5)</f>
        <v>0</v>
      </c>
      <c r="F15" s="39">
        <f ca="1">Categorias!J4+SUMIFS(Lançamentos!$F:$F,Lançamentos!$I:$I,$A15,Lançamentos!$J:$J,F$5)-SUMIFS(Lançamentos!$G:$G,Lançamentos!$I:$I,$A15,Lançamentos!$J:$J,F$5)</f>
        <v>0</v>
      </c>
      <c r="G15" s="39">
        <f ca="1">Categorias!K4+SUMIFS(Lançamentos!$F:$F,Lançamentos!$I:$I,$A15,Lançamentos!$J:$J,G$5)-SUMIFS(Lançamentos!$G:$G,Lançamentos!$I:$I,$A15,Lançamentos!$J:$J,G$5)</f>
        <v>0</v>
      </c>
      <c r="H15" s="39">
        <f ca="1">Categorias!L4+SUMIFS(Lançamentos!$F:$F,Lançamentos!$I:$I,$A15,Lançamentos!$J:$J,H$5)-SUMIFS(Lançamentos!$G:$G,Lançamentos!$I:$I,$A15,Lançamentos!$J:$J,H$5)</f>
        <v>0</v>
      </c>
      <c r="I15" s="39">
        <f ca="1">Categorias!M4+SUMIFS(Lançamentos!$F:$F,Lançamentos!$I:$I,$A15,Lançamentos!$J:$J,I$5)-SUMIFS(Lançamentos!$G:$G,Lançamentos!$I:$I,$A15,Lançamentos!$J:$J,I$5)</f>
        <v>0</v>
      </c>
      <c r="J15" s="39">
        <f ca="1">Categorias!N4+SUMIFS(Lançamentos!$F:$F,Lançamentos!$I:$I,$A15,Lançamentos!$J:$J,J$5)-SUMIFS(Lançamentos!$G:$G,Lançamentos!$I:$I,$A15,Lançamentos!$J:$J,J$5)</f>
        <v>0</v>
      </c>
      <c r="K15" s="39">
        <f ca="1">Categorias!O4+SUMIFS(Lançamentos!$F:$F,Lançamentos!$I:$I,$A15,Lançamentos!$J:$J,K$5)-SUMIFS(Lançamentos!$G:$G,Lançamentos!$I:$I,$A15,Lançamentos!$J:$J,K$5)</f>
        <v>0</v>
      </c>
      <c r="L15" s="39">
        <f ca="1">Categorias!P4+SUMIFS(Lançamentos!$F:$F,Lançamentos!$I:$I,$A15,Lançamentos!$J:$J,L$5)-SUMIFS(Lançamentos!$G:$G,Lançamentos!$I:$I,$A15,Lançamentos!$J:$J,L$5)</f>
        <v>0</v>
      </c>
      <c r="M15" s="39">
        <f ca="1">Categorias!Q4+SUMIFS(Lançamentos!$F:$F,Lançamentos!$I:$I,$A15,Lançamentos!$J:$J,M$5)-SUMIFS(Lançamentos!$G:$G,Lançamentos!$I:$I,$A15,Lançamentos!$J:$J,M$5)</f>
        <v>0</v>
      </c>
      <c r="N15" s="39">
        <f ca="1">M15</f>
        <v>0</v>
      </c>
    </row>
    <row r="18" spans="1:246" ht="17.399999999999999" x14ac:dyDescent="0.35">
      <c r="A18" s="75" t="s">
        <v>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46" x14ac:dyDescent="0.3">
      <c r="A19" s="1" t="s">
        <v>123</v>
      </c>
      <c r="B19" s="44">
        <f>DATE(2026,5,1)</f>
        <v>46143</v>
      </c>
      <c r="C19" s="44">
        <f>DATE(2026,5,2)</f>
        <v>46144</v>
      </c>
      <c r="D19" s="44">
        <f>DATE(2026,5,3)</f>
        <v>46145</v>
      </c>
      <c r="E19" s="44">
        <f>DATE(2026,5,4)</f>
        <v>46146</v>
      </c>
      <c r="F19" s="44">
        <f>DATE(2026,5,5)</f>
        <v>46147</v>
      </c>
      <c r="G19" s="44">
        <f>DATE(2026,5,6)</f>
        <v>46148</v>
      </c>
      <c r="H19" s="44">
        <f>DATE(2026,5,7)</f>
        <v>46149</v>
      </c>
      <c r="I19" s="44">
        <f>DATE(2026,5,8)</f>
        <v>46150</v>
      </c>
      <c r="J19" s="44">
        <f>DATE(2026,5,9)</f>
        <v>46151</v>
      </c>
      <c r="K19" s="44">
        <f>DATE(2026,5,10)</f>
        <v>46152</v>
      </c>
      <c r="L19" s="44">
        <f>DATE(2026,5,11)</f>
        <v>46153</v>
      </c>
      <c r="M19" s="44">
        <f>DATE(2026,5,12)</f>
        <v>46154</v>
      </c>
      <c r="N19" s="44">
        <f>DATE(2026,5,13)</f>
        <v>46155</v>
      </c>
      <c r="O19" s="44">
        <f>DATE(2026,5,14)</f>
        <v>46156</v>
      </c>
      <c r="P19" s="44">
        <f>DATE(2026,5,15)</f>
        <v>46157</v>
      </c>
      <c r="Q19" s="44">
        <f>DATE(2026,5,16)</f>
        <v>46158</v>
      </c>
      <c r="R19" s="44">
        <f>DATE(2026,5,17)</f>
        <v>46159</v>
      </c>
      <c r="S19" s="44">
        <f>DATE(2026,5,18)</f>
        <v>46160</v>
      </c>
      <c r="T19" s="44">
        <f>DATE(2026,5,19)</f>
        <v>46161</v>
      </c>
      <c r="U19" s="44">
        <f>DATE(2026,5,20)</f>
        <v>46162</v>
      </c>
      <c r="V19" s="44">
        <f>DATE(2026,5,21)</f>
        <v>46163</v>
      </c>
      <c r="W19" s="44">
        <f>DATE(2026,5,22)</f>
        <v>46164</v>
      </c>
      <c r="X19" s="44">
        <f>DATE(2026,5,23)</f>
        <v>46165</v>
      </c>
      <c r="Y19" s="44">
        <f>DATE(2026,5,24)</f>
        <v>46166</v>
      </c>
      <c r="Z19" s="44">
        <f>DATE(2026,5,25)</f>
        <v>46167</v>
      </c>
      <c r="AA19" s="44">
        <f>DATE(2026,5,26)</f>
        <v>46168</v>
      </c>
      <c r="AB19" s="44">
        <f>DATE(2026,5,27)</f>
        <v>46169</v>
      </c>
      <c r="AC19" s="44">
        <f>DATE(2026,5,28)</f>
        <v>46170</v>
      </c>
      <c r="AD19" s="44">
        <f>DATE(2026,5,29)</f>
        <v>46171</v>
      </c>
      <c r="AE19" s="44">
        <f>DATE(2026,5,30)</f>
        <v>46172</v>
      </c>
      <c r="AF19" s="44">
        <f>DATE(2026,5,31)</f>
        <v>46173</v>
      </c>
      <c r="AG19" s="44">
        <f>DATE(2026,6,1)</f>
        <v>46174</v>
      </c>
      <c r="AH19" s="44">
        <f>DATE(2026,6,2)</f>
        <v>46175</v>
      </c>
      <c r="AI19" s="44">
        <f>DATE(2026,6,3)</f>
        <v>46176</v>
      </c>
      <c r="AJ19" s="44">
        <f>DATE(2026,6,4)</f>
        <v>46177</v>
      </c>
      <c r="AK19" s="44">
        <f>DATE(2026,6,5)</f>
        <v>46178</v>
      </c>
      <c r="AL19" s="44">
        <f>DATE(2026,6,6)</f>
        <v>46179</v>
      </c>
      <c r="AM19" s="44">
        <f>DATE(2026,6,7)</f>
        <v>46180</v>
      </c>
      <c r="AN19" s="44">
        <f>DATE(2026,6,8)</f>
        <v>46181</v>
      </c>
      <c r="AO19" s="44">
        <f>DATE(2026,6,9)</f>
        <v>46182</v>
      </c>
      <c r="AP19" s="44">
        <f>DATE(2026,6,10)</f>
        <v>46183</v>
      </c>
      <c r="AQ19" s="44">
        <f>DATE(2026,6,11)</f>
        <v>46184</v>
      </c>
      <c r="AR19" s="44">
        <f>DATE(2026,6,12)</f>
        <v>46185</v>
      </c>
      <c r="AS19" s="44">
        <f>DATE(2026,6,13)</f>
        <v>46186</v>
      </c>
      <c r="AT19" s="44">
        <f>DATE(2026,6,14)</f>
        <v>46187</v>
      </c>
      <c r="AU19" s="44">
        <f>DATE(2026,6,15)</f>
        <v>46188</v>
      </c>
      <c r="AV19" s="44">
        <f>DATE(2026,6,16)</f>
        <v>46189</v>
      </c>
      <c r="AW19" s="44">
        <f>DATE(2026,6,17)</f>
        <v>46190</v>
      </c>
      <c r="AX19" s="44">
        <f>DATE(2026,6,18)</f>
        <v>46191</v>
      </c>
      <c r="AY19" s="44">
        <f>DATE(2026,6,19)</f>
        <v>46192</v>
      </c>
      <c r="AZ19" s="44">
        <f>DATE(2026,6,20)</f>
        <v>46193</v>
      </c>
      <c r="BA19" s="44">
        <f>DATE(2026,6,21)</f>
        <v>46194</v>
      </c>
      <c r="BB19" s="44">
        <f>DATE(2026,6,22)</f>
        <v>46195</v>
      </c>
      <c r="BC19" s="44">
        <f>DATE(2026,6,23)</f>
        <v>46196</v>
      </c>
      <c r="BD19" s="44">
        <f>DATE(2026,6,24)</f>
        <v>46197</v>
      </c>
      <c r="BE19" s="44">
        <f>DATE(2026,6,25)</f>
        <v>46198</v>
      </c>
      <c r="BF19" s="44">
        <f>DATE(2026,6,26)</f>
        <v>46199</v>
      </c>
      <c r="BG19" s="44">
        <f>DATE(2026,6,27)</f>
        <v>46200</v>
      </c>
      <c r="BH19" s="44">
        <f>DATE(2026,6,28)</f>
        <v>46201</v>
      </c>
      <c r="BI19" s="44">
        <f>DATE(2026,6,29)</f>
        <v>46202</v>
      </c>
      <c r="BJ19" s="44">
        <f>DATE(2026,6,30)</f>
        <v>46203</v>
      </c>
      <c r="BK19" s="44">
        <f>DATE(2026,7,1)</f>
        <v>46204</v>
      </c>
      <c r="BL19" s="44">
        <f>DATE(2026,7,2)</f>
        <v>46205</v>
      </c>
      <c r="BM19" s="44">
        <f>DATE(2026,7,3)</f>
        <v>46206</v>
      </c>
      <c r="BN19" s="44">
        <f>DATE(2026,7,4)</f>
        <v>46207</v>
      </c>
      <c r="BO19" s="44">
        <f>DATE(2026,7,5)</f>
        <v>46208</v>
      </c>
      <c r="BP19" s="44">
        <f>DATE(2026,7,6)</f>
        <v>46209</v>
      </c>
      <c r="BQ19" s="44">
        <f>DATE(2026,7,7)</f>
        <v>46210</v>
      </c>
      <c r="BR19" s="44">
        <f>DATE(2026,7,8)</f>
        <v>46211</v>
      </c>
      <c r="BS19" s="44">
        <f>DATE(2026,7,9)</f>
        <v>46212</v>
      </c>
      <c r="BT19" s="44">
        <f>DATE(2026,7,10)</f>
        <v>46213</v>
      </c>
      <c r="BU19" s="44">
        <f>DATE(2026,7,11)</f>
        <v>46214</v>
      </c>
      <c r="BV19" s="44">
        <f>DATE(2026,7,12)</f>
        <v>46215</v>
      </c>
      <c r="BW19" s="44">
        <f>DATE(2026,7,13)</f>
        <v>46216</v>
      </c>
      <c r="BX19" s="44">
        <f>DATE(2026,7,14)</f>
        <v>46217</v>
      </c>
      <c r="BY19" s="44">
        <f>DATE(2026,7,15)</f>
        <v>46218</v>
      </c>
      <c r="BZ19" s="44">
        <f>DATE(2026,7,16)</f>
        <v>46219</v>
      </c>
      <c r="CA19" s="44">
        <f>DATE(2026,7,17)</f>
        <v>46220</v>
      </c>
      <c r="CB19" s="44">
        <f>DATE(2026,7,18)</f>
        <v>46221</v>
      </c>
      <c r="CC19" s="44">
        <f>DATE(2026,7,19)</f>
        <v>46222</v>
      </c>
      <c r="CD19" s="44">
        <f>DATE(2026,7,20)</f>
        <v>46223</v>
      </c>
      <c r="CE19" s="44">
        <f>DATE(2026,7,21)</f>
        <v>46224</v>
      </c>
      <c r="CF19" s="44">
        <f>DATE(2026,7,22)</f>
        <v>46225</v>
      </c>
      <c r="CG19" s="44">
        <f>DATE(2026,7,23)</f>
        <v>46226</v>
      </c>
      <c r="CH19" s="44">
        <f>DATE(2026,7,24)</f>
        <v>46227</v>
      </c>
      <c r="CI19" s="44">
        <f>DATE(2026,7,25)</f>
        <v>46228</v>
      </c>
      <c r="CJ19" s="44">
        <f>DATE(2026,7,26)</f>
        <v>46229</v>
      </c>
      <c r="CK19" s="44">
        <f>DATE(2026,7,27)</f>
        <v>46230</v>
      </c>
      <c r="CL19" s="44">
        <f>DATE(2026,7,28)</f>
        <v>46231</v>
      </c>
      <c r="CM19" s="44">
        <f>DATE(2026,7,29)</f>
        <v>46232</v>
      </c>
      <c r="CN19" s="44">
        <f>DATE(2026,7,30)</f>
        <v>46233</v>
      </c>
      <c r="CO19" s="44">
        <f>DATE(2026,7,31)</f>
        <v>46234</v>
      </c>
      <c r="CP19" s="44">
        <f>DATE(2026,8,1)</f>
        <v>46235</v>
      </c>
      <c r="CQ19" s="44">
        <f>DATE(2026,8,2)</f>
        <v>46236</v>
      </c>
      <c r="CR19" s="44">
        <f>DATE(2026,8,3)</f>
        <v>46237</v>
      </c>
      <c r="CS19" s="44">
        <f>DATE(2026,8,4)</f>
        <v>46238</v>
      </c>
      <c r="CT19" s="44">
        <f>DATE(2026,8,5)</f>
        <v>46239</v>
      </c>
      <c r="CU19" s="44">
        <f>DATE(2026,8,6)</f>
        <v>46240</v>
      </c>
      <c r="CV19" s="44">
        <f>DATE(2026,8,7)</f>
        <v>46241</v>
      </c>
      <c r="CW19" s="44">
        <f>DATE(2026,8,8)</f>
        <v>46242</v>
      </c>
      <c r="CX19" s="44">
        <f>DATE(2026,8,9)</f>
        <v>46243</v>
      </c>
      <c r="CY19" s="44">
        <f>DATE(2026,8,10)</f>
        <v>46244</v>
      </c>
      <c r="CZ19" s="44">
        <f>DATE(2026,8,11)</f>
        <v>46245</v>
      </c>
      <c r="DA19" s="44">
        <f>DATE(2026,8,12)</f>
        <v>46246</v>
      </c>
      <c r="DB19" s="44">
        <f>DATE(2026,8,13)</f>
        <v>46247</v>
      </c>
      <c r="DC19" s="44">
        <f>DATE(2026,8,14)</f>
        <v>46248</v>
      </c>
      <c r="DD19" s="44">
        <f>DATE(2026,8,15)</f>
        <v>46249</v>
      </c>
      <c r="DE19" s="44">
        <f>DATE(2026,8,16)</f>
        <v>46250</v>
      </c>
      <c r="DF19" s="44">
        <f>DATE(2026,8,17)</f>
        <v>46251</v>
      </c>
      <c r="DG19" s="44">
        <f>DATE(2026,8,18)</f>
        <v>46252</v>
      </c>
      <c r="DH19" s="44">
        <f>DATE(2026,8,19)</f>
        <v>46253</v>
      </c>
      <c r="DI19" s="44">
        <f>DATE(2026,8,20)</f>
        <v>46254</v>
      </c>
      <c r="DJ19" s="44">
        <f>DATE(2026,8,21)</f>
        <v>46255</v>
      </c>
      <c r="DK19" s="44">
        <f>DATE(2026,8,22)</f>
        <v>46256</v>
      </c>
      <c r="DL19" s="44">
        <f>DATE(2026,8,23)</f>
        <v>46257</v>
      </c>
      <c r="DM19" s="44">
        <f>DATE(2026,8,24)</f>
        <v>46258</v>
      </c>
      <c r="DN19" s="44">
        <f>DATE(2026,8,25)</f>
        <v>46259</v>
      </c>
      <c r="DO19" s="44">
        <f>DATE(2026,8,26)</f>
        <v>46260</v>
      </c>
      <c r="DP19" s="44">
        <f>DATE(2026,8,27)</f>
        <v>46261</v>
      </c>
      <c r="DQ19" s="44">
        <f>DATE(2026,8,28)</f>
        <v>46262</v>
      </c>
      <c r="DR19" s="44">
        <f>DATE(2026,8,29)</f>
        <v>46263</v>
      </c>
      <c r="DS19" s="44">
        <f>DATE(2026,8,30)</f>
        <v>46264</v>
      </c>
      <c r="DT19" s="44">
        <f>DATE(2026,8,31)</f>
        <v>46265</v>
      </c>
      <c r="DU19" s="44">
        <f>DATE(2026,9,1)</f>
        <v>46266</v>
      </c>
      <c r="DV19" s="44">
        <f>DATE(2026,9,2)</f>
        <v>46267</v>
      </c>
      <c r="DW19" s="44">
        <f>DATE(2026,9,3)</f>
        <v>46268</v>
      </c>
      <c r="DX19" s="44">
        <f>DATE(2026,9,4)</f>
        <v>46269</v>
      </c>
      <c r="DY19" s="44">
        <f>DATE(2026,9,5)</f>
        <v>46270</v>
      </c>
      <c r="DZ19" s="44">
        <f>DATE(2026,9,6)</f>
        <v>46271</v>
      </c>
      <c r="EA19" s="44">
        <f>DATE(2026,9,7)</f>
        <v>46272</v>
      </c>
      <c r="EB19" s="44">
        <f>DATE(2026,9,8)</f>
        <v>46273</v>
      </c>
      <c r="EC19" s="44">
        <f>DATE(2026,9,9)</f>
        <v>46274</v>
      </c>
      <c r="ED19" s="44">
        <f>DATE(2026,9,10)</f>
        <v>46275</v>
      </c>
      <c r="EE19" s="44">
        <f>DATE(2026,9,11)</f>
        <v>46276</v>
      </c>
      <c r="EF19" s="44">
        <f>DATE(2026,9,12)</f>
        <v>46277</v>
      </c>
      <c r="EG19" s="44">
        <f>DATE(2026,9,13)</f>
        <v>46278</v>
      </c>
      <c r="EH19" s="44">
        <f>DATE(2026,9,14)</f>
        <v>46279</v>
      </c>
      <c r="EI19" s="44">
        <f>DATE(2026,9,15)</f>
        <v>46280</v>
      </c>
      <c r="EJ19" s="44">
        <f>DATE(2026,9,16)</f>
        <v>46281</v>
      </c>
      <c r="EK19" s="44">
        <f>DATE(2026,9,17)</f>
        <v>46282</v>
      </c>
      <c r="EL19" s="44">
        <f>DATE(2026,9,18)</f>
        <v>46283</v>
      </c>
      <c r="EM19" s="44">
        <f>DATE(2026,9,19)</f>
        <v>46284</v>
      </c>
      <c r="EN19" s="44">
        <f>DATE(2026,9,20)</f>
        <v>46285</v>
      </c>
      <c r="EO19" s="44">
        <f>DATE(2026,9,21)</f>
        <v>46286</v>
      </c>
      <c r="EP19" s="44">
        <f>DATE(2026,9,22)</f>
        <v>46287</v>
      </c>
      <c r="EQ19" s="44">
        <f>DATE(2026,9,23)</f>
        <v>46288</v>
      </c>
      <c r="ER19" s="44">
        <f>DATE(2026,9,24)</f>
        <v>46289</v>
      </c>
      <c r="ES19" s="44">
        <f>DATE(2026,9,25)</f>
        <v>46290</v>
      </c>
      <c r="ET19" s="44">
        <f>DATE(2026,9,26)</f>
        <v>46291</v>
      </c>
      <c r="EU19" s="44">
        <f>DATE(2026,9,27)</f>
        <v>46292</v>
      </c>
      <c r="EV19" s="44">
        <f>DATE(2026,9,28)</f>
        <v>46293</v>
      </c>
      <c r="EW19" s="44">
        <f>DATE(2026,9,29)</f>
        <v>46294</v>
      </c>
      <c r="EX19" s="44">
        <f>DATE(2026,9,30)</f>
        <v>46295</v>
      </c>
      <c r="EY19" s="44">
        <f>DATE(2026,10,1)</f>
        <v>46296</v>
      </c>
      <c r="EZ19" s="44">
        <f>DATE(2026,10,2)</f>
        <v>46297</v>
      </c>
      <c r="FA19" s="44">
        <f>DATE(2026,10,3)</f>
        <v>46298</v>
      </c>
      <c r="FB19" s="44">
        <f>DATE(2026,10,4)</f>
        <v>46299</v>
      </c>
      <c r="FC19" s="44">
        <f>DATE(2026,10,5)</f>
        <v>46300</v>
      </c>
      <c r="FD19" s="44">
        <f>DATE(2026,10,6)</f>
        <v>46301</v>
      </c>
      <c r="FE19" s="44">
        <f>DATE(2026,10,7)</f>
        <v>46302</v>
      </c>
      <c r="FF19" s="44">
        <f>DATE(2026,10,8)</f>
        <v>46303</v>
      </c>
      <c r="FG19" s="44">
        <f>DATE(2026,10,9)</f>
        <v>46304</v>
      </c>
      <c r="FH19" s="44">
        <f>DATE(2026,10,10)</f>
        <v>46305</v>
      </c>
      <c r="FI19" s="44">
        <f>DATE(2026,10,11)</f>
        <v>46306</v>
      </c>
      <c r="FJ19" s="44">
        <f>DATE(2026,10,12)</f>
        <v>46307</v>
      </c>
      <c r="FK19" s="44">
        <f>DATE(2026,10,13)</f>
        <v>46308</v>
      </c>
      <c r="FL19" s="44">
        <f>DATE(2026,10,14)</f>
        <v>46309</v>
      </c>
      <c r="FM19" s="44">
        <f>DATE(2026,10,15)</f>
        <v>46310</v>
      </c>
      <c r="FN19" s="44">
        <f>DATE(2026,10,16)</f>
        <v>46311</v>
      </c>
      <c r="FO19" s="44">
        <f>DATE(2026,10,17)</f>
        <v>46312</v>
      </c>
      <c r="FP19" s="44">
        <f>DATE(2026,10,18)</f>
        <v>46313</v>
      </c>
      <c r="FQ19" s="44">
        <f>DATE(2026,10,19)</f>
        <v>46314</v>
      </c>
      <c r="FR19" s="44">
        <f>DATE(2026,10,20)</f>
        <v>46315</v>
      </c>
      <c r="FS19" s="44">
        <f>DATE(2026,10,21)</f>
        <v>46316</v>
      </c>
      <c r="FT19" s="44">
        <f>DATE(2026,10,22)</f>
        <v>46317</v>
      </c>
      <c r="FU19" s="44">
        <f>DATE(2026,10,23)</f>
        <v>46318</v>
      </c>
      <c r="FV19" s="44">
        <f>DATE(2026,10,24)</f>
        <v>46319</v>
      </c>
      <c r="FW19" s="44">
        <f>DATE(2026,10,25)</f>
        <v>46320</v>
      </c>
      <c r="FX19" s="44">
        <f>DATE(2026,10,26)</f>
        <v>46321</v>
      </c>
      <c r="FY19" s="44">
        <f>DATE(2026,10,27)</f>
        <v>46322</v>
      </c>
      <c r="FZ19" s="44">
        <f>DATE(2026,10,28)</f>
        <v>46323</v>
      </c>
      <c r="GA19" s="44">
        <f>DATE(2026,10,29)</f>
        <v>46324</v>
      </c>
      <c r="GB19" s="44">
        <f>DATE(2026,10,30)</f>
        <v>46325</v>
      </c>
      <c r="GC19" s="44">
        <f>DATE(2026,10,31)</f>
        <v>46326</v>
      </c>
      <c r="GD19" s="44">
        <f>DATE(2026,11,1)</f>
        <v>46327</v>
      </c>
      <c r="GE19" s="44">
        <f>DATE(2026,11,2)</f>
        <v>46328</v>
      </c>
      <c r="GF19" s="44">
        <f>DATE(2026,11,3)</f>
        <v>46329</v>
      </c>
      <c r="GG19" s="44">
        <f>DATE(2026,11,4)</f>
        <v>46330</v>
      </c>
      <c r="GH19" s="44">
        <f>DATE(2026,11,5)</f>
        <v>46331</v>
      </c>
      <c r="GI19" s="44">
        <f>DATE(2026,11,6)</f>
        <v>46332</v>
      </c>
      <c r="GJ19" s="44">
        <f>DATE(2026,11,7)</f>
        <v>46333</v>
      </c>
      <c r="GK19" s="44">
        <f>DATE(2026,11,8)</f>
        <v>46334</v>
      </c>
      <c r="GL19" s="44">
        <f>DATE(2026,11,9)</f>
        <v>46335</v>
      </c>
      <c r="GM19" s="44">
        <f>DATE(2026,11,10)</f>
        <v>46336</v>
      </c>
      <c r="GN19" s="44">
        <f>DATE(2026,11,11)</f>
        <v>46337</v>
      </c>
      <c r="GO19" s="44">
        <f>DATE(2026,11,12)</f>
        <v>46338</v>
      </c>
      <c r="GP19" s="44">
        <f>DATE(2026,11,13)</f>
        <v>46339</v>
      </c>
      <c r="GQ19" s="44">
        <f>DATE(2026,11,14)</f>
        <v>46340</v>
      </c>
      <c r="GR19" s="44">
        <f>DATE(2026,11,15)</f>
        <v>46341</v>
      </c>
      <c r="GS19" s="44">
        <f>DATE(2026,11,16)</f>
        <v>46342</v>
      </c>
      <c r="GT19" s="44">
        <f>DATE(2026,11,17)</f>
        <v>46343</v>
      </c>
      <c r="GU19" s="44">
        <f>DATE(2026,11,18)</f>
        <v>46344</v>
      </c>
      <c r="GV19" s="44">
        <f>DATE(2026,11,19)</f>
        <v>46345</v>
      </c>
      <c r="GW19" s="44">
        <f>DATE(2026,11,20)</f>
        <v>46346</v>
      </c>
      <c r="GX19" s="44">
        <f>DATE(2026,11,21)</f>
        <v>46347</v>
      </c>
      <c r="GY19" s="44">
        <f>DATE(2026,11,22)</f>
        <v>46348</v>
      </c>
      <c r="GZ19" s="44">
        <f>DATE(2026,11,23)</f>
        <v>46349</v>
      </c>
      <c r="HA19" s="44">
        <f>DATE(2026,11,24)</f>
        <v>46350</v>
      </c>
      <c r="HB19" s="44">
        <f>DATE(2026,11,25)</f>
        <v>46351</v>
      </c>
      <c r="HC19" s="44">
        <f>DATE(2026,11,26)</f>
        <v>46352</v>
      </c>
      <c r="HD19" s="44">
        <f>DATE(2026,11,27)</f>
        <v>46353</v>
      </c>
      <c r="HE19" s="44">
        <f>DATE(2026,11,28)</f>
        <v>46354</v>
      </c>
      <c r="HF19" s="44">
        <f>DATE(2026,11,29)</f>
        <v>46355</v>
      </c>
      <c r="HG19" s="44">
        <f>DATE(2026,11,30)</f>
        <v>46356</v>
      </c>
      <c r="HH19" s="44">
        <f>DATE(2026,12,1)</f>
        <v>46357</v>
      </c>
      <c r="HI19" s="44">
        <f>DATE(2026,12,2)</f>
        <v>46358</v>
      </c>
      <c r="HJ19" s="44">
        <f>DATE(2026,12,3)</f>
        <v>46359</v>
      </c>
      <c r="HK19" s="44">
        <f>DATE(2026,12,4)</f>
        <v>46360</v>
      </c>
      <c r="HL19" s="44">
        <f>DATE(2026,12,5)</f>
        <v>46361</v>
      </c>
      <c r="HM19" s="44">
        <f>DATE(2026,12,6)</f>
        <v>46362</v>
      </c>
      <c r="HN19" s="44">
        <f>DATE(2026,12,7)</f>
        <v>46363</v>
      </c>
      <c r="HO19" s="44">
        <f>DATE(2026,12,8)</f>
        <v>46364</v>
      </c>
      <c r="HP19" s="44">
        <f>DATE(2026,12,9)</f>
        <v>46365</v>
      </c>
      <c r="HQ19" s="44">
        <f>DATE(2026,12,10)</f>
        <v>46366</v>
      </c>
      <c r="HR19" s="44">
        <f>DATE(2026,12,11)</f>
        <v>46367</v>
      </c>
      <c r="HS19" s="44">
        <f>DATE(2026,12,12)</f>
        <v>46368</v>
      </c>
      <c r="HT19" s="44">
        <f>DATE(2026,12,13)</f>
        <v>46369</v>
      </c>
      <c r="HU19" s="44">
        <f>DATE(2026,12,14)</f>
        <v>46370</v>
      </c>
      <c r="HV19" s="44">
        <f>DATE(2026,12,15)</f>
        <v>46371</v>
      </c>
      <c r="HW19" s="44">
        <f>DATE(2026,12,16)</f>
        <v>46372</v>
      </c>
      <c r="HX19" s="44">
        <f>DATE(2026,12,17)</f>
        <v>46373</v>
      </c>
      <c r="HY19" s="44">
        <f>DATE(2026,12,18)</f>
        <v>46374</v>
      </c>
      <c r="HZ19" s="44">
        <f>DATE(2026,12,19)</f>
        <v>46375</v>
      </c>
      <c r="IA19" s="44">
        <f>DATE(2026,12,20)</f>
        <v>46376</v>
      </c>
      <c r="IB19" s="44">
        <f>DATE(2026,12,21)</f>
        <v>46377</v>
      </c>
      <c r="IC19" s="44">
        <f>DATE(2026,12,22)</f>
        <v>46378</v>
      </c>
      <c r="ID19" s="44">
        <f>DATE(2026,12,23)</f>
        <v>46379</v>
      </c>
      <c r="IE19" s="44">
        <f>DATE(2026,12,24)</f>
        <v>46380</v>
      </c>
      <c r="IF19" s="44">
        <f>DATE(2026,12,25)</f>
        <v>46381</v>
      </c>
      <c r="IG19" s="44">
        <f>DATE(2026,12,26)</f>
        <v>46382</v>
      </c>
      <c r="IH19" s="44">
        <f>DATE(2026,12,27)</f>
        <v>46383</v>
      </c>
      <c r="II19" s="44">
        <f>DATE(2026,12,28)</f>
        <v>46384</v>
      </c>
      <c r="IJ19" s="44">
        <f>DATE(2026,12,29)</f>
        <v>46385</v>
      </c>
      <c r="IK19" s="44">
        <f>DATE(2026,12,30)</f>
        <v>46386</v>
      </c>
      <c r="IL19" s="44">
        <f>DATE(2026,12,31)</f>
        <v>46387</v>
      </c>
    </row>
    <row r="20" spans="1:246" x14ac:dyDescent="0.3">
      <c r="A20" s="18" t="s">
        <v>124</v>
      </c>
      <c r="B20" s="45">
        <f>SUM(Categorias!$F$2:$F$4)+SUMIFS(Lançamentos!$F:$F,Lançamentos!$A:$A,"&lt;"&amp;B$19)-SUMIFS(Lançamentos!$G:$G,Lançamentos!$A:$A,"&lt;"&amp;B$19)</f>
        <v>7500</v>
      </c>
      <c r="C20" s="45">
        <f t="shared" ref="C20:BN20" si="3">B79</f>
        <v>7500</v>
      </c>
      <c r="D20" s="45">
        <f t="shared" si="3"/>
        <v>7500</v>
      </c>
      <c r="E20" s="45">
        <f t="shared" si="3"/>
        <v>7500</v>
      </c>
      <c r="F20" s="45">
        <f t="shared" si="3"/>
        <v>7500</v>
      </c>
      <c r="G20" s="45">
        <f t="shared" si="3"/>
        <v>7500</v>
      </c>
      <c r="H20" s="45">
        <f t="shared" si="3"/>
        <v>7500</v>
      </c>
      <c r="I20" s="45">
        <f t="shared" si="3"/>
        <v>7500</v>
      </c>
      <c r="J20" s="45">
        <f t="shared" si="3"/>
        <v>7500</v>
      </c>
      <c r="K20" s="45">
        <f t="shared" si="3"/>
        <v>7500</v>
      </c>
      <c r="L20" s="45">
        <f t="shared" si="3"/>
        <v>32500</v>
      </c>
      <c r="M20" s="45">
        <f t="shared" si="3"/>
        <v>32500</v>
      </c>
      <c r="N20" s="45">
        <f t="shared" si="3"/>
        <v>32500</v>
      </c>
      <c r="O20" s="45">
        <f t="shared" si="3"/>
        <v>32500</v>
      </c>
      <c r="P20" s="45">
        <f t="shared" si="3"/>
        <v>32500</v>
      </c>
      <c r="Q20" s="45">
        <f t="shared" si="3"/>
        <v>32500</v>
      </c>
      <c r="R20" s="45">
        <f t="shared" si="3"/>
        <v>32500</v>
      </c>
      <c r="S20" s="45">
        <f t="shared" si="3"/>
        <v>32500</v>
      </c>
      <c r="T20" s="45">
        <f t="shared" si="3"/>
        <v>32500</v>
      </c>
      <c r="U20" s="45">
        <f t="shared" si="3"/>
        <v>32500</v>
      </c>
      <c r="V20" s="45">
        <f t="shared" si="3"/>
        <v>32500</v>
      </c>
      <c r="W20" s="45">
        <f t="shared" si="3"/>
        <v>32500</v>
      </c>
      <c r="X20" s="45">
        <f t="shared" si="3"/>
        <v>32500</v>
      </c>
      <c r="Y20" s="45">
        <f t="shared" si="3"/>
        <v>32500</v>
      </c>
      <c r="Z20" s="45">
        <f t="shared" si="3"/>
        <v>32500</v>
      </c>
      <c r="AA20" s="45">
        <f t="shared" si="3"/>
        <v>32500</v>
      </c>
      <c r="AB20" s="45">
        <f t="shared" si="3"/>
        <v>32500</v>
      </c>
      <c r="AC20" s="45">
        <f t="shared" si="3"/>
        <v>32500</v>
      </c>
      <c r="AD20" s="45">
        <f t="shared" si="3"/>
        <v>32500</v>
      </c>
      <c r="AE20" s="45">
        <f t="shared" si="3"/>
        <v>32500</v>
      </c>
      <c r="AF20" s="45">
        <f t="shared" si="3"/>
        <v>32500</v>
      </c>
      <c r="AG20" s="45">
        <f t="shared" si="3"/>
        <v>32500</v>
      </c>
      <c r="AH20" s="45">
        <f t="shared" si="3"/>
        <v>32500</v>
      </c>
      <c r="AI20" s="45">
        <f t="shared" si="3"/>
        <v>32500</v>
      </c>
      <c r="AJ20" s="45">
        <f t="shared" si="3"/>
        <v>32500</v>
      </c>
      <c r="AK20" s="45">
        <f t="shared" si="3"/>
        <v>32500</v>
      </c>
      <c r="AL20" s="45">
        <f t="shared" si="3"/>
        <v>32500</v>
      </c>
      <c r="AM20" s="45">
        <f t="shared" si="3"/>
        <v>32500</v>
      </c>
      <c r="AN20" s="45">
        <f t="shared" si="3"/>
        <v>32500</v>
      </c>
      <c r="AO20" s="45">
        <f t="shared" si="3"/>
        <v>32500</v>
      </c>
      <c r="AP20" s="45">
        <f t="shared" si="3"/>
        <v>32500</v>
      </c>
      <c r="AQ20" s="45">
        <f t="shared" si="3"/>
        <v>32500</v>
      </c>
      <c r="AR20" s="45">
        <f t="shared" si="3"/>
        <v>32500</v>
      </c>
      <c r="AS20" s="45">
        <f t="shared" si="3"/>
        <v>32500</v>
      </c>
      <c r="AT20" s="45">
        <f t="shared" si="3"/>
        <v>32500</v>
      </c>
      <c r="AU20" s="45">
        <f t="shared" si="3"/>
        <v>32500</v>
      </c>
      <c r="AV20" s="45">
        <f t="shared" si="3"/>
        <v>32500</v>
      </c>
      <c r="AW20" s="45">
        <f t="shared" si="3"/>
        <v>32500</v>
      </c>
      <c r="AX20" s="45">
        <f t="shared" si="3"/>
        <v>32500</v>
      </c>
      <c r="AY20" s="45">
        <f t="shared" si="3"/>
        <v>32500</v>
      </c>
      <c r="AZ20" s="45">
        <f t="shared" si="3"/>
        <v>32500</v>
      </c>
      <c r="BA20" s="45">
        <f t="shared" si="3"/>
        <v>32500</v>
      </c>
      <c r="BB20" s="45">
        <f t="shared" si="3"/>
        <v>32500</v>
      </c>
      <c r="BC20" s="45">
        <f t="shared" si="3"/>
        <v>32500</v>
      </c>
      <c r="BD20" s="45">
        <f t="shared" si="3"/>
        <v>32500</v>
      </c>
      <c r="BE20" s="45">
        <f t="shared" si="3"/>
        <v>32500</v>
      </c>
      <c r="BF20" s="45">
        <f t="shared" si="3"/>
        <v>32500</v>
      </c>
      <c r="BG20" s="45">
        <f t="shared" si="3"/>
        <v>32500</v>
      </c>
      <c r="BH20" s="45">
        <f t="shared" si="3"/>
        <v>32500</v>
      </c>
      <c r="BI20" s="45">
        <f t="shared" si="3"/>
        <v>32500</v>
      </c>
      <c r="BJ20" s="45">
        <f t="shared" si="3"/>
        <v>32500</v>
      </c>
      <c r="BK20" s="45">
        <f t="shared" si="3"/>
        <v>32500</v>
      </c>
      <c r="BL20" s="45">
        <f t="shared" si="3"/>
        <v>32500</v>
      </c>
      <c r="BM20" s="45">
        <f t="shared" si="3"/>
        <v>32500</v>
      </c>
      <c r="BN20" s="45">
        <f t="shared" si="3"/>
        <v>32500</v>
      </c>
      <c r="BO20" s="45">
        <f t="shared" ref="BO20:DZ20" si="4">BN79</f>
        <v>32500</v>
      </c>
      <c r="BP20" s="45">
        <f t="shared" si="4"/>
        <v>32500</v>
      </c>
      <c r="BQ20" s="45">
        <f t="shared" si="4"/>
        <v>32500</v>
      </c>
      <c r="BR20" s="45">
        <f t="shared" si="4"/>
        <v>32500</v>
      </c>
      <c r="BS20" s="45">
        <f t="shared" si="4"/>
        <v>32500</v>
      </c>
      <c r="BT20" s="45">
        <f t="shared" si="4"/>
        <v>32500</v>
      </c>
      <c r="BU20" s="45">
        <f t="shared" si="4"/>
        <v>32500</v>
      </c>
      <c r="BV20" s="45">
        <f t="shared" si="4"/>
        <v>32500</v>
      </c>
      <c r="BW20" s="45">
        <f t="shared" si="4"/>
        <v>32500</v>
      </c>
      <c r="BX20" s="45">
        <f t="shared" si="4"/>
        <v>32500</v>
      </c>
      <c r="BY20" s="45">
        <f t="shared" si="4"/>
        <v>32500</v>
      </c>
      <c r="BZ20" s="45">
        <f t="shared" si="4"/>
        <v>32500</v>
      </c>
      <c r="CA20" s="45">
        <f t="shared" si="4"/>
        <v>32500</v>
      </c>
      <c r="CB20" s="45">
        <f t="shared" si="4"/>
        <v>32500</v>
      </c>
      <c r="CC20" s="45">
        <f t="shared" si="4"/>
        <v>32500</v>
      </c>
      <c r="CD20" s="45">
        <f t="shared" si="4"/>
        <v>32500</v>
      </c>
      <c r="CE20" s="45">
        <f t="shared" si="4"/>
        <v>32500</v>
      </c>
      <c r="CF20" s="45">
        <f t="shared" si="4"/>
        <v>32500</v>
      </c>
      <c r="CG20" s="45">
        <f t="shared" si="4"/>
        <v>32500</v>
      </c>
      <c r="CH20" s="45">
        <f t="shared" si="4"/>
        <v>32500</v>
      </c>
      <c r="CI20" s="45">
        <f t="shared" si="4"/>
        <v>32500</v>
      </c>
      <c r="CJ20" s="45">
        <f t="shared" si="4"/>
        <v>32500</v>
      </c>
      <c r="CK20" s="45">
        <f t="shared" si="4"/>
        <v>32500</v>
      </c>
      <c r="CL20" s="45">
        <f t="shared" si="4"/>
        <v>32500</v>
      </c>
      <c r="CM20" s="45">
        <f t="shared" si="4"/>
        <v>32500</v>
      </c>
      <c r="CN20" s="45">
        <f t="shared" si="4"/>
        <v>32500</v>
      </c>
      <c r="CO20" s="45">
        <f t="shared" si="4"/>
        <v>32500</v>
      </c>
      <c r="CP20" s="45">
        <f t="shared" si="4"/>
        <v>32500</v>
      </c>
      <c r="CQ20" s="45">
        <f t="shared" si="4"/>
        <v>32500</v>
      </c>
      <c r="CR20" s="45">
        <f t="shared" si="4"/>
        <v>32500</v>
      </c>
      <c r="CS20" s="45">
        <f t="shared" si="4"/>
        <v>32500</v>
      </c>
      <c r="CT20" s="45">
        <f t="shared" si="4"/>
        <v>32500</v>
      </c>
      <c r="CU20" s="45">
        <f t="shared" si="4"/>
        <v>32500</v>
      </c>
      <c r="CV20" s="45">
        <f t="shared" si="4"/>
        <v>32500</v>
      </c>
      <c r="CW20" s="45">
        <f t="shared" si="4"/>
        <v>32500</v>
      </c>
      <c r="CX20" s="45">
        <f t="shared" si="4"/>
        <v>32500</v>
      </c>
      <c r="CY20" s="45">
        <f t="shared" si="4"/>
        <v>32500</v>
      </c>
      <c r="CZ20" s="45">
        <f t="shared" si="4"/>
        <v>32500</v>
      </c>
      <c r="DA20" s="45">
        <f t="shared" si="4"/>
        <v>32500</v>
      </c>
      <c r="DB20" s="45">
        <f t="shared" si="4"/>
        <v>32500</v>
      </c>
      <c r="DC20" s="45">
        <f t="shared" si="4"/>
        <v>32500</v>
      </c>
      <c r="DD20" s="45">
        <f t="shared" si="4"/>
        <v>32500</v>
      </c>
      <c r="DE20" s="45">
        <f t="shared" si="4"/>
        <v>32500</v>
      </c>
      <c r="DF20" s="45">
        <f t="shared" si="4"/>
        <v>32500</v>
      </c>
      <c r="DG20" s="45">
        <f t="shared" si="4"/>
        <v>32500</v>
      </c>
      <c r="DH20" s="45">
        <f t="shared" si="4"/>
        <v>32500</v>
      </c>
      <c r="DI20" s="45">
        <f t="shared" si="4"/>
        <v>32500</v>
      </c>
      <c r="DJ20" s="45">
        <f t="shared" si="4"/>
        <v>32500</v>
      </c>
      <c r="DK20" s="45">
        <f t="shared" si="4"/>
        <v>32500</v>
      </c>
      <c r="DL20" s="45">
        <f t="shared" si="4"/>
        <v>32500</v>
      </c>
      <c r="DM20" s="45">
        <f t="shared" si="4"/>
        <v>32500</v>
      </c>
      <c r="DN20" s="45">
        <f t="shared" si="4"/>
        <v>32500</v>
      </c>
      <c r="DO20" s="45">
        <f t="shared" si="4"/>
        <v>32500</v>
      </c>
      <c r="DP20" s="45">
        <f t="shared" si="4"/>
        <v>32500</v>
      </c>
      <c r="DQ20" s="45">
        <f t="shared" si="4"/>
        <v>32500</v>
      </c>
      <c r="DR20" s="45">
        <f t="shared" si="4"/>
        <v>32500</v>
      </c>
      <c r="DS20" s="45">
        <f t="shared" si="4"/>
        <v>32500</v>
      </c>
      <c r="DT20" s="45">
        <f t="shared" si="4"/>
        <v>32500</v>
      </c>
      <c r="DU20" s="45">
        <f t="shared" si="4"/>
        <v>32500</v>
      </c>
      <c r="DV20" s="45">
        <f t="shared" si="4"/>
        <v>32500</v>
      </c>
      <c r="DW20" s="45">
        <f t="shared" si="4"/>
        <v>32500</v>
      </c>
      <c r="DX20" s="45">
        <f t="shared" si="4"/>
        <v>32500</v>
      </c>
      <c r="DY20" s="45">
        <f t="shared" si="4"/>
        <v>32500</v>
      </c>
      <c r="DZ20" s="45">
        <f t="shared" si="4"/>
        <v>32500</v>
      </c>
      <c r="EA20" s="45">
        <f t="shared" ref="EA20:GL20" si="5">DZ79</f>
        <v>32500</v>
      </c>
      <c r="EB20" s="45">
        <f t="shared" si="5"/>
        <v>32500</v>
      </c>
      <c r="EC20" s="45">
        <f t="shared" si="5"/>
        <v>32500</v>
      </c>
      <c r="ED20" s="45">
        <f t="shared" si="5"/>
        <v>32500</v>
      </c>
      <c r="EE20" s="45">
        <f t="shared" si="5"/>
        <v>32500</v>
      </c>
      <c r="EF20" s="45">
        <f t="shared" si="5"/>
        <v>32500</v>
      </c>
      <c r="EG20" s="45">
        <f t="shared" si="5"/>
        <v>32500</v>
      </c>
      <c r="EH20" s="45">
        <f t="shared" si="5"/>
        <v>32500</v>
      </c>
      <c r="EI20" s="45">
        <f t="shared" si="5"/>
        <v>32500</v>
      </c>
      <c r="EJ20" s="45">
        <f t="shared" si="5"/>
        <v>32500</v>
      </c>
      <c r="EK20" s="45">
        <f t="shared" si="5"/>
        <v>32500</v>
      </c>
      <c r="EL20" s="45">
        <f t="shared" si="5"/>
        <v>32500</v>
      </c>
      <c r="EM20" s="45">
        <f t="shared" si="5"/>
        <v>32500</v>
      </c>
      <c r="EN20" s="45">
        <f t="shared" si="5"/>
        <v>32500</v>
      </c>
      <c r="EO20" s="45">
        <f t="shared" si="5"/>
        <v>32500</v>
      </c>
      <c r="EP20" s="45">
        <f t="shared" si="5"/>
        <v>32500</v>
      </c>
      <c r="EQ20" s="45">
        <f t="shared" si="5"/>
        <v>32500</v>
      </c>
      <c r="ER20" s="45">
        <f t="shared" si="5"/>
        <v>32500</v>
      </c>
      <c r="ES20" s="45">
        <f t="shared" si="5"/>
        <v>32500</v>
      </c>
      <c r="ET20" s="45">
        <f t="shared" si="5"/>
        <v>32500</v>
      </c>
      <c r="EU20" s="45">
        <f t="shared" si="5"/>
        <v>32500</v>
      </c>
      <c r="EV20" s="45">
        <f t="shared" si="5"/>
        <v>32500</v>
      </c>
      <c r="EW20" s="45">
        <f t="shared" si="5"/>
        <v>32500</v>
      </c>
      <c r="EX20" s="45">
        <f t="shared" si="5"/>
        <v>32500</v>
      </c>
      <c r="EY20" s="45">
        <f t="shared" si="5"/>
        <v>32500</v>
      </c>
      <c r="EZ20" s="45">
        <f t="shared" si="5"/>
        <v>32500</v>
      </c>
      <c r="FA20" s="45">
        <f t="shared" si="5"/>
        <v>32500</v>
      </c>
      <c r="FB20" s="45">
        <f t="shared" si="5"/>
        <v>32500</v>
      </c>
      <c r="FC20" s="45">
        <f t="shared" si="5"/>
        <v>32500</v>
      </c>
      <c r="FD20" s="45">
        <f t="shared" si="5"/>
        <v>32500</v>
      </c>
      <c r="FE20" s="45">
        <f t="shared" si="5"/>
        <v>32500</v>
      </c>
      <c r="FF20" s="45">
        <f t="shared" si="5"/>
        <v>32500</v>
      </c>
      <c r="FG20" s="45">
        <f t="shared" si="5"/>
        <v>32500</v>
      </c>
      <c r="FH20" s="45">
        <f t="shared" si="5"/>
        <v>32500</v>
      </c>
      <c r="FI20" s="45">
        <f t="shared" si="5"/>
        <v>32500</v>
      </c>
      <c r="FJ20" s="45">
        <f t="shared" si="5"/>
        <v>32500</v>
      </c>
      <c r="FK20" s="45">
        <f t="shared" si="5"/>
        <v>32500</v>
      </c>
      <c r="FL20" s="45">
        <f t="shared" si="5"/>
        <v>32500</v>
      </c>
      <c r="FM20" s="45">
        <f t="shared" si="5"/>
        <v>32500</v>
      </c>
      <c r="FN20" s="45">
        <f t="shared" si="5"/>
        <v>32500</v>
      </c>
      <c r="FO20" s="45">
        <f t="shared" si="5"/>
        <v>32500</v>
      </c>
      <c r="FP20" s="45">
        <f t="shared" si="5"/>
        <v>32500</v>
      </c>
      <c r="FQ20" s="45">
        <f t="shared" si="5"/>
        <v>32500</v>
      </c>
      <c r="FR20" s="45">
        <f t="shared" si="5"/>
        <v>32500</v>
      </c>
      <c r="FS20" s="45">
        <f t="shared" si="5"/>
        <v>32500</v>
      </c>
      <c r="FT20" s="45">
        <f t="shared" si="5"/>
        <v>32500</v>
      </c>
      <c r="FU20" s="45">
        <f t="shared" si="5"/>
        <v>32500</v>
      </c>
      <c r="FV20" s="45">
        <f t="shared" si="5"/>
        <v>32500</v>
      </c>
      <c r="FW20" s="45">
        <f t="shared" si="5"/>
        <v>32500</v>
      </c>
      <c r="FX20" s="45">
        <f t="shared" si="5"/>
        <v>32500</v>
      </c>
      <c r="FY20" s="45">
        <f t="shared" si="5"/>
        <v>32500</v>
      </c>
      <c r="FZ20" s="45">
        <f t="shared" si="5"/>
        <v>32500</v>
      </c>
      <c r="GA20" s="45">
        <f t="shared" si="5"/>
        <v>32500</v>
      </c>
      <c r="GB20" s="45">
        <f t="shared" si="5"/>
        <v>32500</v>
      </c>
      <c r="GC20" s="45">
        <f t="shared" si="5"/>
        <v>32500</v>
      </c>
      <c r="GD20" s="45">
        <f t="shared" si="5"/>
        <v>32500</v>
      </c>
      <c r="GE20" s="45">
        <f t="shared" si="5"/>
        <v>32500</v>
      </c>
      <c r="GF20" s="45">
        <f t="shared" si="5"/>
        <v>32500</v>
      </c>
      <c r="GG20" s="45">
        <f t="shared" si="5"/>
        <v>32500</v>
      </c>
      <c r="GH20" s="45">
        <f t="shared" si="5"/>
        <v>32500</v>
      </c>
      <c r="GI20" s="45">
        <f t="shared" si="5"/>
        <v>32500</v>
      </c>
      <c r="GJ20" s="45">
        <f t="shared" si="5"/>
        <v>32500</v>
      </c>
      <c r="GK20" s="45">
        <f t="shared" si="5"/>
        <v>32500</v>
      </c>
      <c r="GL20" s="45">
        <f t="shared" si="5"/>
        <v>32500</v>
      </c>
      <c r="GM20" s="45">
        <f t="shared" ref="GM20:IL20" si="6">GL79</f>
        <v>32500</v>
      </c>
      <c r="GN20" s="45">
        <f t="shared" si="6"/>
        <v>32500</v>
      </c>
      <c r="GO20" s="45">
        <f t="shared" si="6"/>
        <v>32500</v>
      </c>
      <c r="GP20" s="45">
        <f t="shared" si="6"/>
        <v>32500</v>
      </c>
      <c r="GQ20" s="45">
        <f t="shared" si="6"/>
        <v>32500</v>
      </c>
      <c r="GR20" s="45">
        <f t="shared" si="6"/>
        <v>32500</v>
      </c>
      <c r="GS20" s="45">
        <f t="shared" si="6"/>
        <v>32500</v>
      </c>
      <c r="GT20" s="45">
        <f t="shared" si="6"/>
        <v>32500</v>
      </c>
      <c r="GU20" s="45">
        <f t="shared" si="6"/>
        <v>32500</v>
      </c>
      <c r="GV20" s="45">
        <f t="shared" si="6"/>
        <v>32500</v>
      </c>
      <c r="GW20" s="45">
        <f t="shared" si="6"/>
        <v>32500</v>
      </c>
      <c r="GX20" s="45">
        <f t="shared" si="6"/>
        <v>32500</v>
      </c>
      <c r="GY20" s="45">
        <f t="shared" si="6"/>
        <v>32500</v>
      </c>
      <c r="GZ20" s="45">
        <f t="shared" si="6"/>
        <v>32500</v>
      </c>
      <c r="HA20" s="45">
        <f t="shared" si="6"/>
        <v>32500</v>
      </c>
      <c r="HB20" s="45">
        <f t="shared" si="6"/>
        <v>32500</v>
      </c>
      <c r="HC20" s="45">
        <f t="shared" si="6"/>
        <v>32500</v>
      </c>
      <c r="HD20" s="45">
        <f t="shared" si="6"/>
        <v>32500</v>
      </c>
      <c r="HE20" s="45">
        <f t="shared" si="6"/>
        <v>32500</v>
      </c>
      <c r="HF20" s="45">
        <f t="shared" si="6"/>
        <v>32500</v>
      </c>
      <c r="HG20" s="45">
        <f t="shared" si="6"/>
        <v>32500</v>
      </c>
      <c r="HH20" s="45">
        <f t="shared" si="6"/>
        <v>32500</v>
      </c>
      <c r="HI20" s="45">
        <f t="shared" si="6"/>
        <v>32500</v>
      </c>
      <c r="HJ20" s="45">
        <f t="shared" si="6"/>
        <v>32500</v>
      </c>
      <c r="HK20" s="45">
        <f t="shared" si="6"/>
        <v>32500</v>
      </c>
      <c r="HL20" s="45">
        <f t="shared" si="6"/>
        <v>32500</v>
      </c>
      <c r="HM20" s="45">
        <f t="shared" si="6"/>
        <v>32500</v>
      </c>
      <c r="HN20" s="45">
        <f t="shared" si="6"/>
        <v>32500</v>
      </c>
      <c r="HO20" s="45">
        <f t="shared" si="6"/>
        <v>32500</v>
      </c>
      <c r="HP20" s="45">
        <f t="shared" si="6"/>
        <v>32500</v>
      </c>
      <c r="HQ20" s="45">
        <f t="shared" si="6"/>
        <v>32500</v>
      </c>
      <c r="HR20" s="45">
        <f t="shared" si="6"/>
        <v>32500</v>
      </c>
      <c r="HS20" s="45">
        <f t="shared" si="6"/>
        <v>32500</v>
      </c>
      <c r="HT20" s="45">
        <f t="shared" si="6"/>
        <v>32500</v>
      </c>
      <c r="HU20" s="45">
        <f t="shared" si="6"/>
        <v>32500</v>
      </c>
      <c r="HV20" s="45">
        <f t="shared" si="6"/>
        <v>32500</v>
      </c>
      <c r="HW20" s="45">
        <f t="shared" si="6"/>
        <v>32500</v>
      </c>
      <c r="HX20" s="45">
        <f t="shared" si="6"/>
        <v>32500</v>
      </c>
      <c r="HY20" s="45">
        <f t="shared" si="6"/>
        <v>32500</v>
      </c>
      <c r="HZ20" s="45">
        <f t="shared" si="6"/>
        <v>32500</v>
      </c>
      <c r="IA20" s="45">
        <f t="shared" si="6"/>
        <v>32500</v>
      </c>
      <c r="IB20" s="45">
        <f t="shared" si="6"/>
        <v>32500</v>
      </c>
      <c r="IC20" s="45">
        <f t="shared" si="6"/>
        <v>32500</v>
      </c>
      <c r="ID20" s="45">
        <f t="shared" si="6"/>
        <v>32500</v>
      </c>
      <c r="IE20" s="45">
        <f t="shared" si="6"/>
        <v>32500</v>
      </c>
      <c r="IF20" s="45">
        <f t="shared" si="6"/>
        <v>32500</v>
      </c>
      <c r="IG20" s="45">
        <f t="shared" si="6"/>
        <v>32500</v>
      </c>
      <c r="IH20" s="45">
        <f t="shared" si="6"/>
        <v>32500</v>
      </c>
      <c r="II20" s="45">
        <f t="shared" si="6"/>
        <v>32500</v>
      </c>
      <c r="IJ20" s="45">
        <f t="shared" si="6"/>
        <v>32500</v>
      </c>
      <c r="IK20" s="45">
        <f t="shared" si="6"/>
        <v>32500</v>
      </c>
      <c r="IL20" s="45">
        <f t="shared" si="6"/>
        <v>32500</v>
      </c>
    </row>
    <row r="21" spans="1:246" x14ac:dyDescent="0.3">
      <c r="A21" s="30" t="s">
        <v>125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</row>
    <row r="22" spans="1:246" x14ac:dyDescent="0.3">
      <c r="A22" t="s">
        <v>3</v>
      </c>
      <c r="B22" s="39">
        <f>SUMIFS(Lançamentos!$F:$F,Lançamentos!$A:$A,B$19,Lançamentos!$C:$C,"Vendas de Produtos")</f>
        <v>0</v>
      </c>
      <c r="C22" s="39">
        <f>SUMIFS(Lançamentos!$F:$F,Lançamentos!$A:$A,C$19,Lançamentos!$C:$C,"Vendas de Produtos")</f>
        <v>0</v>
      </c>
      <c r="D22" s="39">
        <f>SUMIFS(Lançamentos!$F:$F,Lançamentos!$A:$A,D$19,Lançamentos!$C:$C,"Vendas de Produtos")</f>
        <v>0</v>
      </c>
      <c r="E22" s="39">
        <f>SUMIFS(Lançamentos!$F:$F,Lançamentos!$A:$A,E$19,Lançamentos!$C:$C,"Vendas de Produtos")</f>
        <v>0</v>
      </c>
      <c r="F22" s="39">
        <f>SUMIFS(Lançamentos!$F:$F,Lançamentos!$A:$A,F$19,Lançamentos!$C:$C,"Vendas de Produtos")</f>
        <v>0</v>
      </c>
      <c r="G22" s="39">
        <f>SUMIFS(Lançamentos!$F:$F,Lançamentos!$A:$A,G$19,Lançamentos!$C:$C,"Vendas de Produtos")</f>
        <v>0</v>
      </c>
      <c r="H22" s="39">
        <f>SUMIFS(Lançamentos!$F:$F,Lançamentos!$A:$A,H$19,Lançamentos!$C:$C,"Vendas de Produtos")</f>
        <v>0</v>
      </c>
      <c r="I22" s="39">
        <f>SUMIFS(Lançamentos!$F:$F,Lançamentos!$A:$A,I$19,Lançamentos!$C:$C,"Vendas de Produtos")</f>
        <v>0</v>
      </c>
      <c r="J22" s="39">
        <f>SUMIFS(Lançamentos!$F:$F,Lançamentos!$A:$A,J$19,Lançamentos!$C:$C,"Vendas de Produtos")</f>
        <v>0</v>
      </c>
      <c r="K22" s="39">
        <f>SUMIFS(Lançamentos!$F:$F,Lançamentos!$A:$A,K$19,Lançamentos!$C:$C,"Vendas de Produtos")</f>
        <v>0</v>
      </c>
      <c r="L22" s="39">
        <f>SUMIFS(Lançamentos!$F:$F,Lançamentos!$A:$A,L$19,Lançamentos!$C:$C,"Vendas de Produtos")</f>
        <v>0</v>
      </c>
      <c r="M22" s="39">
        <f>SUMIFS(Lançamentos!$F:$F,Lançamentos!$A:$A,M$19,Lançamentos!$C:$C,"Vendas de Produtos")</f>
        <v>0</v>
      </c>
      <c r="N22" s="39">
        <f>SUMIFS(Lançamentos!$F:$F,Lançamentos!$A:$A,N$19,Lançamentos!$C:$C,"Vendas de Produtos")</f>
        <v>0</v>
      </c>
      <c r="O22" s="39">
        <f>SUMIFS(Lançamentos!$F:$F,Lançamentos!$A:$A,O$19,Lançamentos!$C:$C,"Vendas de Produtos")</f>
        <v>0</v>
      </c>
      <c r="P22" s="39">
        <f>SUMIFS(Lançamentos!$F:$F,Lançamentos!$A:$A,P$19,Lançamentos!$C:$C,"Vendas de Produtos")</f>
        <v>0</v>
      </c>
      <c r="Q22" s="39">
        <f>SUMIFS(Lançamentos!$F:$F,Lançamentos!$A:$A,Q$19,Lançamentos!$C:$C,"Vendas de Produtos")</f>
        <v>0</v>
      </c>
      <c r="R22" s="39">
        <f>SUMIFS(Lançamentos!$F:$F,Lançamentos!$A:$A,R$19,Lançamentos!$C:$C,"Vendas de Produtos")</f>
        <v>0</v>
      </c>
      <c r="S22" s="39">
        <f>SUMIFS(Lançamentos!$F:$F,Lançamentos!$A:$A,S$19,Lançamentos!$C:$C,"Vendas de Produtos")</f>
        <v>0</v>
      </c>
      <c r="T22" s="39">
        <f>SUMIFS(Lançamentos!$F:$F,Lançamentos!$A:$A,T$19,Lançamentos!$C:$C,"Vendas de Produtos")</f>
        <v>0</v>
      </c>
      <c r="U22" s="39">
        <f>SUMIFS(Lançamentos!$F:$F,Lançamentos!$A:$A,U$19,Lançamentos!$C:$C,"Vendas de Produtos")</f>
        <v>0</v>
      </c>
      <c r="V22" s="39">
        <f>SUMIFS(Lançamentos!$F:$F,Lançamentos!$A:$A,V$19,Lançamentos!$C:$C,"Vendas de Produtos")</f>
        <v>0</v>
      </c>
      <c r="W22" s="39">
        <f>SUMIFS(Lançamentos!$F:$F,Lançamentos!$A:$A,W$19,Lançamentos!$C:$C,"Vendas de Produtos")</f>
        <v>0</v>
      </c>
      <c r="X22" s="39">
        <f>SUMIFS(Lançamentos!$F:$F,Lançamentos!$A:$A,X$19,Lançamentos!$C:$C,"Vendas de Produtos")</f>
        <v>0</v>
      </c>
      <c r="Y22" s="39">
        <f>SUMIFS(Lançamentos!$F:$F,Lançamentos!$A:$A,Y$19,Lançamentos!$C:$C,"Vendas de Produtos")</f>
        <v>0</v>
      </c>
      <c r="Z22" s="39">
        <f>SUMIFS(Lançamentos!$F:$F,Lançamentos!$A:$A,Z$19,Lançamentos!$C:$C,"Vendas de Produtos")</f>
        <v>0</v>
      </c>
      <c r="AA22" s="39">
        <f>SUMIFS(Lançamentos!$F:$F,Lançamentos!$A:$A,AA$19,Lançamentos!$C:$C,"Vendas de Produtos")</f>
        <v>0</v>
      </c>
      <c r="AB22" s="39">
        <f>SUMIFS(Lançamentos!$F:$F,Lançamentos!$A:$A,AB$19,Lançamentos!$C:$C,"Vendas de Produtos")</f>
        <v>0</v>
      </c>
      <c r="AC22" s="39">
        <f>SUMIFS(Lançamentos!$F:$F,Lançamentos!$A:$A,AC$19,Lançamentos!$C:$C,"Vendas de Produtos")</f>
        <v>0</v>
      </c>
      <c r="AD22" s="39">
        <f>SUMIFS(Lançamentos!$F:$F,Lançamentos!$A:$A,AD$19,Lançamentos!$C:$C,"Vendas de Produtos")</f>
        <v>0</v>
      </c>
      <c r="AE22" s="39">
        <f>SUMIFS(Lançamentos!$F:$F,Lançamentos!$A:$A,AE$19,Lançamentos!$C:$C,"Vendas de Produtos")</f>
        <v>0</v>
      </c>
      <c r="AF22" s="39">
        <f>SUMIFS(Lançamentos!$F:$F,Lançamentos!$A:$A,AF$19,Lançamentos!$C:$C,"Vendas de Produtos")</f>
        <v>0</v>
      </c>
      <c r="AG22" s="39">
        <f>SUMIFS(Lançamentos!$F:$F,Lançamentos!$A:$A,AG$19,Lançamentos!$C:$C,"Vendas de Produtos")</f>
        <v>0</v>
      </c>
      <c r="AH22" s="39">
        <f>SUMIFS(Lançamentos!$F:$F,Lançamentos!$A:$A,AH$19,Lançamentos!$C:$C,"Vendas de Produtos")</f>
        <v>0</v>
      </c>
      <c r="AI22" s="39">
        <f>SUMIFS(Lançamentos!$F:$F,Lançamentos!$A:$A,AI$19,Lançamentos!$C:$C,"Vendas de Produtos")</f>
        <v>0</v>
      </c>
      <c r="AJ22" s="39">
        <f>SUMIFS(Lançamentos!$F:$F,Lançamentos!$A:$A,AJ$19,Lançamentos!$C:$C,"Vendas de Produtos")</f>
        <v>0</v>
      </c>
      <c r="AK22" s="39">
        <f>SUMIFS(Lançamentos!$F:$F,Lançamentos!$A:$A,AK$19,Lançamentos!$C:$C,"Vendas de Produtos")</f>
        <v>0</v>
      </c>
      <c r="AL22" s="39">
        <f>SUMIFS(Lançamentos!$F:$F,Lançamentos!$A:$A,AL$19,Lançamentos!$C:$C,"Vendas de Produtos")</f>
        <v>0</v>
      </c>
      <c r="AM22" s="39">
        <f>SUMIFS(Lançamentos!$F:$F,Lançamentos!$A:$A,AM$19,Lançamentos!$C:$C,"Vendas de Produtos")</f>
        <v>0</v>
      </c>
      <c r="AN22" s="39">
        <f>SUMIFS(Lançamentos!$F:$F,Lançamentos!$A:$A,AN$19,Lançamentos!$C:$C,"Vendas de Produtos")</f>
        <v>0</v>
      </c>
      <c r="AO22" s="39">
        <f>SUMIFS(Lançamentos!$F:$F,Lançamentos!$A:$A,AO$19,Lançamentos!$C:$C,"Vendas de Produtos")</f>
        <v>0</v>
      </c>
      <c r="AP22" s="39">
        <f>SUMIFS(Lançamentos!$F:$F,Lançamentos!$A:$A,AP$19,Lançamentos!$C:$C,"Vendas de Produtos")</f>
        <v>0</v>
      </c>
      <c r="AQ22" s="39">
        <f>SUMIFS(Lançamentos!$F:$F,Lançamentos!$A:$A,AQ$19,Lançamentos!$C:$C,"Vendas de Produtos")</f>
        <v>0</v>
      </c>
      <c r="AR22" s="39">
        <f>SUMIFS(Lançamentos!$F:$F,Lançamentos!$A:$A,AR$19,Lançamentos!$C:$C,"Vendas de Produtos")</f>
        <v>0</v>
      </c>
      <c r="AS22" s="39">
        <f>SUMIFS(Lançamentos!$F:$F,Lançamentos!$A:$A,AS$19,Lançamentos!$C:$C,"Vendas de Produtos")</f>
        <v>0</v>
      </c>
      <c r="AT22" s="39">
        <f>SUMIFS(Lançamentos!$F:$F,Lançamentos!$A:$A,AT$19,Lançamentos!$C:$C,"Vendas de Produtos")</f>
        <v>0</v>
      </c>
      <c r="AU22" s="39">
        <f>SUMIFS(Lançamentos!$F:$F,Lançamentos!$A:$A,AU$19,Lançamentos!$C:$C,"Vendas de Produtos")</f>
        <v>0</v>
      </c>
      <c r="AV22" s="39">
        <f>SUMIFS(Lançamentos!$F:$F,Lançamentos!$A:$A,AV$19,Lançamentos!$C:$C,"Vendas de Produtos")</f>
        <v>0</v>
      </c>
      <c r="AW22" s="39">
        <f>SUMIFS(Lançamentos!$F:$F,Lançamentos!$A:$A,AW$19,Lançamentos!$C:$C,"Vendas de Produtos")</f>
        <v>0</v>
      </c>
      <c r="AX22" s="39">
        <f>SUMIFS(Lançamentos!$F:$F,Lançamentos!$A:$A,AX$19,Lançamentos!$C:$C,"Vendas de Produtos")</f>
        <v>0</v>
      </c>
      <c r="AY22" s="39">
        <f>SUMIFS(Lançamentos!$F:$F,Lançamentos!$A:$A,AY$19,Lançamentos!$C:$C,"Vendas de Produtos")</f>
        <v>0</v>
      </c>
      <c r="AZ22" s="39">
        <f>SUMIFS(Lançamentos!$F:$F,Lançamentos!$A:$A,AZ$19,Lançamentos!$C:$C,"Vendas de Produtos")</f>
        <v>0</v>
      </c>
      <c r="BA22" s="39">
        <f>SUMIFS(Lançamentos!$F:$F,Lançamentos!$A:$A,BA$19,Lançamentos!$C:$C,"Vendas de Produtos")</f>
        <v>0</v>
      </c>
      <c r="BB22" s="39">
        <f>SUMIFS(Lançamentos!$F:$F,Lançamentos!$A:$A,BB$19,Lançamentos!$C:$C,"Vendas de Produtos")</f>
        <v>0</v>
      </c>
      <c r="BC22" s="39">
        <f>SUMIFS(Lançamentos!$F:$F,Lançamentos!$A:$A,BC$19,Lançamentos!$C:$C,"Vendas de Produtos")</f>
        <v>0</v>
      </c>
      <c r="BD22" s="39">
        <f>SUMIFS(Lançamentos!$F:$F,Lançamentos!$A:$A,BD$19,Lançamentos!$C:$C,"Vendas de Produtos")</f>
        <v>0</v>
      </c>
      <c r="BE22" s="39">
        <f>SUMIFS(Lançamentos!$F:$F,Lançamentos!$A:$A,BE$19,Lançamentos!$C:$C,"Vendas de Produtos")</f>
        <v>0</v>
      </c>
      <c r="BF22" s="39">
        <f>SUMIFS(Lançamentos!$F:$F,Lançamentos!$A:$A,BF$19,Lançamentos!$C:$C,"Vendas de Produtos")</f>
        <v>0</v>
      </c>
      <c r="BG22" s="39">
        <f>SUMIFS(Lançamentos!$F:$F,Lançamentos!$A:$A,BG$19,Lançamentos!$C:$C,"Vendas de Produtos")</f>
        <v>0</v>
      </c>
      <c r="BH22" s="39">
        <f>SUMIFS(Lançamentos!$F:$F,Lançamentos!$A:$A,BH$19,Lançamentos!$C:$C,"Vendas de Produtos")</f>
        <v>0</v>
      </c>
      <c r="BI22" s="39">
        <f>SUMIFS(Lançamentos!$F:$F,Lançamentos!$A:$A,BI$19,Lançamentos!$C:$C,"Vendas de Produtos")</f>
        <v>0</v>
      </c>
      <c r="BJ22" s="39">
        <f>SUMIFS(Lançamentos!$F:$F,Lançamentos!$A:$A,BJ$19,Lançamentos!$C:$C,"Vendas de Produtos")</f>
        <v>0</v>
      </c>
      <c r="BK22" s="39">
        <f>SUMIFS(Lançamentos!$F:$F,Lançamentos!$A:$A,BK$19,Lançamentos!$C:$C,"Vendas de Produtos")</f>
        <v>0</v>
      </c>
      <c r="BL22" s="39">
        <f>SUMIFS(Lançamentos!$F:$F,Lançamentos!$A:$A,BL$19,Lançamentos!$C:$C,"Vendas de Produtos")</f>
        <v>0</v>
      </c>
      <c r="BM22" s="39">
        <f>SUMIFS(Lançamentos!$F:$F,Lançamentos!$A:$A,BM$19,Lançamentos!$C:$C,"Vendas de Produtos")</f>
        <v>0</v>
      </c>
      <c r="BN22" s="39">
        <f>SUMIFS(Lançamentos!$F:$F,Lançamentos!$A:$A,BN$19,Lançamentos!$C:$C,"Vendas de Produtos")</f>
        <v>0</v>
      </c>
      <c r="BO22" s="39">
        <f>SUMIFS(Lançamentos!$F:$F,Lançamentos!$A:$A,BO$19,Lançamentos!$C:$C,"Vendas de Produtos")</f>
        <v>0</v>
      </c>
      <c r="BP22" s="39">
        <f>SUMIFS(Lançamentos!$F:$F,Lançamentos!$A:$A,BP$19,Lançamentos!$C:$C,"Vendas de Produtos")</f>
        <v>0</v>
      </c>
      <c r="BQ22" s="39">
        <f>SUMIFS(Lançamentos!$F:$F,Lançamentos!$A:$A,BQ$19,Lançamentos!$C:$C,"Vendas de Produtos")</f>
        <v>0</v>
      </c>
      <c r="BR22" s="39">
        <f>SUMIFS(Lançamentos!$F:$F,Lançamentos!$A:$A,BR$19,Lançamentos!$C:$C,"Vendas de Produtos")</f>
        <v>0</v>
      </c>
      <c r="BS22" s="39">
        <f>SUMIFS(Lançamentos!$F:$F,Lançamentos!$A:$A,BS$19,Lançamentos!$C:$C,"Vendas de Produtos")</f>
        <v>0</v>
      </c>
      <c r="BT22" s="39">
        <f>SUMIFS(Lançamentos!$F:$F,Lançamentos!$A:$A,BT$19,Lançamentos!$C:$C,"Vendas de Produtos")</f>
        <v>0</v>
      </c>
      <c r="BU22" s="39">
        <f>SUMIFS(Lançamentos!$F:$F,Lançamentos!$A:$A,BU$19,Lançamentos!$C:$C,"Vendas de Produtos")</f>
        <v>0</v>
      </c>
      <c r="BV22" s="39">
        <f>SUMIFS(Lançamentos!$F:$F,Lançamentos!$A:$A,BV$19,Lançamentos!$C:$C,"Vendas de Produtos")</f>
        <v>0</v>
      </c>
      <c r="BW22" s="39">
        <f>SUMIFS(Lançamentos!$F:$F,Lançamentos!$A:$A,BW$19,Lançamentos!$C:$C,"Vendas de Produtos")</f>
        <v>0</v>
      </c>
      <c r="BX22" s="39">
        <f>SUMIFS(Lançamentos!$F:$F,Lançamentos!$A:$A,BX$19,Lançamentos!$C:$C,"Vendas de Produtos")</f>
        <v>0</v>
      </c>
      <c r="BY22" s="39">
        <f>SUMIFS(Lançamentos!$F:$F,Lançamentos!$A:$A,BY$19,Lançamentos!$C:$C,"Vendas de Produtos")</f>
        <v>0</v>
      </c>
      <c r="BZ22" s="39">
        <f>SUMIFS(Lançamentos!$F:$F,Lançamentos!$A:$A,BZ$19,Lançamentos!$C:$C,"Vendas de Produtos")</f>
        <v>0</v>
      </c>
      <c r="CA22" s="39">
        <f>SUMIFS(Lançamentos!$F:$F,Lançamentos!$A:$A,CA$19,Lançamentos!$C:$C,"Vendas de Produtos")</f>
        <v>0</v>
      </c>
      <c r="CB22" s="39">
        <f>SUMIFS(Lançamentos!$F:$F,Lançamentos!$A:$A,CB$19,Lançamentos!$C:$C,"Vendas de Produtos")</f>
        <v>0</v>
      </c>
      <c r="CC22" s="39">
        <f>SUMIFS(Lançamentos!$F:$F,Lançamentos!$A:$A,CC$19,Lançamentos!$C:$C,"Vendas de Produtos")</f>
        <v>0</v>
      </c>
      <c r="CD22" s="39">
        <f>SUMIFS(Lançamentos!$F:$F,Lançamentos!$A:$A,CD$19,Lançamentos!$C:$C,"Vendas de Produtos")</f>
        <v>0</v>
      </c>
      <c r="CE22" s="39">
        <f>SUMIFS(Lançamentos!$F:$F,Lançamentos!$A:$A,CE$19,Lançamentos!$C:$C,"Vendas de Produtos")</f>
        <v>0</v>
      </c>
      <c r="CF22" s="39">
        <f>SUMIFS(Lançamentos!$F:$F,Lançamentos!$A:$A,CF$19,Lançamentos!$C:$C,"Vendas de Produtos")</f>
        <v>0</v>
      </c>
      <c r="CG22" s="39">
        <f>SUMIFS(Lançamentos!$F:$F,Lançamentos!$A:$A,CG$19,Lançamentos!$C:$C,"Vendas de Produtos")</f>
        <v>0</v>
      </c>
      <c r="CH22" s="39">
        <f>SUMIFS(Lançamentos!$F:$F,Lançamentos!$A:$A,CH$19,Lançamentos!$C:$C,"Vendas de Produtos")</f>
        <v>0</v>
      </c>
      <c r="CI22" s="39">
        <f>SUMIFS(Lançamentos!$F:$F,Lançamentos!$A:$A,CI$19,Lançamentos!$C:$C,"Vendas de Produtos")</f>
        <v>0</v>
      </c>
      <c r="CJ22" s="39">
        <f>SUMIFS(Lançamentos!$F:$F,Lançamentos!$A:$A,CJ$19,Lançamentos!$C:$C,"Vendas de Produtos")</f>
        <v>0</v>
      </c>
      <c r="CK22" s="39">
        <f>SUMIFS(Lançamentos!$F:$F,Lançamentos!$A:$A,CK$19,Lançamentos!$C:$C,"Vendas de Produtos")</f>
        <v>0</v>
      </c>
      <c r="CL22" s="39">
        <f>SUMIFS(Lançamentos!$F:$F,Lançamentos!$A:$A,CL$19,Lançamentos!$C:$C,"Vendas de Produtos")</f>
        <v>0</v>
      </c>
      <c r="CM22" s="39">
        <f>SUMIFS(Lançamentos!$F:$F,Lançamentos!$A:$A,CM$19,Lançamentos!$C:$C,"Vendas de Produtos")</f>
        <v>0</v>
      </c>
      <c r="CN22" s="39">
        <f>SUMIFS(Lançamentos!$F:$F,Lançamentos!$A:$A,CN$19,Lançamentos!$C:$C,"Vendas de Produtos")</f>
        <v>0</v>
      </c>
      <c r="CO22" s="39">
        <f>SUMIFS(Lançamentos!$F:$F,Lançamentos!$A:$A,CO$19,Lançamentos!$C:$C,"Vendas de Produtos")</f>
        <v>0</v>
      </c>
      <c r="CP22" s="39">
        <f>SUMIFS(Lançamentos!$F:$F,Lançamentos!$A:$A,CP$19,Lançamentos!$C:$C,"Vendas de Produtos")</f>
        <v>0</v>
      </c>
      <c r="CQ22" s="39">
        <f>SUMIFS(Lançamentos!$F:$F,Lançamentos!$A:$A,CQ$19,Lançamentos!$C:$C,"Vendas de Produtos")</f>
        <v>0</v>
      </c>
      <c r="CR22" s="39">
        <f>SUMIFS(Lançamentos!$F:$F,Lançamentos!$A:$A,CR$19,Lançamentos!$C:$C,"Vendas de Produtos")</f>
        <v>0</v>
      </c>
      <c r="CS22" s="39">
        <f>SUMIFS(Lançamentos!$F:$F,Lançamentos!$A:$A,CS$19,Lançamentos!$C:$C,"Vendas de Produtos")</f>
        <v>0</v>
      </c>
      <c r="CT22" s="39">
        <f>SUMIFS(Lançamentos!$F:$F,Lançamentos!$A:$A,CT$19,Lançamentos!$C:$C,"Vendas de Produtos")</f>
        <v>0</v>
      </c>
      <c r="CU22" s="39">
        <f>SUMIFS(Lançamentos!$F:$F,Lançamentos!$A:$A,CU$19,Lançamentos!$C:$C,"Vendas de Produtos")</f>
        <v>0</v>
      </c>
      <c r="CV22" s="39">
        <f>SUMIFS(Lançamentos!$F:$F,Lançamentos!$A:$A,CV$19,Lançamentos!$C:$C,"Vendas de Produtos")</f>
        <v>0</v>
      </c>
      <c r="CW22" s="39">
        <f>SUMIFS(Lançamentos!$F:$F,Lançamentos!$A:$A,CW$19,Lançamentos!$C:$C,"Vendas de Produtos")</f>
        <v>0</v>
      </c>
      <c r="CX22" s="39">
        <f>SUMIFS(Lançamentos!$F:$F,Lançamentos!$A:$A,CX$19,Lançamentos!$C:$C,"Vendas de Produtos")</f>
        <v>0</v>
      </c>
      <c r="CY22" s="39">
        <f>SUMIFS(Lançamentos!$F:$F,Lançamentos!$A:$A,CY$19,Lançamentos!$C:$C,"Vendas de Produtos")</f>
        <v>0</v>
      </c>
      <c r="CZ22" s="39">
        <f>SUMIFS(Lançamentos!$F:$F,Lançamentos!$A:$A,CZ$19,Lançamentos!$C:$C,"Vendas de Produtos")</f>
        <v>0</v>
      </c>
      <c r="DA22" s="39">
        <f>SUMIFS(Lançamentos!$F:$F,Lançamentos!$A:$A,DA$19,Lançamentos!$C:$C,"Vendas de Produtos")</f>
        <v>0</v>
      </c>
      <c r="DB22" s="39">
        <f>SUMIFS(Lançamentos!$F:$F,Lançamentos!$A:$A,DB$19,Lançamentos!$C:$C,"Vendas de Produtos")</f>
        <v>0</v>
      </c>
      <c r="DC22" s="39">
        <f>SUMIFS(Lançamentos!$F:$F,Lançamentos!$A:$A,DC$19,Lançamentos!$C:$C,"Vendas de Produtos")</f>
        <v>0</v>
      </c>
      <c r="DD22" s="39">
        <f>SUMIFS(Lançamentos!$F:$F,Lançamentos!$A:$A,DD$19,Lançamentos!$C:$C,"Vendas de Produtos")</f>
        <v>0</v>
      </c>
      <c r="DE22" s="39">
        <f>SUMIFS(Lançamentos!$F:$F,Lançamentos!$A:$A,DE$19,Lançamentos!$C:$C,"Vendas de Produtos")</f>
        <v>0</v>
      </c>
      <c r="DF22" s="39">
        <f>SUMIFS(Lançamentos!$F:$F,Lançamentos!$A:$A,DF$19,Lançamentos!$C:$C,"Vendas de Produtos")</f>
        <v>0</v>
      </c>
      <c r="DG22" s="39">
        <f>SUMIFS(Lançamentos!$F:$F,Lançamentos!$A:$A,DG$19,Lançamentos!$C:$C,"Vendas de Produtos")</f>
        <v>0</v>
      </c>
      <c r="DH22" s="39">
        <f>SUMIFS(Lançamentos!$F:$F,Lançamentos!$A:$A,DH$19,Lançamentos!$C:$C,"Vendas de Produtos")</f>
        <v>0</v>
      </c>
      <c r="DI22" s="39">
        <f>SUMIFS(Lançamentos!$F:$F,Lançamentos!$A:$A,DI$19,Lançamentos!$C:$C,"Vendas de Produtos")</f>
        <v>0</v>
      </c>
      <c r="DJ22" s="39">
        <f>SUMIFS(Lançamentos!$F:$F,Lançamentos!$A:$A,DJ$19,Lançamentos!$C:$C,"Vendas de Produtos")</f>
        <v>0</v>
      </c>
      <c r="DK22" s="39">
        <f>SUMIFS(Lançamentos!$F:$F,Lançamentos!$A:$A,DK$19,Lançamentos!$C:$C,"Vendas de Produtos")</f>
        <v>0</v>
      </c>
      <c r="DL22" s="39">
        <f>SUMIFS(Lançamentos!$F:$F,Lançamentos!$A:$A,DL$19,Lançamentos!$C:$C,"Vendas de Produtos")</f>
        <v>0</v>
      </c>
      <c r="DM22" s="39">
        <f>SUMIFS(Lançamentos!$F:$F,Lançamentos!$A:$A,DM$19,Lançamentos!$C:$C,"Vendas de Produtos")</f>
        <v>0</v>
      </c>
      <c r="DN22" s="39">
        <f>SUMIFS(Lançamentos!$F:$F,Lançamentos!$A:$A,DN$19,Lançamentos!$C:$C,"Vendas de Produtos")</f>
        <v>0</v>
      </c>
      <c r="DO22" s="39">
        <f>SUMIFS(Lançamentos!$F:$F,Lançamentos!$A:$A,DO$19,Lançamentos!$C:$C,"Vendas de Produtos")</f>
        <v>0</v>
      </c>
      <c r="DP22" s="39">
        <f>SUMIFS(Lançamentos!$F:$F,Lançamentos!$A:$A,DP$19,Lançamentos!$C:$C,"Vendas de Produtos")</f>
        <v>0</v>
      </c>
      <c r="DQ22" s="39">
        <f>SUMIFS(Lançamentos!$F:$F,Lançamentos!$A:$A,DQ$19,Lançamentos!$C:$C,"Vendas de Produtos")</f>
        <v>0</v>
      </c>
      <c r="DR22" s="39">
        <f>SUMIFS(Lançamentos!$F:$F,Lançamentos!$A:$A,DR$19,Lançamentos!$C:$C,"Vendas de Produtos")</f>
        <v>0</v>
      </c>
      <c r="DS22" s="39">
        <f>SUMIFS(Lançamentos!$F:$F,Lançamentos!$A:$A,DS$19,Lançamentos!$C:$C,"Vendas de Produtos")</f>
        <v>0</v>
      </c>
      <c r="DT22" s="39">
        <f>SUMIFS(Lançamentos!$F:$F,Lançamentos!$A:$A,DT$19,Lançamentos!$C:$C,"Vendas de Produtos")</f>
        <v>0</v>
      </c>
      <c r="DU22" s="39">
        <f>SUMIFS(Lançamentos!$F:$F,Lançamentos!$A:$A,DU$19,Lançamentos!$C:$C,"Vendas de Produtos")</f>
        <v>0</v>
      </c>
      <c r="DV22" s="39">
        <f>SUMIFS(Lançamentos!$F:$F,Lançamentos!$A:$A,DV$19,Lançamentos!$C:$C,"Vendas de Produtos")</f>
        <v>0</v>
      </c>
      <c r="DW22" s="39">
        <f>SUMIFS(Lançamentos!$F:$F,Lançamentos!$A:$A,DW$19,Lançamentos!$C:$C,"Vendas de Produtos")</f>
        <v>0</v>
      </c>
      <c r="DX22" s="39">
        <f>SUMIFS(Lançamentos!$F:$F,Lançamentos!$A:$A,DX$19,Lançamentos!$C:$C,"Vendas de Produtos")</f>
        <v>0</v>
      </c>
      <c r="DY22" s="39">
        <f>SUMIFS(Lançamentos!$F:$F,Lançamentos!$A:$A,DY$19,Lançamentos!$C:$C,"Vendas de Produtos")</f>
        <v>0</v>
      </c>
      <c r="DZ22" s="39">
        <f>SUMIFS(Lançamentos!$F:$F,Lançamentos!$A:$A,DZ$19,Lançamentos!$C:$C,"Vendas de Produtos")</f>
        <v>0</v>
      </c>
      <c r="EA22" s="39">
        <f>SUMIFS(Lançamentos!$F:$F,Lançamentos!$A:$A,EA$19,Lançamentos!$C:$C,"Vendas de Produtos")</f>
        <v>0</v>
      </c>
      <c r="EB22" s="39">
        <f>SUMIFS(Lançamentos!$F:$F,Lançamentos!$A:$A,EB$19,Lançamentos!$C:$C,"Vendas de Produtos")</f>
        <v>0</v>
      </c>
      <c r="EC22" s="39">
        <f>SUMIFS(Lançamentos!$F:$F,Lançamentos!$A:$A,EC$19,Lançamentos!$C:$C,"Vendas de Produtos")</f>
        <v>0</v>
      </c>
      <c r="ED22" s="39">
        <f>SUMIFS(Lançamentos!$F:$F,Lançamentos!$A:$A,ED$19,Lançamentos!$C:$C,"Vendas de Produtos")</f>
        <v>0</v>
      </c>
      <c r="EE22" s="39">
        <f>SUMIFS(Lançamentos!$F:$F,Lançamentos!$A:$A,EE$19,Lançamentos!$C:$C,"Vendas de Produtos")</f>
        <v>0</v>
      </c>
      <c r="EF22" s="39">
        <f>SUMIFS(Lançamentos!$F:$F,Lançamentos!$A:$A,EF$19,Lançamentos!$C:$C,"Vendas de Produtos")</f>
        <v>0</v>
      </c>
      <c r="EG22" s="39">
        <f>SUMIFS(Lançamentos!$F:$F,Lançamentos!$A:$A,EG$19,Lançamentos!$C:$C,"Vendas de Produtos")</f>
        <v>0</v>
      </c>
      <c r="EH22" s="39">
        <f>SUMIFS(Lançamentos!$F:$F,Lançamentos!$A:$A,EH$19,Lançamentos!$C:$C,"Vendas de Produtos")</f>
        <v>0</v>
      </c>
      <c r="EI22" s="39">
        <f>SUMIFS(Lançamentos!$F:$F,Lançamentos!$A:$A,EI$19,Lançamentos!$C:$C,"Vendas de Produtos")</f>
        <v>0</v>
      </c>
      <c r="EJ22" s="39">
        <f>SUMIFS(Lançamentos!$F:$F,Lançamentos!$A:$A,EJ$19,Lançamentos!$C:$C,"Vendas de Produtos")</f>
        <v>0</v>
      </c>
      <c r="EK22" s="39">
        <f>SUMIFS(Lançamentos!$F:$F,Lançamentos!$A:$A,EK$19,Lançamentos!$C:$C,"Vendas de Produtos")</f>
        <v>0</v>
      </c>
      <c r="EL22" s="39">
        <f>SUMIFS(Lançamentos!$F:$F,Lançamentos!$A:$A,EL$19,Lançamentos!$C:$C,"Vendas de Produtos")</f>
        <v>0</v>
      </c>
      <c r="EM22" s="39">
        <f>SUMIFS(Lançamentos!$F:$F,Lançamentos!$A:$A,EM$19,Lançamentos!$C:$C,"Vendas de Produtos")</f>
        <v>0</v>
      </c>
      <c r="EN22" s="39">
        <f>SUMIFS(Lançamentos!$F:$F,Lançamentos!$A:$A,EN$19,Lançamentos!$C:$C,"Vendas de Produtos")</f>
        <v>0</v>
      </c>
      <c r="EO22" s="39">
        <f>SUMIFS(Lançamentos!$F:$F,Lançamentos!$A:$A,EO$19,Lançamentos!$C:$C,"Vendas de Produtos")</f>
        <v>0</v>
      </c>
      <c r="EP22" s="39">
        <f>SUMIFS(Lançamentos!$F:$F,Lançamentos!$A:$A,EP$19,Lançamentos!$C:$C,"Vendas de Produtos")</f>
        <v>0</v>
      </c>
      <c r="EQ22" s="39">
        <f>SUMIFS(Lançamentos!$F:$F,Lançamentos!$A:$A,EQ$19,Lançamentos!$C:$C,"Vendas de Produtos")</f>
        <v>0</v>
      </c>
      <c r="ER22" s="39">
        <f>SUMIFS(Lançamentos!$F:$F,Lançamentos!$A:$A,ER$19,Lançamentos!$C:$C,"Vendas de Produtos")</f>
        <v>0</v>
      </c>
      <c r="ES22" s="39">
        <f>SUMIFS(Lançamentos!$F:$F,Lançamentos!$A:$A,ES$19,Lançamentos!$C:$C,"Vendas de Produtos")</f>
        <v>0</v>
      </c>
      <c r="ET22" s="39">
        <f>SUMIFS(Lançamentos!$F:$F,Lançamentos!$A:$A,ET$19,Lançamentos!$C:$C,"Vendas de Produtos")</f>
        <v>0</v>
      </c>
      <c r="EU22" s="39">
        <f>SUMIFS(Lançamentos!$F:$F,Lançamentos!$A:$A,EU$19,Lançamentos!$C:$C,"Vendas de Produtos")</f>
        <v>0</v>
      </c>
      <c r="EV22" s="39">
        <f>SUMIFS(Lançamentos!$F:$F,Lançamentos!$A:$A,EV$19,Lançamentos!$C:$C,"Vendas de Produtos")</f>
        <v>0</v>
      </c>
      <c r="EW22" s="39">
        <f>SUMIFS(Lançamentos!$F:$F,Lançamentos!$A:$A,EW$19,Lançamentos!$C:$C,"Vendas de Produtos")</f>
        <v>0</v>
      </c>
      <c r="EX22" s="39">
        <f>SUMIFS(Lançamentos!$F:$F,Lançamentos!$A:$A,EX$19,Lançamentos!$C:$C,"Vendas de Produtos")</f>
        <v>0</v>
      </c>
      <c r="EY22" s="39">
        <f>SUMIFS(Lançamentos!$F:$F,Lançamentos!$A:$A,EY$19,Lançamentos!$C:$C,"Vendas de Produtos")</f>
        <v>0</v>
      </c>
      <c r="EZ22" s="39">
        <f>SUMIFS(Lançamentos!$F:$F,Lançamentos!$A:$A,EZ$19,Lançamentos!$C:$C,"Vendas de Produtos")</f>
        <v>0</v>
      </c>
      <c r="FA22" s="39">
        <f>SUMIFS(Lançamentos!$F:$F,Lançamentos!$A:$A,FA$19,Lançamentos!$C:$C,"Vendas de Produtos")</f>
        <v>0</v>
      </c>
      <c r="FB22" s="39">
        <f>SUMIFS(Lançamentos!$F:$F,Lançamentos!$A:$A,FB$19,Lançamentos!$C:$C,"Vendas de Produtos")</f>
        <v>0</v>
      </c>
      <c r="FC22" s="39">
        <f>SUMIFS(Lançamentos!$F:$F,Lançamentos!$A:$A,FC$19,Lançamentos!$C:$C,"Vendas de Produtos")</f>
        <v>0</v>
      </c>
      <c r="FD22" s="39">
        <f>SUMIFS(Lançamentos!$F:$F,Lançamentos!$A:$A,FD$19,Lançamentos!$C:$C,"Vendas de Produtos")</f>
        <v>0</v>
      </c>
      <c r="FE22" s="39">
        <f>SUMIFS(Lançamentos!$F:$F,Lançamentos!$A:$A,FE$19,Lançamentos!$C:$C,"Vendas de Produtos")</f>
        <v>0</v>
      </c>
      <c r="FF22" s="39">
        <f>SUMIFS(Lançamentos!$F:$F,Lançamentos!$A:$A,FF$19,Lançamentos!$C:$C,"Vendas de Produtos")</f>
        <v>0</v>
      </c>
      <c r="FG22" s="39">
        <f>SUMIFS(Lançamentos!$F:$F,Lançamentos!$A:$A,FG$19,Lançamentos!$C:$C,"Vendas de Produtos")</f>
        <v>0</v>
      </c>
      <c r="FH22" s="39">
        <f>SUMIFS(Lançamentos!$F:$F,Lançamentos!$A:$A,FH$19,Lançamentos!$C:$C,"Vendas de Produtos")</f>
        <v>0</v>
      </c>
      <c r="FI22" s="39">
        <f>SUMIFS(Lançamentos!$F:$F,Lançamentos!$A:$A,FI$19,Lançamentos!$C:$C,"Vendas de Produtos")</f>
        <v>0</v>
      </c>
      <c r="FJ22" s="39">
        <f>SUMIFS(Lançamentos!$F:$F,Lançamentos!$A:$A,FJ$19,Lançamentos!$C:$C,"Vendas de Produtos")</f>
        <v>0</v>
      </c>
      <c r="FK22" s="39">
        <f>SUMIFS(Lançamentos!$F:$F,Lançamentos!$A:$A,FK$19,Lançamentos!$C:$C,"Vendas de Produtos")</f>
        <v>0</v>
      </c>
      <c r="FL22" s="39">
        <f>SUMIFS(Lançamentos!$F:$F,Lançamentos!$A:$A,FL$19,Lançamentos!$C:$C,"Vendas de Produtos")</f>
        <v>0</v>
      </c>
      <c r="FM22" s="39">
        <f>SUMIFS(Lançamentos!$F:$F,Lançamentos!$A:$A,FM$19,Lançamentos!$C:$C,"Vendas de Produtos")</f>
        <v>0</v>
      </c>
      <c r="FN22" s="39">
        <f>SUMIFS(Lançamentos!$F:$F,Lançamentos!$A:$A,FN$19,Lançamentos!$C:$C,"Vendas de Produtos")</f>
        <v>0</v>
      </c>
      <c r="FO22" s="39">
        <f>SUMIFS(Lançamentos!$F:$F,Lançamentos!$A:$A,FO$19,Lançamentos!$C:$C,"Vendas de Produtos")</f>
        <v>0</v>
      </c>
      <c r="FP22" s="39">
        <f>SUMIFS(Lançamentos!$F:$F,Lançamentos!$A:$A,FP$19,Lançamentos!$C:$C,"Vendas de Produtos")</f>
        <v>0</v>
      </c>
      <c r="FQ22" s="39">
        <f>SUMIFS(Lançamentos!$F:$F,Lançamentos!$A:$A,FQ$19,Lançamentos!$C:$C,"Vendas de Produtos")</f>
        <v>0</v>
      </c>
      <c r="FR22" s="39">
        <f>SUMIFS(Lançamentos!$F:$F,Lançamentos!$A:$A,FR$19,Lançamentos!$C:$C,"Vendas de Produtos")</f>
        <v>0</v>
      </c>
      <c r="FS22" s="39">
        <f>SUMIFS(Lançamentos!$F:$F,Lançamentos!$A:$A,FS$19,Lançamentos!$C:$C,"Vendas de Produtos")</f>
        <v>0</v>
      </c>
      <c r="FT22" s="39">
        <f>SUMIFS(Lançamentos!$F:$F,Lançamentos!$A:$A,FT$19,Lançamentos!$C:$C,"Vendas de Produtos")</f>
        <v>0</v>
      </c>
      <c r="FU22" s="39">
        <f>SUMIFS(Lançamentos!$F:$F,Lançamentos!$A:$A,FU$19,Lançamentos!$C:$C,"Vendas de Produtos")</f>
        <v>0</v>
      </c>
      <c r="FV22" s="39">
        <f>SUMIFS(Lançamentos!$F:$F,Lançamentos!$A:$A,FV$19,Lançamentos!$C:$C,"Vendas de Produtos")</f>
        <v>0</v>
      </c>
      <c r="FW22" s="39">
        <f>SUMIFS(Lançamentos!$F:$F,Lançamentos!$A:$A,FW$19,Lançamentos!$C:$C,"Vendas de Produtos")</f>
        <v>0</v>
      </c>
      <c r="FX22" s="39">
        <f>SUMIFS(Lançamentos!$F:$F,Lançamentos!$A:$A,FX$19,Lançamentos!$C:$C,"Vendas de Produtos")</f>
        <v>0</v>
      </c>
      <c r="FY22" s="39">
        <f>SUMIFS(Lançamentos!$F:$F,Lançamentos!$A:$A,FY$19,Lançamentos!$C:$C,"Vendas de Produtos")</f>
        <v>0</v>
      </c>
      <c r="FZ22" s="39">
        <f>SUMIFS(Lançamentos!$F:$F,Lançamentos!$A:$A,FZ$19,Lançamentos!$C:$C,"Vendas de Produtos")</f>
        <v>0</v>
      </c>
      <c r="GA22" s="39">
        <f>SUMIFS(Lançamentos!$F:$F,Lançamentos!$A:$A,GA$19,Lançamentos!$C:$C,"Vendas de Produtos")</f>
        <v>0</v>
      </c>
      <c r="GB22" s="39">
        <f>SUMIFS(Lançamentos!$F:$F,Lançamentos!$A:$A,GB$19,Lançamentos!$C:$C,"Vendas de Produtos")</f>
        <v>0</v>
      </c>
      <c r="GC22" s="39">
        <f>SUMIFS(Lançamentos!$F:$F,Lançamentos!$A:$A,GC$19,Lançamentos!$C:$C,"Vendas de Produtos")</f>
        <v>0</v>
      </c>
      <c r="GD22" s="39">
        <f>SUMIFS(Lançamentos!$F:$F,Lançamentos!$A:$A,GD$19,Lançamentos!$C:$C,"Vendas de Produtos")</f>
        <v>0</v>
      </c>
      <c r="GE22" s="39">
        <f>SUMIFS(Lançamentos!$F:$F,Lançamentos!$A:$A,GE$19,Lançamentos!$C:$C,"Vendas de Produtos")</f>
        <v>0</v>
      </c>
      <c r="GF22" s="39">
        <f>SUMIFS(Lançamentos!$F:$F,Lançamentos!$A:$A,GF$19,Lançamentos!$C:$C,"Vendas de Produtos")</f>
        <v>0</v>
      </c>
      <c r="GG22" s="39">
        <f>SUMIFS(Lançamentos!$F:$F,Lançamentos!$A:$A,GG$19,Lançamentos!$C:$C,"Vendas de Produtos")</f>
        <v>0</v>
      </c>
      <c r="GH22" s="39">
        <f>SUMIFS(Lançamentos!$F:$F,Lançamentos!$A:$A,GH$19,Lançamentos!$C:$C,"Vendas de Produtos")</f>
        <v>0</v>
      </c>
      <c r="GI22" s="39">
        <f>SUMIFS(Lançamentos!$F:$F,Lançamentos!$A:$A,GI$19,Lançamentos!$C:$C,"Vendas de Produtos")</f>
        <v>0</v>
      </c>
      <c r="GJ22" s="39">
        <f>SUMIFS(Lançamentos!$F:$F,Lançamentos!$A:$A,GJ$19,Lançamentos!$C:$C,"Vendas de Produtos")</f>
        <v>0</v>
      </c>
      <c r="GK22" s="39">
        <f>SUMIFS(Lançamentos!$F:$F,Lançamentos!$A:$A,GK$19,Lançamentos!$C:$C,"Vendas de Produtos")</f>
        <v>0</v>
      </c>
      <c r="GL22" s="39">
        <f>SUMIFS(Lançamentos!$F:$F,Lançamentos!$A:$A,GL$19,Lançamentos!$C:$C,"Vendas de Produtos")</f>
        <v>0</v>
      </c>
      <c r="GM22" s="39">
        <f>SUMIFS(Lançamentos!$F:$F,Lançamentos!$A:$A,GM$19,Lançamentos!$C:$C,"Vendas de Produtos")</f>
        <v>0</v>
      </c>
      <c r="GN22" s="39">
        <f>SUMIFS(Lançamentos!$F:$F,Lançamentos!$A:$A,GN$19,Lançamentos!$C:$C,"Vendas de Produtos")</f>
        <v>0</v>
      </c>
      <c r="GO22" s="39">
        <f>SUMIFS(Lançamentos!$F:$F,Lançamentos!$A:$A,GO$19,Lançamentos!$C:$C,"Vendas de Produtos")</f>
        <v>0</v>
      </c>
      <c r="GP22" s="39">
        <f>SUMIFS(Lançamentos!$F:$F,Lançamentos!$A:$A,GP$19,Lançamentos!$C:$C,"Vendas de Produtos")</f>
        <v>0</v>
      </c>
      <c r="GQ22" s="39">
        <f>SUMIFS(Lançamentos!$F:$F,Lançamentos!$A:$A,GQ$19,Lançamentos!$C:$C,"Vendas de Produtos")</f>
        <v>0</v>
      </c>
      <c r="GR22" s="39">
        <f>SUMIFS(Lançamentos!$F:$F,Lançamentos!$A:$A,GR$19,Lançamentos!$C:$C,"Vendas de Produtos")</f>
        <v>0</v>
      </c>
      <c r="GS22" s="39">
        <f>SUMIFS(Lançamentos!$F:$F,Lançamentos!$A:$A,GS$19,Lançamentos!$C:$C,"Vendas de Produtos")</f>
        <v>0</v>
      </c>
      <c r="GT22" s="39">
        <f>SUMIFS(Lançamentos!$F:$F,Lançamentos!$A:$A,GT$19,Lançamentos!$C:$C,"Vendas de Produtos")</f>
        <v>0</v>
      </c>
      <c r="GU22" s="39">
        <f>SUMIFS(Lançamentos!$F:$F,Lançamentos!$A:$A,GU$19,Lançamentos!$C:$C,"Vendas de Produtos")</f>
        <v>0</v>
      </c>
      <c r="GV22" s="39">
        <f>SUMIFS(Lançamentos!$F:$F,Lançamentos!$A:$A,GV$19,Lançamentos!$C:$C,"Vendas de Produtos")</f>
        <v>0</v>
      </c>
      <c r="GW22" s="39">
        <f>SUMIFS(Lançamentos!$F:$F,Lançamentos!$A:$A,GW$19,Lançamentos!$C:$C,"Vendas de Produtos")</f>
        <v>0</v>
      </c>
      <c r="GX22" s="39">
        <f>SUMIFS(Lançamentos!$F:$F,Lançamentos!$A:$A,GX$19,Lançamentos!$C:$C,"Vendas de Produtos")</f>
        <v>0</v>
      </c>
      <c r="GY22" s="39">
        <f>SUMIFS(Lançamentos!$F:$F,Lançamentos!$A:$A,GY$19,Lançamentos!$C:$C,"Vendas de Produtos")</f>
        <v>0</v>
      </c>
      <c r="GZ22" s="39">
        <f>SUMIFS(Lançamentos!$F:$F,Lançamentos!$A:$A,GZ$19,Lançamentos!$C:$C,"Vendas de Produtos")</f>
        <v>0</v>
      </c>
      <c r="HA22" s="39">
        <f>SUMIFS(Lançamentos!$F:$F,Lançamentos!$A:$A,HA$19,Lançamentos!$C:$C,"Vendas de Produtos")</f>
        <v>0</v>
      </c>
      <c r="HB22" s="39">
        <f>SUMIFS(Lançamentos!$F:$F,Lançamentos!$A:$A,HB$19,Lançamentos!$C:$C,"Vendas de Produtos")</f>
        <v>0</v>
      </c>
      <c r="HC22" s="39">
        <f>SUMIFS(Lançamentos!$F:$F,Lançamentos!$A:$A,HC$19,Lançamentos!$C:$C,"Vendas de Produtos")</f>
        <v>0</v>
      </c>
      <c r="HD22" s="39">
        <f>SUMIFS(Lançamentos!$F:$F,Lançamentos!$A:$A,HD$19,Lançamentos!$C:$C,"Vendas de Produtos")</f>
        <v>0</v>
      </c>
      <c r="HE22" s="39">
        <f>SUMIFS(Lançamentos!$F:$F,Lançamentos!$A:$A,HE$19,Lançamentos!$C:$C,"Vendas de Produtos")</f>
        <v>0</v>
      </c>
      <c r="HF22" s="39">
        <f>SUMIFS(Lançamentos!$F:$F,Lançamentos!$A:$A,HF$19,Lançamentos!$C:$C,"Vendas de Produtos")</f>
        <v>0</v>
      </c>
      <c r="HG22" s="39">
        <f>SUMIFS(Lançamentos!$F:$F,Lançamentos!$A:$A,HG$19,Lançamentos!$C:$C,"Vendas de Produtos")</f>
        <v>0</v>
      </c>
      <c r="HH22" s="39">
        <f>SUMIFS(Lançamentos!$F:$F,Lançamentos!$A:$A,HH$19,Lançamentos!$C:$C,"Vendas de Produtos")</f>
        <v>0</v>
      </c>
      <c r="HI22" s="39">
        <f>SUMIFS(Lançamentos!$F:$F,Lançamentos!$A:$A,HI$19,Lançamentos!$C:$C,"Vendas de Produtos")</f>
        <v>0</v>
      </c>
      <c r="HJ22" s="39">
        <f>SUMIFS(Lançamentos!$F:$F,Lançamentos!$A:$A,HJ$19,Lançamentos!$C:$C,"Vendas de Produtos")</f>
        <v>0</v>
      </c>
      <c r="HK22" s="39">
        <f>SUMIFS(Lançamentos!$F:$F,Lançamentos!$A:$A,HK$19,Lançamentos!$C:$C,"Vendas de Produtos")</f>
        <v>0</v>
      </c>
      <c r="HL22" s="39">
        <f>SUMIFS(Lançamentos!$F:$F,Lançamentos!$A:$A,HL$19,Lançamentos!$C:$C,"Vendas de Produtos")</f>
        <v>0</v>
      </c>
      <c r="HM22" s="39">
        <f>SUMIFS(Lançamentos!$F:$F,Lançamentos!$A:$A,HM$19,Lançamentos!$C:$C,"Vendas de Produtos")</f>
        <v>0</v>
      </c>
      <c r="HN22" s="39">
        <f>SUMIFS(Lançamentos!$F:$F,Lançamentos!$A:$A,HN$19,Lançamentos!$C:$C,"Vendas de Produtos")</f>
        <v>0</v>
      </c>
      <c r="HO22" s="39">
        <f>SUMIFS(Lançamentos!$F:$F,Lançamentos!$A:$A,HO$19,Lançamentos!$C:$C,"Vendas de Produtos")</f>
        <v>0</v>
      </c>
      <c r="HP22" s="39">
        <f>SUMIFS(Lançamentos!$F:$F,Lançamentos!$A:$A,HP$19,Lançamentos!$C:$C,"Vendas de Produtos")</f>
        <v>0</v>
      </c>
      <c r="HQ22" s="39">
        <f>SUMIFS(Lançamentos!$F:$F,Lançamentos!$A:$A,HQ$19,Lançamentos!$C:$C,"Vendas de Produtos")</f>
        <v>0</v>
      </c>
      <c r="HR22" s="39">
        <f>SUMIFS(Lançamentos!$F:$F,Lançamentos!$A:$A,HR$19,Lançamentos!$C:$C,"Vendas de Produtos")</f>
        <v>0</v>
      </c>
      <c r="HS22" s="39">
        <f>SUMIFS(Lançamentos!$F:$F,Lançamentos!$A:$A,HS$19,Lançamentos!$C:$C,"Vendas de Produtos")</f>
        <v>0</v>
      </c>
      <c r="HT22" s="39">
        <f>SUMIFS(Lançamentos!$F:$F,Lançamentos!$A:$A,HT$19,Lançamentos!$C:$C,"Vendas de Produtos")</f>
        <v>0</v>
      </c>
      <c r="HU22" s="39">
        <f>SUMIFS(Lançamentos!$F:$F,Lançamentos!$A:$A,HU$19,Lançamentos!$C:$C,"Vendas de Produtos")</f>
        <v>0</v>
      </c>
      <c r="HV22" s="39">
        <f>SUMIFS(Lançamentos!$F:$F,Lançamentos!$A:$A,HV$19,Lançamentos!$C:$C,"Vendas de Produtos")</f>
        <v>0</v>
      </c>
      <c r="HW22" s="39">
        <f>SUMIFS(Lançamentos!$F:$F,Lançamentos!$A:$A,HW$19,Lançamentos!$C:$C,"Vendas de Produtos")</f>
        <v>0</v>
      </c>
      <c r="HX22" s="39">
        <f>SUMIFS(Lançamentos!$F:$F,Lançamentos!$A:$A,HX$19,Lançamentos!$C:$C,"Vendas de Produtos")</f>
        <v>0</v>
      </c>
      <c r="HY22" s="39">
        <f>SUMIFS(Lançamentos!$F:$F,Lançamentos!$A:$A,HY$19,Lançamentos!$C:$C,"Vendas de Produtos")</f>
        <v>0</v>
      </c>
      <c r="HZ22" s="39">
        <f>SUMIFS(Lançamentos!$F:$F,Lançamentos!$A:$A,HZ$19,Lançamentos!$C:$C,"Vendas de Produtos")</f>
        <v>0</v>
      </c>
      <c r="IA22" s="39">
        <f>SUMIFS(Lançamentos!$F:$F,Lançamentos!$A:$A,IA$19,Lançamentos!$C:$C,"Vendas de Produtos")</f>
        <v>0</v>
      </c>
      <c r="IB22" s="39">
        <f>SUMIFS(Lançamentos!$F:$F,Lançamentos!$A:$A,IB$19,Lançamentos!$C:$C,"Vendas de Produtos")</f>
        <v>0</v>
      </c>
      <c r="IC22" s="39">
        <f>SUMIFS(Lançamentos!$F:$F,Lançamentos!$A:$A,IC$19,Lançamentos!$C:$C,"Vendas de Produtos")</f>
        <v>0</v>
      </c>
      <c r="ID22" s="39">
        <f>SUMIFS(Lançamentos!$F:$F,Lançamentos!$A:$A,ID$19,Lançamentos!$C:$C,"Vendas de Produtos")</f>
        <v>0</v>
      </c>
      <c r="IE22" s="39">
        <f>SUMIFS(Lançamentos!$F:$F,Lançamentos!$A:$A,IE$19,Lançamentos!$C:$C,"Vendas de Produtos")</f>
        <v>0</v>
      </c>
      <c r="IF22" s="39">
        <f>SUMIFS(Lançamentos!$F:$F,Lançamentos!$A:$A,IF$19,Lançamentos!$C:$C,"Vendas de Produtos")</f>
        <v>0</v>
      </c>
      <c r="IG22" s="39">
        <f>SUMIFS(Lançamentos!$F:$F,Lançamentos!$A:$A,IG$19,Lançamentos!$C:$C,"Vendas de Produtos")</f>
        <v>0</v>
      </c>
      <c r="IH22" s="39">
        <f>SUMIFS(Lançamentos!$F:$F,Lançamentos!$A:$A,IH$19,Lançamentos!$C:$C,"Vendas de Produtos")</f>
        <v>0</v>
      </c>
      <c r="II22" s="39">
        <f>SUMIFS(Lançamentos!$F:$F,Lançamentos!$A:$A,II$19,Lançamentos!$C:$C,"Vendas de Produtos")</f>
        <v>0</v>
      </c>
      <c r="IJ22" s="39">
        <f>SUMIFS(Lançamentos!$F:$F,Lançamentos!$A:$A,IJ$19,Lançamentos!$C:$C,"Vendas de Produtos")</f>
        <v>0</v>
      </c>
      <c r="IK22" s="39">
        <f>SUMIFS(Lançamentos!$F:$F,Lançamentos!$A:$A,IK$19,Lançamentos!$C:$C,"Vendas de Produtos")</f>
        <v>0</v>
      </c>
      <c r="IL22" s="39">
        <f>SUMIFS(Lançamentos!$F:$F,Lançamentos!$A:$A,IL$19,Lançamentos!$C:$C,"Vendas de Produtos")</f>
        <v>0</v>
      </c>
    </row>
    <row r="23" spans="1:246" x14ac:dyDescent="0.3">
      <c r="A23" t="s">
        <v>6</v>
      </c>
      <c r="B23" s="39">
        <f>SUMIFS(Lançamentos!$F:$F,Lançamentos!$A:$A,B$19,Lançamentos!$C:$C,"Vendas de Serviços")</f>
        <v>0</v>
      </c>
      <c r="C23" s="39">
        <f>SUMIFS(Lançamentos!$F:$F,Lançamentos!$A:$A,C$19,Lançamentos!$C:$C,"Vendas de Serviços")</f>
        <v>0</v>
      </c>
      <c r="D23" s="39">
        <f>SUMIFS(Lançamentos!$F:$F,Lançamentos!$A:$A,D$19,Lançamentos!$C:$C,"Vendas de Serviços")</f>
        <v>0</v>
      </c>
      <c r="E23" s="39">
        <f>SUMIFS(Lançamentos!$F:$F,Lançamentos!$A:$A,E$19,Lançamentos!$C:$C,"Vendas de Serviços")</f>
        <v>0</v>
      </c>
      <c r="F23" s="39">
        <f>SUMIFS(Lançamentos!$F:$F,Lançamentos!$A:$A,F$19,Lançamentos!$C:$C,"Vendas de Serviços")</f>
        <v>0</v>
      </c>
      <c r="G23" s="39">
        <f>SUMIFS(Lançamentos!$F:$F,Lançamentos!$A:$A,G$19,Lançamentos!$C:$C,"Vendas de Serviços")</f>
        <v>0</v>
      </c>
      <c r="H23" s="39">
        <f>SUMIFS(Lançamentos!$F:$F,Lançamentos!$A:$A,H$19,Lançamentos!$C:$C,"Vendas de Serviços")</f>
        <v>0</v>
      </c>
      <c r="I23" s="39">
        <f>SUMIFS(Lançamentos!$F:$F,Lançamentos!$A:$A,I$19,Lançamentos!$C:$C,"Vendas de Serviços")</f>
        <v>0</v>
      </c>
      <c r="J23" s="39">
        <f>SUMIFS(Lançamentos!$F:$F,Lançamentos!$A:$A,J$19,Lançamentos!$C:$C,"Vendas de Serviços")</f>
        <v>0</v>
      </c>
      <c r="K23" s="39">
        <f>SUMIFS(Lançamentos!$F:$F,Lançamentos!$A:$A,K$19,Lançamentos!$C:$C,"Vendas de Serviços")</f>
        <v>25000</v>
      </c>
      <c r="L23" s="39">
        <f>SUMIFS(Lançamentos!$F:$F,Lançamentos!$A:$A,L$19,Lançamentos!$C:$C,"Vendas de Serviços")</f>
        <v>0</v>
      </c>
      <c r="M23" s="39">
        <f>SUMIFS(Lançamentos!$F:$F,Lançamentos!$A:$A,M$19,Lançamentos!$C:$C,"Vendas de Serviços")</f>
        <v>0</v>
      </c>
      <c r="N23" s="39">
        <f>SUMIFS(Lançamentos!$F:$F,Lançamentos!$A:$A,N$19,Lançamentos!$C:$C,"Vendas de Serviços")</f>
        <v>0</v>
      </c>
      <c r="O23" s="39">
        <f>SUMIFS(Lançamentos!$F:$F,Lançamentos!$A:$A,O$19,Lançamentos!$C:$C,"Vendas de Serviços")</f>
        <v>0</v>
      </c>
      <c r="P23" s="39">
        <f>SUMIFS(Lançamentos!$F:$F,Lançamentos!$A:$A,P$19,Lançamentos!$C:$C,"Vendas de Serviços")</f>
        <v>0</v>
      </c>
      <c r="Q23" s="39">
        <f>SUMIFS(Lançamentos!$F:$F,Lançamentos!$A:$A,Q$19,Lançamentos!$C:$C,"Vendas de Serviços")</f>
        <v>0</v>
      </c>
      <c r="R23" s="39">
        <f>SUMIFS(Lançamentos!$F:$F,Lançamentos!$A:$A,R$19,Lançamentos!$C:$C,"Vendas de Serviços")</f>
        <v>0</v>
      </c>
      <c r="S23" s="39">
        <f>SUMIFS(Lançamentos!$F:$F,Lançamentos!$A:$A,S$19,Lançamentos!$C:$C,"Vendas de Serviços")</f>
        <v>0</v>
      </c>
      <c r="T23" s="39">
        <f>SUMIFS(Lançamentos!$F:$F,Lançamentos!$A:$A,T$19,Lançamentos!$C:$C,"Vendas de Serviços")</f>
        <v>0</v>
      </c>
      <c r="U23" s="39">
        <f>SUMIFS(Lançamentos!$F:$F,Lançamentos!$A:$A,U$19,Lançamentos!$C:$C,"Vendas de Serviços")</f>
        <v>0</v>
      </c>
      <c r="V23" s="39">
        <f>SUMIFS(Lançamentos!$F:$F,Lançamentos!$A:$A,V$19,Lançamentos!$C:$C,"Vendas de Serviços")</f>
        <v>0</v>
      </c>
      <c r="W23" s="39">
        <f>SUMIFS(Lançamentos!$F:$F,Lançamentos!$A:$A,W$19,Lançamentos!$C:$C,"Vendas de Serviços")</f>
        <v>0</v>
      </c>
      <c r="X23" s="39">
        <f>SUMIFS(Lançamentos!$F:$F,Lançamentos!$A:$A,X$19,Lançamentos!$C:$C,"Vendas de Serviços")</f>
        <v>0</v>
      </c>
      <c r="Y23" s="39">
        <f>SUMIFS(Lançamentos!$F:$F,Lançamentos!$A:$A,Y$19,Lançamentos!$C:$C,"Vendas de Serviços")</f>
        <v>0</v>
      </c>
      <c r="Z23" s="39">
        <f>SUMIFS(Lançamentos!$F:$F,Lançamentos!$A:$A,Z$19,Lançamentos!$C:$C,"Vendas de Serviços")</f>
        <v>0</v>
      </c>
      <c r="AA23" s="39">
        <f>SUMIFS(Lançamentos!$F:$F,Lançamentos!$A:$A,AA$19,Lançamentos!$C:$C,"Vendas de Serviços")</f>
        <v>0</v>
      </c>
      <c r="AB23" s="39">
        <f>SUMIFS(Lançamentos!$F:$F,Lançamentos!$A:$A,AB$19,Lançamentos!$C:$C,"Vendas de Serviços")</f>
        <v>0</v>
      </c>
      <c r="AC23" s="39">
        <f>SUMIFS(Lançamentos!$F:$F,Lançamentos!$A:$A,AC$19,Lançamentos!$C:$C,"Vendas de Serviços")</f>
        <v>0</v>
      </c>
      <c r="AD23" s="39">
        <f>SUMIFS(Lançamentos!$F:$F,Lançamentos!$A:$A,AD$19,Lançamentos!$C:$C,"Vendas de Serviços")</f>
        <v>0</v>
      </c>
      <c r="AE23" s="39">
        <f>SUMIFS(Lançamentos!$F:$F,Lançamentos!$A:$A,AE$19,Lançamentos!$C:$C,"Vendas de Serviços")</f>
        <v>0</v>
      </c>
      <c r="AF23" s="39">
        <f>SUMIFS(Lançamentos!$F:$F,Lançamentos!$A:$A,AF$19,Lançamentos!$C:$C,"Vendas de Serviços")</f>
        <v>0</v>
      </c>
      <c r="AG23" s="39">
        <f>SUMIFS(Lançamentos!$F:$F,Lançamentos!$A:$A,AG$19,Lançamentos!$C:$C,"Vendas de Serviços")</f>
        <v>0</v>
      </c>
      <c r="AH23" s="39">
        <f>SUMIFS(Lançamentos!$F:$F,Lançamentos!$A:$A,AH$19,Lançamentos!$C:$C,"Vendas de Serviços")</f>
        <v>0</v>
      </c>
      <c r="AI23" s="39">
        <f>SUMIFS(Lançamentos!$F:$F,Lançamentos!$A:$A,AI$19,Lançamentos!$C:$C,"Vendas de Serviços")</f>
        <v>0</v>
      </c>
      <c r="AJ23" s="39">
        <f>SUMIFS(Lançamentos!$F:$F,Lançamentos!$A:$A,AJ$19,Lançamentos!$C:$C,"Vendas de Serviços")</f>
        <v>0</v>
      </c>
      <c r="AK23" s="39">
        <f>SUMIFS(Lançamentos!$F:$F,Lançamentos!$A:$A,AK$19,Lançamentos!$C:$C,"Vendas de Serviços")</f>
        <v>0</v>
      </c>
      <c r="AL23" s="39">
        <f>SUMIFS(Lançamentos!$F:$F,Lançamentos!$A:$A,AL$19,Lançamentos!$C:$C,"Vendas de Serviços")</f>
        <v>0</v>
      </c>
      <c r="AM23" s="39">
        <f>SUMIFS(Lançamentos!$F:$F,Lançamentos!$A:$A,AM$19,Lançamentos!$C:$C,"Vendas de Serviços")</f>
        <v>0</v>
      </c>
      <c r="AN23" s="39">
        <f>SUMIFS(Lançamentos!$F:$F,Lançamentos!$A:$A,AN$19,Lançamentos!$C:$C,"Vendas de Serviços")</f>
        <v>0</v>
      </c>
      <c r="AO23" s="39">
        <f>SUMIFS(Lançamentos!$F:$F,Lançamentos!$A:$A,AO$19,Lançamentos!$C:$C,"Vendas de Serviços")</f>
        <v>0</v>
      </c>
      <c r="AP23" s="39">
        <f>SUMIFS(Lançamentos!$F:$F,Lançamentos!$A:$A,AP$19,Lançamentos!$C:$C,"Vendas de Serviços")</f>
        <v>0</v>
      </c>
      <c r="AQ23" s="39">
        <f>SUMIFS(Lançamentos!$F:$F,Lançamentos!$A:$A,AQ$19,Lançamentos!$C:$C,"Vendas de Serviços")</f>
        <v>0</v>
      </c>
      <c r="AR23" s="39">
        <f>SUMIFS(Lançamentos!$F:$F,Lançamentos!$A:$A,AR$19,Lançamentos!$C:$C,"Vendas de Serviços")</f>
        <v>0</v>
      </c>
      <c r="AS23" s="39">
        <f>SUMIFS(Lançamentos!$F:$F,Lançamentos!$A:$A,AS$19,Lançamentos!$C:$C,"Vendas de Serviços")</f>
        <v>0</v>
      </c>
      <c r="AT23" s="39">
        <f>SUMIFS(Lançamentos!$F:$F,Lançamentos!$A:$A,AT$19,Lançamentos!$C:$C,"Vendas de Serviços")</f>
        <v>0</v>
      </c>
      <c r="AU23" s="39">
        <f>SUMIFS(Lançamentos!$F:$F,Lançamentos!$A:$A,AU$19,Lançamentos!$C:$C,"Vendas de Serviços")</f>
        <v>0</v>
      </c>
      <c r="AV23" s="39">
        <f>SUMIFS(Lançamentos!$F:$F,Lançamentos!$A:$A,AV$19,Lançamentos!$C:$C,"Vendas de Serviços")</f>
        <v>0</v>
      </c>
      <c r="AW23" s="39">
        <f>SUMIFS(Lançamentos!$F:$F,Lançamentos!$A:$A,AW$19,Lançamentos!$C:$C,"Vendas de Serviços")</f>
        <v>0</v>
      </c>
      <c r="AX23" s="39">
        <f>SUMIFS(Lançamentos!$F:$F,Lançamentos!$A:$A,AX$19,Lançamentos!$C:$C,"Vendas de Serviços")</f>
        <v>0</v>
      </c>
      <c r="AY23" s="39">
        <f>SUMIFS(Lançamentos!$F:$F,Lançamentos!$A:$A,AY$19,Lançamentos!$C:$C,"Vendas de Serviços")</f>
        <v>0</v>
      </c>
      <c r="AZ23" s="39">
        <f>SUMIFS(Lançamentos!$F:$F,Lançamentos!$A:$A,AZ$19,Lançamentos!$C:$C,"Vendas de Serviços")</f>
        <v>0</v>
      </c>
      <c r="BA23" s="39">
        <f>SUMIFS(Lançamentos!$F:$F,Lançamentos!$A:$A,BA$19,Lançamentos!$C:$C,"Vendas de Serviços")</f>
        <v>0</v>
      </c>
      <c r="BB23" s="39">
        <f>SUMIFS(Lançamentos!$F:$F,Lançamentos!$A:$A,BB$19,Lançamentos!$C:$C,"Vendas de Serviços")</f>
        <v>0</v>
      </c>
      <c r="BC23" s="39">
        <f>SUMIFS(Lançamentos!$F:$F,Lançamentos!$A:$A,BC$19,Lançamentos!$C:$C,"Vendas de Serviços")</f>
        <v>0</v>
      </c>
      <c r="BD23" s="39">
        <f>SUMIFS(Lançamentos!$F:$F,Lançamentos!$A:$A,BD$19,Lançamentos!$C:$C,"Vendas de Serviços")</f>
        <v>0</v>
      </c>
      <c r="BE23" s="39">
        <f>SUMIFS(Lançamentos!$F:$F,Lançamentos!$A:$A,BE$19,Lançamentos!$C:$C,"Vendas de Serviços")</f>
        <v>0</v>
      </c>
      <c r="BF23" s="39">
        <f>SUMIFS(Lançamentos!$F:$F,Lançamentos!$A:$A,BF$19,Lançamentos!$C:$C,"Vendas de Serviços")</f>
        <v>0</v>
      </c>
      <c r="BG23" s="39">
        <f>SUMIFS(Lançamentos!$F:$F,Lançamentos!$A:$A,BG$19,Lançamentos!$C:$C,"Vendas de Serviços")</f>
        <v>0</v>
      </c>
      <c r="BH23" s="39">
        <f>SUMIFS(Lançamentos!$F:$F,Lançamentos!$A:$A,BH$19,Lançamentos!$C:$C,"Vendas de Serviços")</f>
        <v>0</v>
      </c>
      <c r="BI23" s="39">
        <f>SUMIFS(Lançamentos!$F:$F,Lançamentos!$A:$A,BI$19,Lançamentos!$C:$C,"Vendas de Serviços")</f>
        <v>0</v>
      </c>
      <c r="BJ23" s="39">
        <f>SUMIFS(Lançamentos!$F:$F,Lançamentos!$A:$A,BJ$19,Lançamentos!$C:$C,"Vendas de Serviços")</f>
        <v>0</v>
      </c>
      <c r="BK23" s="39">
        <f>SUMIFS(Lançamentos!$F:$F,Lançamentos!$A:$A,BK$19,Lançamentos!$C:$C,"Vendas de Serviços")</f>
        <v>0</v>
      </c>
      <c r="BL23" s="39">
        <f>SUMIFS(Lançamentos!$F:$F,Lançamentos!$A:$A,BL$19,Lançamentos!$C:$C,"Vendas de Serviços")</f>
        <v>0</v>
      </c>
      <c r="BM23" s="39">
        <f>SUMIFS(Lançamentos!$F:$F,Lançamentos!$A:$A,BM$19,Lançamentos!$C:$C,"Vendas de Serviços")</f>
        <v>0</v>
      </c>
      <c r="BN23" s="39">
        <f>SUMIFS(Lançamentos!$F:$F,Lançamentos!$A:$A,BN$19,Lançamentos!$C:$C,"Vendas de Serviços")</f>
        <v>0</v>
      </c>
      <c r="BO23" s="39">
        <f>SUMIFS(Lançamentos!$F:$F,Lançamentos!$A:$A,BO$19,Lançamentos!$C:$C,"Vendas de Serviços")</f>
        <v>0</v>
      </c>
      <c r="BP23" s="39">
        <f>SUMIFS(Lançamentos!$F:$F,Lançamentos!$A:$A,BP$19,Lançamentos!$C:$C,"Vendas de Serviços")</f>
        <v>0</v>
      </c>
      <c r="BQ23" s="39">
        <f>SUMIFS(Lançamentos!$F:$F,Lançamentos!$A:$A,BQ$19,Lançamentos!$C:$C,"Vendas de Serviços")</f>
        <v>0</v>
      </c>
      <c r="BR23" s="39">
        <f>SUMIFS(Lançamentos!$F:$F,Lançamentos!$A:$A,BR$19,Lançamentos!$C:$C,"Vendas de Serviços")</f>
        <v>0</v>
      </c>
      <c r="BS23" s="39">
        <f>SUMIFS(Lançamentos!$F:$F,Lançamentos!$A:$A,BS$19,Lançamentos!$C:$C,"Vendas de Serviços")</f>
        <v>0</v>
      </c>
      <c r="BT23" s="39">
        <f>SUMIFS(Lançamentos!$F:$F,Lançamentos!$A:$A,BT$19,Lançamentos!$C:$C,"Vendas de Serviços")</f>
        <v>0</v>
      </c>
      <c r="BU23" s="39">
        <f>SUMIFS(Lançamentos!$F:$F,Lançamentos!$A:$A,BU$19,Lançamentos!$C:$C,"Vendas de Serviços")</f>
        <v>0</v>
      </c>
      <c r="BV23" s="39">
        <f>SUMIFS(Lançamentos!$F:$F,Lançamentos!$A:$A,BV$19,Lançamentos!$C:$C,"Vendas de Serviços")</f>
        <v>0</v>
      </c>
      <c r="BW23" s="39">
        <f>SUMIFS(Lançamentos!$F:$F,Lançamentos!$A:$A,BW$19,Lançamentos!$C:$C,"Vendas de Serviços")</f>
        <v>0</v>
      </c>
      <c r="BX23" s="39">
        <f>SUMIFS(Lançamentos!$F:$F,Lançamentos!$A:$A,BX$19,Lançamentos!$C:$C,"Vendas de Serviços")</f>
        <v>0</v>
      </c>
      <c r="BY23" s="39">
        <f>SUMIFS(Lançamentos!$F:$F,Lançamentos!$A:$A,BY$19,Lançamentos!$C:$C,"Vendas de Serviços")</f>
        <v>0</v>
      </c>
      <c r="BZ23" s="39">
        <f>SUMIFS(Lançamentos!$F:$F,Lançamentos!$A:$A,BZ$19,Lançamentos!$C:$C,"Vendas de Serviços")</f>
        <v>0</v>
      </c>
      <c r="CA23" s="39">
        <f>SUMIFS(Lançamentos!$F:$F,Lançamentos!$A:$A,CA$19,Lançamentos!$C:$C,"Vendas de Serviços")</f>
        <v>0</v>
      </c>
      <c r="CB23" s="39">
        <f>SUMIFS(Lançamentos!$F:$F,Lançamentos!$A:$A,CB$19,Lançamentos!$C:$C,"Vendas de Serviços")</f>
        <v>0</v>
      </c>
      <c r="CC23" s="39">
        <f>SUMIFS(Lançamentos!$F:$F,Lançamentos!$A:$A,CC$19,Lançamentos!$C:$C,"Vendas de Serviços")</f>
        <v>0</v>
      </c>
      <c r="CD23" s="39">
        <f>SUMIFS(Lançamentos!$F:$F,Lançamentos!$A:$A,CD$19,Lançamentos!$C:$C,"Vendas de Serviços")</f>
        <v>0</v>
      </c>
      <c r="CE23" s="39">
        <f>SUMIFS(Lançamentos!$F:$F,Lançamentos!$A:$A,CE$19,Lançamentos!$C:$C,"Vendas de Serviços")</f>
        <v>0</v>
      </c>
      <c r="CF23" s="39">
        <f>SUMIFS(Lançamentos!$F:$F,Lançamentos!$A:$A,CF$19,Lançamentos!$C:$C,"Vendas de Serviços")</f>
        <v>0</v>
      </c>
      <c r="CG23" s="39">
        <f>SUMIFS(Lançamentos!$F:$F,Lançamentos!$A:$A,CG$19,Lançamentos!$C:$C,"Vendas de Serviços")</f>
        <v>0</v>
      </c>
      <c r="CH23" s="39">
        <f>SUMIFS(Lançamentos!$F:$F,Lançamentos!$A:$A,CH$19,Lançamentos!$C:$C,"Vendas de Serviços")</f>
        <v>0</v>
      </c>
      <c r="CI23" s="39">
        <f>SUMIFS(Lançamentos!$F:$F,Lançamentos!$A:$A,CI$19,Lançamentos!$C:$C,"Vendas de Serviços")</f>
        <v>0</v>
      </c>
      <c r="CJ23" s="39">
        <f>SUMIFS(Lançamentos!$F:$F,Lançamentos!$A:$A,CJ$19,Lançamentos!$C:$C,"Vendas de Serviços")</f>
        <v>0</v>
      </c>
      <c r="CK23" s="39">
        <f>SUMIFS(Lançamentos!$F:$F,Lançamentos!$A:$A,CK$19,Lançamentos!$C:$C,"Vendas de Serviços")</f>
        <v>0</v>
      </c>
      <c r="CL23" s="39">
        <f>SUMIFS(Lançamentos!$F:$F,Lançamentos!$A:$A,CL$19,Lançamentos!$C:$C,"Vendas de Serviços")</f>
        <v>0</v>
      </c>
      <c r="CM23" s="39">
        <f>SUMIFS(Lançamentos!$F:$F,Lançamentos!$A:$A,CM$19,Lançamentos!$C:$C,"Vendas de Serviços")</f>
        <v>0</v>
      </c>
      <c r="CN23" s="39">
        <f>SUMIFS(Lançamentos!$F:$F,Lançamentos!$A:$A,CN$19,Lançamentos!$C:$C,"Vendas de Serviços")</f>
        <v>0</v>
      </c>
      <c r="CO23" s="39">
        <f>SUMIFS(Lançamentos!$F:$F,Lançamentos!$A:$A,CO$19,Lançamentos!$C:$C,"Vendas de Serviços")</f>
        <v>0</v>
      </c>
      <c r="CP23" s="39">
        <f>SUMIFS(Lançamentos!$F:$F,Lançamentos!$A:$A,CP$19,Lançamentos!$C:$C,"Vendas de Serviços")</f>
        <v>0</v>
      </c>
      <c r="CQ23" s="39">
        <f>SUMIFS(Lançamentos!$F:$F,Lançamentos!$A:$A,CQ$19,Lançamentos!$C:$C,"Vendas de Serviços")</f>
        <v>0</v>
      </c>
      <c r="CR23" s="39">
        <f>SUMIFS(Lançamentos!$F:$F,Lançamentos!$A:$A,CR$19,Lançamentos!$C:$C,"Vendas de Serviços")</f>
        <v>0</v>
      </c>
      <c r="CS23" s="39">
        <f>SUMIFS(Lançamentos!$F:$F,Lançamentos!$A:$A,CS$19,Lançamentos!$C:$C,"Vendas de Serviços")</f>
        <v>0</v>
      </c>
      <c r="CT23" s="39">
        <f>SUMIFS(Lançamentos!$F:$F,Lançamentos!$A:$A,CT$19,Lançamentos!$C:$C,"Vendas de Serviços")</f>
        <v>0</v>
      </c>
      <c r="CU23" s="39">
        <f>SUMIFS(Lançamentos!$F:$F,Lançamentos!$A:$A,CU$19,Lançamentos!$C:$C,"Vendas de Serviços")</f>
        <v>0</v>
      </c>
      <c r="CV23" s="39">
        <f>SUMIFS(Lançamentos!$F:$F,Lançamentos!$A:$A,CV$19,Lançamentos!$C:$C,"Vendas de Serviços")</f>
        <v>0</v>
      </c>
      <c r="CW23" s="39">
        <f>SUMIFS(Lançamentos!$F:$F,Lançamentos!$A:$A,CW$19,Lançamentos!$C:$C,"Vendas de Serviços")</f>
        <v>0</v>
      </c>
      <c r="CX23" s="39">
        <f>SUMIFS(Lançamentos!$F:$F,Lançamentos!$A:$A,CX$19,Lançamentos!$C:$C,"Vendas de Serviços")</f>
        <v>0</v>
      </c>
      <c r="CY23" s="39">
        <f>SUMIFS(Lançamentos!$F:$F,Lançamentos!$A:$A,CY$19,Lançamentos!$C:$C,"Vendas de Serviços")</f>
        <v>0</v>
      </c>
      <c r="CZ23" s="39">
        <f>SUMIFS(Lançamentos!$F:$F,Lançamentos!$A:$A,CZ$19,Lançamentos!$C:$C,"Vendas de Serviços")</f>
        <v>0</v>
      </c>
      <c r="DA23" s="39">
        <f>SUMIFS(Lançamentos!$F:$F,Lançamentos!$A:$A,DA$19,Lançamentos!$C:$C,"Vendas de Serviços")</f>
        <v>0</v>
      </c>
      <c r="DB23" s="39">
        <f>SUMIFS(Lançamentos!$F:$F,Lançamentos!$A:$A,DB$19,Lançamentos!$C:$C,"Vendas de Serviços")</f>
        <v>0</v>
      </c>
      <c r="DC23" s="39">
        <f>SUMIFS(Lançamentos!$F:$F,Lançamentos!$A:$A,DC$19,Lançamentos!$C:$C,"Vendas de Serviços")</f>
        <v>0</v>
      </c>
      <c r="DD23" s="39">
        <f>SUMIFS(Lançamentos!$F:$F,Lançamentos!$A:$A,DD$19,Lançamentos!$C:$C,"Vendas de Serviços")</f>
        <v>0</v>
      </c>
      <c r="DE23" s="39">
        <f>SUMIFS(Lançamentos!$F:$F,Lançamentos!$A:$A,DE$19,Lançamentos!$C:$C,"Vendas de Serviços")</f>
        <v>0</v>
      </c>
      <c r="DF23" s="39">
        <f>SUMIFS(Lançamentos!$F:$F,Lançamentos!$A:$A,DF$19,Lançamentos!$C:$C,"Vendas de Serviços")</f>
        <v>0</v>
      </c>
      <c r="DG23" s="39">
        <f>SUMIFS(Lançamentos!$F:$F,Lançamentos!$A:$A,DG$19,Lançamentos!$C:$C,"Vendas de Serviços")</f>
        <v>0</v>
      </c>
      <c r="DH23" s="39">
        <f>SUMIFS(Lançamentos!$F:$F,Lançamentos!$A:$A,DH$19,Lançamentos!$C:$C,"Vendas de Serviços")</f>
        <v>0</v>
      </c>
      <c r="DI23" s="39">
        <f>SUMIFS(Lançamentos!$F:$F,Lançamentos!$A:$A,DI$19,Lançamentos!$C:$C,"Vendas de Serviços")</f>
        <v>0</v>
      </c>
      <c r="DJ23" s="39">
        <f>SUMIFS(Lançamentos!$F:$F,Lançamentos!$A:$A,DJ$19,Lançamentos!$C:$C,"Vendas de Serviços")</f>
        <v>0</v>
      </c>
      <c r="DK23" s="39">
        <f>SUMIFS(Lançamentos!$F:$F,Lançamentos!$A:$A,DK$19,Lançamentos!$C:$C,"Vendas de Serviços")</f>
        <v>0</v>
      </c>
      <c r="DL23" s="39">
        <f>SUMIFS(Lançamentos!$F:$F,Lançamentos!$A:$A,DL$19,Lançamentos!$C:$C,"Vendas de Serviços")</f>
        <v>0</v>
      </c>
      <c r="DM23" s="39">
        <f>SUMIFS(Lançamentos!$F:$F,Lançamentos!$A:$A,DM$19,Lançamentos!$C:$C,"Vendas de Serviços")</f>
        <v>0</v>
      </c>
      <c r="DN23" s="39">
        <f>SUMIFS(Lançamentos!$F:$F,Lançamentos!$A:$A,DN$19,Lançamentos!$C:$C,"Vendas de Serviços")</f>
        <v>0</v>
      </c>
      <c r="DO23" s="39">
        <f>SUMIFS(Lançamentos!$F:$F,Lançamentos!$A:$A,DO$19,Lançamentos!$C:$C,"Vendas de Serviços")</f>
        <v>0</v>
      </c>
      <c r="DP23" s="39">
        <f>SUMIFS(Lançamentos!$F:$F,Lançamentos!$A:$A,DP$19,Lançamentos!$C:$C,"Vendas de Serviços")</f>
        <v>0</v>
      </c>
      <c r="DQ23" s="39">
        <f>SUMIFS(Lançamentos!$F:$F,Lançamentos!$A:$A,DQ$19,Lançamentos!$C:$C,"Vendas de Serviços")</f>
        <v>0</v>
      </c>
      <c r="DR23" s="39">
        <f>SUMIFS(Lançamentos!$F:$F,Lançamentos!$A:$A,DR$19,Lançamentos!$C:$C,"Vendas de Serviços")</f>
        <v>0</v>
      </c>
      <c r="DS23" s="39">
        <f>SUMIFS(Lançamentos!$F:$F,Lançamentos!$A:$A,DS$19,Lançamentos!$C:$C,"Vendas de Serviços")</f>
        <v>0</v>
      </c>
      <c r="DT23" s="39">
        <f>SUMIFS(Lançamentos!$F:$F,Lançamentos!$A:$A,DT$19,Lançamentos!$C:$C,"Vendas de Serviços")</f>
        <v>0</v>
      </c>
      <c r="DU23" s="39">
        <f>SUMIFS(Lançamentos!$F:$F,Lançamentos!$A:$A,DU$19,Lançamentos!$C:$C,"Vendas de Serviços")</f>
        <v>0</v>
      </c>
      <c r="DV23" s="39">
        <f>SUMIFS(Lançamentos!$F:$F,Lançamentos!$A:$A,DV$19,Lançamentos!$C:$C,"Vendas de Serviços")</f>
        <v>0</v>
      </c>
      <c r="DW23" s="39">
        <f>SUMIFS(Lançamentos!$F:$F,Lançamentos!$A:$A,DW$19,Lançamentos!$C:$C,"Vendas de Serviços")</f>
        <v>0</v>
      </c>
      <c r="DX23" s="39">
        <f>SUMIFS(Lançamentos!$F:$F,Lançamentos!$A:$A,DX$19,Lançamentos!$C:$C,"Vendas de Serviços")</f>
        <v>0</v>
      </c>
      <c r="DY23" s="39">
        <f>SUMIFS(Lançamentos!$F:$F,Lançamentos!$A:$A,DY$19,Lançamentos!$C:$C,"Vendas de Serviços")</f>
        <v>0</v>
      </c>
      <c r="DZ23" s="39">
        <f>SUMIFS(Lançamentos!$F:$F,Lançamentos!$A:$A,DZ$19,Lançamentos!$C:$C,"Vendas de Serviços")</f>
        <v>0</v>
      </c>
      <c r="EA23" s="39">
        <f>SUMIFS(Lançamentos!$F:$F,Lançamentos!$A:$A,EA$19,Lançamentos!$C:$C,"Vendas de Serviços")</f>
        <v>0</v>
      </c>
      <c r="EB23" s="39">
        <f>SUMIFS(Lançamentos!$F:$F,Lançamentos!$A:$A,EB$19,Lançamentos!$C:$C,"Vendas de Serviços")</f>
        <v>0</v>
      </c>
      <c r="EC23" s="39">
        <f>SUMIFS(Lançamentos!$F:$F,Lançamentos!$A:$A,EC$19,Lançamentos!$C:$C,"Vendas de Serviços")</f>
        <v>0</v>
      </c>
      <c r="ED23" s="39">
        <f>SUMIFS(Lançamentos!$F:$F,Lançamentos!$A:$A,ED$19,Lançamentos!$C:$C,"Vendas de Serviços")</f>
        <v>0</v>
      </c>
      <c r="EE23" s="39">
        <f>SUMIFS(Lançamentos!$F:$F,Lançamentos!$A:$A,EE$19,Lançamentos!$C:$C,"Vendas de Serviços")</f>
        <v>0</v>
      </c>
      <c r="EF23" s="39">
        <f>SUMIFS(Lançamentos!$F:$F,Lançamentos!$A:$A,EF$19,Lançamentos!$C:$C,"Vendas de Serviços")</f>
        <v>0</v>
      </c>
      <c r="EG23" s="39">
        <f>SUMIFS(Lançamentos!$F:$F,Lançamentos!$A:$A,EG$19,Lançamentos!$C:$C,"Vendas de Serviços")</f>
        <v>0</v>
      </c>
      <c r="EH23" s="39">
        <f>SUMIFS(Lançamentos!$F:$F,Lançamentos!$A:$A,EH$19,Lançamentos!$C:$C,"Vendas de Serviços")</f>
        <v>0</v>
      </c>
      <c r="EI23" s="39">
        <f>SUMIFS(Lançamentos!$F:$F,Lançamentos!$A:$A,EI$19,Lançamentos!$C:$C,"Vendas de Serviços")</f>
        <v>0</v>
      </c>
      <c r="EJ23" s="39">
        <f>SUMIFS(Lançamentos!$F:$F,Lançamentos!$A:$A,EJ$19,Lançamentos!$C:$C,"Vendas de Serviços")</f>
        <v>0</v>
      </c>
      <c r="EK23" s="39">
        <f>SUMIFS(Lançamentos!$F:$F,Lançamentos!$A:$A,EK$19,Lançamentos!$C:$C,"Vendas de Serviços")</f>
        <v>0</v>
      </c>
      <c r="EL23" s="39">
        <f>SUMIFS(Lançamentos!$F:$F,Lançamentos!$A:$A,EL$19,Lançamentos!$C:$C,"Vendas de Serviços")</f>
        <v>0</v>
      </c>
      <c r="EM23" s="39">
        <f>SUMIFS(Lançamentos!$F:$F,Lançamentos!$A:$A,EM$19,Lançamentos!$C:$C,"Vendas de Serviços")</f>
        <v>0</v>
      </c>
      <c r="EN23" s="39">
        <f>SUMIFS(Lançamentos!$F:$F,Lançamentos!$A:$A,EN$19,Lançamentos!$C:$C,"Vendas de Serviços")</f>
        <v>0</v>
      </c>
      <c r="EO23" s="39">
        <f>SUMIFS(Lançamentos!$F:$F,Lançamentos!$A:$A,EO$19,Lançamentos!$C:$C,"Vendas de Serviços")</f>
        <v>0</v>
      </c>
      <c r="EP23" s="39">
        <f>SUMIFS(Lançamentos!$F:$F,Lançamentos!$A:$A,EP$19,Lançamentos!$C:$C,"Vendas de Serviços")</f>
        <v>0</v>
      </c>
      <c r="EQ23" s="39">
        <f>SUMIFS(Lançamentos!$F:$F,Lançamentos!$A:$A,EQ$19,Lançamentos!$C:$C,"Vendas de Serviços")</f>
        <v>0</v>
      </c>
      <c r="ER23" s="39">
        <f>SUMIFS(Lançamentos!$F:$F,Lançamentos!$A:$A,ER$19,Lançamentos!$C:$C,"Vendas de Serviços")</f>
        <v>0</v>
      </c>
      <c r="ES23" s="39">
        <f>SUMIFS(Lançamentos!$F:$F,Lançamentos!$A:$A,ES$19,Lançamentos!$C:$C,"Vendas de Serviços")</f>
        <v>0</v>
      </c>
      <c r="ET23" s="39">
        <f>SUMIFS(Lançamentos!$F:$F,Lançamentos!$A:$A,ET$19,Lançamentos!$C:$C,"Vendas de Serviços")</f>
        <v>0</v>
      </c>
      <c r="EU23" s="39">
        <f>SUMIFS(Lançamentos!$F:$F,Lançamentos!$A:$A,EU$19,Lançamentos!$C:$C,"Vendas de Serviços")</f>
        <v>0</v>
      </c>
      <c r="EV23" s="39">
        <f>SUMIFS(Lançamentos!$F:$F,Lançamentos!$A:$A,EV$19,Lançamentos!$C:$C,"Vendas de Serviços")</f>
        <v>0</v>
      </c>
      <c r="EW23" s="39">
        <f>SUMIFS(Lançamentos!$F:$F,Lançamentos!$A:$A,EW$19,Lançamentos!$C:$C,"Vendas de Serviços")</f>
        <v>0</v>
      </c>
      <c r="EX23" s="39">
        <f>SUMIFS(Lançamentos!$F:$F,Lançamentos!$A:$A,EX$19,Lançamentos!$C:$C,"Vendas de Serviços")</f>
        <v>0</v>
      </c>
      <c r="EY23" s="39">
        <f>SUMIFS(Lançamentos!$F:$F,Lançamentos!$A:$A,EY$19,Lançamentos!$C:$C,"Vendas de Serviços")</f>
        <v>0</v>
      </c>
      <c r="EZ23" s="39">
        <f>SUMIFS(Lançamentos!$F:$F,Lançamentos!$A:$A,EZ$19,Lançamentos!$C:$C,"Vendas de Serviços")</f>
        <v>0</v>
      </c>
      <c r="FA23" s="39">
        <f>SUMIFS(Lançamentos!$F:$F,Lançamentos!$A:$A,FA$19,Lançamentos!$C:$C,"Vendas de Serviços")</f>
        <v>0</v>
      </c>
      <c r="FB23" s="39">
        <f>SUMIFS(Lançamentos!$F:$F,Lançamentos!$A:$A,FB$19,Lançamentos!$C:$C,"Vendas de Serviços")</f>
        <v>0</v>
      </c>
      <c r="FC23" s="39">
        <f>SUMIFS(Lançamentos!$F:$F,Lançamentos!$A:$A,FC$19,Lançamentos!$C:$C,"Vendas de Serviços")</f>
        <v>0</v>
      </c>
      <c r="FD23" s="39">
        <f>SUMIFS(Lançamentos!$F:$F,Lançamentos!$A:$A,FD$19,Lançamentos!$C:$C,"Vendas de Serviços")</f>
        <v>0</v>
      </c>
      <c r="FE23" s="39">
        <f>SUMIFS(Lançamentos!$F:$F,Lançamentos!$A:$A,FE$19,Lançamentos!$C:$C,"Vendas de Serviços")</f>
        <v>0</v>
      </c>
      <c r="FF23" s="39">
        <f>SUMIFS(Lançamentos!$F:$F,Lançamentos!$A:$A,FF$19,Lançamentos!$C:$C,"Vendas de Serviços")</f>
        <v>0</v>
      </c>
      <c r="FG23" s="39">
        <f>SUMIFS(Lançamentos!$F:$F,Lançamentos!$A:$A,FG$19,Lançamentos!$C:$C,"Vendas de Serviços")</f>
        <v>0</v>
      </c>
      <c r="FH23" s="39">
        <f>SUMIFS(Lançamentos!$F:$F,Lançamentos!$A:$A,FH$19,Lançamentos!$C:$C,"Vendas de Serviços")</f>
        <v>0</v>
      </c>
      <c r="FI23" s="39">
        <f>SUMIFS(Lançamentos!$F:$F,Lançamentos!$A:$A,FI$19,Lançamentos!$C:$C,"Vendas de Serviços")</f>
        <v>0</v>
      </c>
      <c r="FJ23" s="39">
        <f>SUMIFS(Lançamentos!$F:$F,Lançamentos!$A:$A,FJ$19,Lançamentos!$C:$C,"Vendas de Serviços")</f>
        <v>0</v>
      </c>
      <c r="FK23" s="39">
        <f>SUMIFS(Lançamentos!$F:$F,Lançamentos!$A:$A,FK$19,Lançamentos!$C:$C,"Vendas de Serviços")</f>
        <v>0</v>
      </c>
      <c r="FL23" s="39">
        <f>SUMIFS(Lançamentos!$F:$F,Lançamentos!$A:$A,FL$19,Lançamentos!$C:$C,"Vendas de Serviços")</f>
        <v>0</v>
      </c>
      <c r="FM23" s="39">
        <f>SUMIFS(Lançamentos!$F:$F,Lançamentos!$A:$A,FM$19,Lançamentos!$C:$C,"Vendas de Serviços")</f>
        <v>0</v>
      </c>
      <c r="FN23" s="39">
        <f>SUMIFS(Lançamentos!$F:$F,Lançamentos!$A:$A,FN$19,Lançamentos!$C:$C,"Vendas de Serviços")</f>
        <v>0</v>
      </c>
      <c r="FO23" s="39">
        <f>SUMIFS(Lançamentos!$F:$F,Lançamentos!$A:$A,FO$19,Lançamentos!$C:$C,"Vendas de Serviços")</f>
        <v>0</v>
      </c>
      <c r="FP23" s="39">
        <f>SUMIFS(Lançamentos!$F:$F,Lançamentos!$A:$A,FP$19,Lançamentos!$C:$C,"Vendas de Serviços")</f>
        <v>0</v>
      </c>
      <c r="FQ23" s="39">
        <f>SUMIFS(Lançamentos!$F:$F,Lançamentos!$A:$A,FQ$19,Lançamentos!$C:$C,"Vendas de Serviços")</f>
        <v>0</v>
      </c>
      <c r="FR23" s="39">
        <f>SUMIFS(Lançamentos!$F:$F,Lançamentos!$A:$A,FR$19,Lançamentos!$C:$C,"Vendas de Serviços")</f>
        <v>0</v>
      </c>
      <c r="FS23" s="39">
        <f>SUMIFS(Lançamentos!$F:$F,Lançamentos!$A:$A,FS$19,Lançamentos!$C:$C,"Vendas de Serviços")</f>
        <v>0</v>
      </c>
      <c r="FT23" s="39">
        <f>SUMIFS(Lançamentos!$F:$F,Lançamentos!$A:$A,FT$19,Lançamentos!$C:$C,"Vendas de Serviços")</f>
        <v>0</v>
      </c>
      <c r="FU23" s="39">
        <f>SUMIFS(Lançamentos!$F:$F,Lançamentos!$A:$A,FU$19,Lançamentos!$C:$C,"Vendas de Serviços")</f>
        <v>0</v>
      </c>
      <c r="FV23" s="39">
        <f>SUMIFS(Lançamentos!$F:$F,Lançamentos!$A:$A,FV$19,Lançamentos!$C:$C,"Vendas de Serviços")</f>
        <v>0</v>
      </c>
      <c r="FW23" s="39">
        <f>SUMIFS(Lançamentos!$F:$F,Lançamentos!$A:$A,FW$19,Lançamentos!$C:$C,"Vendas de Serviços")</f>
        <v>0</v>
      </c>
      <c r="FX23" s="39">
        <f>SUMIFS(Lançamentos!$F:$F,Lançamentos!$A:$A,FX$19,Lançamentos!$C:$C,"Vendas de Serviços")</f>
        <v>0</v>
      </c>
      <c r="FY23" s="39">
        <f>SUMIFS(Lançamentos!$F:$F,Lançamentos!$A:$A,FY$19,Lançamentos!$C:$C,"Vendas de Serviços")</f>
        <v>0</v>
      </c>
      <c r="FZ23" s="39">
        <f>SUMIFS(Lançamentos!$F:$F,Lançamentos!$A:$A,FZ$19,Lançamentos!$C:$C,"Vendas de Serviços")</f>
        <v>0</v>
      </c>
      <c r="GA23" s="39">
        <f>SUMIFS(Lançamentos!$F:$F,Lançamentos!$A:$A,GA$19,Lançamentos!$C:$C,"Vendas de Serviços")</f>
        <v>0</v>
      </c>
      <c r="GB23" s="39">
        <f>SUMIFS(Lançamentos!$F:$F,Lançamentos!$A:$A,GB$19,Lançamentos!$C:$C,"Vendas de Serviços")</f>
        <v>0</v>
      </c>
      <c r="GC23" s="39">
        <f>SUMIFS(Lançamentos!$F:$F,Lançamentos!$A:$A,GC$19,Lançamentos!$C:$C,"Vendas de Serviços")</f>
        <v>0</v>
      </c>
      <c r="GD23" s="39">
        <f>SUMIFS(Lançamentos!$F:$F,Lançamentos!$A:$A,GD$19,Lançamentos!$C:$C,"Vendas de Serviços")</f>
        <v>0</v>
      </c>
      <c r="GE23" s="39">
        <f>SUMIFS(Lançamentos!$F:$F,Lançamentos!$A:$A,GE$19,Lançamentos!$C:$C,"Vendas de Serviços")</f>
        <v>0</v>
      </c>
      <c r="GF23" s="39">
        <f>SUMIFS(Lançamentos!$F:$F,Lançamentos!$A:$A,GF$19,Lançamentos!$C:$C,"Vendas de Serviços")</f>
        <v>0</v>
      </c>
      <c r="GG23" s="39">
        <f>SUMIFS(Lançamentos!$F:$F,Lançamentos!$A:$A,GG$19,Lançamentos!$C:$C,"Vendas de Serviços")</f>
        <v>0</v>
      </c>
      <c r="GH23" s="39">
        <f>SUMIFS(Lançamentos!$F:$F,Lançamentos!$A:$A,GH$19,Lançamentos!$C:$C,"Vendas de Serviços")</f>
        <v>0</v>
      </c>
      <c r="GI23" s="39">
        <f>SUMIFS(Lançamentos!$F:$F,Lançamentos!$A:$A,GI$19,Lançamentos!$C:$C,"Vendas de Serviços")</f>
        <v>0</v>
      </c>
      <c r="GJ23" s="39">
        <f>SUMIFS(Lançamentos!$F:$F,Lançamentos!$A:$A,GJ$19,Lançamentos!$C:$C,"Vendas de Serviços")</f>
        <v>0</v>
      </c>
      <c r="GK23" s="39">
        <f>SUMIFS(Lançamentos!$F:$F,Lançamentos!$A:$A,GK$19,Lançamentos!$C:$C,"Vendas de Serviços")</f>
        <v>0</v>
      </c>
      <c r="GL23" s="39">
        <f>SUMIFS(Lançamentos!$F:$F,Lançamentos!$A:$A,GL$19,Lançamentos!$C:$C,"Vendas de Serviços")</f>
        <v>0</v>
      </c>
      <c r="GM23" s="39">
        <f>SUMIFS(Lançamentos!$F:$F,Lançamentos!$A:$A,GM$19,Lançamentos!$C:$C,"Vendas de Serviços")</f>
        <v>0</v>
      </c>
      <c r="GN23" s="39">
        <f>SUMIFS(Lançamentos!$F:$F,Lançamentos!$A:$A,GN$19,Lançamentos!$C:$C,"Vendas de Serviços")</f>
        <v>0</v>
      </c>
      <c r="GO23" s="39">
        <f>SUMIFS(Lançamentos!$F:$F,Lançamentos!$A:$A,GO$19,Lançamentos!$C:$C,"Vendas de Serviços")</f>
        <v>0</v>
      </c>
      <c r="GP23" s="39">
        <f>SUMIFS(Lançamentos!$F:$F,Lançamentos!$A:$A,GP$19,Lançamentos!$C:$C,"Vendas de Serviços")</f>
        <v>0</v>
      </c>
      <c r="GQ23" s="39">
        <f>SUMIFS(Lançamentos!$F:$F,Lançamentos!$A:$A,GQ$19,Lançamentos!$C:$C,"Vendas de Serviços")</f>
        <v>0</v>
      </c>
      <c r="GR23" s="39">
        <f>SUMIFS(Lançamentos!$F:$F,Lançamentos!$A:$A,GR$19,Lançamentos!$C:$C,"Vendas de Serviços")</f>
        <v>0</v>
      </c>
      <c r="GS23" s="39">
        <f>SUMIFS(Lançamentos!$F:$F,Lançamentos!$A:$A,GS$19,Lançamentos!$C:$C,"Vendas de Serviços")</f>
        <v>0</v>
      </c>
      <c r="GT23" s="39">
        <f>SUMIFS(Lançamentos!$F:$F,Lançamentos!$A:$A,GT$19,Lançamentos!$C:$C,"Vendas de Serviços")</f>
        <v>0</v>
      </c>
      <c r="GU23" s="39">
        <f>SUMIFS(Lançamentos!$F:$F,Lançamentos!$A:$A,GU$19,Lançamentos!$C:$C,"Vendas de Serviços")</f>
        <v>0</v>
      </c>
      <c r="GV23" s="39">
        <f>SUMIFS(Lançamentos!$F:$F,Lançamentos!$A:$A,GV$19,Lançamentos!$C:$C,"Vendas de Serviços")</f>
        <v>0</v>
      </c>
      <c r="GW23" s="39">
        <f>SUMIFS(Lançamentos!$F:$F,Lançamentos!$A:$A,GW$19,Lançamentos!$C:$C,"Vendas de Serviços")</f>
        <v>0</v>
      </c>
      <c r="GX23" s="39">
        <f>SUMIFS(Lançamentos!$F:$F,Lançamentos!$A:$A,GX$19,Lançamentos!$C:$C,"Vendas de Serviços")</f>
        <v>0</v>
      </c>
      <c r="GY23" s="39">
        <f>SUMIFS(Lançamentos!$F:$F,Lançamentos!$A:$A,GY$19,Lançamentos!$C:$C,"Vendas de Serviços")</f>
        <v>0</v>
      </c>
      <c r="GZ23" s="39">
        <f>SUMIFS(Lançamentos!$F:$F,Lançamentos!$A:$A,GZ$19,Lançamentos!$C:$C,"Vendas de Serviços")</f>
        <v>0</v>
      </c>
      <c r="HA23" s="39">
        <f>SUMIFS(Lançamentos!$F:$F,Lançamentos!$A:$A,HA$19,Lançamentos!$C:$C,"Vendas de Serviços")</f>
        <v>0</v>
      </c>
      <c r="HB23" s="39">
        <f>SUMIFS(Lançamentos!$F:$F,Lançamentos!$A:$A,HB$19,Lançamentos!$C:$C,"Vendas de Serviços")</f>
        <v>0</v>
      </c>
      <c r="HC23" s="39">
        <f>SUMIFS(Lançamentos!$F:$F,Lançamentos!$A:$A,HC$19,Lançamentos!$C:$C,"Vendas de Serviços")</f>
        <v>0</v>
      </c>
      <c r="HD23" s="39">
        <f>SUMIFS(Lançamentos!$F:$F,Lançamentos!$A:$A,HD$19,Lançamentos!$C:$C,"Vendas de Serviços")</f>
        <v>0</v>
      </c>
      <c r="HE23" s="39">
        <f>SUMIFS(Lançamentos!$F:$F,Lançamentos!$A:$A,HE$19,Lançamentos!$C:$C,"Vendas de Serviços")</f>
        <v>0</v>
      </c>
      <c r="HF23" s="39">
        <f>SUMIFS(Lançamentos!$F:$F,Lançamentos!$A:$A,HF$19,Lançamentos!$C:$C,"Vendas de Serviços")</f>
        <v>0</v>
      </c>
      <c r="HG23" s="39">
        <f>SUMIFS(Lançamentos!$F:$F,Lançamentos!$A:$A,HG$19,Lançamentos!$C:$C,"Vendas de Serviços")</f>
        <v>0</v>
      </c>
      <c r="HH23" s="39">
        <f>SUMIFS(Lançamentos!$F:$F,Lançamentos!$A:$A,HH$19,Lançamentos!$C:$C,"Vendas de Serviços")</f>
        <v>0</v>
      </c>
      <c r="HI23" s="39">
        <f>SUMIFS(Lançamentos!$F:$F,Lançamentos!$A:$A,HI$19,Lançamentos!$C:$C,"Vendas de Serviços")</f>
        <v>0</v>
      </c>
      <c r="HJ23" s="39">
        <f>SUMIFS(Lançamentos!$F:$F,Lançamentos!$A:$A,HJ$19,Lançamentos!$C:$C,"Vendas de Serviços")</f>
        <v>0</v>
      </c>
      <c r="HK23" s="39">
        <f>SUMIFS(Lançamentos!$F:$F,Lançamentos!$A:$A,HK$19,Lançamentos!$C:$C,"Vendas de Serviços")</f>
        <v>0</v>
      </c>
      <c r="HL23" s="39">
        <f>SUMIFS(Lançamentos!$F:$F,Lançamentos!$A:$A,HL$19,Lançamentos!$C:$C,"Vendas de Serviços")</f>
        <v>0</v>
      </c>
      <c r="HM23" s="39">
        <f>SUMIFS(Lançamentos!$F:$F,Lançamentos!$A:$A,HM$19,Lançamentos!$C:$C,"Vendas de Serviços")</f>
        <v>0</v>
      </c>
      <c r="HN23" s="39">
        <f>SUMIFS(Lançamentos!$F:$F,Lançamentos!$A:$A,HN$19,Lançamentos!$C:$C,"Vendas de Serviços")</f>
        <v>0</v>
      </c>
      <c r="HO23" s="39">
        <f>SUMIFS(Lançamentos!$F:$F,Lançamentos!$A:$A,HO$19,Lançamentos!$C:$C,"Vendas de Serviços")</f>
        <v>0</v>
      </c>
      <c r="HP23" s="39">
        <f>SUMIFS(Lançamentos!$F:$F,Lançamentos!$A:$A,HP$19,Lançamentos!$C:$C,"Vendas de Serviços")</f>
        <v>0</v>
      </c>
      <c r="HQ23" s="39">
        <f>SUMIFS(Lançamentos!$F:$F,Lançamentos!$A:$A,HQ$19,Lançamentos!$C:$C,"Vendas de Serviços")</f>
        <v>0</v>
      </c>
      <c r="HR23" s="39">
        <f>SUMIFS(Lançamentos!$F:$F,Lançamentos!$A:$A,HR$19,Lançamentos!$C:$C,"Vendas de Serviços")</f>
        <v>0</v>
      </c>
      <c r="HS23" s="39">
        <f>SUMIFS(Lançamentos!$F:$F,Lançamentos!$A:$A,HS$19,Lançamentos!$C:$C,"Vendas de Serviços")</f>
        <v>0</v>
      </c>
      <c r="HT23" s="39">
        <f>SUMIFS(Lançamentos!$F:$F,Lançamentos!$A:$A,HT$19,Lançamentos!$C:$C,"Vendas de Serviços")</f>
        <v>0</v>
      </c>
      <c r="HU23" s="39">
        <f>SUMIFS(Lançamentos!$F:$F,Lançamentos!$A:$A,HU$19,Lançamentos!$C:$C,"Vendas de Serviços")</f>
        <v>0</v>
      </c>
      <c r="HV23" s="39">
        <f>SUMIFS(Lançamentos!$F:$F,Lançamentos!$A:$A,HV$19,Lançamentos!$C:$C,"Vendas de Serviços")</f>
        <v>0</v>
      </c>
      <c r="HW23" s="39">
        <f>SUMIFS(Lançamentos!$F:$F,Lançamentos!$A:$A,HW$19,Lançamentos!$C:$C,"Vendas de Serviços")</f>
        <v>0</v>
      </c>
      <c r="HX23" s="39">
        <f>SUMIFS(Lançamentos!$F:$F,Lançamentos!$A:$A,HX$19,Lançamentos!$C:$C,"Vendas de Serviços")</f>
        <v>0</v>
      </c>
      <c r="HY23" s="39">
        <f>SUMIFS(Lançamentos!$F:$F,Lançamentos!$A:$A,HY$19,Lançamentos!$C:$C,"Vendas de Serviços")</f>
        <v>0</v>
      </c>
      <c r="HZ23" s="39">
        <f>SUMIFS(Lançamentos!$F:$F,Lançamentos!$A:$A,HZ$19,Lançamentos!$C:$C,"Vendas de Serviços")</f>
        <v>0</v>
      </c>
      <c r="IA23" s="39">
        <f>SUMIFS(Lançamentos!$F:$F,Lançamentos!$A:$A,IA$19,Lançamentos!$C:$C,"Vendas de Serviços")</f>
        <v>0</v>
      </c>
      <c r="IB23" s="39">
        <f>SUMIFS(Lançamentos!$F:$F,Lançamentos!$A:$A,IB$19,Lançamentos!$C:$C,"Vendas de Serviços")</f>
        <v>0</v>
      </c>
      <c r="IC23" s="39">
        <f>SUMIFS(Lançamentos!$F:$F,Lançamentos!$A:$A,IC$19,Lançamentos!$C:$C,"Vendas de Serviços")</f>
        <v>0</v>
      </c>
      <c r="ID23" s="39">
        <f>SUMIFS(Lançamentos!$F:$F,Lançamentos!$A:$A,ID$19,Lançamentos!$C:$C,"Vendas de Serviços")</f>
        <v>0</v>
      </c>
      <c r="IE23" s="39">
        <f>SUMIFS(Lançamentos!$F:$F,Lançamentos!$A:$A,IE$19,Lançamentos!$C:$C,"Vendas de Serviços")</f>
        <v>0</v>
      </c>
      <c r="IF23" s="39">
        <f>SUMIFS(Lançamentos!$F:$F,Lançamentos!$A:$A,IF$19,Lançamentos!$C:$C,"Vendas de Serviços")</f>
        <v>0</v>
      </c>
      <c r="IG23" s="39">
        <f>SUMIFS(Lançamentos!$F:$F,Lançamentos!$A:$A,IG$19,Lançamentos!$C:$C,"Vendas de Serviços")</f>
        <v>0</v>
      </c>
      <c r="IH23" s="39">
        <f>SUMIFS(Lançamentos!$F:$F,Lançamentos!$A:$A,IH$19,Lançamentos!$C:$C,"Vendas de Serviços")</f>
        <v>0</v>
      </c>
      <c r="II23" s="39">
        <f>SUMIFS(Lançamentos!$F:$F,Lançamentos!$A:$A,II$19,Lançamentos!$C:$C,"Vendas de Serviços")</f>
        <v>0</v>
      </c>
      <c r="IJ23" s="39">
        <f>SUMIFS(Lançamentos!$F:$F,Lançamentos!$A:$A,IJ$19,Lançamentos!$C:$C,"Vendas de Serviços")</f>
        <v>0</v>
      </c>
      <c r="IK23" s="39">
        <f>SUMIFS(Lançamentos!$F:$F,Lançamentos!$A:$A,IK$19,Lançamentos!$C:$C,"Vendas de Serviços")</f>
        <v>0</v>
      </c>
      <c r="IL23" s="39">
        <f>SUMIFS(Lançamentos!$F:$F,Lançamentos!$A:$A,IL$19,Lançamentos!$C:$C,"Vendas de Serviços")</f>
        <v>0</v>
      </c>
    </row>
    <row r="24" spans="1:246" x14ac:dyDescent="0.3">
      <c r="A24" t="s">
        <v>7</v>
      </c>
      <c r="B24" s="39">
        <f>SUMIFS(Lançamentos!$F:$F,Lançamentos!$A:$A,B$19,Lançamentos!$C:$C,"Outras Receitas")</f>
        <v>0</v>
      </c>
      <c r="C24" s="39">
        <f>SUMIFS(Lançamentos!$F:$F,Lançamentos!$A:$A,C$19,Lançamentos!$C:$C,"Outras Receitas")</f>
        <v>0</v>
      </c>
      <c r="D24" s="39">
        <f>SUMIFS(Lançamentos!$F:$F,Lançamentos!$A:$A,D$19,Lançamentos!$C:$C,"Outras Receitas")</f>
        <v>0</v>
      </c>
      <c r="E24" s="39">
        <f>SUMIFS(Lançamentos!$F:$F,Lançamentos!$A:$A,E$19,Lançamentos!$C:$C,"Outras Receitas")</f>
        <v>0</v>
      </c>
      <c r="F24" s="39">
        <f>SUMIFS(Lançamentos!$F:$F,Lançamentos!$A:$A,F$19,Lançamentos!$C:$C,"Outras Receitas")</f>
        <v>0</v>
      </c>
      <c r="G24" s="39">
        <f>SUMIFS(Lançamentos!$F:$F,Lançamentos!$A:$A,G$19,Lançamentos!$C:$C,"Outras Receitas")</f>
        <v>0</v>
      </c>
      <c r="H24" s="39">
        <f>SUMIFS(Lançamentos!$F:$F,Lançamentos!$A:$A,H$19,Lançamentos!$C:$C,"Outras Receitas")</f>
        <v>0</v>
      </c>
      <c r="I24" s="39">
        <f>SUMIFS(Lançamentos!$F:$F,Lançamentos!$A:$A,I$19,Lançamentos!$C:$C,"Outras Receitas")</f>
        <v>0</v>
      </c>
      <c r="J24" s="39">
        <f>SUMIFS(Lançamentos!$F:$F,Lançamentos!$A:$A,J$19,Lançamentos!$C:$C,"Outras Receitas")</f>
        <v>0</v>
      </c>
      <c r="K24" s="39">
        <f>SUMIFS(Lançamentos!$F:$F,Lançamentos!$A:$A,K$19,Lançamentos!$C:$C,"Outras Receitas")</f>
        <v>0</v>
      </c>
      <c r="L24" s="39">
        <f>SUMIFS(Lançamentos!$F:$F,Lançamentos!$A:$A,L$19,Lançamentos!$C:$C,"Outras Receitas")</f>
        <v>0</v>
      </c>
      <c r="M24" s="39">
        <f>SUMIFS(Lançamentos!$F:$F,Lançamentos!$A:$A,M$19,Lançamentos!$C:$C,"Outras Receitas")</f>
        <v>0</v>
      </c>
      <c r="N24" s="39">
        <f>SUMIFS(Lançamentos!$F:$F,Lançamentos!$A:$A,N$19,Lançamentos!$C:$C,"Outras Receitas")</f>
        <v>0</v>
      </c>
      <c r="O24" s="39">
        <f>SUMIFS(Lançamentos!$F:$F,Lançamentos!$A:$A,O$19,Lançamentos!$C:$C,"Outras Receitas")</f>
        <v>0</v>
      </c>
      <c r="P24" s="39">
        <f>SUMIFS(Lançamentos!$F:$F,Lançamentos!$A:$A,P$19,Lançamentos!$C:$C,"Outras Receitas")</f>
        <v>0</v>
      </c>
      <c r="Q24" s="39">
        <f>SUMIFS(Lançamentos!$F:$F,Lançamentos!$A:$A,Q$19,Lançamentos!$C:$C,"Outras Receitas")</f>
        <v>0</v>
      </c>
      <c r="R24" s="39">
        <f>SUMIFS(Lançamentos!$F:$F,Lançamentos!$A:$A,R$19,Lançamentos!$C:$C,"Outras Receitas")</f>
        <v>0</v>
      </c>
      <c r="S24" s="39">
        <f>SUMIFS(Lançamentos!$F:$F,Lançamentos!$A:$A,S$19,Lançamentos!$C:$C,"Outras Receitas")</f>
        <v>0</v>
      </c>
      <c r="T24" s="39">
        <f>SUMIFS(Lançamentos!$F:$F,Lançamentos!$A:$A,T$19,Lançamentos!$C:$C,"Outras Receitas")</f>
        <v>0</v>
      </c>
      <c r="U24" s="39">
        <f>SUMIFS(Lançamentos!$F:$F,Lançamentos!$A:$A,U$19,Lançamentos!$C:$C,"Outras Receitas")</f>
        <v>0</v>
      </c>
      <c r="V24" s="39">
        <f>SUMIFS(Lançamentos!$F:$F,Lançamentos!$A:$A,V$19,Lançamentos!$C:$C,"Outras Receitas")</f>
        <v>0</v>
      </c>
      <c r="W24" s="39">
        <f>SUMIFS(Lançamentos!$F:$F,Lançamentos!$A:$A,W$19,Lançamentos!$C:$C,"Outras Receitas")</f>
        <v>0</v>
      </c>
      <c r="X24" s="39">
        <f>SUMIFS(Lançamentos!$F:$F,Lançamentos!$A:$A,X$19,Lançamentos!$C:$C,"Outras Receitas")</f>
        <v>0</v>
      </c>
      <c r="Y24" s="39">
        <f>SUMIFS(Lançamentos!$F:$F,Lançamentos!$A:$A,Y$19,Lançamentos!$C:$C,"Outras Receitas")</f>
        <v>0</v>
      </c>
      <c r="Z24" s="39">
        <f>SUMIFS(Lançamentos!$F:$F,Lançamentos!$A:$A,Z$19,Lançamentos!$C:$C,"Outras Receitas")</f>
        <v>0</v>
      </c>
      <c r="AA24" s="39">
        <f>SUMIFS(Lançamentos!$F:$F,Lançamentos!$A:$A,AA$19,Lançamentos!$C:$C,"Outras Receitas")</f>
        <v>0</v>
      </c>
      <c r="AB24" s="39">
        <f>SUMIFS(Lançamentos!$F:$F,Lançamentos!$A:$A,AB$19,Lançamentos!$C:$C,"Outras Receitas")</f>
        <v>0</v>
      </c>
      <c r="AC24" s="39">
        <f>SUMIFS(Lançamentos!$F:$F,Lançamentos!$A:$A,AC$19,Lançamentos!$C:$C,"Outras Receitas")</f>
        <v>0</v>
      </c>
      <c r="AD24" s="39">
        <f>SUMIFS(Lançamentos!$F:$F,Lançamentos!$A:$A,AD$19,Lançamentos!$C:$C,"Outras Receitas")</f>
        <v>0</v>
      </c>
      <c r="AE24" s="39">
        <f>SUMIFS(Lançamentos!$F:$F,Lançamentos!$A:$A,AE$19,Lançamentos!$C:$C,"Outras Receitas")</f>
        <v>0</v>
      </c>
      <c r="AF24" s="39">
        <f>SUMIFS(Lançamentos!$F:$F,Lançamentos!$A:$A,AF$19,Lançamentos!$C:$C,"Outras Receitas")</f>
        <v>0</v>
      </c>
      <c r="AG24" s="39">
        <f>SUMIFS(Lançamentos!$F:$F,Lançamentos!$A:$A,AG$19,Lançamentos!$C:$C,"Outras Receitas")</f>
        <v>0</v>
      </c>
      <c r="AH24" s="39">
        <f>SUMIFS(Lançamentos!$F:$F,Lançamentos!$A:$A,AH$19,Lançamentos!$C:$C,"Outras Receitas")</f>
        <v>0</v>
      </c>
      <c r="AI24" s="39">
        <f>SUMIFS(Lançamentos!$F:$F,Lançamentos!$A:$A,AI$19,Lançamentos!$C:$C,"Outras Receitas")</f>
        <v>0</v>
      </c>
      <c r="AJ24" s="39">
        <f>SUMIFS(Lançamentos!$F:$F,Lançamentos!$A:$A,AJ$19,Lançamentos!$C:$C,"Outras Receitas")</f>
        <v>0</v>
      </c>
      <c r="AK24" s="39">
        <f>SUMIFS(Lançamentos!$F:$F,Lançamentos!$A:$A,AK$19,Lançamentos!$C:$C,"Outras Receitas")</f>
        <v>0</v>
      </c>
      <c r="AL24" s="39">
        <f>SUMIFS(Lançamentos!$F:$F,Lançamentos!$A:$A,AL$19,Lançamentos!$C:$C,"Outras Receitas")</f>
        <v>0</v>
      </c>
      <c r="AM24" s="39">
        <f>SUMIFS(Lançamentos!$F:$F,Lançamentos!$A:$A,AM$19,Lançamentos!$C:$C,"Outras Receitas")</f>
        <v>0</v>
      </c>
      <c r="AN24" s="39">
        <f>SUMIFS(Lançamentos!$F:$F,Lançamentos!$A:$A,AN$19,Lançamentos!$C:$C,"Outras Receitas")</f>
        <v>0</v>
      </c>
      <c r="AO24" s="39">
        <f>SUMIFS(Lançamentos!$F:$F,Lançamentos!$A:$A,AO$19,Lançamentos!$C:$C,"Outras Receitas")</f>
        <v>0</v>
      </c>
      <c r="AP24" s="39">
        <f>SUMIFS(Lançamentos!$F:$F,Lançamentos!$A:$A,AP$19,Lançamentos!$C:$C,"Outras Receitas")</f>
        <v>0</v>
      </c>
      <c r="AQ24" s="39">
        <f>SUMIFS(Lançamentos!$F:$F,Lançamentos!$A:$A,AQ$19,Lançamentos!$C:$C,"Outras Receitas")</f>
        <v>0</v>
      </c>
      <c r="AR24" s="39">
        <f>SUMIFS(Lançamentos!$F:$F,Lançamentos!$A:$A,AR$19,Lançamentos!$C:$C,"Outras Receitas")</f>
        <v>0</v>
      </c>
      <c r="AS24" s="39">
        <f>SUMIFS(Lançamentos!$F:$F,Lançamentos!$A:$A,AS$19,Lançamentos!$C:$C,"Outras Receitas")</f>
        <v>0</v>
      </c>
      <c r="AT24" s="39">
        <f>SUMIFS(Lançamentos!$F:$F,Lançamentos!$A:$A,AT$19,Lançamentos!$C:$C,"Outras Receitas")</f>
        <v>0</v>
      </c>
      <c r="AU24" s="39">
        <f>SUMIFS(Lançamentos!$F:$F,Lançamentos!$A:$A,AU$19,Lançamentos!$C:$C,"Outras Receitas")</f>
        <v>0</v>
      </c>
      <c r="AV24" s="39">
        <f>SUMIFS(Lançamentos!$F:$F,Lançamentos!$A:$A,AV$19,Lançamentos!$C:$C,"Outras Receitas")</f>
        <v>0</v>
      </c>
      <c r="AW24" s="39">
        <f>SUMIFS(Lançamentos!$F:$F,Lançamentos!$A:$A,AW$19,Lançamentos!$C:$C,"Outras Receitas")</f>
        <v>0</v>
      </c>
      <c r="AX24" s="39">
        <f>SUMIFS(Lançamentos!$F:$F,Lançamentos!$A:$A,AX$19,Lançamentos!$C:$C,"Outras Receitas")</f>
        <v>0</v>
      </c>
      <c r="AY24" s="39">
        <f>SUMIFS(Lançamentos!$F:$F,Lançamentos!$A:$A,AY$19,Lançamentos!$C:$C,"Outras Receitas")</f>
        <v>0</v>
      </c>
      <c r="AZ24" s="39">
        <f>SUMIFS(Lançamentos!$F:$F,Lançamentos!$A:$A,AZ$19,Lançamentos!$C:$C,"Outras Receitas")</f>
        <v>0</v>
      </c>
      <c r="BA24" s="39">
        <f>SUMIFS(Lançamentos!$F:$F,Lançamentos!$A:$A,BA$19,Lançamentos!$C:$C,"Outras Receitas")</f>
        <v>0</v>
      </c>
      <c r="BB24" s="39">
        <f>SUMIFS(Lançamentos!$F:$F,Lançamentos!$A:$A,BB$19,Lançamentos!$C:$C,"Outras Receitas")</f>
        <v>0</v>
      </c>
      <c r="BC24" s="39">
        <f>SUMIFS(Lançamentos!$F:$F,Lançamentos!$A:$A,BC$19,Lançamentos!$C:$C,"Outras Receitas")</f>
        <v>0</v>
      </c>
      <c r="BD24" s="39">
        <f>SUMIFS(Lançamentos!$F:$F,Lançamentos!$A:$A,BD$19,Lançamentos!$C:$C,"Outras Receitas")</f>
        <v>0</v>
      </c>
      <c r="BE24" s="39">
        <f>SUMIFS(Lançamentos!$F:$F,Lançamentos!$A:$A,BE$19,Lançamentos!$C:$C,"Outras Receitas")</f>
        <v>0</v>
      </c>
      <c r="BF24" s="39">
        <f>SUMIFS(Lançamentos!$F:$F,Lançamentos!$A:$A,BF$19,Lançamentos!$C:$C,"Outras Receitas")</f>
        <v>0</v>
      </c>
      <c r="BG24" s="39">
        <f>SUMIFS(Lançamentos!$F:$F,Lançamentos!$A:$A,BG$19,Lançamentos!$C:$C,"Outras Receitas")</f>
        <v>0</v>
      </c>
      <c r="BH24" s="39">
        <f>SUMIFS(Lançamentos!$F:$F,Lançamentos!$A:$A,BH$19,Lançamentos!$C:$C,"Outras Receitas")</f>
        <v>0</v>
      </c>
      <c r="BI24" s="39">
        <f>SUMIFS(Lançamentos!$F:$F,Lançamentos!$A:$A,BI$19,Lançamentos!$C:$C,"Outras Receitas")</f>
        <v>0</v>
      </c>
      <c r="BJ24" s="39">
        <f>SUMIFS(Lançamentos!$F:$F,Lançamentos!$A:$A,BJ$19,Lançamentos!$C:$C,"Outras Receitas")</f>
        <v>0</v>
      </c>
      <c r="BK24" s="39">
        <f>SUMIFS(Lançamentos!$F:$F,Lançamentos!$A:$A,BK$19,Lançamentos!$C:$C,"Outras Receitas")</f>
        <v>0</v>
      </c>
      <c r="BL24" s="39">
        <f>SUMIFS(Lançamentos!$F:$F,Lançamentos!$A:$A,BL$19,Lançamentos!$C:$C,"Outras Receitas")</f>
        <v>0</v>
      </c>
      <c r="BM24" s="39">
        <f>SUMIFS(Lançamentos!$F:$F,Lançamentos!$A:$A,BM$19,Lançamentos!$C:$C,"Outras Receitas")</f>
        <v>0</v>
      </c>
      <c r="BN24" s="39">
        <f>SUMIFS(Lançamentos!$F:$F,Lançamentos!$A:$A,BN$19,Lançamentos!$C:$C,"Outras Receitas")</f>
        <v>0</v>
      </c>
      <c r="BO24" s="39">
        <f>SUMIFS(Lançamentos!$F:$F,Lançamentos!$A:$A,BO$19,Lançamentos!$C:$C,"Outras Receitas")</f>
        <v>0</v>
      </c>
      <c r="BP24" s="39">
        <f>SUMIFS(Lançamentos!$F:$F,Lançamentos!$A:$A,BP$19,Lançamentos!$C:$C,"Outras Receitas")</f>
        <v>0</v>
      </c>
      <c r="BQ24" s="39">
        <f>SUMIFS(Lançamentos!$F:$F,Lançamentos!$A:$A,BQ$19,Lançamentos!$C:$C,"Outras Receitas")</f>
        <v>0</v>
      </c>
      <c r="BR24" s="39">
        <f>SUMIFS(Lançamentos!$F:$F,Lançamentos!$A:$A,BR$19,Lançamentos!$C:$C,"Outras Receitas")</f>
        <v>0</v>
      </c>
      <c r="BS24" s="39">
        <f>SUMIFS(Lançamentos!$F:$F,Lançamentos!$A:$A,BS$19,Lançamentos!$C:$C,"Outras Receitas")</f>
        <v>0</v>
      </c>
      <c r="BT24" s="39">
        <f>SUMIFS(Lançamentos!$F:$F,Lançamentos!$A:$A,BT$19,Lançamentos!$C:$C,"Outras Receitas")</f>
        <v>0</v>
      </c>
      <c r="BU24" s="39">
        <f>SUMIFS(Lançamentos!$F:$F,Lançamentos!$A:$A,BU$19,Lançamentos!$C:$C,"Outras Receitas")</f>
        <v>0</v>
      </c>
      <c r="BV24" s="39">
        <f>SUMIFS(Lançamentos!$F:$F,Lançamentos!$A:$A,BV$19,Lançamentos!$C:$C,"Outras Receitas")</f>
        <v>0</v>
      </c>
      <c r="BW24" s="39">
        <f>SUMIFS(Lançamentos!$F:$F,Lançamentos!$A:$A,BW$19,Lançamentos!$C:$C,"Outras Receitas")</f>
        <v>0</v>
      </c>
      <c r="BX24" s="39">
        <f>SUMIFS(Lançamentos!$F:$F,Lançamentos!$A:$A,BX$19,Lançamentos!$C:$C,"Outras Receitas")</f>
        <v>0</v>
      </c>
      <c r="BY24" s="39">
        <f>SUMIFS(Lançamentos!$F:$F,Lançamentos!$A:$A,BY$19,Lançamentos!$C:$C,"Outras Receitas")</f>
        <v>0</v>
      </c>
      <c r="BZ24" s="39">
        <f>SUMIFS(Lançamentos!$F:$F,Lançamentos!$A:$A,BZ$19,Lançamentos!$C:$C,"Outras Receitas")</f>
        <v>0</v>
      </c>
      <c r="CA24" s="39">
        <f>SUMIFS(Lançamentos!$F:$F,Lançamentos!$A:$A,CA$19,Lançamentos!$C:$C,"Outras Receitas")</f>
        <v>0</v>
      </c>
      <c r="CB24" s="39">
        <f>SUMIFS(Lançamentos!$F:$F,Lançamentos!$A:$A,CB$19,Lançamentos!$C:$C,"Outras Receitas")</f>
        <v>0</v>
      </c>
      <c r="CC24" s="39">
        <f>SUMIFS(Lançamentos!$F:$F,Lançamentos!$A:$A,CC$19,Lançamentos!$C:$C,"Outras Receitas")</f>
        <v>0</v>
      </c>
      <c r="CD24" s="39">
        <f>SUMIFS(Lançamentos!$F:$F,Lançamentos!$A:$A,CD$19,Lançamentos!$C:$C,"Outras Receitas")</f>
        <v>0</v>
      </c>
      <c r="CE24" s="39">
        <f>SUMIFS(Lançamentos!$F:$F,Lançamentos!$A:$A,CE$19,Lançamentos!$C:$C,"Outras Receitas")</f>
        <v>0</v>
      </c>
      <c r="CF24" s="39">
        <f>SUMIFS(Lançamentos!$F:$F,Lançamentos!$A:$A,CF$19,Lançamentos!$C:$C,"Outras Receitas")</f>
        <v>0</v>
      </c>
      <c r="CG24" s="39">
        <f>SUMIFS(Lançamentos!$F:$F,Lançamentos!$A:$A,CG$19,Lançamentos!$C:$C,"Outras Receitas")</f>
        <v>0</v>
      </c>
      <c r="CH24" s="39">
        <f>SUMIFS(Lançamentos!$F:$F,Lançamentos!$A:$A,CH$19,Lançamentos!$C:$C,"Outras Receitas")</f>
        <v>0</v>
      </c>
      <c r="CI24" s="39">
        <f>SUMIFS(Lançamentos!$F:$F,Lançamentos!$A:$A,CI$19,Lançamentos!$C:$C,"Outras Receitas")</f>
        <v>0</v>
      </c>
      <c r="CJ24" s="39">
        <f>SUMIFS(Lançamentos!$F:$F,Lançamentos!$A:$A,CJ$19,Lançamentos!$C:$C,"Outras Receitas")</f>
        <v>0</v>
      </c>
      <c r="CK24" s="39">
        <f>SUMIFS(Lançamentos!$F:$F,Lançamentos!$A:$A,CK$19,Lançamentos!$C:$C,"Outras Receitas")</f>
        <v>0</v>
      </c>
      <c r="CL24" s="39">
        <f>SUMIFS(Lançamentos!$F:$F,Lançamentos!$A:$A,CL$19,Lançamentos!$C:$C,"Outras Receitas")</f>
        <v>0</v>
      </c>
      <c r="CM24" s="39">
        <f>SUMIFS(Lançamentos!$F:$F,Lançamentos!$A:$A,CM$19,Lançamentos!$C:$C,"Outras Receitas")</f>
        <v>0</v>
      </c>
      <c r="CN24" s="39">
        <f>SUMIFS(Lançamentos!$F:$F,Lançamentos!$A:$A,CN$19,Lançamentos!$C:$C,"Outras Receitas")</f>
        <v>0</v>
      </c>
      <c r="CO24" s="39">
        <f>SUMIFS(Lançamentos!$F:$F,Lançamentos!$A:$A,CO$19,Lançamentos!$C:$C,"Outras Receitas")</f>
        <v>0</v>
      </c>
      <c r="CP24" s="39">
        <f>SUMIFS(Lançamentos!$F:$F,Lançamentos!$A:$A,CP$19,Lançamentos!$C:$C,"Outras Receitas")</f>
        <v>0</v>
      </c>
      <c r="CQ24" s="39">
        <f>SUMIFS(Lançamentos!$F:$F,Lançamentos!$A:$A,CQ$19,Lançamentos!$C:$C,"Outras Receitas")</f>
        <v>0</v>
      </c>
      <c r="CR24" s="39">
        <f>SUMIFS(Lançamentos!$F:$F,Lançamentos!$A:$A,CR$19,Lançamentos!$C:$C,"Outras Receitas")</f>
        <v>0</v>
      </c>
      <c r="CS24" s="39">
        <f>SUMIFS(Lançamentos!$F:$F,Lançamentos!$A:$A,CS$19,Lançamentos!$C:$C,"Outras Receitas")</f>
        <v>0</v>
      </c>
      <c r="CT24" s="39">
        <f>SUMIFS(Lançamentos!$F:$F,Lançamentos!$A:$A,CT$19,Lançamentos!$C:$C,"Outras Receitas")</f>
        <v>0</v>
      </c>
      <c r="CU24" s="39">
        <f>SUMIFS(Lançamentos!$F:$F,Lançamentos!$A:$A,CU$19,Lançamentos!$C:$C,"Outras Receitas")</f>
        <v>0</v>
      </c>
      <c r="CV24" s="39">
        <f>SUMIFS(Lançamentos!$F:$F,Lançamentos!$A:$A,CV$19,Lançamentos!$C:$C,"Outras Receitas")</f>
        <v>0</v>
      </c>
      <c r="CW24" s="39">
        <f>SUMIFS(Lançamentos!$F:$F,Lançamentos!$A:$A,CW$19,Lançamentos!$C:$C,"Outras Receitas")</f>
        <v>0</v>
      </c>
      <c r="CX24" s="39">
        <f>SUMIFS(Lançamentos!$F:$F,Lançamentos!$A:$A,CX$19,Lançamentos!$C:$C,"Outras Receitas")</f>
        <v>0</v>
      </c>
      <c r="CY24" s="39">
        <f>SUMIFS(Lançamentos!$F:$F,Lançamentos!$A:$A,CY$19,Lançamentos!$C:$C,"Outras Receitas")</f>
        <v>0</v>
      </c>
      <c r="CZ24" s="39">
        <f>SUMIFS(Lançamentos!$F:$F,Lançamentos!$A:$A,CZ$19,Lançamentos!$C:$C,"Outras Receitas")</f>
        <v>0</v>
      </c>
      <c r="DA24" s="39">
        <f>SUMIFS(Lançamentos!$F:$F,Lançamentos!$A:$A,DA$19,Lançamentos!$C:$C,"Outras Receitas")</f>
        <v>0</v>
      </c>
      <c r="DB24" s="39">
        <f>SUMIFS(Lançamentos!$F:$F,Lançamentos!$A:$A,DB$19,Lançamentos!$C:$C,"Outras Receitas")</f>
        <v>0</v>
      </c>
      <c r="DC24" s="39">
        <f>SUMIFS(Lançamentos!$F:$F,Lançamentos!$A:$A,DC$19,Lançamentos!$C:$C,"Outras Receitas")</f>
        <v>0</v>
      </c>
      <c r="DD24" s="39">
        <f>SUMIFS(Lançamentos!$F:$F,Lançamentos!$A:$A,DD$19,Lançamentos!$C:$C,"Outras Receitas")</f>
        <v>0</v>
      </c>
      <c r="DE24" s="39">
        <f>SUMIFS(Lançamentos!$F:$F,Lançamentos!$A:$A,DE$19,Lançamentos!$C:$C,"Outras Receitas")</f>
        <v>0</v>
      </c>
      <c r="DF24" s="39">
        <f>SUMIFS(Lançamentos!$F:$F,Lançamentos!$A:$A,DF$19,Lançamentos!$C:$C,"Outras Receitas")</f>
        <v>0</v>
      </c>
      <c r="DG24" s="39">
        <f>SUMIFS(Lançamentos!$F:$F,Lançamentos!$A:$A,DG$19,Lançamentos!$C:$C,"Outras Receitas")</f>
        <v>0</v>
      </c>
      <c r="DH24" s="39">
        <f>SUMIFS(Lançamentos!$F:$F,Lançamentos!$A:$A,DH$19,Lançamentos!$C:$C,"Outras Receitas")</f>
        <v>0</v>
      </c>
      <c r="DI24" s="39">
        <f>SUMIFS(Lançamentos!$F:$F,Lançamentos!$A:$A,DI$19,Lançamentos!$C:$C,"Outras Receitas")</f>
        <v>0</v>
      </c>
      <c r="DJ24" s="39">
        <f>SUMIFS(Lançamentos!$F:$F,Lançamentos!$A:$A,DJ$19,Lançamentos!$C:$C,"Outras Receitas")</f>
        <v>0</v>
      </c>
      <c r="DK24" s="39">
        <f>SUMIFS(Lançamentos!$F:$F,Lançamentos!$A:$A,DK$19,Lançamentos!$C:$C,"Outras Receitas")</f>
        <v>0</v>
      </c>
      <c r="DL24" s="39">
        <f>SUMIFS(Lançamentos!$F:$F,Lançamentos!$A:$A,DL$19,Lançamentos!$C:$C,"Outras Receitas")</f>
        <v>0</v>
      </c>
      <c r="DM24" s="39">
        <f>SUMIFS(Lançamentos!$F:$F,Lançamentos!$A:$A,DM$19,Lançamentos!$C:$C,"Outras Receitas")</f>
        <v>0</v>
      </c>
      <c r="DN24" s="39">
        <f>SUMIFS(Lançamentos!$F:$F,Lançamentos!$A:$A,DN$19,Lançamentos!$C:$C,"Outras Receitas")</f>
        <v>0</v>
      </c>
      <c r="DO24" s="39">
        <f>SUMIFS(Lançamentos!$F:$F,Lançamentos!$A:$A,DO$19,Lançamentos!$C:$C,"Outras Receitas")</f>
        <v>0</v>
      </c>
      <c r="DP24" s="39">
        <f>SUMIFS(Lançamentos!$F:$F,Lançamentos!$A:$A,DP$19,Lançamentos!$C:$C,"Outras Receitas")</f>
        <v>0</v>
      </c>
      <c r="DQ24" s="39">
        <f>SUMIFS(Lançamentos!$F:$F,Lançamentos!$A:$A,DQ$19,Lançamentos!$C:$C,"Outras Receitas")</f>
        <v>0</v>
      </c>
      <c r="DR24" s="39">
        <f>SUMIFS(Lançamentos!$F:$F,Lançamentos!$A:$A,DR$19,Lançamentos!$C:$C,"Outras Receitas")</f>
        <v>0</v>
      </c>
      <c r="DS24" s="39">
        <f>SUMIFS(Lançamentos!$F:$F,Lançamentos!$A:$A,DS$19,Lançamentos!$C:$C,"Outras Receitas")</f>
        <v>0</v>
      </c>
      <c r="DT24" s="39">
        <f>SUMIFS(Lançamentos!$F:$F,Lançamentos!$A:$A,DT$19,Lançamentos!$C:$C,"Outras Receitas")</f>
        <v>0</v>
      </c>
      <c r="DU24" s="39">
        <f>SUMIFS(Lançamentos!$F:$F,Lançamentos!$A:$A,DU$19,Lançamentos!$C:$C,"Outras Receitas")</f>
        <v>0</v>
      </c>
      <c r="DV24" s="39">
        <f>SUMIFS(Lançamentos!$F:$F,Lançamentos!$A:$A,DV$19,Lançamentos!$C:$C,"Outras Receitas")</f>
        <v>0</v>
      </c>
      <c r="DW24" s="39">
        <f>SUMIFS(Lançamentos!$F:$F,Lançamentos!$A:$A,DW$19,Lançamentos!$C:$C,"Outras Receitas")</f>
        <v>0</v>
      </c>
      <c r="DX24" s="39">
        <f>SUMIFS(Lançamentos!$F:$F,Lançamentos!$A:$A,DX$19,Lançamentos!$C:$C,"Outras Receitas")</f>
        <v>0</v>
      </c>
      <c r="DY24" s="39">
        <f>SUMIFS(Lançamentos!$F:$F,Lançamentos!$A:$A,DY$19,Lançamentos!$C:$C,"Outras Receitas")</f>
        <v>0</v>
      </c>
      <c r="DZ24" s="39">
        <f>SUMIFS(Lançamentos!$F:$F,Lançamentos!$A:$A,DZ$19,Lançamentos!$C:$C,"Outras Receitas")</f>
        <v>0</v>
      </c>
      <c r="EA24" s="39">
        <f>SUMIFS(Lançamentos!$F:$F,Lançamentos!$A:$A,EA$19,Lançamentos!$C:$C,"Outras Receitas")</f>
        <v>0</v>
      </c>
      <c r="EB24" s="39">
        <f>SUMIFS(Lançamentos!$F:$F,Lançamentos!$A:$A,EB$19,Lançamentos!$C:$C,"Outras Receitas")</f>
        <v>0</v>
      </c>
      <c r="EC24" s="39">
        <f>SUMIFS(Lançamentos!$F:$F,Lançamentos!$A:$A,EC$19,Lançamentos!$C:$C,"Outras Receitas")</f>
        <v>0</v>
      </c>
      <c r="ED24" s="39">
        <f>SUMIFS(Lançamentos!$F:$F,Lançamentos!$A:$A,ED$19,Lançamentos!$C:$C,"Outras Receitas")</f>
        <v>0</v>
      </c>
      <c r="EE24" s="39">
        <f>SUMIFS(Lançamentos!$F:$F,Lançamentos!$A:$A,EE$19,Lançamentos!$C:$C,"Outras Receitas")</f>
        <v>0</v>
      </c>
      <c r="EF24" s="39">
        <f>SUMIFS(Lançamentos!$F:$F,Lançamentos!$A:$A,EF$19,Lançamentos!$C:$C,"Outras Receitas")</f>
        <v>0</v>
      </c>
      <c r="EG24" s="39">
        <f>SUMIFS(Lançamentos!$F:$F,Lançamentos!$A:$A,EG$19,Lançamentos!$C:$C,"Outras Receitas")</f>
        <v>0</v>
      </c>
      <c r="EH24" s="39">
        <f>SUMIFS(Lançamentos!$F:$F,Lançamentos!$A:$A,EH$19,Lançamentos!$C:$C,"Outras Receitas")</f>
        <v>0</v>
      </c>
      <c r="EI24" s="39">
        <f>SUMIFS(Lançamentos!$F:$F,Lançamentos!$A:$A,EI$19,Lançamentos!$C:$C,"Outras Receitas")</f>
        <v>0</v>
      </c>
      <c r="EJ24" s="39">
        <f>SUMIFS(Lançamentos!$F:$F,Lançamentos!$A:$A,EJ$19,Lançamentos!$C:$C,"Outras Receitas")</f>
        <v>0</v>
      </c>
      <c r="EK24" s="39">
        <f>SUMIFS(Lançamentos!$F:$F,Lançamentos!$A:$A,EK$19,Lançamentos!$C:$C,"Outras Receitas")</f>
        <v>0</v>
      </c>
      <c r="EL24" s="39">
        <f>SUMIFS(Lançamentos!$F:$F,Lançamentos!$A:$A,EL$19,Lançamentos!$C:$C,"Outras Receitas")</f>
        <v>0</v>
      </c>
      <c r="EM24" s="39">
        <f>SUMIFS(Lançamentos!$F:$F,Lançamentos!$A:$A,EM$19,Lançamentos!$C:$C,"Outras Receitas")</f>
        <v>0</v>
      </c>
      <c r="EN24" s="39">
        <f>SUMIFS(Lançamentos!$F:$F,Lançamentos!$A:$A,EN$19,Lançamentos!$C:$C,"Outras Receitas")</f>
        <v>0</v>
      </c>
      <c r="EO24" s="39">
        <f>SUMIFS(Lançamentos!$F:$F,Lançamentos!$A:$A,EO$19,Lançamentos!$C:$C,"Outras Receitas")</f>
        <v>0</v>
      </c>
      <c r="EP24" s="39">
        <f>SUMIFS(Lançamentos!$F:$F,Lançamentos!$A:$A,EP$19,Lançamentos!$C:$C,"Outras Receitas")</f>
        <v>0</v>
      </c>
      <c r="EQ24" s="39">
        <f>SUMIFS(Lançamentos!$F:$F,Lançamentos!$A:$A,EQ$19,Lançamentos!$C:$C,"Outras Receitas")</f>
        <v>0</v>
      </c>
      <c r="ER24" s="39">
        <f>SUMIFS(Lançamentos!$F:$F,Lançamentos!$A:$A,ER$19,Lançamentos!$C:$C,"Outras Receitas")</f>
        <v>0</v>
      </c>
      <c r="ES24" s="39">
        <f>SUMIFS(Lançamentos!$F:$F,Lançamentos!$A:$A,ES$19,Lançamentos!$C:$C,"Outras Receitas")</f>
        <v>0</v>
      </c>
      <c r="ET24" s="39">
        <f>SUMIFS(Lançamentos!$F:$F,Lançamentos!$A:$A,ET$19,Lançamentos!$C:$C,"Outras Receitas")</f>
        <v>0</v>
      </c>
      <c r="EU24" s="39">
        <f>SUMIFS(Lançamentos!$F:$F,Lançamentos!$A:$A,EU$19,Lançamentos!$C:$C,"Outras Receitas")</f>
        <v>0</v>
      </c>
      <c r="EV24" s="39">
        <f>SUMIFS(Lançamentos!$F:$F,Lançamentos!$A:$A,EV$19,Lançamentos!$C:$C,"Outras Receitas")</f>
        <v>0</v>
      </c>
      <c r="EW24" s="39">
        <f>SUMIFS(Lançamentos!$F:$F,Lançamentos!$A:$A,EW$19,Lançamentos!$C:$C,"Outras Receitas")</f>
        <v>0</v>
      </c>
      <c r="EX24" s="39">
        <f>SUMIFS(Lançamentos!$F:$F,Lançamentos!$A:$A,EX$19,Lançamentos!$C:$C,"Outras Receitas")</f>
        <v>0</v>
      </c>
      <c r="EY24" s="39">
        <f>SUMIFS(Lançamentos!$F:$F,Lançamentos!$A:$A,EY$19,Lançamentos!$C:$C,"Outras Receitas")</f>
        <v>0</v>
      </c>
      <c r="EZ24" s="39">
        <f>SUMIFS(Lançamentos!$F:$F,Lançamentos!$A:$A,EZ$19,Lançamentos!$C:$C,"Outras Receitas")</f>
        <v>0</v>
      </c>
      <c r="FA24" s="39">
        <f>SUMIFS(Lançamentos!$F:$F,Lançamentos!$A:$A,FA$19,Lançamentos!$C:$C,"Outras Receitas")</f>
        <v>0</v>
      </c>
      <c r="FB24" s="39">
        <f>SUMIFS(Lançamentos!$F:$F,Lançamentos!$A:$A,FB$19,Lançamentos!$C:$C,"Outras Receitas")</f>
        <v>0</v>
      </c>
      <c r="FC24" s="39">
        <f>SUMIFS(Lançamentos!$F:$F,Lançamentos!$A:$A,FC$19,Lançamentos!$C:$C,"Outras Receitas")</f>
        <v>0</v>
      </c>
      <c r="FD24" s="39">
        <f>SUMIFS(Lançamentos!$F:$F,Lançamentos!$A:$A,FD$19,Lançamentos!$C:$C,"Outras Receitas")</f>
        <v>0</v>
      </c>
      <c r="FE24" s="39">
        <f>SUMIFS(Lançamentos!$F:$F,Lançamentos!$A:$A,FE$19,Lançamentos!$C:$C,"Outras Receitas")</f>
        <v>0</v>
      </c>
      <c r="FF24" s="39">
        <f>SUMIFS(Lançamentos!$F:$F,Lançamentos!$A:$A,FF$19,Lançamentos!$C:$C,"Outras Receitas")</f>
        <v>0</v>
      </c>
      <c r="FG24" s="39">
        <f>SUMIFS(Lançamentos!$F:$F,Lançamentos!$A:$A,FG$19,Lançamentos!$C:$C,"Outras Receitas")</f>
        <v>0</v>
      </c>
      <c r="FH24" s="39">
        <f>SUMIFS(Lançamentos!$F:$F,Lançamentos!$A:$A,FH$19,Lançamentos!$C:$C,"Outras Receitas")</f>
        <v>0</v>
      </c>
      <c r="FI24" s="39">
        <f>SUMIFS(Lançamentos!$F:$F,Lançamentos!$A:$A,FI$19,Lançamentos!$C:$C,"Outras Receitas")</f>
        <v>0</v>
      </c>
      <c r="FJ24" s="39">
        <f>SUMIFS(Lançamentos!$F:$F,Lançamentos!$A:$A,FJ$19,Lançamentos!$C:$C,"Outras Receitas")</f>
        <v>0</v>
      </c>
      <c r="FK24" s="39">
        <f>SUMIFS(Lançamentos!$F:$F,Lançamentos!$A:$A,FK$19,Lançamentos!$C:$C,"Outras Receitas")</f>
        <v>0</v>
      </c>
      <c r="FL24" s="39">
        <f>SUMIFS(Lançamentos!$F:$F,Lançamentos!$A:$A,FL$19,Lançamentos!$C:$C,"Outras Receitas")</f>
        <v>0</v>
      </c>
      <c r="FM24" s="39">
        <f>SUMIFS(Lançamentos!$F:$F,Lançamentos!$A:$A,FM$19,Lançamentos!$C:$C,"Outras Receitas")</f>
        <v>0</v>
      </c>
      <c r="FN24" s="39">
        <f>SUMIFS(Lançamentos!$F:$F,Lançamentos!$A:$A,FN$19,Lançamentos!$C:$C,"Outras Receitas")</f>
        <v>0</v>
      </c>
      <c r="FO24" s="39">
        <f>SUMIFS(Lançamentos!$F:$F,Lançamentos!$A:$A,FO$19,Lançamentos!$C:$C,"Outras Receitas")</f>
        <v>0</v>
      </c>
      <c r="FP24" s="39">
        <f>SUMIFS(Lançamentos!$F:$F,Lançamentos!$A:$A,FP$19,Lançamentos!$C:$C,"Outras Receitas")</f>
        <v>0</v>
      </c>
      <c r="FQ24" s="39">
        <f>SUMIFS(Lançamentos!$F:$F,Lançamentos!$A:$A,FQ$19,Lançamentos!$C:$C,"Outras Receitas")</f>
        <v>0</v>
      </c>
      <c r="FR24" s="39">
        <f>SUMIFS(Lançamentos!$F:$F,Lançamentos!$A:$A,FR$19,Lançamentos!$C:$C,"Outras Receitas")</f>
        <v>0</v>
      </c>
      <c r="FS24" s="39">
        <f>SUMIFS(Lançamentos!$F:$F,Lançamentos!$A:$A,FS$19,Lançamentos!$C:$C,"Outras Receitas")</f>
        <v>0</v>
      </c>
      <c r="FT24" s="39">
        <f>SUMIFS(Lançamentos!$F:$F,Lançamentos!$A:$A,FT$19,Lançamentos!$C:$C,"Outras Receitas")</f>
        <v>0</v>
      </c>
      <c r="FU24" s="39">
        <f>SUMIFS(Lançamentos!$F:$F,Lançamentos!$A:$A,FU$19,Lançamentos!$C:$C,"Outras Receitas")</f>
        <v>0</v>
      </c>
      <c r="FV24" s="39">
        <f>SUMIFS(Lançamentos!$F:$F,Lançamentos!$A:$A,FV$19,Lançamentos!$C:$C,"Outras Receitas")</f>
        <v>0</v>
      </c>
      <c r="FW24" s="39">
        <f>SUMIFS(Lançamentos!$F:$F,Lançamentos!$A:$A,FW$19,Lançamentos!$C:$C,"Outras Receitas")</f>
        <v>0</v>
      </c>
      <c r="FX24" s="39">
        <f>SUMIFS(Lançamentos!$F:$F,Lançamentos!$A:$A,FX$19,Lançamentos!$C:$C,"Outras Receitas")</f>
        <v>0</v>
      </c>
      <c r="FY24" s="39">
        <f>SUMIFS(Lançamentos!$F:$F,Lançamentos!$A:$A,FY$19,Lançamentos!$C:$C,"Outras Receitas")</f>
        <v>0</v>
      </c>
      <c r="FZ24" s="39">
        <f>SUMIFS(Lançamentos!$F:$F,Lançamentos!$A:$A,FZ$19,Lançamentos!$C:$C,"Outras Receitas")</f>
        <v>0</v>
      </c>
      <c r="GA24" s="39">
        <f>SUMIFS(Lançamentos!$F:$F,Lançamentos!$A:$A,GA$19,Lançamentos!$C:$C,"Outras Receitas")</f>
        <v>0</v>
      </c>
      <c r="GB24" s="39">
        <f>SUMIFS(Lançamentos!$F:$F,Lançamentos!$A:$A,GB$19,Lançamentos!$C:$C,"Outras Receitas")</f>
        <v>0</v>
      </c>
      <c r="GC24" s="39">
        <f>SUMIFS(Lançamentos!$F:$F,Lançamentos!$A:$A,GC$19,Lançamentos!$C:$C,"Outras Receitas")</f>
        <v>0</v>
      </c>
      <c r="GD24" s="39">
        <f>SUMIFS(Lançamentos!$F:$F,Lançamentos!$A:$A,GD$19,Lançamentos!$C:$C,"Outras Receitas")</f>
        <v>0</v>
      </c>
      <c r="GE24" s="39">
        <f>SUMIFS(Lançamentos!$F:$F,Lançamentos!$A:$A,GE$19,Lançamentos!$C:$C,"Outras Receitas")</f>
        <v>0</v>
      </c>
      <c r="GF24" s="39">
        <f>SUMIFS(Lançamentos!$F:$F,Lançamentos!$A:$A,GF$19,Lançamentos!$C:$C,"Outras Receitas")</f>
        <v>0</v>
      </c>
      <c r="GG24" s="39">
        <f>SUMIFS(Lançamentos!$F:$F,Lançamentos!$A:$A,GG$19,Lançamentos!$C:$C,"Outras Receitas")</f>
        <v>0</v>
      </c>
      <c r="GH24" s="39">
        <f>SUMIFS(Lançamentos!$F:$F,Lançamentos!$A:$A,GH$19,Lançamentos!$C:$C,"Outras Receitas")</f>
        <v>0</v>
      </c>
      <c r="GI24" s="39">
        <f>SUMIFS(Lançamentos!$F:$F,Lançamentos!$A:$A,GI$19,Lançamentos!$C:$C,"Outras Receitas")</f>
        <v>0</v>
      </c>
      <c r="GJ24" s="39">
        <f>SUMIFS(Lançamentos!$F:$F,Lançamentos!$A:$A,GJ$19,Lançamentos!$C:$C,"Outras Receitas")</f>
        <v>0</v>
      </c>
      <c r="GK24" s="39">
        <f>SUMIFS(Lançamentos!$F:$F,Lançamentos!$A:$A,GK$19,Lançamentos!$C:$C,"Outras Receitas")</f>
        <v>0</v>
      </c>
      <c r="GL24" s="39">
        <f>SUMIFS(Lançamentos!$F:$F,Lançamentos!$A:$A,GL$19,Lançamentos!$C:$C,"Outras Receitas")</f>
        <v>0</v>
      </c>
      <c r="GM24" s="39">
        <f>SUMIFS(Lançamentos!$F:$F,Lançamentos!$A:$A,GM$19,Lançamentos!$C:$C,"Outras Receitas")</f>
        <v>0</v>
      </c>
      <c r="GN24" s="39">
        <f>SUMIFS(Lançamentos!$F:$F,Lançamentos!$A:$A,GN$19,Lançamentos!$C:$C,"Outras Receitas")</f>
        <v>0</v>
      </c>
      <c r="GO24" s="39">
        <f>SUMIFS(Lançamentos!$F:$F,Lançamentos!$A:$A,GO$19,Lançamentos!$C:$C,"Outras Receitas")</f>
        <v>0</v>
      </c>
      <c r="GP24" s="39">
        <f>SUMIFS(Lançamentos!$F:$F,Lançamentos!$A:$A,GP$19,Lançamentos!$C:$C,"Outras Receitas")</f>
        <v>0</v>
      </c>
      <c r="GQ24" s="39">
        <f>SUMIFS(Lançamentos!$F:$F,Lançamentos!$A:$A,GQ$19,Lançamentos!$C:$C,"Outras Receitas")</f>
        <v>0</v>
      </c>
      <c r="GR24" s="39">
        <f>SUMIFS(Lançamentos!$F:$F,Lançamentos!$A:$A,GR$19,Lançamentos!$C:$C,"Outras Receitas")</f>
        <v>0</v>
      </c>
      <c r="GS24" s="39">
        <f>SUMIFS(Lançamentos!$F:$F,Lançamentos!$A:$A,GS$19,Lançamentos!$C:$C,"Outras Receitas")</f>
        <v>0</v>
      </c>
      <c r="GT24" s="39">
        <f>SUMIFS(Lançamentos!$F:$F,Lançamentos!$A:$A,GT$19,Lançamentos!$C:$C,"Outras Receitas")</f>
        <v>0</v>
      </c>
      <c r="GU24" s="39">
        <f>SUMIFS(Lançamentos!$F:$F,Lançamentos!$A:$A,GU$19,Lançamentos!$C:$C,"Outras Receitas")</f>
        <v>0</v>
      </c>
      <c r="GV24" s="39">
        <f>SUMIFS(Lançamentos!$F:$F,Lançamentos!$A:$A,GV$19,Lançamentos!$C:$C,"Outras Receitas")</f>
        <v>0</v>
      </c>
      <c r="GW24" s="39">
        <f>SUMIFS(Lançamentos!$F:$F,Lançamentos!$A:$A,GW$19,Lançamentos!$C:$C,"Outras Receitas")</f>
        <v>0</v>
      </c>
      <c r="GX24" s="39">
        <f>SUMIFS(Lançamentos!$F:$F,Lançamentos!$A:$A,GX$19,Lançamentos!$C:$C,"Outras Receitas")</f>
        <v>0</v>
      </c>
      <c r="GY24" s="39">
        <f>SUMIFS(Lançamentos!$F:$F,Lançamentos!$A:$A,GY$19,Lançamentos!$C:$C,"Outras Receitas")</f>
        <v>0</v>
      </c>
      <c r="GZ24" s="39">
        <f>SUMIFS(Lançamentos!$F:$F,Lançamentos!$A:$A,GZ$19,Lançamentos!$C:$C,"Outras Receitas")</f>
        <v>0</v>
      </c>
      <c r="HA24" s="39">
        <f>SUMIFS(Lançamentos!$F:$F,Lançamentos!$A:$A,HA$19,Lançamentos!$C:$C,"Outras Receitas")</f>
        <v>0</v>
      </c>
      <c r="HB24" s="39">
        <f>SUMIFS(Lançamentos!$F:$F,Lançamentos!$A:$A,HB$19,Lançamentos!$C:$C,"Outras Receitas")</f>
        <v>0</v>
      </c>
      <c r="HC24" s="39">
        <f>SUMIFS(Lançamentos!$F:$F,Lançamentos!$A:$A,HC$19,Lançamentos!$C:$C,"Outras Receitas")</f>
        <v>0</v>
      </c>
      <c r="HD24" s="39">
        <f>SUMIFS(Lançamentos!$F:$F,Lançamentos!$A:$A,HD$19,Lançamentos!$C:$C,"Outras Receitas")</f>
        <v>0</v>
      </c>
      <c r="HE24" s="39">
        <f>SUMIFS(Lançamentos!$F:$F,Lançamentos!$A:$A,HE$19,Lançamentos!$C:$C,"Outras Receitas")</f>
        <v>0</v>
      </c>
      <c r="HF24" s="39">
        <f>SUMIFS(Lançamentos!$F:$F,Lançamentos!$A:$A,HF$19,Lançamentos!$C:$C,"Outras Receitas")</f>
        <v>0</v>
      </c>
      <c r="HG24" s="39">
        <f>SUMIFS(Lançamentos!$F:$F,Lançamentos!$A:$A,HG$19,Lançamentos!$C:$C,"Outras Receitas")</f>
        <v>0</v>
      </c>
      <c r="HH24" s="39">
        <f>SUMIFS(Lançamentos!$F:$F,Lançamentos!$A:$A,HH$19,Lançamentos!$C:$C,"Outras Receitas")</f>
        <v>0</v>
      </c>
      <c r="HI24" s="39">
        <f>SUMIFS(Lançamentos!$F:$F,Lançamentos!$A:$A,HI$19,Lançamentos!$C:$C,"Outras Receitas")</f>
        <v>0</v>
      </c>
      <c r="HJ24" s="39">
        <f>SUMIFS(Lançamentos!$F:$F,Lançamentos!$A:$A,HJ$19,Lançamentos!$C:$C,"Outras Receitas")</f>
        <v>0</v>
      </c>
      <c r="HK24" s="39">
        <f>SUMIFS(Lançamentos!$F:$F,Lançamentos!$A:$A,HK$19,Lançamentos!$C:$C,"Outras Receitas")</f>
        <v>0</v>
      </c>
      <c r="HL24" s="39">
        <f>SUMIFS(Lançamentos!$F:$F,Lançamentos!$A:$A,HL$19,Lançamentos!$C:$C,"Outras Receitas")</f>
        <v>0</v>
      </c>
      <c r="HM24" s="39">
        <f>SUMIFS(Lançamentos!$F:$F,Lançamentos!$A:$A,HM$19,Lançamentos!$C:$C,"Outras Receitas")</f>
        <v>0</v>
      </c>
      <c r="HN24" s="39">
        <f>SUMIFS(Lançamentos!$F:$F,Lançamentos!$A:$A,HN$19,Lançamentos!$C:$C,"Outras Receitas")</f>
        <v>0</v>
      </c>
      <c r="HO24" s="39">
        <f>SUMIFS(Lançamentos!$F:$F,Lançamentos!$A:$A,HO$19,Lançamentos!$C:$C,"Outras Receitas")</f>
        <v>0</v>
      </c>
      <c r="HP24" s="39">
        <f>SUMIFS(Lançamentos!$F:$F,Lançamentos!$A:$A,HP$19,Lançamentos!$C:$C,"Outras Receitas")</f>
        <v>0</v>
      </c>
      <c r="HQ24" s="39">
        <f>SUMIFS(Lançamentos!$F:$F,Lançamentos!$A:$A,HQ$19,Lançamentos!$C:$C,"Outras Receitas")</f>
        <v>0</v>
      </c>
      <c r="HR24" s="39">
        <f>SUMIFS(Lançamentos!$F:$F,Lançamentos!$A:$A,HR$19,Lançamentos!$C:$C,"Outras Receitas")</f>
        <v>0</v>
      </c>
      <c r="HS24" s="39">
        <f>SUMIFS(Lançamentos!$F:$F,Lançamentos!$A:$A,HS$19,Lançamentos!$C:$C,"Outras Receitas")</f>
        <v>0</v>
      </c>
      <c r="HT24" s="39">
        <f>SUMIFS(Lançamentos!$F:$F,Lançamentos!$A:$A,HT$19,Lançamentos!$C:$C,"Outras Receitas")</f>
        <v>0</v>
      </c>
      <c r="HU24" s="39">
        <f>SUMIFS(Lançamentos!$F:$F,Lançamentos!$A:$A,HU$19,Lançamentos!$C:$C,"Outras Receitas")</f>
        <v>0</v>
      </c>
      <c r="HV24" s="39">
        <f>SUMIFS(Lançamentos!$F:$F,Lançamentos!$A:$A,HV$19,Lançamentos!$C:$C,"Outras Receitas")</f>
        <v>0</v>
      </c>
      <c r="HW24" s="39">
        <f>SUMIFS(Lançamentos!$F:$F,Lançamentos!$A:$A,HW$19,Lançamentos!$C:$C,"Outras Receitas")</f>
        <v>0</v>
      </c>
      <c r="HX24" s="39">
        <f>SUMIFS(Lançamentos!$F:$F,Lançamentos!$A:$A,HX$19,Lançamentos!$C:$C,"Outras Receitas")</f>
        <v>0</v>
      </c>
      <c r="HY24" s="39">
        <f>SUMIFS(Lançamentos!$F:$F,Lançamentos!$A:$A,HY$19,Lançamentos!$C:$C,"Outras Receitas")</f>
        <v>0</v>
      </c>
      <c r="HZ24" s="39">
        <f>SUMIFS(Lançamentos!$F:$F,Lançamentos!$A:$A,HZ$19,Lançamentos!$C:$C,"Outras Receitas")</f>
        <v>0</v>
      </c>
      <c r="IA24" s="39">
        <f>SUMIFS(Lançamentos!$F:$F,Lançamentos!$A:$A,IA$19,Lançamentos!$C:$C,"Outras Receitas")</f>
        <v>0</v>
      </c>
      <c r="IB24" s="39">
        <f>SUMIFS(Lançamentos!$F:$F,Lançamentos!$A:$A,IB$19,Lançamentos!$C:$C,"Outras Receitas")</f>
        <v>0</v>
      </c>
      <c r="IC24" s="39">
        <f>SUMIFS(Lançamentos!$F:$F,Lançamentos!$A:$A,IC$19,Lançamentos!$C:$C,"Outras Receitas")</f>
        <v>0</v>
      </c>
      <c r="ID24" s="39">
        <f>SUMIFS(Lançamentos!$F:$F,Lançamentos!$A:$A,ID$19,Lançamentos!$C:$C,"Outras Receitas")</f>
        <v>0</v>
      </c>
      <c r="IE24" s="39">
        <f>SUMIFS(Lançamentos!$F:$F,Lançamentos!$A:$A,IE$19,Lançamentos!$C:$C,"Outras Receitas")</f>
        <v>0</v>
      </c>
      <c r="IF24" s="39">
        <f>SUMIFS(Lançamentos!$F:$F,Lançamentos!$A:$A,IF$19,Lançamentos!$C:$C,"Outras Receitas")</f>
        <v>0</v>
      </c>
      <c r="IG24" s="39">
        <f>SUMIFS(Lançamentos!$F:$F,Lançamentos!$A:$A,IG$19,Lançamentos!$C:$C,"Outras Receitas")</f>
        <v>0</v>
      </c>
      <c r="IH24" s="39">
        <f>SUMIFS(Lançamentos!$F:$F,Lançamentos!$A:$A,IH$19,Lançamentos!$C:$C,"Outras Receitas")</f>
        <v>0</v>
      </c>
      <c r="II24" s="39">
        <f>SUMIFS(Lançamentos!$F:$F,Lançamentos!$A:$A,II$19,Lançamentos!$C:$C,"Outras Receitas")</f>
        <v>0</v>
      </c>
      <c r="IJ24" s="39">
        <f>SUMIFS(Lançamentos!$F:$F,Lançamentos!$A:$A,IJ$19,Lançamentos!$C:$C,"Outras Receitas")</f>
        <v>0</v>
      </c>
      <c r="IK24" s="39">
        <f>SUMIFS(Lançamentos!$F:$F,Lançamentos!$A:$A,IK$19,Lançamentos!$C:$C,"Outras Receitas")</f>
        <v>0</v>
      </c>
      <c r="IL24" s="39">
        <f>SUMIFS(Lançamentos!$F:$F,Lançamentos!$A:$A,IL$19,Lançamentos!$C:$C,"Outras Receitas")</f>
        <v>0</v>
      </c>
    </row>
    <row r="25" spans="1:246" x14ac:dyDescent="0.3">
      <c r="A25" t="s">
        <v>27</v>
      </c>
      <c r="B25" s="39">
        <f>SUMIFS(Lançamentos!$F:$F,Lançamentos!$A:$A,B$19,Lançamentos!$C:$C,"Receitas Financeiras")</f>
        <v>0</v>
      </c>
      <c r="C25" s="39">
        <f>SUMIFS(Lançamentos!$F:$F,Lançamentos!$A:$A,C$19,Lançamentos!$C:$C,"Receitas Financeiras")</f>
        <v>0</v>
      </c>
      <c r="D25" s="39">
        <f>SUMIFS(Lançamentos!$F:$F,Lançamentos!$A:$A,D$19,Lançamentos!$C:$C,"Receitas Financeiras")</f>
        <v>0</v>
      </c>
      <c r="E25" s="39">
        <f>SUMIFS(Lançamentos!$F:$F,Lançamentos!$A:$A,E$19,Lançamentos!$C:$C,"Receitas Financeiras")</f>
        <v>0</v>
      </c>
      <c r="F25" s="39">
        <f>SUMIFS(Lançamentos!$F:$F,Lançamentos!$A:$A,F$19,Lançamentos!$C:$C,"Receitas Financeiras")</f>
        <v>0</v>
      </c>
      <c r="G25" s="39">
        <f>SUMIFS(Lançamentos!$F:$F,Lançamentos!$A:$A,G$19,Lançamentos!$C:$C,"Receitas Financeiras")</f>
        <v>0</v>
      </c>
      <c r="H25" s="39">
        <f>SUMIFS(Lançamentos!$F:$F,Lançamentos!$A:$A,H$19,Lançamentos!$C:$C,"Receitas Financeiras")</f>
        <v>0</v>
      </c>
      <c r="I25" s="39">
        <f>SUMIFS(Lançamentos!$F:$F,Lançamentos!$A:$A,I$19,Lançamentos!$C:$C,"Receitas Financeiras")</f>
        <v>0</v>
      </c>
      <c r="J25" s="39">
        <f>SUMIFS(Lançamentos!$F:$F,Lançamentos!$A:$A,J$19,Lançamentos!$C:$C,"Receitas Financeiras")</f>
        <v>0</v>
      </c>
      <c r="K25" s="39">
        <f>SUMIFS(Lançamentos!$F:$F,Lançamentos!$A:$A,K$19,Lançamentos!$C:$C,"Receitas Financeiras")</f>
        <v>0</v>
      </c>
      <c r="L25" s="39">
        <f>SUMIFS(Lançamentos!$F:$F,Lançamentos!$A:$A,L$19,Lançamentos!$C:$C,"Receitas Financeiras")</f>
        <v>0</v>
      </c>
      <c r="M25" s="39">
        <f>SUMIFS(Lançamentos!$F:$F,Lançamentos!$A:$A,M$19,Lançamentos!$C:$C,"Receitas Financeiras")</f>
        <v>0</v>
      </c>
      <c r="N25" s="39">
        <f>SUMIFS(Lançamentos!$F:$F,Lançamentos!$A:$A,N$19,Lançamentos!$C:$C,"Receitas Financeiras")</f>
        <v>0</v>
      </c>
      <c r="O25" s="39">
        <f>SUMIFS(Lançamentos!$F:$F,Lançamentos!$A:$A,O$19,Lançamentos!$C:$C,"Receitas Financeiras")</f>
        <v>0</v>
      </c>
      <c r="P25" s="39">
        <f>SUMIFS(Lançamentos!$F:$F,Lançamentos!$A:$A,P$19,Lançamentos!$C:$C,"Receitas Financeiras")</f>
        <v>0</v>
      </c>
      <c r="Q25" s="39">
        <f>SUMIFS(Lançamentos!$F:$F,Lançamentos!$A:$A,Q$19,Lançamentos!$C:$C,"Receitas Financeiras")</f>
        <v>0</v>
      </c>
      <c r="R25" s="39">
        <f>SUMIFS(Lançamentos!$F:$F,Lançamentos!$A:$A,R$19,Lançamentos!$C:$C,"Receitas Financeiras")</f>
        <v>0</v>
      </c>
      <c r="S25" s="39">
        <f>SUMIFS(Lançamentos!$F:$F,Lançamentos!$A:$A,S$19,Lançamentos!$C:$C,"Receitas Financeiras")</f>
        <v>0</v>
      </c>
      <c r="T25" s="39">
        <f>SUMIFS(Lançamentos!$F:$F,Lançamentos!$A:$A,T$19,Lançamentos!$C:$C,"Receitas Financeiras")</f>
        <v>0</v>
      </c>
      <c r="U25" s="39">
        <f>SUMIFS(Lançamentos!$F:$F,Lançamentos!$A:$A,U$19,Lançamentos!$C:$C,"Receitas Financeiras")</f>
        <v>0</v>
      </c>
      <c r="V25" s="39">
        <f>SUMIFS(Lançamentos!$F:$F,Lançamentos!$A:$A,V$19,Lançamentos!$C:$C,"Receitas Financeiras")</f>
        <v>0</v>
      </c>
      <c r="W25" s="39">
        <f>SUMIFS(Lançamentos!$F:$F,Lançamentos!$A:$A,W$19,Lançamentos!$C:$C,"Receitas Financeiras")</f>
        <v>0</v>
      </c>
      <c r="X25" s="39">
        <f>SUMIFS(Lançamentos!$F:$F,Lançamentos!$A:$A,X$19,Lançamentos!$C:$C,"Receitas Financeiras")</f>
        <v>0</v>
      </c>
      <c r="Y25" s="39">
        <f>SUMIFS(Lançamentos!$F:$F,Lançamentos!$A:$A,Y$19,Lançamentos!$C:$C,"Receitas Financeiras")</f>
        <v>0</v>
      </c>
      <c r="Z25" s="39">
        <f>SUMIFS(Lançamentos!$F:$F,Lançamentos!$A:$A,Z$19,Lançamentos!$C:$C,"Receitas Financeiras")</f>
        <v>0</v>
      </c>
      <c r="AA25" s="39">
        <f>SUMIFS(Lançamentos!$F:$F,Lançamentos!$A:$A,AA$19,Lançamentos!$C:$C,"Receitas Financeiras")</f>
        <v>0</v>
      </c>
      <c r="AB25" s="39">
        <f>SUMIFS(Lançamentos!$F:$F,Lançamentos!$A:$A,AB$19,Lançamentos!$C:$C,"Receitas Financeiras")</f>
        <v>0</v>
      </c>
      <c r="AC25" s="39">
        <f>SUMIFS(Lançamentos!$F:$F,Lançamentos!$A:$A,AC$19,Lançamentos!$C:$C,"Receitas Financeiras")</f>
        <v>0</v>
      </c>
      <c r="AD25" s="39">
        <f>SUMIFS(Lançamentos!$F:$F,Lançamentos!$A:$A,AD$19,Lançamentos!$C:$C,"Receitas Financeiras")</f>
        <v>0</v>
      </c>
      <c r="AE25" s="39">
        <f>SUMIFS(Lançamentos!$F:$F,Lançamentos!$A:$A,AE$19,Lançamentos!$C:$C,"Receitas Financeiras")</f>
        <v>0</v>
      </c>
      <c r="AF25" s="39">
        <f>SUMIFS(Lançamentos!$F:$F,Lançamentos!$A:$A,AF$19,Lançamentos!$C:$C,"Receitas Financeiras")</f>
        <v>0</v>
      </c>
      <c r="AG25" s="39">
        <f>SUMIFS(Lançamentos!$F:$F,Lançamentos!$A:$A,AG$19,Lançamentos!$C:$C,"Receitas Financeiras")</f>
        <v>0</v>
      </c>
      <c r="AH25" s="39">
        <f>SUMIFS(Lançamentos!$F:$F,Lançamentos!$A:$A,AH$19,Lançamentos!$C:$C,"Receitas Financeiras")</f>
        <v>0</v>
      </c>
      <c r="AI25" s="39">
        <f>SUMIFS(Lançamentos!$F:$F,Lançamentos!$A:$A,AI$19,Lançamentos!$C:$C,"Receitas Financeiras")</f>
        <v>0</v>
      </c>
      <c r="AJ25" s="39">
        <f>SUMIFS(Lançamentos!$F:$F,Lançamentos!$A:$A,AJ$19,Lançamentos!$C:$C,"Receitas Financeiras")</f>
        <v>0</v>
      </c>
      <c r="AK25" s="39">
        <f>SUMIFS(Lançamentos!$F:$F,Lançamentos!$A:$A,AK$19,Lançamentos!$C:$C,"Receitas Financeiras")</f>
        <v>0</v>
      </c>
      <c r="AL25" s="39">
        <f>SUMIFS(Lançamentos!$F:$F,Lançamentos!$A:$A,AL$19,Lançamentos!$C:$C,"Receitas Financeiras")</f>
        <v>0</v>
      </c>
      <c r="AM25" s="39">
        <f>SUMIFS(Lançamentos!$F:$F,Lançamentos!$A:$A,AM$19,Lançamentos!$C:$C,"Receitas Financeiras")</f>
        <v>0</v>
      </c>
      <c r="AN25" s="39">
        <f>SUMIFS(Lançamentos!$F:$F,Lançamentos!$A:$A,AN$19,Lançamentos!$C:$C,"Receitas Financeiras")</f>
        <v>0</v>
      </c>
      <c r="AO25" s="39">
        <f>SUMIFS(Lançamentos!$F:$F,Lançamentos!$A:$A,AO$19,Lançamentos!$C:$C,"Receitas Financeiras")</f>
        <v>0</v>
      </c>
      <c r="AP25" s="39">
        <f>SUMIFS(Lançamentos!$F:$F,Lançamentos!$A:$A,AP$19,Lançamentos!$C:$C,"Receitas Financeiras")</f>
        <v>0</v>
      </c>
      <c r="AQ25" s="39">
        <f>SUMIFS(Lançamentos!$F:$F,Lançamentos!$A:$A,AQ$19,Lançamentos!$C:$C,"Receitas Financeiras")</f>
        <v>0</v>
      </c>
      <c r="AR25" s="39">
        <f>SUMIFS(Lançamentos!$F:$F,Lançamentos!$A:$A,AR$19,Lançamentos!$C:$C,"Receitas Financeiras")</f>
        <v>0</v>
      </c>
      <c r="AS25" s="39">
        <f>SUMIFS(Lançamentos!$F:$F,Lançamentos!$A:$A,AS$19,Lançamentos!$C:$C,"Receitas Financeiras")</f>
        <v>0</v>
      </c>
      <c r="AT25" s="39">
        <f>SUMIFS(Lançamentos!$F:$F,Lançamentos!$A:$A,AT$19,Lançamentos!$C:$C,"Receitas Financeiras")</f>
        <v>0</v>
      </c>
      <c r="AU25" s="39">
        <f>SUMIFS(Lançamentos!$F:$F,Lançamentos!$A:$A,AU$19,Lançamentos!$C:$C,"Receitas Financeiras")</f>
        <v>0</v>
      </c>
      <c r="AV25" s="39">
        <f>SUMIFS(Lançamentos!$F:$F,Lançamentos!$A:$A,AV$19,Lançamentos!$C:$C,"Receitas Financeiras")</f>
        <v>0</v>
      </c>
      <c r="AW25" s="39">
        <f>SUMIFS(Lançamentos!$F:$F,Lançamentos!$A:$A,AW$19,Lançamentos!$C:$C,"Receitas Financeiras")</f>
        <v>0</v>
      </c>
      <c r="AX25" s="39">
        <f>SUMIFS(Lançamentos!$F:$F,Lançamentos!$A:$A,AX$19,Lançamentos!$C:$C,"Receitas Financeiras")</f>
        <v>0</v>
      </c>
      <c r="AY25" s="39">
        <f>SUMIFS(Lançamentos!$F:$F,Lançamentos!$A:$A,AY$19,Lançamentos!$C:$C,"Receitas Financeiras")</f>
        <v>0</v>
      </c>
      <c r="AZ25" s="39">
        <f>SUMIFS(Lançamentos!$F:$F,Lançamentos!$A:$A,AZ$19,Lançamentos!$C:$C,"Receitas Financeiras")</f>
        <v>0</v>
      </c>
      <c r="BA25" s="39">
        <f>SUMIFS(Lançamentos!$F:$F,Lançamentos!$A:$A,BA$19,Lançamentos!$C:$C,"Receitas Financeiras")</f>
        <v>0</v>
      </c>
      <c r="BB25" s="39">
        <f>SUMIFS(Lançamentos!$F:$F,Lançamentos!$A:$A,BB$19,Lançamentos!$C:$C,"Receitas Financeiras")</f>
        <v>0</v>
      </c>
      <c r="BC25" s="39">
        <f>SUMIFS(Lançamentos!$F:$F,Lançamentos!$A:$A,BC$19,Lançamentos!$C:$C,"Receitas Financeiras")</f>
        <v>0</v>
      </c>
      <c r="BD25" s="39">
        <f>SUMIFS(Lançamentos!$F:$F,Lançamentos!$A:$A,BD$19,Lançamentos!$C:$C,"Receitas Financeiras")</f>
        <v>0</v>
      </c>
      <c r="BE25" s="39">
        <f>SUMIFS(Lançamentos!$F:$F,Lançamentos!$A:$A,BE$19,Lançamentos!$C:$C,"Receitas Financeiras")</f>
        <v>0</v>
      </c>
      <c r="BF25" s="39">
        <f>SUMIFS(Lançamentos!$F:$F,Lançamentos!$A:$A,BF$19,Lançamentos!$C:$C,"Receitas Financeiras")</f>
        <v>0</v>
      </c>
      <c r="BG25" s="39">
        <f>SUMIFS(Lançamentos!$F:$F,Lançamentos!$A:$A,BG$19,Lançamentos!$C:$C,"Receitas Financeiras")</f>
        <v>0</v>
      </c>
      <c r="BH25" s="39">
        <f>SUMIFS(Lançamentos!$F:$F,Lançamentos!$A:$A,BH$19,Lançamentos!$C:$C,"Receitas Financeiras")</f>
        <v>0</v>
      </c>
      <c r="BI25" s="39">
        <f>SUMIFS(Lançamentos!$F:$F,Lançamentos!$A:$A,BI$19,Lançamentos!$C:$C,"Receitas Financeiras")</f>
        <v>0</v>
      </c>
      <c r="BJ25" s="39">
        <f>SUMIFS(Lançamentos!$F:$F,Lançamentos!$A:$A,BJ$19,Lançamentos!$C:$C,"Receitas Financeiras")</f>
        <v>0</v>
      </c>
      <c r="BK25" s="39">
        <f>SUMIFS(Lançamentos!$F:$F,Lançamentos!$A:$A,BK$19,Lançamentos!$C:$C,"Receitas Financeiras")</f>
        <v>0</v>
      </c>
      <c r="BL25" s="39">
        <f>SUMIFS(Lançamentos!$F:$F,Lançamentos!$A:$A,BL$19,Lançamentos!$C:$C,"Receitas Financeiras")</f>
        <v>0</v>
      </c>
      <c r="BM25" s="39">
        <f>SUMIFS(Lançamentos!$F:$F,Lançamentos!$A:$A,BM$19,Lançamentos!$C:$C,"Receitas Financeiras")</f>
        <v>0</v>
      </c>
      <c r="BN25" s="39">
        <f>SUMIFS(Lançamentos!$F:$F,Lançamentos!$A:$A,BN$19,Lançamentos!$C:$C,"Receitas Financeiras")</f>
        <v>0</v>
      </c>
      <c r="BO25" s="39">
        <f>SUMIFS(Lançamentos!$F:$F,Lançamentos!$A:$A,BO$19,Lançamentos!$C:$C,"Receitas Financeiras")</f>
        <v>0</v>
      </c>
      <c r="BP25" s="39">
        <f>SUMIFS(Lançamentos!$F:$F,Lançamentos!$A:$A,BP$19,Lançamentos!$C:$C,"Receitas Financeiras")</f>
        <v>0</v>
      </c>
      <c r="BQ25" s="39">
        <f>SUMIFS(Lançamentos!$F:$F,Lançamentos!$A:$A,BQ$19,Lançamentos!$C:$C,"Receitas Financeiras")</f>
        <v>0</v>
      </c>
      <c r="BR25" s="39">
        <f>SUMIFS(Lançamentos!$F:$F,Lançamentos!$A:$A,BR$19,Lançamentos!$C:$C,"Receitas Financeiras")</f>
        <v>0</v>
      </c>
      <c r="BS25" s="39">
        <f>SUMIFS(Lançamentos!$F:$F,Lançamentos!$A:$A,BS$19,Lançamentos!$C:$C,"Receitas Financeiras")</f>
        <v>0</v>
      </c>
      <c r="BT25" s="39">
        <f>SUMIFS(Lançamentos!$F:$F,Lançamentos!$A:$A,BT$19,Lançamentos!$C:$C,"Receitas Financeiras")</f>
        <v>0</v>
      </c>
      <c r="BU25" s="39">
        <f>SUMIFS(Lançamentos!$F:$F,Lançamentos!$A:$A,BU$19,Lançamentos!$C:$C,"Receitas Financeiras")</f>
        <v>0</v>
      </c>
      <c r="BV25" s="39">
        <f>SUMIFS(Lançamentos!$F:$F,Lançamentos!$A:$A,BV$19,Lançamentos!$C:$C,"Receitas Financeiras")</f>
        <v>0</v>
      </c>
      <c r="BW25" s="39">
        <f>SUMIFS(Lançamentos!$F:$F,Lançamentos!$A:$A,BW$19,Lançamentos!$C:$C,"Receitas Financeiras")</f>
        <v>0</v>
      </c>
      <c r="BX25" s="39">
        <f>SUMIFS(Lançamentos!$F:$F,Lançamentos!$A:$A,BX$19,Lançamentos!$C:$C,"Receitas Financeiras")</f>
        <v>0</v>
      </c>
      <c r="BY25" s="39">
        <f>SUMIFS(Lançamentos!$F:$F,Lançamentos!$A:$A,BY$19,Lançamentos!$C:$C,"Receitas Financeiras")</f>
        <v>0</v>
      </c>
      <c r="BZ25" s="39">
        <f>SUMIFS(Lançamentos!$F:$F,Lançamentos!$A:$A,BZ$19,Lançamentos!$C:$C,"Receitas Financeiras")</f>
        <v>0</v>
      </c>
      <c r="CA25" s="39">
        <f>SUMIFS(Lançamentos!$F:$F,Lançamentos!$A:$A,CA$19,Lançamentos!$C:$C,"Receitas Financeiras")</f>
        <v>0</v>
      </c>
      <c r="CB25" s="39">
        <f>SUMIFS(Lançamentos!$F:$F,Lançamentos!$A:$A,CB$19,Lançamentos!$C:$C,"Receitas Financeiras")</f>
        <v>0</v>
      </c>
      <c r="CC25" s="39">
        <f>SUMIFS(Lançamentos!$F:$F,Lançamentos!$A:$A,CC$19,Lançamentos!$C:$C,"Receitas Financeiras")</f>
        <v>0</v>
      </c>
      <c r="CD25" s="39">
        <f>SUMIFS(Lançamentos!$F:$F,Lançamentos!$A:$A,CD$19,Lançamentos!$C:$C,"Receitas Financeiras")</f>
        <v>0</v>
      </c>
      <c r="CE25" s="39">
        <f>SUMIFS(Lançamentos!$F:$F,Lançamentos!$A:$A,CE$19,Lançamentos!$C:$C,"Receitas Financeiras")</f>
        <v>0</v>
      </c>
      <c r="CF25" s="39">
        <f>SUMIFS(Lançamentos!$F:$F,Lançamentos!$A:$A,CF$19,Lançamentos!$C:$C,"Receitas Financeiras")</f>
        <v>0</v>
      </c>
      <c r="CG25" s="39">
        <f>SUMIFS(Lançamentos!$F:$F,Lançamentos!$A:$A,CG$19,Lançamentos!$C:$C,"Receitas Financeiras")</f>
        <v>0</v>
      </c>
      <c r="CH25" s="39">
        <f>SUMIFS(Lançamentos!$F:$F,Lançamentos!$A:$A,CH$19,Lançamentos!$C:$C,"Receitas Financeiras")</f>
        <v>0</v>
      </c>
      <c r="CI25" s="39">
        <f>SUMIFS(Lançamentos!$F:$F,Lançamentos!$A:$A,CI$19,Lançamentos!$C:$C,"Receitas Financeiras")</f>
        <v>0</v>
      </c>
      <c r="CJ25" s="39">
        <f>SUMIFS(Lançamentos!$F:$F,Lançamentos!$A:$A,CJ$19,Lançamentos!$C:$C,"Receitas Financeiras")</f>
        <v>0</v>
      </c>
      <c r="CK25" s="39">
        <f>SUMIFS(Lançamentos!$F:$F,Lançamentos!$A:$A,CK$19,Lançamentos!$C:$C,"Receitas Financeiras")</f>
        <v>0</v>
      </c>
      <c r="CL25" s="39">
        <f>SUMIFS(Lançamentos!$F:$F,Lançamentos!$A:$A,CL$19,Lançamentos!$C:$C,"Receitas Financeiras")</f>
        <v>0</v>
      </c>
      <c r="CM25" s="39">
        <f>SUMIFS(Lançamentos!$F:$F,Lançamentos!$A:$A,CM$19,Lançamentos!$C:$C,"Receitas Financeiras")</f>
        <v>0</v>
      </c>
      <c r="CN25" s="39">
        <f>SUMIFS(Lançamentos!$F:$F,Lançamentos!$A:$A,CN$19,Lançamentos!$C:$C,"Receitas Financeiras")</f>
        <v>0</v>
      </c>
      <c r="CO25" s="39">
        <f>SUMIFS(Lançamentos!$F:$F,Lançamentos!$A:$A,CO$19,Lançamentos!$C:$C,"Receitas Financeiras")</f>
        <v>0</v>
      </c>
      <c r="CP25" s="39">
        <f>SUMIFS(Lançamentos!$F:$F,Lançamentos!$A:$A,CP$19,Lançamentos!$C:$C,"Receitas Financeiras")</f>
        <v>0</v>
      </c>
      <c r="CQ25" s="39">
        <f>SUMIFS(Lançamentos!$F:$F,Lançamentos!$A:$A,CQ$19,Lançamentos!$C:$C,"Receitas Financeiras")</f>
        <v>0</v>
      </c>
      <c r="CR25" s="39">
        <f>SUMIFS(Lançamentos!$F:$F,Lançamentos!$A:$A,CR$19,Lançamentos!$C:$C,"Receitas Financeiras")</f>
        <v>0</v>
      </c>
      <c r="CS25" s="39">
        <f>SUMIFS(Lançamentos!$F:$F,Lançamentos!$A:$A,CS$19,Lançamentos!$C:$C,"Receitas Financeiras")</f>
        <v>0</v>
      </c>
      <c r="CT25" s="39">
        <f>SUMIFS(Lançamentos!$F:$F,Lançamentos!$A:$A,CT$19,Lançamentos!$C:$C,"Receitas Financeiras")</f>
        <v>0</v>
      </c>
      <c r="CU25" s="39">
        <f>SUMIFS(Lançamentos!$F:$F,Lançamentos!$A:$A,CU$19,Lançamentos!$C:$C,"Receitas Financeiras")</f>
        <v>0</v>
      </c>
      <c r="CV25" s="39">
        <f>SUMIFS(Lançamentos!$F:$F,Lançamentos!$A:$A,CV$19,Lançamentos!$C:$C,"Receitas Financeiras")</f>
        <v>0</v>
      </c>
      <c r="CW25" s="39">
        <f>SUMIFS(Lançamentos!$F:$F,Lançamentos!$A:$A,CW$19,Lançamentos!$C:$C,"Receitas Financeiras")</f>
        <v>0</v>
      </c>
      <c r="CX25" s="39">
        <f>SUMIFS(Lançamentos!$F:$F,Lançamentos!$A:$A,CX$19,Lançamentos!$C:$C,"Receitas Financeiras")</f>
        <v>0</v>
      </c>
      <c r="CY25" s="39">
        <f>SUMIFS(Lançamentos!$F:$F,Lançamentos!$A:$A,CY$19,Lançamentos!$C:$C,"Receitas Financeiras")</f>
        <v>0</v>
      </c>
      <c r="CZ25" s="39">
        <f>SUMIFS(Lançamentos!$F:$F,Lançamentos!$A:$A,CZ$19,Lançamentos!$C:$C,"Receitas Financeiras")</f>
        <v>0</v>
      </c>
      <c r="DA25" s="39">
        <f>SUMIFS(Lançamentos!$F:$F,Lançamentos!$A:$A,DA$19,Lançamentos!$C:$C,"Receitas Financeiras")</f>
        <v>0</v>
      </c>
      <c r="DB25" s="39">
        <f>SUMIFS(Lançamentos!$F:$F,Lançamentos!$A:$A,DB$19,Lançamentos!$C:$C,"Receitas Financeiras")</f>
        <v>0</v>
      </c>
      <c r="DC25" s="39">
        <f>SUMIFS(Lançamentos!$F:$F,Lançamentos!$A:$A,DC$19,Lançamentos!$C:$C,"Receitas Financeiras")</f>
        <v>0</v>
      </c>
      <c r="DD25" s="39">
        <f>SUMIFS(Lançamentos!$F:$F,Lançamentos!$A:$A,DD$19,Lançamentos!$C:$C,"Receitas Financeiras")</f>
        <v>0</v>
      </c>
      <c r="DE25" s="39">
        <f>SUMIFS(Lançamentos!$F:$F,Lançamentos!$A:$A,DE$19,Lançamentos!$C:$C,"Receitas Financeiras")</f>
        <v>0</v>
      </c>
      <c r="DF25" s="39">
        <f>SUMIFS(Lançamentos!$F:$F,Lançamentos!$A:$A,DF$19,Lançamentos!$C:$C,"Receitas Financeiras")</f>
        <v>0</v>
      </c>
      <c r="DG25" s="39">
        <f>SUMIFS(Lançamentos!$F:$F,Lançamentos!$A:$A,DG$19,Lançamentos!$C:$C,"Receitas Financeiras")</f>
        <v>0</v>
      </c>
      <c r="DH25" s="39">
        <f>SUMIFS(Lançamentos!$F:$F,Lançamentos!$A:$A,DH$19,Lançamentos!$C:$C,"Receitas Financeiras")</f>
        <v>0</v>
      </c>
      <c r="DI25" s="39">
        <f>SUMIFS(Lançamentos!$F:$F,Lançamentos!$A:$A,DI$19,Lançamentos!$C:$C,"Receitas Financeiras")</f>
        <v>0</v>
      </c>
      <c r="DJ25" s="39">
        <f>SUMIFS(Lançamentos!$F:$F,Lançamentos!$A:$A,DJ$19,Lançamentos!$C:$C,"Receitas Financeiras")</f>
        <v>0</v>
      </c>
      <c r="DK25" s="39">
        <f>SUMIFS(Lançamentos!$F:$F,Lançamentos!$A:$A,DK$19,Lançamentos!$C:$C,"Receitas Financeiras")</f>
        <v>0</v>
      </c>
      <c r="DL25" s="39">
        <f>SUMIFS(Lançamentos!$F:$F,Lançamentos!$A:$A,DL$19,Lançamentos!$C:$C,"Receitas Financeiras")</f>
        <v>0</v>
      </c>
      <c r="DM25" s="39">
        <f>SUMIFS(Lançamentos!$F:$F,Lançamentos!$A:$A,DM$19,Lançamentos!$C:$C,"Receitas Financeiras")</f>
        <v>0</v>
      </c>
      <c r="DN25" s="39">
        <f>SUMIFS(Lançamentos!$F:$F,Lançamentos!$A:$A,DN$19,Lançamentos!$C:$C,"Receitas Financeiras")</f>
        <v>0</v>
      </c>
      <c r="DO25" s="39">
        <f>SUMIFS(Lançamentos!$F:$F,Lançamentos!$A:$A,DO$19,Lançamentos!$C:$C,"Receitas Financeiras")</f>
        <v>0</v>
      </c>
      <c r="DP25" s="39">
        <f>SUMIFS(Lançamentos!$F:$F,Lançamentos!$A:$A,DP$19,Lançamentos!$C:$C,"Receitas Financeiras")</f>
        <v>0</v>
      </c>
      <c r="DQ25" s="39">
        <f>SUMIFS(Lançamentos!$F:$F,Lançamentos!$A:$A,DQ$19,Lançamentos!$C:$C,"Receitas Financeiras")</f>
        <v>0</v>
      </c>
      <c r="DR25" s="39">
        <f>SUMIFS(Lançamentos!$F:$F,Lançamentos!$A:$A,DR$19,Lançamentos!$C:$C,"Receitas Financeiras")</f>
        <v>0</v>
      </c>
      <c r="DS25" s="39">
        <f>SUMIFS(Lançamentos!$F:$F,Lançamentos!$A:$A,DS$19,Lançamentos!$C:$C,"Receitas Financeiras")</f>
        <v>0</v>
      </c>
      <c r="DT25" s="39">
        <f>SUMIFS(Lançamentos!$F:$F,Lançamentos!$A:$A,DT$19,Lançamentos!$C:$C,"Receitas Financeiras")</f>
        <v>0</v>
      </c>
      <c r="DU25" s="39">
        <f>SUMIFS(Lançamentos!$F:$F,Lançamentos!$A:$A,DU$19,Lançamentos!$C:$C,"Receitas Financeiras")</f>
        <v>0</v>
      </c>
      <c r="DV25" s="39">
        <f>SUMIFS(Lançamentos!$F:$F,Lançamentos!$A:$A,DV$19,Lançamentos!$C:$C,"Receitas Financeiras")</f>
        <v>0</v>
      </c>
      <c r="DW25" s="39">
        <f>SUMIFS(Lançamentos!$F:$F,Lançamentos!$A:$A,DW$19,Lançamentos!$C:$C,"Receitas Financeiras")</f>
        <v>0</v>
      </c>
      <c r="DX25" s="39">
        <f>SUMIFS(Lançamentos!$F:$F,Lançamentos!$A:$A,DX$19,Lançamentos!$C:$C,"Receitas Financeiras")</f>
        <v>0</v>
      </c>
      <c r="DY25" s="39">
        <f>SUMIFS(Lançamentos!$F:$F,Lançamentos!$A:$A,DY$19,Lançamentos!$C:$C,"Receitas Financeiras")</f>
        <v>0</v>
      </c>
      <c r="DZ25" s="39">
        <f>SUMIFS(Lançamentos!$F:$F,Lançamentos!$A:$A,DZ$19,Lançamentos!$C:$C,"Receitas Financeiras")</f>
        <v>0</v>
      </c>
      <c r="EA25" s="39">
        <f>SUMIFS(Lançamentos!$F:$F,Lançamentos!$A:$A,EA$19,Lançamentos!$C:$C,"Receitas Financeiras")</f>
        <v>0</v>
      </c>
      <c r="EB25" s="39">
        <f>SUMIFS(Lançamentos!$F:$F,Lançamentos!$A:$A,EB$19,Lançamentos!$C:$C,"Receitas Financeiras")</f>
        <v>0</v>
      </c>
      <c r="EC25" s="39">
        <f>SUMIFS(Lançamentos!$F:$F,Lançamentos!$A:$A,EC$19,Lançamentos!$C:$C,"Receitas Financeiras")</f>
        <v>0</v>
      </c>
      <c r="ED25" s="39">
        <f>SUMIFS(Lançamentos!$F:$F,Lançamentos!$A:$A,ED$19,Lançamentos!$C:$C,"Receitas Financeiras")</f>
        <v>0</v>
      </c>
      <c r="EE25" s="39">
        <f>SUMIFS(Lançamentos!$F:$F,Lançamentos!$A:$A,EE$19,Lançamentos!$C:$C,"Receitas Financeiras")</f>
        <v>0</v>
      </c>
      <c r="EF25" s="39">
        <f>SUMIFS(Lançamentos!$F:$F,Lançamentos!$A:$A,EF$19,Lançamentos!$C:$C,"Receitas Financeiras")</f>
        <v>0</v>
      </c>
      <c r="EG25" s="39">
        <f>SUMIFS(Lançamentos!$F:$F,Lançamentos!$A:$A,EG$19,Lançamentos!$C:$C,"Receitas Financeiras")</f>
        <v>0</v>
      </c>
      <c r="EH25" s="39">
        <f>SUMIFS(Lançamentos!$F:$F,Lançamentos!$A:$A,EH$19,Lançamentos!$C:$C,"Receitas Financeiras")</f>
        <v>0</v>
      </c>
      <c r="EI25" s="39">
        <f>SUMIFS(Lançamentos!$F:$F,Lançamentos!$A:$A,EI$19,Lançamentos!$C:$C,"Receitas Financeiras")</f>
        <v>0</v>
      </c>
      <c r="EJ25" s="39">
        <f>SUMIFS(Lançamentos!$F:$F,Lançamentos!$A:$A,EJ$19,Lançamentos!$C:$C,"Receitas Financeiras")</f>
        <v>0</v>
      </c>
      <c r="EK25" s="39">
        <f>SUMIFS(Lançamentos!$F:$F,Lançamentos!$A:$A,EK$19,Lançamentos!$C:$C,"Receitas Financeiras")</f>
        <v>0</v>
      </c>
      <c r="EL25" s="39">
        <f>SUMIFS(Lançamentos!$F:$F,Lançamentos!$A:$A,EL$19,Lançamentos!$C:$C,"Receitas Financeiras")</f>
        <v>0</v>
      </c>
      <c r="EM25" s="39">
        <f>SUMIFS(Lançamentos!$F:$F,Lançamentos!$A:$A,EM$19,Lançamentos!$C:$C,"Receitas Financeiras")</f>
        <v>0</v>
      </c>
      <c r="EN25" s="39">
        <f>SUMIFS(Lançamentos!$F:$F,Lançamentos!$A:$A,EN$19,Lançamentos!$C:$C,"Receitas Financeiras")</f>
        <v>0</v>
      </c>
      <c r="EO25" s="39">
        <f>SUMIFS(Lançamentos!$F:$F,Lançamentos!$A:$A,EO$19,Lançamentos!$C:$C,"Receitas Financeiras")</f>
        <v>0</v>
      </c>
      <c r="EP25" s="39">
        <f>SUMIFS(Lançamentos!$F:$F,Lançamentos!$A:$A,EP$19,Lançamentos!$C:$C,"Receitas Financeiras")</f>
        <v>0</v>
      </c>
      <c r="EQ25" s="39">
        <f>SUMIFS(Lançamentos!$F:$F,Lançamentos!$A:$A,EQ$19,Lançamentos!$C:$C,"Receitas Financeiras")</f>
        <v>0</v>
      </c>
      <c r="ER25" s="39">
        <f>SUMIFS(Lançamentos!$F:$F,Lançamentos!$A:$A,ER$19,Lançamentos!$C:$C,"Receitas Financeiras")</f>
        <v>0</v>
      </c>
      <c r="ES25" s="39">
        <f>SUMIFS(Lançamentos!$F:$F,Lançamentos!$A:$A,ES$19,Lançamentos!$C:$C,"Receitas Financeiras")</f>
        <v>0</v>
      </c>
      <c r="ET25" s="39">
        <f>SUMIFS(Lançamentos!$F:$F,Lançamentos!$A:$A,ET$19,Lançamentos!$C:$C,"Receitas Financeiras")</f>
        <v>0</v>
      </c>
      <c r="EU25" s="39">
        <f>SUMIFS(Lançamentos!$F:$F,Lançamentos!$A:$A,EU$19,Lançamentos!$C:$C,"Receitas Financeiras")</f>
        <v>0</v>
      </c>
      <c r="EV25" s="39">
        <f>SUMIFS(Lançamentos!$F:$F,Lançamentos!$A:$A,EV$19,Lançamentos!$C:$C,"Receitas Financeiras")</f>
        <v>0</v>
      </c>
      <c r="EW25" s="39">
        <f>SUMIFS(Lançamentos!$F:$F,Lançamentos!$A:$A,EW$19,Lançamentos!$C:$C,"Receitas Financeiras")</f>
        <v>0</v>
      </c>
      <c r="EX25" s="39">
        <f>SUMIFS(Lançamentos!$F:$F,Lançamentos!$A:$A,EX$19,Lançamentos!$C:$C,"Receitas Financeiras")</f>
        <v>0</v>
      </c>
      <c r="EY25" s="39">
        <f>SUMIFS(Lançamentos!$F:$F,Lançamentos!$A:$A,EY$19,Lançamentos!$C:$C,"Receitas Financeiras")</f>
        <v>0</v>
      </c>
      <c r="EZ25" s="39">
        <f>SUMIFS(Lançamentos!$F:$F,Lançamentos!$A:$A,EZ$19,Lançamentos!$C:$C,"Receitas Financeiras")</f>
        <v>0</v>
      </c>
      <c r="FA25" s="39">
        <f>SUMIFS(Lançamentos!$F:$F,Lançamentos!$A:$A,FA$19,Lançamentos!$C:$C,"Receitas Financeiras")</f>
        <v>0</v>
      </c>
      <c r="FB25" s="39">
        <f>SUMIFS(Lançamentos!$F:$F,Lançamentos!$A:$A,FB$19,Lançamentos!$C:$C,"Receitas Financeiras")</f>
        <v>0</v>
      </c>
      <c r="FC25" s="39">
        <f>SUMIFS(Lançamentos!$F:$F,Lançamentos!$A:$A,FC$19,Lançamentos!$C:$C,"Receitas Financeiras")</f>
        <v>0</v>
      </c>
      <c r="FD25" s="39">
        <f>SUMIFS(Lançamentos!$F:$F,Lançamentos!$A:$A,FD$19,Lançamentos!$C:$C,"Receitas Financeiras")</f>
        <v>0</v>
      </c>
      <c r="FE25" s="39">
        <f>SUMIFS(Lançamentos!$F:$F,Lançamentos!$A:$A,FE$19,Lançamentos!$C:$C,"Receitas Financeiras")</f>
        <v>0</v>
      </c>
      <c r="FF25" s="39">
        <f>SUMIFS(Lançamentos!$F:$F,Lançamentos!$A:$A,FF$19,Lançamentos!$C:$C,"Receitas Financeiras")</f>
        <v>0</v>
      </c>
      <c r="FG25" s="39">
        <f>SUMIFS(Lançamentos!$F:$F,Lançamentos!$A:$A,FG$19,Lançamentos!$C:$C,"Receitas Financeiras")</f>
        <v>0</v>
      </c>
      <c r="FH25" s="39">
        <f>SUMIFS(Lançamentos!$F:$F,Lançamentos!$A:$A,FH$19,Lançamentos!$C:$C,"Receitas Financeiras")</f>
        <v>0</v>
      </c>
      <c r="FI25" s="39">
        <f>SUMIFS(Lançamentos!$F:$F,Lançamentos!$A:$A,FI$19,Lançamentos!$C:$C,"Receitas Financeiras")</f>
        <v>0</v>
      </c>
      <c r="FJ25" s="39">
        <f>SUMIFS(Lançamentos!$F:$F,Lançamentos!$A:$A,FJ$19,Lançamentos!$C:$C,"Receitas Financeiras")</f>
        <v>0</v>
      </c>
      <c r="FK25" s="39">
        <f>SUMIFS(Lançamentos!$F:$F,Lançamentos!$A:$A,FK$19,Lançamentos!$C:$C,"Receitas Financeiras")</f>
        <v>0</v>
      </c>
      <c r="FL25" s="39">
        <f>SUMIFS(Lançamentos!$F:$F,Lançamentos!$A:$A,FL$19,Lançamentos!$C:$C,"Receitas Financeiras")</f>
        <v>0</v>
      </c>
      <c r="FM25" s="39">
        <f>SUMIFS(Lançamentos!$F:$F,Lançamentos!$A:$A,FM$19,Lançamentos!$C:$C,"Receitas Financeiras")</f>
        <v>0</v>
      </c>
      <c r="FN25" s="39">
        <f>SUMIFS(Lançamentos!$F:$F,Lançamentos!$A:$A,FN$19,Lançamentos!$C:$C,"Receitas Financeiras")</f>
        <v>0</v>
      </c>
      <c r="FO25" s="39">
        <f>SUMIFS(Lançamentos!$F:$F,Lançamentos!$A:$A,FO$19,Lançamentos!$C:$C,"Receitas Financeiras")</f>
        <v>0</v>
      </c>
      <c r="FP25" s="39">
        <f>SUMIFS(Lançamentos!$F:$F,Lançamentos!$A:$A,FP$19,Lançamentos!$C:$C,"Receitas Financeiras")</f>
        <v>0</v>
      </c>
      <c r="FQ25" s="39">
        <f>SUMIFS(Lançamentos!$F:$F,Lançamentos!$A:$A,FQ$19,Lançamentos!$C:$C,"Receitas Financeiras")</f>
        <v>0</v>
      </c>
      <c r="FR25" s="39">
        <f>SUMIFS(Lançamentos!$F:$F,Lançamentos!$A:$A,FR$19,Lançamentos!$C:$C,"Receitas Financeiras")</f>
        <v>0</v>
      </c>
      <c r="FS25" s="39">
        <f>SUMIFS(Lançamentos!$F:$F,Lançamentos!$A:$A,FS$19,Lançamentos!$C:$C,"Receitas Financeiras")</f>
        <v>0</v>
      </c>
      <c r="FT25" s="39">
        <f>SUMIFS(Lançamentos!$F:$F,Lançamentos!$A:$A,FT$19,Lançamentos!$C:$C,"Receitas Financeiras")</f>
        <v>0</v>
      </c>
      <c r="FU25" s="39">
        <f>SUMIFS(Lançamentos!$F:$F,Lançamentos!$A:$A,FU$19,Lançamentos!$C:$C,"Receitas Financeiras")</f>
        <v>0</v>
      </c>
      <c r="FV25" s="39">
        <f>SUMIFS(Lançamentos!$F:$F,Lançamentos!$A:$A,FV$19,Lançamentos!$C:$C,"Receitas Financeiras")</f>
        <v>0</v>
      </c>
      <c r="FW25" s="39">
        <f>SUMIFS(Lançamentos!$F:$F,Lançamentos!$A:$A,FW$19,Lançamentos!$C:$C,"Receitas Financeiras")</f>
        <v>0</v>
      </c>
      <c r="FX25" s="39">
        <f>SUMIFS(Lançamentos!$F:$F,Lançamentos!$A:$A,FX$19,Lançamentos!$C:$C,"Receitas Financeiras")</f>
        <v>0</v>
      </c>
      <c r="FY25" s="39">
        <f>SUMIFS(Lançamentos!$F:$F,Lançamentos!$A:$A,FY$19,Lançamentos!$C:$C,"Receitas Financeiras")</f>
        <v>0</v>
      </c>
      <c r="FZ25" s="39">
        <f>SUMIFS(Lançamentos!$F:$F,Lançamentos!$A:$A,FZ$19,Lançamentos!$C:$C,"Receitas Financeiras")</f>
        <v>0</v>
      </c>
      <c r="GA25" s="39">
        <f>SUMIFS(Lançamentos!$F:$F,Lançamentos!$A:$A,GA$19,Lançamentos!$C:$C,"Receitas Financeiras")</f>
        <v>0</v>
      </c>
      <c r="GB25" s="39">
        <f>SUMIFS(Lançamentos!$F:$F,Lançamentos!$A:$A,GB$19,Lançamentos!$C:$C,"Receitas Financeiras")</f>
        <v>0</v>
      </c>
      <c r="GC25" s="39">
        <f>SUMIFS(Lançamentos!$F:$F,Lançamentos!$A:$A,GC$19,Lançamentos!$C:$C,"Receitas Financeiras")</f>
        <v>0</v>
      </c>
      <c r="GD25" s="39">
        <f>SUMIFS(Lançamentos!$F:$F,Lançamentos!$A:$A,GD$19,Lançamentos!$C:$C,"Receitas Financeiras")</f>
        <v>0</v>
      </c>
      <c r="GE25" s="39">
        <f>SUMIFS(Lançamentos!$F:$F,Lançamentos!$A:$A,GE$19,Lançamentos!$C:$C,"Receitas Financeiras")</f>
        <v>0</v>
      </c>
      <c r="GF25" s="39">
        <f>SUMIFS(Lançamentos!$F:$F,Lançamentos!$A:$A,GF$19,Lançamentos!$C:$C,"Receitas Financeiras")</f>
        <v>0</v>
      </c>
      <c r="GG25" s="39">
        <f>SUMIFS(Lançamentos!$F:$F,Lançamentos!$A:$A,GG$19,Lançamentos!$C:$C,"Receitas Financeiras")</f>
        <v>0</v>
      </c>
      <c r="GH25" s="39">
        <f>SUMIFS(Lançamentos!$F:$F,Lançamentos!$A:$A,GH$19,Lançamentos!$C:$C,"Receitas Financeiras")</f>
        <v>0</v>
      </c>
      <c r="GI25" s="39">
        <f>SUMIFS(Lançamentos!$F:$F,Lançamentos!$A:$A,GI$19,Lançamentos!$C:$C,"Receitas Financeiras")</f>
        <v>0</v>
      </c>
      <c r="GJ25" s="39">
        <f>SUMIFS(Lançamentos!$F:$F,Lançamentos!$A:$A,GJ$19,Lançamentos!$C:$C,"Receitas Financeiras")</f>
        <v>0</v>
      </c>
      <c r="GK25" s="39">
        <f>SUMIFS(Lançamentos!$F:$F,Lançamentos!$A:$A,GK$19,Lançamentos!$C:$C,"Receitas Financeiras")</f>
        <v>0</v>
      </c>
      <c r="GL25" s="39">
        <f>SUMIFS(Lançamentos!$F:$F,Lançamentos!$A:$A,GL$19,Lançamentos!$C:$C,"Receitas Financeiras")</f>
        <v>0</v>
      </c>
      <c r="GM25" s="39">
        <f>SUMIFS(Lançamentos!$F:$F,Lançamentos!$A:$A,GM$19,Lançamentos!$C:$C,"Receitas Financeiras")</f>
        <v>0</v>
      </c>
      <c r="GN25" s="39">
        <f>SUMIFS(Lançamentos!$F:$F,Lançamentos!$A:$A,GN$19,Lançamentos!$C:$C,"Receitas Financeiras")</f>
        <v>0</v>
      </c>
      <c r="GO25" s="39">
        <f>SUMIFS(Lançamentos!$F:$F,Lançamentos!$A:$A,GO$19,Lançamentos!$C:$C,"Receitas Financeiras")</f>
        <v>0</v>
      </c>
      <c r="GP25" s="39">
        <f>SUMIFS(Lançamentos!$F:$F,Lançamentos!$A:$A,GP$19,Lançamentos!$C:$C,"Receitas Financeiras")</f>
        <v>0</v>
      </c>
      <c r="GQ25" s="39">
        <f>SUMIFS(Lançamentos!$F:$F,Lançamentos!$A:$A,GQ$19,Lançamentos!$C:$C,"Receitas Financeiras")</f>
        <v>0</v>
      </c>
      <c r="GR25" s="39">
        <f>SUMIFS(Lançamentos!$F:$F,Lançamentos!$A:$A,GR$19,Lançamentos!$C:$C,"Receitas Financeiras")</f>
        <v>0</v>
      </c>
      <c r="GS25" s="39">
        <f>SUMIFS(Lançamentos!$F:$F,Lançamentos!$A:$A,GS$19,Lançamentos!$C:$C,"Receitas Financeiras")</f>
        <v>0</v>
      </c>
      <c r="GT25" s="39">
        <f>SUMIFS(Lançamentos!$F:$F,Lançamentos!$A:$A,GT$19,Lançamentos!$C:$C,"Receitas Financeiras")</f>
        <v>0</v>
      </c>
      <c r="GU25" s="39">
        <f>SUMIFS(Lançamentos!$F:$F,Lançamentos!$A:$A,GU$19,Lançamentos!$C:$C,"Receitas Financeiras")</f>
        <v>0</v>
      </c>
      <c r="GV25" s="39">
        <f>SUMIFS(Lançamentos!$F:$F,Lançamentos!$A:$A,GV$19,Lançamentos!$C:$C,"Receitas Financeiras")</f>
        <v>0</v>
      </c>
      <c r="GW25" s="39">
        <f>SUMIFS(Lançamentos!$F:$F,Lançamentos!$A:$A,GW$19,Lançamentos!$C:$C,"Receitas Financeiras")</f>
        <v>0</v>
      </c>
      <c r="GX25" s="39">
        <f>SUMIFS(Lançamentos!$F:$F,Lançamentos!$A:$A,GX$19,Lançamentos!$C:$C,"Receitas Financeiras")</f>
        <v>0</v>
      </c>
      <c r="GY25" s="39">
        <f>SUMIFS(Lançamentos!$F:$F,Lançamentos!$A:$A,GY$19,Lançamentos!$C:$C,"Receitas Financeiras")</f>
        <v>0</v>
      </c>
      <c r="GZ25" s="39">
        <f>SUMIFS(Lançamentos!$F:$F,Lançamentos!$A:$A,GZ$19,Lançamentos!$C:$C,"Receitas Financeiras")</f>
        <v>0</v>
      </c>
      <c r="HA25" s="39">
        <f>SUMIFS(Lançamentos!$F:$F,Lançamentos!$A:$A,HA$19,Lançamentos!$C:$C,"Receitas Financeiras")</f>
        <v>0</v>
      </c>
      <c r="HB25" s="39">
        <f>SUMIFS(Lançamentos!$F:$F,Lançamentos!$A:$A,HB$19,Lançamentos!$C:$C,"Receitas Financeiras")</f>
        <v>0</v>
      </c>
      <c r="HC25" s="39">
        <f>SUMIFS(Lançamentos!$F:$F,Lançamentos!$A:$A,HC$19,Lançamentos!$C:$C,"Receitas Financeiras")</f>
        <v>0</v>
      </c>
      <c r="HD25" s="39">
        <f>SUMIFS(Lançamentos!$F:$F,Lançamentos!$A:$A,HD$19,Lançamentos!$C:$C,"Receitas Financeiras")</f>
        <v>0</v>
      </c>
      <c r="HE25" s="39">
        <f>SUMIFS(Lançamentos!$F:$F,Lançamentos!$A:$A,HE$19,Lançamentos!$C:$C,"Receitas Financeiras")</f>
        <v>0</v>
      </c>
      <c r="HF25" s="39">
        <f>SUMIFS(Lançamentos!$F:$F,Lançamentos!$A:$A,HF$19,Lançamentos!$C:$C,"Receitas Financeiras")</f>
        <v>0</v>
      </c>
      <c r="HG25" s="39">
        <f>SUMIFS(Lançamentos!$F:$F,Lançamentos!$A:$A,HG$19,Lançamentos!$C:$C,"Receitas Financeiras")</f>
        <v>0</v>
      </c>
      <c r="HH25" s="39">
        <f>SUMIFS(Lançamentos!$F:$F,Lançamentos!$A:$A,HH$19,Lançamentos!$C:$C,"Receitas Financeiras")</f>
        <v>0</v>
      </c>
      <c r="HI25" s="39">
        <f>SUMIFS(Lançamentos!$F:$F,Lançamentos!$A:$A,HI$19,Lançamentos!$C:$C,"Receitas Financeiras")</f>
        <v>0</v>
      </c>
      <c r="HJ25" s="39">
        <f>SUMIFS(Lançamentos!$F:$F,Lançamentos!$A:$A,HJ$19,Lançamentos!$C:$C,"Receitas Financeiras")</f>
        <v>0</v>
      </c>
      <c r="HK25" s="39">
        <f>SUMIFS(Lançamentos!$F:$F,Lançamentos!$A:$A,HK$19,Lançamentos!$C:$C,"Receitas Financeiras")</f>
        <v>0</v>
      </c>
      <c r="HL25" s="39">
        <f>SUMIFS(Lançamentos!$F:$F,Lançamentos!$A:$A,HL$19,Lançamentos!$C:$C,"Receitas Financeiras")</f>
        <v>0</v>
      </c>
      <c r="HM25" s="39">
        <f>SUMIFS(Lançamentos!$F:$F,Lançamentos!$A:$A,HM$19,Lançamentos!$C:$C,"Receitas Financeiras")</f>
        <v>0</v>
      </c>
      <c r="HN25" s="39">
        <f>SUMIFS(Lançamentos!$F:$F,Lançamentos!$A:$A,HN$19,Lançamentos!$C:$C,"Receitas Financeiras")</f>
        <v>0</v>
      </c>
      <c r="HO25" s="39">
        <f>SUMIFS(Lançamentos!$F:$F,Lançamentos!$A:$A,HO$19,Lançamentos!$C:$C,"Receitas Financeiras")</f>
        <v>0</v>
      </c>
      <c r="HP25" s="39">
        <f>SUMIFS(Lançamentos!$F:$F,Lançamentos!$A:$A,HP$19,Lançamentos!$C:$C,"Receitas Financeiras")</f>
        <v>0</v>
      </c>
      <c r="HQ25" s="39">
        <f>SUMIFS(Lançamentos!$F:$F,Lançamentos!$A:$A,HQ$19,Lançamentos!$C:$C,"Receitas Financeiras")</f>
        <v>0</v>
      </c>
      <c r="HR25" s="39">
        <f>SUMIFS(Lançamentos!$F:$F,Lançamentos!$A:$A,HR$19,Lançamentos!$C:$C,"Receitas Financeiras")</f>
        <v>0</v>
      </c>
      <c r="HS25" s="39">
        <f>SUMIFS(Lançamentos!$F:$F,Lançamentos!$A:$A,HS$19,Lançamentos!$C:$C,"Receitas Financeiras")</f>
        <v>0</v>
      </c>
      <c r="HT25" s="39">
        <f>SUMIFS(Lançamentos!$F:$F,Lançamentos!$A:$A,HT$19,Lançamentos!$C:$C,"Receitas Financeiras")</f>
        <v>0</v>
      </c>
      <c r="HU25" s="39">
        <f>SUMIFS(Lançamentos!$F:$F,Lançamentos!$A:$A,HU$19,Lançamentos!$C:$C,"Receitas Financeiras")</f>
        <v>0</v>
      </c>
      <c r="HV25" s="39">
        <f>SUMIFS(Lançamentos!$F:$F,Lançamentos!$A:$A,HV$19,Lançamentos!$C:$C,"Receitas Financeiras")</f>
        <v>0</v>
      </c>
      <c r="HW25" s="39">
        <f>SUMIFS(Lançamentos!$F:$F,Lançamentos!$A:$A,HW$19,Lançamentos!$C:$C,"Receitas Financeiras")</f>
        <v>0</v>
      </c>
      <c r="HX25" s="39">
        <f>SUMIFS(Lançamentos!$F:$F,Lançamentos!$A:$A,HX$19,Lançamentos!$C:$C,"Receitas Financeiras")</f>
        <v>0</v>
      </c>
      <c r="HY25" s="39">
        <f>SUMIFS(Lançamentos!$F:$F,Lançamentos!$A:$A,HY$19,Lançamentos!$C:$C,"Receitas Financeiras")</f>
        <v>0</v>
      </c>
      <c r="HZ25" s="39">
        <f>SUMIFS(Lançamentos!$F:$F,Lançamentos!$A:$A,HZ$19,Lançamentos!$C:$C,"Receitas Financeiras")</f>
        <v>0</v>
      </c>
      <c r="IA25" s="39">
        <f>SUMIFS(Lançamentos!$F:$F,Lançamentos!$A:$A,IA$19,Lançamentos!$C:$C,"Receitas Financeiras")</f>
        <v>0</v>
      </c>
      <c r="IB25" s="39">
        <f>SUMIFS(Lançamentos!$F:$F,Lançamentos!$A:$A,IB$19,Lançamentos!$C:$C,"Receitas Financeiras")</f>
        <v>0</v>
      </c>
      <c r="IC25" s="39">
        <f>SUMIFS(Lançamentos!$F:$F,Lançamentos!$A:$A,IC$19,Lançamentos!$C:$C,"Receitas Financeiras")</f>
        <v>0</v>
      </c>
      <c r="ID25" s="39">
        <f>SUMIFS(Lançamentos!$F:$F,Lançamentos!$A:$A,ID$19,Lançamentos!$C:$C,"Receitas Financeiras")</f>
        <v>0</v>
      </c>
      <c r="IE25" s="39">
        <f>SUMIFS(Lançamentos!$F:$F,Lançamentos!$A:$A,IE$19,Lançamentos!$C:$C,"Receitas Financeiras")</f>
        <v>0</v>
      </c>
      <c r="IF25" s="39">
        <f>SUMIFS(Lançamentos!$F:$F,Lançamentos!$A:$A,IF$19,Lançamentos!$C:$C,"Receitas Financeiras")</f>
        <v>0</v>
      </c>
      <c r="IG25" s="39">
        <f>SUMIFS(Lançamentos!$F:$F,Lançamentos!$A:$A,IG$19,Lançamentos!$C:$C,"Receitas Financeiras")</f>
        <v>0</v>
      </c>
      <c r="IH25" s="39">
        <f>SUMIFS(Lançamentos!$F:$F,Lançamentos!$A:$A,IH$19,Lançamentos!$C:$C,"Receitas Financeiras")</f>
        <v>0</v>
      </c>
      <c r="II25" s="39">
        <f>SUMIFS(Lançamentos!$F:$F,Lançamentos!$A:$A,II$19,Lançamentos!$C:$C,"Receitas Financeiras")</f>
        <v>0</v>
      </c>
      <c r="IJ25" s="39">
        <f>SUMIFS(Lançamentos!$F:$F,Lançamentos!$A:$A,IJ$19,Lançamentos!$C:$C,"Receitas Financeiras")</f>
        <v>0</v>
      </c>
      <c r="IK25" s="39">
        <f>SUMIFS(Lançamentos!$F:$F,Lançamentos!$A:$A,IK$19,Lançamentos!$C:$C,"Receitas Financeiras")</f>
        <v>0</v>
      </c>
      <c r="IL25" s="39">
        <f>SUMIFS(Lançamentos!$F:$F,Lançamentos!$A:$A,IL$19,Lançamentos!$C:$C,"Receitas Financeiras")</f>
        <v>0</v>
      </c>
    </row>
    <row r="26" spans="1:246" x14ac:dyDescent="0.3">
      <c r="A26" t="s">
        <v>88</v>
      </c>
      <c r="B26" s="39">
        <f>SUMIFS(Lançamentos!$F:$F,Lançamentos!$A:$A,B$19,Lançamentos!$C:$C,"Recebimento de Clientes")</f>
        <v>0</v>
      </c>
      <c r="C26" s="39">
        <f>SUMIFS(Lançamentos!$F:$F,Lançamentos!$A:$A,C$19,Lançamentos!$C:$C,"Recebimento de Clientes")</f>
        <v>0</v>
      </c>
      <c r="D26" s="39">
        <f>SUMIFS(Lançamentos!$F:$F,Lançamentos!$A:$A,D$19,Lançamentos!$C:$C,"Recebimento de Clientes")</f>
        <v>0</v>
      </c>
      <c r="E26" s="39">
        <f>SUMIFS(Lançamentos!$F:$F,Lançamentos!$A:$A,E$19,Lançamentos!$C:$C,"Recebimento de Clientes")</f>
        <v>0</v>
      </c>
      <c r="F26" s="39">
        <f>SUMIFS(Lançamentos!$F:$F,Lançamentos!$A:$A,F$19,Lançamentos!$C:$C,"Recebimento de Clientes")</f>
        <v>0</v>
      </c>
      <c r="G26" s="39">
        <f>SUMIFS(Lançamentos!$F:$F,Lançamentos!$A:$A,G$19,Lançamentos!$C:$C,"Recebimento de Clientes")</f>
        <v>0</v>
      </c>
      <c r="H26" s="39">
        <f>SUMIFS(Lançamentos!$F:$F,Lançamentos!$A:$A,H$19,Lançamentos!$C:$C,"Recebimento de Clientes")</f>
        <v>0</v>
      </c>
      <c r="I26" s="39">
        <f>SUMIFS(Lançamentos!$F:$F,Lançamentos!$A:$A,I$19,Lançamentos!$C:$C,"Recebimento de Clientes")</f>
        <v>0</v>
      </c>
      <c r="J26" s="39">
        <f>SUMIFS(Lançamentos!$F:$F,Lançamentos!$A:$A,J$19,Lançamentos!$C:$C,"Recebimento de Clientes")</f>
        <v>0</v>
      </c>
      <c r="K26" s="39">
        <f>SUMIFS(Lançamentos!$F:$F,Lançamentos!$A:$A,K$19,Lançamentos!$C:$C,"Recebimento de Clientes")</f>
        <v>0</v>
      </c>
      <c r="L26" s="39">
        <f>SUMIFS(Lançamentos!$F:$F,Lançamentos!$A:$A,L$19,Lançamentos!$C:$C,"Recebimento de Clientes")</f>
        <v>0</v>
      </c>
      <c r="M26" s="39">
        <f>SUMIFS(Lançamentos!$F:$F,Lançamentos!$A:$A,M$19,Lançamentos!$C:$C,"Recebimento de Clientes")</f>
        <v>0</v>
      </c>
      <c r="N26" s="39">
        <f>SUMIFS(Lançamentos!$F:$F,Lançamentos!$A:$A,N$19,Lançamentos!$C:$C,"Recebimento de Clientes")</f>
        <v>0</v>
      </c>
      <c r="O26" s="39">
        <f>SUMIFS(Lançamentos!$F:$F,Lançamentos!$A:$A,O$19,Lançamentos!$C:$C,"Recebimento de Clientes")</f>
        <v>0</v>
      </c>
      <c r="P26" s="39">
        <f>SUMIFS(Lançamentos!$F:$F,Lançamentos!$A:$A,P$19,Lançamentos!$C:$C,"Recebimento de Clientes")</f>
        <v>0</v>
      </c>
      <c r="Q26" s="39">
        <f>SUMIFS(Lançamentos!$F:$F,Lançamentos!$A:$A,Q$19,Lançamentos!$C:$C,"Recebimento de Clientes")</f>
        <v>0</v>
      </c>
      <c r="R26" s="39">
        <f>SUMIFS(Lançamentos!$F:$F,Lançamentos!$A:$A,R$19,Lançamentos!$C:$C,"Recebimento de Clientes")</f>
        <v>0</v>
      </c>
      <c r="S26" s="39">
        <f>SUMIFS(Lançamentos!$F:$F,Lançamentos!$A:$A,S$19,Lançamentos!$C:$C,"Recebimento de Clientes")</f>
        <v>0</v>
      </c>
      <c r="T26" s="39">
        <f>SUMIFS(Lançamentos!$F:$F,Lançamentos!$A:$A,T$19,Lançamentos!$C:$C,"Recebimento de Clientes")</f>
        <v>0</v>
      </c>
      <c r="U26" s="39">
        <f>SUMIFS(Lançamentos!$F:$F,Lançamentos!$A:$A,U$19,Lançamentos!$C:$C,"Recebimento de Clientes")</f>
        <v>0</v>
      </c>
      <c r="V26" s="39">
        <f>SUMIFS(Lançamentos!$F:$F,Lançamentos!$A:$A,V$19,Lançamentos!$C:$C,"Recebimento de Clientes")</f>
        <v>0</v>
      </c>
      <c r="W26" s="39">
        <f>SUMIFS(Lançamentos!$F:$F,Lançamentos!$A:$A,W$19,Lançamentos!$C:$C,"Recebimento de Clientes")</f>
        <v>0</v>
      </c>
      <c r="X26" s="39">
        <f>SUMIFS(Lançamentos!$F:$F,Lançamentos!$A:$A,X$19,Lançamentos!$C:$C,"Recebimento de Clientes")</f>
        <v>0</v>
      </c>
      <c r="Y26" s="39">
        <f>SUMIFS(Lançamentos!$F:$F,Lançamentos!$A:$A,Y$19,Lançamentos!$C:$C,"Recebimento de Clientes")</f>
        <v>0</v>
      </c>
      <c r="Z26" s="39">
        <f>SUMIFS(Lançamentos!$F:$F,Lançamentos!$A:$A,Z$19,Lançamentos!$C:$C,"Recebimento de Clientes")</f>
        <v>0</v>
      </c>
      <c r="AA26" s="39">
        <f>SUMIFS(Lançamentos!$F:$F,Lançamentos!$A:$A,AA$19,Lançamentos!$C:$C,"Recebimento de Clientes")</f>
        <v>0</v>
      </c>
      <c r="AB26" s="39">
        <f>SUMIFS(Lançamentos!$F:$F,Lançamentos!$A:$A,AB$19,Lançamentos!$C:$C,"Recebimento de Clientes")</f>
        <v>0</v>
      </c>
      <c r="AC26" s="39">
        <f>SUMIFS(Lançamentos!$F:$F,Lançamentos!$A:$A,AC$19,Lançamentos!$C:$C,"Recebimento de Clientes")</f>
        <v>0</v>
      </c>
      <c r="AD26" s="39">
        <f>SUMIFS(Lançamentos!$F:$F,Lançamentos!$A:$A,AD$19,Lançamentos!$C:$C,"Recebimento de Clientes")</f>
        <v>0</v>
      </c>
      <c r="AE26" s="39">
        <f>SUMIFS(Lançamentos!$F:$F,Lançamentos!$A:$A,AE$19,Lançamentos!$C:$C,"Recebimento de Clientes")</f>
        <v>0</v>
      </c>
      <c r="AF26" s="39">
        <f>SUMIFS(Lançamentos!$F:$F,Lançamentos!$A:$A,AF$19,Lançamentos!$C:$C,"Recebimento de Clientes")</f>
        <v>0</v>
      </c>
      <c r="AG26" s="39">
        <f>SUMIFS(Lançamentos!$F:$F,Lançamentos!$A:$A,AG$19,Lançamentos!$C:$C,"Recebimento de Clientes")</f>
        <v>0</v>
      </c>
      <c r="AH26" s="39">
        <f>SUMIFS(Lançamentos!$F:$F,Lançamentos!$A:$A,AH$19,Lançamentos!$C:$C,"Recebimento de Clientes")</f>
        <v>0</v>
      </c>
      <c r="AI26" s="39">
        <f>SUMIFS(Lançamentos!$F:$F,Lançamentos!$A:$A,AI$19,Lançamentos!$C:$C,"Recebimento de Clientes")</f>
        <v>0</v>
      </c>
      <c r="AJ26" s="39">
        <f>SUMIFS(Lançamentos!$F:$F,Lançamentos!$A:$A,AJ$19,Lançamentos!$C:$C,"Recebimento de Clientes")</f>
        <v>0</v>
      </c>
      <c r="AK26" s="39">
        <f>SUMIFS(Lançamentos!$F:$F,Lançamentos!$A:$A,AK$19,Lançamentos!$C:$C,"Recebimento de Clientes")</f>
        <v>0</v>
      </c>
      <c r="AL26" s="39">
        <f>SUMIFS(Lançamentos!$F:$F,Lançamentos!$A:$A,AL$19,Lançamentos!$C:$C,"Recebimento de Clientes")</f>
        <v>0</v>
      </c>
      <c r="AM26" s="39">
        <f>SUMIFS(Lançamentos!$F:$F,Lançamentos!$A:$A,AM$19,Lançamentos!$C:$C,"Recebimento de Clientes")</f>
        <v>0</v>
      </c>
      <c r="AN26" s="39">
        <f>SUMIFS(Lançamentos!$F:$F,Lançamentos!$A:$A,AN$19,Lançamentos!$C:$C,"Recebimento de Clientes")</f>
        <v>0</v>
      </c>
      <c r="AO26" s="39">
        <f>SUMIFS(Lançamentos!$F:$F,Lançamentos!$A:$A,AO$19,Lançamentos!$C:$C,"Recebimento de Clientes")</f>
        <v>0</v>
      </c>
      <c r="AP26" s="39">
        <f>SUMIFS(Lançamentos!$F:$F,Lançamentos!$A:$A,AP$19,Lançamentos!$C:$C,"Recebimento de Clientes")</f>
        <v>0</v>
      </c>
      <c r="AQ26" s="39">
        <f>SUMIFS(Lançamentos!$F:$F,Lançamentos!$A:$A,AQ$19,Lançamentos!$C:$C,"Recebimento de Clientes")</f>
        <v>0</v>
      </c>
      <c r="AR26" s="39">
        <f>SUMIFS(Lançamentos!$F:$F,Lançamentos!$A:$A,AR$19,Lançamentos!$C:$C,"Recebimento de Clientes")</f>
        <v>0</v>
      </c>
      <c r="AS26" s="39">
        <f>SUMIFS(Lançamentos!$F:$F,Lançamentos!$A:$A,AS$19,Lançamentos!$C:$C,"Recebimento de Clientes")</f>
        <v>0</v>
      </c>
      <c r="AT26" s="39">
        <f>SUMIFS(Lançamentos!$F:$F,Lançamentos!$A:$A,AT$19,Lançamentos!$C:$C,"Recebimento de Clientes")</f>
        <v>0</v>
      </c>
      <c r="AU26" s="39">
        <f>SUMIFS(Lançamentos!$F:$F,Lançamentos!$A:$A,AU$19,Lançamentos!$C:$C,"Recebimento de Clientes")</f>
        <v>0</v>
      </c>
      <c r="AV26" s="39">
        <f>SUMIFS(Lançamentos!$F:$F,Lançamentos!$A:$A,AV$19,Lançamentos!$C:$C,"Recebimento de Clientes")</f>
        <v>0</v>
      </c>
      <c r="AW26" s="39">
        <f>SUMIFS(Lançamentos!$F:$F,Lançamentos!$A:$A,AW$19,Lançamentos!$C:$C,"Recebimento de Clientes")</f>
        <v>0</v>
      </c>
      <c r="AX26" s="39">
        <f>SUMIFS(Lançamentos!$F:$F,Lançamentos!$A:$A,AX$19,Lançamentos!$C:$C,"Recebimento de Clientes")</f>
        <v>0</v>
      </c>
      <c r="AY26" s="39">
        <f>SUMIFS(Lançamentos!$F:$F,Lançamentos!$A:$A,AY$19,Lançamentos!$C:$C,"Recebimento de Clientes")</f>
        <v>0</v>
      </c>
      <c r="AZ26" s="39">
        <f>SUMIFS(Lançamentos!$F:$F,Lançamentos!$A:$A,AZ$19,Lançamentos!$C:$C,"Recebimento de Clientes")</f>
        <v>0</v>
      </c>
      <c r="BA26" s="39">
        <f>SUMIFS(Lançamentos!$F:$F,Lançamentos!$A:$A,BA$19,Lançamentos!$C:$C,"Recebimento de Clientes")</f>
        <v>0</v>
      </c>
      <c r="BB26" s="39">
        <f>SUMIFS(Lançamentos!$F:$F,Lançamentos!$A:$A,BB$19,Lançamentos!$C:$C,"Recebimento de Clientes")</f>
        <v>0</v>
      </c>
      <c r="BC26" s="39">
        <f>SUMIFS(Lançamentos!$F:$F,Lançamentos!$A:$A,BC$19,Lançamentos!$C:$C,"Recebimento de Clientes")</f>
        <v>0</v>
      </c>
      <c r="BD26" s="39">
        <f>SUMIFS(Lançamentos!$F:$F,Lançamentos!$A:$A,BD$19,Lançamentos!$C:$C,"Recebimento de Clientes")</f>
        <v>0</v>
      </c>
      <c r="BE26" s="39">
        <f>SUMIFS(Lançamentos!$F:$F,Lançamentos!$A:$A,BE$19,Lançamentos!$C:$C,"Recebimento de Clientes")</f>
        <v>0</v>
      </c>
      <c r="BF26" s="39">
        <f>SUMIFS(Lançamentos!$F:$F,Lançamentos!$A:$A,BF$19,Lançamentos!$C:$C,"Recebimento de Clientes")</f>
        <v>0</v>
      </c>
      <c r="BG26" s="39">
        <f>SUMIFS(Lançamentos!$F:$F,Lançamentos!$A:$A,BG$19,Lançamentos!$C:$C,"Recebimento de Clientes")</f>
        <v>0</v>
      </c>
      <c r="BH26" s="39">
        <f>SUMIFS(Lançamentos!$F:$F,Lançamentos!$A:$A,BH$19,Lançamentos!$C:$C,"Recebimento de Clientes")</f>
        <v>0</v>
      </c>
      <c r="BI26" s="39">
        <f>SUMIFS(Lançamentos!$F:$F,Lançamentos!$A:$A,BI$19,Lançamentos!$C:$C,"Recebimento de Clientes")</f>
        <v>0</v>
      </c>
      <c r="BJ26" s="39">
        <f>SUMIFS(Lançamentos!$F:$F,Lançamentos!$A:$A,BJ$19,Lançamentos!$C:$C,"Recebimento de Clientes")</f>
        <v>0</v>
      </c>
      <c r="BK26" s="39">
        <f>SUMIFS(Lançamentos!$F:$F,Lançamentos!$A:$A,BK$19,Lançamentos!$C:$C,"Recebimento de Clientes")</f>
        <v>0</v>
      </c>
      <c r="BL26" s="39">
        <f>SUMIFS(Lançamentos!$F:$F,Lançamentos!$A:$A,BL$19,Lançamentos!$C:$C,"Recebimento de Clientes")</f>
        <v>0</v>
      </c>
      <c r="BM26" s="39">
        <f>SUMIFS(Lançamentos!$F:$F,Lançamentos!$A:$A,BM$19,Lançamentos!$C:$C,"Recebimento de Clientes")</f>
        <v>0</v>
      </c>
      <c r="BN26" s="39">
        <f>SUMIFS(Lançamentos!$F:$F,Lançamentos!$A:$A,BN$19,Lançamentos!$C:$C,"Recebimento de Clientes")</f>
        <v>0</v>
      </c>
      <c r="BO26" s="39">
        <f>SUMIFS(Lançamentos!$F:$F,Lançamentos!$A:$A,BO$19,Lançamentos!$C:$C,"Recebimento de Clientes")</f>
        <v>0</v>
      </c>
      <c r="BP26" s="39">
        <f>SUMIFS(Lançamentos!$F:$F,Lançamentos!$A:$A,BP$19,Lançamentos!$C:$C,"Recebimento de Clientes")</f>
        <v>0</v>
      </c>
      <c r="BQ26" s="39">
        <f>SUMIFS(Lançamentos!$F:$F,Lançamentos!$A:$A,BQ$19,Lançamentos!$C:$C,"Recebimento de Clientes")</f>
        <v>0</v>
      </c>
      <c r="BR26" s="39">
        <f>SUMIFS(Lançamentos!$F:$F,Lançamentos!$A:$A,BR$19,Lançamentos!$C:$C,"Recebimento de Clientes")</f>
        <v>0</v>
      </c>
      <c r="BS26" s="39">
        <f>SUMIFS(Lançamentos!$F:$F,Lançamentos!$A:$A,BS$19,Lançamentos!$C:$C,"Recebimento de Clientes")</f>
        <v>0</v>
      </c>
      <c r="BT26" s="39">
        <f>SUMIFS(Lançamentos!$F:$F,Lançamentos!$A:$A,BT$19,Lançamentos!$C:$C,"Recebimento de Clientes")</f>
        <v>0</v>
      </c>
      <c r="BU26" s="39">
        <f>SUMIFS(Lançamentos!$F:$F,Lançamentos!$A:$A,BU$19,Lançamentos!$C:$C,"Recebimento de Clientes")</f>
        <v>0</v>
      </c>
      <c r="BV26" s="39">
        <f>SUMIFS(Lançamentos!$F:$F,Lançamentos!$A:$A,BV$19,Lançamentos!$C:$C,"Recebimento de Clientes")</f>
        <v>0</v>
      </c>
      <c r="BW26" s="39">
        <f>SUMIFS(Lançamentos!$F:$F,Lançamentos!$A:$A,BW$19,Lançamentos!$C:$C,"Recebimento de Clientes")</f>
        <v>0</v>
      </c>
      <c r="BX26" s="39">
        <f>SUMIFS(Lançamentos!$F:$F,Lançamentos!$A:$A,BX$19,Lançamentos!$C:$C,"Recebimento de Clientes")</f>
        <v>0</v>
      </c>
      <c r="BY26" s="39">
        <f>SUMIFS(Lançamentos!$F:$F,Lançamentos!$A:$A,BY$19,Lançamentos!$C:$C,"Recebimento de Clientes")</f>
        <v>0</v>
      </c>
      <c r="BZ26" s="39">
        <f>SUMIFS(Lançamentos!$F:$F,Lançamentos!$A:$A,BZ$19,Lançamentos!$C:$C,"Recebimento de Clientes")</f>
        <v>0</v>
      </c>
      <c r="CA26" s="39">
        <f>SUMIFS(Lançamentos!$F:$F,Lançamentos!$A:$A,CA$19,Lançamentos!$C:$C,"Recebimento de Clientes")</f>
        <v>0</v>
      </c>
      <c r="CB26" s="39">
        <f>SUMIFS(Lançamentos!$F:$F,Lançamentos!$A:$A,CB$19,Lançamentos!$C:$C,"Recebimento de Clientes")</f>
        <v>0</v>
      </c>
      <c r="CC26" s="39">
        <f>SUMIFS(Lançamentos!$F:$F,Lançamentos!$A:$A,CC$19,Lançamentos!$C:$C,"Recebimento de Clientes")</f>
        <v>0</v>
      </c>
      <c r="CD26" s="39">
        <f>SUMIFS(Lançamentos!$F:$F,Lançamentos!$A:$A,CD$19,Lançamentos!$C:$C,"Recebimento de Clientes")</f>
        <v>0</v>
      </c>
      <c r="CE26" s="39">
        <f>SUMIFS(Lançamentos!$F:$F,Lançamentos!$A:$A,CE$19,Lançamentos!$C:$C,"Recebimento de Clientes")</f>
        <v>0</v>
      </c>
      <c r="CF26" s="39">
        <f>SUMIFS(Lançamentos!$F:$F,Lançamentos!$A:$A,CF$19,Lançamentos!$C:$C,"Recebimento de Clientes")</f>
        <v>0</v>
      </c>
      <c r="CG26" s="39">
        <f>SUMIFS(Lançamentos!$F:$F,Lançamentos!$A:$A,CG$19,Lançamentos!$C:$C,"Recebimento de Clientes")</f>
        <v>0</v>
      </c>
      <c r="CH26" s="39">
        <f>SUMIFS(Lançamentos!$F:$F,Lançamentos!$A:$A,CH$19,Lançamentos!$C:$C,"Recebimento de Clientes")</f>
        <v>0</v>
      </c>
      <c r="CI26" s="39">
        <f>SUMIFS(Lançamentos!$F:$F,Lançamentos!$A:$A,CI$19,Lançamentos!$C:$C,"Recebimento de Clientes")</f>
        <v>0</v>
      </c>
      <c r="CJ26" s="39">
        <f>SUMIFS(Lançamentos!$F:$F,Lançamentos!$A:$A,CJ$19,Lançamentos!$C:$C,"Recebimento de Clientes")</f>
        <v>0</v>
      </c>
      <c r="CK26" s="39">
        <f>SUMIFS(Lançamentos!$F:$F,Lançamentos!$A:$A,CK$19,Lançamentos!$C:$C,"Recebimento de Clientes")</f>
        <v>0</v>
      </c>
      <c r="CL26" s="39">
        <f>SUMIFS(Lançamentos!$F:$F,Lançamentos!$A:$A,CL$19,Lançamentos!$C:$C,"Recebimento de Clientes")</f>
        <v>0</v>
      </c>
      <c r="CM26" s="39">
        <f>SUMIFS(Lançamentos!$F:$F,Lançamentos!$A:$A,CM$19,Lançamentos!$C:$C,"Recebimento de Clientes")</f>
        <v>0</v>
      </c>
      <c r="CN26" s="39">
        <f>SUMIFS(Lançamentos!$F:$F,Lançamentos!$A:$A,CN$19,Lançamentos!$C:$C,"Recebimento de Clientes")</f>
        <v>0</v>
      </c>
      <c r="CO26" s="39">
        <f>SUMIFS(Lançamentos!$F:$F,Lançamentos!$A:$A,CO$19,Lançamentos!$C:$C,"Recebimento de Clientes")</f>
        <v>0</v>
      </c>
      <c r="CP26" s="39">
        <f>SUMIFS(Lançamentos!$F:$F,Lançamentos!$A:$A,CP$19,Lançamentos!$C:$C,"Recebimento de Clientes")</f>
        <v>0</v>
      </c>
      <c r="CQ26" s="39">
        <f>SUMIFS(Lançamentos!$F:$F,Lançamentos!$A:$A,CQ$19,Lançamentos!$C:$C,"Recebimento de Clientes")</f>
        <v>0</v>
      </c>
      <c r="CR26" s="39">
        <f>SUMIFS(Lançamentos!$F:$F,Lançamentos!$A:$A,CR$19,Lançamentos!$C:$C,"Recebimento de Clientes")</f>
        <v>0</v>
      </c>
      <c r="CS26" s="39">
        <f>SUMIFS(Lançamentos!$F:$F,Lançamentos!$A:$A,CS$19,Lançamentos!$C:$C,"Recebimento de Clientes")</f>
        <v>0</v>
      </c>
      <c r="CT26" s="39">
        <f>SUMIFS(Lançamentos!$F:$F,Lançamentos!$A:$A,CT$19,Lançamentos!$C:$C,"Recebimento de Clientes")</f>
        <v>0</v>
      </c>
      <c r="CU26" s="39">
        <f>SUMIFS(Lançamentos!$F:$F,Lançamentos!$A:$A,CU$19,Lançamentos!$C:$C,"Recebimento de Clientes")</f>
        <v>0</v>
      </c>
      <c r="CV26" s="39">
        <f>SUMIFS(Lançamentos!$F:$F,Lançamentos!$A:$A,CV$19,Lançamentos!$C:$C,"Recebimento de Clientes")</f>
        <v>0</v>
      </c>
      <c r="CW26" s="39">
        <f>SUMIFS(Lançamentos!$F:$F,Lançamentos!$A:$A,CW$19,Lançamentos!$C:$C,"Recebimento de Clientes")</f>
        <v>0</v>
      </c>
      <c r="CX26" s="39">
        <f>SUMIFS(Lançamentos!$F:$F,Lançamentos!$A:$A,CX$19,Lançamentos!$C:$C,"Recebimento de Clientes")</f>
        <v>0</v>
      </c>
      <c r="CY26" s="39">
        <f>SUMIFS(Lançamentos!$F:$F,Lançamentos!$A:$A,CY$19,Lançamentos!$C:$C,"Recebimento de Clientes")</f>
        <v>0</v>
      </c>
      <c r="CZ26" s="39">
        <f>SUMIFS(Lançamentos!$F:$F,Lançamentos!$A:$A,CZ$19,Lançamentos!$C:$C,"Recebimento de Clientes")</f>
        <v>0</v>
      </c>
      <c r="DA26" s="39">
        <f>SUMIFS(Lançamentos!$F:$F,Lançamentos!$A:$A,DA$19,Lançamentos!$C:$C,"Recebimento de Clientes")</f>
        <v>0</v>
      </c>
      <c r="DB26" s="39">
        <f>SUMIFS(Lançamentos!$F:$F,Lançamentos!$A:$A,DB$19,Lançamentos!$C:$C,"Recebimento de Clientes")</f>
        <v>0</v>
      </c>
      <c r="DC26" s="39">
        <f>SUMIFS(Lançamentos!$F:$F,Lançamentos!$A:$A,DC$19,Lançamentos!$C:$C,"Recebimento de Clientes")</f>
        <v>0</v>
      </c>
      <c r="DD26" s="39">
        <f>SUMIFS(Lançamentos!$F:$F,Lançamentos!$A:$A,DD$19,Lançamentos!$C:$C,"Recebimento de Clientes")</f>
        <v>0</v>
      </c>
      <c r="DE26" s="39">
        <f>SUMIFS(Lançamentos!$F:$F,Lançamentos!$A:$A,DE$19,Lançamentos!$C:$C,"Recebimento de Clientes")</f>
        <v>0</v>
      </c>
      <c r="DF26" s="39">
        <f>SUMIFS(Lançamentos!$F:$F,Lançamentos!$A:$A,DF$19,Lançamentos!$C:$C,"Recebimento de Clientes")</f>
        <v>0</v>
      </c>
      <c r="DG26" s="39">
        <f>SUMIFS(Lançamentos!$F:$F,Lançamentos!$A:$A,DG$19,Lançamentos!$C:$C,"Recebimento de Clientes")</f>
        <v>0</v>
      </c>
      <c r="DH26" s="39">
        <f>SUMIFS(Lançamentos!$F:$F,Lançamentos!$A:$A,DH$19,Lançamentos!$C:$C,"Recebimento de Clientes")</f>
        <v>0</v>
      </c>
      <c r="DI26" s="39">
        <f>SUMIFS(Lançamentos!$F:$F,Lançamentos!$A:$A,DI$19,Lançamentos!$C:$C,"Recebimento de Clientes")</f>
        <v>0</v>
      </c>
      <c r="DJ26" s="39">
        <f>SUMIFS(Lançamentos!$F:$F,Lançamentos!$A:$A,DJ$19,Lançamentos!$C:$C,"Recebimento de Clientes")</f>
        <v>0</v>
      </c>
      <c r="DK26" s="39">
        <f>SUMIFS(Lançamentos!$F:$F,Lançamentos!$A:$A,DK$19,Lançamentos!$C:$C,"Recebimento de Clientes")</f>
        <v>0</v>
      </c>
      <c r="DL26" s="39">
        <f>SUMIFS(Lançamentos!$F:$F,Lançamentos!$A:$A,DL$19,Lançamentos!$C:$C,"Recebimento de Clientes")</f>
        <v>0</v>
      </c>
      <c r="DM26" s="39">
        <f>SUMIFS(Lançamentos!$F:$F,Lançamentos!$A:$A,DM$19,Lançamentos!$C:$C,"Recebimento de Clientes")</f>
        <v>0</v>
      </c>
      <c r="DN26" s="39">
        <f>SUMIFS(Lançamentos!$F:$F,Lançamentos!$A:$A,DN$19,Lançamentos!$C:$C,"Recebimento de Clientes")</f>
        <v>0</v>
      </c>
      <c r="DO26" s="39">
        <f>SUMIFS(Lançamentos!$F:$F,Lançamentos!$A:$A,DO$19,Lançamentos!$C:$C,"Recebimento de Clientes")</f>
        <v>0</v>
      </c>
      <c r="DP26" s="39">
        <f>SUMIFS(Lançamentos!$F:$F,Lançamentos!$A:$A,DP$19,Lançamentos!$C:$C,"Recebimento de Clientes")</f>
        <v>0</v>
      </c>
      <c r="DQ26" s="39">
        <f>SUMIFS(Lançamentos!$F:$F,Lançamentos!$A:$A,DQ$19,Lançamentos!$C:$C,"Recebimento de Clientes")</f>
        <v>0</v>
      </c>
      <c r="DR26" s="39">
        <f>SUMIFS(Lançamentos!$F:$F,Lançamentos!$A:$A,DR$19,Lançamentos!$C:$C,"Recebimento de Clientes")</f>
        <v>0</v>
      </c>
      <c r="DS26" s="39">
        <f>SUMIFS(Lançamentos!$F:$F,Lançamentos!$A:$A,DS$19,Lançamentos!$C:$C,"Recebimento de Clientes")</f>
        <v>0</v>
      </c>
      <c r="DT26" s="39">
        <f>SUMIFS(Lançamentos!$F:$F,Lançamentos!$A:$A,DT$19,Lançamentos!$C:$C,"Recebimento de Clientes")</f>
        <v>0</v>
      </c>
      <c r="DU26" s="39">
        <f>SUMIFS(Lançamentos!$F:$F,Lançamentos!$A:$A,DU$19,Lançamentos!$C:$C,"Recebimento de Clientes")</f>
        <v>0</v>
      </c>
      <c r="DV26" s="39">
        <f>SUMIFS(Lançamentos!$F:$F,Lançamentos!$A:$A,DV$19,Lançamentos!$C:$C,"Recebimento de Clientes")</f>
        <v>0</v>
      </c>
      <c r="DW26" s="39">
        <f>SUMIFS(Lançamentos!$F:$F,Lançamentos!$A:$A,DW$19,Lançamentos!$C:$C,"Recebimento de Clientes")</f>
        <v>0</v>
      </c>
      <c r="DX26" s="39">
        <f>SUMIFS(Lançamentos!$F:$F,Lançamentos!$A:$A,DX$19,Lançamentos!$C:$C,"Recebimento de Clientes")</f>
        <v>0</v>
      </c>
      <c r="DY26" s="39">
        <f>SUMIFS(Lançamentos!$F:$F,Lançamentos!$A:$A,DY$19,Lançamentos!$C:$C,"Recebimento de Clientes")</f>
        <v>0</v>
      </c>
      <c r="DZ26" s="39">
        <f>SUMIFS(Lançamentos!$F:$F,Lançamentos!$A:$A,DZ$19,Lançamentos!$C:$C,"Recebimento de Clientes")</f>
        <v>0</v>
      </c>
      <c r="EA26" s="39">
        <f>SUMIFS(Lançamentos!$F:$F,Lançamentos!$A:$A,EA$19,Lançamentos!$C:$C,"Recebimento de Clientes")</f>
        <v>0</v>
      </c>
      <c r="EB26" s="39">
        <f>SUMIFS(Lançamentos!$F:$F,Lançamentos!$A:$A,EB$19,Lançamentos!$C:$C,"Recebimento de Clientes")</f>
        <v>0</v>
      </c>
      <c r="EC26" s="39">
        <f>SUMIFS(Lançamentos!$F:$F,Lançamentos!$A:$A,EC$19,Lançamentos!$C:$C,"Recebimento de Clientes")</f>
        <v>0</v>
      </c>
      <c r="ED26" s="39">
        <f>SUMIFS(Lançamentos!$F:$F,Lançamentos!$A:$A,ED$19,Lançamentos!$C:$C,"Recebimento de Clientes")</f>
        <v>0</v>
      </c>
      <c r="EE26" s="39">
        <f>SUMIFS(Lançamentos!$F:$F,Lançamentos!$A:$A,EE$19,Lançamentos!$C:$C,"Recebimento de Clientes")</f>
        <v>0</v>
      </c>
      <c r="EF26" s="39">
        <f>SUMIFS(Lançamentos!$F:$F,Lançamentos!$A:$A,EF$19,Lançamentos!$C:$C,"Recebimento de Clientes")</f>
        <v>0</v>
      </c>
      <c r="EG26" s="39">
        <f>SUMIFS(Lançamentos!$F:$F,Lançamentos!$A:$A,EG$19,Lançamentos!$C:$C,"Recebimento de Clientes")</f>
        <v>0</v>
      </c>
      <c r="EH26" s="39">
        <f>SUMIFS(Lançamentos!$F:$F,Lançamentos!$A:$A,EH$19,Lançamentos!$C:$C,"Recebimento de Clientes")</f>
        <v>0</v>
      </c>
      <c r="EI26" s="39">
        <f>SUMIFS(Lançamentos!$F:$F,Lançamentos!$A:$A,EI$19,Lançamentos!$C:$C,"Recebimento de Clientes")</f>
        <v>0</v>
      </c>
      <c r="EJ26" s="39">
        <f>SUMIFS(Lançamentos!$F:$F,Lançamentos!$A:$A,EJ$19,Lançamentos!$C:$C,"Recebimento de Clientes")</f>
        <v>0</v>
      </c>
      <c r="EK26" s="39">
        <f>SUMIFS(Lançamentos!$F:$F,Lançamentos!$A:$A,EK$19,Lançamentos!$C:$C,"Recebimento de Clientes")</f>
        <v>0</v>
      </c>
      <c r="EL26" s="39">
        <f>SUMIFS(Lançamentos!$F:$F,Lançamentos!$A:$A,EL$19,Lançamentos!$C:$C,"Recebimento de Clientes")</f>
        <v>0</v>
      </c>
      <c r="EM26" s="39">
        <f>SUMIFS(Lançamentos!$F:$F,Lançamentos!$A:$A,EM$19,Lançamentos!$C:$C,"Recebimento de Clientes")</f>
        <v>0</v>
      </c>
      <c r="EN26" s="39">
        <f>SUMIFS(Lançamentos!$F:$F,Lançamentos!$A:$A,EN$19,Lançamentos!$C:$C,"Recebimento de Clientes")</f>
        <v>0</v>
      </c>
      <c r="EO26" s="39">
        <f>SUMIFS(Lançamentos!$F:$F,Lançamentos!$A:$A,EO$19,Lançamentos!$C:$C,"Recebimento de Clientes")</f>
        <v>0</v>
      </c>
      <c r="EP26" s="39">
        <f>SUMIFS(Lançamentos!$F:$F,Lançamentos!$A:$A,EP$19,Lançamentos!$C:$C,"Recebimento de Clientes")</f>
        <v>0</v>
      </c>
      <c r="EQ26" s="39">
        <f>SUMIFS(Lançamentos!$F:$F,Lançamentos!$A:$A,EQ$19,Lançamentos!$C:$C,"Recebimento de Clientes")</f>
        <v>0</v>
      </c>
      <c r="ER26" s="39">
        <f>SUMIFS(Lançamentos!$F:$F,Lançamentos!$A:$A,ER$19,Lançamentos!$C:$C,"Recebimento de Clientes")</f>
        <v>0</v>
      </c>
      <c r="ES26" s="39">
        <f>SUMIFS(Lançamentos!$F:$F,Lançamentos!$A:$A,ES$19,Lançamentos!$C:$C,"Recebimento de Clientes")</f>
        <v>0</v>
      </c>
      <c r="ET26" s="39">
        <f>SUMIFS(Lançamentos!$F:$F,Lançamentos!$A:$A,ET$19,Lançamentos!$C:$C,"Recebimento de Clientes")</f>
        <v>0</v>
      </c>
      <c r="EU26" s="39">
        <f>SUMIFS(Lançamentos!$F:$F,Lançamentos!$A:$A,EU$19,Lançamentos!$C:$C,"Recebimento de Clientes")</f>
        <v>0</v>
      </c>
      <c r="EV26" s="39">
        <f>SUMIFS(Lançamentos!$F:$F,Lançamentos!$A:$A,EV$19,Lançamentos!$C:$C,"Recebimento de Clientes")</f>
        <v>0</v>
      </c>
      <c r="EW26" s="39">
        <f>SUMIFS(Lançamentos!$F:$F,Lançamentos!$A:$A,EW$19,Lançamentos!$C:$C,"Recebimento de Clientes")</f>
        <v>0</v>
      </c>
      <c r="EX26" s="39">
        <f>SUMIFS(Lançamentos!$F:$F,Lançamentos!$A:$A,EX$19,Lançamentos!$C:$C,"Recebimento de Clientes")</f>
        <v>0</v>
      </c>
      <c r="EY26" s="39">
        <f>SUMIFS(Lançamentos!$F:$F,Lançamentos!$A:$A,EY$19,Lançamentos!$C:$C,"Recebimento de Clientes")</f>
        <v>0</v>
      </c>
      <c r="EZ26" s="39">
        <f>SUMIFS(Lançamentos!$F:$F,Lançamentos!$A:$A,EZ$19,Lançamentos!$C:$C,"Recebimento de Clientes")</f>
        <v>0</v>
      </c>
      <c r="FA26" s="39">
        <f>SUMIFS(Lançamentos!$F:$F,Lançamentos!$A:$A,FA$19,Lançamentos!$C:$C,"Recebimento de Clientes")</f>
        <v>0</v>
      </c>
      <c r="FB26" s="39">
        <f>SUMIFS(Lançamentos!$F:$F,Lançamentos!$A:$A,FB$19,Lançamentos!$C:$C,"Recebimento de Clientes")</f>
        <v>0</v>
      </c>
      <c r="FC26" s="39">
        <f>SUMIFS(Lançamentos!$F:$F,Lançamentos!$A:$A,FC$19,Lançamentos!$C:$C,"Recebimento de Clientes")</f>
        <v>0</v>
      </c>
      <c r="FD26" s="39">
        <f>SUMIFS(Lançamentos!$F:$F,Lançamentos!$A:$A,FD$19,Lançamentos!$C:$C,"Recebimento de Clientes")</f>
        <v>0</v>
      </c>
      <c r="FE26" s="39">
        <f>SUMIFS(Lançamentos!$F:$F,Lançamentos!$A:$A,FE$19,Lançamentos!$C:$C,"Recebimento de Clientes")</f>
        <v>0</v>
      </c>
      <c r="FF26" s="39">
        <f>SUMIFS(Lançamentos!$F:$F,Lançamentos!$A:$A,FF$19,Lançamentos!$C:$C,"Recebimento de Clientes")</f>
        <v>0</v>
      </c>
      <c r="FG26" s="39">
        <f>SUMIFS(Lançamentos!$F:$F,Lançamentos!$A:$A,FG$19,Lançamentos!$C:$C,"Recebimento de Clientes")</f>
        <v>0</v>
      </c>
      <c r="FH26" s="39">
        <f>SUMIFS(Lançamentos!$F:$F,Lançamentos!$A:$A,FH$19,Lançamentos!$C:$C,"Recebimento de Clientes")</f>
        <v>0</v>
      </c>
      <c r="FI26" s="39">
        <f>SUMIFS(Lançamentos!$F:$F,Lançamentos!$A:$A,FI$19,Lançamentos!$C:$C,"Recebimento de Clientes")</f>
        <v>0</v>
      </c>
      <c r="FJ26" s="39">
        <f>SUMIFS(Lançamentos!$F:$F,Lançamentos!$A:$A,FJ$19,Lançamentos!$C:$C,"Recebimento de Clientes")</f>
        <v>0</v>
      </c>
      <c r="FK26" s="39">
        <f>SUMIFS(Lançamentos!$F:$F,Lançamentos!$A:$A,FK$19,Lançamentos!$C:$C,"Recebimento de Clientes")</f>
        <v>0</v>
      </c>
      <c r="FL26" s="39">
        <f>SUMIFS(Lançamentos!$F:$F,Lançamentos!$A:$A,FL$19,Lançamentos!$C:$C,"Recebimento de Clientes")</f>
        <v>0</v>
      </c>
      <c r="FM26" s="39">
        <f>SUMIFS(Lançamentos!$F:$F,Lançamentos!$A:$A,FM$19,Lançamentos!$C:$C,"Recebimento de Clientes")</f>
        <v>0</v>
      </c>
      <c r="FN26" s="39">
        <f>SUMIFS(Lançamentos!$F:$F,Lançamentos!$A:$A,FN$19,Lançamentos!$C:$C,"Recebimento de Clientes")</f>
        <v>0</v>
      </c>
      <c r="FO26" s="39">
        <f>SUMIFS(Lançamentos!$F:$F,Lançamentos!$A:$A,FO$19,Lançamentos!$C:$C,"Recebimento de Clientes")</f>
        <v>0</v>
      </c>
      <c r="FP26" s="39">
        <f>SUMIFS(Lançamentos!$F:$F,Lançamentos!$A:$A,FP$19,Lançamentos!$C:$C,"Recebimento de Clientes")</f>
        <v>0</v>
      </c>
      <c r="FQ26" s="39">
        <f>SUMIFS(Lançamentos!$F:$F,Lançamentos!$A:$A,FQ$19,Lançamentos!$C:$C,"Recebimento de Clientes")</f>
        <v>0</v>
      </c>
      <c r="FR26" s="39">
        <f>SUMIFS(Lançamentos!$F:$F,Lançamentos!$A:$A,FR$19,Lançamentos!$C:$C,"Recebimento de Clientes")</f>
        <v>0</v>
      </c>
      <c r="FS26" s="39">
        <f>SUMIFS(Lançamentos!$F:$F,Lançamentos!$A:$A,FS$19,Lançamentos!$C:$C,"Recebimento de Clientes")</f>
        <v>0</v>
      </c>
      <c r="FT26" s="39">
        <f>SUMIFS(Lançamentos!$F:$F,Lançamentos!$A:$A,FT$19,Lançamentos!$C:$C,"Recebimento de Clientes")</f>
        <v>0</v>
      </c>
      <c r="FU26" s="39">
        <f>SUMIFS(Lançamentos!$F:$F,Lançamentos!$A:$A,FU$19,Lançamentos!$C:$C,"Recebimento de Clientes")</f>
        <v>0</v>
      </c>
      <c r="FV26" s="39">
        <f>SUMIFS(Lançamentos!$F:$F,Lançamentos!$A:$A,FV$19,Lançamentos!$C:$C,"Recebimento de Clientes")</f>
        <v>0</v>
      </c>
      <c r="FW26" s="39">
        <f>SUMIFS(Lançamentos!$F:$F,Lançamentos!$A:$A,FW$19,Lançamentos!$C:$C,"Recebimento de Clientes")</f>
        <v>0</v>
      </c>
      <c r="FX26" s="39">
        <f>SUMIFS(Lançamentos!$F:$F,Lançamentos!$A:$A,FX$19,Lançamentos!$C:$C,"Recebimento de Clientes")</f>
        <v>0</v>
      </c>
      <c r="FY26" s="39">
        <f>SUMIFS(Lançamentos!$F:$F,Lançamentos!$A:$A,FY$19,Lançamentos!$C:$C,"Recebimento de Clientes")</f>
        <v>0</v>
      </c>
      <c r="FZ26" s="39">
        <f>SUMIFS(Lançamentos!$F:$F,Lançamentos!$A:$A,FZ$19,Lançamentos!$C:$C,"Recebimento de Clientes")</f>
        <v>0</v>
      </c>
      <c r="GA26" s="39">
        <f>SUMIFS(Lançamentos!$F:$F,Lançamentos!$A:$A,GA$19,Lançamentos!$C:$C,"Recebimento de Clientes")</f>
        <v>0</v>
      </c>
      <c r="GB26" s="39">
        <f>SUMIFS(Lançamentos!$F:$F,Lançamentos!$A:$A,GB$19,Lançamentos!$C:$C,"Recebimento de Clientes")</f>
        <v>0</v>
      </c>
      <c r="GC26" s="39">
        <f>SUMIFS(Lançamentos!$F:$F,Lançamentos!$A:$A,GC$19,Lançamentos!$C:$C,"Recebimento de Clientes")</f>
        <v>0</v>
      </c>
      <c r="GD26" s="39">
        <f>SUMIFS(Lançamentos!$F:$F,Lançamentos!$A:$A,GD$19,Lançamentos!$C:$C,"Recebimento de Clientes")</f>
        <v>0</v>
      </c>
      <c r="GE26" s="39">
        <f>SUMIFS(Lançamentos!$F:$F,Lançamentos!$A:$A,GE$19,Lançamentos!$C:$C,"Recebimento de Clientes")</f>
        <v>0</v>
      </c>
      <c r="GF26" s="39">
        <f>SUMIFS(Lançamentos!$F:$F,Lançamentos!$A:$A,GF$19,Lançamentos!$C:$C,"Recebimento de Clientes")</f>
        <v>0</v>
      </c>
      <c r="GG26" s="39">
        <f>SUMIFS(Lançamentos!$F:$F,Lançamentos!$A:$A,GG$19,Lançamentos!$C:$C,"Recebimento de Clientes")</f>
        <v>0</v>
      </c>
      <c r="GH26" s="39">
        <f>SUMIFS(Lançamentos!$F:$F,Lançamentos!$A:$A,GH$19,Lançamentos!$C:$C,"Recebimento de Clientes")</f>
        <v>0</v>
      </c>
      <c r="GI26" s="39">
        <f>SUMIFS(Lançamentos!$F:$F,Lançamentos!$A:$A,GI$19,Lançamentos!$C:$C,"Recebimento de Clientes")</f>
        <v>0</v>
      </c>
      <c r="GJ26" s="39">
        <f>SUMIFS(Lançamentos!$F:$F,Lançamentos!$A:$A,GJ$19,Lançamentos!$C:$C,"Recebimento de Clientes")</f>
        <v>0</v>
      </c>
      <c r="GK26" s="39">
        <f>SUMIFS(Lançamentos!$F:$F,Lançamentos!$A:$A,GK$19,Lançamentos!$C:$C,"Recebimento de Clientes")</f>
        <v>0</v>
      </c>
      <c r="GL26" s="39">
        <f>SUMIFS(Lançamentos!$F:$F,Lançamentos!$A:$A,GL$19,Lançamentos!$C:$C,"Recebimento de Clientes")</f>
        <v>0</v>
      </c>
      <c r="GM26" s="39">
        <f>SUMIFS(Lançamentos!$F:$F,Lançamentos!$A:$A,GM$19,Lançamentos!$C:$C,"Recebimento de Clientes")</f>
        <v>0</v>
      </c>
      <c r="GN26" s="39">
        <f>SUMIFS(Lançamentos!$F:$F,Lançamentos!$A:$A,GN$19,Lançamentos!$C:$C,"Recebimento de Clientes")</f>
        <v>0</v>
      </c>
      <c r="GO26" s="39">
        <f>SUMIFS(Lançamentos!$F:$F,Lançamentos!$A:$A,GO$19,Lançamentos!$C:$C,"Recebimento de Clientes")</f>
        <v>0</v>
      </c>
      <c r="GP26" s="39">
        <f>SUMIFS(Lançamentos!$F:$F,Lançamentos!$A:$A,GP$19,Lançamentos!$C:$C,"Recebimento de Clientes")</f>
        <v>0</v>
      </c>
      <c r="GQ26" s="39">
        <f>SUMIFS(Lançamentos!$F:$F,Lançamentos!$A:$A,GQ$19,Lançamentos!$C:$C,"Recebimento de Clientes")</f>
        <v>0</v>
      </c>
      <c r="GR26" s="39">
        <f>SUMIFS(Lançamentos!$F:$F,Lançamentos!$A:$A,GR$19,Lançamentos!$C:$C,"Recebimento de Clientes")</f>
        <v>0</v>
      </c>
      <c r="GS26" s="39">
        <f>SUMIFS(Lançamentos!$F:$F,Lançamentos!$A:$A,GS$19,Lançamentos!$C:$C,"Recebimento de Clientes")</f>
        <v>0</v>
      </c>
      <c r="GT26" s="39">
        <f>SUMIFS(Lançamentos!$F:$F,Lançamentos!$A:$A,GT$19,Lançamentos!$C:$C,"Recebimento de Clientes")</f>
        <v>0</v>
      </c>
      <c r="GU26" s="39">
        <f>SUMIFS(Lançamentos!$F:$F,Lançamentos!$A:$A,GU$19,Lançamentos!$C:$C,"Recebimento de Clientes")</f>
        <v>0</v>
      </c>
      <c r="GV26" s="39">
        <f>SUMIFS(Lançamentos!$F:$F,Lançamentos!$A:$A,GV$19,Lançamentos!$C:$C,"Recebimento de Clientes")</f>
        <v>0</v>
      </c>
      <c r="GW26" s="39">
        <f>SUMIFS(Lançamentos!$F:$F,Lançamentos!$A:$A,GW$19,Lançamentos!$C:$C,"Recebimento de Clientes")</f>
        <v>0</v>
      </c>
      <c r="GX26" s="39">
        <f>SUMIFS(Lançamentos!$F:$F,Lançamentos!$A:$A,GX$19,Lançamentos!$C:$C,"Recebimento de Clientes")</f>
        <v>0</v>
      </c>
      <c r="GY26" s="39">
        <f>SUMIFS(Lançamentos!$F:$F,Lançamentos!$A:$A,GY$19,Lançamentos!$C:$C,"Recebimento de Clientes")</f>
        <v>0</v>
      </c>
      <c r="GZ26" s="39">
        <f>SUMIFS(Lançamentos!$F:$F,Lançamentos!$A:$A,GZ$19,Lançamentos!$C:$C,"Recebimento de Clientes")</f>
        <v>0</v>
      </c>
      <c r="HA26" s="39">
        <f>SUMIFS(Lançamentos!$F:$F,Lançamentos!$A:$A,HA$19,Lançamentos!$C:$C,"Recebimento de Clientes")</f>
        <v>0</v>
      </c>
      <c r="HB26" s="39">
        <f>SUMIFS(Lançamentos!$F:$F,Lançamentos!$A:$A,HB$19,Lançamentos!$C:$C,"Recebimento de Clientes")</f>
        <v>0</v>
      </c>
      <c r="HC26" s="39">
        <f>SUMIFS(Lançamentos!$F:$F,Lançamentos!$A:$A,HC$19,Lançamentos!$C:$C,"Recebimento de Clientes")</f>
        <v>0</v>
      </c>
      <c r="HD26" s="39">
        <f>SUMIFS(Lançamentos!$F:$F,Lançamentos!$A:$A,HD$19,Lançamentos!$C:$C,"Recebimento de Clientes")</f>
        <v>0</v>
      </c>
      <c r="HE26" s="39">
        <f>SUMIFS(Lançamentos!$F:$F,Lançamentos!$A:$A,HE$19,Lançamentos!$C:$C,"Recebimento de Clientes")</f>
        <v>0</v>
      </c>
      <c r="HF26" s="39">
        <f>SUMIFS(Lançamentos!$F:$F,Lançamentos!$A:$A,HF$19,Lançamentos!$C:$C,"Recebimento de Clientes")</f>
        <v>0</v>
      </c>
      <c r="HG26" s="39">
        <f>SUMIFS(Lançamentos!$F:$F,Lançamentos!$A:$A,HG$19,Lançamentos!$C:$C,"Recebimento de Clientes")</f>
        <v>0</v>
      </c>
      <c r="HH26" s="39">
        <f>SUMIFS(Lançamentos!$F:$F,Lançamentos!$A:$A,HH$19,Lançamentos!$C:$C,"Recebimento de Clientes")</f>
        <v>0</v>
      </c>
      <c r="HI26" s="39">
        <f>SUMIFS(Lançamentos!$F:$F,Lançamentos!$A:$A,HI$19,Lançamentos!$C:$C,"Recebimento de Clientes")</f>
        <v>0</v>
      </c>
      <c r="HJ26" s="39">
        <f>SUMIFS(Lançamentos!$F:$F,Lançamentos!$A:$A,HJ$19,Lançamentos!$C:$C,"Recebimento de Clientes")</f>
        <v>0</v>
      </c>
      <c r="HK26" s="39">
        <f>SUMIFS(Lançamentos!$F:$F,Lançamentos!$A:$A,HK$19,Lançamentos!$C:$C,"Recebimento de Clientes")</f>
        <v>0</v>
      </c>
      <c r="HL26" s="39">
        <f>SUMIFS(Lançamentos!$F:$F,Lançamentos!$A:$A,HL$19,Lançamentos!$C:$C,"Recebimento de Clientes")</f>
        <v>0</v>
      </c>
      <c r="HM26" s="39">
        <f>SUMIFS(Lançamentos!$F:$F,Lançamentos!$A:$A,HM$19,Lançamentos!$C:$C,"Recebimento de Clientes")</f>
        <v>0</v>
      </c>
      <c r="HN26" s="39">
        <f>SUMIFS(Lançamentos!$F:$F,Lançamentos!$A:$A,HN$19,Lançamentos!$C:$C,"Recebimento de Clientes")</f>
        <v>0</v>
      </c>
      <c r="HO26" s="39">
        <f>SUMIFS(Lançamentos!$F:$F,Lançamentos!$A:$A,HO$19,Lançamentos!$C:$C,"Recebimento de Clientes")</f>
        <v>0</v>
      </c>
      <c r="HP26" s="39">
        <f>SUMIFS(Lançamentos!$F:$F,Lançamentos!$A:$A,HP$19,Lançamentos!$C:$C,"Recebimento de Clientes")</f>
        <v>0</v>
      </c>
      <c r="HQ26" s="39">
        <f>SUMIFS(Lançamentos!$F:$F,Lançamentos!$A:$A,HQ$19,Lançamentos!$C:$C,"Recebimento de Clientes")</f>
        <v>0</v>
      </c>
      <c r="HR26" s="39">
        <f>SUMIFS(Lançamentos!$F:$F,Lançamentos!$A:$A,HR$19,Lançamentos!$C:$C,"Recebimento de Clientes")</f>
        <v>0</v>
      </c>
      <c r="HS26" s="39">
        <f>SUMIFS(Lançamentos!$F:$F,Lançamentos!$A:$A,HS$19,Lançamentos!$C:$C,"Recebimento de Clientes")</f>
        <v>0</v>
      </c>
      <c r="HT26" s="39">
        <f>SUMIFS(Lançamentos!$F:$F,Lançamentos!$A:$A,HT$19,Lançamentos!$C:$C,"Recebimento de Clientes")</f>
        <v>0</v>
      </c>
      <c r="HU26" s="39">
        <f>SUMIFS(Lançamentos!$F:$F,Lançamentos!$A:$A,HU$19,Lançamentos!$C:$C,"Recebimento de Clientes")</f>
        <v>0</v>
      </c>
      <c r="HV26" s="39">
        <f>SUMIFS(Lançamentos!$F:$F,Lançamentos!$A:$A,HV$19,Lançamentos!$C:$C,"Recebimento de Clientes")</f>
        <v>0</v>
      </c>
      <c r="HW26" s="39">
        <f>SUMIFS(Lançamentos!$F:$F,Lançamentos!$A:$A,HW$19,Lançamentos!$C:$C,"Recebimento de Clientes")</f>
        <v>0</v>
      </c>
      <c r="HX26" s="39">
        <f>SUMIFS(Lançamentos!$F:$F,Lançamentos!$A:$A,HX$19,Lançamentos!$C:$C,"Recebimento de Clientes")</f>
        <v>0</v>
      </c>
      <c r="HY26" s="39">
        <f>SUMIFS(Lançamentos!$F:$F,Lançamentos!$A:$A,HY$19,Lançamentos!$C:$C,"Recebimento de Clientes")</f>
        <v>0</v>
      </c>
      <c r="HZ26" s="39">
        <f>SUMIFS(Lançamentos!$F:$F,Lançamentos!$A:$A,HZ$19,Lançamentos!$C:$C,"Recebimento de Clientes")</f>
        <v>0</v>
      </c>
      <c r="IA26" s="39">
        <f>SUMIFS(Lançamentos!$F:$F,Lançamentos!$A:$A,IA$19,Lançamentos!$C:$C,"Recebimento de Clientes")</f>
        <v>0</v>
      </c>
      <c r="IB26" s="39">
        <f>SUMIFS(Lançamentos!$F:$F,Lançamentos!$A:$A,IB$19,Lançamentos!$C:$C,"Recebimento de Clientes")</f>
        <v>0</v>
      </c>
      <c r="IC26" s="39">
        <f>SUMIFS(Lançamentos!$F:$F,Lançamentos!$A:$A,IC$19,Lançamentos!$C:$C,"Recebimento de Clientes")</f>
        <v>0</v>
      </c>
      <c r="ID26" s="39">
        <f>SUMIFS(Lançamentos!$F:$F,Lançamentos!$A:$A,ID$19,Lançamentos!$C:$C,"Recebimento de Clientes")</f>
        <v>0</v>
      </c>
      <c r="IE26" s="39">
        <f>SUMIFS(Lançamentos!$F:$F,Lançamentos!$A:$A,IE$19,Lançamentos!$C:$C,"Recebimento de Clientes")</f>
        <v>0</v>
      </c>
      <c r="IF26" s="39">
        <f>SUMIFS(Lançamentos!$F:$F,Lançamentos!$A:$A,IF$19,Lançamentos!$C:$C,"Recebimento de Clientes")</f>
        <v>0</v>
      </c>
      <c r="IG26" s="39">
        <f>SUMIFS(Lançamentos!$F:$F,Lançamentos!$A:$A,IG$19,Lançamentos!$C:$C,"Recebimento de Clientes")</f>
        <v>0</v>
      </c>
      <c r="IH26" s="39">
        <f>SUMIFS(Lançamentos!$F:$F,Lançamentos!$A:$A,IH$19,Lançamentos!$C:$C,"Recebimento de Clientes")</f>
        <v>0</v>
      </c>
      <c r="II26" s="39">
        <f>SUMIFS(Lançamentos!$F:$F,Lançamentos!$A:$A,II$19,Lançamentos!$C:$C,"Recebimento de Clientes")</f>
        <v>0</v>
      </c>
      <c r="IJ26" s="39">
        <f>SUMIFS(Lançamentos!$F:$F,Lançamentos!$A:$A,IJ$19,Lançamentos!$C:$C,"Recebimento de Clientes")</f>
        <v>0</v>
      </c>
      <c r="IK26" s="39">
        <f>SUMIFS(Lançamentos!$F:$F,Lançamentos!$A:$A,IK$19,Lançamentos!$C:$C,"Recebimento de Clientes")</f>
        <v>0</v>
      </c>
      <c r="IL26" s="39">
        <f>SUMIFS(Lançamentos!$F:$F,Lançamentos!$A:$A,IL$19,Lançamentos!$C:$C,"Recebimento de Clientes")</f>
        <v>0</v>
      </c>
    </row>
    <row r="27" spans="1:246" x14ac:dyDescent="0.3">
      <c r="A27" t="s">
        <v>89</v>
      </c>
      <c r="B27" s="39">
        <f>SUMIFS(Lançamentos!$F:$F,Lançamentos!$A:$A,B$19,Lançamentos!$C:$C,"Vendas Online")</f>
        <v>0</v>
      </c>
      <c r="C27" s="39">
        <f>SUMIFS(Lançamentos!$F:$F,Lançamentos!$A:$A,C$19,Lançamentos!$C:$C,"Vendas Online")</f>
        <v>0</v>
      </c>
      <c r="D27" s="39">
        <f>SUMIFS(Lançamentos!$F:$F,Lançamentos!$A:$A,D$19,Lançamentos!$C:$C,"Vendas Online")</f>
        <v>0</v>
      </c>
      <c r="E27" s="39">
        <f>SUMIFS(Lançamentos!$F:$F,Lançamentos!$A:$A,E$19,Lançamentos!$C:$C,"Vendas Online")</f>
        <v>0</v>
      </c>
      <c r="F27" s="39">
        <f>SUMIFS(Lançamentos!$F:$F,Lançamentos!$A:$A,F$19,Lançamentos!$C:$C,"Vendas Online")</f>
        <v>0</v>
      </c>
      <c r="G27" s="39">
        <f>SUMIFS(Lançamentos!$F:$F,Lançamentos!$A:$A,G$19,Lançamentos!$C:$C,"Vendas Online")</f>
        <v>0</v>
      </c>
      <c r="H27" s="39">
        <f>SUMIFS(Lançamentos!$F:$F,Lançamentos!$A:$A,H$19,Lançamentos!$C:$C,"Vendas Online")</f>
        <v>0</v>
      </c>
      <c r="I27" s="39">
        <f>SUMIFS(Lançamentos!$F:$F,Lançamentos!$A:$A,I$19,Lançamentos!$C:$C,"Vendas Online")</f>
        <v>0</v>
      </c>
      <c r="J27" s="39">
        <f>SUMIFS(Lançamentos!$F:$F,Lançamentos!$A:$A,J$19,Lançamentos!$C:$C,"Vendas Online")</f>
        <v>0</v>
      </c>
      <c r="K27" s="39">
        <f>SUMIFS(Lançamentos!$F:$F,Lançamentos!$A:$A,K$19,Lançamentos!$C:$C,"Vendas Online")</f>
        <v>0</v>
      </c>
      <c r="L27" s="39">
        <f>SUMIFS(Lançamentos!$F:$F,Lançamentos!$A:$A,L$19,Lançamentos!$C:$C,"Vendas Online")</f>
        <v>0</v>
      </c>
      <c r="M27" s="39">
        <f>SUMIFS(Lançamentos!$F:$F,Lançamentos!$A:$A,M$19,Lançamentos!$C:$C,"Vendas Online")</f>
        <v>0</v>
      </c>
      <c r="N27" s="39">
        <f>SUMIFS(Lançamentos!$F:$F,Lançamentos!$A:$A,N$19,Lançamentos!$C:$C,"Vendas Online")</f>
        <v>0</v>
      </c>
      <c r="O27" s="39">
        <f>SUMIFS(Lançamentos!$F:$F,Lançamentos!$A:$A,O$19,Lançamentos!$C:$C,"Vendas Online")</f>
        <v>0</v>
      </c>
      <c r="P27" s="39">
        <f>SUMIFS(Lançamentos!$F:$F,Lançamentos!$A:$A,P$19,Lançamentos!$C:$C,"Vendas Online")</f>
        <v>0</v>
      </c>
      <c r="Q27" s="39">
        <f>SUMIFS(Lançamentos!$F:$F,Lançamentos!$A:$A,Q$19,Lançamentos!$C:$C,"Vendas Online")</f>
        <v>0</v>
      </c>
      <c r="R27" s="39">
        <f>SUMIFS(Lançamentos!$F:$F,Lançamentos!$A:$A,R$19,Lançamentos!$C:$C,"Vendas Online")</f>
        <v>0</v>
      </c>
      <c r="S27" s="39">
        <f>SUMIFS(Lançamentos!$F:$F,Lançamentos!$A:$A,S$19,Lançamentos!$C:$C,"Vendas Online")</f>
        <v>0</v>
      </c>
      <c r="T27" s="39">
        <f>SUMIFS(Lançamentos!$F:$F,Lançamentos!$A:$A,T$19,Lançamentos!$C:$C,"Vendas Online")</f>
        <v>0</v>
      </c>
      <c r="U27" s="39">
        <f>SUMIFS(Lançamentos!$F:$F,Lançamentos!$A:$A,U$19,Lançamentos!$C:$C,"Vendas Online")</f>
        <v>0</v>
      </c>
      <c r="V27" s="39">
        <f>SUMIFS(Lançamentos!$F:$F,Lançamentos!$A:$A,V$19,Lançamentos!$C:$C,"Vendas Online")</f>
        <v>0</v>
      </c>
      <c r="W27" s="39">
        <f>SUMIFS(Lançamentos!$F:$F,Lançamentos!$A:$A,W$19,Lançamentos!$C:$C,"Vendas Online")</f>
        <v>0</v>
      </c>
      <c r="X27" s="39">
        <f>SUMIFS(Lançamentos!$F:$F,Lançamentos!$A:$A,X$19,Lançamentos!$C:$C,"Vendas Online")</f>
        <v>0</v>
      </c>
      <c r="Y27" s="39">
        <f>SUMIFS(Lançamentos!$F:$F,Lançamentos!$A:$A,Y$19,Lançamentos!$C:$C,"Vendas Online")</f>
        <v>0</v>
      </c>
      <c r="Z27" s="39">
        <f>SUMIFS(Lançamentos!$F:$F,Lançamentos!$A:$A,Z$19,Lançamentos!$C:$C,"Vendas Online")</f>
        <v>0</v>
      </c>
      <c r="AA27" s="39">
        <f>SUMIFS(Lançamentos!$F:$F,Lançamentos!$A:$A,AA$19,Lançamentos!$C:$C,"Vendas Online")</f>
        <v>0</v>
      </c>
      <c r="AB27" s="39">
        <f>SUMIFS(Lançamentos!$F:$F,Lançamentos!$A:$A,AB$19,Lançamentos!$C:$C,"Vendas Online")</f>
        <v>0</v>
      </c>
      <c r="AC27" s="39">
        <f>SUMIFS(Lançamentos!$F:$F,Lançamentos!$A:$A,AC$19,Lançamentos!$C:$C,"Vendas Online")</f>
        <v>0</v>
      </c>
      <c r="AD27" s="39">
        <f>SUMIFS(Lançamentos!$F:$F,Lançamentos!$A:$A,AD$19,Lançamentos!$C:$C,"Vendas Online")</f>
        <v>0</v>
      </c>
      <c r="AE27" s="39">
        <f>SUMIFS(Lançamentos!$F:$F,Lançamentos!$A:$A,AE$19,Lançamentos!$C:$C,"Vendas Online")</f>
        <v>0</v>
      </c>
      <c r="AF27" s="39">
        <f>SUMIFS(Lançamentos!$F:$F,Lançamentos!$A:$A,AF$19,Lançamentos!$C:$C,"Vendas Online")</f>
        <v>0</v>
      </c>
      <c r="AG27" s="39">
        <f>SUMIFS(Lançamentos!$F:$F,Lançamentos!$A:$A,AG$19,Lançamentos!$C:$C,"Vendas Online")</f>
        <v>0</v>
      </c>
      <c r="AH27" s="39">
        <f>SUMIFS(Lançamentos!$F:$F,Lançamentos!$A:$A,AH$19,Lançamentos!$C:$C,"Vendas Online")</f>
        <v>0</v>
      </c>
      <c r="AI27" s="39">
        <f>SUMIFS(Lançamentos!$F:$F,Lançamentos!$A:$A,AI$19,Lançamentos!$C:$C,"Vendas Online")</f>
        <v>0</v>
      </c>
      <c r="AJ27" s="39">
        <f>SUMIFS(Lançamentos!$F:$F,Lançamentos!$A:$A,AJ$19,Lançamentos!$C:$C,"Vendas Online")</f>
        <v>0</v>
      </c>
      <c r="AK27" s="39">
        <f>SUMIFS(Lançamentos!$F:$F,Lançamentos!$A:$A,AK$19,Lançamentos!$C:$C,"Vendas Online")</f>
        <v>0</v>
      </c>
      <c r="AL27" s="39">
        <f>SUMIFS(Lançamentos!$F:$F,Lançamentos!$A:$A,AL$19,Lançamentos!$C:$C,"Vendas Online")</f>
        <v>0</v>
      </c>
      <c r="AM27" s="39">
        <f>SUMIFS(Lançamentos!$F:$F,Lançamentos!$A:$A,AM$19,Lançamentos!$C:$C,"Vendas Online")</f>
        <v>0</v>
      </c>
      <c r="AN27" s="39">
        <f>SUMIFS(Lançamentos!$F:$F,Lançamentos!$A:$A,AN$19,Lançamentos!$C:$C,"Vendas Online")</f>
        <v>0</v>
      </c>
      <c r="AO27" s="39">
        <f>SUMIFS(Lançamentos!$F:$F,Lançamentos!$A:$A,AO$19,Lançamentos!$C:$C,"Vendas Online")</f>
        <v>0</v>
      </c>
      <c r="AP27" s="39">
        <f>SUMIFS(Lançamentos!$F:$F,Lançamentos!$A:$A,AP$19,Lançamentos!$C:$C,"Vendas Online")</f>
        <v>0</v>
      </c>
      <c r="AQ27" s="39">
        <f>SUMIFS(Lançamentos!$F:$F,Lançamentos!$A:$A,AQ$19,Lançamentos!$C:$C,"Vendas Online")</f>
        <v>0</v>
      </c>
      <c r="AR27" s="39">
        <f>SUMIFS(Lançamentos!$F:$F,Lançamentos!$A:$A,AR$19,Lançamentos!$C:$C,"Vendas Online")</f>
        <v>0</v>
      </c>
      <c r="AS27" s="39">
        <f>SUMIFS(Lançamentos!$F:$F,Lançamentos!$A:$A,AS$19,Lançamentos!$C:$C,"Vendas Online")</f>
        <v>0</v>
      </c>
      <c r="AT27" s="39">
        <f>SUMIFS(Lançamentos!$F:$F,Lançamentos!$A:$A,AT$19,Lançamentos!$C:$C,"Vendas Online")</f>
        <v>0</v>
      </c>
      <c r="AU27" s="39">
        <f>SUMIFS(Lançamentos!$F:$F,Lançamentos!$A:$A,AU$19,Lançamentos!$C:$C,"Vendas Online")</f>
        <v>0</v>
      </c>
      <c r="AV27" s="39">
        <f>SUMIFS(Lançamentos!$F:$F,Lançamentos!$A:$A,AV$19,Lançamentos!$C:$C,"Vendas Online")</f>
        <v>0</v>
      </c>
      <c r="AW27" s="39">
        <f>SUMIFS(Lançamentos!$F:$F,Lançamentos!$A:$A,AW$19,Lançamentos!$C:$C,"Vendas Online")</f>
        <v>0</v>
      </c>
      <c r="AX27" s="39">
        <f>SUMIFS(Lançamentos!$F:$F,Lançamentos!$A:$A,AX$19,Lançamentos!$C:$C,"Vendas Online")</f>
        <v>0</v>
      </c>
      <c r="AY27" s="39">
        <f>SUMIFS(Lançamentos!$F:$F,Lançamentos!$A:$A,AY$19,Lançamentos!$C:$C,"Vendas Online")</f>
        <v>0</v>
      </c>
      <c r="AZ27" s="39">
        <f>SUMIFS(Lançamentos!$F:$F,Lançamentos!$A:$A,AZ$19,Lançamentos!$C:$C,"Vendas Online")</f>
        <v>0</v>
      </c>
      <c r="BA27" s="39">
        <f>SUMIFS(Lançamentos!$F:$F,Lançamentos!$A:$A,BA$19,Lançamentos!$C:$C,"Vendas Online")</f>
        <v>0</v>
      </c>
      <c r="BB27" s="39">
        <f>SUMIFS(Lançamentos!$F:$F,Lançamentos!$A:$A,BB$19,Lançamentos!$C:$C,"Vendas Online")</f>
        <v>0</v>
      </c>
      <c r="BC27" s="39">
        <f>SUMIFS(Lançamentos!$F:$F,Lançamentos!$A:$A,BC$19,Lançamentos!$C:$C,"Vendas Online")</f>
        <v>0</v>
      </c>
      <c r="BD27" s="39">
        <f>SUMIFS(Lançamentos!$F:$F,Lançamentos!$A:$A,BD$19,Lançamentos!$C:$C,"Vendas Online")</f>
        <v>0</v>
      </c>
      <c r="BE27" s="39">
        <f>SUMIFS(Lançamentos!$F:$F,Lançamentos!$A:$A,BE$19,Lançamentos!$C:$C,"Vendas Online")</f>
        <v>0</v>
      </c>
      <c r="BF27" s="39">
        <f>SUMIFS(Lançamentos!$F:$F,Lançamentos!$A:$A,BF$19,Lançamentos!$C:$C,"Vendas Online")</f>
        <v>0</v>
      </c>
      <c r="BG27" s="39">
        <f>SUMIFS(Lançamentos!$F:$F,Lançamentos!$A:$A,BG$19,Lançamentos!$C:$C,"Vendas Online")</f>
        <v>0</v>
      </c>
      <c r="BH27" s="39">
        <f>SUMIFS(Lançamentos!$F:$F,Lançamentos!$A:$A,BH$19,Lançamentos!$C:$C,"Vendas Online")</f>
        <v>0</v>
      </c>
      <c r="BI27" s="39">
        <f>SUMIFS(Lançamentos!$F:$F,Lançamentos!$A:$A,BI$19,Lançamentos!$C:$C,"Vendas Online")</f>
        <v>0</v>
      </c>
      <c r="BJ27" s="39">
        <f>SUMIFS(Lançamentos!$F:$F,Lançamentos!$A:$A,BJ$19,Lançamentos!$C:$C,"Vendas Online")</f>
        <v>0</v>
      </c>
      <c r="BK27" s="39">
        <f>SUMIFS(Lançamentos!$F:$F,Lançamentos!$A:$A,BK$19,Lançamentos!$C:$C,"Vendas Online")</f>
        <v>0</v>
      </c>
      <c r="BL27" s="39">
        <f>SUMIFS(Lançamentos!$F:$F,Lançamentos!$A:$A,BL$19,Lançamentos!$C:$C,"Vendas Online")</f>
        <v>0</v>
      </c>
      <c r="BM27" s="39">
        <f>SUMIFS(Lançamentos!$F:$F,Lançamentos!$A:$A,BM$19,Lançamentos!$C:$C,"Vendas Online")</f>
        <v>0</v>
      </c>
      <c r="BN27" s="39">
        <f>SUMIFS(Lançamentos!$F:$F,Lançamentos!$A:$A,BN$19,Lançamentos!$C:$C,"Vendas Online")</f>
        <v>0</v>
      </c>
      <c r="BO27" s="39">
        <f>SUMIFS(Lançamentos!$F:$F,Lançamentos!$A:$A,BO$19,Lançamentos!$C:$C,"Vendas Online")</f>
        <v>0</v>
      </c>
      <c r="BP27" s="39">
        <f>SUMIFS(Lançamentos!$F:$F,Lançamentos!$A:$A,BP$19,Lançamentos!$C:$C,"Vendas Online")</f>
        <v>0</v>
      </c>
      <c r="BQ27" s="39">
        <f>SUMIFS(Lançamentos!$F:$F,Lançamentos!$A:$A,BQ$19,Lançamentos!$C:$C,"Vendas Online")</f>
        <v>0</v>
      </c>
      <c r="BR27" s="39">
        <f>SUMIFS(Lançamentos!$F:$F,Lançamentos!$A:$A,BR$19,Lançamentos!$C:$C,"Vendas Online")</f>
        <v>0</v>
      </c>
      <c r="BS27" s="39">
        <f>SUMIFS(Lançamentos!$F:$F,Lançamentos!$A:$A,BS$19,Lançamentos!$C:$C,"Vendas Online")</f>
        <v>0</v>
      </c>
      <c r="BT27" s="39">
        <f>SUMIFS(Lançamentos!$F:$F,Lançamentos!$A:$A,BT$19,Lançamentos!$C:$C,"Vendas Online")</f>
        <v>0</v>
      </c>
      <c r="BU27" s="39">
        <f>SUMIFS(Lançamentos!$F:$F,Lançamentos!$A:$A,BU$19,Lançamentos!$C:$C,"Vendas Online")</f>
        <v>0</v>
      </c>
      <c r="BV27" s="39">
        <f>SUMIFS(Lançamentos!$F:$F,Lançamentos!$A:$A,BV$19,Lançamentos!$C:$C,"Vendas Online")</f>
        <v>0</v>
      </c>
      <c r="BW27" s="39">
        <f>SUMIFS(Lançamentos!$F:$F,Lançamentos!$A:$A,BW$19,Lançamentos!$C:$C,"Vendas Online")</f>
        <v>0</v>
      </c>
      <c r="BX27" s="39">
        <f>SUMIFS(Lançamentos!$F:$F,Lançamentos!$A:$A,BX$19,Lançamentos!$C:$C,"Vendas Online")</f>
        <v>0</v>
      </c>
      <c r="BY27" s="39">
        <f>SUMIFS(Lançamentos!$F:$F,Lançamentos!$A:$A,BY$19,Lançamentos!$C:$C,"Vendas Online")</f>
        <v>0</v>
      </c>
      <c r="BZ27" s="39">
        <f>SUMIFS(Lançamentos!$F:$F,Lançamentos!$A:$A,BZ$19,Lançamentos!$C:$C,"Vendas Online")</f>
        <v>0</v>
      </c>
      <c r="CA27" s="39">
        <f>SUMIFS(Lançamentos!$F:$F,Lançamentos!$A:$A,CA$19,Lançamentos!$C:$C,"Vendas Online")</f>
        <v>0</v>
      </c>
      <c r="CB27" s="39">
        <f>SUMIFS(Lançamentos!$F:$F,Lançamentos!$A:$A,CB$19,Lançamentos!$C:$C,"Vendas Online")</f>
        <v>0</v>
      </c>
      <c r="CC27" s="39">
        <f>SUMIFS(Lançamentos!$F:$F,Lançamentos!$A:$A,CC$19,Lançamentos!$C:$C,"Vendas Online")</f>
        <v>0</v>
      </c>
      <c r="CD27" s="39">
        <f>SUMIFS(Lançamentos!$F:$F,Lançamentos!$A:$A,CD$19,Lançamentos!$C:$C,"Vendas Online")</f>
        <v>0</v>
      </c>
      <c r="CE27" s="39">
        <f>SUMIFS(Lançamentos!$F:$F,Lançamentos!$A:$A,CE$19,Lançamentos!$C:$C,"Vendas Online")</f>
        <v>0</v>
      </c>
      <c r="CF27" s="39">
        <f>SUMIFS(Lançamentos!$F:$F,Lançamentos!$A:$A,CF$19,Lançamentos!$C:$C,"Vendas Online")</f>
        <v>0</v>
      </c>
      <c r="CG27" s="39">
        <f>SUMIFS(Lançamentos!$F:$F,Lançamentos!$A:$A,CG$19,Lançamentos!$C:$C,"Vendas Online")</f>
        <v>0</v>
      </c>
      <c r="CH27" s="39">
        <f>SUMIFS(Lançamentos!$F:$F,Lançamentos!$A:$A,CH$19,Lançamentos!$C:$C,"Vendas Online")</f>
        <v>0</v>
      </c>
      <c r="CI27" s="39">
        <f>SUMIFS(Lançamentos!$F:$F,Lançamentos!$A:$A,CI$19,Lançamentos!$C:$C,"Vendas Online")</f>
        <v>0</v>
      </c>
      <c r="CJ27" s="39">
        <f>SUMIFS(Lançamentos!$F:$F,Lançamentos!$A:$A,CJ$19,Lançamentos!$C:$C,"Vendas Online")</f>
        <v>0</v>
      </c>
      <c r="CK27" s="39">
        <f>SUMIFS(Lançamentos!$F:$F,Lançamentos!$A:$A,CK$19,Lançamentos!$C:$C,"Vendas Online")</f>
        <v>0</v>
      </c>
      <c r="CL27" s="39">
        <f>SUMIFS(Lançamentos!$F:$F,Lançamentos!$A:$A,CL$19,Lançamentos!$C:$C,"Vendas Online")</f>
        <v>0</v>
      </c>
      <c r="CM27" s="39">
        <f>SUMIFS(Lançamentos!$F:$F,Lançamentos!$A:$A,CM$19,Lançamentos!$C:$C,"Vendas Online")</f>
        <v>0</v>
      </c>
      <c r="CN27" s="39">
        <f>SUMIFS(Lançamentos!$F:$F,Lançamentos!$A:$A,CN$19,Lançamentos!$C:$C,"Vendas Online")</f>
        <v>0</v>
      </c>
      <c r="CO27" s="39">
        <f>SUMIFS(Lançamentos!$F:$F,Lançamentos!$A:$A,CO$19,Lançamentos!$C:$C,"Vendas Online")</f>
        <v>0</v>
      </c>
      <c r="CP27" s="39">
        <f>SUMIFS(Lançamentos!$F:$F,Lançamentos!$A:$A,CP$19,Lançamentos!$C:$C,"Vendas Online")</f>
        <v>0</v>
      </c>
      <c r="CQ27" s="39">
        <f>SUMIFS(Lançamentos!$F:$F,Lançamentos!$A:$A,CQ$19,Lançamentos!$C:$C,"Vendas Online")</f>
        <v>0</v>
      </c>
      <c r="CR27" s="39">
        <f>SUMIFS(Lançamentos!$F:$F,Lançamentos!$A:$A,CR$19,Lançamentos!$C:$C,"Vendas Online")</f>
        <v>0</v>
      </c>
      <c r="CS27" s="39">
        <f>SUMIFS(Lançamentos!$F:$F,Lançamentos!$A:$A,CS$19,Lançamentos!$C:$C,"Vendas Online")</f>
        <v>0</v>
      </c>
      <c r="CT27" s="39">
        <f>SUMIFS(Lançamentos!$F:$F,Lançamentos!$A:$A,CT$19,Lançamentos!$C:$C,"Vendas Online")</f>
        <v>0</v>
      </c>
      <c r="CU27" s="39">
        <f>SUMIFS(Lançamentos!$F:$F,Lançamentos!$A:$A,CU$19,Lançamentos!$C:$C,"Vendas Online")</f>
        <v>0</v>
      </c>
      <c r="CV27" s="39">
        <f>SUMIFS(Lançamentos!$F:$F,Lançamentos!$A:$A,CV$19,Lançamentos!$C:$C,"Vendas Online")</f>
        <v>0</v>
      </c>
      <c r="CW27" s="39">
        <f>SUMIFS(Lançamentos!$F:$F,Lançamentos!$A:$A,CW$19,Lançamentos!$C:$C,"Vendas Online")</f>
        <v>0</v>
      </c>
      <c r="CX27" s="39">
        <f>SUMIFS(Lançamentos!$F:$F,Lançamentos!$A:$A,CX$19,Lançamentos!$C:$C,"Vendas Online")</f>
        <v>0</v>
      </c>
      <c r="CY27" s="39">
        <f>SUMIFS(Lançamentos!$F:$F,Lançamentos!$A:$A,CY$19,Lançamentos!$C:$C,"Vendas Online")</f>
        <v>0</v>
      </c>
      <c r="CZ27" s="39">
        <f>SUMIFS(Lançamentos!$F:$F,Lançamentos!$A:$A,CZ$19,Lançamentos!$C:$C,"Vendas Online")</f>
        <v>0</v>
      </c>
      <c r="DA27" s="39">
        <f>SUMIFS(Lançamentos!$F:$F,Lançamentos!$A:$A,DA$19,Lançamentos!$C:$C,"Vendas Online")</f>
        <v>0</v>
      </c>
      <c r="DB27" s="39">
        <f>SUMIFS(Lançamentos!$F:$F,Lançamentos!$A:$A,DB$19,Lançamentos!$C:$C,"Vendas Online")</f>
        <v>0</v>
      </c>
      <c r="DC27" s="39">
        <f>SUMIFS(Lançamentos!$F:$F,Lançamentos!$A:$A,DC$19,Lançamentos!$C:$C,"Vendas Online")</f>
        <v>0</v>
      </c>
      <c r="DD27" s="39">
        <f>SUMIFS(Lançamentos!$F:$F,Lançamentos!$A:$A,DD$19,Lançamentos!$C:$C,"Vendas Online")</f>
        <v>0</v>
      </c>
      <c r="DE27" s="39">
        <f>SUMIFS(Lançamentos!$F:$F,Lançamentos!$A:$A,DE$19,Lançamentos!$C:$C,"Vendas Online")</f>
        <v>0</v>
      </c>
      <c r="DF27" s="39">
        <f>SUMIFS(Lançamentos!$F:$F,Lançamentos!$A:$A,DF$19,Lançamentos!$C:$C,"Vendas Online")</f>
        <v>0</v>
      </c>
      <c r="DG27" s="39">
        <f>SUMIFS(Lançamentos!$F:$F,Lançamentos!$A:$A,DG$19,Lançamentos!$C:$C,"Vendas Online")</f>
        <v>0</v>
      </c>
      <c r="DH27" s="39">
        <f>SUMIFS(Lançamentos!$F:$F,Lançamentos!$A:$A,DH$19,Lançamentos!$C:$C,"Vendas Online")</f>
        <v>0</v>
      </c>
      <c r="DI27" s="39">
        <f>SUMIFS(Lançamentos!$F:$F,Lançamentos!$A:$A,DI$19,Lançamentos!$C:$C,"Vendas Online")</f>
        <v>0</v>
      </c>
      <c r="DJ27" s="39">
        <f>SUMIFS(Lançamentos!$F:$F,Lançamentos!$A:$A,DJ$19,Lançamentos!$C:$C,"Vendas Online")</f>
        <v>0</v>
      </c>
      <c r="DK27" s="39">
        <f>SUMIFS(Lançamentos!$F:$F,Lançamentos!$A:$A,DK$19,Lançamentos!$C:$C,"Vendas Online")</f>
        <v>0</v>
      </c>
      <c r="DL27" s="39">
        <f>SUMIFS(Lançamentos!$F:$F,Lançamentos!$A:$A,DL$19,Lançamentos!$C:$C,"Vendas Online")</f>
        <v>0</v>
      </c>
      <c r="DM27" s="39">
        <f>SUMIFS(Lançamentos!$F:$F,Lançamentos!$A:$A,DM$19,Lançamentos!$C:$C,"Vendas Online")</f>
        <v>0</v>
      </c>
      <c r="DN27" s="39">
        <f>SUMIFS(Lançamentos!$F:$F,Lançamentos!$A:$A,DN$19,Lançamentos!$C:$C,"Vendas Online")</f>
        <v>0</v>
      </c>
      <c r="DO27" s="39">
        <f>SUMIFS(Lançamentos!$F:$F,Lançamentos!$A:$A,DO$19,Lançamentos!$C:$C,"Vendas Online")</f>
        <v>0</v>
      </c>
      <c r="DP27" s="39">
        <f>SUMIFS(Lançamentos!$F:$F,Lançamentos!$A:$A,DP$19,Lançamentos!$C:$C,"Vendas Online")</f>
        <v>0</v>
      </c>
      <c r="DQ27" s="39">
        <f>SUMIFS(Lançamentos!$F:$F,Lançamentos!$A:$A,DQ$19,Lançamentos!$C:$C,"Vendas Online")</f>
        <v>0</v>
      </c>
      <c r="DR27" s="39">
        <f>SUMIFS(Lançamentos!$F:$F,Lançamentos!$A:$A,DR$19,Lançamentos!$C:$C,"Vendas Online")</f>
        <v>0</v>
      </c>
      <c r="DS27" s="39">
        <f>SUMIFS(Lançamentos!$F:$F,Lançamentos!$A:$A,DS$19,Lançamentos!$C:$C,"Vendas Online")</f>
        <v>0</v>
      </c>
      <c r="DT27" s="39">
        <f>SUMIFS(Lançamentos!$F:$F,Lançamentos!$A:$A,DT$19,Lançamentos!$C:$C,"Vendas Online")</f>
        <v>0</v>
      </c>
      <c r="DU27" s="39">
        <f>SUMIFS(Lançamentos!$F:$F,Lançamentos!$A:$A,DU$19,Lançamentos!$C:$C,"Vendas Online")</f>
        <v>0</v>
      </c>
      <c r="DV27" s="39">
        <f>SUMIFS(Lançamentos!$F:$F,Lançamentos!$A:$A,DV$19,Lançamentos!$C:$C,"Vendas Online")</f>
        <v>0</v>
      </c>
      <c r="DW27" s="39">
        <f>SUMIFS(Lançamentos!$F:$F,Lançamentos!$A:$A,DW$19,Lançamentos!$C:$C,"Vendas Online")</f>
        <v>0</v>
      </c>
      <c r="DX27" s="39">
        <f>SUMIFS(Lançamentos!$F:$F,Lançamentos!$A:$A,DX$19,Lançamentos!$C:$C,"Vendas Online")</f>
        <v>0</v>
      </c>
      <c r="DY27" s="39">
        <f>SUMIFS(Lançamentos!$F:$F,Lançamentos!$A:$A,DY$19,Lançamentos!$C:$C,"Vendas Online")</f>
        <v>0</v>
      </c>
      <c r="DZ27" s="39">
        <f>SUMIFS(Lançamentos!$F:$F,Lançamentos!$A:$A,DZ$19,Lançamentos!$C:$C,"Vendas Online")</f>
        <v>0</v>
      </c>
      <c r="EA27" s="39">
        <f>SUMIFS(Lançamentos!$F:$F,Lançamentos!$A:$A,EA$19,Lançamentos!$C:$C,"Vendas Online")</f>
        <v>0</v>
      </c>
      <c r="EB27" s="39">
        <f>SUMIFS(Lançamentos!$F:$F,Lançamentos!$A:$A,EB$19,Lançamentos!$C:$C,"Vendas Online")</f>
        <v>0</v>
      </c>
      <c r="EC27" s="39">
        <f>SUMIFS(Lançamentos!$F:$F,Lançamentos!$A:$A,EC$19,Lançamentos!$C:$C,"Vendas Online")</f>
        <v>0</v>
      </c>
      <c r="ED27" s="39">
        <f>SUMIFS(Lançamentos!$F:$F,Lançamentos!$A:$A,ED$19,Lançamentos!$C:$C,"Vendas Online")</f>
        <v>0</v>
      </c>
      <c r="EE27" s="39">
        <f>SUMIFS(Lançamentos!$F:$F,Lançamentos!$A:$A,EE$19,Lançamentos!$C:$C,"Vendas Online")</f>
        <v>0</v>
      </c>
      <c r="EF27" s="39">
        <f>SUMIFS(Lançamentos!$F:$F,Lançamentos!$A:$A,EF$19,Lançamentos!$C:$C,"Vendas Online")</f>
        <v>0</v>
      </c>
      <c r="EG27" s="39">
        <f>SUMIFS(Lançamentos!$F:$F,Lançamentos!$A:$A,EG$19,Lançamentos!$C:$C,"Vendas Online")</f>
        <v>0</v>
      </c>
      <c r="EH27" s="39">
        <f>SUMIFS(Lançamentos!$F:$F,Lançamentos!$A:$A,EH$19,Lançamentos!$C:$C,"Vendas Online")</f>
        <v>0</v>
      </c>
      <c r="EI27" s="39">
        <f>SUMIFS(Lançamentos!$F:$F,Lançamentos!$A:$A,EI$19,Lançamentos!$C:$C,"Vendas Online")</f>
        <v>0</v>
      </c>
      <c r="EJ27" s="39">
        <f>SUMIFS(Lançamentos!$F:$F,Lançamentos!$A:$A,EJ$19,Lançamentos!$C:$C,"Vendas Online")</f>
        <v>0</v>
      </c>
      <c r="EK27" s="39">
        <f>SUMIFS(Lançamentos!$F:$F,Lançamentos!$A:$A,EK$19,Lançamentos!$C:$C,"Vendas Online")</f>
        <v>0</v>
      </c>
      <c r="EL27" s="39">
        <f>SUMIFS(Lançamentos!$F:$F,Lançamentos!$A:$A,EL$19,Lançamentos!$C:$C,"Vendas Online")</f>
        <v>0</v>
      </c>
      <c r="EM27" s="39">
        <f>SUMIFS(Lançamentos!$F:$F,Lançamentos!$A:$A,EM$19,Lançamentos!$C:$C,"Vendas Online")</f>
        <v>0</v>
      </c>
      <c r="EN27" s="39">
        <f>SUMIFS(Lançamentos!$F:$F,Lançamentos!$A:$A,EN$19,Lançamentos!$C:$C,"Vendas Online")</f>
        <v>0</v>
      </c>
      <c r="EO27" s="39">
        <f>SUMIFS(Lançamentos!$F:$F,Lançamentos!$A:$A,EO$19,Lançamentos!$C:$C,"Vendas Online")</f>
        <v>0</v>
      </c>
      <c r="EP27" s="39">
        <f>SUMIFS(Lançamentos!$F:$F,Lançamentos!$A:$A,EP$19,Lançamentos!$C:$C,"Vendas Online")</f>
        <v>0</v>
      </c>
      <c r="EQ27" s="39">
        <f>SUMIFS(Lançamentos!$F:$F,Lançamentos!$A:$A,EQ$19,Lançamentos!$C:$C,"Vendas Online")</f>
        <v>0</v>
      </c>
      <c r="ER27" s="39">
        <f>SUMIFS(Lançamentos!$F:$F,Lançamentos!$A:$A,ER$19,Lançamentos!$C:$C,"Vendas Online")</f>
        <v>0</v>
      </c>
      <c r="ES27" s="39">
        <f>SUMIFS(Lançamentos!$F:$F,Lançamentos!$A:$A,ES$19,Lançamentos!$C:$C,"Vendas Online")</f>
        <v>0</v>
      </c>
      <c r="ET27" s="39">
        <f>SUMIFS(Lançamentos!$F:$F,Lançamentos!$A:$A,ET$19,Lançamentos!$C:$C,"Vendas Online")</f>
        <v>0</v>
      </c>
      <c r="EU27" s="39">
        <f>SUMIFS(Lançamentos!$F:$F,Lançamentos!$A:$A,EU$19,Lançamentos!$C:$C,"Vendas Online")</f>
        <v>0</v>
      </c>
      <c r="EV27" s="39">
        <f>SUMIFS(Lançamentos!$F:$F,Lançamentos!$A:$A,EV$19,Lançamentos!$C:$C,"Vendas Online")</f>
        <v>0</v>
      </c>
      <c r="EW27" s="39">
        <f>SUMIFS(Lançamentos!$F:$F,Lançamentos!$A:$A,EW$19,Lançamentos!$C:$C,"Vendas Online")</f>
        <v>0</v>
      </c>
      <c r="EX27" s="39">
        <f>SUMIFS(Lançamentos!$F:$F,Lançamentos!$A:$A,EX$19,Lançamentos!$C:$C,"Vendas Online")</f>
        <v>0</v>
      </c>
      <c r="EY27" s="39">
        <f>SUMIFS(Lançamentos!$F:$F,Lançamentos!$A:$A,EY$19,Lançamentos!$C:$C,"Vendas Online")</f>
        <v>0</v>
      </c>
      <c r="EZ27" s="39">
        <f>SUMIFS(Lançamentos!$F:$F,Lançamentos!$A:$A,EZ$19,Lançamentos!$C:$C,"Vendas Online")</f>
        <v>0</v>
      </c>
      <c r="FA27" s="39">
        <f>SUMIFS(Lançamentos!$F:$F,Lançamentos!$A:$A,FA$19,Lançamentos!$C:$C,"Vendas Online")</f>
        <v>0</v>
      </c>
      <c r="FB27" s="39">
        <f>SUMIFS(Lançamentos!$F:$F,Lançamentos!$A:$A,FB$19,Lançamentos!$C:$C,"Vendas Online")</f>
        <v>0</v>
      </c>
      <c r="FC27" s="39">
        <f>SUMIFS(Lançamentos!$F:$F,Lançamentos!$A:$A,FC$19,Lançamentos!$C:$C,"Vendas Online")</f>
        <v>0</v>
      </c>
      <c r="FD27" s="39">
        <f>SUMIFS(Lançamentos!$F:$F,Lançamentos!$A:$A,FD$19,Lançamentos!$C:$C,"Vendas Online")</f>
        <v>0</v>
      </c>
      <c r="FE27" s="39">
        <f>SUMIFS(Lançamentos!$F:$F,Lançamentos!$A:$A,FE$19,Lançamentos!$C:$C,"Vendas Online")</f>
        <v>0</v>
      </c>
      <c r="FF27" s="39">
        <f>SUMIFS(Lançamentos!$F:$F,Lançamentos!$A:$A,FF$19,Lançamentos!$C:$C,"Vendas Online")</f>
        <v>0</v>
      </c>
      <c r="FG27" s="39">
        <f>SUMIFS(Lançamentos!$F:$F,Lançamentos!$A:$A,FG$19,Lançamentos!$C:$C,"Vendas Online")</f>
        <v>0</v>
      </c>
      <c r="FH27" s="39">
        <f>SUMIFS(Lançamentos!$F:$F,Lançamentos!$A:$A,FH$19,Lançamentos!$C:$C,"Vendas Online")</f>
        <v>0</v>
      </c>
      <c r="FI27" s="39">
        <f>SUMIFS(Lançamentos!$F:$F,Lançamentos!$A:$A,FI$19,Lançamentos!$C:$C,"Vendas Online")</f>
        <v>0</v>
      </c>
      <c r="FJ27" s="39">
        <f>SUMIFS(Lançamentos!$F:$F,Lançamentos!$A:$A,FJ$19,Lançamentos!$C:$C,"Vendas Online")</f>
        <v>0</v>
      </c>
      <c r="FK27" s="39">
        <f>SUMIFS(Lançamentos!$F:$F,Lançamentos!$A:$A,FK$19,Lançamentos!$C:$C,"Vendas Online")</f>
        <v>0</v>
      </c>
      <c r="FL27" s="39">
        <f>SUMIFS(Lançamentos!$F:$F,Lançamentos!$A:$A,FL$19,Lançamentos!$C:$C,"Vendas Online")</f>
        <v>0</v>
      </c>
      <c r="FM27" s="39">
        <f>SUMIFS(Lançamentos!$F:$F,Lançamentos!$A:$A,FM$19,Lançamentos!$C:$C,"Vendas Online")</f>
        <v>0</v>
      </c>
      <c r="FN27" s="39">
        <f>SUMIFS(Lançamentos!$F:$F,Lançamentos!$A:$A,FN$19,Lançamentos!$C:$C,"Vendas Online")</f>
        <v>0</v>
      </c>
      <c r="FO27" s="39">
        <f>SUMIFS(Lançamentos!$F:$F,Lançamentos!$A:$A,FO$19,Lançamentos!$C:$C,"Vendas Online")</f>
        <v>0</v>
      </c>
      <c r="FP27" s="39">
        <f>SUMIFS(Lançamentos!$F:$F,Lançamentos!$A:$A,FP$19,Lançamentos!$C:$C,"Vendas Online")</f>
        <v>0</v>
      </c>
      <c r="FQ27" s="39">
        <f>SUMIFS(Lançamentos!$F:$F,Lançamentos!$A:$A,FQ$19,Lançamentos!$C:$C,"Vendas Online")</f>
        <v>0</v>
      </c>
      <c r="FR27" s="39">
        <f>SUMIFS(Lançamentos!$F:$F,Lançamentos!$A:$A,FR$19,Lançamentos!$C:$C,"Vendas Online")</f>
        <v>0</v>
      </c>
      <c r="FS27" s="39">
        <f>SUMIFS(Lançamentos!$F:$F,Lançamentos!$A:$A,FS$19,Lançamentos!$C:$C,"Vendas Online")</f>
        <v>0</v>
      </c>
      <c r="FT27" s="39">
        <f>SUMIFS(Lançamentos!$F:$F,Lançamentos!$A:$A,FT$19,Lançamentos!$C:$C,"Vendas Online")</f>
        <v>0</v>
      </c>
      <c r="FU27" s="39">
        <f>SUMIFS(Lançamentos!$F:$F,Lançamentos!$A:$A,FU$19,Lançamentos!$C:$C,"Vendas Online")</f>
        <v>0</v>
      </c>
      <c r="FV27" s="39">
        <f>SUMIFS(Lançamentos!$F:$F,Lançamentos!$A:$A,FV$19,Lançamentos!$C:$C,"Vendas Online")</f>
        <v>0</v>
      </c>
      <c r="FW27" s="39">
        <f>SUMIFS(Lançamentos!$F:$F,Lançamentos!$A:$A,FW$19,Lançamentos!$C:$C,"Vendas Online")</f>
        <v>0</v>
      </c>
      <c r="FX27" s="39">
        <f>SUMIFS(Lançamentos!$F:$F,Lançamentos!$A:$A,FX$19,Lançamentos!$C:$C,"Vendas Online")</f>
        <v>0</v>
      </c>
      <c r="FY27" s="39">
        <f>SUMIFS(Lançamentos!$F:$F,Lançamentos!$A:$A,FY$19,Lançamentos!$C:$C,"Vendas Online")</f>
        <v>0</v>
      </c>
      <c r="FZ27" s="39">
        <f>SUMIFS(Lançamentos!$F:$F,Lançamentos!$A:$A,FZ$19,Lançamentos!$C:$C,"Vendas Online")</f>
        <v>0</v>
      </c>
      <c r="GA27" s="39">
        <f>SUMIFS(Lançamentos!$F:$F,Lançamentos!$A:$A,GA$19,Lançamentos!$C:$C,"Vendas Online")</f>
        <v>0</v>
      </c>
      <c r="GB27" s="39">
        <f>SUMIFS(Lançamentos!$F:$F,Lançamentos!$A:$A,GB$19,Lançamentos!$C:$C,"Vendas Online")</f>
        <v>0</v>
      </c>
      <c r="GC27" s="39">
        <f>SUMIFS(Lançamentos!$F:$F,Lançamentos!$A:$A,GC$19,Lançamentos!$C:$C,"Vendas Online")</f>
        <v>0</v>
      </c>
      <c r="GD27" s="39">
        <f>SUMIFS(Lançamentos!$F:$F,Lançamentos!$A:$A,GD$19,Lançamentos!$C:$C,"Vendas Online")</f>
        <v>0</v>
      </c>
      <c r="GE27" s="39">
        <f>SUMIFS(Lançamentos!$F:$F,Lançamentos!$A:$A,GE$19,Lançamentos!$C:$C,"Vendas Online")</f>
        <v>0</v>
      </c>
      <c r="GF27" s="39">
        <f>SUMIFS(Lançamentos!$F:$F,Lançamentos!$A:$A,GF$19,Lançamentos!$C:$C,"Vendas Online")</f>
        <v>0</v>
      </c>
      <c r="GG27" s="39">
        <f>SUMIFS(Lançamentos!$F:$F,Lançamentos!$A:$A,GG$19,Lançamentos!$C:$C,"Vendas Online")</f>
        <v>0</v>
      </c>
      <c r="GH27" s="39">
        <f>SUMIFS(Lançamentos!$F:$F,Lançamentos!$A:$A,GH$19,Lançamentos!$C:$C,"Vendas Online")</f>
        <v>0</v>
      </c>
      <c r="GI27" s="39">
        <f>SUMIFS(Lançamentos!$F:$F,Lançamentos!$A:$A,GI$19,Lançamentos!$C:$C,"Vendas Online")</f>
        <v>0</v>
      </c>
      <c r="GJ27" s="39">
        <f>SUMIFS(Lançamentos!$F:$F,Lançamentos!$A:$A,GJ$19,Lançamentos!$C:$C,"Vendas Online")</f>
        <v>0</v>
      </c>
      <c r="GK27" s="39">
        <f>SUMIFS(Lançamentos!$F:$F,Lançamentos!$A:$A,GK$19,Lançamentos!$C:$C,"Vendas Online")</f>
        <v>0</v>
      </c>
      <c r="GL27" s="39">
        <f>SUMIFS(Lançamentos!$F:$F,Lançamentos!$A:$A,GL$19,Lançamentos!$C:$C,"Vendas Online")</f>
        <v>0</v>
      </c>
      <c r="GM27" s="39">
        <f>SUMIFS(Lançamentos!$F:$F,Lançamentos!$A:$A,GM$19,Lançamentos!$C:$C,"Vendas Online")</f>
        <v>0</v>
      </c>
      <c r="GN27" s="39">
        <f>SUMIFS(Lançamentos!$F:$F,Lançamentos!$A:$A,GN$19,Lançamentos!$C:$C,"Vendas Online")</f>
        <v>0</v>
      </c>
      <c r="GO27" s="39">
        <f>SUMIFS(Lançamentos!$F:$F,Lançamentos!$A:$A,GO$19,Lançamentos!$C:$C,"Vendas Online")</f>
        <v>0</v>
      </c>
      <c r="GP27" s="39">
        <f>SUMIFS(Lançamentos!$F:$F,Lançamentos!$A:$A,GP$19,Lançamentos!$C:$C,"Vendas Online")</f>
        <v>0</v>
      </c>
      <c r="GQ27" s="39">
        <f>SUMIFS(Lançamentos!$F:$F,Lançamentos!$A:$A,GQ$19,Lançamentos!$C:$C,"Vendas Online")</f>
        <v>0</v>
      </c>
      <c r="GR27" s="39">
        <f>SUMIFS(Lançamentos!$F:$F,Lançamentos!$A:$A,GR$19,Lançamentos!$C:$C,"Vendas Online")</f>
        <v>0</v>
      </c>
      <c r="GS27" s="39">
        <f>SUMIFS(Lançamentos!$F:$F,Lançamentos!$A:$A,GS$19,Lançamentos!$C:$C,"Vendas Online")</f>
        <v>0</v>
      </c>
      <c r="GT27" s="39">
        <f>SUMIFS(Lançamentos!$F:$F,Lançamentos!$A:$A,GT$19,Lançamentos!$C:$C,"Vendas Online")</f>
        <v>0</v>
      </c>
      <c r="GU27" s="39">
        <f>SUMIFS(Lançamentos!$F:$F,Lançamentos!$A:$A,GU$19,Lançamentos!$C:$C,"Vendas Online")</f>
        <v>0</v>
      </c>
      <c r="GV27" s="39">
        <f>SUMIFS(Lançamentos!$F:$F,Lançamentos!$A:$A,GV$19,Lançamentos!$C:$C,"Vendas Online")</f>
        <v>0</v>
      </c>
      <c r="GW27" s="39">
        <f>SUMIFS(Lançamentos!$F:$F,Lançamentos!$A:$A,GW$19,Lançamentos!$C:$C,"Vendas Online")</f>
        <v>0</v>
      </c>
      <c r="GX27" s="39">
        <f>SUMIFS(Lançamentos!$F:$F,Lançamentos!$A:$A,GX$19,Lançamentos!$C:$C,"Vendas Online")</f>
        <v>0</v>
      </c>
      <c r="GY27" s="39">
        <f>SUMIFS(Lançamentos!$F:$F,Lançamentos!$A:$A,GY$19,Lançamentos!$C:$C,"Vendas Online")</f>
        <v>0</v>
      </c>
      <c r="GZ27" s="39">
        <f>SUMIFS(Lançamentos!$F:$F,Lançamentos!$A:$A,GZ$19,Lançamentos!$C:$C,"Vendas Online")</f>
        <v>0</v>
      </c>
      <c r="HA27" s="39">
        <f>SUMIFS(Lançamentos!$F:$F,Lançamentos!$A:$A,HA$19,Lançamentos!$C:$C,"Vendas Online")</f>
        <v>0</v>
      </c>
      <c r="HB27" s="39">
        <f>SUMIFS(Lançamentos!$F:$F,Lançamentos!$A:$A,HB$19,Lançamentos!$C:$C,"Vendas Online")</f>
        <v>0</v>
      </c>
      <c r="HC27" s="39">
        <f>SUMIFS(Lançamentos!$F:$F,Lançamentos!$A:$A,HC$19,Lançamentos!$C:$C,"Vendas Online")</f>
        <v>0</v>
      </c>
      <c r="HD27" s="39">
        <f>SUMIFS(Lançamentos!$F:$F,Lançamentos!$A:$A,HD$19,Lançamentos!$C:$C,"Vendas Online")</f>
        <v>0</v>
      </c>
      <c r="HE27" s="39">
        <f>SUMIFS(Lançamentos!$F:$F,Lançamentos!$A:$A,HE$19,Lançamentos!$C:$C,"Vendas Online")</f>
        <v>0</v>
      </c>
      <c r="HF27" s="39">
        <f>SUMIFS(Lançamentos!$F:$F,Lançamentos!$A:$A,HF$19,Lançamentos!$C:$C,"Vendas Online")</f>
        <v>0</v>
      </c>
      <c r="HG27" s="39">
        <f>SUMIFS(Lançamentos!$F:$F,Lançamentos!$A:$A,HG$19,Lançamentos!$C:$C,"Vendas Online")</f>
        <v>0</v>
      </c>
      <c r="HH27" s="39">
        <f>SUMIFS(Lançamentos!$F:$F,Lançamentos!$A:$A,HH$19,Lançamentos!$C:$C,"Vendas Online")</f>
        <v>0</v>
      </c>
      <c r="HI27" s="39">
        <f>SUMIFS(Lançamentos!$F:$F,Lançamentos!$A:$A,HI$19,Lançamentos!$C:$C,"Vendas Online")</f>
        <v>0</v>
      </c>
      <c r="HJ27" s="39">
        <f>SUMIFS(Lançamentos!$F:$F,Lançamentos!$A:$A,HJ$19,Lançamentos!$C:$C,"Vendas Online")</f>
        <v>0</v>
      </c>
      <c r="HK27" s="39">
        <f>SUMIFS(Lançamentos!$F:$F,Lançamentos!$A:$A,HK$19,Lançamentos!$C:$C,"Vendas Online")</f>
        <v>0</v>
      </c>
      <c r="HL27" s="39">
        <f>SUMIFS(Lançamentos!$F:$F,Lançamentos!$A:$A,HL$19,Lançamentos!$C:$C,"Vendas Online")</f>
        <v>0</v>
      </c>
      <c r="HM27" s="39">
        <f>SUMIFS(Lançamentos!$F:$F,Lançamentos!$A:$A,HM$19,Lançamentos!$C:$C,"Vendas Online")</f>
        <v>0</v>
      </c>
      <c r="HN27" s="39">
        <f>SUMIFS(Lançamentos!$F:$F,Lançamentos!$A:$A,HN$19,Lançamentos!$C:$C,"Vendas Online")</f>
        <v>0</v>
      </c>
      <c r="HO27" s="39">
        <f>SUMIFS(Lançamentos!$F:$F,Lançamentos!$A:$A,HO$19,Lançamentos!$C:$C,"Vendas Online")</f>
        <v>0</v>
      </c>
      <c r="HP27" s="39">
        <f>SUMIFS(Lançamentos!$F:$F,Lançamentos!$A:$A,HP$19,Lançamentos!$C:$C,"Vendas Online")</f>
        <v>0</v>
      </c>
      <c r="HQ27" s="39">
        <f>SUMIFS(Lançamentos!$F:$F,Lançamentos!$A:$A,HQ$19,Lançamentos!$C:$C,"Vendas Online")</f>
        <v>0</v>
      </c>
      <c r="HR27" s="39">
        <f>SUMIFS(Lançamentos!$F:$F,Lançamentos!$A:$A,HR$19,Lançamentos!$C:$C,"Vendas Online")</f>
        <v>0</v>
      </c>
      <c r="HS27" s="39">
        <f>SUMIFS(Lançamentos!$F:$F,Lançamentos!$A:$A,HS$19,Lançamentos!$C:$C,"Vendas Online")</f>
        <v>0</v>
      </c>
      <c r="HT27" s="39">
        <f>SUMIFS(Lançamentos!$F:$F,Lançamentos!$A:$A,HT$19,Lançamentos!$C:$C,"Vendas Online")</f>
        <v>0</v>
      </c>
      <c r="HU27" s="39">
        <f>SUMIFS(Lançamentos!$F:$F,Lançamentos!$A:$A,HU$19,Lançamentos!$C:$C,"Vendas Online")</f>
        <v>0</v>
      </c>
      <c r="HV27" s="39">
        <f>SUMIFS(Lançamentos!$F:$F,Lançamentos!$A:$A,HV$19,Lançamentos!$C:$C,"Vendas Online")</f>
        <v>0</v>
      </c>
      <c r="HW27" s="39">
        <f>SUMIFS(Lançamentos!$F:$F,Lançamentos!$A:$A,HW$19,Lançamentos!$C:$C,"Vendas Online")</f>
        <v>0</v>
      </c>
      <c r="HX27" s="39">
        <f>SUMIFS(Lançamentos!$F:$F,Lançamentos!$A:$A,HX$19,Lançamentos!$C:$C,"Vendas Online")</f>
        <v>0</v>
      </c>
      <c r="HY27" s="39">
        <f>SUMIFS(Lançamentos!$F:$F,Lançamentos!$A:$A,HY$19,Lançamentos!$C:$C,"Vendas Online")</f>
        <v>0</v>
      </c>
      <c r="HZ27" s="39">
        <f>SUMIFS(Lançamentos!$F:$F,Lançamentos!$A:$A,HZ$19,Lançamentos!$C:$C,"Vendas Online")</f>
        <v>0</v>
      </c>
      <c r="IA27" s="39">
        <f>SUMIFS(Lançamentos!$F:$F,Lançamentos!$A:$A,IA$19,Lançamentos!$C:$C,"Vendas Online")</f>
        <v>0</v>
      </c>
      <c r="IB27" s="39">
        <f>SUMIFS(Lançamentos!$F:$F,Lançamentos!$A:$A,IB$19,Lançamentos!$C:$C,"Vendas Online")</f>
        <v>0</v>
      </c>
      <c r="IC27" s="39">
        <f>SUMIFS(Lançamentos!$F:$F,Lançamentos!$A:$A,IC$19,Lançamentos!$C:$C,"Vendas Online")</f>
        <v>0</v>
      </c>
      <c r="ID27" s="39">
        <f>SUMIFS(Lançamentos!$F:$F,Lançamentos!$A:$A,ID$19,Lançamentos!$C:$C,"Vendas Online")</f>
        <v>0</v>
      </c>
      <c r="IE27" s="39">
        <f>SUMIFS(Lançamentos!$F:$F,Lançamentos!$A:$A,IE$19,Lançamentos!$C:$C,"Vendas Online")</f>
        <v>0</v>
      </c>
      <c r="IF27" s="39">
        <f>SUMIFS(Lançamentos!$F:$F,Lançamentos!$A:$A,IF$19,Lançamentos!$C:$C,"Vendas Online")</f>
        <v>0</v>
      </c>
      <c r="IG27" s="39">
        <f>SUMIFS(Lançamentos!$F:$F,Lançamentos!$A:$A,IG$19,Lançamentos!$C:$C,"Vendas Online")</f>
        <v>0</v>
      </c>
      <c r="IH27" s="39">
        <f>SUMIFS(Lançamentos!$F:$F,Lançamentos!$A:$A,IH$19,Lançamentos!$C:$C,"Vendas Online")</f>
        <v>0</v>
      </c>
      <c r="II27" s="39">
        <f>SUMIFS(Lançamentos!$F:$F,Lançamentos!$A:$A,II$19,Lançamentos!$C:$C,"Vendas Online")</f>
        <v>0</v>
      </c>
      <c r="IJ27" s="39">
        <f>SUMIFS(Lançamentos!$F:$F,Lançamentos!$A:$A,IJ$19,Lançamentos!$C:$C,"Vendas Online")</f>
        <v>0</v>
      </c>
      <c r="IK27" s="39">
        <f>SUMIFS(Lançamentos!$F:$F,Lançamentos!$A:$A,IK$19,Lançamentos!$C:$C,"Vendas Online")</f>
        <v>0</v>
      </c>
      <c r="IL27" s="39">
        <f>SUMIFS(Lançamentos!$F:$F,Lançamentos!$A:$A,IL$19,Lançamentos!$C:$C,"Vendas Online")</f>
        <v>0</v>
      </c>
    </row>
    <row r="28" spans="1:246" x14ac:dyDescent="0.3">
      <c r="A28" t="s">
        <v>90</v>
      </c>
      <c r="B28" s="39">
        <f>SUMIFS(Lançamentos!$F:$F,Lançamentos!$A:$A,B$19,Lançamentos!$C:$C,"Comissões Recebidas")</f>
        <v>0</v>
      </c>
      <c r="C28" s="39">
        <f>SUMIFS(Lançamentos!$F:$F,Lançamentos!$A:$A,C$19,Lançamentos!$C:$C,"Comissões Recebidas")</f>
        <v>0</v>
      </c>
      <c r="D28" s="39">
        <f>SUMIFS(Lançamentos!$F:$F,Lançamentos!$A:$A,D$19,Lançamentos!$C:$C,"Comissões Recebidas")</f>
        <v>0</v>
      </c>
      <c r="E28" s="39">
        <f>SUMIFS(Lançamentos!$F:$F,Lançamentos!$A:$A,E$19,Lançamentos!$C:$C,"Comissões Recebidas")</f>
        <v>0</v>
      </c>
      <c r="F28" s="39">
        <f>SUMIFS(Lançamentos!$F:$F,Lançamentos!$A:$A,F$19,Lançamentos!$C:$C,"Comissões Recebidas")</f>
        <v>0</v>
      </c>
      <c r="G28" s="39">
        <f>SUMIFS(Lançamentos!$F:$F,Lançamentos!$A:$A,G$19,Lançamentos!$C:$C,"Comissões Recebidas")</f>
        <v>0</v>
      </c>
      <c r="H28" s="39">
        <f>SUMIFS(Lançamentos!$F:$F,Lançamentos!$A:$A,H$19,Lançamentos!$C:$C,"Comissões Recebidas")</f>
        <v>0</v>
      </c>
      <c r="I28" s="39">
        <f>SUMIFS(Lançamentos!$F:$F,Lançamentos!$A:$A,I$19,Lançamentos!$C:$C,"Comissões Recebidas")</f>
        <v>0</v>
      </c>
      <c r="J28" s="39">
        <f>SUMIFS(Lançamentos!$F:$F,Lançamentos!$A:$A,J$19,Lançamentos!$C:$C,"Comissões Recebidas")</f>
        <v>0</v>
      </c>
      <c r="K28" s="39">
        <f>SUMIFS(Lançamentos!$F:$F,Lançamentos!$A:$A,K$19,Lançamentos!$C:$C,"Comissões Recebidas")</f>
        <v>0</v>
      </c>
      <c r="L28" s="39">
        <f>SUMIFS(Lançamentos!$F:$F,Lançamentos!$A:$A,L$19,Lançamentos!$C:$C,"Comissões Recebidas")</f>
        <v>0</v>
      </c>
      <c r="M28" s="39">
        <f>SUMIFS(Lançamentos!$F:$F,Lançamentos!$A:$A,M$19,Lançamentos!$C:$C,"Comissões Recebidas")</f>
        <v>0</v>
      </c>
      <c r="N28" s="39">
        <f>SUMIFS(Lançamentos!$F:$F,Lançamentos!$A:$A,N$19,Lançamentos!$C:$C,"Comissões Recebidas")</f>
        <v>0</v>
      </c>
      <c r="O28" s="39">
        <f>SUMIFS(Lançamentos!$F:$F,Lançamentos!$A:$A,O$19,Lançamentos!$C:$C,"Comissões Recebidas")</f>
        <v>0</v>
      </c>
      <c r="P28" s="39">
        <f>SUMIFS(Lançamentos!$F:$F,Lançamentos!$A:$A,P$19,Lançamentos!$C:$C,"Comissões Recebidas")</f>
        <v>0</v>
      </c>
      <c r="Q28" s="39">
        <f>SUMIFS(Lançamentos!$F:$F,Lançamentos!$A:$A,Q$19,Lançamentos!$C:$C,"Comissões Recebidas")</f>
        <v>0</v>
      </c>
      <c r="R28" s="39">
        <f>SUMIFS(Lançamentos!$F:$F,Lançamentos!$A:$A,R$19,Lançamentos!$C:$C,"Comissões Recebidas")</f>
        <v>0</v>
      </c>
      <c r="S28" s="39">
        <f>SUMIFS(Lançamentos!$F:$F,Lançamentos!$A:$A,S$19,Lançamentos!$C:$C,"Comissões Recebidas")</f>
        <v>0</v>
      </c>
      <c r="T28" s="39">
        <f>SUMIFS(Lançamentos!$F:$F,Lançamentos!$A:$A,T$19,Lançamentos!$C:$C,"Comissões Recebidas")</f>
        <v>0</v>
      </c>
      <c r="U28" s="39">
        <f>SUMIFS(Lançamentos!$F:$F,Lançamentos!$A:$A,U$19,Lançamentos!$C:$C,"Comissões Recebidas")</f>
        <v>0</v>
      </c>
      <c r="V28" s="39">
        <f>SUMIFS(Lançamentos!$F:$F,Lançamentos!$A:$A,V$19,Lançamentos!$C:$C,"Comissões Recebidas")</f>
        <v>0</v>
      </c>
      <c r="W28" s="39">
        <f>SUMIFS(Lançamentos!$F:$F,Lançamentos!$A:$A,W$19,Lançamentos!$C:$C,"Comissões Recebidas")</f>
        <v>0</v>
      </c>
      <c r="X28" s="39">
        <f>SUMIFS(Lançamentos!$F:$F,Lançamentos!$A:$A,X$19,Lançamentos!$C:$C,"Comissões Recebidas")</f>
        <v>0</v>
      </c>
      <c r="Y28" s="39">
        <f>SUMIFS(Lançamentos!$F:$F,Lançamentos!$A:$A,Y$19,Lançamentos!$C:$C,"Comissões Recebidas")</f>
        <v>0</v>
      </c>
      <c r="Z28" s="39">
        <f>SUMIFS(Lançamentos!$F:$F,Lançamentos!$A:$A,Z$19,Lançamentos!$C:$C,"Comissões Recebidas")</f>
        <v>0</v>
      </c>
      <c r="AA28" s="39">
        <f>SUMIFS(Lançamentos!$F:$F,Lançamentos!$A:$A,AA$19,Lançamentos!$C:$C,"Comissões Recebidas")</f>
        <v>0</v>
      </c>
      <c r="AB28" s="39">
        <f>SUMIFS(Lançamentos!$F:$F,Lançamentos!$A:$A,AB$19,Lançamentos!$C:$C,"Comissões Recebidas")</f>
        <v>0</v>
      </c>
      <c r="AC28" s="39">
        <f>SUMIFS(Lançamentos!$F:$F,Lançamentos!$A:$A,AC$19,Lançamentos!$C:$C,"Comissões Recebidas")</f>
        <v>0</v>
      </c>
      <c r="AD28" s="39">
        <f>SUMIFS(Lançamentos!$F:$F,Lançamentos!$A:$A,AD$19,Lançamentos!$C:$C,"Comissões Recebidas")</f>
        <v>0</v>
      </c>
      <c r="AE28" s="39">
        <f>SUMIFS(Lançamentos!$F:$F,Lançamentos!$A:$A,AE$19,Lançamentos!$C:$C,"Comissões Recebidas")</f>
        <v>0</v>
      </c>
      <c r="AF28" s="39">
        <f>SUMIFS(Lançamentos!$F:$F,Lançamentos!$A:$A,AF$19,Lançamentos!$C:$C,"Comissões Recebidas")</f>
        <v>0</v>
      </c>
      <c r="AG28" s="39">
        <f>SUMIFS(Lançamentos!$F:$F,Lançamentos!$A:$A,AG$19,Lançamentos!$C:$C,"Comissões Recebidas")</f>
        <v>0</v>
      </c>
      <c r="AH28" s="39">
        <f>SUMIFS(Lançamentos!$F:$F,Lançamentos!$A:$A,AH$19,Lançamentos!$C:$C,"Comissões Recebidas")</f>
        <v>0</v>
      </c>
      <c r="AI28" s="39">
        <f>SUMIFS(Lançamentos!$F:$F,Lançamentos!$A:$A,AI$19,Lançamentos!$C:$C,"Comissões Recebidas")</f>
        <v>0</v>
      </c>
      <c r="AJ28" s="39">
        <f>SUMIFS(Lançamentos!$F:$F,Lançamentos!$A:$A,AJ$19,Lançamentos!$C:$C,"Comissões Recebidas")</f>
        <v>0</v>
      </c>
      <c r="AK28" s="39">
        <f>SUMIFS(Lançamentos!$F:$F,Lançamentos!$A:$A,AK$19,Lançamentos!$C:$C,"Comissões Recebidas")</f>
        <v>0</v>
      </c>
      <c r="AL28" s="39">
        <f>SUMIFS(Lançamentos!$F:$F,Lançamentos!$A:$A,AL$19,Lançamentos!$C:$C,"Comissões Recebidas")</f>
        <v>0</v>
      </c>
      <c r="AM28" s="39">
        <f>SUMIFS(Lançamentos!$F:$F,Lançamentos!$A:$A,AM$19,Lançamentos!$C:$C,"Comissões Recebidas")</f>
        <v>0</v>
      </c>
      <c r="AN28" s="39">
        <f>SUMIFS(Lançamentos!$F:$F,Lançamentos!$A:$A,AN$19,Lançamentos!$C:$C,"Comissões Recebidas")</f>
        <v>0</v>
      </c>
      <c r="AO28" s="39">
        <f>SUMIFS(Lançamentos!$F:$F,Lançamentos!$A:$A,AO$19,Lançamentos!$C:$C,"Comissões Recebidas")</f>
        <v>0</v>
      </c>
      <c r="AP28" s="39">
        <f>SUMIFS(Lançamentos!$F:$F,Lançamentos!$A:$A,AP$19,Lançamentos!$C:$C,"Comissões Recebidas")</f>
        <v>0</v>
      </c>
      <c r="AQ28" s="39">
        <f>SUMIFS(Lançamentos!$F:$F,Lançamentos!$A:$A,AQ$19,Lançamentos!$C:$C,"Comissões Recebidas")</f>
        <v>0</v>
      </c>
      <c r="AR28" s="39">
        <f>SUMIFS(Lançamentos!$F:$F,Lançamentos!$A:$A,AR$19,Lançamentos!$C:$C,"Comissões Recebidas")</f>
        <v>0</v>
      </c>
      <c r="AS28" s="39">
        <f>SUMIFS(Lançamentos!$F:$F,Lançamentos!$A:$A,AS$19,Lançamentos!$C:$C,"Comissões Recebidas")</f>
        <v>0</v>
      </c>
      <c r="AT28" s="39">
        <f>SUMIFS(Lançamentos!$F:$F,Lançamentos!$A:$A,AT$19,Lançamentos!$C:$C,"Comissões Recebidas")</f>
        <v>0</v>
      </c>
      <c r="AU28" s="39">
        <f>SUMIFS(Lançamentos!$F:$F,Lançamentos!$A:$A,AU$19,Lançamentos!$C:$C,"Comissões Recebidas")</f>
        <v>0</v>
      </c>
      <c r="AV28" s="39">
        <f>SUMIFS(Lançamentos!$F:$F,Lançamentos!$A:$A,AV$19,Lançamentos!$C:$C,"Comissões Recebidas")</f>
        <v>0</v>
      </c>
      <c r="AW28" s="39">
        <f>SUMIFS(Lançamentos!$F:$F,Lançamentos!$A:$A,AW$19,Lançamentos!$C:$C,"Comissões Recebidas")</f>
        <v>0</v>
      </c>
      <c r="AX28" s="39">
        <f>SUMIFS(Lançamentos!$F:$F,Lançamentos!$A:$A,AX$19,Lançamentos!$C:$C,"Comissões Recebidas")</f>
        <v>0</v>
      </c>
      <c r="AY28" s="39">
        <f>SUMIFS(Lançamentos!$F:$F,Lançamentos!$A:$A,AY$19,Lançamentos!$C:$C,"Comissões Recebidas")</f>
        <v>0</v>
      </c>
      <c r="AZ28" s="39">
        <f>SUMIFS(Lançamentos!$F:$F,Lançamentos!$A:$A,AZ$19,Lançamentos!$C:$C,"Comissões Recebidas")</f>
        <v>0</v>
      </c>
      <c r="BA28" s="39">
        <f>SUMIFS(Lançamentos!$F:$F,Lançamentos!$A:$A,BA$19,Lançamentos!$C:$C,"Comissões Recebidas")</f>
        <v>0</v>
      </c>
      <c r="BB28" s="39">
        <f>SUMIFS(Lançamentos!$F:$F,Lançamentos!$A:$A,BB$19,Lançamentos!$C:$C,"Comissões Recebidas")</f>
        <v>0</v>
      </c>
      <c r="BC28" s="39">
        <f>SUMIFS(Lançamentos!$F:$F,Lançamentos!$A:$A,BC$19,Lançamentos!$C:$C,"Comissões Recebidas")</f>
        <v>0</v>
      </c>
      <c r="BD28" s="39">
        <f>SUMIFS(Lançamentos!$F:$F,Lançamentos!$A:$A,BD$19,Lançamentos!$C:$C,"Comissões Recebidas")</f>
        <v>0</v>
      </c>
      <c r="BE28" s="39">
        <f>SUMIFS(Lançamentos!$F:$F,Lançamentos!$A:$A,BE$19,Lançamentos!$C:$C,"Comissões Recebidas")</f>
        <v>0</v>
      </c>
      <c r="BF28" s="39">
        <f>SUMIFS(Lançamentos!$F:$F,Lançamentos!$A:$A,BF$19,Lançamentos!$C:$C,"Comissões Recebidas")</f>
        <v>0</v>
      </c>
      <c r="BG28" s="39">
        <f>SUMIFS(Lançamentos!$F:$F,Lançamentos!$A:$A,BG$19,Lançamentos!$C:$C,"Comissões Recebidas")</f>
        <v>0</v>
      </c>
      <c r="BH28" s="39">
        <f>SUMIFS(Lançamentos!$F:$F,Lançamentos!$A:$A,BH$19,Lançamentos!$C:$C,"Comissões Recebidas")</f>
        <v>0</v>
      </c>
      <c r="BI28" s="39">
        <f>SUMIFS(Lançamentos!$F:$F,Lançamentos!$A:$A,BI$19,Lançamentos!$C:$C,"Comissões Recebidas")</f>
        <v>0</v>
      </c>
      <c r="BJ28" s="39">
        <f>SUMIFS(Lançamentos!$F:$F,Lançamentos!$A:$A,BJ$19,Lançamentos!$C:$C,"Comissões Recebidas")</f>
        <v>0</v>
      </c>
      <c r="BK28" s="39">
        <f>SUMIFS(Lançamentos!$F:$F,Lançamentos!$A:$A,BK$19,Lançamentos!$C:$C,"Comissões Recebidas")</f>
        <v>0</v>
      </c>
      <c r="BL28" s="39">
        <f>SUMIFS(Lançamentos!$F:$F,Lançamentos!$A:$A,BL$19,Lançamentos!$C:$C,"Comissões Recebidas")</f>
        <v>0</v>
      </c>
      <c r="BM28" s="39">
        <f>SUMIFS(Lançamentos!$F:$F,Lançamentos!$A:$A,BM$19,Lançamentos!$C:$C,"Comissões Recebidas")</f>
        <v>0</v>
      </c>
      <c r="BN28" s="39">
        <f>SUMIFS(Lançamentos!$F:$F,Lançamentos!$A:$A,BN$19,Lançamentos!$C:$C,"Comissões Recebidas")</f>
        <v>0</v>
      </c>
      <c r="BO28" s="39">
        <f>SUMIFS(Lançamentos!$F:$F,Lançamentos!$A:$A,BO$19,Lançamentos!$C:$C,"Comissões Recebidas")</f>
        <v>0</v>
      </c>
      <c r="BP28" s="39">
        <f>SUMIFS(Lançamentos!$F:$F,Lançamentos!$A:$A,BP$19,Lançamentos!$C:$C,"Comissões Recebidas")</f>
        <v>0</v>
      </c>
      <c r="BQ28" s="39">
        <f>SUMIFS(Lançamentos!$F:$F,Lançamentos!$A:$A,BQ$19,Lançamentos!$C:$C,"Comissões Recebidas")</f>
        <v>0</v>
      </c>
      <c r="BR28" s="39">
        <f>SUMIFS(Lançamentos!$F:$F,Lançamentos!$A:$A,BR$19,Lançamentos!$C:$C,"Comissões Recebidas")</f>
        <v>0</v>
      </c>
      <c r="BS28" s="39">
        <f>SUMIFS(Lançamentos!$F:$F,Lançamentos!$A:$A,BS$19,Lançamentos!$C:$C,"Comissões Recebidas")</f>
        <v>0</v>
      </c>
      <c r="BT28" s="39">
        <f>SUMIFS(Lançamentos!$F:$F,Lançamentos!$A:$A,BT$19,Lançamentos!$C:$C,"Comissões Recebidas")</f>
        <v>0</v>
      </c>
      <c r="BU28" s="39">
        <f>SUMIFS(Lançamentos!$F:$F,Lançamentos!$A:$A,BU$19,Lançamentos!$C:$C,"Comissões Recebidas")</f>
        <v>0</v>
      </c>
      <c r="BV28" s="39">
        <f>SUMIFS(Lançamentos!$F:$F,Lançamentos!$A:$A,BV$19,Lançamentos!$C:$C,"Comissões Recebidas")</f>
        <v>0</v>
      </c>
      <c r="BW28" s="39">
        <f>SUMIFS(Lançamentos!$F:$F,Lançamentos!$A:$A,BW$19,Lançamentos!$C:$C,"Comissões Recebidas")</f>
        <v>0</v>
      </c>
      <c r="BX28" s="39">
        <f>SUMIFS(Lançamentos!$F:$F,Lançamentos!$A:$A,BX$19,Lançamentos!$C:$C,"Comissões Recebidas")</f>
        <v>0</v>
      </c>
      <c r="BY28" s="39">
        <f>SUMIFS(Lançamentos!$F:$F,Lançamentos!$A:$A,BY$19,Lançamentos!$C:$C,"Comissões Recebidas")</f>
        <v>0</v>
      </c>
      <c r="BZ28" s="39">
        <f>SUMIFS(Lançamentos!$F:$F,Lançamentos!$A:$A,BZ$19,Lançamentos!$C:$C,"Comissões Recebidas")</f>
        <v>0</v>
      </c>
      <c r="CA28" s="39">
        <f>SUMIFS(Lançamentos!$F:$F,Lançamentos!$A:$A,CA$19,Lançamentos!$C:$C,"Comissões Recebidas")</f>
        <v>0</v>
      </c>
      <c r="CB28" s="39">
        <f>SUMIFS(Lançamentos!$F:$F,Lançamentos!$A:$A,CB$19,Lançamentos!$C:$C,"Comissões Recebidas")</f>
        <v>0</v>
      </c>
      <c r="CC28" s="39">
        <f>SUMIFS(Lançamentos!$F:$F,Lançamentos!$A:$A,CC$19,Lançamentos!$C:$C,"Comissões Recebidas")</f>
        <v>0</v>
      </c>
      <c r="CD28" s="39">
        <f>SUMIFS(Lançamentos!$F:$F,Lançamentos!$A:$A,CD$19,Lançamentos!$C:$C,"Comissões Recebidas")</f>
        <v>0</v>
      </c>
      <c r="CE28" s="39">
        <f>SUMIFS(Lançamentos!$F:$F,Lançamentos!$A:$A,CE$19,Lançamentos!$C:$C,"Comissões Recebidas")</f>
        <v>0</v>
      </c>
      <c r="CF28" s="39">
        <f>SUMIFS(Lançamentos!$F:$F,Lançamentos!$A:$A,CF$19,Lançamentos!$C:$C,"Comissões Recebidas")</f>
        <v>0</v>
      </c>
      <c r="CG28" s="39">
        <f>SUMIFS(Lançamentos!$F:$F,Lançamentos!$A:$A,CG$19,Lançamentos!$C:$C,"Comissões Recebidas")</f>
        <v>0</v>
      </c>
      <c r="CH28" s="39">
        <f>SUMIFS(Lançamentos!$F:$F,Lançamentos!$A:$A,CH$19,Lançamentos!$C:$C,"Comissões Recebidas")</f>
        <v>0</v>
      </c>
      <c r="CI28" s="39">
        <f>SUMIFS(Lançamentos!$F:$F,Lançamentos!$A:$A,CI$19,Lançamentos!$C:$C,"Comissões Recebidas")</f>
        <v>0</v>
      </c>
      <c r="CJ28" s="39">
        <f>SUMIFS(Lançamentos!$F:$F,Lançamentos!$A:$A,CJ$19,Lançamentos!$C:$C,"Comissões Recebidas")</f>
        <v>0</v>
      </c>
      <c r="CK28" s="39">
        <f>SUMIFS(Lançamentos!$F:$F,Lançamentos!$A:$A,CK$19,Lançamentos!$C:$C,"Comissões Recebidas")</f>
        <v>0</v>
      </c>
      <c r="CL28" s="39">
        <f>SUMIFS(Lançamentos!$F:$F,Lançamentos!$A:$A,CL$19,Lançamentos!$C:$C,"Comissões Recebidas")</f>
        <v>0</v>
      </c>
      <c r="CM28" s="39">
        <f>SUMIFS(Lançamentos!$F:$F,Lançamentos!$A:$A,CM$19,Lançamentos!$C:$C,"Comissões Recebidas")</f>
        <v>0</v>
      </c>
      <c r="CN28" s="39">
        <f>SUMIFS(Lançamentos!$F:$F,Lançamentos!$A:$A,CN$19,Lançamentos!$C:$C,"Comissões Recebidas")</f>
        <v>0</v>
      </c>
      <c r="CO28" s="39">
        <f>SUMIFS(Lançamentos!$F:$F,Lançamentos!$A:$A,CO$19,Lançamentos!$C:$C,"Comissões Recebidas")</f>
        <v>0</v>
      </c>
      <c r="CP28" s="39">
        <f>SUMIFS(Lançamentos!$F:$F,Lançamentos!$A:$A,CP$19,Lançamentos!$C:$C,"Comissões Recebidas")</f>
        <v>0</v>
      </c>
      <c r="CQ28" s="39">
        <f>SUMIFS(Lançamentos!$F:$F,Lançamentos!$A:$A,CQ$19,Lançamentos!$C:$C,"Comissões Recebidas")</f>
        <v>0</v>
      </c>
      <c r="CR28" s="39">
        <f>SUMIFS(Lançamentos!$F:$F,Lançamentos!$A:$A,CR$19,Lançamentos!$C:$C,"Comissões Recebidas")</f>
        <v>0</v>
      </c>
      <c r="CS28" s="39">
        <f>SUMIFS(Lançamentos!$F:$F,Lançamentos!$A:$A,CS$19,Lançamentos!$C:$C,"Comissões Recebidas")</f>
        <v>0</v>
      </c>
      <c r="CT28" s="39">
        <f>SUMIFS(Lançamentos!$F:$F,Lançamentos!$A:$A,CT$19,Lançamentos!$C:$C,"Comissões Recebidas")</f>
        <v>0</v>
      </c>
      <c r="CU28" s="39">
        <f>SUMIFS(Lançamentos!$F:$F,Lançamentos!$A:$A,CU$19,Lançamentos!$C:$C,"Comissões Recebidas")</f>
        <v>0</v>
      </c>
      <c r="CV28" s="39">
        <f>SUMIFS(Lançamentos!$F:$F,Lançamentos!$A:$A,CV$19,Lançamentos!$C:$C,"Comissões Recebidas")</f>
        <v>0</v>
      </c>
      <c r="CW28" s="39">
        <f>SUMIFS(Lançamentos!$F:$F,Lançamentos!$A:$A,CW$19,Lançamentos!$C:$C,"Comissões Recebidas")</f>
        <v>0</v>
      </c>
      <c r="CX28" s="39">
        <f>SUMIFS(Lançamentos!$F:$F,Lançamentos!$A:$A,CX$19,Lançamentos!$C:$C,"Comissões Recebidas")</f>
        <v>0</v>
      </c>
      <c r="CY28" s="39">
        <f>SUMIFS(Lançamentos!$F:$F,Lançamentos!$A:$A,CY$19,Lançamentos!$C:$C,"Comissões Recebidas")</f>
        <v>0</v>
      </c>
      <c r="CZ28" s="39">
        <f>SUMIFS(Lançamentos!$F:$F,Lançamentos!$A:$A,CZ$19,Lançamentos!$C:$C,"Comissões Recebidas")</f>
        <v>0</v>
      </c>
      <c r="DA28" s="39">
        <f>SUMIFS(Lançamentos!$F:$F,Lançamentos!$A:$A,DA$19,Lançamentos!$C:$C,"Comissões Recebidas")</f>
        <v>0</v>
      </c>
      <c r="DB28" s="39">
        <f>SUMIFS(Lançamentos!$F:$F,Lançamentos!$A:$A,DB$19,Lançamentos!$C:$C,"Comissões Recebidas")</f>
        <v>0</v>
      </c>
      <c r="DC28" s="39">
        <f>SUMIFS(Lançamentos!$F:$F,Lançamentos!$A:$A,DC$19,Lançamentos!$C:$C,"Comissões Recebidas")</f>
        <v>0</v>
      </c>
      <c r="DD28" s="39">
        <f>SUMIFS(Lançamentos!$F:$F,Lançamentos!$A:$A,DD$19,Lançamentos!$C:$C,"Comissões Recebidas")</f>
        <v>0</v>
      </c>
      <c r="DE28" s="39">
        <f>SUMIFS(Lançamentos!$F:$F,Lançamentos!$A:$A,DE$19,Lançamentos!$C:$C,"Comissões Recebidas")</f>
        <v>0</v>
      </c>
      <c r="DF28" s="39">
        <f>SUMIFS(Lançamentos!$F:$F,Lançamentos!$A:$A,DF$19,Lançamentos!$C:$C,"Comissões Recebidas")</f>
        <v>0</v>
      </c>
      <c r="DG28" s="39">
        <f>SUMIFS(Lançamentos!$F:$F,Lançamentos!$A:$A,DG$19,Lançamentos!$C:$C,"Comissões Recebidas")</f>
        <v>0</v>
      </c>
      <c r="DH28" s="39">
        <f>SUMIFS(Lançamentos!$F:$F,Lançamentos!$A:$A,DH$19,Lançamentos!$C:$C,"Comissões Recebidas")</f>
        <v>0</v>
      </c>
      <c r="DI28" s="39">
        <f>SUMIFS(Lançamentos!$F:$F,Lançamentos!$A:$A,DI$19,Lançamentos!$C:$C,"Comissões Recebidas")</f>
        <v>0</v>
      </c>
      <c r="DJ28" s="39">
        <f>SUMIFS(Lançamentos!$F:$F,Lançamentos!$A:$A,DJ$19,Lançamentos!$C:$C,"Comissões Recebidas")</f>
        <v>0</v>
      </c>
      <c r="DK28" s="39">
        <f>SUMIFS(Lançamentos!$F:$F,Lançamentos!$A:$A,DK$19,Lançamentos!$C:$C,"Comissões Recebidas")</f>
        <v>0</v>
      </c>
      <c r="DL28" s="39">
        <f>SUMIFS(Lançamentos!$F:$F,Lançamentos!$A:$A,DL$19,Lançamentos!$C:$C,"Comissões Recebidas")</f>
        <v>0</v>
      </c>
      <c r="DM28" s="39">
        <f>SUMIFS(Lançamentos!$F:$F,Lançamentos!$A:$A,DM$19,Lançamentos!$C:$C,"Comissões Recebidas")</f>
        <v>0</v>
      </c>
      <c r="DN28" s="39">
        <f>SUMIFS(Lançamentos!$F:$F,Lançamentos!$A:$A,DN$19,Lançamentos!$C:$C,"Comissões Recebidas")</f>
        <v>0</v>
      </c>
      <c r="DO28" s="39">
        <f>SUMIFS(Lançamentos!$F:$F,Lançamentos!$A:$A,DO$19,Lançamentos!$C:$C,"Comissões Recebidas")</f>
        <v>0</v>
      </c>
      <c r="DP28" s="39">
        <f>SUMIFS(Lançamentos!$F:$F,Lançamentos!$A:$A,DP$19,Lançamentos!$C:$C,"Comissões Recebidas")</f>
        <v>0</v>
      </c>
      <c r="DQ28" s="39">
        <f>SUMIFS(Lançamentos!$F:$F,Lançamentos!$A:$A,DQ$19,Lançamentos!$C:$C,"Comissões Recebidas")</f>
        <v>0</v>
      </c>
      <c r="DR28" s="39">
        <f>SUMIFS(Lançamentos!$F:$F,Lançamentos!$A:$A,DR$19,Lançamentos!$C:$C,"Comissões Recebidas")</f>
        <v>0</v>
      </c>
      <c r="DS28" s="39">
        <f>SUMIFS(Lançamentos!$F:$F,Lançamentos!$A:$A,DS$19,Lançamentos!$C:$C,"Comissões Recebidas")</f>
        <v>0</v>
      </c>
      <c r="DT28" s="39">
        <f>SUMIFS(Lançamentos!$F:$F,Lançamentos!$A:$A,DT$19,Lançamentos!$C:$C,"Comissões Recebidas")</f>
        <v>0</v>
      </c>
      <c r="DU28" s="39">
        <f>SUMIFS(Lançamentos!$F:$F,Lançamentos!$A:$A,DU$19,Lançamentos!$C:$C,"Comissões Recebidas")</f>
        <v>0</v>
      </c>
      <c r="DV28" s="39">
        <f>SUMIFS(Lançamentos!$F:$F,Lançamentos!$A:$A,DV$19,Lançamentos!$C:$C,"Comissões Recebidas")</f>
        <v>0</v>
      </c>
      <c r="DW28" s="39">
        <f>SUMIFS(Lançamentos!$F:$F,Lançamentos!$A:$A,DW$19,Lançamentos!$C:$C,"Comissões Recebidas")</f>
        <v>0</v>
      </c>
      <c r="DX28" s="39">
        <f>SUMIFS(Lançamentos!$F:$F,Lançamentos!$A:$A,DX$19,Lançamentos!$C:$C,"Comissões Recebidas")</f>
        <v>0</v>
      </c>
      <c r="DY28" s="39">
        <f>SUMIFS(Lançamentos!$F:$F,Lançamentos!$A:$A,DY$19,Lançamentos!$C:$C,"Comissões Recebidas")</f>
        <v>0</v>
      </c>
      <c r="DZ28" s="39">
        <f>SUMIFS(Lançamentos!$F:$F,Lançamentos!$A:$A,DZ$19,Lançamentos!$C:$C,"Comissões Recebidas")</f>
        <v>0</v>
      </c>
      <c r="EA28" s="39">
        <f>SUMIFS(Lançamentos!$F:$F,Lançamentos!$A:$A,EA$19,Lançamentos!$C:$C,"Comissões Recebidas")</f>
        <v>0</v>
      </c>
      <c r="EB28" s="39">
        <f>SUMIFS(Lançamentos!$F:$F,Lançamentos!$A:$A,EB$19,Lançamentos!$C:$C,"Comissões Recebidas")</f>
        <v>0</v>
      </c>
      <c r="EC28" s="39">
        <f>SUMIFS(Lançamentos!$F:$F,Lançamentos!$A:$A,EC$19,Lançamentos!$C:$C,"Comissões Recebidas")</f>
        <v>0</v>
      </c>
      <c r="ED28" s="39">
        <f>SUMIFS(Lançamentos!$F:$F,Lançamentos!$A:$A,ED$19,Lançamentos!$C:$C,"Comissões Recebidas")</f>
        <v>0</v>
      </c>
      <c r="EE28" s="39">
        <f>SUMIFS(Lançamentos!$F:$F,Lançamentos!$A:$A,EE$19,Lançamentos!$C:$C,"Comissões Recebidas")</f>
        <v>0</v>
      </c>
      <c r="EF28" s="39">
        <f>SUMIFS(Lançamentos!$F:$F,Lançamentos!$A:$A,EF$19,Lançamentos!$C:$C,"Comissões Recebidas")</f>
        <v>0</v>
      </c>
      <c r="EG28" s="39">
        <f>SUMIFS(Lançamentos!$F:$F,Lançamentos!$A:$A,EG$19,Lançamentos!$C:$C,"Comissões Recebidas")</f>
        <v>0</v>
      </c>
      <c r="EH28" s="39">
        <f>SUMIFS(Lançamentos!$F:$F,Lançamentos!$A:$A,EH$19,Lançamentos!$C:$C,"Comissões Recebidas")</f>
        <v>0</v>
      </c>
      <c r="EI28" s="39">
        <f>SUMIFS(Lançamentos!$F:$F,Lançamentos!$A:$A,EI$19,Lançamentos!$C:$C,"Comissões Recebidas")</f>
        <v>0</v>
      </c>
      <c r="EJ28" s="39">
        <f>SUMIFS(Lançamentos!$F:$F,Lançamentos!$A:$A,EJ$19,Lançamentos!$C:$C,"Comissões Recebidas")</f>
        <v>0</v>
      </c>
      <c r="EK28" s="39">
        <f>SUMIFS(Lançamentos!$F:$F,Lançamentos!$A:$A,EK$19,Lançamentos!$C:$C,"Comissões Recebidas")</f>
        <v>0</v>
      </c>
      <c r="EL28" s="39">
        <f>SUMIFS(Lançamentos!$F:$F,Lançamentos!$A:$A,EL$19,Lançamentos!$C:$C,"Comissões Recebidas")</f>
        <v>0</v>
      </c>
      <c r="EM28" s="39">
        <f>SUMIFS(Lançamentos!$F:$F,Lançamentos!$A:$A,EM$19,Lançamentos!$C:$C,"Comissões Recebidas")</f>
        <v>0</v>
      </c>
      <c r="EN28" s="39">
        <f>SUMIFS(Lançamentos!$F:$F,Lançamentos!$A:$A,EN$19,Lançamentos!$C:$C,"Comissões Recebidas")</f>
        <v>0</v>
      </c>
      <c r="EO28" s="39">
        <f>SUMIFS(Lançamentos!$F:$F,Lançamentos!$A:$A,EO$19,Lançamentos!$C:$C,"Comissões Recebidas")</f>
        <v>0</v>
      </c>
      <c r="EP28" s="39">
        <f>SUMIFS(Lançamentos!$F:$F,Lançamentos!$A:$A,EP$19,Lançamentos!$C:$C,"Comissões Recebidas")</f>
        <v>0</v>
      </c>
      <c r="EQ28" s="39">
        <f>SUMIFS(Lançamentos!$F:$F,Lançamentos!$A:$A,EQ$19,Lançamentos!$C:$C,"Comissões Recebidas")</f>
        <v>0</v>
      </c>
      <c r="ER28" s="39">
        <f>SUMIFS(Lançamentos!$F:$F,Lançamentos!$A:$A,ER$19,Lançamentos!$C:$C,"Comissões Recebidas")</f>
        <v>0</v>
      </c>
      <c r="ES28" s="39">
        <f>SUMIFS(Lançamentos!$F:$F,Lançamentos!$A:$A,ES$19,Lançamentos!$C:$C,"Comissões Recebidas")</f>
        <v>0</v>
      </c>
      <c r="ET28" s="39">
        <f>SUMIFS(Lançamentos!$F:$F,Lançamentos!$A:$A,ET$19,Lançamentos!$C:$C,"Comissões Recebidas")</f>
        <v>0</v>
      </c>
      <c r="EU28" s="39">
        <f>SUMIFS(Lançamentos!$F:$F,Lançamentos!$A:$A,EU$19,Lançamentos!$C:$C,"Comissões Recebidas")</f>
        <v>0</v>
      </c>
      <c r="EV28" s="39">
        <f>SUMIFS(Lançamentos!$F:$F,Lançamentos!$A:$A,EV$19,Lançamentos!$C:$C,"Comissões Recebidas")</f>
        <v>0</v>
      </c>
      <c r="EW28" s="39">
        <f>SUMIFS(Lançamentos!$F:$F,Lançamentos!$A:$A,EW$19,Lançamentos!$C:$C,"Comissões Recebidas")</f>
        <v>0</v>
      </c>
      <c r="EX28" s="39">
        <f>SUMIFS(Lançamentos!$F:$F,Lançamentos!$A:$A,EX$19,Lançamentos!$C:$C,"Comissões Recebidas")</f>
        <v>0</v>
      </c>
      <c r="EY28" s="39">
        <f>SUMIFS(Lançamentos!$F:$F,Lançamentos!$A:$A,EY$19,Lançamentos!$C:$C,"Comissões Recebidas")</f>
        <v>0</v>
      </c>
      <c r="EZ28" s="39">
        <f>SUMIFS(Lançamentos!$F:$F,Lançamentos!$A:$A,EZ$19,Lançamentos!$C:$C,"Comissões Recebidas")</f>
        <v>0</v>
      </c>
      <c r="FA28" s="39">
        <f>SUMIFS(Lançamentos!$F:$F,Lançamentos!$A:$A,FA$19,Lançamentos!$C:$C,"Comissões Recebidas")</f>
        <v>0</v>
      </c>
      <c r="FB28" s="39">
        <f>SUMIFS(Lançamentos!$F:$F,Lançamentos!$A:$A,FB$19,Lançamentos!$C:$C,"Comissões Recebidas")</f>
        <v>0</v>
      </c>
      <c r="FC28" s="39">
        <f>SUMIFS(Lançamentos!$F:$F,Lançamentos!$A:$A,FC$19,Lançamentos!$C:$C,"Comissões Recebidas")</f>
        <v>0</v>
      </c>
      <c r="FD28" s="39">
        <f>SUMIFS(Lançamentos!$F:$F,Lançamentos!$A:$A,FD$19,Lançamentos!$C:$C,"Comissões Recebidas")</f>
        <v>0</v>
      </c>
      <c r="FE28" s="39">
        <f>SUMIFS(Lançamentos!$F:$F,Lançamentos!$A:$A,FE$19,Lançamentos!$C:$C,"Comissões Recebidas")</f>
        <v>0</v>
      </c>
      <c r="FF28" s="39">
        <f>SUMIFS(Lançamentos!$F:$F,Lançamentos!$A:$A,FF$19,Lançamentos!$C:$C,"Comissões Recebidas")</f>
        <v>0</v>
      </c>
      <c r="FG28" s="39">
        <f>SUMIFS(Lançamentos!$F:$F,Lançamentos!$A:$A,FG$19,Lançamentos!$C:$C,"Comissões Recebidas")</f>
        <v>0</v>
      </c>
      <c r="FH28" s="39">
        <f>SUMIFS(Lançamentos!$F:$F,Lançamentos!$A:$A,FH$19,Lançamentos!$C:$C,"Comissões Recebidas")</f>
        <v>0</v>
      </c>
      <c r="FI28" s="39">
        <f>SUMIFS(Lançamentos!$F:$F,Lançamentos!$A:$A,FI$19,Lançamentos!$C:$C,"Comissões Recebidas")</f>
        <v>0</v>
      </c>
      <c r="FJ28" s="39">
        <f>SUMIFS(Lançamentos!$F:$F,Lançamentos!$A:$A,FJ$19,Lançamentos!$C:$C,"Comissões Recebidas")</f>
        <v>0</v>
      </c>
      <c r="FK28" s="39">
        <f>SUMIFS(Lançamentos!$F:$F,Lançamentos!$A:$A,FK$19,Lançamentos!$C:$C,"Comissões Recebidas")</f>
        <v>0</v>
      </c>
      <c r="FL28" s="39">
        <f>SUMIFS(Lançamentos!$F:$F,Lançamentos!$A:$A,FL$19,Lançamentos!$C:$C,"Comissões Recebidas")</f>
        <v>0</v>
      </c>
      <c r="FM28" s="39">
        <f>SUMIFS(Lançamentos!$F:$F,Lançamentos!$A:$A,FM$19,Lançamentos!$C:$C,"Comissões Recebidas")</f>
        <v>0</v>
      </c>
      <c r="FN28" s="39">
        <f>SUMIFS(Lançamentos!$F:$F,Lançamentos!$A:$A,FN$19,Lançamentos!$C:$C,"Comissões Recebidas")</f>
        <v>0</v>
      </c>
      <c r="FO28" s="39">
        <f>SUMIFS(Lançamentos!$F:$F,Lançamentos!$A:$A,FO$19,Lançamentos!$C:$C,"Comissões Recebidas")</f>
        <v>0</v>
      </c>
      <c r="FP28" s="39">
        <f>SUMIFS(Lançamentos!$F:$F,Lançamentos!$A:$A,FP$19,Lançamentos!$C:$C,"Comissões Recebidas")</f>
        <v>0</v>
      </c>
      <c r="FQ28" s="39">
        <f>SUMIFS(Lançamentos!$F:$F,Lançamentos!$A:$A,FQ$19,Lançamentos!$C:$C,"Comissões Recebidas")</f>
        <v>0</v>
      </c>
      <c r="FR28" s="39">
        <f>SUMIFS(Lançamentos!$F:$F,Lançamentos!$A:$A,FR$19,Lançamentos!$C:$C,"Comissões Recebidas")</f>
        <v>0</v>
      </c>
      <c r="FS28" s="39">
        <f>SUMIFS(Lançamentos!$F:$F,Lançamentos!$A:$A,FS$19,Lançamentos!$C:$C,"Comissões Recebidas")</f>
        <v>0</v>
      </c>
      <c r="FT28" s="39">
        <f>SUMIFS(Lançamentos!$F:$F,Lançamentos!$A:$A,FT$19,Lançamentos!$C:$C,"Comissões Recebidas")</f>
        <v>0</v>
      </c>
      <c r="FU28" s="39">
        <f>SUMIFS(Lançamentos!$F:$F,Lançamentos!$A:$A,FU$19,Lançamentos!$C:$C,"Comissões Recebidas")</f>
        <v>0</v>
      </c>
      <c r="FV28" s="39">
        <f>SUMIFS(Lançamentos!$F:$F,Lançamentos!$A:$A,FV$19,Lançamentos!$C:$C,"Comissões Recebidas")</f>
        <v>0</v>
      </c>
      <c r="FW28" s="39">
        <f>SUMIFS(Lançamentos!$F:$F,Lançamentos!$A:$A,FW$19,Lançamentos!$C:$C,"Comissões Recebidas")</f>
        <v>0</v>
      </c>
      <c r="FX28" s="39">
        <f>SUMIFS(Lançamentos!$F:$F,Lançamentos!$A:$A,FX$19,Lançamentos!$C:$C,"Comissões Recebidas")</f>
        <v>0</v>
      </c>
      <c r="FY28" s="39">
        <f>SUMIFS(Lançamentos!$F:$F,Lançamentos!$A:$A,FY$19,Lançamentos!$C:$C,"Comissões Recebidas")</f>
        <v>0</v>
      </c>
      <c r="FZ28" s="39">
        <f>SUMIFS(Lançamentos!$F:$F,Lançamentos!$A:$A,FZ$19,Lançamentos!$C:$C,"Comissões Recebidas")</f>
        <v>0</v>
      </c>
      <c r="GA28" s="39">
        <f>SUMIFS(Lançamentos!$F:$F,Lançamentos!$A:$A,GA$19,Lançamentos!$C:$C,"Comissões Recebidas")</f>
        <v>0</v>
      </c>
      <c r="GB28" s="39">
        <f>SUMIFS(Lançamentos!$F:$F,Lançamentos!$A:$A,GB$19,Lançamentos!$C:$C,"Comissões Recebidas")</f>
        <v>0</v>
      </c>
      <c r="GC28" s="39">
        <f>SUMIFS(Lançamentos!$F:$F,Lançamentos!$A:$A,GC$19,Lançamentos!$C:$C,"Comissões Recebidas")</f>
        <v>0</v>
      </c>
      <c r="GD28" s="39">
        <f>SUMIFS(Lançamentos!$F:$F,Lançamentos!$A:$A,GD$19,Lançamentos!$C:$C,"Comissões Recebidas")</f>
        <v>0</v>
      </c>
      <c r="GE28" s="39">
        <f>SUMIFS(Lançamentos!$F:$F,Lançamentos!$A:$A,GE$19,Lançamentos!$C:$C,"Comissões Recebidas")</f>
        <v>0</v>
      </c>
      <c r="GF28" s="39">
        <f>SUMIFS(Lançamentos!$F:$F,Lançamentos!$A:$A,GF$19,Lançamentos!$C:$C,"Comissões Recebidas")</f>
        <v>0</v>
      </c>
      <c r="GG28" s="39">
        <f>SUMIFS(Lançamentos!$F:$F,Lançamentos!$A:$A,GG$19,Lançamentos!$C:$C,"Comissões Recebidas")</f>
        <v>0</v>
      </c>
      <c r="GH28" s="39">
        <f>SUMIFS(Lançamentos!$F:$F,Lançamentos!$A:$A,GH$19,Lançamentos!$C:$C,"Comissões Recebidas")</f>
        <v>0</v>
      </c>
      <c r="GI28" s="39">
        <f>SUMIFS(Lançamentos!$F:$F,Lançamentos!$A:$A,GI$19,Lançamentos!$C:$C,"Comissões Recebidas")</f>
        <v>0</v>
      </c>
      <c r="GJ28" s="39">
        <f>SUMIFS(Lançamentos!$F:$F,Lançamentos!$A:$A,GJ$19,Lançamentos!$C:$C,"Comissões Recebidas")</f>
        <v>0</v>
      </c>
      <c r="GK28" s="39">
        <f>SUMIFS(Lançamentos!$F:$F,Lançamentos!$A:$A,GK$19,Lançamentos!$C:$C,"Comissões Recebidas")</f>
        <v>0</v>
      </c>
      <c r="GL28" s="39">
        <f>SUMIFS(Lançamentos!$F:$F,Lançamentos!$A:$A,GL$19,Lançamentos!$C:$C,"Comissões Recebidas")</f>
        <v>0</v>
      </c>
      <c r="GM28" s="39">
        <f>SUMIFS(Lançamentos!$F:$F,Lançamentos!$A:$A,GM$19,Lançamentos!$C:$C,"Comissões Recebidas")</f>
        <v>0</v>
      </c>
      <c r="GN28" s="39">
        <f>SUMIFS(Lançamentos!$F:$F,Lançamentos!$A:$A,GN$19,Lançamentos!$C:$C,"Comissões Recebidas")</f>
        <v>0</v>
      </c>
      <c r="GO28" s="39">
        <f>SUMIFS(Lançamentos!$F:$F,Lançamentos!$A:$A,GO$19,Lançamentos!$C:$C,"Comissões Recebidas")</f>
        <v>0</v>
      </c>
      <c r="GP28" s="39">
        <f>SUMIFS(Lançamentos!$F:$F,Lançamentos!$A:$A,GP$19,Lançamentos!$C:$C,"Comissões Recebidas")</f>
        <v>0</v>
      </c>
      <c r="GQ28" s="39">
        <f>SUMIFS(Lançamentos!$F:$F,Lançamentos!$A:$A,GQ$19,Lançamentos!$C:$C,"Comissões Recebidas")</f>
        <v>0</v>
      </c>
      <c r="GR28" s="39">
        <f>SUMIFS(Lançamentos!$F:$F,Lançamentos!$A:$A,GR$19,Lançamentos!$C:$C,"Comissões Recebidas")</f>
        <v>0</v>
      </c>
      <c r="GS28" s="39">
        <f>SUMIFS(Lançamentos!$F:$F,Lançamentos!$A:$A,GS$19,Lançamentos!$C:$C,"Comissões Recebidas")</f>
        <v>0</v>
      </c>
      <c r="GT28" s="39">
        <f>SUMIFS(Lançamentos!$F:$F,Lançamentos!$A:$A,GT$19,Lançamentos!$C:$C,"Comissões Recebidas")</f>
        <v>0</v>
      </c>
      <c r="GU28" s="39">
        <f>SUMIFS(Lançamentos!$F:$F,Lançamentos!$A:$A,GU$19,Lançamentos!$C:$C,"Comissões Recebidas")</f>
        <v>0</v>
      </c>
      <c r="GV28" s="39">
        <f>SUMIFS(Lançamentos!$F:$F,Lançamentos!$A:$A,GV$19,Lançamentos!$C:$C,"Comissões Recebidas")</f>
        <v>0</v>
      </c>
      <c r="GW28" s="39">
        <f>SUMIFS(Lançamentos!$F:$F,Lançamentos!$A:$A,GW$19,Lançamentos!$C:$C,"Comissões Recebidas")</f>
        <v>0</v>
      </c>
      <c r="GX28" s="39">
        <f>SUMIFS(Lançamentos!$F:$F,Lançamentos!$A:$A,GX$19,Lançamentos!$C:$C,"Comissões Recebidas")</f>
        <v>0</v>
      </c>
      <c r="GY28" s="39">
        <f>SUMIFS(Lançamentos!$F:$F,Lançamentos!$A:$A,GY$19,Lançamentos!$C:$C,"Comissões Recebidas")</f>
        <v>0</v>
      </c>
      <c r="GZ28" s="39">
        <f>SUMIFS(Lançamentos!$F:$F,Lançamentos!$A:$A,GZ$19,Lançamentos!$C:$C,"Comissões Recebidas")</f>
        <v>0</v>
      </c>
      <c r="HA28" s="39">
        <f>SUMIFS(Lançamentos!$F:$F,Lançamentos!$A:$A,HA$19,Lançamentos!$C:$C,"Comissões Recebidas")</f>
        <v>0</v>
      </c>
      <c r="HB28" s="39">
        <f>SUMIFS(Lançamentos!$F:$F,Lançamentos!$A:$A,HB$19,Lançamentos!$C:$C,"Comissões Recebidas")</f>
        <v>0</v>
      </c>
      <c r="HC28" s="39">
        <f>SUMIFS(Lançamentos!$F:$F,Lançamentos!$A:$A,HC$19,Lançamentos!$C:$C,"Comissões Recebidas")</f>
        <v>0</v>
      </c>
      <c r="HD28" s="39">
        <f>SUMIFS(Lançamentos!$F:$F,Lançamentos!$A:$A,HD$19,Lançamentos!$C:$C,"Comissões Recebidas")</f>
        <v>0</v>
      </c>
      <c r="HE28" s="39">
        <f>SUMIFS(Lançamentos!$F:$F,Lançamentos!$A:$A,HE$19,Lançamentos!$C:$C,"Comissões Recebidas")</f>
        <v>0</v>
      </c>
      <c r="HF28" s="39">
        <f>SUMIFS(Lançamentos!$F:$F,Lançamentos!$A:$A,HF$19,Lançamentos!$C:$C,"Comissões Recebidas")</f>
        <v>0</v>
      </c>
      <c r="HG28" s="39">
        <f>SUMIFS(Lançamentos!$F:$F,Lançamentos!$A:$A,HG$19,Lançamentos!$C:$C,"Comissões Recebidas")</f>
        <v>0</v>
      </c>
      <c r="HH28" s="39">
        <f>SUMIFS(Lançamentos!$F:$F,Lançamentos!$A:$A,HH$19,Lançamentos!$C:$C,"Comissões Recebidas")</f>
        <v>0</v>
      </c>
      <c r="HI28" s="39">
        <f>SUMIFS(Lançamentos!$F:$F,Lançamentos!$A:$A,HI$19,Lançamentos!$C:$C,"Comissões Recebidas")</f>
        <v>0</v>
      </c>
      <c r="HJ28" s="39">
        <f>SUMIFS(Lançamentos!$F:$F,Lançamentos!$A:$A,HJ$19,Lançamentos!$C:$C,"Comissões Recebidas")</f>
        <v>0</v>
      </c>
      <c r="HK28" s="39">
        <f>SUMIFS(Lançamentos!$F:$F,Lançamentos!$A:$A,HK$19,Lançamentos!$C:$C,"Comissões Recebidas")</f>
        <v>0</v>
      </c>
      <c r="HL28" s="39">
        <f>SUMIFS(Lançamentos!$F:$F,Lançamentos!$A:$A,HL$19,Lançamentos!$C:$C,"Comissões Recebidas")</f>
        <v>0</v>
      </c>
      <c r="HM28" s="39">
        <f>SUMIFS(Lançamentos!$F:$F,Lançamentos!$A:$A,HM$19,Lançamentos!$C:$C,"Comissões Recebidas")</f>
        <v>0</v>
      </c>
      <c r="HN28" s="39">
        <f>SUMIFS(Lançamentos!$F:$F,Lançamentos!$A:$A,HN$19,Lançamentos!$C:$C,"Comissões Recebidas")</f>
        <v>0</v>
      </c>
      <c r="HO28" s="39">
        <f>SUMIFS(Lançamentos!$F:$F,Lançamentos!$A:$A,HO$19,Lançamentos!$C:$C,"Comissões Recebidas")</f>
        <v>0</v>
      </c>
      <c r="HP28" s="39">
        <f>SUMIFS(Lançamentos!$F:$F,Lançamentos!$A:$A,HP$19,Lançamentos!$C:$C,"Comissões Recebidas")</f>
        <v>0</v>
      </c>
      <c r="HQ28" s="39">
        <f>SUMIFS(Lançamentos!$F:$F,Lançamentos!$A:$A,HQ$19,Lançamentos!$C:$C,"Comissões Recebidas")</f>
        <v>0</v>
      </c>
      <c r="HR28" s="39">
        <f>SUMIFS(Lançamentos!$F:$F,Lançamentos!$A:$A,HR$19,Lançamentos!$C:$C,"Comissões Recebidas")</f>
        <v>0</v>
      </c>
      <c r="HS28" s="39">
        <f>SUMIFS(Lançamentos!$F:$F,Lançamentos!$A:$A,HS$19,Lançamentos!$C:$C,"Comissões Recebidas")</f>
        <v>0</v>
      </c>
      <c r="HT28" s="39">
        <f>SUMIFS(Lançamentos!$F:$F,Lançamentos!$A:$A,HT$19,Lançamentos!$C:$C,"Comissões Recebidas")</f>
        <v>0</v>
      </c>
      <c r="HU28" s="39">
        <f>SUMIFS(Lançamentos!$F:$F,Lançamentos!$A:$A,HU$19,Lançamentos!$C:$C,"Comissões Recebidas")</f>
        <v>0</v>
      </c>
      <c r="HV28" s="39">
        <f>SUMIFS(Lançamentos!$F:$F,Lançamentos!$A:$A,HV$19,Lançamentos!$C:$C,"Comissões Recebidas")</f>
        <v>0</v>
      </c>
      <c r="HW28" s="39">
        <f>SUMIFS(Lançamentos!$F:$F,Lançamentos!$A:$A,HW$19,Lançamentos!$C:$C,"Comissões Recebidas")</f>
        <v>0</v>
      </c>
      <c r="HX28" s="39">
        <f>SUMIFS(Lançamentos!$F:$F,Lançamentos!$A:$A,HX$19,Lançamentos!$C:$C,"Comissões Recebidas")</f>
        <v>0</v>
      </c>
      <c r="HY28" s="39">
        <f>SUMIFS(Lançamentos!$F:$F,Lançamentos!$A:$A,HY$19,Lançamentos!$C:$C,"Comissões Recebidas")</f>
        <v>0</v>
      </c>
      <c r="HZ28" s="39">
        <f>SUMIFS(Lançamentos!$F:$F,Lançamentos!$A:$A,HZ$19,Lançamentos!$C:$C,"Comissões Recebidas")</f>
        <v>0</v>
      </c>
      <c r="IA28" s="39">
        <f>SUMIFS(Lançamentos!$F:$F,Lançamentos!$A:$A,IA$19,Lançamentos!$C:$C,"Comissões Recebidas")</f>
        <v>0</v>
      </c>
      <c r="IB28" s="39">
        <f>SUMIFS(Lançamentos!$F:$F,Lançamentos!$A:$A,IB$19,Lançamentos!$C:$C,"Comissões Recebidas")</f>
        <v>0</v>
      </c>
      <c r="IC28" s="39">
        <f>SUMIFS(Lançamentos!$F:$F,Lançamentos!$A:$A,IC$19,Lançamentos!$C:$C,"Comissões Recebidas")</f>
        <v>0</v>
      </c>
      <c r="ID28" s="39">
        <f>SUMIFS(Lançamentos!$F:$F,Lançamentos!$A:$A,ID$19,Lançamentos!$C:$C,"Comissões Recebidas")</f>
        <v>0</v>
      </c>
      <c r="IE28" s="39">
        <f>SUMIFS(Lançamentos!$F:$F,Lançamentos!$A:$A,IE$19,Lançamentos!$C:$C,"Comissões Recebidas")</f>
        <v>0</v>
      </c>
      <c r="IF28" s="39">
        <f>SUMIFS(Lançamentos!$F:$F,Lançamentos!$A:$A,IF$19,Lançamentos!$C:$C,"Comissões Recebidas")</f>
        <v>0</v>
      </c>
      <c r="IG28" s="39">
        <f>SUMIFS(Lançamentos!$F:$F,Lançamentos!$A:$A,IG$19,Lançamentos!$C:$C,"Comissões Recebidas")</f>
        <v>0</v>
      </c>
      <c r="IH28" s="39">
        <f>SUMIFS(Lançamentos!$F:$F,Lançamentos!$A:$A,IH$19,Lançamentos!$C:$C,"Comissões Recebidas")</f>
        <v>0</v>
      </c>
      <c r="II28" s="39">
        <f>SUMIFS(Lançamentos!$F:$F,Lançamentos!$A:$A,II$19,Lançamentos!$C:$C,"Comissões Recebidas")</f>
        <v>0</v>
      </c>
      <c r="IJ28" s="39">
        <f>SUMIFS(Lançamentos!$F:$F,Lançamentos!$A:$A,IJ$19,Lançamentos!$C:$C,"Comissões Recebidas")</f>
        <v>0</v>
      </c>
      <c r="IK28" s="39">
        <f>SUMIFS(Lançamentos!$F:$F,Lançamentos!$A:$A,IK$19,Lançamentos!$C:$C,"Comissões Recebidas")</f>
        <v>0</v>
      </c>
      <c r="IL28" s="39">
        <f>SUMIFS(Lançamentos!$F:$F,Lançamentos!$A:$A,IL$19,Lançamentos!$C:$C,"Comissões Recebidas")</f>
        <v>0</v>
      </c>
    </row>
    <row r="29" spans="1:246" x14ac:dyDescent="0.3">
      <c r="A29" t="s">
        <v>91</v>
      </c>
      <c r="B29" s="39">
        <f>SUMIFS(Lançamentos!$F:$F,Lançamentos!$A:$A,B$19,Lançamentos!$C:$C,"Aluguel Recebido")</f>
        <v>0</v>
      </c>
      <c r="C29" s="39">
        <f>SUMIFS(Lançamentos!$F:$F,Lançamentos!$A:$A,C$19,Lançamentos!$C:$C,"Aluguel Recebido")</f>
        <v>0</v>
      </c>
      <c r="D29" s="39">
        <f>SUMIFS(Lançamentos!$F:$F,Lançamentos!$A:$A,D$19,Lançamentos!$C:$C,"Aluguel Recebido")</f>
        <v>0</v>
      </c>
      <c r="E29" s="39">
        <f>SUMIFS(Lançamentos!$F:$F,Lançamentos!$A:$A,E$19,Lançamentos!$C:$C,"Aluguel Recebido")</f>
        <v>0</v>
      </c>
      <c r="F29" s="39">
        <f>SUMIFS(Lançamentos!$F:$F,Lançamentos!$A:$A,F$19,Lançamentos!$C:$C,"Aluguel Recebido")</f>
        <v>0</v>
      </c>
      <c r="G29" s="39">
        <f>SUMIFS(Lançamentos!$F:$F,Lançamentos!$A:$A,G$19,Lançamentos!$C:$C,"Aluguel Recebido")</f>
        <v>0</v>
      </c>
      <c r="H29" s="39">
        <f>SUMIFS(Lançamentos!$F:$F,Lançamentos!$A:$A,H$19,Lançamentos!$C:$C,"Aluguel Recebido")</f>
        <v>0</v>
      </c>
      <c r="I29" s="39">
        <f>SUMIFS(Lançamentos!$F:$F,Lançamentos!$A:$A,I$19,Lançamentos!$C:$C,"Aluguel Recebido")</f>
        <v>0</v>
      </c>
      <c r="J29" s="39">
        <f>SUMIFS(Lançamentos!$F:$F,Lançamentos!$A:$A,J$19,Lançamentos!$C:$C,"Aluguel Recebido")</f>
        <v>0</v>
      </c>
      <c r="K29" s="39">
        <f>SUMIFS(Lançamentos!$F:$F,Lançamentos!$A:$A,K$19,Lançamentos!$C:$C,"Aluguel Recebido")</f>
        <v>0</v>
      </c>
      <c r="L29" s="39">
        <f>SUMIFS(Lançamentos!$F:$F,Lançamentos!$A:$A,L$19,Lançamentos!$C:$C,"Aluguel Recebido")</f>
        <v>0</v>
      </c>
      <c r="M29" s="39">
        <f>SUMIFS(Lançamentos!$F:$F,Lançamentos!$A:$A,M$19,Lançamentos!$C:$C,"Aluguel Recebido")</f>
        <v>0</v>
      </c>
      <c r="N29" s="39">
        <f>SUMIFS(Lançamentos!$F:$F,Lançamentos!$A:$A,N$19,Lançamentos!$C:$C,"Aluguel Recebido")</f>
        <v>0</v>
      </c>
      <c r="O29" s="39">
        <f>SUMIFS(Lançamentos!$F:$F,Lançamentos!$A:$A,O$19,Lançamentos!$C:$C,"Aluguel Recebido")</f>
        <v>0</v>
      </c>
      <c r="P29" s="39">
        <f>SUMIFS(Lançamentos!$F:$F,Lançamentos!$A:$A,P$19,Lançamentos!$C:$C,"Aluguel Recebido")</f>
        <v>0</v>
      </c>
      <c r="Q29" s="39">
        <f>SUMIFS(Lançamentos!$F:$F,Lançamentos!$A:$A,Q$19,Lançamentos!$C:$C,"Aluguel Recebido")</f>
        <v>0</v>
      </c>
      <c r="R29" s="39">
        <f>SUMIFS(Lançamentos!$F:$F,Lançamentos!$A:$A,R$19,Lançamentos!$C:$C,"Aluguel Recebido")</f>
        <v>0</v>
      </c>
      <c r="S29" s="39">
        <f>SUMIFS(Lançamentos!$F:$F,Lançamentos!$A:$A,S$19,Lançamentos!$C:$C,"Aluguel Recebido")</f>
        <v>0</v>
      </c>
      <c r="T29" s="39">
        <f>SUMIFS(Lançamentos!$F:$F,Lançamentos!$A:$A,T$19,Lançamentos!$C:$C,"Aluguel Recebido")</f>
        <v>0</v>
      </c>
      <c r="U29" s="39">
        <f>SUMIFS(Lançamentos!$F:$F,Lançamentos!$A:$A,U$19,Lançamentos!$C:$C,"Aluguel Recebido")</f>
        <v>0</v>
      </c>
      <c r="V29" s="39">
        <f>SUMIFS(Lançamentos!$F:$F,Lançamentos!$A:$A,V$19,Lançamentos!$C:$C,"Aluguel Recebido")</f>
        <v>0</v>
      </c>
      <c r="W29" s="39">
        <f>SUMIFS(Lançamentos!$F:$F,Lançamentos!$A:$A,W$19,Lançamentos!$C:$C,"Aluguel Recebido")</f>
        <v>0</v>
      </c>
      <c r="X29" s="39">
        <f>SUMIFS(Lançamentos!$F:$F,Lançamentos!$A:$A,X$19,Lançamentos!$C:$C,"Aluguel Recebido")</f>
        <v>0</v>
      </c>
      <c r="Y29" s="39">
        <f>SUMIFS(Lançamentos!$F:$F,Lançamentos!$A:$A,Y$19,Lançamentos!$C:$C,"Aluguel Recebido")</f>
        <v>0</v>
      </c>
      <c r="Z29" s="39">
        <f>SUMIFS(Lançamentos!$F:$F,Lançamentos!$A:$A,Z$19,Lançamentos!$C:$C,"Aluguel Recebido")</f>
        <v>0</v>
      </c>
      <c r="AA29" s="39">
        <f>SUMIFS(Lançamentos!$F:$F,Lançamentos!$A:$A,AA$19,Lançamentos!$C:$C,"Aluguel Recebido")</f>
        <v>0</v>
      </c>
      <c r="AB29" s="39">
        <f>SUMIFS(Lançamentos!$F:$F,Lançamentos!$A:$A,AB$19,Lançamentos!$C:$C,"Aluguel Recebido")</f>
        <v>0</v>
      </c>
      <c r="AC29" s="39">
        <f>SUMIFS(Lançamentos!$F:$F,Lançamentos!$A:$A,AC$19,Lançamentos!$C:$C,"Aluguel Recebido")</f>
        <v>0</v>
      </c>
      <c r="AD29" s="39">
        <f>SUMIFS(Lançamentos!$F:$F,Lançamentos!$A:$A,AD$19,Lançamentos!$C:$C,"Aluguel Recebido")</f>
        <v>0</v>
      </c>
      <c r="AE29" s="39">
        <f>SUMIFS(Lançamentos!$F:$F,Lançamentos!$A:$A,AE$19,Lançamentos!$C:$C,"Aluguel Recebido")</f>
        <v>0</v>
      </c>
      <c r="AF29" s="39">
        <f>SUMIFS(Lançamentos!$F:$F,Lançamentos!$A:$A,AF$19,Lançamentos!$C:$C,"Aluguel Recebido")</f>
        <v>0</v>
      </c>
      <c r="AG29" s="39">
        <f>SUMIFS(Lançamentos!$F:$F,Lançamentos!$A:$A,AG$19,Lançamentos!$C:$C,"Aluguel Recebido")</f>
        <v>0</v>
      </c>
      <c r="AH29" s="39">
        <f>SUMIFS(Lançamentos!$F:$F,Lançamentos!$A:$A,AH$19,Lançamentos!$C:$C,"Aluguel Recebido")</f>
        <v>0</v>
      </c>
      <c r="AI29" s="39">
        <f>SUMIFS(Lançamentos!$F:$F,Lançamentos!$A:$A,AI$19,Lançamentos!$C:$C,"Aluguel Recebido")</f>
        <v>0</v>
      </c>
      <c r="AJ29" s="39">
        <f>SUMIFS(Lançamentos!$F:$F,Lançamentos!$A:$A,AJ$19,Lançamentos!$C:$C,"Aluguel Recebido")</f>
        <v>0</v>
      </c>
      <c r="AK29" s="39">
        <f>SUMIFS(Lançamentos!$F:$F,Lançamentos!$A:$A,AK$19,Lançamentos!$C:$C,"Aluguel Recebido")</f>
        <v>0</v>
      </c>
      <c r="AL29" s="39">
        <f>SUMIFS(Lançamentos!$F:$F,Lançamentos!$A:$A,AL$19,Lançamentos!$C:$C,"Aluguel Recebido")</f>
        <v>0</v>
      </c>
      <c r="AM29" s="39">
        <f>SUMIFS(Lançamentos!$F:$F,Lançamentos!$A:$A,AM$19,Lançamentos!$C:$C,"Aluguel Recebido")</f>
        <v>0</v>
      </c>
      <c r="AN29" s="39">
        <f>SUMIFS(Lançamentos!$F:$F,Lançamentos!$A:$A,AN$19,Lançamentos!$C:$C,"Aluguel Recebido")</f>
        <v>0</v>
      </c>
      <c r="AO29" s="39">
        <f>SUMIFS(Lançamentos!$F:$F,Lançamentos!$A:$A,AO$19,Lançamentos!$C:$C,"Aluguel Recebido")</f>
        <v>0</v>
      </c>
      <c r="AP29" s="39">
        <f>SUMIFS(Lançamentos!$F:$F,Lançamentos!$A:$A,AP$19,Lançamentos!$C:$C,"Aluguel Recebido")</f>
        <v>0</v>
      </c>
      <c r="AQ29" s="39">
        <f>SUMIFS(Lançamentos!$F:$F,Lançamentos!$A:$A,AQ$19,Lançamentos!$C:$C,"Aluguel Recebido")</f>
        <v>0</v>
      </c>
      <c r="AR29" s="39">
        <f>SUMIFS(Lançamentos!$F:$F,Lançamentos!$A:$A,AR$19,Lançamentos!$C:$C,"Aluguel Recebido")</f>
        <v>0</v>
      </c>
      <c r="AS29" s="39">
        <f>SUMIFS(Lançamentos!$F:$F,Lançamentos!$A:$A,AS$19,Lançamentos!$C:$C,"Aluguel Recebido")</f>
        <v>0</v>
      </c>
      <c r="AT29" s="39">
        <f>SUMIFS(Lançamentos!$F:$F,Lançamentos!$A:$A,AT$19,Lançamentos!$C:$C,"Aluguel Recebido")</f>
        <v>0</v>
      </c>
      <c r="AU29" s="39">
        <f>SUMIFS(Lançamentos!$F:$F,Lançamentos!$A:$A,AU$19,Lançamentos!$C:$C,"Aluguel Recebido")</f>
        <v>0</v>
      </c>
      <c r="AV29" s="39">
        <f>SUMIFS(Lançamentos!$F:$F,Lançamentos!$A:$A,AV$19,Lançamentos!$C:$C,"Aluguel Recebido")</f>
        <v>0</v>
      </c>
      <c r="AW29" s="39">
        <f>SUMIFS(Lançamentos!$F:$F,Lançamentos!$A:$A,AW$19,Lançamentos!$C:$C,"Aluguel Recebido")</f>
        <v>0</v>
      </c>
      <c r="AX29" s="39">
        <f>SUMIFS(Lançamentos!$F:$F,Lançamentos!$A:$A,AX$19,Lançamentos!$C:$C,"Aluguel Recebido")</f>
        <v>0</v>
      </c>
      <c r="AY29" s="39">
        <f>SUMIFS(Lançamentos!$F:$F,Lançamentos!$A:$A,AY$19,Lançamentos!$C:$C,"Aluguel Recebido")</f>
        <v>0</v>
      </c>
      <c r="AZ29" s="39">
        <f>SUMIFS(Lançamentos!$F:$F,Lançamentos!$A:$A,AZ$19,Lançamentos!$C:$C,"Aluguel Recebido")</f>
        <v>0</v>
      </c>
      <c r="BA29" s="39">
        <f>SUMIFS(Lançamentos!$F:$F,Lançamentos!$A:$A,BA$19,Lançamentos!$C:$C,"Aluguel Recebido")</f>
        <v>0</v>
      </c>
      <c r="BB29" s="39">
        <f>SUMIFS(Lançamentos!$F:$F,Lançamentos!$A:$A,BB$19,Lançamentos!$C:$C,"Aluguel Recebido")</f>
        <v>0</v>
      </c>
      <c r="BC29" s="39">
        <f>SUMIFS(Lançamentos!$F:$F,Lançamentos!$A:$A,BC$19,Lançamentos!$C:$C,"Aluguel Recebido")</f>
        <v>0</v>
      </c>
      <c r="BD29" s="39">
        <f>SUMIFS(Lançamentos!$F:$F,Lançamentos!$A:$A,BD$19,Lançamentos!$C:$C,"Aluguel Recebido")</f>
        <v>0</v>
      </c>
      <c r="BE29" s="39">
        <f>SUMIFS(Lançamentos!$F:$F,Lançamentos!$A:$A,BE$19,Lançamentos!$C:$C,"Aluguel Recebido")</f>
        <v>0</v>
      </c>
      <c r="BF29" s="39">
        <f>SUMIFS(Lançamentos!$F:$F,Lançamentos!$A:$A,BF$19,Lançamentos!$C:$C,"Aluguel Recebido")</f>
        <v>0</v>
      </c>
      <c r="BG29" s="39">
        <f>SUMIFS(Lançamentos!$F:$F,Lançamentos!$A:$A,BG$19,Lançamentos!$C:$C,"Aluguel Recebido")</f>
        <v>0</v>
      </c>
      <c r="BH29" s="39">
        <f>SUMIFS(Lançamentos!$F:$F,Lançamentos!$A:$A,BH$19,Lançamentos!$C:$C,"Aluguel Recebido")</f>
        <v>0</v>
      </c>
      <c r="BI29" s="39">
        <f>SUMIFS(Lançamentos!$F:$F,Lançamentos!$A:$A,BI$19,Lançamentos!$C:$C,"Aluguel Recebido")</f>
        <v>0</v>
      </c>
      <c r="BJ29" s="39">
        <f>SUMIFS(Lançamentos!$F:$F,Lançamentos!$A:$A,BJ$19,Lançamentos!$C:$C,"Aluguel Recebido")</f>
        <v>0</v>
      </c>
      <c r="BK29" s="39">
        <f>SUMIFS(Lançamentos!$F:$F,Lançamentos!$A:$A,BK$19,Lançamentos!$C:$C,"Aluguel Recebido")</f>
        <v>0</v>
      </c>
      <c r="BL29" s="39">
        <f>SUMIFS(Lançamentos!$F:$F,Lançamentos!$A:$A,BL$19,Lançamentos!$C:$C,"Aluguel Recebido")</f>
        <v>0</v>
      </c>
      <c r="BM29" s="39">
        <f>SUMIFS(Lançamentos!$F:$F,Lançamentos!$A:$A,BM$19,Lançamentos!$C:$C,"Aluguel Recebido")</f>
        <v>0</v>
      </c>
      <c r="BN29" s="39">
        <f>SUMIFS(Lançamentos!$F:$F,Lançamentos!$A:$A,BN$19,Lançamentos!$C:$C,"Aluguel Recebido")</f>
        <v>0</v>
      </c>
      <c r="BO29" s="39">
        <f>SUMIFS(Lançamentos!$F:$F,Lançamentos!$A:$A,BO$19,Lançamentos!$C:$C,"Aluguel Recebido")</f>
        <v>0</v>
      </c>
      <c r="BP29" s="39">
        <f>SUMIFS(Lançamentos!$F:$F,Lançamentos!$A:$A,BP$19,Lançamentos!$C:$C,"Aluguel Recebido")</f>
        <v>0</v>
      </c>
      <c r="BQ29" s="39">
        <f>SUMIFS(Lançamentos!$F:$F,Lançamentos!$A:$A,BQ$19,Lançamentos!$C:$C,"Aluguel Recebido")</f>
        <v>0</v>
      </c>
      <c r="BR29" s="39">
        <f>SUMIFS(Lançamentos!$F:$F,Lançamentos!$A:$A,BR$19,Lançamentos!$C:$C,"Aluguel Recebido")</f>
        <v>0</v>
      </c>
      <c r="BS29" s="39">
        <f>SUMIFS(Lançamentos!$F:$F,Lançamentos!$A:$A,BS$19,Lançamentos!$C:$C,"Aluguel Recebido")</f>
        <v>0</v>
      </c>
      <c r="BT29" s="39">
        <f>SUMIFS(Lançamentos!$F:$F,Lançamentos!$A:$A,BT$19,Lançamentos!$C:$C,"Aluguel Recebido")</f>
        <v>0</v>
      </c>
      <c r="BU29" s="39">
        <f>SUMIFS(Lançamentos!$F:$F,Lançamentos!$A:$A,BU$19,Lançamentos!$C:$C,"Aluguel Recebido")</f>
        <v>0</v>
      </c>
      <c r="BV29" s="39">
        <f>SUMIFS(Lançamentos!$F:$F,Lançamentos!$A:$A,BV$19,Lançamentos!$C:$C,"Aluguel Recebido")</f>
        <v>0</v>
      </c>
      <c r="BW29" s="39">
        <f>SUMIFS(Lançamentos!$F:$F,Lançamentos!$A:$A,BW$19,Lançamentos!$C:$C,"Aluguel Recebido")</f>
        <v>0</v>
      </c>
      <c r="BX29" s="39">
        <f>SUMIFS(Lançamentos!$F:$F,Lançamentos!$A:$A,BX$19,Lançamentos!$C:$C,"Aluguel Recebido")</f>
        <v>0</v>
      </c>
      <c r="BY29" s="39">
        <f>SUMIFS(Lançamentos!$F:$F,Lançamentos!$A:$A,BY$19,Lançamentos!$C:$C,"Aluguel Recebido")</f>
        <v>0</v>
      </c>
      <c r="BZ29" s="39">
        <f>SUMIFS(Lançamentos!$F:$F,Lançamentos!$A:$A,BZ$19,Lançamentos!$C:$C,"Aluguel Recebido")</f>
        <v>0</v>
      </c>
      <c r="CA29" s="39">
        <f>SUMIFS(Lançamentos!$F:$F,Lançamentos!$A:$A,CA$19,Lançamentos!$C:$C,"Aluguel Recebido")</f>
        <v>0</v>
      </c>
      <c r="CB29" s="39">
        <f>SUMIFS(Lançamentos!$F:$F,Lançamentos!$A:$A,CB$19,Lançamentos!$C:$C,"Aluguel Recebido")</f>
        <v>0</v>
      </c>
      <c r="CC29" s="39">
        <f>SUMIFS(Lançamentos!$F:$F,Lançamentos!$A:$A,CC$19,Lançamentos!$C:$C,"Aluguel Recebido")</f>
        <v>0</v>
      </c>
      <c r="CD29" s="39">
        <f>SUMIFS(Lançamentos!$F:$F,Lançamentos!$A:$A,CD$19,Lançamentos!$C:$C,"Aluguel Recebido")</f>
        <v>0</v>
      </c>
      <c r="CE29" s="39">
        <f>SUMIFS(Lançamentos!$F:$F,Lançamentos!$A:$A,CE$19,Lançamentos!$C:$C,"Aluguel Recebido")</f>
        <v>0</v>
      </c>
      <c r="CF29" s="39">
        <f>SUMIFS(Lançamentos!$F:$F,Lançamentos!$A:$A,CF$19,Lançamentos!$C:$C,"Aluguel Recebido")</f>
        <v>0</v>
      </c>
      <c r="CG29" s="39">
        <f>SUMIFS(Lançamentos!$F:$F,Lançamentos!$A:$A,CG$19,Lançamentos!$C:$C,"Aluguel Recebido")</f>
        <v>0</v>
      </c>
      <c r="CH29" s="39">
        <f>SUMIFS(Lançamentos!$F:$F,Lançamentos!$A:$A,CH$19,Lançamentos!$C:$C,"Aluguel Recebido")</f>
        <v>0</v>
      </c>
      <c r="CI29" s="39">
        <f>SUMIFS(Lançamentos!$F:$F,Lançamentos!$A:$A,CI$19,Lançamentos!$C:$C,"Aluguel Recebido")</f>
        <v>0</v>
      </c>
      <c r="CJ29" s="39">
        <f>SUMIFS(Lançamentos!$F:$F,Lançamentos!$A:$A,CJ$19,Lançamentos!$C:$C,"Aluguel Recebido")</f>
        <v>0</v>
      </c>
      <c r="CK29" s="39">
        <f>SUMIFS(Lançamentos!$F:$F,Lançamentos!$A:$A,CK$19,Lançamentos!$C:$C,"Aluguel Recebido")</f>
        <v>0</v>
      </c>
      <c r="CL29" s="39">
        <f>SUMIFS(Lançamentos!$F:$F,Lançamentos!$A:$A,CL$19,Lançamentos!$C:$C,"Aluguel Recebido")</f>
        <v>0</v>
      </c>
      <c r="CM29" s="39">
        <f>SUMIFS(Lançamentos!$F:$F,Lançamentos!$A:$A,CM$19,Lançamentos!$C:$C,"Aluguel Recebido")</f>
        <v>0</v>
      </c>
      <c r="CN29" s="39">
        <f>SUMIFS(Lançamentos!$F:$F,Lançamentos!$A:$A,CN$19,Lançamentos!$C:$C,"Aluguel Recebido")</f>
        <v>0</v>
      </c>
      <c r="CO29" s="39">
        <f>SUMIFS(Lançamentos!$F:$F,Lançamentos!$A:$A,CO$19,Lançamentos!$C:$C,"Aluguel Recebido")</f>
        <v>0</v>
      </c>
      <c r="CP29" s="39">
        <f>SUMIFS(Lançamentos!$F:$F,Lançamentos!$A:$A,CP$19,Lançamentos!$C:$C,"Aluguel Recebido")</f>
        <v>0</v>
      </c>
      <c r="CQ29" s="39">
        <f>SUMIFS(Lançamentos!$F:$F,Lançamentos!$A:$A,CQ$19,Lançamentos!$C:$C,"Aluguel Recebido")</f>
        <v>0</v>
      </c>
      <c r="CR29" s="39">
        <f>SUMIFS(Lançamentos!$F:$F,Lançamentos!$A:$A,CR$19,Lançamentos!$C:$C,"Aluguel Recebido")</f>
        <v>0</v>
      </c>
      <c r="CS29" s="39">
        <f>SUMIFS(Lançamentos!$F:$F,Lançamentos!$A:$A,CS$19,Lançamentos!$C:$C,"Aluguel Recebido")</f>
        <v>0</v>
      </c>
      <c r="CT29" s="39">
        <f>SUMIFS(Lançamentos!$F:$F,Lançamentos!$A:$A,CT$19,Lançamentos!$C:$C,"Aluguel Recebido")</f>
        <v>0</v>
      </c>
      <c r="CU29" s="39">
        <f>SUMIFS(Lançamentos!$F:$F,Lançamentos!$A:$A,CU$19,Lançamentos!$C:$C,"Aluguel Recebido")</f>
        <v>0</v>
      </c>
      <c r="CV29" s="39">
        <f>SUMIFS(Lançamentos!$F:$F,Lançamentos!$A:$A,CV$19,Lançamentos!$C:$C,"Aluguel Recebido")</f>
        <v>0</v>
      </c>
      <c r="CW29" s="39">
        <f>SUMIFS(Lançamentos!$F:$F,Lançamentos!$A:$A,CW$19,Lançamentos!$C:$C,"Aluguel Recebido")</f>
        <v>0</v>
      </c>
      <c r="CX29" s="39">
        <f>SUMIFS(Lançamentos!$F:$F,Lançamentos!$A:$A,CX$19,Lançamentos!$C:$C,"Aluguel Recebido")</f>
        <v>0</v>
      </c>
      <c r="CY29" s="39">
        <f>SUMIFS(Lançamentos!$F:$F,Lançamentos!$A:$A,CY$19,Lançamentos!$C:$C,"Aluguel Recebido")</f>
        <v>0</v>
      </c>
      <c r="CZ29" s="39">
        <f>SUMIFS(Lançamentos!$F:$F,Lançamentos!$A:$A,CZ$19,Lançamentos!$C:$C,"Aluguel Recebido")</f>
        <v>0</v>
      </c>
      <c r="DA29" s="39">
        <f>SUMIFS(Lançamentos!$F:$F,Lançamentos!$A:$A,DA$19,Lançamentos!$C:$C,"Aluguel Recebido")</f>
        <v>0</v>
      </c>
      <c r="DB29" s="39">
        <f>SUMIFS(Lançamentos!$F:$F,Lançamentos!$A:$A,DB$19,Lançamentos!$C:$C,"Aluguel Recebido")</f>
        <v>0</v>
      </c>
      <c r="DC29" s="39">
        <f>SUMIFS(Lançamentos!$F:$F,Lançamentos!$A:$A,DC$19,Lançamentos!$C:$C,"Aluguel Recebido")</f>
        <v>0</v>
      </c>
      <c r="DD29" s="39">
        <f>SUMIFS(Lançamentos!$F:$F,Lançamentos!$A:$A,DD$19,Lançamentos!$C:$C,"Aluguel Recebido")</f>
        <v>0</v>
      </c>
      <c r="DE29" s="39">
        <f>SUMIFS(Lançamentos!$F:$F,Lançamentos!$A:$A,DE$19,Lançamentos!$C:$C,"Aluguel Recebido")</f>
        <v>0</v>
      </c>
      <c r="DF29" s="39">
        <f>SUMIFS(Lançamentos!$F:$F,Lançamentos!$A:$A,DF$19,Lançamentos!$C:$C,"Aluguel Recebido")</f>
        <v>0</v>
      </c>
      <c r="DG29" s="39">
        <f>SUMIFS(Lançamentos!$F:$F,Lançamentos!$A:$A,DG$19,Lançamentos!$C:$C,"Aluguel Recebido")</f>
        <v>0</v>
      </c>
      <c r="DH29" s="39">
        <f>SUMIFS(Lançamentos!$F:$F,Lançamentos!$A:$A,DH$19,Lançamentos!$C:$C,"Aluguel Recebido")</f>
        <v>0</v>
      </c>
      <c r="DI29" s="39">
        <f>SUMIFS(Lançamentos!$F:$F,Lançamentos!$A:$A,DI$19,Lançamentos!$C:$C,"Aluguel Recebido")</f>
        <v>0</v>
      </c>
      <c r="DJ29" s="39">
        <f>SUMIFS(Lançamentos!$F:$F,Lançamentos!$A:$A,DJ$19,Lançamentos!$C:$C,"Aluguel Recebido")</f>
        <v>0</v>
      </c>
      <c r="DK29" s="39">
        <f>SUMIFS(Lançamentos!$F:$F,Lançamentos!$A:$A,DK$19,Lançamentos!$C:$C,"Aluguel Recebido")</f>
        <v>0</v>
      </c>
      <c r="DL29" s="39">
        <f>SUMIFS(Lançamentos!$F:$F,Lançamentos!$A:$A,DL$19,Lançamentos!$C:$C,"Aluguel Recebido")</f>
        <v>0</v>
      </c>
      <c r="DM29" s="39">
        <f>SUMIFS(Lançamentos!$F:$F,Lançamentos!$A:$A,DM$19,Lançamentos!$C:$C,"Aluguel Recebido")</f>
        <v>0</v>
      </c>
      <c r="DN29" s="39">
        <f>SUMIFS(Lançamentos!$F:$F,Lançamentos!$A:$A,DN$19,Lançamentos!$C:$C,"Aluguel Recebido")</f>
        <v>0</v>
      </c>
      <c r="DO29" s="39">
        <f>SUMIFS(Lançamentos!$F:$F,Lançamentos!$A:$A,DO$19,Lançamentos!$C:$C,"Aluguel Recebido")</f>
        <v>0</v>
      </c>
      <c r="DP29" s="39">
        <f>SUMIFS(Lançamentos!$F:$F,Lançamentos!$A:$A,DP$19,Lançamentos!$C:$C,"Aluguel Recebido")</f>
        <v>0</v>
      </c>
      <c r="DQ29" s="39">
        <f>SUMIFS(Lançamentos!$F:$F,Lançamentos!$A:$A,DQ$19,Lançamentos!$C:$C,"Aluguel Recebido")</f>
        <v>0</v>
      </c>
      <c r="DR29" s="39">
        <f>SUMIFS(Lançamentos!$F:$F,Lançamentos!$A:$A,DR$19,Lançamentos!$C:$C,"Aluguel Recebido")</f>
        <v>0</v>
      </c>
      <c r="DS29" s="39">
        <f>SUMIFS(Lançamentos!$F:$F,Lançamentos!$A:$A,DS$19,Lançamentos!$C:$C,"Aluguel Recebido")</f>
        <v>0</v>
      </c>
      <c r="DT29" s="39">
        <f>SUMIFS(Lançamentos!$F:$F,Lançamentos!$A:$A,DT$19,Lançamentos!$C:$C,"Aluguel Recebido")</f>
        <v>0</v>
      </c>
      <c r="DU29" s="39">
        <f>SUMIFS(Lançamentos!$F:$F,Lançamentos!$A:$A,DU$19,Lançamentos!$C:$C,"Aluguel Recebido")</f>
        <v>0</v>
      </c>
      <c r="DV29" s="39">
        <f>SUMIFS(Lançamentos!$F:$F,Lançamentos!$A:$A,DV$19,Lançamentos!$C:$C,"Aluguel Recebido")</f>
        <v>0</v>
      </c>
      <c r="DW29" s="39">
        <f>SUMIFS(Lançamentos!$F:$F,Lançamentos!$A:$A,DW$19,Lançamentos!$C:$C,"Aluguel Recebido")</f>
        <v>0</v>
      </c>
      <c r="DX29" s="39">
        <f>SUMIFS(Lançamentos!$F:$F,Lançamentos!$A:$A,DX$19,Lançamentos!$C:$C,"Aluguel Recebido")</f>
        <v>0</v>
      </c>
      <c r="DY29" s="39">
        <f>SUMIFS(Lançamentos!$F:$F,Lançamentos!$A:$A,DY$19,Lançamentos!$C:$C,"Aluguel Recebido")</f>
        <v>0</v>
      </c>
      <c r="DZ29" s="39">
        <f>SUMIFS(Lançamentos!$F:$F,Lançamentos!$A:$A,DZ$19,Lançamentos!$C:$C,"Aluguel Recebido")</f>
        <v>0</v>
      </c>
      <c r="EA29" s="39">
        <f>SUMIFS(Lançamentos!$F:$F,Lançamentos!$A:$A,EA$19,Lançamentos!$C:$C,"Aluguel Recebido")</f>
        <v>0</v>
      </c>
      <c r="EB29" s="39">
        <f>SUMIFS(Lançamentos!$F:$F,Lançamentos!$A:$A,EB$19,Lançamentos!$C:$C,"Aluguel Recebido")</f>
        <v>0</v>
      </c>
      <c r="EC29" s="39">
        <f>SUMIFS(Lançamentos!$F:$F,Lançamentos!$A:$A,EC$19,Lançamentos!$C:$C,"Aluguel Recebido")</f>
        <v>0</v>
      </c>
      <c r="ED29" s="39">
        <f>SUMIFS(Lançamentos!$F:$F,Lançamentos!$A:$A,ED$19,Lançamentos!$C:$C,"Aluguel Recebido")</f>
        <v>0</v>
      </c>
      <c r="EE29" s="39">
        <f>SUMIFS(Lançamentos!$F:$F,Lançamentos!$A:$A,EE$19,Lançamentos!$C:$C,"Aluguel Recebido")</f>
        <v>0</v>
      </c>
      <c r="EF29" s="39">
        <f>SUMIFS(Lançamentos!$F:$F,Lançamentos!$A:$A,EF$19,Lançamentos!$C:$C,"Aluguel Recebido")</f>
        <v>0</v>
      </c>
      <c r="EG29" s="39">
        <f>SUMIFS(Lançamentos!$F:$F,Lançamentos!$A:$A,EG$19,Lançamentos!$C:$C,"Aluguel Recebido")</f>
        <v>0</v>
      </c>
      <c r="EH29" s="39">
        <f>SUMIFS(Lançamentos!$F:$F,Lançamentos!$A:$A,EH$19,Lançamentos!$C:$C,"Aluguel Recebido")</f>
        <v>0</v>
      </c>
      <c r="EI29" s="39">
        <f>SUMIFS(Lançamentos!$F:$F,Lançamentos!$A:$A,EI$19,Lançamentos!$C:$C,"Aluguel Recebido")</f>
        <v>0</v>
      </c>
      <c r="EJ29" s="39">
        <f>SUMIFS(Lançamentos!$F:$F,Lançamentos!$A:$A,EJ$19,Lançamentos!$C:$C,"Aluguel Recebido")</f>
        <v>0</v>
      </c>
      <c r="EK29" s="39">
        <f>SUMIFS(Lançamentos!$F:$F,Lançamentos!$A:$A,EK$19,Lançamentos!$C:$C,"Aluguel Recebido")</f>
        <v>0</v>
      </c>
      <c r="EL29" s="39">
        <f>SUMIFS(Lançamentos!$F:$F,Lançamentos!$A:$A,EL$19,Lançamentos!$C:$C,"Aluguel Recebido")</f>
        <v>0</v>
      </c>
      <c r="EM29" s="39">
        <f>SUMIFS(Lançamentos!$F:$F,Lançamentos!$A:$A,EM$19,Lançamentos!$C:$C,"Aluguel Recebido")</f>
        <v>0</v>
      </c>
      <c r="EN29" s="39">
        <f>SUMIFS(Lançamentos!$F:$F,Lançamentos!$A:$A,EN$19,Lançamentos!$C:$C,"Aluguel Recebido")</f>
        <v>0</v>
      </c>
      <c r="EO29" s="39">
        <f>SUMIFS(Lançamentos!$F:$F,Lançamentos!$A:$A,EO$19,Lançamentos!$C:$C,"Aluguel Recebido")</f>
        <v>0</v>
      </c>
      <c r="EP29" s="39">
        <f>SUMIFS(Lançamentos!$F:$F,Lançamentos!$A:$A,EP$19,Lançamentos!$C:$C,"Aluguel Recebido")</f>
        <v>0</v>
      </c>
      <c r="EQ29" s="39">
        <f>SUMIFS(Lançamentos!$F:$F,Lançamentos!$A:$A,EQ$19,Lançamentos!$C:$C,"Aluguel Recebido")</f>
        <v>0</v>
      </c>
      <c r="ER29" s="39">
        <f>SUMIFS(Lançamentos!$F:$F,Lançamentos!$A:$A,ER$19,Lançamentos!$C:$C,"Aluguel Recebido")</f>
        <v>0</v>
      </c>
      <c r="ES29" s="39">
        <f>SUMIFS(Lançamentos!$F:$F,Lançamentos!$A:$A,ES$19,Lançamentos!$C:$C,"Aluguel Recebido")</f>
        <v>0</v>
      </c>
      <c r="ET29" s="39">
        <f>SUMIFS(Lançamentos!$F:$F,Lançamentos!$A:$A,ET$19,Lançamentos!$C:$C,"Aluguel Recebido")</f>
        <v>0</v>
      </c>
      <c r="EU29" s="39">
        <f>SUMIFS(Lançamentos!$F:$F,Lançamentos!$A:$A,EU$19,Lançamentos!$C:$C,"Aluguel Recebido")</f>
        <v>0</v>
      </c>
      <c r="EV29" s="39">
        <f>SUMIFS(Lançamentos!$F:$F,Lançamentos!$A:$A,EV$19,Lançamentos!$C:$C,"Aluguel Recebido")</f>
        <v>0</v>
      </c>
      <c r="EW29" s="39">
        <f>SUMIFS(Lançamentos!$F:$F,Lançamentos!$A:$A,EW$19,Lançamentos!$C:$C,"Aluguel Recebido")</f>
        <v>0</v>
      </c>
      <c r="EX29" s="39">
        <f>SUMIFS(Lançamentos!$F:$F,Lançamentos!$A:$A,EX$19,Lançamentos!$C:$C,"Aluguel Recebido")</f>
        <v>0</v>
      </c>
      <c r="EY29" s="39">
        <f>SUMIFS(Lançamentos!$F:$F,Lançamentos!$A:$A,EY$19,Lançamentos!$C:$C,"Aluguel Recebido")</f>
        <v>0</v>
      </c>
      <c r="EZ29" s="39">
        <f>SUMIFS(Lançamentos!$F:$F,Lançamentos!$A:$A,EZ$19,Lançamentos!$C:$C,"Aluguel Recebido")</f>
        <v>0</v>
      </c>
      <c r="FA29" s="39">
        <f>SUMIFS(Lançamentos!$F:$F,Lançamentos!$A:$A,FA$19,Lançamentos!$C:$C,"Aluguel Recebido")</f>
        <v>0</v>
      </c>
      <c r="FB29" s="39">
        <f>SUMIFS(Lançamentos!$F:$F,Lançamentos!$A:$A,FB$19,Lançamentos!$C:$C,"Aluguel Recebido")</f>
        <v>0</v>
      </c>
      <c r="FC29" s="39">
        <f>SUMIFS(Lançamentos!$F:$F,Lançamentos!$A:$A,FC$19,Lançamentos!$C:$C,"Aluguel Recebido")</f>
        <v>0</v>
      </c>
      <c r="FD29" s="39">
        <f>SUMIFS(Lançamentos!$F:$F,Lançamentos!$A:$A,FD$19,Lançamentos!$C:$C,"Aluguel Recebido")</f>
        <v>0</v>
      </c>
      <c r="FE29" s="39">
        <f>SUMIFS(Lançamentos!$F:$F,Lançamentos!$A:$A,FE$19,Lançamentos!$C:$C,"Aluguel Recebido")</f>
        <v>0</v>
      </c>
      <c r="FF29" s="39">
        <f>SUMIFS(Lançamentos!$F:$F,Lançamentos!$A:$A,FF$19,Lançamentos!$C:$C,"Aluguel Recebido")</f>
        <v>0</v>
      </c>
      <c r="FG29" s="39">
        <f>SUMIFS(Lançamentos!$F:$F,Lançamentos!$A:$A,FG$19,Lançamentos!$C:$C,"Aluguel Recebido")</f>
        <v>0</v>
      </c>
      <c r="FH29" s="39">
        <f>SUMIFS(Lançamentos!$F:$F,Lançamentos!$A:$A,FH$19,Lançamentos!$C:$C,"Aluguel Recebido")</f>
        <v>0</v>
      </c>
      <c r="FI29" s="39">
        <f>SUMIFS(Lançamentos!$F:$F,Lançamentos!$A:$A,FI$19,Lançamentos!$C:$C,"Aluguel Recebido")</f>
        <v>0</v>
      </c>
      <c r="FJ29" s="39">
        <f>SUMIFS(Lançamentos!$F:$F,Lançamentos!$A:$A,FJ$19,Lançamentos!$C:$C,"Aluguel Recebido")</f>
        <v>0</v>
      </c>
      <c r="FK29" s="39">
        <f>SUMIFS(Lançamentos!$F:$F,Lançamentos!$A:$A,FK$19,Lançamentos!$C:$C,"Aluguel Recebido")</f>
        <v>0</v>
      </c>
      <c r="FL29" s="39">
        <f>SUMIFS(Lançamentos!$F:$F,Lançamentos!$A:$A,FL$19,Lançamentos!$C:$C,"Aluguel Recebido")</f>
        <v>0</v>
      </c>
      <c r="FM29" s="39">
        <f>SUMIFS(Lançamentos!$F:$F,Lançamentos!$A:$A,FM$19,Lançamentos!$C:$C,"Aluguel Recebido")</f>
        <v>0</v>
      </c>
      <c r="FN29" s="39">
        <f>SUMIFS(Lançamentos!$F:$F,Lançamentos!$A:$A,FN$19,Lançamentos!$C:$C,"Aluguel Recebido")</f>
        <v>0</v>
      </c>
      <c r="FO29" s="39">
        <f>SUMIFS(Lançamentos!$F:$F,Lançamentos!$A:$A,FO$19,Lançamentos!$C:$C,"Aluguel Recebido")</f>
        <v>0</v>
      </c>
      <c r="FP29" s="39">
        <f>SUMIFS(Lançamentos!$F:$F,Lançamentos!$A:$A,FP$19,Lançamentos!$C:$C,"Aluguel Recebido")</f>
        <v>0</v>
      </c>
      <c r="FQ29" s="39">
        <f>SUMIFS(Lançamentos!$F:$F,Lançamentos!$A:$A,FQ$19,Lançamentos!$C:$C,"Aluguel Recebido")</f>
        <v>0</v>
      </c>
      <c r="FR29" s="39">
        <f>SUMIFS(Lançamentos!$F:$F,Lançamentos!$A:$A,FR$19,Lançamentos!$C:$C,"Aluguel Recebido")</f>
        <v>0</v>
      </c>
      <c r="FS29" s="39">
        <f>SUMIFS(Lançamentos!$F:$F,Lançamentos!$A:$A,FS$19,Lançamentos!$C:$C,"Aluguel Recebido")</f>
        <v>0</v>
      </c>
      <c r="FT29" s="39">
        <f>SUMIFS(Lançamentos!$F:$F,Lançamentos!$A:$A,FT$19,Lançamentos!$C:$C,"Aluguel Recebido")</f>
        <v>0</v>
      </c>
      <c r="FU29" s="39">
        <f>SUMIFS(Lançamentos!$F:$F,Lançamentos!$A:$A,FU$19,Lançamentos!$C:$C,"Aluguel Recebido")</f>
        <v>0</v>
      </c>
      <c r="FV29" s="39">
        <f>SUMIFS(Lançamentos!$F:$F,Lançamentos!$A:$A,FV$19,Lançamentos!$C:$C,"Aluguel Recebido")</f>
        <v>0</v>
      </c>
      <c r="FW29" s="39">
        <f>SUMIFS(Lançamentos!$F:$F,Lançamentos!$A:$A,FW$19,Lançamentos!$C:$C,"Aluguel Recebido")</f>
        <v>0</v>
      </c>
      <c r="FX29" s="39">
        <f>SUMIFS(Lançamentos!$F:$F,Lançamentos!$A:$A,FX$19,Lançamentos!$C:$C,"Aluguel Recebido")</f>
        <v>0</v>
      </c>
      <c r="FY29" s="39">
        <f>SUMIFS(Lançamentos!$F:$F,Lançamentos!$A:$A,FY$19,Lançamentos!$C:$C,"Aluguel Recebido")</f>
        <v>0</v>
      </c>
      <c r="FZ29" s="39">
        <f>SUMIFS(Lançamentos!$F:$F,Lançamentos!$A:$A,FZ$19,Lançamentos!$C:$C,"Aluguel Recebido")</f>
        <v>0</v>
      </c>
      <c r="GA29" s="39">
        <f>SUMIFS(Lançamentos!$F:$F,Lançamentos!$A:$A,GA$19,Lançamentos!$C:$C,"Aluguel Recebido")</f>
        <v>0</v>
      </c>
      <c r="GB29" s="39">
        <f>SUMIFS(Lançamentos!$F:$F,Lançamentos!$A:$A,GB$19,Lançamentos!$C:$C,"Aluguel Recebido")</f>
        <v>0</v>
      </c>
      <c r="GC29" s="39">
        <f>SUMIFS(Lançamentos!$F:$F,Lançamentos!$A:$A,GC$19,Lançamentos!$C:$C,"Aluguel Recebido")</f>
        <v>0</v>
      </c>
      <c r="GD29" s="39">
        <f>SUMIFS(Lançamentos!$F:$F,Lançamentos!$A:$A,GD$19,Lançamentos!$C:$C,"Aluguel Recebido")</f>
        <v>0</v>
      </c>
      <c r="GE29" s="39">
        <f>SUMIFS(Lançamentos!$F:$F,Lançamentos!$A:$A,GE$19,Lançamentos!$C:$C,"Aluguel Recebido")</f>
        <v>0</v>
      </c>
      <c r="GF29" s="39">
        <f>SUMIFS(Lançamentos!$F:$F,Lançamentos!$A:$A,GF$19,Lançamentos!$C:$C,"Aluguel Recebido")</f>
        <v>0</v>
      </c>
      <c r="GG29" s="39">
        <f>SUMIFS(Lançamentos!$F:$F,Lançamentos!$A:$A,GG$19,Lançamentos!$C:$C,"Aluguel Recebido")</f>
        <v>0</v>
      </c>
      <c r="GH29" s="39">
        <f>SUMIFS(Lançamentos!$F:$F,Lançamentos!$A:$A,GH$19,Lançamentos!$C:$C,"Aluguel Recebido")</f>
        <v>0</v>
      </c>
      <c r="GI29" s="39">
        <f>SUMIFS(Lançamentos!$F:$F,Lançamentos!$A:$A,GI$19,Lançamentos!$C:$C,"Aluguel Recebido")</f>
        <v>0</v>
      </c>
      <c r="GJ29" s="39">
        <f>SUMIFS(Lançamentos!$F:$F,Lançamentos!$A:$A,GJ$19,Lançamentos!$C:$C,"Aluguel Recebido")</f>
        <v>0</v>
      </c>
      <c r="GK29" s="39">
        <f>SUMIFS(Lançamentos!$F:$F,Lançamentos!$A:$A,GK$19,Lançamentos!$C:$C,"Aluguel Recebido")</f>
        <v>0</v>
      </c>
      <c r="GL29" s="39">
        <f>SUMIFS(Lançamentos!$F:$F,Lançamentos!$A:$A,GL$19,Lançamentos!$C:$C,"Aluguel Recebido")</f>
        <v>0</v>
      </c>
      <c r="GM29" s="39">
        <f>SUMIFS(Lançamentos!$F:$F,Lançamentos!$A:$A,GM$19,Lançamentos!$C:$C,"Aluguel Recebido")</f>
        <v>0</v>
      </c>
      <c r="GN29" s="39">
        <f>SUMIFS(Lançamentos!$F:$F,Lançamentos!$A:$A,GN$19,Lançamentos!$C:$C,"Aluguel Recebido")</f>
        <v>0</v>
      </c>
      <c r="GO29" s="39">
        <f>SUMIFS(Lançamentos!$F:$F,Lançamentos!$A:$A,GO$19,Lançamentos!$C:$C,"Aluguel Recebido")</f>
        <v>0</v>
      </c>
      <c r="GP29" s="39">
        <f>SUMIFS(Lançamentos!$F:$F,Lançamentos!$A:$A,GP$19,Lançamentos!$C:$C,"Aluguel Recebido")</f>
        <v>0</v>
      </c>
      <c r="GQ29" s="39">
        <f>SUMIFS(Lançamentos!$F:$F,Lançamentos!$A:$A,GQ$19,Lançamentos!$C:$C,"Aluguel Recebido")</f>
        <v>0</v>
      </c>
      <c r="GR29" s="39">
        <f>SUMIFS(Lançamentos!$F:$F,Lançamentos!$A:$A,GR$19,Lançamentos!$C:$C,"Aluguel Recebido")</f>
        <v>0</v>
      </c>
      <c r="GS29" s="39">
        <f>SUMIFS(Lançamentos!$F:$F,Lançamentos!$A:$A,GS$19,Lançamentos!$C:$C,"Aluguel Recebido")</f>
        <v>0</v>
      </c>
      <c r="GT29" s="39">
        <f>SUMIFS(Lançamentos!$F:$F,Lançamentos!$A:$A,GT$19,Lançamentos!$C:$C,"Aluguel Recebido")</f>
        <v>0</v>
      </c>
      <c r="GU29" s="39">
        <f>SUMIFS(Lançamentos!$F:$F,Lançamentos!$A:$A,GU$19,Lançamentos!$C:$C,"Aluguel Recebido")</f>
        <v>0</v>
      </c>
      <c r="GV29" s="39">
        <f>SUMIFS(Lançamentos!$F:$F,Lançamentos!$A:$A,GV$19,Lançamentos!$C:$C,"Aluguel Recebido")</f>
        <v>0</v>
      </c>
      <c r="GW29" s="39">
        <f>SUMIFS(Lançamentos!$F:$F,Lançamentos!$A:$A,GW$19,Lançamentos!$C:$C,"Aluguel Recebido")</f>
        <v>0</v>
      </c>
      <c r="GX29" s="39">
        <f>SUMIFS(Lançamentos!$F:$F,Lançamentos!$A:$A,GX$19,Lançamentos!$C:$C,"Aluguel Recebido")</f>
        <v>0</v>
      </c>
      <c r="GY29" s="39">
        <f>SUMIFS(Lançamentos!$F:$F,Lançamentos!$A:$A,GY$19,Lançamentos!$C:$C,"Aluguel Recebido")</f>
        <v>0</v>
      </c>
      <c r="GZ29" s="39">
        <f>SUMIFS(Lançamentos!$F:$F,Lançamentos!$A:$A,GZ$19,Lançamentos!$C:$C,"Aluguel Recebido")</f>
        <v>0</v>
      </c>
      <c r="HA29" s="39">
        <f>SUMIFS(Lançamentos!$F:$F,Lançamentos!$A:$A,HA$19,Lançamentos!$C:$C,"Aluguel Recebido")</f>
        <v>0</v>
      </c>
      <c r="HB29" s="39">
        <f>SUMIFS(Lançamentos!$F:$F,Lançamentos!$A:$A,HB$19,Lançamentos!$C:$C,"Aluguel Recebido")</f>
        <v>0</v>
      </c>
      <c r="HC29" s="39">
        <f>SUMIFS(Lançamentos!$F:$F,Lançamentos!$A:$A,HC$19,Lançamentos!$C:$C,"Aluguel Recebido")</f>
        <v>0</v>
      </c>
      <c r="HD29" s="39">
        <f>SUMIFS(Lançamentos!$F:$F,Lançamentos!$A:$A,HD$19,Lançamentos!$C:$C,"Aluguel Recebido")</f>
        <v>0</v>
      </c>
      <c r="HE29" s="39">
        <f>SUMIFS(Lançamentos!$F:$F,Lançamentos!$A:$A,HE$19,Lançamentos!$C:$C,"Aluguel Recebido")</f>
        <v>0</v>
      </c>
      <c r="HF29" s="39">
        <f>SUMIFS(Lançamentos!$F:$F,Lançamentos!$A:$A,HF$19,Lançamentos!$C:$C,"Aluguel Recebido")</f>
        <v>0</v>
      </c>
      <c r="HG29" s="39">
        <f>SUMIFS(Lançamentos!$F:$F,Lançamentos!$A:$A,HG$19,Lançamentos!$C:$C,"Aluguel Recebido")</f>
        <v>0</v>
      </c>
      <c r="HH29" s="39">
        <f>SUMIFS(Lançamentos!$F:$F,Lançamentos!$A:$A,HH$19,Lançamentos!$C:$C,"Aluguel Recebido")</f>
        <v>0</v>
      </c>
      <c r="HI29" s="39">
        <f>SUMIFS(Lançamentos!$F:$F,Lançamentos!$A:$A,HI$19,Lançamentos!$C:$C,"Aluguel Recebido")</f>
        <v>0</v>
      </c>
      <c r="HJ29" s="39">
        <f>SUMIFS(Lançamentos!$F:$F,Lançamentos!$A:$A,HJ$19,Lançamentos!$C:$C,"Aluguel Recebido")</f>
        <v>0</v>
      </c>
      <c r="HK29" s="39">
        <f>SUMIFS(Lançamentos!$F:$F,Lançamentos!$A:$A,HK$19,Lançamentos!$C:$C,"Aluguel Recebido")</f>
        <v>0</v>
      </c>
      <c r="HL29" s="39">
        <f>SUMIFS(Lançamentos!$F:$F,Lançamentos!$A:$A,HL$19,Lançamentos!$C:$C,"Aluguel Recebido")</f>
        <v>0</v>
      </c>
      <c r="HM29" s="39">
        <f>SUMIFS(Lançamentos!$F:$F,Lançamentos!$A:$A,HM$19,Lançamentos!$C:$C,"Aluguel Recebido")</f>
        <v>0</v>
      </c>
      <c r="HN29" s="39">
        <f>SUMIFS(Lançamentos!$F:$F,Lançamentos!$A:$A,HN$19,Lançamentos!$C:$C,"Aluguel Recebido")</f>
        <v>0</v>
      </c>
      <c r="HO29" s="39">
        <f>SUMIFS(Lançamentos!$F:$F,Lançamentos!$A:$A,HO$19,Lançamentos!$C:$C,"Aluguel Recebido")</f>
        <v>0</v>
      </c>
      <c r="HP29" s="39">
        <f>SUMIFS(Lançamentos!$F:$F,Lançamentos!$A:$A,HP$19,Lançamentos!$C:$C,"Aluguel Recebido")</f>
        <v>0</v>
      </c>
      <c r="HQ29" s="39">
        <f>SUMIFS(Lançamentos!$F:$F,Lançamentos!$A:$A,HQ$19,Lançamentos!$C:$C,"Aluguel Recebido")</f>
        <v>0</v>
      </c>
      <c r="HR29" s="39">
        <f>SUMIFS(Lançamentos!$F:$F,Lançamentos!$A:$A,HR$19,Lançamentos!$C:$C,"Aluguel Recebido")</f>
        <v>0</v>
      </c>
      <c r="HS29" s="39">
        <f>SUMIFS(Lançamentos!$F:$F,Lançamentos!$A:$A,HS$19,Lançamentos!$C:$C,"Aluguel Recebido")</f>
        <v>0</v>
      </c>
      <c r="HT29" s="39">
        <f>SUMIFS(Lançamentos!$F:$F,Lançamentos!$A:$A,HT$19,Lançamentos!$C:$C,"Aluguel Recebido")</f>
        <v>0</v>
      </c>
      <c r="HU29" s="39">
        <f>SUMIFS(Lançamentos!$F:$F,Lançamentos!$A:$A,HU$19,Lançamentos!$C:$C,"Aluguel Recebido")</f>
        <v>0</v>
      </c>
      <c r="HV29" s="39">
        <f>SUMIFS(Lançamentos!$F:$F,Lançamentos!$A:$A,HV$19,Lançamentos!$C:$C,"Aluguel Recebido")</f>
        <v>0</v>
      </c>
      <c r="HW29" s="39">
        <f>SUMIFS(Lançamentos!$F:$F,Lançamentos!$A:$A,HW$19,Lançamentos!$C:$C,"Aluguel Recebido")</f>
        <v>0</v>
      </c>
      <c r="HX29" s="39">
        <f>SUMIFS(Lançamentos!$F:$F,Lançamentos!$A:$A,HX$19,Lançamentos!$C:$C,"Aluguel Recebido")</f>
        <v>0</v>
      </c>
      <c r="HY29" s="39">
        <f>SUMIFS(Lançamentos!$F:$F,Lançamentos!$A:$A,HY$19,Lançamentos!$C:$C,"Aluguel Recebido")</f>
        <v>0</v>
      </c>
      <c r="HZ29" s="39">
        <f>SUMIFS(Lançamentos!$F:$F,Lançamentos!$A:$A,HZ$19,Lançamentos!$C:$C,"Aluguel Recebido")</f>
        <v>0</v>
      </c>
      <c r="IA29" s="39">
        <f>SUMIFS(Lançamentos!$F:$F,Lançamentos!$A:$A,IA$19,Lançamentos!$C:$C,"Aluguel Recebido")</f>
        <v>0</v>
      </c>
      <c r="IB29" s="39">
        <f>SUMIFS(Lançamentos!$F:$F,Lançamentos!$A:$A,IB$19,Lançamentos!$C:$C,"Aluguel Recebido")</f>
        <v>0</v>
      </c>
      <c r="IC29" s="39">
        <f>SUMIFS(Lançamentos!$F:$F,Lançamentos!$A:$A,IC$19,Lançamentos!$C:$C,"Aluguel Recebido")</f>
        <v>0</v>
      </c>
      <c r="ID29" s="39">
        <f>SUMIFS(Lançamentos!$F:$F,Lançamentos!$A:$A,ID$19,Lançamentos!$C:$C,"Aluguel Recebido")</f>
        <v>0</v>
      </c>
      <c r="IE29" s="39">
        <f>SUMIFS(Lançamentos!$F:$F,Lançamentos!$A:$A,IE$19,Lançamentos!$C:$C,"Aluguel Recebido")</f>
        <v>0</v>
      </c>
      <c r="IF29" s="39">
        <f>SUMIFS(Lançamentos!$F:$F,Lançamentos!$A:$A,IF$19,Lançamentos!$C:$C,"Aluguel Recebido")</f>
        <v>0</v>
      </c>
      <c r="IG29" s="39">
        <f>SUMIFS(Lançamentos!$F:$F,Lançamentos!$A:$A,IG$19,Lançamentos!$C:$C,"Aluguel Recebido")</f>
        <v>0</v>
      </c>
      <c r="IH29" s="39">
        <f>SUMIFS(Lançamentos!$F:$F,Lançamentos!$A:$A,IH$19,Lançamentos!$C:$C,"Aluguel Recebido")</f>
        <v>0</v>
      </c>
      <c r="II29" s="39">
        <f>SUMIFS(Lançamentos!$F:$F,Lançamentos!$A:$A,II$19,Lançamentos!$C:$C,"Aluguel Recebido")</f>
        <v>0</v>
      </c>
      <c r="IJ29" s="39">
        <f>SUMIFS(Lançamentos!$F:$F,Lançamentos!$A:$A,IJ$19,Lançamentos!$C:$C,"Aluguel Recebido")</f>
        <v>0</v>
      </c>
      <c r="IK29" s="39">
        <f>SUMIFS(Lançamentos!$F:$F,Lançamentos!$A:$A,IK$19,Lançamentos!$C:$C,"Aluguel Recebido")</f>
        <v>0</v>
      </c>
      <c r="IL29" s="39">
        <f>SUMIFS(Lançamentos!$F:$F,Lançamentos!$A:$A,IL$19,Lançamentos!$C:$C,"Aluguel Recebido")</f>
        <v>0</v>
      </c>
    </row>
    <row r="30" spans="1:246" x14ac:dyDescent="0.3">
      <c r="A30" t="s">
        <v>92</v>
      </c>
      <c r="B30" s="39">
        <f>SUMIFS(Lançamentos!$F:$F,Lançamentos!$A:$A,B$19,Lançamentos!$C:$C,"Reembolsos")</f>
        <v>0</v>
      </c>
      <c r="C30" s="39">
        <f>SUMIFS(Lançamentos!$F:$F,Lançamentos!$A:$A,C$19,Lançamentos!$C:$C,"Reembolsos")</f>
        <v>0</v>
      </c>
      <c r="D30" s="39">
        <f>SUMIFS(Lançamentos!$F:$F,Lançamentos!$A:$A,D$19,Lançamentos!$C:$C,"Reembolsos")</f>
        <v>0</v>
      </c>
      <c r="E30" s="39">
        <f>SUMIFS(Lançamentos!$F:$F,Lançamentos!$A:$A,E$19,Lançamentos!$C:$C,"Reembolsos")</f>
        <v>0</v>
      </c>
      <c r="F30" s="39">
        <f>SUMIFS(Lançamentos!$F:$F,Lançamentos!$A:$A,F$19,Lançamentos!$C:$C,"Reembolsos")</f>
        <v>0</v>
      </c>
      <c r="G30" s="39">
        <f>SUMIFS(Lançamentos!$F:$F,Lançamentos!$A:$A,G$19,Lançamentos!$C:$C,"Reembolsos")</f>
        <v>0</v>
      </c>
      <c r="H30" s="39">
        <f>SUMIFS(Lançamentos!$F:$F,Lançamentos!$A:$A,H$19,Lançamentos!$C:$C,"Reembolsos")</f>
        <v>0</v>
      </c>
      <c r="I30" s="39">
        <f>SUMIFS(Lançamentos!$F:$F,Lançamentos!$A:$A,I$19,Lançamentos!$C:$C,"Reembolsos")</f>
        <v>0</v>
      </c>
      <c r="J30" s="39">
        <f>SUMIFS(Lançamentos!$F:$F,Lançamentos!$A:$A,J$19,Lançamentos!$C:$C,"Reembolsos")</f>
        <v>0</v>
      </c>
      <c r="K30" s="39">
        <f>SUMIFS(Lançamentos!$F:$F,Lançamentos!$A:$A,K$19,Lançamentos!$C:$C,"Reembolsos")</f>
        <v>0</v>
      </c>
      <c r="L30" s="39">
        <f>SUMIFS(Lançamentos!$F:$F,Lançamentos!$A:$A,L$19,Lançamentos!$C:$C,"Reembolsos")</f>
        <v>0</v>
      </c>
      <c r="M30" s="39">
        <f>SUMIFS(Lançamentos!$F:$F,Lançamentos!$A:$A,M$19,Lançamentos!$C:$C,"Reembolsos")</f>
        <v>0</v>
      </c>
      <c r="N30" s="39">
        <f>SUMIFS(Lançamentos!$F:$F,Lançamentos!$A:$A,N$19,Lançamentos!$C:$C,"Reembolsos")</f>
        <v>0</v>
      </c>
      <c r="O30" s="39">
        <f>SUMIFS(Lançamentos!$F:$F,Lançamentos!$A:$A,O$19,Lançamentos!$C:$C,"Reembolsos")</f>
        <v>0</v>
      </c>
      <c r="P30" s="39">
        <f>SUMIFS(Lançamentos!$F:$F,Lançamentos!$A:$A,P$19,Lançamentos!$C:$C,"Reembolsos")</f>
        <v>0</v>
      </c>
      <c r="Q30" s="39">
        <f>SUMIFS(Lançamentos!$F:$F,Lançamentos!$A:$A,Q$19,Lançamentos!$C:$C,"Reembolsos")</f>
        <v>0</v>
      </c>
      <c r="R30" s="39">
        <f>SUMIFS(Lançamentos!$F:$F,Lançamentos!$A:$A,R$19,Lançamentos!$C:$C,"Reembolsos")</f>
        <v>0</v>
      </c>
      <c r="S30" s="39">
        <f>SUMIFS(Lançamentos!$F:$F,Lançamentos!$A:$A,S$19,Lançamentos!$C:$C,"Reembolsos")</f>
        <v>0</v>
      </c>
      <c r="T30" s="39">
        <f>SUMIFS(Lançamentos!$F:$F,Lançamentos!$A:$A,T$19,Lançamentos!$C:$C,"Reembolsos")</f>
        <v>0</v>
      </c>
      <c r="U30" s="39">
        <f>SUMIFS(Lançamentos!$F:$F,Lançamentos!$A:$A,U$19,Lançamentos!$C:$C,"Reembolsos")</f>
        <v>0</v>
      </c>
      <c r="V30" s="39">
        <f>SUMIFS(Lançamentos!$F:$F,Lançamentos!$A:$A,V$19,Lançamentos!$C:$C,"Reembolsos")</f>
        <v>0</v>
      </c>
      <c r="W30" s="39">
        <f>SUMIFS(Lançamentos!$F:$F,Lançamentos!$A:$A,W$19,Lançamentos!$C:$C,"Reembolsos")</f>
        <v>0</v>
      </c>
      <c r="X30" s="39">
        <f>SUMIFS(Lançamentos!$F:$F,Lançamentos!$A:$A,X$19,Lançamentos!$C:$C,"Reembolsos")</f>
        <v>0</v>
      </c>
      <c r="Y30" s="39">
        <f>SUMIFS(Lançamentos!$F:$F,Lançamentos!$A:$A,Y$19,Lançamentos!$C:$C,"Reembolsos")</f>
        <v>0</v>
      </c>
      <c r="Z30" s="39">
        <f>SUMIFS(Lançamentos!$F:$F,Lançamentos!$A:$A,Z$19,Lançamentos!$C:$C,"Reembolsos")</f>
        <v>0</v>
      </c>
      <c r="AA30" s="39">
        <f>SUMIFS(Lançamentos!$F:$F,Lançamentos!$A:$A,AA$19,Lançamentos!$C:$C,"Reembolsos")</f>
        <v>0</v>
      </c>
      <c r="AB30" s="39">
        <f>SUMIFS(Lançamentos!$F:$F,Lançamentos!$A:$A,AB$19,Lançamentos!$C:$C,"Reembolsos")</f>
        <v>0</v>
      </c>
      <c r="AC30" s="39">
        <f>SUMIFS(Lançamentos!$F:$F,Lançamentos!$A:$A,AC$19,Lançamentos!$C:$C,"Reembolsos")</f>
        <v>0</v>
      </c>
      <c r="AD30" s="39">
        <f>SUMIFS(Lançamentos!$F:$F,Lançamentos!$A:$A,AD$19,Lançamentos!$C:$C,"Reembolsos")</f>
        <v>0</v>
      </c>
      <c r="AE30" s="39">
        <f>SUMIFS(Lançamentos!$F:$F,Lançamentos!$A:$A,AE$19,Lançamentos!$C:$C,"Reembolsos")</f>
        <v>0</v>
      </c>
      <c r="AF30" s="39">
        <f>SUMIFS(Lançamentos!$F:$F,Lançamentos!$A:$A,AF$19,Lançamentos!$C:$C,"Reembolsos")</f>
        <v>0</v>
      </c>
      <c r="AG30" s="39">
        <f>SUMIFS(Lançamentos!$F:$F,Lançamentos!$A:$A,AG$19,Lançamentos!$C:$C,"Reembolsos")</f>
        <v>0</v>
      </c>
      <c r="AH30" s="39">
        <f>SUMIFS(Lançamentos!$F:$F,Lançamentos!$A:$A,AH$19,Lançamentos!$C:$C,"Reembolsos")</f>
        <v>0</v>
      </c>
      <c r="AI30" s="39">
        <f>SUMIFS(Lançamentos!$F:$F,Lançamentos!$A:$A,AI$19,Lançamentos!$C:$C,"Reembolsos")</f>
        <v>0</v>
      </c>
      <c r="AJ30" s="39">
        <f>SUMIFS(Lançamentos!$F:$F,Lançamentos!$A:$A,AJ$19,Lançamentos!$C:$C,"Reembolsos")</f>
        <v>0</v>
      </c>
      <c r="AK30" s="39">
        <f>SUMIFS(Lançamentos!$F:$F,Lançamentos!$A:$A,AK$19,Lançamentos!$C:$C,"Reembolsos")</f>
        <v>0</v>
      </c>
      <c r="AL30" s="39">
        <f>SUMIFS(Lançamentos!$F:$F,Lançamentos!$A:$A,AL$19,Lançamentos!$C:$C,"Reembolsos")</f>
        <v>0</v>
      </c>
      <c r="AM30" s="39">
        <f>SUMIFS(Lançamentos!$F:$F,Lançamentos!$A:$A,AM$19,Lançamentos!$C:$C,"Reembolsos")</f>
        <v>0</v>
      </c>
      <c r="AN30" s="39">
        <f>SUMIFS(Lançamentos!$F:$F,Lançamentos!$A:$A,AN$19,Lançamentos!$C:$C,"Reembolsos")</f>
        <v>0</v>
      </c>
      <c r="AO30" s="39">
        <f>SUMIFS(Lançamentos!$F:$F,Lançamentos!$A:$A,AO$19,Lançamentos!$C:$C,"Reembolsos")</f>
        <v>0</v>
      </c>
      <c r="AP30" s="39">
        <f>SUMIFS(Lançamentos!$F:$F,Lançamentos!$A:$A,AP$19,Lançamentos!$C:$C,"Reembolsos")</f>
        <v>0</v>
      </c>
      <c r="AQ30" s="39">
        <f>SUMIFS(Lançamentos!$F:$F,Lançamentos!$A:$A,AQ$19,Lançamentos!$C:$C,"Reembolsos")</f>
        <v>0</v>
      </c>
      <c r="AR30" s="39">
        <f>SUMIFS(Lançamentos!$F:$F,Lançamentos!$A:$A,AR$19,Lançamentos!$C:$C,"Reembolsos")</f>
        <v>0</v>
      </c>
      <c r="AS30" s="39">
        <f>SUMIFS(Lançamentos!$F:$F,Lançamentos!$A:$A,AS$19,Lançamentos!$C:$C,"Reembolsos")</f>
        <v>0</v>
      </c>
      <c r="AT30" s="39">
        <f>SUMIFS(Lançamentos!$F:$F,Lançamentos!$A:$A,AT$19,Lançamentos!$C:$C,"Reembolsos")</f>
        <v>0</v>
      </c>
      <c r="AU30" s="39">
        <f>SUMIFS(Lançamentos!$F:$F,Lançamentos!$A:$A,AU$19,Lançamentos!$C:$C,"Reembolsos")</f>
        <v>0</v>
      </c>
      <c r="AV30" s="39">
        <f>SUMIFS(Lançamentos!$F:$F,Lançamentos!$A:$A,AV$19,Lançamentos!$C:$C,"Reembolsos")</f>
        <v>0</v>
      </c>
      <c r="AW30" s="39">
        <f>SUMIFS(Lançamentos!$F:$F,Lançamentos!$A:$A,AW$19,Lançamentos!$C:$C,"Reembolsos")</f>
        <v>0</v>
      </c>
      <c r="AX30" s="39">
        <f>SUMIFS(Lançamentos!$F:$F,Lançamentos!$A:$A,AX$19,Lançamentos!$C:$C,"Reembolsos")</f>
        <v>0</v>
      </c>
      <c r="AY30" s="39">
        <f>SUMIFS(Lançamentos!$F:$F,Lançamentos!$A:$A,AY$19,Lançamentos!$C:$C,"Reembolsos")</f>
        <v>0</v>
      </c>
      <c r="AZ30" s="39">
        <f>SUMIFS(Lançamentos!$F:$F,Lançamentos!$A:$A,AZ$19,Lançamentos!$C:$C,"Reembolsos")</f>
        <v>0</v>
      </c>
      <c r="BA30" s="39">
        <f>SUMIFS(Lançamentos!$F:$F,Lançamentos!$A:$A,BA$19,Lançamentos!$C:$C,"Reembolsos")</f>
        <v>0</v>
      </c>
      <c r="BB30" s="39">
        <f>SUMIFS(Lançamentos!$F:$F,Lançamentos!$A:$A,BB$19,Lançamentos!$C:$C,"Reembolsos")</f>
        <v>0</v>
      </c>
      <c r="BC30" s="39">
        <f>SUMIFS(Lançamentos!$F:$F,Lançamentos!$A:$A,BC$19,Lançamentos!$C:$C,"Reembolsos")</f>
        <v>0</v>
      </c>
      <c r="BD30" s="39">
        <f>SUMIFS(Lançamentos!$F:$F,Lançamentos!$A:$A,BD$19,Lançamentos!$C:$C,"Reembolsos")</f>
        <v>0</v>
      </c>
      <c r="BE30" s="39">
        <f>SUMIFS(Lançamentos!$F:$F,Lançamentos!$A:$A,BE$19,Lançamentos!$C:$C,"Reembolsos")</f>
        <v>0</v>
      </c>
      <c r="BF30" s="39">
        <f>SUMIFS(Lançamentos!$F:$F,Lançamentos!$A:$A,BF$19,Lançamentos!$C:$C,"Reembolsos")</f>
        <v>0</v>
      </c>
      <c r="BG30" s="39">
        <f>SUMIFS(Lançamentos!$F:$F,Lançamentos!$A:$A,BG$19,Lançamentos!$C:$C,"Reembolsos")</f>
        <v>0</v>
      </c>
      <c r="BH30" s="39">
        <f>SUMIFS(Lançamentos!$F:$F,Lançamentos!$A:$A,BH$19,Lançamentos!$C:$C,"Reembolsos")</f>
        <v>0</v>
      </c>
      <c r="BI30" s="39">
        <f>SUMIFS(Lançamentos!$F:$F,Lançamentos!$A:$A,BI$19,Lançamentos!$C:$C,"Reembolsos")</f>
        <v>0</v>
      </c>
      <c r="BJ30" s="39">
        <f>SUMIFS(Lançamentos!$F:$F,Lançamentos!$A:$A,BJ$19,Lançamentos!$C:$C,"Reembolsos")</f>
        <v>0</v>
      </c>
      <c r="BK30" s="39">
        <f>SUMIFS(Lançamentos!$F:$F,Lançamentos!$A:$A,BK$19,Lançamentos!$C:$C,"Reembolsos")</f>
        <v>0</v>
      </c>
      <c r="BL30" s="39">
        <f>SUMIFS(Lançamentos!$F:$F,Lançamentos!$A:$A,BL$19,Lançamentos!$C:$C,"Reembolsos")</f>
        <v>0</v>
      </c>
      <c r="BM30" s="39">
        <f>SUMIFS(Lançamentos!$F:$F,Lançamentos!$A:$A,BM$19,Lançamentos!$C:$C,"Reembolsos")</f>
        <v>0</v>
      </c>
      <c r="BN30" s="39">
        <f>SUMIFS(Lançamentos!$F:$F,Lançamentos!$A:$A,BN$19,Lançamentos!$C:$C,"Reembolsos")</f>
        <v>0</v>
      </c>
      <c r="BO30" s="39">
        <f>SUMIFS(Lançamentos!$F:$F,Lançamentos!$A:$A,BO$19,Lançamentos!$C:$C,"Reembolsos")</f>
        <v>0</v>
      </c>
      <c r="BP30" s="39">
        <f>SUMIFS(Lançamentos!$F:$F,Lançamentos!$A:$A,BP$19,Lançamentos!$C:$C,"Reembolsos")</f>
        <v>0</v>
      </c>
      <c r="BQ30" s="39">
        <f>SUMIFS(Lançamentos!$F:$F,Lançamentos!$A:$A,BQ$19,Lançamentos!$C:$C,"Reembolsos")</f>
        <v>0</v>
      </c>
      <c r="BR30" s="39">
        <f>SUMIFS(Lançamentos!$F:$F,Lançamentos!$A:$A,BR$19,Lançamentos!$C:$C,"Reembolsos")</f>
        <v>0</v>
      </c>
      <c r="BS30" s="39">
        <f>SUMIFS(Lançamentos!$F:$F,Lançamentos!$A:$A,BS$19,Lançamentos!$C:$C,"Reembolsos")</f>
        <v>0</v>
      </c>
      <c r="BT30" s="39">
        <f>SUMIFS(Lançamentos!$F:$F,Lançamentos!$A:$A,BT$19,Lançamentos!$C:$C,"Reembolsos")</f>
        <v>0</v>
      </c>
      <c r="BU30" s="39">
        <f>SUMIFS(Lançamentos!$F:$F,Lançamentos!$A:$A,BU$19,Lançamentos!$C:$C,"Reembolsos")</f>
        <v>0</v>
      </c>
      <c r="BV30" s="39">
        <f>SUMIFS(Lançamentos!$F:$F,Lançamentos!$A:$A,BV$19,Lançamentos!$C:$C,"Reembolsos")</f>
        <v>0</v>
      </c>
      <c r="BW30" s="39">
        <f>SUMIFS(Lançamentos!$F:$F,Lançamentos!$A:$A,BW$19,Lançamentos!$C:$C,"Reembolsos")</f>
        <v>0</v>
      </c>
      <c r="BX30" s="39">
        <f>SUMIFS(Lançamentos!$F:$F,Lançamentos!$A:$A,BX$19,Lançamentos!$C:$C,"Reembolsos")</f>
        <v>0</v>
      </c>
      <c r="BY30" s="39">
        <f>SUMIFS(Lançamentos!$F:$F,Lançamentos!$A:$A,BY$19,Lançamentos!$C:$C,"Reembolsos")</f>
        <v>0</v>
      </c>
      <c r="BZ30" s="39">
        <f>SUMIFS(Lançamentos!$F:$F,Lançamentos!$A:$A,BZ$19,Lançamentos!$C:$C,"Reembolsos")</f>
        <v>0</v>
      </c>
      <c r="CA30" s="39">
        <f>SUMIFS(Lançamentos!$F:$F,Lançamentos!$A:$A,CA$19,Lançamentos!$C:$C,"Reembolsos")</f>
        <v>0</v>
      </c>
      <c r="CB30" s="39">
        <f>SUMIFS(Lançamentos!$F:$F,Lançamentos!$A:$A,CB$19,Lançamentos!$C:$C,"Reembolsos")</f>
        <v>0</v>
      </c>
      <c r="CC30" s="39">
        <f>SUMIFS(Lançamentos!$F:$F,Lançamentos!$A:$A,CC$19,Lançamentos!$C:$C,"Reembolsos")</f>
        <v>0</v>
      </c>
      <c r="CD30" s="39">
        <f>SUMIFS(Lançamentos!$F:$F,Lançamentos!$A:$A,CD$19,Lançamentos!$C:$C,"Reembolsos")</f>
        <v>0</v>
      </c>
      <c r="CE30" s="39">
        <f>SUMIFS(Lançamentos!$F:$F,Lançamentos!$A:$A,CE$19,Lançamentos!$C:$C,"Reembolsos")</f>
        <v>0</v>
      </c>
      <c r="CF30" s="39">
        <f>SUMIFS(Lançamentos!$F:$F,Lançamentos!$A:$A,CF$19,Lançamentos!$C:$C,"Reembolsos")</f>
        <v>0</v>
      </c>
      <c r="CG30" s="39">
        <f>SUMIFS(Lançamentos!$F:$F,Lançamentos!$A:$A,CG$19,Lançamentos!$C:$C,"Reembolsos")</f>
        <v>0</v>
      </c>
      <c r="CH30" s="39">
        <f>SUMIFS(Lançamentos!$F:$F,Lançamentos!$A:$A,CH$19,Lançamentos!$C:$C,"Reembolsos")</f>
        <v>0</v>
      </c>
      <c r="CI30" s="39">
        <f>SUMIFS(Lançamentos!$F:$F,Lançamentos!$A:$A,CI$19,Lançamentos!$C:$C,"Reembolsos")</f>
        <v>0</v>
      </c>
      <c r="CJ30" s="39">
        <f>SUMIFS(Lançamentos!$F:$F,Lançamentos!$A:$A,CJ$19,Lançamentos!$C:$C,"Reembolsos")</f>
        <v>0</v>
      </c>
      <c r="CK30" s="39">
        <f>SUMIFS(Lançamentos!$F:$F,Lançamentos!$A:$A,CK$19,Lançamentos!$C:$C,"Reembolsos")</f>
        <v>0</v>
      </c>
      <c r="CL30" s="39">
        <f>SUMIFS(Lançamentos!$F:$F,Lançamentos!$A:$A,CL$19,Lançamentos!$C:$C,"Reembolsos")</f>
        <v>0</v>
      </c>
      <c r="CM30" s="39">
        <f>SUMIFS(Lançamentos!$F:$F,Lançamentos!$A:$A,CM$19,Lançamentos!$C:$C,"Reembolsos")</f>
        <v>0</v>
      </c>
      <c r="CN30" s="39">
        <f>SUMIFS(Lançamentos!$F:$F,Lançamentos!$A:$A,CN$19,Lançamentos!$C:$C,"Reembolsos")</f>
        <v>0</v>
      </c>
      <c r="CO30" s="39">
        <f>SUMIFS(Lançamentos!$F:$F,Lançamentos!$A:$A,CO$19,Lançamentos!$C:$C,"Reembolsos")</f>
        <v>0</v>
      </c>
      <c r="CP30" s="39">
        <f>SUMIFS(Lançamentos!$F:$F,Lançamentos!$A:$A,CP$19,Lançamentos!$C:$C,"Reembolsos")</f>
        <v>0</v>
      </c>
      <c r="CQ30" s="39">
        <f>SUMIFS(Lançamentos!$F:$F,Lançamentos!$A:$A,CQ$19,Lançamentos!$C:$C,"Reembolsos")</f>
        <v>0</v>
      </c>
      <c r="CR30" s="39">
        <f>SUMIFS(Lançamentos!$F:$F,Lançamentos!$A:$A,CR$19,Lançamentos!$C:$C,"Reembolsos")</f>
        <v>0</v>
      </c>
      <c r="CS30" s="39">
        <f>SUMIFS(Lançamentos!$F:$F,Lançamentos!$A:$A,CS$19,Lançamentos!$C:$C,"Reembolsos")</f>
        <v>0</v>
      </c>
      <c r="CT30" s="39">
        <f>SUMIFS(Lançamentos!$F:$F,Lançamentos!$A:$A,CT$19,Lançamentos!$C:$C,"Reembolsos")</f>
        <v>0</v>
      </c>
      <c r="CU30" s="39">
        <f>SUMIFS(Lançamentos!$F:$F,Lançamentos!$A:$A,CU$19,Lançamentos!$C:$C,"Reembolsos")</f>
        <v>0</v>
      </c>
      <c r="CV30" s="39">
        <f>SUMIFS(Lançamentos!$F:$F,Lançamentos!$A:$A,CV$19,Lançamentos!$C:$C,"Reembolsos")</f>
        <v>0</v>
      </c>
      <c r="CW30" s="39">
        <f>SUMIFS(Lançamentos!$F:$F,Lançamentos!$A:$A,CW$19,Lançamentos!$C:$C,"Reembolsos")</f>
        <v>0</v>
      </c>
      <c r="CX30" s="39">
        <f>SUMIFS(Lançamentos!$F:$F,Lançamentos!$A:$A,CX$19,Lançamentos!$C:$C,"Reembolsos")</f>
        <v>0</v>
      </c>
      <c r="CY30" s="39">
        <f>SUMIFS(Lançamentos!$F:$F,Lançamentos!$A:$A,CY$19,Lançamentos!$C:$C,"Reembolsos")</f>
        <v>0</v>
      </c>
      <c r="CZ30" s="39">
        <f>SUMIFS(Lançamentos!$F:$F,Lançamentos!$A:$A,CZ$19,Lançamentos!$C:$C,"Reembolsos")</f>
        <v>0</v>
      </c>
      <c r="DA30" s="39">
        <f>SUMIFS(Lançamentos!$F:$F,Lançamentos!$A:$A,DA$19,Lançamentos!$C:$C,"Reembolsos")</f>
        <v>0</v>
      </c>
      <c r="DB30" s="39">
        <f>SUMIFS(Lançamentos!$F:$F,Lançamentos!$A:$A,DB$19,Lançamentos!$C:$C,"Reembolsos")</f>
        <v>0</v>
      </c>
      <c r="DC30" s="39">
        <f>SUMIFS(Lançamentos!$F:$F,Lançamentos!$A:$A,DC$19,Lançamentos!$C:$C,"Reembolsos")</f>
        <v>0</v>
      </c>
      <c r="DD30" s="39">
        <f>SUMIFS(Lançamentos!$F:$F,Lançamentos!$A:$A,DD$19,Lançamentos!$C:$C,"Reembolsos")</f>
        <v>0</v>
      </c>
      <c r="DE30" s="39">
        <f>SUMIFS(Lançamentos!$F:$F,Lançamentos!$A:$A,DE$19,Lançamentos!$C:$C,"Reembolsos")</f>
        <v>0</v>
      </c>
      <c r="DF30" s="39">
        <f>SUMIFS(Lançamentos!$F:$F,Lançamentos!$A:$A,DF$19,Lançamentos!$C:$C,"Reembolsos")</f>
        <v>0</v>
      </c>
      <c r="DG30" s="39">
        <f>SUMIFS(Lançamentos!$F:$F,Lançamentos!$A:$A,DG$19,Lançamentos!$C:$C,"Reembolsos")</f>
        <v>0</v>
      </c>
      <c r="DH30" s="39">
        <f>SUMIFS(Lançamentos!$F:$F,Lançamentos!$A:$A,DH$19,Lançamentos!$C:$C,"Reembolsos")</f>
        <v>0</v>
      </c>
      <c r="DI30" s="39">
        <f>SUMIFS(Lançamentos!$F:$F,Lançamentos!$A:$A,DI$19,Lançamentos!$C:$C,"Reembolsos")</f>
        <v>0</v>
      </c>
      <c r="DJ30" s="39">
        <f>SUMIFS(Lançamentos!$F:$F,Lançamentos!$A:$A,DJ$19,Lançamentos!$C:$C,"Reembolsos")</f>
        <v>0</v>
      </c>
      <c r="DK30" s="39">
        <f>SUMIFS(Lançamentos!$F:$F,Lançamentos!$A:$A,DK$19,Lançamentos!$C:$C,"Reembolsos")</f>
        <v>0</v>
      </c>
      <c r="DL30" s="39">
        <f>SUMIFS(Lançamentos!$F:$F,Lançamentos!$A:$A,DL$19,Lançamentos!$C:$C,"Reembolsos")</f>
        <v>0</v>
      </c>
      <c r="DM30" s="39">
        <f>SUMIFS(Lançamentos!$F:$F,Lançamentos!$A:$A,DM$19,Lançamentos!$C:$C,"Reembolsos")</f>
        <v>0</v>
      </c>
      <c r="DN30" s="39">
        <f>SUMIFS(Lançamentos!$F:$F,Lançamentos!$A:$A,DN$19,Lançamentos!$C:$C,"Reembolsos")</f>
        <v>0</v>
      </c>
      <c r="DO30" s="39">
        <f>SUMIFS(Lançamentos!$F:$F,Lançamentos!$A:$A,DO$19,Lançamentos!$C:$C,"Reembolsos")</f>
        <v>0</v>
      </c>
      <c r="DP30" s="39">
        <f>SUMIFS(Lançamentos!$F:$F,Lançamentos!$A:$A,DP$19,Lançamentos!$C:$C,"Reembolsos")</f>
        <v>0</v>
      </c>
      <c r="DQ30" s="39">
        <f>SUMIFS(Lançamentos!$F:$F,Lançamentos!$A:$A,DQ$19,Lançamentos!$C:$C,"Reembolsos")</f>
        <v>0</v>
      </c>
      <c r="DR30" s="39">
        <f>SUMIFS(Lançamentos!$F:$F,Lançamentos!$A:$A,DR$19,Lançamentos!$C:$C,"Reembolsos")</f>
        <v>0</v>
      </c>
      <c r="DS30" s="39">
        <f>SUMIFS(Lançamentos!$F:$F,Lançamentos!$A:$A,DS$19,Lançamentos!$C:$C,"Reembolsos")</f>
        <v>0</v>
      </c>
      <c r="DT30" s="39">
        <f>SUMIFS(Lançamentos!$F:$F,Lançamentos!$A:$A,DT$19,Lançamentos!$C:$C,"Reembolsos")</f>
        <v>0</v>
      </c>
      <c r="DU30" s="39">
        <f>SUMIFS(Lançamentos!$F:$F,Lançamentos!$A:$A,DU$19,Lançamentos!$C:$C,"Reembolsos")</f>
        <v>0</v>
      </c>
      <c r="DV30" s="39">
        <f>SUMIFS(Lançamentos!$F:$F,Lançamentos!$A:$A,DV$19,Lançamentos!$C:$C,"Reembolsos")</f>
        <v>0</v>
      </c>
      <c r="DW30" s="39">
        <f>SUMIFS(Lançamentos!$F:$F,Lançamentos!$A:$A,DW$19,Lançamentos!$C:$C,"Reembolsos")</f>
        <v>0</v>
      </c>
      <c r="DX30" s="39">
        <f>SUMIFS(Lançamentos!$F:$F,Lançamentos!$A:$A,DX$19,Lançamentos!$C:$C,"Reembolsos")</f>
        <v>0</v>
      </c>
      <c r="DY30" s="39">
        <f>SUMIFS(Lançamentos!$F:$F,Lançamentos!$A:$A,DY$19,Lançamentos!$C:$C,"Reembolsos")</f>
        <v>0</v>
      </c>
      <c r="DZ30" s="39">
        <f>SUMIFS(Lançamentos!$F:$F,Lançamentos!$A:$A,DZ$19,Lançamentos!$C:$C,"Reembolsos")</f>
        <v>0</v>
      </c>
      <c r="EA30" s="39">
        <f>SUMIFS(Lançamentos!$F:$F,Lançamentos!$A:$A,EA$19,Lançamentos!$C:$C,"Reembolsos")</f>
        <v>0</v>
      </c>
      <c r="EB30" s="39">
        <f>SUMIFS(Lançamentos!$F:$F,Lançamentos!$A:$A,EB$19,Lançamentos!$C:$C,"Reembolsos")</f>
        <v>0</v>
      </c>
      <c r="EC30" s="39">
        <f>SUMIFS(Lançamentos!$F:$F,Lançamentos!$A:$A,EC$19,Lançamentos!$C:$C,"Reembolsos")</f>
        <v>0</v>
      </c>
      <c r="ED30" s="39">
        <f>SUMIFS(Lançamentos!$F:$F,Lançamentos!$A:$A,ED$19,Lançamentos!$C:$C,"Reembolsos")</f>
        <v>0</v>
      </c>
      <c r="EE30" s="39">
        <f>SUMIFS(Lançamentos!$F:$F,Lançamentos!$A:$A,EE$19,Lançamentos!$C:$C,"Reembolsos")</f>
        <v>0</v>
      </c>
      <c r="EF30" s="39">
        <f>SUMIFS(Lançamentos!$F:$F,Lançamentos!$A:$A,EF$19,Lançamentos!$C:$C,"Reembolsos")</f>
        <v>0</v>
      </c>
      <c r="EG30" s="39">
        <f>SUMIFS(Lançamentos!$F:$F,Lançamentos!$A:$A,EG$19,Lançamentos!$C:$C,"Reembolsos")</f>
        <v>0</v>
      </c>
      <c r="EH30" s="39">
        <f>SUMIFS(Lançamentos!$F:$F,Lançamentos!$A:$A,EH$19,Lançamentos!$C:$C,"Reembolsos")</f>
        <v>0</v>
      </c>
      <c r="EI30" s="39">
        <f>SUMIFS(Lançamentos!$F:$F,Lançamentos!$A:$A,EI$19,Lançamentos!$C:$C,"Reembolsos")</f>
        <v>0</v>
      </c>
      <c r="EJ30" s="39">
        <f>SUMIFS(Lançamentos!$F:$F,Lançamentos!$A:$A,EJ$19,Lançamentos!$C:$C,"Reembolsos")</f>
        <v>0</v>
      </c>
      <c r="EK30" s="39">
        <f>SUMIFS(Lançamentos!$F:$F,Lançamentos!$A:$A,EK$19,Lançamentos!$C:$C,"Reembolsos")</f>
        <v>0</v>
      </c>
      <c r="EL30" s="39">
        <f>SUMIFS(Lançamentos!$F:$F,Lançamentos!$A:$A,EL$19,Lançamentos!$C:$C,"Reembolsos")</f>
        <v>0</v>
      </c>
      <c r="EM30" s="39">
        <f>SUMIFS(Lançamentos!$F:$F,Lançamentos!$A:$A,EM$19,Lançamentos!$C:$C,"Reembolsos")</f>
        <v>0</v>
      </c>
      <c r="EN30" s="39">
        <f>SUMIFS(Lançamentos!$F:$F,Lançamentos!$A:$A,EN$19,Lançamentos!$C:$C,"Reembolsos")</f>
        <v>0</v>
      </c>
      <c r="EO30" s="39">
        <f>SUMIFS(Lançamentos!$F:$F,Lançamentos!$A:$A,EO$19,Lançamentos!$C:$C,"Reembolsos")</f>
        <v>0</v>
      </c>
      <c r="EP30" s="39">
        <f>SUMIFS(Lançamentos!$F:$F,Lançamentos!$A:$A,EP$19,Lançamentos!$C:$C,"Reembolsos")</f>
        <v>0</v>
      </c>
      <c r="EQ30" s="39">
        <f>SUMIFS(Lançamentos!$F:$F,Lançamentos!$A:$A,EQ$19,Lançamentos!$C:$C,"Reembolsos")</f>
        <v>0</v>
      </c>
      <c r="ER30" s="39">
        <f>SUMIFS(Lançamentos!$F:$F,Lançamentos!$A:$A,ER$19,Lançamentos!$C:$C,"Reembolsos")</f>
        <v>0</v>
      </c>
      <c r="ES30" s="39">
        <f>SUMIFS(Lançamentos!$F:$F,Lançamentos!$A:$A,ES$19,Lançamentos!$C:$C,"Reembolsos")</f>
        <v>0</v>
      </c>
      <c r="ET30" s="39">
        <f>SUMIFS(Lançamentos!$F:$F,Lançamentos!$A:$A,ET$19,Lançamentos!$C:$C,"Reembolsos")</f>
        <v>0</v>
      </c>
      <c r="EU30" s="39">
        <f>SUMIFS(Lançamentos!$F:$F,Lançamentos!$A:$A,EU$19,Lançamentos!$C:$C,"Reembolsos")</f>
        <v>0</v>
      </c>
      <c r="EV30" s="39">
        <f>SUMIFS(Lançamentos!$F:$F,Lançamentos!$A:$A,EV$19,Lançamentos!$C:$C,"Reembolsos")</f>
        <v>0</v>
      </c>
      <c r="EW30" s="39">
        <f>SUMIFS(Lançamentos!$F:$F,Lançamentos!$A:$A,EW$19,Lançamentos!$C:$C,"Reembolsos")</f>
        <v>0</v>
      </c>
      <c r="EX30" s="39">
        <f>SUMIFS(Lançamentos!$F:$F,Lançamentos!$A:$A,EX$19,Lançamentos!$C:$C,"Reembolsos")</f>
        <v>0</v>
      </c>
      <c r="EY30" s="39">
        <f>SUMIFS(Lançamentos!$F:$F,Lançamentos!$A:$A,EY$19,Lançamentos!$C:$C,"Reembolsos")</f>
        <v>0</v>
      </c>
      <c r="EZ30" s="39">
        <f>SUMIFS(Lançamentos!$F:$F,Lançamentos!$A:$A,EZ$19,Lançamentos!$C:$C,"Reembolsos")</f>
        <v>0</v>
      </c>
      <c r="FA30" s="39">
        <f>SUMIFS(Lançamentos!$F:$F,Lançamentos!$A:$A,FA$19,Lançamentos!$C:$C,"Reembolsos")</f>
        <v>0</v>
      </c>
      <c r="FB30" s="39">
        <f>SUMIFS(Lançamentos!$F:$F,Lançamentos!$A:$A,FB$19,Lançamentos!$C:$C,"Reembolsos")</f>
        <v>0</v>
      </c>
      <c r="FC30" s="39">
        <f>SUMIFS(Lançamentos!$F:$F,Lançamentos!$A:$A,FC$19,Lançamentos!$C:$C,"Reembolsos")</f>
        <v>0</v>
      </c>
      <c r="FD30" s="39">
        <f>SUMIFS(Lançamentos!$F:$F,Lançamentos!$A:$A,FD$19,Lançamentos!$C:$C,"Reembolsos")</f>
        <v>0</v>
      </c>
      <c r="FE30" s="39">
        <f>SUMIFS(Lançamentos!$F:$F,Lançamentos!$A:$A,FE$19,Lançamentos!$C:$C,"Reembolsos")</f>
        <v>0</v>
      </c>
      <c r="FF30" s="39">
        <f>SUMIFS(Lançamentos!$F:$F,Lançamentos!$A:$A,FF$19,Lançamentos!$C:$C,"Reembolsos")</f>
        <v>0</v>
      </c>
      <c r="FG30" s="39">
        <f>SUMIFS(Lançamentos!$F:$F,Lançamentos!$A:$A,FG$19,Lançamentos!$C:$C,"Reembolsos")</f>
        <v>0</v>
      </c>
      <c r="FH30" s="39">
        <f>SUMIFS(Lançamentos!$F:$F,Lançamentos!$A:$A,FH$19,Lançamentos!$C:$C,"Reembolsos")</f>
        <v>0</v>
      </c>
      <c r="FI30" s="39">
        <f>SUMIFS(Lançamentos!$F:$F,Lançamentos!$A:$A,FI$19,Lançamentos!$C:$C,"Reembolsos")</f>
        <v>0</v>
      </c>
      <c r="FJ30" s="39">
        <f>SUMIFS(Lançamentos!$F:$F,Lançamentos!$A:$A,FJ$19,Lançamentos!$C:$C,"Reembolsos")</f>
        <v>0</v>
      </c>
      <c r="FK30" s="39">
        <f>SUMIFS(Lançamentos!$F:$F,Lançamentos!$A:$A,FK$19,Lançamentos!$C:$C,"Reembolsos")</f>
        <v>0</v>
      </c>
      <c r="FL30" s="39">
        <f>SUMIFS(Lançamentos!$F:$F,Lançamentos!$A:$A,FL$19,Lançamentos!$C:$C,"Reembolsos")</f>
        <v>0</v>
      </c>
      <c r="FM30" s="39">
        <f>SUMIFS(Lançamentos!$F:$F,Lançamentos!$A:$A,FM$19,Lançamentos!$C:$C,"Reembolsos")</f>
        <v>0</v>
      </c>
      <c r="FN30" s="39">
        <f>SUMIFS(Lançamentos!$F:$F,Lançamentos!$A:$A,FN$19,Lançamentos!$C:$C,"Reembolsos")</f>
        <v>0</v>
      </c>
      <c r="FO30" s="39">
        <f>SUMIFS(Lançamentos!$F:$F,Lançamentos!$A:$A,FO$19,Lançamentos!$C:$C,"Reembolsos")</f>
        <v>0</v>
      </c>
      <c r="FP30" s="39">
        <f>SUMIFS(Lançamentos!$F:$F,Lançamentos!$A:$A,FP$19,Lançamentos!$C:$C,"Reembolsos")</f>
        <v>0</v>
      </c>
      <c r="FQ30" s="39">
        <f>SUMIFS(Lançamentos!$F:$F,Lançamentos!$A:$A,FQ$19,Lançamentos!$C:$C,"Reembolsos")</f>
        <v>0</v>
      </c>
      <c r="FR30" s="39">
        <f>SUMIFS(Lançamentos!$F:$F,Lançamentos!$A:$A,FR$19,Lançamentos!$C:$C,"Reembolsos")</f>
        <v>0</v>
      </c>
      <c r="FS30" s="39">
        <f>SUMIFS(Lançamentos!$F:$F,Lançamentos!$A:$A,FS$19,Lançamentos!$C:$C,"Reembolsos")</f>
        <v>0</v>
      </c>
      <c r="FT30" s="39">
        <f>SUMIFS(Lançamentos!$F:$F,Lançamentos!$A:$A,FT$19,Lançamentos!$C:$C,"Reembolsos")</f>
        <v>0</v>
      </c>
      <c r="FU30" s="39">
        <f>SUMIFS(Lançamentos!$F:$F,Lançamentos!$A:$A,FU$19,Lançamentos!$C:$C,"Reembolsos")</f>
        <v>0</v>
      </c>
      <c r="FV30" s="39">
        <f>SUMIFS(Lançamentos!$F:$F,Lançamentos!$A:$A,FV$19,Lançamentos!$C:$C,"Reembolsos")</f>
        <v>0</v>
      </c>
      <c r="FW30" s="39">
        <f>SUMIFS(Lançamentos!$F:$F,Lançamentos!$A:$A,FW$19,Lançamentos!$C:$C,"Reembolsos")</f>
        <v>0</v>
      </c>
      <c r="FX30" s="39">
        <f>SUMIFS(Lançamentos!$F:$F,Lançamentos!$A:$A,FX$19,Lançamentos!$C:$C,"Reembolsos")</f>
        <v>0</v>
      </c>
      <c r="FY30" s="39">
        <f>SUMIFS(Lançamentos!$F:$F,Lançamentos!$A:$A,FY$19,Lançamentos!$C:$C,"Reembolsos")</f>
        <v>0</v>
      </c>
      <c r="FZ30" s="39">
        <f>SUMIFS(Lançamentos!$F:$F,Lançamentos!$A:$A,FZ$19,Lançamentos!$C:$C,"Reembolsos")</f>
        <v>0</v>
      </c>
      <c r="GA30" s="39">
        <f>SUMIFS(Lançamentos!$F:$F,Lançamentos!$A:$A,GA$19,Lançamentos!$C:$C,"Reembolsos")</f>
        <v>0</v>
      </c>
      <c r="GB30" s="39">
        <f>SUMIFS(Lançamentos!$F:$F,Lançamentos!$A:$A,GB$19,Lançamentos!$C:$C,"Reembolsos")</f>
        <v>0</v>
      </c>
      <c r="GC30" s="39">
        <f>SUMIFS(Lançamentos!$F:$F,Lançamentos!$A:$A,GC$19,Lançamentos!$C:$C,"Reembolsos")</f>
        <v>0</v>
      </c>
      <c r="GD30" s="39">
        <f>SUMIFS(Lançamentos!$F:$F,Lançamentos!$A:$A,GD$19,Lançamentos!$C:$C,"Reembolsos")</f>
        <v>0</v>
      </c>
      <c r="GE30" s="39">
        <f>SUMIFS(Lançamentos!$F:$F,Lançamentos!$A:$A,GE$19,Lançamentos!$C:$C,"Reembolsos")</f>
        <v>0</v>
      </c>
      <c r="GF30" s="39">
        <f>SUMIFS(Lançamentos!$F:$F,Lançamentos!$A:$A,GF$19,Lançamentos!$C:$C,"Reembolsos")</f>
        <v>0</v>
      </c>
      <c r="GG30" s="39">
        <f>SUMIFS(Lançamentos!$F:$F,Lançamentos!$A:$A,GG$19,Lançamentos!$C:$C,"Reembolsos")</f>
        <v>0</v>
      </c>
      <c r="GH30" s="39">
        <f>SUMIFS(Lançamentos!$F:$F,Lançamentos!$A:$A,GH$19,Lançamentos!$C:$C,"Reembolsos")</f>
        <v>0</v>
      </c>
      <c r="GI30" s="39">
        <f>SUMIFS(Lançamentos!$F:$F,Lançamentos!$A:$A,GI$19,Lançamentos!$C:$C,"Reembolsos")</f>
        <v>0</v>
      </c>
      <c r="GJ30" s="39">
        <f>SUMIFS(Lançamentos!$F:$F,Lançamentos!$A:$A,GJ$19,Lançamentos!$C:$C,"Reembolsos")</f>
        <v>0</v>
      </c>
      <c r="GK30" s="39">
        <f>SUMIFS(Lançamentos!$F:$F,Lançamentos!$A:$A,GK$19,Lançamentos!$C:$C,"Reembolsos")</f>
        <v>0</v>
      </c>
      <c r="GL30" s="39">
        <f>SUMIFS(Lançamentos!$F:$F,Lançamentos!$A:$A,GL$19,Lançamentos!$C:$C,"Reembolsos")</f>
        <v>0</v>
      </c>
      <c r="GM30" s="39">
        <f>SUMIFS(Lançamentos!$F:$F,Lançamentos!$A:$A,GM$19,Lançamentos!$C:$C,"Reembolsos")</f>
        <v>0</v>
      </c>
      <c r="GN30" s="39">
        <f>SUMIFS(Lançamentos!$F:$F,Lançamentos!$A:$A,GN$19,Lançamentos!$C:$C,"Reembolsos")</f>
        <v>0</v>
      </c>
      <c r="GO30" s="39">
        <f>SUMIFS(Lançamentos!$F:$F,Lançamentos!$A:$A,GO$19,Lançamentos!$C:$C,"Reembolsos")</f>
        <v>0</v>
      </c>
      <c r="GP30" s="39">
        <f>SUMIFS(Lançamentos!$F:$F,Lançamentos!$A:$A,GP$19,Lançamentos!$C:$C,"Reembolsos")</f>
        <v>0</v>
      </c>
      <c r="GQ30" s="39">
        <f>SUMIFS(Lançamentos!$F:$F,Lançamentos!$A:$A,GQ$19,Lançamentos!$C:$C,"Reembolsos")</f>
        <v>0</v>
      </c>
      <c r="GR30" s="39">
        <f>SUMIFS(Lançamentos!$F:$F,Lançamentos!$A:$A,GR$19,Lançamentos!$C:$C,"Reembolsos")</f>
        <v>0</v>
      </c>
      <c r="GS30" s="39">
        <f>SUMIFS(Lançamentos!$F:$F,Lançamentos!$A:$A,GS$19,Lançamentos!$C:$C,"Reembolsos")</f>
        <v>0</v>
      </c>
      <c r="GT30" s="39">
        <f>SUMIFS(Lançamentos!$F:$F,Lançamentos!$A:$A,GT$19,Lançamentos!$C:$C,"Reembolsos")</f>
        <v>0</v>
      </c>
      <c r="GU30" s="39">
        <f>SUMIFS(Lançamentos!$F:$F,Lançamentos!$A:$A,GU$19,Lançamentos!$C:$C,"Reembolsos")</f>
        <v>0</v>
      </c>
      <c r="GV30" s="39">
        <f>SUMIFS(Lançamentos!$F:$F,Lançamentos!$A:$A,GV$19,Lançamentos!$C:$C,"Reembolsos")</f>
        <v>0</v>
      </c>
      <c r="GW30" s="39">
        <f>SUMIFS(Lançamentos!$F:$F,Lançamentos!$A:$A,GW$19,Lançamentos!$C:$C,"Reembolsos")</f>
        <v>0</v>
      </c>
      <c r="GX30" s="39">
        <f>SUMIFS(Lançamentos!$F:$F,Lançamentos!$A:$A,GX$19,Lançamentos!$C:$C,"Reembolsos")</f>
        <v>0</v>
      </c>
      <c r="GY30" s="39">
        <f>SUMIFS(Lançamentos!$F:$F,Lançamentos!$A:$A,GY$19,Lançamentos!$C:$C,"Reembolsos")</f>
        <v>0</v>
      </c>
      <c r="GZ30" s="39">
        <f>SUMIFS(Lançamentos!$F:$F,Lançamentos!$A:$A,GZ$19,Lançamentos!$C:$C,"Reembolsos")</f>
        <v>0</v>
      </c>
      <c r="HA30" s="39">
        <f>SUMIFS(Lançamentos!$F:$F,Lançamentos!$A:$A,HA$19,Lançamentos!$C:$C,"Reembolsos")</f>
        <v>0</v>
      </c>
      <c r="HB30" s="39">
        <f>SUMIFS(Lançamentos!$F:$F,Lançamentos!$A:$A,HB$19,Lançamentos!$C:$C,"Reembolsos")</f>
        <v>0</v>
      </c>
      <c r="HC30" s="39">
        <f>SUMIFS(Lançamentos!$F:$F,Lançamentos!$A:$A,HC$19,Lançamentos!$C:$C,"Reembolsos")</f>
        <v>0</v>
      </c>
      <c r="HD30" s="39">
        <f>SUMIFS(Lançamentos!$F:$F,Lançamentos!$A:$A,HD$19,Lançamentos!$C:$C,"Reembolsos")</f>
        <v>0</v>
      </c>
      <c r="HE30" s="39">
        <f>SUMIFS(Lançamentos!$F:$F,Lançamentos!$A:$A,HE$19,Lançamentos!$C:$C,"Reembolsos")</f>
        <v>0</v>
      </c>
      <c r="HF30" s="39">
        <f>SUMIFS(Lançamentos!$F:$F,Lançamentos!$A:$A,HF$19,Lançamentos!$C:$C,"Reembolsos")</f>
        <v>0</v>
      </c>
      <c r="HG30" s="39">
        <f>SUMIFS(Lançamentos!$F:$F,Lançamentos!$A:$A,HG$19,Lançamentos!$C:$C,"Reembolsos")</f>
        <v>0</v>
      </c>
      <c r="HH30" s="39">
        <f>SUMIFS(Lançamentos!$F:$F,Lançamentos!$A:$A,HH$19,Lançamentos!$C:$C,"Reembolsos")</f>
        <v>0</v>
      </c>
      <c r="HI30" s="39">
        <f>SUMIFS(Lançamentos!$F:$F,Lançamentos!$A:$A,HI$19,Lançamentos!$C:$C,"Reembolsos")</f>
        <v>0</v>
      </c>
      <c r="HJ30" s="39">
        <f>SUMIFS(Lançamentos!$F:$F,Lançamentos!$A:$A,HJ$19,Lançamentos!$C:$C,"Reembolsos")</f>
        <v>0</v>
      </c>
      <c r="HK30" s="39">
        <f>SUMIFS(Lançamentos!$F:$F,Lançamentos!$A:$A,HK$19,Lançamentos!$C:$C,"Reembolsos")</f>
        <v>0</v>
      </c>
      <c r="HL30" s="39">
        <f>SUMIFS(Lançamentos!$F:$F,Lançamentos!$A:$A,HL$19,Lançamentos!$C:$C,"Reembolsos")</f>
        <v>0</v>
      </c>
      <c r="HM30" s="39">
        <f>SUMIFS(Lançamentos!$F:$F,Lançamentos!$A:$A,HM$19,Lançamentos!$C:$C,"Reembolsos")</f>
        <v>0</v>
      </c>
      <c r="HN30" s="39">
        <f>SUMIFS(Lançamentos!$F:$F,Lançamentos!$A:$A,HN$19,Lançamentos!$C:$C,"Reembolsos")</f>
        <v>0</v>
      </c>
      <c r="HO30" s="39">
        <f>SUMIFS(Lançamentos!$F:$F,Lançamentos!$A:$A,HO$19,Lançamentos!$C:$C,"Reembolsos")</f>
        <v>0</v>
      </c>
      <c r="HP30" s="39">
        <f>SUMIFS(Lançamentos!$F:$F,Lançamentos!$A:$A,HP$19,Lançamentos!$C:$C,"Reembolsos")</f>
        <v>0</v>
      </c>
      <c r="HQ30" s="39">
        <f>SUMIFS(Lançamentos!$F:$F,Lançamentos!$A:$A,HQ$19,Lançamentos!$C:$C,"Reembolsos")</f>
        <v>0</v>
      </c>
      <c r="HR30" s="39">
        <f>SUMIFS(Lançamentos!$F:$F,Lançamentos!$A:$A,HR$19,Lançamentos!$C:$C,"Reembolsos")</f>
        <v>0</v>
      </c>
      <c r="HS30" s="39">
        <f>SUMIFS(Lançamentos!$F:$F,Lançamentos!$A:$A,HS$19,Lançamentos!$C:$C,"Reembolsos")</f>
        <v>0</v>
      </c>
      <c r="HT30" s="39">
        <f>SUMIFS(Lançamentos!$F:$F,Lançamentos!$A:$A,HT$19,Lançamentos!$C:$C,"Reembolsos")</f>
        <v>0</v>
      </c>
      <c r="HU30" s="39">
        <f>SUMIFS(Lançamentos!$F:$F,Lançamentos!$A:$A,HU$19,Lançamentos!$C:$C,"Reembolsos")</f>
        <v>0</v>
      </c>
      <c r="HV30" s="39">
        <f>SUMIFS(Lançamentos!$F:$F,Lançamentos!$A:$A,HV$19,Lançamentos!$C:$C,"Reembolsos")</f>
        <v>0</v>
      </c>
      <c r="HW30" s="39">
        <f>SUMIFS(Lançamentos!$F:$F,Lançamentos!$A:$A,HW$19,Lançamentos!$C:$C,"Reembolsos")</f>
        <v>0</v>
      </c>
      <c r="HX30" s="39">
        <f>SUMIFS(Lançamentos!$F:$F,Lançamentos!$A:$A,HX$19,Lançamentos!$C:$C,"Reembolsos")</f>
        <v>0</v>
      </c>
      <c r="HY30" s="39">
        <f>SUMIFS(Lançamentos!$F:$F,Lançamentos!$A:$A,HY$19,Lançamentos!$C:$C,"Reembolsos")</f>
        <v>0</v>
      </c>
      <c r="HZ30" s="39">
        <f>SUMIFS(Lançamentos!$F:$F,Lançamentos!$A:$A,HZ$19,Lançamentos!$C:$C,"Reembolsos")</f>
        <v>0</v>
      </c>
      <c r="IA30" s="39">
        <f>SUMIFS(Lançamentos!$F:$F,Lançamentos!$A:$A,IA$19,Lançamentos!$C:$C,"Reembolsos")</f>
        <v>0</v>
      </c>
      <c r="IB30" s="39">
        <f>SUMIFS(Lançamentos!$F:$F,Lançamentos!$A:$A,IB$19,Lançamentos!$C:$C,"Reembolsos")</f>
        <v>0</v>
      </c>
      <c r="IC30" s="39">
        <f>SUMIFS(Lançamentos!$F:$F,Lançamentos!$A:$A,IC$19,Lançamentos!$C:$C,"Reembolsos")</f>
        <v>0</v>
      </c>
      <c r="ID30" s="39">
        <f>SUMIFS(Lançamentos!$F:$F,Lançamentos!$A:$A,ID$19,Lançamentos!$C:$C,"Reembolsos")</f>
        <v>0</v>
      </c>
      <c r="IE30" s="39">
        <f>SUMIFS(Lançamentos!$F:$F,Lançamentos!$A:$A,IE$19,Lançamentos!$C:$C,"Reembolsos")</f>
        <v>0</v>
      </c>
      <c r="IF30" s="39">
        <f>SUMIFS(Lançamentos!$F:$F,Lançamentos!$A:$A,IF$19,Lançamentos!$C:$C,"Reembolsos")</f>
        <v>0</v>
      </c>
      <c r="IG30" s="39">
        <f>SUMIFS(Lançamentos!$F:$F,Lançamentos!$A:$A,IG$19,Lançamentos!$C:$C,"Reembolsos")</f>
        <v>0</v>
      </c>
      <c r="IH30" s="39">
        <f>SUMIFS(Lançamentos!$F:$F,Lançamentos!$A:$A,IH$19,Lançamentos!$C:$C,"Reembolsos")</f>
        <v>0</v>
      </c>
      <c r="II30" s="39">
        <f>SUMIFS(Lançamentos!$F:$F,Lançamentos!$A:$A,II$19,Lançamentos!$C:$C,"Reembolsos")</f>
        <v>0</v>
      </c>
      <c r="IJ30" s="39">
        <f>SUMIFS(Lançamentos!$F:$F,Lançamentos!$A:$A,IJ$19,Lançamentos!$C:$C,"Reembolsos")</f>
        <v>0</v>
      </c>
      <c r="IK30" s="39">
        <f>SUMIFS(Lançamentos!$F:$F,Lançamentos!$A:$A,IK$19,Lançamentos!$C:$C,"Reembolsos")</f>
        <v>0</v>
      </c>
      <c r="IL30" s="39">
        <f>SUMIFS(Lançamentos!$F:$F,Lançamentos!$A:$A,IL$19,Lançamentos!$C:$C,"Reembolsos")</f>
        <v>0</v>
      </c>
    </row>
    <row r="31" spans="1:246" x14ac:dyDescent="0.3">
      <c r="A31" t="s">
        <v>93</v>
      </c>
      <c r="B31" s="39">
        <f>SUMIFS(Lançamentos!$F:$F,Lançamentos!$A:$A,B$19,Lançamentos!$C:$C,"Aporte de Sócios")</f>
        <v>0</v>
      </c>
      <c r="C31" s="39">
        <f>SUMIFS(Lançamentos!$F:$F,Lançamentos!$A:$A,C$19,Lançamentos!$C:$C,"Aporte de Sócios")</f>
        <v>0</v>
      </c>
      <c r="D31" s="39">
        <f>SUMIFS(Lançamentos!$F:$F,Lançamentos!$A:$A,D$19,Lançamentos!$C:$C,"Aporte de Sócios")</f>
        <v>0</v>
      </c>
      <c r="E31" s="39">
        <f>SUMIFS(Lançamentos!$F:$F,Lançamentos!$A:$A,E$19,Lançamentos!$C:$C,"Aporte de Sócios")</f>
        <v>0</v>
      </c>
      <c r="F31" s="39">
        <f>SUMIFS(Lançamentos!$F:$F,Lançamentos!$A:$A,F$19,Lançamentos!$C:$C,"Aporte de Sócios")</f>
        <v>0</v>
      </c>
      <c r="G31" s="39">
        <f>SUMIFS(Lançamentos!$F:$F,Lançamentos!$A:$A,G$19,Lançamentos!$C:$C,"Aporte de Sócios")</f>
        <v>0</v>
      </c>
      <c r="H31" s="39">
        <f>SUMIFS(Lançamentos!$F:$F,Lançamentos!$A:$A,H$19,Lançamentos!$C:$C,"Aporte de Sócios")</f>
        <v>0</v>
      </c>
      <c r="I31" s="39">
        <f>SUMIFS(Lançamentos!$F:$F,Lançamentos!$A:$A,I$19,Lançamentos!$C:$C,"Aporte de Sócios")</f>
        <v>0</v>
      </c>
      <c r="J31" s="39">
        <f>SUMIFS(Lançamentos!$F:$F,Lançamentos!$A:$A,J$19,Lançamentos!$C:$C,"Aporte de Sócios")</f>
        <v>0</v>
      </c>
      <c r="K31" s="39">
        <f>SUMIFS(Lançamentos!$F:$F,Lançamentos!$A:$A,K$19,Lançamentos!$C:$C,"Aporte de Sócios")</f>
        <v>0</v>
      </c>
      <c r="L31" s="39">
        <f>SUMIFS(Lançamentos!$F:$F,Lançamentos!$A:$A,L$19,Lançamentos!$C:$C,"Aporte de Sócios")</f>
        <v>0</v>
      </c>
      <c r="M31" s="39">
        <f>SUMIFS(Lançamentos!$F:$F,Lançamentos!$A:$A,M$19,Lançamentos!$C:$C,"Aporte de Sócios")</f>
        <v>0</v>
      </c>
      <c r="N31" s="39">
        <f>SUMIFS(Lançamentos!$F:$F,Lançamentos!$A:$A,N$19,Lançamentos!$C:$C,"Aporte de Sócios")</f>
        <v>0</v>
      </c>
      <c r="O31" s="39">
        <f>SUMIFS(Lançamentos!$F:$F,Lançamentos!$A:$A,O$19,Lançamentos!$C:$C,"Aporte de Sócios")</f>
        <v>0</v>
      </c>
      <c r="P31" s="39">
        <f>SUMIFS(Lançamentos!$F:$F,Lançamentos!$A:$A,P$19,Lançamentos!$C:$C,"Aporte de Sócios")</f>
        <v>0</v>
      </c>
      <c r="Q31" s="39">
        <f>SUMIFS(Lançamentos!$F:$F,Lançamentos!$A:$A,Q$19,Lançamentos!$C:$C,"Aporte de Sócios")</f>
        <v>0</v>
      </c>
      <c r="R31" s="39">
        <f>SUMIFS(Lançamentos!$F:$F,Lançamentos!$A:$A,R$19,Lançamentos!$C:$C,"Aporte de Sócios")</f>
        <v>0</v>
      </c>
      <c r="S31" s="39">
        <f>SUMIFS(Lançamentos!$F:$F,Lançamentos!$A:$A,S$19,Lançamentos!$C:$C,"Aporte de Sócios")</f>
        <v>0</v>
      </c>
      <c r="T31" s="39">
        <f>SUMIFS(Lançamentos!$F:$F,Lançamentos!$A:$A,T$19,Lançamentos!$C:$C,"Aporte de Sócios")</f>
        <v>0</v>
      </c>
      <c r="U31" s="39">
        <f>SUMIFS(Lançamentos!$F:$F,Lançamentos!$A:$A,U$19,Lançamentos!$C:$C,"Aporte de Sócios")</f>
        <v>0</v>
      </c>
      <c r="V31" s="39">
        <f>SUMIFS(Lançamentos!$F:$F,Lançamentos!$A:$A,V$19,Lançamentos!$C:$C,"Aporte de Sócios")</f>
        <v>0</v>
      </c>
      <c r="W31" s="39">
        <f>SUMIFS(Lançamentos!$F:$F,Lançamentos!$A:$A,W$19,Lançamentos!$C:$C,"Aporte de Sócios")</f>
        <v>0</v>
      </c>
      <c r="X31" s="39">
        <f>SUMIFS(Lançamentos!$F:$F,Lançamentos!$A:$A,X$19,Lançamentos!$C:$C,"Aporte de Sócios")</f>
        <v>0</v>
      </c>
      <c r="Y31" s="39">
        <f>SUMIFS(Lançamentos!$F:$F,Lançamentos!$A:$A,Y$19,Lançamentos!$C:$C,"Aporte de Sócios")</f>
        <v>0</v>
      </c>
      <c r="Z31" s="39">
        <f>SUMIFS(Lançamentos!$F:$F,Lançamentos!$A:$A,Z$19,Lançamentos!$C:$C,"Aporte de Sócios")</f>
        <v>0</v>
      </c>
      <c r="AA31" s="39">
        <f>SUMIFS(Lançamentos!$F:$F,Lançamentos!$A:$A,AA$19,Lançamentos!$C:$C,"Aporte de Sócios")</f>
        <v>0</v>
      </c>
      <c r="AB31" s="39">
        <f>SUMIFS(Lançamentos!$F:$F,Lançamentos!$A:$A,AB$19,Lançamentos!$C:$C,"Aporte de Sócios")</f>
        <v>0</v>
      </c>
      <c r="AC31" s="39">
        <f>SUMIFS(Lançamentos!$F:$F,Lançamentos!$A:$A,AC$19,Lançamentos!$C:$C,"Aporte de Sócios")</f>
        <v>0</v>
      </c>
      <c r="AD31" s="39">
        <f>SUMIFS(Lançamentos!$F:$F,Lançamentos!$A:$A,AD$19,Lançamentos!$C:$C,"Aporte de Sócios")</f>
        <v>0</v>
      </c>
      <c r="AE31" s="39">
        <f>SUMIFS(Lançamentos!$F:$F,Lançamentos!$A:$A,AE$19,Lançamentos!$C:$C,"Aporte de Sócios")</f>
        <v>0</v>
      </c>
      <c r="AF31" s="39">
        <f>SUMIFS(Lançamentos!$F:$F,Lançamentos!$A:$A,AF$19,Lançamentos!$C:$C,"Aporte de Sócios")</f>
        <v>0</v>
      </c>
      <c r="AG31" s="39">
        <f>SUMIFS(Lançamentos!$F:$F,Lançamentos!$A:$A,AG$19,Lançamentos!$C:$C,"Aporte de Sócios")</f>
        <v>0</v>
      </c>
      <c r="AH31" s="39">
        <f>SUMIFS(Lançamentos!$F:$F,Lançamentos!$A:$A,AH$19,Lançamentos!$C:$C,"Aporte de Sócios")</f>
        <v>0</v>
      </c>
      <c r="AI31" s="39">
        <f>SUMIFS(Lançamentos!$F:$F,Lançamentos!$A:$A,AI$19,Lançamentos!$C:$C,"Aporte de Sócios")</f>
        <v>0</v>
      </c>
      <c r="AJ31" s="39">
        <f>SUMIFS(Lançamentos!$F:$F,Lançamentos!$A:$A,AJ$19,Lançamentos!$C:$C,"Aporte de Sócios")</f>
        <v>0</v>
      </c>
      <c r="AK31" s="39">
        <f>SUMIFS(Lançamentos!$F:$F,Lançamentos!$A:$A,AK$19,Lançamentos!$C:$C,"Aporte de Sócios")</f>
        <v>0</v>
      </c>
      <c r="AL31" s="39">
        <f>SUMIFS(Lançamentos!$F:$F,Lançamentos!$A:$A,AL$19,Lançamentos!$C:$C,"Aporte de Sócios")</f>
        <v>0</v>
      </c>
      <c r="AM31" s="39">
        <f>SUMIFS(Lançamentos!$F:$F,Lançamentos!$A:$A,AM$19,Lançamentos!$C:$C,"Aporte de Sócios")</f>
        <v>0</v>
      </c>
      <c r="AN31" s="39">
        <f>SUMIFS(Lançamentos!$F:$F,Lançamentos!$A:$A,AN$19,Lançamentos!$C:$C,"Aporte de Sócios")</f>
        <v>0</v>
      </c>
      <c r="AO31" s="39">
        <f>SUMIFS(Lançamentos!$F:$F,Lançamentos!$A:$A,AO$19,Lançamentos!$C:$C,"Aporte de Sócios")</f>
        <v>0</v>
      </c>
      <c r="AP31" s="39">
        <f>SUMIFS(Lançamentos!$F:$F,Lançamentos!$A:$A,AP$19,Lançamentos!$C:$C,"Aporte de Sócios")</f>
        <v>0</v>
      </c>
      <c r="AQ31" s="39">
        <f>SUMIFS(Lançamentos!$F:$F,Lançamentos!$A:$A,AQ$19,Lançamentos!$C:$C,"Aporte de Sócios")</f>
        <v>0</v>
      </c>
      <c r="AR31" s="39">
        <f>SUMIFS(Lançamentos!$F:$F,Lançamentos!$A:$A,AR$19,Lançamentos!$C:$C,"Aporte de Sócios")</f>
        <v>0</v>
      </c>
      <c r="AS31" s="39">
        <f>SUMIFS(Lançamentos!$F:$F,Lançamentos!$A:$A,AS$19,Lançamentos!$C:$C,"Aporte de Sócios")</f>
        <v>0</v>
      </c>
      <c r="AT31" s="39">
        <f>SUMIFS(Lançamentos!$F:$F,Lançamentos!$A:$A,AT$19,Lançamentos!$C:$C,"Aporte de Sócios")</f>
        <v>0</v>
      </c>
      <c r="AU31" s="39">
        <f>SUMIFS(Lançamentos!$F:$F,Lançamentos!$A:$A,AU$19,Lançamentos!$C:$C,"Aporte de Sócios")</f>
        <v>0</v>
      </c>
      <c r="AV31" s="39">
        <f>SUMIFS(Lançamentos!$F:$F,Lançamentos!$A:$A,AV$19,Lançamentos!$C:$C,"Aporte de Sócios")</f>
        <v>0</v>
      </c>
      <c r="AW31" s="39">
        <f>SUMIFS(Lançamentos!$F:$F,Lançamentos!$A:$A,AW$19,Lançamentos!$C:$C,"Aporte de Sócios")</f>
        <v>0</v>
      </c>
      <c r="AX31" s="39">
        <f>SUMIFS(Lançamentos!$F:$F,Lançamentos!$A:$A,AX$19,Lançamentos!$C:$C,"Aporte de Sócios")</f>
        <v>0</v>
      </c>
      <c r="AY31" s="39">
        <f>SUMIFS(Lançamentos!$F:$F,Lançamentos!$A:$A,AY$19,Lançamentos!$C:$C,"Aporte de Sócios")</f>
        <v>0</v>
      </c>
      <c r="AZ31" s="39">
        <f>SUMIFS(Lançamentos!$F:$F,Lançamentos!$A:$A,AZ$19,Lançamentos!$C:$C,"Aporte de Sócios")</f>
        <v>0</v>
      </c>
      <c r="BA31" s="39">
        <f>SUMIFS(Lançamentos!$F:$F,Lançamentos!$A:$A,BA$19,Lançamentos!$C:$C,"Aporte de Sócios")</f>
        <v>0</v>
      </c>
      <c r="BB31" s="39">
        <f>SUMIFS(Lançamentos!$F:$F,Lançamentos!$A:$A,BB$19,Lançamentos!$C:$C,"Aporte de Sócios")</f>
        <v>0</v>
      </c>
      <c r="BC31" s="39">
        <f>SUMIFS(Lançamentos!$F:$F,Lançamentos!$A:$A,BC$19,Lançamentos!$C:$C,"Aporte de Sócios")</f>
        <v>0</v>
      </c>
      <c r="BD31" s="39">
        <f>SUMIFS(Lançamentos!$F:$F,Lançamentos!$A:$A,BD$19,Lançamentos!$C:$C,"Aporte de Sócios")</f>
        <v>0</v>
      </c>
      <c r="BE31" s="39">
        <f>SUMIFS(Lançamentos!$F:$F,Lançamentos!$A:$A,BE$19,Lançamentos!$C:$C,"Aporte de Sócios")</f>
        <v>0</v>
      </c>
      <c r="BF31" s="39">
        <f>SUMIFS(Lançamentos!$F:$F,Lançamentos!$A:$A,BF$19,Lançamentos!$C:$C,"Aporte de Sócios")</f>
        <v>0</v>
      </c>
      <c r="BG31" s="39">
        <f>SUMIFS(Lançamentos!$F:$F,Lançamentos!$A:$A,BG$19,Lançamentos!$C:$C,"Aporte de Sócios")</f>
        <v>0</v>
      </c>
      <c r="BH31" s="39">
        <f>SUMIFS(Lançamentos!$F:$F,Lançamentos!$A:$A,BH$19,Lançamentos!$C:$C,"Aporte de Sócios")</f>
        <v>0</v>
      </c>
      <c r="BI31" s="39">
        <f>SUMIFS(Lançamentos!$F:$F,Lançamentos!$A:$A,BI$19,Lançamentos!$C:$C,"Aporte de Sócios")</f>
        <v>0</v>
      </c>
      <c r="BJ31" s="39">
        <f>SUMIFS(Lançamentos!$F:$F,Lançamentos!$A:$A,BJ$19,Lançamentos!$C:$C,"Aporte de Sócios")</f>
        <v>0</v>
      </c>
      <c r="BK31" s="39">
        <f>SUMIFS(Lançamentos!$F:$F,Lançamentos!$A:$A,BK$19,Lançamentos!$C:$C,"Aporte de Sócios")</f>
        <v>0</v>
      </c>
      <c r="BL31" s="39">
        <f>SUMIFS(Lançamentos!$F:$F,Lançamentos!$A:$A,BL$19,Lançamentos!$C:$C,"Aporte de Sócios")</f>
        <v>0</v>
      </c>
      <c r="BM31" s="39">
        <f>SUMIFS(Lançamentos!$F:$F,Lançamentos!$A:$A,BM$19,Lançamentos!$C:$C,"Aporte de Sócios")</f>
        <v>0</v>
      </c>
      <c r="BN31" s="39">
        <f>SUMIFS(Lançamentos!$F:$F,Lançamentos!$A:$A,BN$19,Lançamentos!$C:$C,"Aporte de Sócios")</f>
        <v>0</v>
      </c>
      <c r="BO31" s="39">
        <f>SUMIFS(Lançamentos!$F:$F,Lançamentos!$A:$A,BO$19,Lançamentos!$C:$C,"Aporte de Sócios")</f>
        <v>0</v>
      </c>
      <c r="BP31" s="39">
        <f>SUMIFS(Lançamentos!$F:$F,Lançamentos!$A:$A,BP$19,Lançamentos!$C:$C,"Aporte de Sócios")</f>
        <v>0</v>
      </c>
      <c r="BQ31" s="39">
        <f>SUMIFS(Lançamentos!$F:$F,Lançamentos!$A:$A,BQ$19,Lançamentos!$C:$C,"Aporte de Sócios")</f>
        <v>0</v>
      </c>
      <c r="BR31" s="39">
        <f>SUMIFS(Lançamentos!$F:$F,Lançamentos!$A:$A,BR$19,Lançamentos!$C:$C,"Aporte de Sócios")</f>
        <v>0</v>
      </c>
      <c r="BS31" s="39">
        <f>SUMIFS(Lançamentos!$F:$F,Lançamentos!$A:$A,BS$19,Lançamentos!$C:$C,"Aporte de Sócios")</f>
        <v>0</v>
      </c>
      <c r="BT31" s="39">
        <f>SUMIFS(Lançamentos!$F:$F,Lançamentos!$A:$A,BT$19,Lançamentos!$C:$C,"Aporte de Sócios")</f>
        <v>0</v>
      </c>
      <c r="BU31" s="39">
        <f>SUMIFS(Lançamentos!$F:$F,Lançamentos!$A:$A,BU$19,Lançamentos!$C:$C,"Aporte de Sócios")</f>
        <v>0</v>
      </c>
      <c r="BV31" s="39">
        <f>SUMIFS(Lançamentos!$F:$F,Lançamentos!$A:$A,BV$19,Lançamentos!$C:$C,"Aporte de Sócios")</f>
        <v>0</v>
      </c>
      <c r="BW31" s="39">
        <f>SUMIFS(Lançamentos!$F:$F,Lançamentos!$A:$A,BW$19,Lançamentos!$C:$C,"Aporte de Sócios")</f>
        <v>0</v>
      </c>
      <c r="BX31" s="39">
        <f>SUMIFS(Lançamentos!$F:$F,Lançamentos!$A:$A,BX$19,Lançamentos!$C:$C,"Aporte de Sócios")</f>
        <v>0</v>
      </c>
      <c r="BY31" s="39">
        <f>SUMIFS(Lançamentos!$F:$F,Lançamentos!$A:$A,BY$19,Lançamentos!$C:$C,"Aporte de Sócios")</f>
        <v>0</v>
      </c>
      <c r="BZ31" s="39">
        <f>SUMIFS(Lançamentos!$F:$F,Lançamentos!$A:$A,BZ$19,Lançamentos!$C:$C,"Aporte de Sócios")</f>
        <v>0</v>
      </c>
      <c r="CA31" s="39">
        <f>SUMIFS(Lançamentos!$F:$F,Lançamentos!$A:$A,CA$19,Lançamentos!$C:$C,"Aporte de Sócios")</f>
        <v>0</v>
      </c>
      <c r="CB31" s="39">
        <f>SUMIFS(Lançamentos!$F:$F,Lançamentos!$A:$A,CB$19,Lançamentos!$C:$C,"Aporte de Sócios")</f>
        <v>0</v>
      </c>
      <c r="CC31" s="39">
        <f>SUMIFS(Lançamentos!$F:$F,Lançamentos!$A:$A,CC$19,Lançamentos!$C:$C,"Aporte de Sócios")</f>
        <v>0</v>
      </c>
      <c r="CD31" s="39">
        <f>SUMIFS(Lançamentos!$F:$F,Lançamentos!$A:$A,CD$19,Lançamentos!$C:$C,"Aporte de Sócios")</f>
        <v>0</v>
      </c>
      <c r="CE31" s="39">
        <f>SUMIFS(Lançamentos!$F:$F,Lançamentos!$A:$A,CE$19,Lançamentos!$C:$C,"Aporte de Sócios")</f>
        <v>0</v>
      </c>
      <c r="CF31" s="39">
        <f>SUMIFS(Lançamentos!$F:$F,Lançamentos!$A:$A,CF$19,Lançamentos!$C:$C,"Aporte de Sócios")</f>
        <v>0</v>
      </c>
      <c r="CG31" s="39">
        <f>SUMIFS(Lançamentos!$F:$F,Lançamentos!$A:$A,CG$19,Lançamentos!$C:$C,"Aporte de Sócios")</f>
        <v>0</v>
      </c>
      <c r="CH31" s="39">
        <f>SUMIFS(Lançamentos!$F:$F,Lançamentos!$A:$A,CH$19,Lançamentos!$C:$C,"Aporte de Sócios")</f>
        <v>0</v>
      </c>
      <c r="CI31" s="39">
        <f>SUMIFS(Lançamentos!$F:$F,Lançamentos!$A:$A,CI$19,Lançamentos!$C:$C,"Aporte de Sócios")</f>
        <v>0</v>
      </c>
      <c r="CJ31" s="39">
        <f>SUMIFS(Lançamentos!$F:$F,Lançamentos!$A:$A,CJ$19,Lançamentos!$C:$C,"Aporte de Sócios")</f>
        <v>0</v>
      </c>
      <c r="CK31" s="39">
        <f>SUMIFS(Lançamentos!$F:$F,Lançamentos!$A:$A,CK$19,Lançamentos!$C:$C,"Aporte de Sócios")</f>
        <v>0</v>
      </c>
      <c r="CL31" s="39">
        <f>SUMIFS(Lançamentos!$F:$F,Lançamentos!$A:$A,CL$19,Lançamentos!$C:$C,"Aporte de Sócios")</f>
        <v>0</v>
      </c>
      <c r="CM31" s="39">
        <f>SUMIFS(Lançamentos!$F:$F,Lançamentos!$A:$A,CM$19,Lançamentos!$C:$C,"Aporte de Sócios")</f>
        <v>0</v>
      </c>
      <c r="CN31" s="39">
        <f>SUMIFS(Lançamentos!$F:$F,Lançamentos!$A:$A,CN$19,Lançamentos!$C:$C,"Aporte de Sócios")</f>
        <v>0</v>
      </c>
      <c r="CO31" s="39">
        <f>SUMIFS(Lançamentos!$F:$F,Lançamentos!$A:$A,CO$19,Lançamentos!$C:$C,"Aporte de Sócios")</f>
        <v>0</v>
      </c>
      <c r="CP31" s="39">
        <f>SUMIFS(Lançamentos!$F:$F,Lançamentos!$A:$A,CP$19,Lançamentos!$C:$C,"Aporte de Sócios")</f>
        <v>0</v>
      </c>
      <c r="CQ31" s="39">
        <f>SUMIFS(Lançamentos!$F:$F,Lançamentos!$A:$A,CQ$19,Lançamentos!$C:$C,"Aporte de Sócios")</f>
        <v>0</v>
      </c>
      <c r="CR31" s="39">
        <f>SUMIFS(Lançamentos!$F:$F,Lançamentos!$A:$A,CR$19,Lançamentos!$C:$C,"Aporte de Sócios")</f>
        <v>0</v>
      </c>
      <c r="CS31" s="39">
        <f>SUMIFS(Lançamentos!$F:$F,Lançamentos!$A:$A,CS$19,Lançamentos!$C:$C,"Aporte de Sócios")</f>
        <v>0</v>
      </c>
      <c r="CT31" s="39">
        <f>SUMIFS(Lançamentos!$F:$F,Lançamentos!$A:$A,CT$19,Lançamentos!$C:$C,"Aporte de Sócios")</f>
        <v>0</v>
      </c>
      <c r="CU31" s="39">
        <f>SUMIFS(Lançamentos!$F:$F,Lançamentos!$A:$A,CU$19,Lançamentos!$C:$C,"Aporte de Sócios")</f>
        <v>0</v>
      </c>
      <c r="CV31" s="39">
        <f>SUMIFS(Lançamentos!$F:$F,Lançamentos!$A:$A,CV$19,Lançamentos!$C:$C,"Aporte de Sócios")</f>
        <v>0</v>
      </c>
      <c r="CW31" s="39">
        <f>SUMIFS(Lançamentos!$F:$F,Lançamentos!$A:$A,CW$19,Lançamentos!$C:$C,"Aporte de Sócios")</f>
        <v>0</v>
      </c>
      <c r="CX31" s="39">
        <f>SUMIFS(Lançamentos!$F:$F,Lançamentos!$A:$A,CX$19,Lançamentos!$C:$C,"Aporte de Sócios")</f>
        <v>0</v>
      </c>
      <c r="CY31" s="39">
        <f>SUMIFS(Lançamentos!$F:$F,Lançamentos!$A:$A,CY$19,Lançamentos!$C:$C,"Aporte de Sócios")</f>
        <v>0</v>
      </c>
      <c r="CZ31" s="39">
        <f>SUMIFS(Lançamentos!$F:$F,Lançamentos!$A:$A,CZ$19,Lançamentos!$C:$C,"Aporte de Sócios")</f>
        <v>0</v>
      </c>
      <c r="DA31" s="39">
        <f>SUMIFS(Lançamentos!$F:$F,Lançamentos!$A:$A,DA$19,Lançamentos!$C:$C,"Aporte de Sócios")</f>
        <v>0</v>
      </c>
      <c r="DB31" s="39">
        <f>SUMIFS(Lançamentos!$F:$F,Lançamentos!$A:$A,DB$19,Lançamentos!$C:$C,"Aporte de Sócios")</f>
        <v>0</v>
      </c>
      <c r="DC31" s="39">
        <f>SUMIFS(Lançamentos!$F:$F,Lançamentos!$A:$A,DC$19,Lançamentos!$C:$C,"Aporte de Sócios")</f>
        <v>0</v>
      </c>
      <c r="DD31" s="39">
        <f>SUMIFS(Lançamentos!$F:$F,Lançamentos!$A:$A,DD$19,Lançamentos!$C:$C,"Aporte de Sócios")</f>
        <v>0</v>
      </c>
      <c r="DE31" s="39">
        <f>SUMIFS(Lançamentos!$F:$F,Lançamentos!$A:$A,DE$19,Lançamentos!$C:$C,"Aporte de Sócios")</f>
        <v>0</v>
      </c>
      <c r="DF31" s="39">
        <f>SUMIFS(Lançamentos!$F:$F,Lançamentos!$A:$A,DF$19,Lançamentos!$C:$C,"Aporte de Sócios")</f>
        <v>0</v>
      </c>
      <c r="DG31" s="39">
        <f>SUMIFS(Lançamentos!$F:$F,Lançamentos!$A:$A,DG$19,Lançamentos!$C:$C,"Aporte de Sócios")</f>
        <v>0</v>
      </c>
      <c r="DH31" s="39">
        <f>SUMIFS(Lançamentos!$F:$F,Lançamentos!$A:$A,DH$19,Lançamentos!$C:$C,"Aporte de Sócios")</f>
        <v>0</v>
      </c>
      <c r="DI31" s="39">
        <f>SUMIFS(Lançamentos!$F:$F,Lançamentos!$A:$A,DI$19,Lançamentos!$C:$C,"Aporte de Sócios")</f>
        <v>0</v>
      </c>
      <c r="DJ31" s="39">
        <f>SUMIFS(Lançamentos!$F:$F,Lançamentos!$A:$A,DJ$19,Lançamentos!$C:$C,"Aporte de Sócios")</f>
        <v>0</v>
      </c>
      <c r="DK31" s="39">
        <f>SUMIFS(Lançamentos!$F:$F,Lançamentos!$A:$A,DK$19,Lançamentos!$C:$C,"Aporte de Sócios")</f>
        <v>0</v>
      </c>
      <c r="DL31" s="39">
        <f>SUMIFS(Lançamentos!$F:$F,Lançamentos!$A:$A,DL$19,Lançamentos!$C:$C,"Aporte de Sócios")</f>
        <v>0</v>
      </c>
      <c r="DM31" s="39">
        <f>SUMIFS(Lançamentos!$F:$F,Lançamentos!$A:$A,DM$19,Lançamentos!$C:$C,"Aporte de Sócios")</f>
        <v>0</v>
      </c>
      <c r="DN31" s="39">
        <f>SUMIFS(Lançamentos!$F:$F,Lançamentos!$A:$A,DN$19,Lançamentos!$C:$C,"Aporte de Sócios")</f>
        <v>0</v>
      </c>
      <c r="DO31" s="39">
        <f>SUMIFS(Lançamentos!$F:$F,Lançamentos!$A:$A,DO$19,Lançamentos!$C:$C,"Aporte de Sócios")</f>
        <v>0</v>
      </c>
      <c r="DP31" s="39">
        <f>SUMIFS(Lançamentos!$F:$F,Lançamentos!$A:$A,DP$19,Lançamentos!$C:$C,"Aporte de Sócios")</f>
        <v>0</v>
      </c>
      <c r="DQ31" s="39">
        <f>SUMIFS(Lançamentos!$F:$F,Lançamentos!$A:$A,DQ$19,Lançamentos!$C:$C,"Aporte de Sócios")</f>
        <v>0</v>
      </c>
      <c r="DR31" s="39">
        <f>SUMIFS(Lançamentos!$F:$F,Lançamentos!$A:$A,DR$19,Lançamentos!$C:$C,"Aporte de Sócios")</f>
        <v>0</v>
      </c>
      <c r="DS31" s="39">
        <f>SUMIFS(Lançamentos!$F:$F,Lançamentos!$A:$A,DS$19,Lançamentos!$C:$C,"Aporte de Sócios")</f>
        <v>0</v>
      </c>
      <c r="DT31" s="39">
        <f>SUMIFS(Lançamentos!$F:$F,Lançamentos!$A:$A,DT$19,Lançamentos!$C:$C,"Aporte de Sócios")</f>
        <v>0</v>
      </c>
      <c r="DU31" s="39">
        <f>SUMIFS(Lançamentos!$F:$F,Lançamentos!$A:$A,DU$19,Lançamentos!$C:$C,"Aporte de Sócios")</f>
        <v>0</v>
      </c>
      <c r="DV31" s="39">
        <f>SUMIFS(Lançamentos!$F:$F,Lançamentos!$A:$A,DV$19,Lançamentos!$C:$C,"Aporte de Sócios")</f>
        <v>0</v>
      </c>
      <c r="DW31" s="39">
        <f>SUMIFS(Lançamentos!$F:$F,Lançamentos!$A:$A,DW$19,Lançamentos!$C:$C,"Aporte de Sócios")</f>
        <v>0</v>
      </c>
      <c r="DX31" s="39">
        <f>SUMIFS(Lançamentos!$F:$F,Lançamentos!$A:$A,DX$19,Lançamentos!$C:$C,"Aporte de Sócios")</f>
        <v>0</v>
      </c>
      <c r="DY31" s="39">
        <f>SUMIFS(Lançamentos!$F:$F,Lançamentos!$A:$A,DY$19,Lançamentos!$C:$C,"Aporte de Sócios")</f>
        <v>0</v>
      </c>
      <c r="DZ31" s="39">
        <f>SUMIFS(Lançamentos!$F:$F,Lançamentos!$A:$A,DZ$19,Lançamentos!$C:$C,"Aporte de Sócios")</f>
        <v>0</v>
      </c>
      <c r="EA31" s="39">
        <f>SUMIFS(Lançamentos!$F:$F,Lançamentos!$A:$A,EA$19,Lançamentos!$C:$C,"Aporte de Sócios")</f>
        <v>0</v>
      </c>
      <c r="EB31" s="39">
        <f>SUMIFS(Lançamentos!$F:$F,Lançamentos!$A:$A,EB$19,Lançamentos!$C:$C,"Aporte de Sócios")</f>
        <v>0</v>
      </c>
      <c r="EC31" s="39">
        <f>SUMIFS(Lançamentos!$F:$F,Lançamentos!$A:$A,EC$19,Lançamentos!$C:$C,"Aporte de Sócios")</f>
        <v>0</v>
      </c>
      <c r="ED31" s="39">
        <f>SUMIFS(Lançamentos!$F:$F,Lançamentos!$A:$A,ED$19,Lançamentos!$C:$C,"Aporte de Sócios")</f>
        <v>0</v>
      </c>
      <c r="EE31" s="39">
        <f>SUMIFS(Lançamentos!$F:$F,Lançamentos!$A:$A,EE$19,Lançamentos!$C:$C,"Aporte de Sócios")</f>
        <v>0</v>
      </c>
      <c r="EF31" s="39">
        <f>SUMIFS(Lançamentos!$F:$F,Lançamentos!$A:$A,EF$19,Lançamentos!$C:$C,"Aporte de Sócios")</f>
        <v>0</v>
      </c>
      <c r="EG31" s="39">
        <f>SUMIFS(Lançamentos!$F:$F,Lançamentos!$A:$A,EG$19,Lançamentos!$C:$C,"Aporte de Sócios")</f>
        <v>0</v>
      </c>
      <c r="EH31" s="39">
        <f>SUMIFS(Lançamentos!$F:$F,Lançamentos!$A:$A,EH$19,Lançamentos!$C:$C,"Aporte de Sócios")</f>
        <v>0</v>
      </c>
      <c r="EI31" s="39">
        <f>SUMIFS(Lançamentos!$F:$F,Lançamentos!$A:$A,EI$19,Lançamentos!$C:$C,"Aporte de Sócios")</f>
        <v>0</v>
      </c>
      <c r="EJ31" s="39">
        <f>SUMIFS(Lançamentos!$F:$F,Lançamentos!$A:$A,EJ$19,Lançamentos!$C:$C,"Aporte de Sócios")</f>
        <v>0</v>
      </c>
      <c r="EK31" s="39">
        <f>SUMIFS(Lançamentos!$F:$F,Lançamentos!$A:$A,EK$19,Lançamentos!$C:$C,"Aporte de Sócios")</f>
        <v>0</v>
      </c>
      <c r="EL31" s="39">
        <f>SUMIFS(Lançamentos!$F:$F,Lançamentos!$A:$A,EL$19,Lançamentos!$C:$C,"Aporte de Sócios")</f>
        <v>0</v>
      </c>
      <c r="EM31" s="39">
        <f>SUMIFS(Lançamentos!$F:$F,Lançamentos!$A:$A,EM$19,Lançamentos!$C:$C,"Aporte de Sócios")</f>
        <v>0</v>
      </c>
      <c r="EN31" s="39">
        <f>SUMIFS(Lançamentos!$F:$F,Lançamentos!$A:$A,EN$19,Lançamentos!$C:$C,"Aporte de Sócios")</f>
        <v>0</v>
      </c>
      <c r="EO31" s="39">
        <f>SUMIFS(Lançamentos!$F:$F,Lançamentos!$A:$A,EO$19,Lançamentos!$C:$C,"Aporte de Sócios")</f>
        <v>0</v>
      </c>
      <c r="EP31" s="39">
        <f>SUMIFS(Lançamentos!$F:$F,Lançamentos!$A:$A,EP$19,Lançamentos!$C:$C,"Aporte de Sócios")</f>
        <v>0</v>
      </c>
      <c r="EQ31" s="39">
        <f>SUMIFS(Lançamentos!$F:$F,Lançamentos!$A:$A,EQ$19,Lançamentos!$C:$C,"Aporte de Sócios")</f>
        <v>0</v>
      </c>
      <c r="ER31" s="39">
        <f>SUMIFS(Lançamentos!$F:$F,Lançamentos!$A:$A,ER$19,Lançamentos!$C:$C,"Aporte de Sócios")</f>
        <v>0</v>
      </c>
      <c r="ES31" s="39">
        <f>SUMIFS(Lançamentos!$F:$F,Lançamentos!$A:$A,ES$19,Lançamentos!$C:$C,"Aporte de Sócios")</f>
        <v>0</v>
      </c>
      <c r="ET31" s="39">
        <f>SUMIFS(Lançamentos!$F:$F,Lançamentos!$A:$A,ET$19,Lançamentos!$C:$C,"Aporte de Sócios")</f>
        <v>0</v>
      </c>
      <c r="EU31" s="39">
        <f>SUMIFS(Lançamentos!$F:$F,Lançamentos!$A:$A,EU$19,Lançamentos!$C:$C,"Aporte de Sócios")</f>
        <v>0</v>
      </c>
      <c r="EV31" s="39">
        <f>SUMIFS(Lançamentos!$F:$F,Lançamentos!$A:$A,EV$19,Lançamentos!$C:$C,"Aporte de Sócios")</f>
        <v>0</v>
      </c>
      <c r="EW31" s="39">
        <f>SUMIFS(Lançamentos!$F:$F,Lançamentos!$A:$A,EW$19,Lançamentos!$C:$C,"Aporte de Sócios")</f>
        <v>0</v>
      </c>
      <c r="EX31" s="39">
        <f>SUMIFS(Lançamentos!$F:$F,Lançamentos!$A:$A,EX$19,Lançamentos!$C:$C,"Aporte de Sócios")</f>
        <v>0</v>
      </c>
      <c r="EY31" s="39">
        <f>SUMIFS(Lançamentos!$F:$F,Lançamentos!$A:$A,EY$19,Lançamentos!$C:$C,"Aporte de Sócios")</f>
        <v>0</v>
      </c>
      <c r="EZ31" s="39">
        <f>SUMIFS(Lançamentos!$F:$F,Lançamentos!$A:$A,EZ$19,Lançamentos!$C:$C,"Aporte de Sócios")</f>
        <v>0</v>
      </c>
      <c r="FA31" s="39">
        <f>SUMIFS(Lançamentos!$F:$F,Lançamentos!$A:$A,FA$19,Lançamentos!$C:$C,"Aporte de Sócios")</f>
        <v>0</v>
      </c>
      <c r="FB31" s="39">
        <f>SUMIFS(Lançamentos!$F:$F,Lançamentos!$A:$A,FB$19,Lançamentos!$C:$C,"Aporte de Sócios")</f>
        <v>0</v>
      </c>
      <c r="FC31" s="39">
        <f>SUMIFS(Lançamentos!$F:$F,Lançamentos!$A:$A,FC$19,Lançamentos!$C:$C,"Aporte de Sócios")</f>
        <v>0</v>
      </c>
      <c r="FD31" s="39">
        <f>SUMIFS(Lançamentos!$F:$F,Lançamentos!$A:$A,FD$19,Lançamentos!$C:$C,"Aporte de Sócios")</f>
        <v>0</v>
      </c>
      <c r="FE31" s="39">
        <f>SUMIFS(Lançamentos!$F:$F,Lançamentos!$A:$A,FE$19,Lançamentos!$C:$C,"Aporte de Sócios")</f>
        <v>0</v>
      </c>
      <c r="FF31" s="39">
        <f>SUMIFS(Lançamentos!$F:$F,Lançamentos!$A:$A,FF$19,Lançamentos!$C:$C,"Aporte de Sócios")</f>
        <v>0</v>
      </c>
      <c r="FG31" s="39">
        <f>SUMIFS(Lançamentos!$F:$F,Lançamentos!$A:$A,FG$19,Lançamentos!$C:$C,"Aporte de Sócios")</f>
        <v>0</v>
      </c>
      <c r="FH31" s="39">
        <f>SUMIFS(Lançamentos!$F:$F,Lançamentos!$A:$A,FH$19,Lançamentos!$C:$C,"Aporte de Sócios")</f>
        <v>0</v>
      </c>
      <c r="FI31" s="39">
        <f>SUMIFS(Lançamentos!$F:$F,Lançamentos!$A:$A,FI$19,Lançamentos!$C:$C,"Aporte de Sócios")</f>
        <v>0</v>
      </c>
      <c r="FJ31" s="39">
        <f>SUMIFS(Lançamentos!$F:$F,Lançamentos!$A:$A,FJ$19,Lançamentos!$C:$C,"Aporte de Sócios")</f>
        <v>0</v>
      </c>
      <c r="FK31" s="39">
        <f>SUMIFS(Lançamentos!$F:$F,Lançamentos!$A:$A,FK$19,Lançamentos!$C:$C,"Aporte de Sócios")</f>
        <v>0</v>
      </c>
      <c r="FL31" s="39">
        <f>SUMIFS(Lançamentos!$F:$F,Lançamentos!$A:$A,FL$19,Lançamentos!$C:$C,"Aporte de Sócios")</f>
        <v>0</v>
      </c>
      <c r="FM31" s="39">
        <f>SUMIFS(Lançamentos!$F:$F,Lançamentos!$A:$A,FM$19,Lançamentos!$C:$C,"Aporte de Sócios")</f>
        <v>0</v>
      </c>
      <c r="FN31" s="39">
        <f>SUMIFS(Lançamentos!$F:$F,Lançamentos!$A:$A,FN$19,Lançamentos!$C:$C,"Aporte de Sócios")</f>
        <v>0</v>
      </c>
      <c r="FO31" s="39">
        <f>SUMIFS(Lançamentos!$F:$F,Lançamentos!$A:$A,FO$19,Lançamentos!$C:$C,"Aporte de Sócios")</f>
        <v>0</v>
      </c>
      <c r="FP31" s="39">
        <f>SUMIFS(Lançamentos!$F:$F,Lançamentos!$A:$A,FP$19,Lançamentos!$C:$C,"Aporte de Sócios")</f>
        <v>0</v>
      </c>
      <c r="FQ31" s="39">
        <f>SUMIFS(Lançamentos!$F:$F,Lançamentos!$A:$A,FQ$19,Lançamentos!$C:$C,"Aporte de Sócios")</f>
        <v>0</v>
      </c>
      <c r="FR31" s="39">
        <f>SUMIFS(Lançamentos!$F:$F,Lançamentos!$A:$A,FR$19,Lançamentos!$C:$C,"Aporte de Sócios")</f>
        <v>0</v>
      </c>
      <c r="FS31" s="39">
        <f>SUMIFS(Lançamentos!$F:$F,Lançamentos!$A:$A,FS$19,Lançamentos!$C:$C,"Aporte de Sócios")</f>
        <v>0</v>
      </c>
      <c r="FT31" s="39">
        <f>SUMIFS(Lançamentos!$F:$F,Lançamentos!$A:$A,FT$19,Lançamentos!$C:$C,"Aporte de Sócios")</f>
        <v>0</v>
      </c>
      <c r="FU31" s="39">
        <f>SUMIFS(Lançamentos!$F:$F,Lançamentos!$A:$A,FU$19,Lançamentos!$C:$C,"Aporte de Sócios")</f>
        <v>0</v>
      </c>
      <c r="FV31" s="39">
        <f>SUMIFS(Lançamentos!$F:$F,Lançamentos!$A:$A,FV$19,Lançamentos!$C:$C,"Aporte de Sócios")</f>
        <v>0</v>
      </c>
      <c r="FW31" s="39">
        <f>SUMIFS(Lançamentos!$F:$F,Lançamentos!$A:$A,FW$19,Lançamentos!$C:$C,"Aporte de Sócios")</f>
        <v>0</v>
      </c>
      <c r="FX31" s="39">
        <f>SUMIFS(Lançamentos!$F:$F,Lançamentos!$A:$A,FX$19,Lançamentos!$C:$C,"Aporte de Sócios")</f>
        <v>0</v>
      </c>
      <c r="FY31" s="39">
        <f>SUMIFS(Lançamentos!$F:$F,Lançamentos!$A:$A,FY$19,Lançamentos!$C:$C,"Aporte de Sócios")</f>
        <v>0</v>
      </c>
      <c r="FZ31" s="39">
        <f>SUMIFS(Lançamentos!$F:$F,Lançamentos!$A:$A,FZ$19,Lançamentos!$C:$C,"Aporte de Sócios")</f>
        <v>0</v>
      </c>
      <c r="GA31" s="39">
        <f>SUMIFS(Lançamentos!$F:$F,Lançamentos!$A:$A,GA$19,Lançamentos!$C:$C,"Aporte de Sócios")</f>
        <v>0</v>
      </c>
      <c r="GB31" s="39">
        <f>SUMIFS(Lançamentos!$F:$F,Lançamentos!$A:$A,GB$19,Lançamentos!$C:$C,"Aporte de Sócios")</f>
        <v>0</v>
      </c>
      <c r="GC31" s="39">
        <f>SUMIFS(Lançamentos!$F:$F,Lançamentos!$A:$A,GC$19,Lançamentos!$C:$C,"Aporte de Sócios")</f>
        <v>0</v>
      </c>
      <c r="GD31" s="39">
        <f>SUMIFS(Lançamentos!$F:$F,Lançamentos!$A:$A,GD$19,Lançamentos!$C:$C,"Aporte de Sócios")</f>
        <v>0</v>
      </c>
      <c r="GE31" s="39">
        <f>SUMIFS(Lançamentos!$F:$F,Lançamentos!$A:$A,GE$19,Lançamentos!$C:$C,"Aporte de Sócios")</f>
        <v>0</v>
      </c>
      <c r="GF31" s="39">
        <f>SUMIFS(Lançamentos!$F:$F,Lançamentos!$A:$A,GF$19,Lançamentos!$C:$C,"Aporte de Sócios")</f>
        <v>0</v>
      </c>
      <c r="GG31" s="39">
        <f>SUMIFS(Lançamentos!$F:$F,Lançamentos!$A:$A,GG$19,Lançamentos!$C:$C,"Aporte de Sócios")</f>
        <v>0</v>
      </c>
      <c r="GH31" s="39">
        <f>SUMIFS(Lançamentos!$F:$F,Lançamentos!$A:$A,GH$19,Lançamentos!$C:$C,"Aporte de Sócios")</f>
        <v>0</v>
      </c>
      <c r="GI31" s="39">
        <f>SUMIFS(Lançamentos!$F:$F,Lançamentos!$A:$A,GI$19,Lançamentos!$C:$C,"Aporte de Sócios")</f>
        <v>0</v>
      </c>
      <c r="GJ31" s="39">
        <f>SUMIFS(Lançamentos!$F:$F,Lançamentos!$A:$A,GJ$19,Lançamentos!$C:$C,"Aporte de Sócios")</f>
        <v>0</v>
      </c>
      <c r="GK31" s="39">
        <f>SUMIFS(Lançamentos!$F:$F,Lançamentos!$A:$A,GK$19,Lançamentos!$C:$C,"Aporte de Sócios")</f>
        <v>0</v>
      </c>
      <c r="GL31" s="39">
        <f>SUMIFS(Lançamentos!$F:$F,Lançamentos!$A:$A,GL$19,Lançamentos!$C:$C,"Aporte de Sócios")</f>
        <v>0</v>
      </c>
      <c r="GM31" s="39">
        <f>SUMIFS(Lançamentos!$F:$F,Lançamentos!$A:$A,GM$19,Lançamentos!$C:$C,"Aporte de Sócios")</f>
        <v>0</v>
      </c>
      <c r="GN31" s="39">
        <f>SUMIFS(Lançamentos!$F:$F,Lançamentos!$A:$A,GN$19,Lançamentos!$C:$C,"Aporte de Sócios")</f>
        <v>0</v>
      </c>
      <c r="GO31" s="39">
        <f>SUMIFS(Lançamentos!$F:$F,Lançamentos!$A:$A,GO$19,Lançamentos!$C:$C,"Aporte de Sócios")</f>
        <v>0</v>
      </c>
      <c r="GP31" s="39">
        <f>SUMIFS(Lançamentos!$F:$F,Lançamentos!$A:$A,GP$19,Lançamentos!$C:$C,"Aporte de Sócios")</f>
        <v>0</v>
      </c>
      <c r="GQ31" s="39">
        <f>SUMIFS(Lançamentos!$F:$F,Lançamentos!$A:$A,GQ$19,Lançamentos!$C:$C,"Aporte de Sócios")</f>
        <v>0</v>
      </c>
      <c r="GR31" s="39">
        <f>SUMIFS(Lançamentos!$F:$F,Lançamentos!$A:$A,GR$19,Lançamentos!$C:$C,"Aporte de Sócios")</f>
        <v>0</v>
      </c>
      <c r="GS31" s="39">
        <f>SUMIFS(Lançamentos!$F:$F,Lançamentos!$A:$A,GS$19,Lançamentos!$C:$C,"Aporte de Sócios")</f>
        <v>0</v>
      </c>
      <c r="GT31" s="39">
        <f>SUMIFS(Lançamentos!$F:$F,Lançamentos!$A:$A,GT$19,Lançamentos!$C:$C,"Aporte de Sócios")</f>
        <v>0</v>
      </c>
      <c r="GU31" s="39">
        <f>SUMIFS(Lançamentos!$F:$F,Lançamentos!$A:$A,GU$19,Lançamentos!$C:$C,"Aporte de Sócios")</f>
        <v>0</v>
      </c>
      <c r="GV31" s="39">
        <f>SUMIFS(Lançamentos!$F:$F,Lançamentos!$A:$A,GV$19,Lançamentos!$C:$C,"Aporte de Sócios")</f>
        <v>0</v>
      </c>
      <c r="GW31" s="39">
        <f>SUMIFS(Lançamentos!$F:$F,Lançamentos!$A:$A,GW$19,Lançamentos!$C:$C,"Aporte de Sócios")</f>
        <v>0</v>
      </c>
      <c r="GX31" s="39">
        <f>SUMIFS(Lançamentos!$F:$F,Lançamentos!$A:$A,GX$19,Lançamentos!$C:$C,"Aporte de Sócios")</f>
        <v>0</v>
      </c>
      <c r="GY31" s="39">
        <f>SUMIFS(Lançamentos!$F:$F,Lançamentos!$A:$A,GY$19,Lançamentos!$C:$C,"Aporte de Sócios")</f>
        <v>0</v>
      </c>
      <c r="GZ31" s="39">
        <f>SUMIFS(Lançamentos!$F:$F,Lançamentos!$A:$A,GZ$19,Lançamentos!$C:$C,"Aporte de Sócios")</f>
        <v>0</v>
      </c>
      <c r="HA31" s="39">
        <f>SUMIFS(Lançamentos!$F:$F,Lançamentos!$A:$A,HA$19,Lançamentos!$C:$C,"Aporte de Sócios")</f>
        <v>0</v>
      </c>
      <c r="HB31" s="39">
        <f>SUMIFS(Lançamentos!$F:$F,Lançamentos!$A:$A,HB$19,Lançamentos!$C:$C,"Aporte de Sócios")</f>
        <v>0</v>
      </c>
      <c r="HC31" s="39">
        <f>SUMIFS(Lançamentos!$F:$F,Lançamentos!$A:$A,HC$19,Lançamentos!$C:$C,"Aporte de Sócios")</f>
        <v>0</v>
      </c>
      <c r="HD31" s="39">
        <f>SUMIFS(Lançamentos!$F:$F,Lançamentos!$A:$A,HD$19,Lançamentos!$C:$C,"Aporte de Sócios")</f>
        <v>0</v>
      </c>
      <c r="HE31" s="39">
        <f>SUMIFS(Lançamentos!$F:$F,Lançamentos!$A:$A,HE$19,Lançamentos!$C:$C,"Aporte de Sócios")</f>
        <v>0</v>
      </c>
      <c r="HF31" s="39">
        <f>SUMIFS(Lançamentos!$F:$F,Lançamentos!$A:$A,HF$19,Lançamentos!$C:$C,"Aporte de Sócios")</f>
        <v>0</v>
      </c>
      <c r="HG31" s="39">
        <f>SUMIFS(Lançamentos!$F:$F,Lançamentos!$A:$A,HG$19,Lançamentos!$C:$C,"Aporte de Sócios")</f>
        <v>0</v>
      </c>
      <c r="HH31" s="39">
        <f>SUMIFS(Lançamentos!$F:$F,Lançamentos!$A:$A,HH$19,Lançamentos!$C:$C,"Aporte de Sócios")</f>
        <v>0</v>
      </c>
      <c r="HI31" s="39">
        <f>SUMIFS(Lançamentos!$F:$F,Lançamentos!$A:$A,HI$19,Lançamentos!$C:$C,"Aporte de Sócios")</f>
        <v>0</v>
      </c>
      <c r="HJ31" s="39">
        <f>SUMIFS(Lançamentos!$F:$F,Lançamentos!$A:$A,HJ$19,Lançamentos!$C:$C,"Aporte de Sócios")</f>
        <v>0</v>
      </c>
      <c r="HK31" s="39">
        <f>SUMIFS(Lançamentos!$F:$F,Lançamentos!$A:$A,HK$19,Lançamentos!$C:$C,"Aporte de Sócios")</f>
        <v>0</v>
      </c>
      <c r="HL31" s="39">
        <f>SUMIFS(Lançamentos!$F:$F,Lançamentos!$A:$A,HL$19,Lançamentos!$C:$C,"Aporte de Sócios")</f>
        <v>0</v>
      </c>
      <c r="HM31" s="39">
        <f>SUMIFS(Lançamentos!$F:$F,Lançamentos!$A:$A,HM$19,Lançamentos!$C:$C,"Aporte de Sócios")</f>
        <v>0</v>
      </c>
      <c r="HN31" s="39">
        <f>SUMIFS(Lançamentos!$F:$F,Lançamentos!$A:$A,HN$19,Lançamentos!$C:$C,"Aporte de Sócios")</f>
        <v>0</v>
      </c>
      <c r="HO31" s="39">
        <f>SUMIFS(Lançamentos!$F:$F,Lançamentos!$A:$A,HO$19,Lançamentos!$C:$C,"Aporte de Sócios")</f>
        <v>0</v>
      </c>
      <c r="HP31" s="39">
        <f>SUMIFS(Lançamentos!$F:$F,Lançamentos!$A:$A,HP$19,Lançamentos!$C:$C,"Aporte de Sócios")</f>
        <v>0</v>
      </c>
      <c r="HQ31" s="39">
        <f>SUMIFS(Lançamentos!$F:$F,Lançamentos!$A:$A,HQ$19,Lançamentos!$C:$C,"Aporte de Sócios")</f>
        <v>0</v>
      </c>
      <c r="HR31" s="39">
        <f>SUMIFS(Lançamentos!$F:$F,Lançamentos!$A:$A,HR$19,Lançamentos!$C:$C,"Aporte de Sócios")</f>
        <v>0</v>
      </c>
      <c r="HS31" s="39">
        <f>SUMIFS(Lançamentos!$F:$F,Lançamentos!$A:$A,HS$19,Lançamentos!$C:$C,"Aporte de Sócios")</f>
        <v>0</v>
      </c>
      <c r="HT31" s="39">
        <f>SUMIFS(Lançamentos!$F:$F,Lançamentos!$A:$A,HT$19,Lançamentos!$C:$C,"Aporte de Sócios")</f>
        <v>0</v>
      </c>
      <c r="HU31" s="39">
        <f>SUMIFS(Lançamentos!$F:$F,Lançamentos!$A:$A,HU$19,Lançamentos!$C:$C,"Aporte de Sócios")</f>
        <v>0</v>
      </c>
      <c r="HV31" s="39">
        <f>SUMIFS(Lançamentos!$F:$F,Lançamentos!$A:$A,HV$19,Lançamentos!$C:$C,"Aporte de Sócios")</f>
        <v>0</v>
      </c>
      <c r="HW31" s="39">
        <f>SUMIFS(Lançamentos!$F:$F,Lançamentos!$A:$A,HW$19,Lançamentos!$C:$C,"Aporte de Sócios")</f>
        <v>0</v>
      </c>
      <c r="HX31" s="39">
        <f>SUMIFS(Lançamentos!$F:$F,Lançamentos!$A:$A,HX$19,Lançamentos!$C:$C,"Aporte de Sócios")</f>
        <v>0</v>
      </c>
      <c r="HY31" s="39">
        <f>SUMIFS(Lançamentos!$F:$F,Lançamentos!$A:$A,HY$19,Lançamentos!$C:$C,"Aporte de Sócios")</f>
        <v>0</v>
      </c>
      <c r="HZ31" s="39">
        <f>SUMIFS(Lançamentos!$F:$F,Lançamentos!$A:$A,HZ$19,Lançamentos!$C:$C,"Aporte de Sócios")</f>
        <v>0</v>
      </c>
      <c r="IA31" s="39">
        <f>SUMIFS(Lançamentos!$F:$F,Lançamentos!$A:$A,IA$19,Lançamentos!$C:$C,"Aporte de Sócios")</f>
        <v>0</v>
      </c>
      <c r="IB31" s="39">
        <f>SUMIFS(Lançamentos!$F:$F,Lançamentos!$A:$A,IB$19,Lançamentos!$C:$C,"Aporte de Sócios")</f>
        <v>0</v>
      </c>
      <c r="IC31" s="39">
        <f>SUMIFS(Lançamentos!$F:$F,Lançamentos!$A:$A,IC$19,Lançamentos!$C:$C,"Aporte de Sócios")</f>
        <v>0</v>
      </c>
      <c r="ID31" s="39">
        <f>SUMIFS(Lançamentos!$F:$F,Lançamentos!$A:$A,ID$19,Lançamentos!$C:$C,"Aporte de Sócios")</f>
        <v>0</v>
      </c>
      <c r="IE31" s="39">
        <f>SUMIFS(Lançamentos!$F:$F,Lançamentos!$A:$A,IE$19,Lançamentos!$C:$C,"Aporte de Sócios")</f>
        <v>0</v>
      </c>
      <c r="IF31" s="39">
        <f>SUMIFS(Lançamentos!$F:$F,Lançamentos!$A:$A,IF$19,Lançamentos!$C:$C,"Aporte de Sócios")</f>
        <v>0</v>
      </c>
      <c r="IG31" s="39">
        <f>SUMIFS(Lançamentos!$F:$F,Lançamentos!$A:$A,IG$19,Lançamentos!$C:$C,"Aporte de Sócios")</f>
        <v>0</v>
      </c>
      <c r="IH31" s="39">
        <f>SUMIFS(Lançamentos!$F:$F,Lançamentos!$A:$A,IH$19,Lançamentos!$C:$C,"Aporte de Sócios")</f>
        <v>0</v>
      </c>
      <c r="II31" s="39">
        <f>SUMIFS(Lançamentos!$F:$F,Lançamentos!$A:$A,II$19,Lançamentos!$C:$C,"Aporte de Sócios")</f>
        <v>0</v>
      </c>
      <c r="IJ31" s="39">
        <f>SUMIFS(Lançamentos!$F:$F,Lançamentos!$A:$A,IJ$19,Lançamentos!$C:$C,"Aporte de Sócios")</f>
        <v>0</v>
      </c>
      <c r="IK31" s="39">
        <f>SUMIFS(Lançamentos!$F:$F,Lançamentos!$A:$A,IK$19,Lançamentos!$C:$C,"Aporte de Sócios")</f>
        <v>0</v>
      </c>
      <c r="IL31" s="39">
        <f>SUMIFS(Lançamentos!$F:$F,Lançamentos!$A:$A,IL$19,Lançamentos!$C:$C,"Aporte de Sócios")</f>
        <v>0</v>
      </c>
    </row>
    <row r="32" spans="1:246" x14ac:dyDescent="0.3">
      <c r="A32" t="s">
        <v>94</v>
      </c>
      <c r="B32" s="39">
        <f>SUMIFS(Lançamentos!$F:$F,Lançamentos!$A:$A,B$19,Lançamentos!$C:$C,"Empréstimo Recebido")</f>
        <v>0</v>
      </c>
      <c r="C32" s="39">
        <f>SUMIFS(Lançamentos!$F:$F,Lançamentos!$A:$A,C$19,Lançamentos!$C:$C,"Empréstimo Recebido")</f>
        <v>0</v>
      </c>
      <c r="D32" s="39">
        <f>SUMIFS(Lançamentos!$F:$F,Lançamentos!$A:$A,D$19,Lançamentos!$C:$C,"Empréstimo Recebido")</f>
        <v>0</v>
      </c>
      <c r="E32" s="39">
        <f>SUMIFS(Lançamentos!$F:$F,Lançamentos!$A:$A,E$19,Lançamentos!$C:$C,"Empréstimo Recebido")</f>
        <v>0</v>
      </c>
      <c r="F32" s="39">
        <f>SUMIFS(Lançamentos!$F:$F,Lançamentos!$A:$A,F$19,Lançamentos!$C:$C,"Empréstimo Recebido")</f>
        <v>0</v>
      </c>
      <c r="G32" s="39">
        <f>SUMIFS(Lançamentos!$F:$F,Lançamentos!$A:$A,G$19,Lançamentos!$C:$C,"Empréstimo Recebido")</f>
        <v>0</v>
      </c>
      <c r="H32" s="39">
        <f>SUMIFS(Lançamentos!$F:$F,Lançamentos!$A:$A,H$19,Lançamentos!$C:$C,"Empréstimo Recebido")</f>
        <v>0</v>
      </c>
      <c r="I32" s="39">
        <f>SUMIFS(Lançamentos!$F:$F,Lançamentos!$A:$A,I$19,Lançamentos!$C:$C,"Empréstimo Recebido")</f>
        <v>0</v>
      </c>
      <c r="J32" s="39">
        <f>SUMIFS(Lançamentos!$F:$F,Lançamentos!$A:$A,J$19,Lançamentos!$C:$C,"Empréstimo Recebido")</f>
        <v>0</v>
      </c>
      <c r="K32" s="39">
        <f>SUMIFS(Lançamentos!$F:$F,Lançamentos!$A:$A,K$19,Lançamentos!$C:$C,"Empréstimo Recebido")</f>
        <v>0</v>
      </c>
      <c r="L32" s="39">
        <f>SUMIFS(Lançamentos!$F:$F,Lançamentos!$A:$A,L$19,Lançamentos!$C:$C,"Empréstimo Recebido")</f>
        <v>0</v>
      </c>
      <c r="M32" s="39">
        <f>SUMIFS(Lançamentos!$F:$F,Lançamentos!$A:$A,M$19,Lançamentos!$C:$C,"Empréstimo Recebido")</f>
        <v>0</v>
      </c>
      <c r="N32" s="39">
        <f>SUMIFS(Lançamentos!$F:$F,Lançamentos!$A:$A,N$19,Lançamentos!$C:$C,"Empréstimo Recebido")</f>
        <v>0</v>
      </c>
      <c r="O32" s="39">
        <f>SUMIFS(Lançamentos!$F:$F,Lançamentos!$A:$A,O$19,Lançamentos!$C:$C,"Empréstimo Recebido")</f>
        <v>0</v>
      </c>
      <c r="P32" s="39">
        <f>SUMIFS(Lançamentos!$F:$F,Lançamentos!$A:$A,P$19,Lançamentos!$C:$C,"Empréstimo Recebido")</f>
        <v>0</v>
      </c>
      <c r="Q32" s="39">
        <f>SUMIFS(Lançamentos!$F:$F,Lançamentos!$A:$A,Q$19,Lançamentos!$C:$C,"Empréstimo Recebido")</f>
        <v>0</v>
      </c>
      <c r="R32" s="39">
        <f>SUMIFS(Lançamentos!$F:$F,Lançamentos!$A:$A,R$19,Lançamentos!$C:$C,"Empréstimo Recebido")</f>
        <v>0</v>
      </c>
      <c r="S32" s="39">
        <f>SUMIFS(Lançamentos!$F:$F,Lançamentos!$A:$A,S$19,Lançamentos!$C:$C,"Empréstimo Recebido")</f>
        <v>0</v>
      </c>
      <c r="T32" s="39">
        <f>SUMIFS(Lançamentos!$F:$F,Lançamentos!$A:$A,T$19,Lançamentos!$C:$C,"Empréstimo Recebido")</f>
        <v>0</v>
      </c>
      <c r="U32" s="39">
        <f>SUMIFS(Lançamentos!$F:$F,Lançamentos!$A:$A,U$19,Lançamentos!$C:$C,"Empréstimo Recebido")</f>
        <v>0</v>
      </c>
      <c r="V32" s="39">
        <f>SUMIFS(Lançamentos!$F:$F,Lançamentos!$A:$A,V$19,Lançamentos!$C:$C,"Empréstimo Recebido")</f>
        <v>0</v>
      </c>
      <c r="W32" s="39">
        <f>SUMIFS(Lançamentos!$F:$F,Lançamentos!$A:$A,W$19,Lançamentos!$C:$C,"Empréstimo Recebido")</f>
        <v>0</v>
      </c>
      <c r="X32" s="39">
        <f>SUMIFS(Lançamentos!$F:$F,Lançamentos!$A:$A,X$19,Lançamentos!$C:$C,"Empréstimo Recebido")</f>
        <v>0</v>
      </c>
      <c r="Y32" s="39">
        <f>SUMIFS(Lançamentos!$F:$F,Lançamentos!$A:$A,Y$19,Lançamentos!$C:$C,"Empréstimo Recebido")</f>
        <v>0</v>
      </c>
      <c r="Z32" s="39">
        <f>SUMIFS(Lançamentos!$F:$F,Lançamentos!$A:$A,Z$19,Lançamentos!$C:$C,"Empréstimo Recebido")</f>
        <v>0</v>
      </c>
      <c r="AA32" s="39">
        <f>SUMIFS(Lançamentos!$F:$F,Lançamentos!$A:$A,AA$19,Lançamentos!$C:$C,"Empréstimo Recebido")</f>
        <v>0</v>
      </c>
      <c r="AB32" s="39">
        <f>SUMIFS(Lançamentos!$F:$F,Lançamentos!$A:$A,AB$19,Lançamentos!$C:$C,"Empréstimo Recebido")</f>
        <v>0</v>
      </c>
      <c r="AC32" s="39">
        <f>SUMIFS(Lançamentos!$F:$F,Lançamentos!$A:$A,AC$19,Lançamentos!$C:$C,"Empréstimo Recebido")</f>
        <v>0</v>
      </c>
      <c r="AD32" s="39">
        <f>SUMIFS(Lançamentos!$F:$F,Lançamentos!$A:$A,AD$19,Lançamentos!$C:$C,"Empréstimo Recebido")</f>
        <v>0</v>
      </c>
      <c r="AE32" s="39">
        <f>SUMIFS(Lançamentos!$F:$F,Lançamentos!$A:$A,AE$19,Lançamentos!$C:$C,"Empréstimo Recebido")</f>
        <v>0</v>
      </c>
      <c r="AF32" s="39">
        <f>SUMIFS(Lançamentos!$F:$F,Lançamentos!$A:$A,AF$19,Lançamentos!$C:$C,"Empréstimo Recebido")</f>
        <v>0</v>
      </c>
      <c r="AG32" s="39">
        <f>SUMIFS(Lançamentos!$F:$F,Lançamentos!$A:$A,AG$19,Lançamentos!$C:$C,"Empréstimo Recebido")</f>
        <v>0</v>
      </c>
      <c r="AH32" s="39">
        <f>SUMIFS(Lançamentos!$F:$F,Lançamentos!$A:$A,AH$19,Lançamentos!$C:$C,"Empréstimo Recebido")</f>
        <v>0</v>
      </c>
      <c r="AI32" s="39">
        <f>SUMIFS(Lançamentos!$F:$F,Lançamentos!$A:$A,AI$19,Lançamentos!$C:$C,"Empréstimo Recebido")</f>
        <v>0</v>
      </c>
      <c r="AJ32" s="39">
        <f>SUMIFS(Lançamentos!$F:$F,Lançamentos!$A:$A,AJ$19,Lançamentos!$C:$C,"Empréstimo Recebido")</f>
        <v>0</v>
      </c>
      <c r="AK32" s="39">
        <f>SUMIFS(Lançamentos!$F:$F,Lançamentos!$A:$A,AK$19,Lançamentos!$C:$C,"Empréstimo Recebido")</f>
        <v>0</v>
      </c>
      <c r="AL32" s="39">
        <f>SUMIFS(Lançamentos!$F:$F,Lançamentos!$A:$A,AL$19,Lançamentos!$C:$C,"Empréstimo Recebido")</f>
        <v>0</v>
      </c>
      <c r="AM32" s="39">
        <f>SUMIFS(Lançamentos!$F:$F,Lançamentos!$A:$A,AM$19,Lançamentos!$C:$C,"Empréstimo Recebido")</f>
        <v>0</v>
      </c>
      <c r="AN32" s="39">
        <f>SUMIFS(Lançamentos!$F:$F,Lançamentos!$A:$A,AN$19,Lançamentos!$C:$C,"Empréstimo Recebido")</f>
        <v>0</v>
      </c>
      <c r="AO32" s="39">
        <f>SUMIFS(Lançamentos!$F:$F,Lançamentos!$A:$A,AO$19,Lançamentos!$C:$C,"Empréstimo Recebido")</f>
        <v>0</v>
      </c>
      <c r="AP32" s="39">
        <f>SUMIFS(Lançamentos!$F:$F,Lançamentos!$A:$A,AP$19,Lançamentos!$C:$C,"Empréstimo Recebido")</f>
        <v>0</v>
      </c>
      <c r="AQ32" s="39">
        <f>SUMIFS(Lançamentos!$F:$F,Lançamentos!$A:$A,AQ$19,Lançamentos!$C:$C,"Empréstimo Recebido")</f>
        <v>0</v>
      </c>
      <c r="AR32" s="39">
        <f>SUMIFS(Lançamentos!$F:$F,Lançamentos!$A:$A,AR$19,Lançamentos!$C:$C,"Empréstimo Recebido")</f>
        <v>0</v>
      </c>
      <c r="AS32" s="39">
        <f>SUMIFS(Lançamentos!$F:$F,Lançamentos!$A:$A,AS$19,Lançamentos!$C:$C,"Empréstimo Recebido")</f>
        <v>0</v>
      </c>
      <c r="AT32" s="39">
        <f>SUMIFS(Lançamentos!$F:$F,Lançamentos!$A:$A,AT$19,Lançamentos!$C:$C,"Empréstimo Recebido")</f>
        <v>0</v>
      </c>
      <c r="AU32" s="39">
        <f>SUMIFS(Lançamentos!$F:$F,Lançamentos!$A:$A,AU$19,Lançamentos!$C:$C,"Empréstimo Recebido")</f>
        <v>0</v>
      </c>
      <c r="AV32" s="39">
        <f>SUMIFS(Lançamentos!$F:$F,Lançamentos!$A:$A,AV$19,Lançamentos!$C:$C,"Empréstimo Recebido")</f>
        <v>0</v>
      </c>
      <c r="AW32" s="39">
        <f>SUMIFS(Lançamentos!$F:$F,Lançamentos!$A:$A,AW$19,Lançamentos!$C:$C,"Empréstimo Recebido")</f>
        <v>0</v>
      </c>
      <c r="AX32" s="39">
        <f>SUMIFS(Lançamentos!$F:$F,Lançamentos!$A:$A,AX$19,Lançamentos!$C:$C,"Empréstimo Recebido")</f>
        <v>0</v>
      </c>
      <c r="AY32" s="39">
        <f>SUMIFS(Lançamentos!$F:$F,Lançamentos!$A:$A,AY$19,Lançamentos!$C:$C,"Empréstimo Recebido")</f>
        <v>0</v>
      </c>
      <c r="AZ32" s="39">
        <f>SUMIFS(Lançamentos!$F:$F,Lançamentos!$A:$A,AZ$19,Lançamentos!$C:$C,"Empréstimo Recebido")</f>
        <v>0</v>
      </c>
      <c r="BA32" s="39">
        <f>SUMIFS(Lançamentos!$F:$F,Lançamentos!$A:$A,BA$19,Lançamentos!$C:$C,"Empréstimo Recebido")</f>
        <v>0</v>
      </c>
      <c r="BB32" s="39">
        <f>SUMIFS(Lançamentos!$F:$F,Lançamentos!$A:$A,BB$19,Lançamentos!$C:$C,"Empréstimo Recebido")</f>
        <v>0</v>
      </c>
      <c r="BC32" s="39">
        <f>SUMIFS(Lançamentos!$F:$F,Lançamentos!$A:$A,BC$19,Lançamentos!$C:$C,"Empréstimo Recebido")</f>
        <v>0</v>
      </c>
      <c r="BD32" s="39">
        <f>SUMIFS(Lançamentos!$F:$F,Lançamentos!$A:$A,BD$19,Lançamentos!$C:$C,"Empréstimo Recebido")</f>
        <v>0</v>
      </c>
      <c r="BE32" s="39">
        <f>SUMIFS(Lançamentos!$F:$F,Lançamentos!$A:$A,BE$19,Lançamentos!$C:$C,"Empréstimo Recebido")</f>
        <v>0</v>
      </c>
      <c r="BF32" s="39">
        <f>SUMIFS(Lançamentos!$F:$F,Lançamentos!$A:$A,BF$19,Lançamentos!$C:$C,"Empréstimo Recebido")</f>
        <v>0</v>
      </c>
      <c r="BG32" s="39">
        <f>SUMIFS(Lançamentos!$F:$F,Lançamentos!$A:$A,BG$19,Lançamentos!$C:$C,"Empréstimo Recebido")</f>
        <v>0</v>
      </c>
      <c r="BH32" s="39">
        <f>SUMIFS(Lançamentos!$F:$F,Lançamentos!$A:$A,BH$19,Lançamentos!$C:$C,"Empréstimo Recebido")</f>
        <v>0</v>
      </c>
      <c r="BI32" s="39">
        <f>SUMIFS(Lançamentos!$F:$F,Lançamentos!$A:$A,BI$19,Lançamentos!$C:$C,"Empréstimo Recebido")</f>
        <v>0</v>
      </c>
      <c r="BJ32" s="39">
        <f>SUMIFS(Lançamentos!$F:$F,Lançamentos!$A:$A,BJ$19,Lançamentos!$C:$C,"Empréstimo Recebido")</f>
        <v>0</v>
      </c>
      <c r="BK32" s="39">
        <f>SUMIFS(Lançamentos!$F:$F,Lançamentos!$A:$A,BK$19,Lançamentos!$C:$C,"Empréstimo Recebido")</f>
        <v>0</v>
      </c>
      <c r="BL32" s="39">
        <f>SUMIFS(Lançamentos!$F:$F,Lançamentos!$A:$A,BL$19,Lançamentos!$C:$C,"Empréstimo Recebido")</f>
        <v>0</v>
      </c>
      <c r="BM32" s="39">
        <f>SUMIFS(Lançamentos!$F:$F,Lançamentos!$A:$A,BM$19,Lançamentos!$C:$C,"Empréstimo Recebido")</f>
        <v>0</v>
      </c>
      <c r="BN32" s="39">
        <f>SUMIFS(Lançamentos!$F:$F,Lançamentos!$A:$A,BN$19,Lançamentos!$C:$C,"Empréstimo Recebido")</f>
        <v>0</v>
      </c>
      <c r="BO32" s="39">
        <f>SUMIFS(Lançamentos!$F:$F,Lançamentos!$A:$A,BO$19,Lançamentos!$C:$C,"Empréstimo Recebido")</f>
        <v>0</v>
      </c>
      <c r="BP32" s="39">
        <f>SUMIFS(Lançamentos!$F:$F,Lançamentos!$A:$A,BP$19,Lançamentos!$C:$C,"Empréstimo Recebido")</f>
        <v>0</v>
      </c>
      <c r="BQ32" s="39">
        <f>SUMIFS(Lançamentos!$F:$F,Lançamentos!$A:$A,BQ$19,Lançamentos!$C:$C,"Empréstimo Recebido")</f>
        <v>0</v>
      </c>
      <c r="BR32" s="39">
        <f>SUMIFS(Lançamentos!$F:$F,Lançamentos!$A:$A,BR$19,Lançamentos!$C:$C,"Empréstimo Recebido")</f>
        <v>0</v>
      </c>
      <c r="BS32" s="39">
        <f>SUMIFS(Lançamentos!$F:$F,Lançamentos!$A:$A,BS$19,Lançamentos!$C:$C,"Empréstimo Recebido")</f>
        <v>0</v>
      </c>
      <c r="BT32" s="39">
        <f>SUMIFS(Lançamentos!$F:$F,Lançamentos!$A:$A,BT$19,Lançamentos!$C:$C,"Empréstimo Recebido")</f>
        <v>0</v>
      </c>
      <c r="BU32" s="39">
        <f>SUMIFS(Lançamentos!$F:$F,Lançamentos!$A:$A,BU$19,Lançamentos!$C:$C,"Empréstimo Recebido")</f>
        <v>0</v>
      </c>
      <c r="BV32" s="39">
        <f>SUMIFS(Lançamentos!$F:$F,Lançamentos!$A:$A,BV$19,Lançamentos!$C:$C,"Empréstimo Recebido")</f>
        <v>0</v>
      </c>
      <c r="BW32" s="39">
        <f>SUMIFS(Lançamentos!$F:$F,Lançamentos!$A:$A,BW$19,Lançamentos!$C:$C,"Empréstimo Recebido")</f>
        <v>0</v>
      </c>
      <c r="BX32" s="39">
        <f>SUMIFS(Lançamentos!$F:$F,Lançamentos!$A:$A,BX$19,Lançamentos!$C:$C,"Empréstimo Recebido")</f>
        <v>0</v>
      </c>
      <c r="BY32" s="39">
        <f>SUMIFS(Lançamentos!$F:$F,Lançamentos!$A:$A,BY$19,Lançamentos!$C:$C,"Empréstimo Recebido")</f>
        <v>0</v>
      </c>
      <c r="BZ32" s="39">
        <f>SUMIFS(Lançamentos!$F:$F,Lançamentos!$A:$A,BZ$19,Lançamentos!$C:$C,"Empréstimo Recebido")</f>
        <v>0</v>
      </c>
      <c r="CA32" s="39">
        <f>SUMIFS(Lançamentos!$F:$F,Lançamentos!$A:$A,CA$19,Lançamentos!$C:$C,"Empréstimo Recebido")</f>
        <v>0</v>
      </c>
      <c r="CB32" s="39">
        <f>SUMIFS(Lançamentos!$F:$F,Lançamentos!$A:$A,CB$19,Lançamentos!$C:$C,"Empréstimo Recebido")</f>
        <v>0</v>
      </c>
      <c r="CC32" s="39">
        <f>SUMIFS(Lançamentos!$F:$F,Lançamentos!$A:$A,CC$19,Lançamentos!$C:$C,"Empréstimo Recebido")</f>
        <v>0</v>
      </c>
      <c r="CD32" s="39">
        <f>SUMIFS(Lançamentos!$F:$F,Lançamentos!$A:$A,CD$19,Lançamentos!$C:$C,"Empréstimo Recebido")</f>
        <v>0</v>
      </c>
      <c r="CE32" s="39">
        <f>SUMIFS(Lançamentos!$F:$F,Lançamentos!$A:$A,CE$19,Lançamentos!$C:$C,"Empréstimo Recebido")</f>
        <v>0</v>
      </c>
      <c r="CF32" s="39">
        <f>SUMIFS(Lançamentos!$F:$F,Lançamentos!$A:$A,CF$19,Lançamentos!$C:$C,"Empréstimo Recebido")</f>
        <v>0</v>
      </c>
      <c r="CG32" s="39">
        <f>SUMIFS(Lançamentos!$F:$F,Lançamentos!$A:$A,CG$19,Lançamentos!$C:$C,"Empréstimo Recebido")</f>
        <v>0</v>
      </c>
      <c r="CH32" s="39">
        <f>SUMIFS(Lançamentos!$F:$F,Lançamentos!$A:$A,CH$19,Lançamentos!$C:$C,"Empréstimo Recebido")</f>
        <v>0</v>
      </c>
      <c r="CI32" s="39">
        <f>SUMIFS(Lançamentos!$F:$F,Lançamentos!$A:$A,CI$19,Lançamentos!$C:$C,"Empréstimo Recebido")</f>
        <v>0</v>
      </c>
      <c r="CJ32" s="39">
        <f>SUMIFS(Lançamentos!$F:$F,Lançamentos!$A:$A,CJ$19,Lançamentos!$C:$C,"Empréstimo Recebido")</f>
        <v>0</v>
      </c>
      <c r="CK32" s="39">
        <f>SUMIFS(Lançamentos!$F:$F,Lançamentos!$A:$A,CK$19,Lançamentos!$C:$C,"Empréstimo Recebido")</f>
        <v>0</v>
      </c>
      <c r="CL32" s="39">
        <f>SUMIFS(Lançamentos!$F:$F,Lançamentos!$A:$A,CL$19,Lançamentos!$C:$C,"Empréstimo Recebido")</f>
        <v>0</v>
      </c>
      <c r="CM32" s="39">
        <f>SUMIFS(Lançamentos!$F:$F,Lançamentos!$A:$A,CM$19,Lançamentos!$C:$C,"Empréstimo Recebido")</f>
        <v>0</v>
      </c>
      <c r="CN32" s="39">
        <f>SUMIFS(Lançamentos!$F:$F,Lançamentos!$A:$A,CN$19,Lançamentos!$C:$C,"Empréstimo Recebido")</f>
        <v>0</v>
      </c>
      <c r="CO32" s="39">
        <f>SUMIFS(Lançamentos!$F:$F,Lançamentos!$A:$A,CO$19,Lançamentos!$C:$C,"Empréstimo Recebido")</f>
        <v>0</v>
      </c>
      <c r="CP32" s="39">
        <f>SUMIFS(Lançamentos!$F:$F,Lançamentos!$A:$A,CP$19,Lançamentos!$C:$C,"Empréstimo Recebido")</f>
        <v>0</v>
      </c>
      <c r="CQ32" s="39">
        <f>SUMIFS(Lançamentos!$F:$F,Lançamentos!$A:$A,CQ$19,Lançamentos!$C:$C,"Empréstimo Recebido")</f>
        <v>0</v>
      </c>
      <c r="CR32" s="39">
        <f>SUMIFS(Lançamentos!$F:$F,Lançamentos!$A:$A,CR$19,Lançamentos!$C:$C,"Empréstimo Recebido")</f>
        <v>0</v>
      </c>
      <c r="CS32" s="39">
        <f>SUMIFS(Lançamentos!$F:$F,Lançamentos!$A:$A,CS$19,Lançamentos!$C:$C,"Empréstimo Recebido")</f>
        <v>0</v>
      </c>
      <c r="CT32" s="39">
        <f>SUMIFS(Lançamentos!$F:$F,Lançamentos!$A:$A,CT$19,Lançamentos!$C:$C,"Empréstimo Recebido")</f>
        <v>0</v>
      </c>
      <c r="CU32" s="39">
        <f>SUMIFS(Lançamentos!$F:$F,Lançamentos!$A:$A,CU$19,Lançamentos!$C:$C,"Empréstimo Recebido")</f>
        <v>0</v>
      </c>
      <c r="CV32" s="39">
        <f>SUMIFS(Lançamentos!$F:$F,Lançamentos!$A:$A,CV$19,Lançamentos!$C:$C,"Empréstimo Recebido")</f>
        <v>0</v>
      </c>
      <c r="CW32" s="39">
        <f>SUMIFS(Lançamentos!$F:$F,Lançamentos!$A:$A,CW$19,Lançamentos!$C:$C,"Empréstimo Recebido")</f>
        <v>0</v>
      </c>
      <c r="CX32" s="39">
        <f>SUMIFS(Lançamentos!$F:$F,Lançamentos!$A:$A,CX$19,Lançamentos!$C:$C,"Empréstimo Recebido")</f>
        <v>0</v>
      </c>
      <c r="CY32" s="39">
        <f>SUMIFS(Lançamentos!$F:$F,Lançamentos!$A:$A,CY$19,Lançamentos!$C:$C,"Empréstimo Recebido")</f>
        <v>0</v>
      </c>
      <c r="CZ32" s="39">
        <f>SUMIFS(Lançamentos!$F:$F,Lançamentos!$A:$A,CZ$19,Lançamentos!$C:$C,"Empréstimo Recebido")</f>
        <v>0</v>
      </c>
      <c r="DA32" s="39">
        <f>SUMIFS(Lançamentos!$F:$F,Lançamentos!$A:$A,DA$19,Lançamentos!$C:$C,"Empréstimo Recebido")</f>
        <v>0</v>
      </c>
      <c r="DB32" s="39">
        <f>SUMIFS(Lançamentos!$F:$F,Lançamentos!$A:$A,DB$19,Lançamentos!$C:$C,"Empréstimo Recebido")</f>
        <v>0</v>
      </c>
      <c r="DC32" s="39">
        <f>SUMIFS(Lançamentos!$F:$F,Lançamentos!$A:$A,DC$19,Lançamentos!$C:$C,"Empréstimo Recebido")</f>
        <v>0</v>
      </c>
      <c r="DD32" s="39">
        <f>SUMIFS(Lançamentos!$F:$F,Lançamentos!$A:$A,DD$19,Lançamentos!$C:$C,"Empréstimo Recebido")</f>
        <v>0</v>
      </c>
      <c r="DE32" s="39">
        <f>SUMIFS(Lançamentos!$F:$F,Lançamentos!$A:$A,DE$19,Lançamentos!$C:$C,"Empréstimo Recebido")</f>
        <v>0</v>
      </c>
      <c r="DF32" s="39">
        <f>SUMIFS(Lançamentos!$F:$F,Lançamentos!$A:$A,DF$19,Lançamentos!$C:$C,"Empréstimo Recebido")</f>
        <v>0</v>
      </c>
      <c r="DG32" s="39">
        <f>SUMIFS(Lançamentos!$F:$F,Lançamentos!$A:$A,DG$19,Lançamentos!$C:$C,"Empréstimo Recebido")</f>
        <v>0</v>
      </c>
      <c r="DH32" s="39">
        <f>SUMIFS(Lançamentos!$F:$F,Lançamentos!$A:$A,DH$19,Lançamentos!$C:$C,"Empréstimo Recebido")</f>
        <v>0</v>
      </c>
      <c r="DI32" s="39">
        <f>SUMIFS(Lançamentos!$F:$F,Lançamentos!$A:$A,DI$19,Lançamentos!$C:$C,"Empréstimo Recebido")</f>
        <v>0</v>
      </c>
      <c r="DJ32" s="39">
        <f>SUMIFS(Lançamentos!$F:$F,Lançamentos!$A:$A,DJ$19,Lançamentos!$C:$C,"Empréstimo Recebido")</f>
        <v>0</v>
      </c>
      <c r="DK32" s="39">
        <f>SUMIFS(Lançamentos!$F:$F,Lançamentos!$A:$A,DK$19,Lançamentos!$C:$C,"Empréstimo Recebido")</f>
        <v>0</v>
      </c>
      <c r="DL32" s="39">
        <f>SUMIFS(Lançamentos!$F:$F,Lançamentos!$A:$A,DL$19,Lançamentos!$C:$C,"Empréstimo Recebido")</f>
        <v>0</v>
      </c>
      <c r="DM32" s="39">
        <f>SUMIFS(Lançamentos!$F:$F,Lançamentos!$A:$A,DM$19,Lançamentos!$C:$C,"Empréstimo Recebido")</f>
        <v>0</v>
      </c>
      <c r="DN32" s="39">
        <f>SUMIFS(Lançamentos!$F:$F,Lançamentos!$A:$A,DN$19,Lançamentos!$C:$C,"Empréstimo Recebido")</f>
        <v>0</v>
      </c>
      <c r="DO32" s="39">
        <f>SUMIFS(Lançamentos!$F:$F,Lançamentos!$A:$A,DO$19,Lançamentos!$C:$C,"Empréstimo Recebido")</f>
        <v>0</v>
      </c>
      <c r="DP32" s="39">
        <f>SUMIFS(Lançamentos!$F:$F,Lançamentos!$A:$A,DP$19,Lançamentos!$C:$C,"Empréstimo Recebido")</f>
        <v>0</v>
      </c>
      <c r="DQ32" s="39">
        <f>SUMIFS(Lançamentos!$F:$F,Lançamentos!$A:$A,DQ$19,Lançamentos!$C:$C,"Empréstimo Recebido")</f>
        <v>0</v>
      </c>
      <c r="DR32" s="39">
        <f>SUMIFS(Lançamentos!$F:$F,Lançamentos!$A:$A,DR$19,Lançamentos!$C:$C,"Empréstimo Recebido")</f>
        <v>0</v>
      </c>
      <c r="DS32" s="39">
        <f>SUMIFS(Lançamentos!$F:$F,Lançamentos!$A:$A,DS$19,Lançamentos!$C:$C,"Empréstimo Recebido")</f>
        <v>0</v>
      </c>
      <c r="DT32" s="39">
        <f>SUMIFS(Lançamentos!$F:$F,Lançamentos!$A:$A,DT$19,Lançamentos!$C:$C,"Empréstimo Recebido")</f>
        <v>0</v>
      </c>
      <c r="DU32" s="39">
        <f>SUMIFS(Lançamentos!$F:$F,Lançamentos!$A:$A,DU$19,Lançamentos!$C:$C,"Empréstimo Recebido")</f>
        <v>0</v>
      </c>
      <c r="DV32" s="39">
        <f>SUMIFS(Lançamentos!$F:$F,Lançamentos!$A:$A,DV$19,Lançamentos!$C:$C,"Empréstimo Recebido")</f>
        <v>0</v>
      </c>
      <c r="DW32" s="39">
        <f>SUMIFS(Lançamentos!$F:$F,Lançamentos!$A:$A,DW$19,Lançamentos!$C:$C,"Empréstimo Recebido")</f>
        <v>0</v>
      </c>
      <c r="DX32" s="39">
        <f>SUMIFS(Lançamentos!$F:$F,Lançamentos!$A:$A,DX$19,Lançamentos!$C:$C,"Empréstimo Recebido")</f>
        <v>0</v>
      </c>
      <c r="DY32" s="39">
        <f>SUMIFS(Lançamentos!$F:$F,Lançamentos!$A:$A,DY$19,Lançamentos!$C:$C,"Empréstimo Recebido")</f>
        <v>0</v>
      </c>
      <c r="DZ32" s="39">
        <f>SUMIFS(Lançamentos!$F:$F,Lançamentos!$A:$A,DZ$19,Lançamentos!$C:$C,"Empréstimo Recebido")</f>
        <v>0</v>
      </c>
      <c r="EA32" s="39">
        <f>SUMIFS(Lançamentos!$F:$F,Lançamentos!$A:$A,EA$19,Lançamentos!$C:$C,"Empréstimo Recebido")</f>
        <v>0</v>
      </c>
      <c r="EB32" s="39">
        <f>SUMIFS(Lançamentos!$F:$F,Lançamentos!$A:$A,EB$19,Lançamentos!$C:$C,"Empréstimo Recebido")</f>
        <v>0</v>
      </c>
      <c r="EC32" s="39">
        <f>SUMIFS(Lançamentos!$F:$F,Lançamentos!$A:$A,EC$19,Lançamentos!$C:$C,"Empréstimo Recebido")</f>
        <v>0</v>
      </c>
      <c r="ED32" s="39">
        <f>SUMIFS(Lançamentos!$F:$F,Lançamentos!$A:$A,ED$19,Lançamentos!$C:$C,"Empréstimo Recebido")</f>
        <v>0</v>
      </c>
      <c r="EE32" s="39">
        <f>SUMIFS(Lançamentos!$F:$F,Lançamentos!$A:$A,EE$19,Lançamentos!$C:$C,"Empréstimo Recebido")</f>
        <v>0</v>
      </c>
      <c r="EF32" s="39">
        <f>SUMIFS(Lançamentos!$F:$F,Lançamentos!$A:$A,EF$19,Lançamentos!$C:$C,"Empréstimo Recebido")</f>
        <v>0</v>
      </c>
      <c r="EG32" s="39">
        <f>SUMIFS(Lançamentos!$F:$F,Lançamentos!$A:$A,EG$19,Lançamentos!$C:$C,"Empréstimo Recebido")</f>
        <v>0</v>
      </c>
      <c r="EH32" s="39">
        <f>SUMIFS(Lançamentos!$F:$F,Lançamentos!$A:$A,EH$19,Lançamentos!$C:$C,"Empréstimo Recebido")</f>
        <v>0</v>
      </c>
      <c r="EI32" s="39">
        <f>SUMIFS(Lançamentos!$F:$F,Lançamentos!$A:$A,EI$19,Lançamentos!$C:$C,"Empréstimo Recebido")</f>
        <v>0</v>
      </c>
      <c r="EJ32" s="39">
        <f>SUMIFS(Lançamentos!$F:$F,Lançamentos!$A:$A,EJ$19,Lançamentos!$C:$C,"Empréstimo Recebido")</f>
        <v>0</v>
      </c>
      <c r="EK32" s="39">
        <f>SUMIFS(Lançamentos!$F:$F,Lançamentos!$A:$A,EK$19,Lançamentos!$C:$C,"Empréstimo Recebido")</f>
        <v>0</v>
      </c>
      <c r="EL32" s="39">
        <f>SUMIFS(Lançamentos!$F:$F,Lançamentos!$A:$A,EL$19,Lançamentos!$C:$C,"Empréstimo Recebido")</f>
        <v>0</v>
      </c>
      <c r="EM32" s="39">
        <f>SUMIFS(Lançamentos!$F:$F,Lançamentos!$A:$A,EM$19,Lançamentos!$C:$C,"Empréstimo Recebido")</f>
        <v>0</v>
      </c>
      <c r="EN32" s="39">
        <f>SUMIFS(Lançamentos!$F:$F,Lançamentos!$A:$A,EN$19,Lançamentos!$C:$C,"Empréstimo Recebido")</f>
        <v>0</v>
      </c>
      <c r="EO32" s="39">
        <f>SUMIFS(Lançamentos!$F:$F,Lançamentos!$A:$A,EO$19,Lançamentos!$C:$C,"Empréstimo Recebido")</f>
        <v>0</v>
      </c>
      <c r="EP32" s="39">
        <f>SUMIFS(Lançamentos!$F:$F,Lançamentos!$A:$A,EP$19,Lançamentos!$C:$C,"Empréstimo Recebido")</f>
        <v>0</v>
      </c>
      <c r="EQ32" s="39">
        <f>SUMIFS(Lançamentos!$F:$F,Lançamentos!$A:$A,EQ$19,Lançamentos!$C:$C,"Empréstimo Recebido")</f>
        <v>0</v>
      </c>
      <c r="ER32" s="39">
        <f>SUMIFS(Lançamentos!$F:$F,Lançamentos!$A:$A,ER$19,Lançamentos!$C:$C,"Empréstimo Recebido")</f>
        <v>0</v>
      </c>
      <c r="ES32" s="39">
        <f>SUMIFS(Lançamentos!$F:$F,Lançamentos!$A:$A,ES$19,Lançamentos!$C:$C,"Empréstimo Recebido")</f>
        <v>0</v>
      </c>
      <c r="ET32" s="39">
        <f>SUMIFS(Lançamentos!$F:$F,Lançamentos!$A:$A,ET$19,Lançamentos!$C:$C,"Empréstimo Recebido")</f>
        <v>0</v>
      </c>
      <c r="EU32" s="39">
        <f>SUMIFS(Lançamentos!$F:$F,Lançamentos!$A:$A,EU$19,Lançamentos!$C:$C,"Empréstimo Recebido")</f>
        <v>0</v>
      </c>
      <c r="EV32" s="39">
        <f>SUMIFS(Lançamentos!$F:$F,Lançamentos!$A:$A,EV$19,Lançamentos!$C:$C,"Empréstimo Recebido")</f>
        <v>0</v>
      </c>
      <c r="EW32" s="39">
        <f>SUMIFS(Lançamentos!$F:$F,Lançamentos!$A:$A,EW$19,Lançamentos!$C:$C,"Empréstimo Recebido")</f>
        <v>0</v>
      </c>
      <c r="EX32" s="39">
        <f>SUMIFS(Lançamentos!$F:$F,Lançamentos!$A:$A,EX$19,Lançamentos!$C:$C,"Empréstimo Recebido")</f>
        <v>0</v>
      </c>
      <c r="EY32" s="39">
        <f>SUMIFS(Lançamentos!$F:$F,Lançamentos!$A:$A,EY$19,Lançamentos!$C:$C,"Empréstimo Recebido")</f>
        <v>0</v>
      </c>
      <c r="EZ32" s="39">
        <f>SUMIFS(Lançamentos!$F:$F,Lançamentos!$A:$A,EZ$19,Lançamentos!$C:$C,"Empréstimo Recebido")</f>
        <v>0</v>
      </c>
      <c r="FA32" s="39">
        <f>SUMIFS(Lançamentos!$F:$F,Lançamentos!$A:$A,FA$19,Lançamentos!$C:$C,"Empréstimo Recebido")</f>
        <v>0</v>
      </c>
      <c r="FB32" s="39">
        <f>SUMIFS(Lançamentos!$F:$F,Lançamentos!$A:$A,FB$19,Lançamentos!$C:$C,"Empréstimo Recebido")</f>
        <v>0</v>
      </c>
      <c r="FC32" s="39">
        <f>SUMIFS(Lançamentos!$F:$F,Lançamentos!$A:$A,FC$19,Lançamentos!$C:$C,"Empréstimo Recebido")</f>
        <v>0</v>
      </c>
      <c r="FD32" s="39">
        <f>SUMIFS(Lançamentos!$F:$F,Lançamentos!$A:$A,FD$19,Lançamentos!$C:$C,"Empréstimo Recebido")</f>
        <v>0</v>
      </c>
      <c r="FE32" s="39">
        <f>SUMIFS(Lançamentos!$F:$F,Lançamentos!$A:$A,FE$19,Lançamentos!$C:$C,"Empréstimo Recebido")</f>
        <v>0</v>
      </c>
      <c r="FF32" s="39">
        <f>SUMIFS(Lançamentos!$F:$F,Lançamentos!$A:$A,FF$19,Lançamentos!$C:$C,"Empréstimo Recebido")</f>
        <v>0</v>
      </c>
      <c r="FG32" s="39">
        <f>SUMIFS(Lançamentos!$F:$F,Lançamentos!$A:$A,FG$19,Lançamentos!$C:$C,"Empréstimo Recebido")</f>
        <v>0</v>
      </c>
      <c r="FH32" s="39">
        <f>SUMIFS(Lançamentos!$F:$F,Lançamentos!$A:$A,FH$19,Lançamentos!$C:$C,"Empréstimo Recebido")</f>
        <v>0</v>
      </c>
      <c r="FI32" s="39">
        <f>SUMIFS(Lançamentos!$F:$F,Lançamentos!$A:$A,FI$19,Lançamentos!$C:$C,"Empréstimo Recebido")</f>
        <v>0</v>
      </c>
      <c r="FJ32" s="39">
        <f>SUMIFS(Lançamentos!$F:$F,Lançamentos!$A:$A,FJ$19,Lançamentos!$C:$C,"Empréstimo Recebido")</f>
        <v>0</v>
      </c>
      <c r="FK32" s="39">
        <f>SUMIFS(Lançamentos!$F:$F,Lançamentos!$A:$A,FK$19,Lançamentos!$C:$C,"Empréstimo Recebido")</f>
        <v>0</v>
      </c>
      <c r="FL32" s="39">
        <f>SUMIFS(Lançamentos!$F:$F,Lançamentos!$A:$A,FL$19,Lançamentos!$C:$C,"Empréstimo Recebido")</f>
        <v>0</v>
      </c>
      <c r="FM32" s="39">
        <f>SUMIFS(Lançamentos!$F:$F,Lançamentos!$A:$A,FM$19,Lançamentos!$C:$C,"Empréstimo Recebido")</f>
        <v>0</v>
      </c>
      <c r="FN32" s="39">
        <f>SUMIFS(Lançamentos!$F:$F,Lançamentos!$A:$A,FN$19,Lançamentos!$C:$C,"Empréstimo Recebido")</f>
        <v>0</v>
      </c>
      <c r="FO32" s="39">
        <f>SUMIFS(Lançamentos!$F:$F,Lançamentos!$A:$A,FO$19,Lançamentos!$C:$C,"Empréstimo Recebido")</f>
        <v>0</v>
      </c>
      <c r="FP32" s="39">
        <f>SUMIFS(Lançamentos!$F:$F,Lançamentos!$A:$A,FP$19,Lançamentos!$C:$C,"Empréstimo Recebido")</f>
        <v>0</v>
      </c>
      <c r="FQ32" s="39">
        <f>SUMIFS(Lançamentos!$F:$F,Lançamentos!$A:$A,FQ$19,Lançamentos!$C:$C,"Empréstimo Recebido")</f>
        <v>0</v>
      </c>
      <c r="FR32" s="39">
        <f>SUMIFS(Lançamentos!$F:$F,Lançamentos!$A:$A,FR$19,Lançamentos!$C:$C,"Empréstimo Recebido")</f>
        <v>0</v>
      </c>
      <c r="FS32" s="39">
        <f>SUMIFS(Lançamentos!$F:$F,Lançamentos!$A:$A,FS$19,Lançamentos!$C:$C,"Empréstimo Recebido")</f>
        <v>0</v>
      </c>
      <c r="FT32" s="39">
        <f>SUMIFS(Lançamentos!$F:$F,Lançamentos!$A:$A,FT$19,Lançamentos!$C:$C,"Empréstimo Recebido")</f>
        <v>0</v>
      </c>
      <c r="FU32" s="39">
        <f>SUMIFS(Lançamentos!$F:$F,Lançamentos!$A:$A,FU$19,Lançamentos!$C:$C,"Empréstimo Recebido")</f>
        <v>0</v>
      </c>
      <c r="FV32" s="39">
        <f>SUMIFS(Lançamentos!$F:$F,Lançamentos!$A:$A,FV$19,Lançamentos!$C:$C,"Empréstimo Recebido")</f>
        <v>0</v>
      </c>
      <c r="FW32" s="39">
        <f>SUMIFS(Lançamentos!$F:$F,Lançamentos!$A:$A,FW$19,Lançamentos!$C:$C,"Empréstimo Recebido")</f>
        <v>0</v>
      </c>
      <c r="FX32" s="39">
        <f>SUMIFS(Lançamentos!$F:$F,Lançamentos!$A:$A,FX$19,Lançamentos!$C:$C,"Empréstimo Recebido")</f>
        <v>0</v>
      </c>
      <c r="FY32" s="39">
        <f>SUMIFS(Lançamentos!$F:$F,Lançamentos!$A:$A,FY$19,Lançamentos!$C:$C,"Empréstimo Recebido")</f>
        <v>0</v>
      </c>
      <c r="FZ32" s="39">
        <f>SUMIFS(Lançamentos!$F:$F,Lançamentos!$A:$A,FZ$19,Lançamentos!$C:$C,"Empréstimo Recebido")</f>
        <v>0</v>
      </c>
      <c r="GA32" s="39">
        <f>SUMIFS(Lançamentos!$F:$F,Lançamentos!$A:$A,GA$19,Lançamentos!$C:$C,"Empréstimo Recebido")</f>
        <v>0</v>
      </c>
      <c r="GB32" s="39">
        <f>SUMIFS(Lançamentos!$F:$F,Lançamentos!$A:$A,GB$19,Lançamentos!$C:$C,"Empréstimo Recebido")</f>
        <v>0</v>
      </c>
      <c r="GC32" s="39">
        <f>SUMIFS(Lançamentos!$F:$F,Lançamentos!$A:$A,GC$19,Lançamentos!$C:$C,"Empréstimo Recebido")</f>
        <v>0</v>
      </c>
      <c r="GD32" s="39">
        <f>SUMIFS(Lançamentos!$F:$F,Lançamentos!$A:$A,GD$19,Lançamentos!$C:$C,"Empréstimo Recebido")</f>
        <v>0</v>
      </c>
      <c r="GE32" s="39">
        <f>SUMIFS(Lançamentos!$F:$F,Lançamentos!$A:$A,GE$19,Lançamentos!$C:$C,"Empréstimo Recebido")</f>
        <v>0</v>
      </c>
      <c r="GF32" s="39">
        <f>SUMIFS(Lançamentos!$F:$F,Lançamentos!$A:$A,GF$19,Lançamentos!$C:$C,"Empréstimo Recebido")</f>
        <v>0</v>
      </c>
      <c r="GG32" s="39">
        <f>SUMIFS(Lançamentos!$F:$F,Lançamentos!$A:$A,GG$19,Lançamentos!$C:$C,"Empréstimo Recebido")</f>
        <v>0</v>
      </c>
      <c r="GH32" s="39">
        <f>SUMIFS(Lançamentos!$F:$F,Lançamentos!$A:$A,GH$19,Lançamentos!$C:$C,"Empréstimo Recebido")</f>
        <v>0</v>
      </c>
      <c r="GI32" s="39">
        <f>SUMIFS(Lançamentos!$F:$F,Lançamentos!$A:$A,GI$19,Lançamentos!$C:$C,"Empréstimo Recebido")</f>
        <v>0</v>
      </c>
      <c r="GJ32" s="39">
        <f>SUMIFS(Lançamentos!$F:$F,Lançamentos!$A:$A,GJ$19,Lançamentos!$C:$C,"Empréstimo Recebido")</f>
        <v>0</v>
      </c>
      <c r="GK32" s="39">
        <f>SUMIFS(Lançamentos!$F:$F,Lançamentos!$A:$A,GK$19,Lançamentos!$C:$C,"Empréstimo Recebido")</f>
        <v>0</v>
      </c>
      <c r="GL32" s="39">
        <f>SUMIFS(Lançamentos!$F:$F,Lançamentos!$A:$A,GL$19,Lançamentos!$C:$C,"Empréstimo Recebido")</f>
        <v>0</v>
      </c>
      <c r="GM32" s="39">
        <f>SUMIFS(Lançamentos!$F:$F,Lançamentos!$A:$A,GM$19,Lançamentos!$C:$C,"Empréstimo Recebido")</f>
        <v>0</v>
      </c>
      <c r="GN32" s="39">
        <f>SUMIFS(Lançamentos!$F:$F,Lançamentos!$A:$A,GN$19,Lançamentos!$C:$C,"Empréstimo Recebido")</f>
        <v>0</v>
      </c>
      <c r="GO32" s="39">
        <f>SUMIFS(Lançamentos!$F:$F,Lançamentos!$A:$A,GO$19,Lançamentos!$C:$C,"Empréstimo Recebido")</f>
        <v>0</v>
      </c>
      <c r="GP32" s="39">
        <f>SUMIFS(Lançamentos!$F:$F,Lançamentos!$A:$A,GP$19,Lançamentos!$C:$C,"Empréstimo Recebido")</f>
        <v>0</v>
      </c>
      <c r="GQ32" s="39">
        <f>SUMIFS(Lançamentos!$F:$F,Lançamentos!$A:$A,GQ$19,Lançamentos!$C:$C,"Empréstimo Recebido")</f>
        <v>0</v>
      </c>
      <c r="GR32" s="39">
        <f>SUMIFS(Lançamentos!$F:$F,Lançamentos!$A:$A,GR$19,Lançamentos!$C:$C,"Empréstimo Recebido")</f>
        <v>0</v>
      </c>
      <c r="GS32" s="39">
        <f>SUMIFS(Lançamentos!$F:$F,Lançamentos!$A:$A,GS$19,Lançamentos!$C:$C,"Empréstimo Recebido")</f>
        <v>0</v>
      </c>
      <c r="GT32" s="39">
        <f>SUMIFS(Lançamentos!$F:$F,Lançamentos!$A:$A,GT$19,Lançamentos!$C:$C,"Empréstimo Recebido")</f>
        <v>0</v>
      </c>
      <c r="GU32" s="39">
        <f>SUMIFS(Lançamentos!$F:$F,Lançamentos!$A:$A,GU$19,Lançamentos!$C:$C,"Empréstimo Recebido")</f>
        <v>0</v>
      </c>
      <c r="GV32" s="39">
        <f>SUMIFS(Lançamentos!$F:$F,Lançamentos!$A:$A,GV$19,Lançamentos!$C:$C,"Empréstimo Recebido")</f>
        <v>0</v>
      </c>
      <c r="GW32" s="39">
        <f>SUMIFS(Lançamentos!$F:$F,Lançamentos!$A:$A,GW$19,Lançamentos!$C:$C,"Empréstimo Recebido")</f>
        <v>0</v>
      </c>
      <c r="GX32" s="39">
        <f>SUMIFS(Lançamentos!$F:$F,Lançamentos!$A:$A,GX$19,Lançamentos!$C:$C,"Empréstimo Recebido")</f>
        <v>0</v>
      </c>
      <c r="GY32" s="39">
        <f>SUMIFS(Lançamentos!$F:$F,Lançamentos!$A:$A,GY$19,Lançamentos!$C:$C,"Empréstimo Recebido")</f>
        <v>0</v>
      </c>
      <c r="GZ32" s="39">
        <f>SUMIFS(Lançamentos!$F:$F,Lançamentos!$A:$A,GZ$19,Lançamentos!$C:$C,"Empréstimo Recebido")</f>
        <v>0</v>
      </c>
      <c r="HA32" s="39">
        <f>SUMIFS(Lançamentos!$F:$F,Lançamentos!$A:$A,HA$19,Lançamentos!$C:$C,"Empréstimo Recebido")</f>
        <v>0</v>
      </c>
      <c r="HB32" s="39">
        <f>SUMIFS(Lançamentos!$F:$F,Lançamentos!$A:$A,HB$19,Lançamentos!$C:$C,"Empréstimo Recebido")</f>
        <v>0</v>
      </c>
      <c r="HC32" s="39">
        <f>SUMIFS(Lançamentos!$F:$F,Lançamentos!$A:$A,HC$19,Lançamentos!$C:$C,"Empréstimo Recebido")</f>
        <v>0</v>
      </c>
      <c r="HD32" s="39">
        <f>SUMIFS(Lançamentos!$F:$F,Lançamentos!$A:$A,HD$19,Lançamentos!$C:$C,"Empréstimo Recebido")</f>
        <v>0</v>
      </c>
      <c r="HE32" s="39">
        <f>SUMIFS(Lançamentos!$F:$F,Lançamentos!$A:$A,HE$19,Lançamentos!$C:$C,"Empréstimo Recebido")</f>
        <v>0</v>
      </c>
      <c r="HF32" s="39">
        <f>SUMIFS(Lançamentos!$F:$F,Lançamentos!$A:$A,HF$19,Lançamentos!$C:$C,"Empréstimo Recebido")</f>
        <v>0</v>
      </c>
      <c r="HG32" s="39">
        <f>SUMIFS(Lançamentos!$F:$F,Lançamentos!$A:$A,HG$19,Lançamentos!$C:$C,"Empréstimo Recebido")</f>
        <v>0</v>
      </c>
      <c r="HH32" s="39">
        <f>SUMIFS(Lançamentos!$F:$F,Lançamentos!$A:$A,HH$19,Lançamentos!$C:$C,"Empréstimo Recebido")</f>
        <v>0</v>
      </c>
      <c r="HI32" s="39">
        <f>SUMIFS(Lançamentos!$F:$F,Lançamentos!$A:$A,HI$19,Lançamentos!$C:$C,"Empréstimo Recebido")</f>
        <v>0</v>
      </c>
      <c r="HJ32" s="39">
        <f>SUMIFS(Lançamentos!$F:$F,Lançamentos!$A:$A,HJ$19,Lançamentos!$C:$C,"Empréstimo Recebido")</f>
        <v>0</v>
      </c>
      <c r="HK32" s="39">
        <f>SUMIFS(Lançamentos!$F:$F,Lançamentos!$A:$A,HK$19,Lançamentos!$C:$C,"Empréstimo Recebido")</f>
        <v>0</v>
      </c>
      <c r="HL32" s="39">
        <f>SUMIFS(Lançamentos!$F:$F,Lançamentos!$A:$A,HL$19,Lançamentos!$C:$C,"Empréstimo Recebido")</f>
        <v>0</v>
      </c>
      <c r="HM32" s="39">
        <f>SUMIFS(Lançamentos!$F:$F,Lançamentos!$A:$A,HM$19,Lançamentos!$C:$C,"Empréstimo Recebido")</f>
        <v>0</v>
      </c>
      <c r="HN32" s="39">
        <f>SUMIFS(Lançamentos!$F:$F,Lançamentos!$A:$A,HN$19,Lançamentos!$C:$C,"Empréstimo Recebido")</f>
        <v>0</v>
      </c>
      <c r="HO32" s="39">
        <f>SUMIFS(Lançamentos!$F:$F,Lançamentos!$A:$A,HO$19,Lançamentos!$C:$C,"Empréstimo Recebido")</f>
        <v>0</v>
      </c>
      <c r="HP32" s="39">
        <f>SUMIFS(Lançamentos!$F:$F,Lançamentos!$A:$A,HP$19,Lançamentos!$C:$C,"Empréstimo Recebido")</f>
        <v>0</v>
      </c>
      <c r="HQ32" s="39">
        <f>SUMIFS(Lançamentos!$F:$F,Lançamentos!$A:$A,HQ$19,Lançamentos!$C:$C,"Empréstimo Recebido")</f>
        <v>0</v>
      </c>
      <c r="HR32" s="39">
        <f>SUMIFS(Lançamentos!$F:$F,Lançamentos!$A:$A,HR$19,Lançamentos!$C:$C,"Empréstimo Recebido")</f>
        <v>0</v>
      </c>
      <c r="HS32" s="39">
        <f>SUMIFS(Lançamentos!$F:$F,Lançamentos!$A:$A,HS$19,Lançamentos!$C:$C,"Empréstimo Recebido")</f>
        <v>0</v>
      </c>
      <c r="HT32" s="39">
        <f>SUMIFS(Lançamentos!$F:$F,Lançamentos!$A:$A,HT$19,Lançamentos!$C:$C,"Empréstimo Recebido")</f>
        <v>0</v>
      </c>
      <c r="HU32" s="39">
        <f>SUMIFS(Lançamentos!$F:$F,Lançamentos!$A:$A,HU$19,Lançamentos!$C:$C,"Empréstimo Recebido")</f>
        <v>0</v>
      </c>
      <c r="HV32" s="39">
        <f>SUMIFS(Lançamentos!$F:$F,Lançamentos!$A:$A,HV$19,Lançamentos!$C:$C,"Empréstimo Recebido")</f>
        <v>0</v>
      </c>
      <c r="HW32" s="39">
        <f>SUMIFS(Lançamentos!$F:$F,Lançamentos!$A:$A,HW$19,Lançamentos!$C:$C,"Empréstimo Recebido")</f>
        <v>0</v>
      </c>
      <c r="HX32" s="39">
        <f>SUMIFS(Lançamentos!$F:$F,Lançamentos!$A:$A,HX$19,Lançamentos!$C:$C,"Empréstimo Recebido")</f>
        <v>0</v>
      </c>
      <c r="HY32" s="39">
        <f>SUMIFS(Lançamentos!$F:$F,Lançamentos!$A:$A,HY$19,Lançamentos!$C:$C,"Empréstimo Recebido")</f>
        <v>0</v>
      </c>
      <c r="HZ32" s="39">
        <f>SUMIFS(Lançamentos!$F:$F,Lançamentos!$A:$A,HZ$19,Lançamentos!$C:$C,"Empréstimo Recebido")</f>
        <v>0</v>
      </c>
      <c r="IA32" s="39">
        <f>SUMIFS(Lançamentos!$F:$F,Lançamentos!$A:$A,IA$19,Lançamentos!$C:$C,"Empréstimo Recebido")</f>
        <v>0</v>
      </c>
      <c r="IB32" s="39">
        <f>SUMIFS(Lançamentos!$F:$F,Lançamentos!$A:$A,IB$19,Lançamentos!$C:$C,"Empréstimo Recebido")</f>
        <v>0</v>
      </c>
      <c r="IC32" s="39">
        <f>SUMIFS(Lançamentos!$F:$F,Lançamentos!$A:$A,IC$19,Lançamentos!$C:$C,"Empréstimo Recebido")</f>
        <v>0</v>
      </c>
      <c r="ID32" s="39">
        <f>SUMIFS(Lançamentos!$F:$F,Lançamentos!$A:$A,ID$19,Lançamentos!$C:$C,"Empréstimo Recebido")</f>
        <v>0</v>
      </c>
      <c r="IE32" s="39">
        <f>SUMIFS(Lançamentos!$F:$F,Lançamentos!$A:$A,IE$19,Lançamentos!$C:$C,"Empréstimo Recebido")</f>
        <v>0</v>
      </c>
      <c r="IF32" s="39">
        <f>SUMIFS(Lançamentos!$F:$F,Lançamentos!$A:$A,IF$19,Lançamentos!$C:$C,"Empréstimo Recebido")</f>
        <v>0</v>
      </c>
      <c r="IG32" s="39">
        <f>SUMIFS(Lançamentos!$F:$F,Lançamentos!$A:$A,IG$19,Lançamentos!$C:$C,"Empréstimo Recebido")</f>
        <v>0</v>
      </c>
      <c r="IH32" s="39">
        <f>SUMIFS(Lançamentos!$F:$F,Lançamentos!$A:$A,IH$19,Lançamentos!$C:$C,"Empréstimo Recebido")</f>
        <v>0</v>
      </c>
      <c r="II32" s="39">
        <f>SUMIFS(Lançamentos!$F:$F,Lançamentos!$A:$A,II$19,Lançamentos!$C:$C,"Empréstimo Recebido")</f>
        <v>0</v>
      </c>
      <c r="IJ32" s="39">
        <f>SUMIFS(Lançamentos!$F:$F,Lançamentos!$A:$A,IJ$19,Lançamentos!$C:$C,"Empréstimo Recebido")</f>
        <v>0</v>
      </c>
      <c r="IK32" s="39">
        <f>SUMIFS(Lançamentos!$F:$F,Lançamentos!$A:$A,IK$19,Lançamentos!$C:$C,"Empréstimo Recebido")</f>
        <v>0</v>
      </c>
      <c r="IL32" s="39">
        <f>SUMIFS(Lançamentos!$F:$F,Lançamentos!$A:$A,IL$19,Lançamentos!$C:$C,"Empréstimo Recebido")</f>
        <v>0</v>
      </c>
    </row>
    <row r="33" spans="1:246" x14ac:dyDescent="0.3">
      <c r="A33" s="47" t="s">
        <v>126</v>
      </c>
      <c r="B33" s="48">
        <f t="shared" ref="B33:BM33" si="7">SUM(B22:B32)</f>
        <v>0</v>
      </c>
      <c r="C33" s="48">
        <f t="shared" si="7"/>
        <v>0</v>
      </c>
      <c r="D33" s="48">
        <f t="shared" si="7"/>
        <v>0</v>
      </c>
      <c r="E33" s="48">
        <f t="shared" si="7"/>
        <v>0</v>
      </c>
      <c r="F33" s="48">
        <f t="shared" si="7"/>
        <v>0</v>
      </c>
      <c r="G33" s="48">
        <f t="shared" si="7"/>
        <v>0</v>
      </c>
      <c r="H33" s="48">
        <f t="shared" si="7"/>
        <v>0</v>
      </c>
      <c r="I33" s="48">
        <f t="shared" si="7"/>
        <v>0</v>
      </c>
      <c r="J33" s="48">
        <f t="shared" si="7"/>
        <v>0</v>
      </c>
      <c r="K33" s="48">
        <f t="shared" si="7"/>
        <v>25000</v>
      </c>
      <c r="L33" s="48">
        <f t="shared" si="7"/>
        <v>0</v>
      </c>
      <c r="M33" s="48">
        <f t="shared" si="7"/>
        <v>0</v>
      </c>
      <c r="N33" s="48">
        <f t="shared" si="7"/>
        <v>0</v>
      </c>
      <c r="O33" s="48">
        <f t="shared" si="7"/>
        <v>0</v>
      </c>
      <c r="P33" s="48">
        <f t="shared" si="7"/>
        <v>0</v>
      </c>
      <c r="Q33" s="48">
        <f t="shared" si="7"/>
        <v>0</v>
      </c>
      <c r="R33" s="48">
        <f t="shared" si="7"/>
        <v>0</v>
      </c>
      <c r="S33" s="48">
        <f t="shared" si="7"/>
        <v>0</v>
      </c>
      <c r="T33" s="48">
        <f t="shared" si="7"/>
        <v>0</v>
      </c>
      <c r="U33" s="48">
        <f t="shared" si="7"/>
        <v>0</v>
      </c>
      <c r="V33" s="48">
        <f t="shared" si="7"/>
        <v>0</v>
      </c>
      <c r="W33" s="48">
        <f t="shared" si="7"/>
        <v>0</v>
      </c>
      <c r="X33" s="48">
        <f t="shared" si="7"/>
        <v>0</v>
      </c>
      <c r="Y33" s="48">
        <f t="shared" si="7"/>
        <v>0</v>
      </c>
      <c r="Z33" s="48">
        <f t="shared" si="7"/>
        <v>0</v>
      </c>
      <c r="AA33" s="48">
        <f t="shared" si="7"/>
        <v>0</v>
      </c>
      <c r="AB33" s="48">
        <f t="shared" si="7"/>
        <v>0</v>
      </c>
      <c r="AC33" s="48">
        <f t="shared" si="7"/>
        <v>0</v>
      </c>
      <c r="AD33" s="48">
        <f t="shared" si="7"/>
        <v>0</v>
      </c>
      <c r="AE33" s="48">
        <f t="shared" si="7"/>
        <v>0</v>
      </c>
      <c r="AF33" s="48">
        <f t="shared" si="7"/>
        <v>0</v>
      </c>
      <c r="AG33" s="48">
        <f t="shared" si="7"/>
        <v>0</v>
      </c>
      <c r="AH33" s="48">
        <f t="shared" si="7"/>
        <v>0</v>
      </c>
      <c r="AI33" s="48">
        <f t="shared" si="7"/>
        <v>0</v>
      </c>
      <c r="AJ33" s="48">
        <f t="shared" si="7"/>
        <v>0</v>
      </c>
      <c r="AK33" s="48">
        <f t="shared" si="7"/>
        <v>0</v>
      </c>
      <c r="AL33" s="48">
        <f t="shared" si="7"/>
        <v>0</v>
      </c>
      <c r="AM33" s="48">
        <f t="shared" si="7"/>
        <v>0</v>
      </c>
      <c r="AN33" s="48">
        <f t="shared" si="7"/>
        <v>0</v>
      </c>
      <c r="AO33" s="48">
        <f t="shared" si="7"/>
        <v>0</v>
      </c>
      <c r="AP33" s="48">
        <f t="shared" si="7"/>
        <v>0</v>
      </c>
      <c r="AQ33" s="48">
        <f t="shared" si="7"/>
        <v>0</v>
      </c>
      <c r="AR33" s="48">
        <f t="shared" si="7"/>
        <v>0</v>
      </c>
      <c r="AS33" s="48">
        <f t="shared" si="7"/>
        <v>0</v>
      </c>
      <c r="AT33" s="48">
        <f t="shared" si="7"/>
        <v>0</v>
      </c>
      <c r="AU33" s="48">
        <f t="shared" si="7"/>
        <v>0</v>
      </c>
      <c r="AV33" s="48">
        <f t="shared" si="7"/>
        <v>0</v>
      </c>
      <c r="AW33" s="48">
        <f t="shared" si="7"/>
        <v>0</v>
      </c>
      <c r="AX33" s="48">
        <f t="shared" si="7"/>
        <v>0</v>
      </c>
      <c r="AY33" s="48">
        <f t="shared" si="7"/>
        <v>0</v>
      </c>
      <c r="AZ33" s="48">
        <f t="shared" si="7"/>
        <v>0</v>
      </c>
      <c r="BA33" s="48">
        <f t="shared" si="7"/>
        <v>0</v>
      </c>
      <c r="BB33" s="48">
        <f t="shared" si="7"/>
        <v>0</v>
      </c>
      <c r="BC33" s="48">
        <f t="shared" si="7"/>
        <v>0</v>
      </c>
      <c r="BD33" s="48">
        <f t="shared" si="7"/>
        <v>0</v>
      </c>
      <c r="BE33" s="48">
        <f t="shared" si="7"/>
        <v>0</v>
      </c>
      <c r="BF33" s="48">
        <f t="shared" si="7"/>
        <v>0</v>
      </c>
      <c r="BG33" s="48">
        <f t="shared" si="7"/>
        <v>0</v>
      </c>
      <c r="BH33" s="48">
        <f t="shared" si="7"/>
        <v>0</v>
      </c>
      <c r="BI33" s="48">
        <f t="shared" si="7"/>
        <v>0</v>
      </c>
      <c r="BJ33" s="48">
        <f t="shared" si="7"/>
        <v>0</v>
      </c>
      <c r="BK33" s="48">
        <f t="shared" si="7"/>
        <v>0</v>
      </c>
      <c r="BL33" s="48">
        <f t="shared" si="7"/>
        <v>0</v>
      </c>
      <c r="BM33" s="48">
        <f t="shared" si="7"/>
        <v>0</v>
      </c>
      <c r="BN33" s="48">
        <f t="shared" ref="BN33:DY33" si="8">SUM(BN22:BN32)</f>
        <v>0</v>
      </c>
      <c r="BO33" s="48">
        <f t="shared" si="8"/>
        <v>0</v>
      </c>
      <c r="BP33" s="48">
        <f t="shared" si="8"/>
        <v>0</v>
      </c>
      <c r="BQ33" s="48">
        <f t="shared" si="8"/>
        <v>0</v>
      </c>
      <c r="BR33" s="48">
        <f t="shared" si="8"/>
        <v>0</v>
      </c>
      <c r="BS33" s="48">
        <f t="shared" si="8"/>
        <v>0</v>
      </c>
      <c r="BT33" s="48">
        <f t="shared" si="8"/>
        <v>0</v>
      </c>
      <c r="BU33" s="48">
        <f t="shared" si="8"/>
        <v>0</v>
      </c>
      <c r="BV33" s="48">
        <f t="shared" si="8"/>
        <v>0</v>
      </c>
      <c r="BW33" s="48">
        <f t="shared" si="8"/>
        <v>0</v>
      </c>
      <c r="BX33" s="48">
        <f t="shared" si="8"/>
        <v>0</v>
      </c>
      <c r="BY33" s="48">
        <f t="shared" si="8"/>
        <v>0</v>
      </c>
      <c r="BZ33" s="48">
        <f t="shared" si="8"/>
        <v>0</v>
      </c>
      <c r="CA33" s="48">
        <f t="shared" si="8"/>
        <v>0</v>
      </c>
      <c r="CB33" s="48">
        <f t="shared" si="8"/>
        <v>0</v>
      </c>
      <c r="CC33" s="48">
        <f t="shared" si="8"/>
        <v>0</v>
      </c>
      <c r="CD33" s="48">
        <f t="shared" si="8"/>
        <v>0</v>
      </c>
      <c r="CE33" s="48">
        <f t="shared" si="8"/>
        <v>0</v>
      </c>
      <c r="CF33" s="48">
        <f t="shared" si="8"/>
        <v>0</v>
      </c>
      <c r="CG33" s="48">
        <f t="shared" si="8"/>
        <v>0</v>
      </c>
      <c r="CH33" s="48">
        <f t="shared" si="8"/>
        <v>0</v>
      </c>
      <c r="CI33" s="48">
        <f t="shared" si="8"/>
        <v>0</v>
      </c>
      <c r="CJ33" s="48">
        <f t="shared" si="8"/>
        <v>0</v>
      </c>
      <c r="CK33" s="48">
        <f t="shared" si="8"/>
        <v>0</v>
      </c>
      <c r="CL33" s="48">
        <f t="shared" si="8"/>
        <v>0</v>
      </c>
      <c r="CM33" s="48">
        <f t="shared" si="8"/>
        <v>0</v>
      </c>
      <c r="CN33" s="48">
        <f t="shared" si="8"/>
        <v>0</v>
      </c>
      <c r="CO33" s="48">
        <f t="shared" si="8"/>
        <v>0</v>
      </c>
      <c r="CP33" s="48">
        <f t="shared" si="8"/>
        <v>0</v>
      </c>
      <c r="CQ33" s="48">
        <f t="shared" si="8"/>
        <v>0</v>
      </c>
      <c r="CR33" s="48">
        <f t="shared" si="8"/>
        <v>0</v>
      </c>
      <c r="CS33" s="48">
        <f t="shared" si="8"/>
        <v>0</v>
      </c>
      <c r="CT33" s="48">
        <f t="shared" si="8"/>
        <v>0</v>
      </c>
      <c r="CU33" s="48">
        <f t="shared" si="8"/>
        <v>0</v>
      </c>
      <c r="CV33" s="48">
        <f t="shared" si="8"/>
        <v>0</v>
      </c>
      <c r="CW33" s="48">
        <f t="shared" si="8"/>
        <v>0</v>
      </c>
      <c r="CX33" s="48">
        <f t="shared" si="8"/>
        <v>0</v>
      </c>
      <c r="CY33" s="48">
        <f t="shared" si="8"/>
        <v>0</v>
      </c>
      <c r="CZ33" s="48">
        <f t="shared" si="8"/>
        <v>0</v>
      </c>
      <c r="DA33" s="48">
        <f t="shared" si="8"/>
        <v>0</v>
      </c>
      <c r="DB33" s="48">
        <f t="shared" si="8"/>
        <v>0</v>
      </c>
      <c r="DC33" s="48">
        <f t="shared" si="8"/>
        <v>0</v>
      </c>
      <c r="DD33" s="48">
        <f t="shared" si="8"/>
        <v>0</v>
      </c>
      <c r="DE33" s="48">
        <f t="shared" si="8"/>
        <v>0</v>
      </c>
      <c r="DF33" s="48">
        <f t="shared" si="8"/>
        <v>0</v>
      </c>
      <c r="DG33" s="48">
        <f t="shared" si="8"/>
        <v>0</v>
      </c>
      <c r="DH33" s="48">
        <f t="shared" si="8"/>
        <v>0</v>
      </c>
      <c r="DI33" s="48">
        <f t="shared" si="8"/>
        <v>0</v>
      </c>
      <c r="DJ33" s="48">
        <f t="shared" si="8"/>
        <v>0</v>
      </c>
      <c r="DK33" s="48">
        <f t="shared" si="8"/>
        <v>0</v>
      </c>
      <c r="DL33" s="48">
        <f t="shared" si="8"/>
        <v>0</v>
      </c>
      <c r="DM33" s="48">
        <f t="shared" si="8"/>
        <v>0</v>
      </c>
      <c r="DN33" s="48">
        <f t="shared" si="8"/>
        <v>0</v>
      </c>
      <c r="DO33" s="48">
        <f t="shared" si="8"/>
        <v>0</v>
      </c>
      <c r="DP33" s="48">
        <f t="shared" si="8"/>
        <v>0</v>
      </c>
      <c r="DQ33" s="48">
        <f t="shared" si="8"/>
        <v>0</v>
      </c>
      <c r="DR33" s="48">
        <f t="shared" si="8"/>
        <v>0</v>
      </c>
      <c r="DS33" s="48">
        <f t="shared" si="8"/>
        <v>0</v>
      </c>
      <c r="DT33" s="48">
        <f t="shared" si="8"/>
        <v>0</v>
      </c>
      <c r="DU33" s="48">
        <f t="shared" si="8"/>
        <v>0</v>
      </c>
      <c r="DV33" s="48">
        <f t="shared" si="8"/>
        <v>0</v>
      </c>
      <c r="DW33" s="48">
        <f t="shared" si="8"/>
        <v>0</v>
      </c>
      <c r="DX33" s="48">
        <f t="shared" si="8"/>
        <v>0</v>
      </c>
      <c r="DY33" s="48">
        <f t="shared" si="8"/>
        <v>0</v>
      </c>
      <c r="DZ33" s="48">
        <f t="shared" ref="DZ33:GK33" si="9">SUM(DZ22:DZ32)</f>
        <v>0</v>
      </c>
      <c r="EA33" s="48">
        <f t="shared" si="9"/>
        <v>0</v>
      </c>
      <c r="EB33" s="48">
        <f t="shared" si="9"/>
        <v>0</v>
      </c>
      <c r="EC33" s="48">
        <f t="shared" si="9"/>
        <v>0</v>
      </c>
      <c r="ED33" s="48">
        <f t="shared" si="9"/>
        <v>0</v>
      </c>
      <c r="EE33" s="48">
        <f t="shared" si="9"/>
        <v>0</v>
      </c>
      <c r="EF33" s="48">
        <f t="shared" si="9"/>
        <v>0</v>
      </c>
      <c r="EG33" s="48">
        <f t="shared" si="9"/>
        <v>0</v>
      </c>
      <c r="EH33" s="48">
        <f t="shared" si="9"/>
        <v>0</v>
      </c>
      <c r="EI33" s="48">
        <f t="shared" si="9"/>
        <v>0</v>
      </c>
      <c r="EJ33" s="48">
        <f t="shared" si="9"/>
        <v>0</v>
      </c>
      <c r="EK33" s="48">
        <f t="shared" si="9"/>
        <v>0</v>
      </c>
      <c r="EL33" s="48">
        <f t="shared" si="9"/>
        <v>0</v>
      </c>
      <c r="EM33" s="48">
        <f t="shared" si="9"/>
        <v>0</v>
      </c>
      <c r="EN33" s="48">
        <f t="shared" si="9"/>
        <v>0</v>
      </c>
      <c r="EO33" s="48">
        <f t="shared" si="9"/>
        <v>0</v>
      </c>
      <c r="EP33" s="48">
        <f t="shared" si="9"/>
        <v>0</v>
      </c>
      <c r="EQ33" s="48">
        <f t="shared" si="9"/>
        <v>0</v>
      </c>
      <c r="ER33" s="48">
        <f t="shared" si="9"/>
        <v>0</v>
      </c>
      <c r="ES33" s="48">
        <f t="shared" si="9"/>
        <v>0</v>
      </c>
      <c r="ET33" s="48">
        <f t="shared" si="9"/>
        <v>0</v>
      </c>
      <c r="EU33" s="48">
        <f t="shared" si="9"/>
        <v>0</v>
      </c>
      <c r="EV33" s="48">
        <f t="shared" si="9"/>
        <v>0</v>
      </c>
      <c r="EW33" s="48">
        <f t="shared" si="9"/>
        <v>0</v>
      </c>
      <c r="EX33" s="48">
        <f t="shared" si="9"/>
        <v>0</v>
      </c>
      <c r="EY33" s="48">
        <f t="shared" si="9"/>
        <v>0</v>
      </c>
      <c r="EZ33" s="48">
        <f t="shared" si="9"/>
        <v>0</v>
      </c>
      <c r="FA33" s="48">
        <f t="shared" si="9"/>
        <v>0</v>
      </c>
      <c r="FB33" s="48">
        <f t="shared" si="9"/>
        <v>0</v>
      </c>
      <c r="FC33" s="48">
        <f t="shared" si="9"/>
        <v>0</v>
      </c>
      <c r="FD33" s="48">
        <f t="shared" si="9"/>
        <v>0</v>
      </c>
      <c r="FE33" s="48">
        <f t="shared" si="9"/>
        <v>0</v>
      </c>
      <c r="FF33" s="48">
        <f t="shared" si="9"/>
        <v>0</v>
      </c>
      <c r="FG33" s="48">
        <f t="shared" si="9"/>
        <v>0</v>
      </c>
      <c r="FH33" s="48">
        <f t="shared" si="9"/>
        <v>0</v>
      </c>
      <c r="FI33" s="48">
        <f t="shared" si="9"/>
        <v>0</v>
      </c>
      <c r="FJ33" s="48">
        <f t="shared" si="9"/>
        <v>0</v>
      </c>
      <c r="FK33" s="48">
        <f t="shared" si="9"/>
        <v>0</v>
      </c>
      <c r="FL33" s="48">
        <f t="shared" si="9"/>
        <v>0</v>
      </c>
      <c r="FM33" s="48">
        <f t="shared" si="9"/>
        <v>0</v>
      </c>
      <c r="FN33" s="48">
        <f t="shared" si="9"/>
        <v>0</v>
      </c>
      <c r="FO33" s="48">
        <f t="shared" si="9"/>
        <v>0</v>
      </c>
      <c r="FP33" s="48">
        <f t="shared" si="9"/>
        <v>0</v>
      </c>
      <c r="FQ33" s="48">
        <f t="shared" si="9"/>
        <v>0</v>
      </c>
      <c r="FR33" s="48">
        <f t="shared" si="9"/>
        <v>0</v>
      </c>
      <c r="FS33" s="48">
        <f t="shared" si="9"/>
        <v>0</v>
      </c>
      <c r="FT33" s="48">
        <f t="shared" si="9"/>
        <v>0</v>
      </c>
      <c r="FU33" s="48">
        <f t="shared" si="9"/>
        <v>0</v>
      </c>
      <c r="FV33" s="48">
        <f t="shared" si="9"/>
        <v>0</v>
      </c>
      <c r="FW33" s="48">
        <f t="shared" si="9"/>
        <v>0</v>
      </c>
      <c r="FX33" s="48">
        <f t="shared" si="9"/>
        <v>0</v>
      </c>
      <c r="FY33" s="48">
        <f t="shared" si="9"/>
        <v>0</v>
      </c>
      <c r="FZ33" s="48">
        <f t="shared" si="9"/>
        <v>0</v>
      </c>
      <c r="GA33" s="48">
        <f t="shared" si="9"/>
        <v>0</v>
      </c>
      <c r="GB33" s="48">
        <f t="shared" si="9"/>
        <v>0</v>
      </c>
      <c r="GC33" s="48">
        <f t="shared" si="9"/>
        <v>0</v>
      </c>
      <c r="GD33" s="48">
        <f t="shared" si="9"/>
        <v>0</v>
      </c>
      <c r="GE33" s="48">
        <f t="shared" si="9"/>
        <v>0</v>
      </c>
      <c r="GF33" s="48">
        <f t="shared" si="9"/>
        <v>0</v>
      </c>
      <c r="GG33" s="48">
        <f t="shared" si="9"/>
        <v>0</v>
      </c>
      <c r="GH33" s="48">
        <f t="shared" si="9"/>
        <v>0</v>
      </c>
      <c r="GI33" s="48">
        <f t="shared" si="9"/>
        <v>0</v>
      </c>
      <c r="GJ33" s="48">
        <f t="shared" si="9"/>
        <v>0</v>
      </c>
      <c r="GK33" s="48">
        <f t="shared" si="9"/>
        <v>0</v>
      </c>
      <c r="GL33" s="48">
        <f t="shared" ref="GL33:IL33" si="10">SUM(GL22:GL32)</f>
        <v>0</v>
      </c>
      <c r="GM33" s="48">
        <f t="shared" si="10"/>
        <v>0</v>
      </c>
      <c r="GN33" s="48">
        <f t="shared" si="10"/>
        <v>0</v>
      </c>
      <c r="GO33" s="48">
        <f t="shared" si="10"/>
        <v>0</v>
      </c>
      <c r="GP33" s="48">
        <f t="shared" si="10"/>
        <v>0</v>
      </c>
      <c r="GQ33" s="48">
        <f t="shared" si="10"/>
        <v>0</v>
      </c>
      <c r="GR33" s="48">
        <f t="shared" si="10"/>
        <v>0</v>
      </c>
      <c r="GS33" s="48">
        <f t="shared" si="10"/>
        <v>0</v>
      </c>
      <c r="GT33" s="48">
        <f t="shared" si="10"/>
        <v>0</v>
      </c>
      <c r="GU33" s="48">
        <f t="shared" si="10"/>
        <v>0</v>
      </c>
      <c r="GV33" s="48">
        <f t="shared" si="10"/>
        <v>0</v>
      </c>
      <c r="GW33" s="48">
        <f t="shared" si="10"/>
        <v>0</v>
      </c>
      <c r="GX33" s="48">
        <f t="shared" si="10"/>
        <v>0</v>
      </c>
      <c r="GY33" s="48">
        <f t="shared" si="10"/>
        <v>0</v>
      </c>
      <c r="GZ33" s="48">
        <f t="shared" si="10"/>
        <v>0</v>
      </c>
      <c r="HA33" s="48">
        <f t="shared" si="10"/>
        <v>0</v>
      </c>
      <c r="HB33" s="48">
        <f t="shared" si="10"/>
        <v>0</v>
      </c>
      <c r="HC33" s="48">
        <f t="shared" si="10"/>
        <v>0</v>
      </c>
      <c r="HD33" s="48">
        <f t="shared" si="10"/>
        <v>0</v>
      </c>
      <c r="HE33" s="48">
        <f t="shared" si="10"/>
        <v>0</v>
      </c>
      <c r="HF33" s="48">
        <f t="shared" si="10"/>
        <v>0</v>
      </c>
      <c r="HG33" s="48">
        <f t="shared" si="10"/>
        <v>0</v>
      </c>
      <c r="HH33" s="48">
        <f t="shared" si="10"/>
        <v>0</v>
      </c>
      <c r="HI33" s="48">
        <f t="shared" si="10"/>
        <v>0</v>
      </c>
      <c r="HJ33" s="48">
        <f t="shared" si="10"/>
        <v>0</v>
      </c>
      <c r="HK33" s="48">
        <f t="shared" si="10"/>
        <v>0</v>
      </c>
      <c r="HL33" s="48">
        <f t="shared" si="10"/>
        <v>0</v>
      </c>
      <c r="HM33" s="48">
        <f t="shared" si="10"/>
        <v>0</v>
      </c>
      <c r="HN33" s="48">
        <f t="shared" si="10"/>
        <v>0</v>
      </c>
      <c r="HO33" s="48">
        <f t="shared" si="10"/>
        <v>0</v>
      </c>
      <c r="HP33" s="48">
        <f t="shared" si="10"/>
        <v>0</v>
      </c>
      <c r="HQ33" s="48">
        <f t="shared" si="10"/>
        <v>0</v>
      </c>
      <c r="HR33" s="48">
        <f t="shared" si="10"/>
        <v>0</v>
      </c>
      <c r="HS33" s="48">
        <f t="shared" si="10"/>
        <v>0</v>
      </c>
      <c r="HT33" s="48">
        <f t="shared" si="10"/>
        <v>0</v>
      </c>
      <c r="HU33" s="48">
        <f t="shared" si="10"/>
        <v>0</v>
      </c>
      <c r="HV33" s="48">
        <f t="shared" si="10"/>
        <v>0</v>
      </c>
      <c r="HW33" s="48">
        <f t="shared" si="10"/>
        <v>0</v>
      </c>
      <c r="HX33" s="48">
        <f t="shared" si="10"/>
        <v>0</v>
      </c>
      <c r="HY33" s="48">
        <f t="shared" si="10"/>
        <v>0</v>
      </c>
      <c r="HZ33" s="48">
        <f t="shared" si="10"/>
        <v>0</v>
      </c>
      <c r="IA33" s="48">
        <f t="shared" si="10"/>
        <v>0</v>
      </c>
      <c r="IB33" s="48">
        <f t="shared" si="10"/>
        <v>0</v>
      </c>
      <c r="IC33" s="48">
        <f t="shared" si="10"/>
        <v>0</v>
      </c>
      <c r="ID33" s="48">
        <f t="shared" si="10"/>
        <v>0</v>
      </c>
      <c r="IE33" s="48">
        <f t="shared" si="10"/>
        <v>0</v>
      </c>
      <c r="IF33" s="48">
        <f t="shared" si="10"/>
        <v>0</v>
      </c>
      <c r="IG33" s="48">
        <f t="shared" si="10"/>
        <v>0</v>
      </c>
      <c r="IH33" s="48">
        <f t="shared" si="10"/>
        <v>0</v>
      </c>
      <c r="II33" s="48">
        <f t="shared" si="10"/>
        <v>0</v>
      </c>
      <c r="IJ33" s="48">
        <f t="shared" si="10"/>
        <v>0</v>
      </c>
      <c r="IK33" s="48">
        <f t="shared" si="10"/>
        <v>0</v>
      </c>
      <c r="IL33" s="48">
        <f t="shared" si="10"/>
        <v>0</v>
      </c>
    </row>
    <row r="34" spans="1:246" x14ac:dyDescent="0.3">
      <c r="A34" s="27" t="s">
        <v>127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</row>
    <row r="35" spans="1:246" x14ac:dyDescent="0.3">
      <c r="A35" t="s">
        <v>8</v>
      </c>
      <c r="B35" s="39">
        <f>SUMIFS(Lançamentos!$G:$G,Lançamentos!$A:$A,B$19,Lançamentos!$C:$C,"Impostos sobre Vendas")</f>
        <v>0</v>
      </c>
      <c r="C35" s="39">
        <f>SUMIFS(Lançamentos!$G:$G,Lançamentos!$A:$A,C$19,Lançamentos!$C:$C,"Impostos sobre Vendas")</f>
        <v>0</v>
      </c>
      <c r="D35" s="39">
        <f>SUMIFS(Lançamentos!$G:$G,Lançamentos!$A:$A,D$19,Lançamentos!$C:$C,"Impostos sobre Vendas")</f>
        <v>0</v>
      </c>
      <c r="E35" s="39">
        <f>SUMIFS(Lançamentos!$G:$G,Lançamentos!$A:$A,E$19,Lançamentos!$C:$C,"Impostos sobre Vendas")</f>
        <v>0</v>
      </c>
      <c r="F35" s="39">
        <f>SUMIFS(Lançamentos!$G:$G,Lançamentos!$A:$A,F$19,Lançamentos!$C:$C,"Impostos sobre Vendas")</f>
        <v>0</v>
      </c>
      <c r="G35" s="39">
        <f>SUMIFS(Lançamentos!$G:$G,Lançamentos!$A:$A,G$19,Lançamentos!$C:$C,"Impostos sobre Vendas")</f>
        <v>0</v>
      </c>
      <c r="H35" s="39">
        <f>SUMIFS(Lançamentos!$G:$G,Lançamentos!$A:$A,H$19,Lançamentos!$C:$C,"Impostos sobre Vendas")</f>
        <v>0</v>
      </c>
      <c r="I35" s="39">
        <f>SUMIFS(Lançamentos!$G:$G,Lançamentos!$A:$A,I$19,Lançamentos!$C:$C,"Impostos sobre Vendas")</f>
        <v>0</v>
      </c>
      <c r="J35" s="39">
        <f>SUMIFS(Lançamentos!$G:$G,Lançamentos!$A:$A,J$19,Lançamentos!$C:$C,"Impostos sobre Vendas")</f>
        <v>0</v>
      </c>
      <c r="K35" s="39">
        <f>SUMIFS(Lançamentos!$G:$G,Lançamentos!$A:$A,K$19,Lançamentos!$C:$C,"Impostos sobre Vendas")</f>
        <v>0</v>
      </c>
      <c r="L35" s="39">
        <f>SUMIFS(Lançamentos!$G:$G,Lançamentos!$A:$A,L$19,Lançamentos!$C:$C,"Impostos sobre Vendas")</f>
        <v>0</v>
      </c>
      <c r="M35" s="39">
        <f>SUMIFS(Lançamentos!$G:$G,Lançamentos!$A:$A,M$19,Lançamentos!$C:$C,"Impostos sobre Vendas")</f>
        <v>0</v>
      </c>
      <c r="N35" s="39">
        <f>SUMIFS(Lançamentos!$G:$G,Lançamentos!$A:$A,N$19,Lançamentos!$C:$C,"Impostos sobre Vendas")</f>
        <v>0</v>
      </c>
      <c r="O35" s="39">
        <f>SUMIFS(Lançamentos!$G:$G,Lançamentos!$A:$A,O$19,Lançamentos!$C:$C,"Impostos sobre Vendas")</f>
        <v>0</v>
      </c>
      <c r="P35" s="39">
        <f>SUMIFS(Lançamentos!$G:$G,Lançamentos!$A:$A,P$19,Lançamentos!$C:$C,"Impostos sobre Vendas")</f>
        <v>0</v>
      </c>
      <c r="Q35" s="39">
        <f>SUMIFS(Lançamentos!$G:$G,Lançamentos!$A:$A,Q$19,Lançamentos!$C:$C,"Impostos sobre Vendas")</f>
        <v>0</v>
      </c>
      <c r="R35" s="39">
        <f>SUMIFS(Lançamentos!$G:$G,Lançamentos!$A:$A,R$19,Lançamentos!$C:$C,"Impostos sobre Vendas")</f>
        <v>0</v>
      </c>
      <c r="S35" s="39">
        <f>SUMIFS(Lançamentos!$G:$G,Lançamentos!$A:$A,S$19,Lançamentos!$C:$C,"Impostos sobre Vendas")</f>
        <v>0</v>
      </c>
      <c r="T35" s="39">
        <f>SUMIFS(Lançamentos!$G:$G,Lançamentos!$A:$A,T$19,Lançamentos!$C:$C,"Impostos sobre Vendas")</f>
        <v>0</v>
      </c>
      <c r="U35" s="39">
        <f>SUMIFS(Lançamentos!$G:$G,Lançamentos!$A:$A,U$19,Lançamentos!$C:$C,"Impostos sobre Vendas")</f>
        <v>0</v>
      </c>
      <c r="V35" s="39">
        <f>SUMIFS(Lançamentos!$G:$G,Lançamentos!$A:$A,V$19,Lançamentos!$C:$C,"Impostos sobre Vendas")</f>
        <v>0</v>
      </c>
      <c r="W35" s="39">
        <f>SUMIFS(Lançamentos!$G:$G,Lançamentos!$A:$A,W$19,Lançamentos!$C:$C,"Impostos sobre Vendas")</f>
        <v>0</v>
      </c>
      <c r="X35" s="39">
        <f>SUMIFS(Lançamentos!$G:$G,Lançamentos!$A:$A,X$19,Lançamentos!$C:$C,"Impostos sobre Vendas")</f>
        <v>0</v>
      </c>
      <c r="Y35" s="39">
        <f>SUMIFS(Lançamentos!$G:$G,Lançamentos!$A:$A,Y$19,Lançamentos!$C:$C,"Impostos sobre Vendas")</f>
        <v>0</v>
      </c>
      <c r="Z35" s="39">
        <f>SUMIFS(Lançamentos!$G:$G,Lançamentos!$A:$A,Z$19,Lançamentos!$C:$C,"Impostos sobre Vendas")</f>
        <v>0</v>
      </c>
      <c r="AA35" s="39">
        <f>SUMIFS(Lançamentos!$G:$G,Lançamentos!$A:$A,AA$19,Lançamentos!$C:$C,"Impostos sobre Vendas")</f>
        <v>0</v>
      </c>
      <c r="AB35" s="39">
        <f>SUMIFS(Lançamentos!$G:$G,Lançamentos!$A:$A,AB$19,Lançamentos!$C:$C,"Impostos sobre Vendas")</f>
        <v>0</v>
      </c>
      <c r="AC35" s="39">
        <f>SUMIFS(Lançamentos!$G:$G,Lançamentos!$A:$A,AC$19,Lançamentos!$C:$C,"Impostos sobre Vendas")</f>
        <v>0</v>
      </c>
      <c r="AD35" s="39">
        <f>SUMIFS(Lançamentos!$G:$G,Lançamentos!$A:$A,AD$19,Lançamentos!$C:$C,"Impostos sobre Vendas")</f>
        <v>0</v>
      </c>
      <c r="AE35" s="39">
        <f>SUMIFS(Lançamentos!$G:$G,Lançamentos!$A:$A,AE$19,Lançamentos!$C:$C,"Impostos sobre Vendas")</f>
        <v>0</v>
      </c>
      <c r="AF35" s="39">
        <f>SUMIFS(Lançamentos!$G:$G,Lançamentos!$A:$A,AF$19,Lançamentos!$C:$C,"Impostos sobre Vendas")</f>
        <v>0</v>
      </c>
      <c r="AG35" s="39">
        <f>SUMIFS(Lançamentos!$G:$G,Lançamentos!$A:$A,AG$19,Lançamentos!$C:$C,"Impostos sobre Vendas")</f>
        <v>0</v>
      </c>
      <c r="AH35" s="39">
        <f>SUMIFS(Lançamentos!$G:$G,Lançamentos!$A:$A,AH$19,Lançamentos!$C:$C,"Impostos sobre Vendas")</f>
        <v>0</v>
      </c>
      <c r="AI35" s="39">
        <f>SUMIFS(Lançamentos!$G:$G,Lançamentos!$A:$A,AI$19,Lançamentos!$C:$C,"Impostos sobre Vendas")</f>
        <v>0</v>
      </c>
      <c r="AJ35" s="39">
        <f>SUMIFS(Lançamentos!$G:$G,Lançamentos!$A:$A,AJ$19,Lançamentos!$C:$C,"Impostos sobre Vendas")</f>
        <v>0</v>
      </c>
      <c r="AK35" s="39">
        <f>SUMIFS(Lançamentos!$G:$G,Lançamentos!$A:$A,AK$19,Lançamentos!$C:$C,"Impostos sobre Vendas")</f>
        <v>0</v>
      </c>
      <c r="AL35" s="39">
        <f>SUMIFS(Lançamentos!$G:$G,Lançamentos!$A:$A,AL$19,Lançamentos!$C:$C,"Impostos sobre Vendas")</f>
        <v>0</v>
      </c>
      <c r="AM35" s="39">
        <f>SUMIFS(Lançamentos!$G:$G,Lançamentos!$A:$A,AM$19,Lançamentos!$C:$C,"Impostos sobre Vendas")</f>
        <v>0</v>
      </c>
      <c r="AN35" s="39">
        <f>SUMIFS(Lançamentos!$G:$G,Lançamentos!$A:$A,AN$19,Lançamentos!$C:$C,"Impostos sobre Vendas")</f>
        <v>0</v>
      </c>
      <c r="AO35" s="39">
        <f>SUMIFS(Lançamentos!$G:$G,Lançamentos!$A:$A,AO$19,Lançamentos!$C:$C,"Impostos sobre Vendas")</f>
        <v>0</v>
      </c>
      <c r="AP35" s="39">
        <f>SUMIFS(Lançamentos!$G:$G,Lançamentos!$A:$A,AP$19,Lançamentos!$C:$C,"Impostos sobre Vendas")</f>
        <v>0</v>
      </c>
      <c r="AQ35" s="39">
        <f>SUMIFS(Lançamentos!$G:$G,Lançamentos!$A:$A,AQ$19,Lançamentos!$C:$C,"Impostos sobre Vendas")</f>
        <v>0</v>
      </c>
      <c r="AR35" s="39">
        <f>SUMIFS(Lançamentos!$G:$G,Lançamentos!$A:$A,AR$19,Lançamentos!$C:$C,"Impostos sobre Vendas")</f>
        <v>0</v>
      </c>
      <c r="AS35" s="39">
        <f>SUMIFS(Lançamentos!$G:$G,Lançamentos!$A:$A,AS$19,Lançamentos!$C:$C,"Impostos sobre Vendas")</f>
        <v>0</v>
      </c>
      <c r="AT35" s="39">
        <f>SUMIFS(Lançamentos!$G:$G,Lançamentos!$A:$A,AT$19,Lançamentos!$C:$C,"Impostos sobre Vendas")</f>
        <v>0</v>
      </c>
      <c r="AU35" s="39">
        <f>SUMIFS(Lançamentos!$G:$G,Lançamentos!$A:$A,AU$19,Lançamentos!$C:$C,"Impostos sobre Vendas")</f>
        <v>0</v>
      </c>
      <c r="AV35" s="39">
        <f>SUMIFS(Lançamentos!$G:$G,Lançamentos!$A:$A,AV$19,Lançamentos!$C:$C,"Impostos sobre Vendas")</f>
        <v>0</v>
      </c>
      <c r="AW35" s="39">
        <f>SUMIFS(Lançamentos!$G:$G,Lançamentos!$A:$A,AW$19,Lançamentos!$C:$C,"Impostos sobre Vendas")</f>
        <v>0</v>
      </c>
      <c r="AX35" s="39">
        <f>SUMIFS(Lançamentos!$G:$G,Lançamentos!$A:$A,AX$19,Lançamentos!$C:$C,"Impostos sobre Vendas")</f>
        <v>0</v>
      </c>
      <c r="AY35" s="39">
        <f>SUMIFS(Lançamentos!$G:$G,Lançamentos!$A:$A,AY$19,Lançamentos!$C:$C,"Impostos sobre Vendas")</f>
        <v>0</v>
      </c>
      <c r="AZ35" s="39">
        <f>SUMIFS(Lançamentos!$G:$G,Lançamentos!$A:$A,AZ$19,Lançamentos!$C:$C,"Impostos sobre Vendas")</f>
        <v>0</v>
      </c>
      <c r="BA35" s="39">
        <f>SUMIFS(Lançamentos!$G:$G,Lançamentos!$A:$A,BA$19,Lançamentos!$C:$C,"Impostos sobre Vendas")</f>
        <v>0</v>
      </c>
      <c r="BB35" s="39">
        <f>SUMIFS(Lançamentos!$G:$G,Lançamentos!$A:$A,BB$19,Lançamentos!$C:$C,"Impostos sobre Vendas")</f>
        <v>0</v>
      </c>
      <c r="BC35" s="39">
        <f>SUMIFS(Lançamentos!$G:$G,Lançamentos!$A:$A,BC$19,Lançamentos!$C:$C,"Impostos sobre Vendas")</f>
        <v>0</v>
      </c>
      <c r="BD35" s="39">
        <f>SUMIFS(Lançamentos!$G:$G,Lançamentos!$A:$A,BD$19,Lançamentos!$C:$C,"Impostos sobre Vendas")</f>
        <v>0</v>
      </c>
      <c r="BE35" s="39">
        <f>SUMIFS(Lançamentos!$G:$G,Lançamentos!$A:$A,BE$19,Lançamentos!$C:$C,"Impostos sobre Vendas")</f>
        <v>0</v>
      </c>
      <c r="BF35" s="39">
        <f>SUMIFS(Lançamentos!$G:$G,Lançamentos!$A:$A,BF$19,Lançamentos!$C:$C,"Impostos sobre Vendas")</f>
        <v>0</v>
      </c>
      <c r="BG35" s="39">
        <f>SUMIFS(Lançamentos!$G:$G,Lançamentos!$A:$A,BG$19,Lançamentos!$C:$C,"Impostos sobre Vendas")</f>
        <v>0</v>
      </c>
      <c r="BH35" s="39">
        <f>SUMIFS(Lançamentos!$G:$G,Lançamentos!$A:$A,BH$19,Lançamentos!$C:$C,"Impostos sobre Vendas")</f>
        <v>0</v>
      </c>
      <c r="BI35" s="39">
        <f>SUMIFS(Lançamentos!$G:$G,Lançamentos!$A:$A,BI$19,Lançamentos!$C:$C,"Impostos sobre Vendas")</f>
        <v>0</v>
      </c>
      <c r="BJ35" s="39">
        <f>SUMIFS(Lançamentos!$G:$G,Lançamentos!$A:$A,BJ$19,Lançamentos!$C:$C,"Impostos sobre Vendas")</f>
        <v>0</v>
      </c>
      <c r="BK35" s="39">
        <f>SUMIFS(Lançamentos!$G:$G,Lançamentos!$A:$A,BK$19,Lançamentos!$C:$C,"Impostos sobre Vendas")</f>
        <v>0</v>
      </c>
      <c r="BL35" s="39">
        <f>SUMIFS(Lançamentos!$G:$G,Lançamentos!$A:$A,BL$19,Lançamentos!$C:$C,"Impostos sobre Vendas")</f>
        <v>0</v>
      </c>
      <c r="BM35" s="39">
        <f>SUMIFS(Lançamentos!$G:$G,Lançamentos!$A:$A,BM$19,Lançamentos!$C:$C,"Impostos sobre Vendas")</f>
        <v>0</v>
      </c>
      <c r="BN35" s="39">
        <f>SUMIFS(Lançamentos!$G:$G,Lançamentos!$A:$A,BN$19,Lançamentos!$C:$C,"Impostos sobre Vendas")</f>
        <v>0</v>
      </c>
      <c r="BO35" s="39">
        <f>SUMIFS(Lançamentos!$G:$G,Lançamentos!$A:$A,BO$19,Lançamentos!$C:$C,"Impostos sobre Vendas")</f>
        <v>0</v>
      </c>
      <c r="BP35" s="39">
        <f>SUMIFS(Lançamentos!$G:$G,Lançamentos!$A:$A,BP$19,Lançamentos!$C:$C,"Impostos sobre Vendas")</f>
        <v>0</v>
      </c>
      <c r="BQ35" s="39">
        <f>SUMIFS(Lançamentos!$G:$G,Lançamentos!$A:$A,BQ$19,Lançamentos!$C:$C,"Impostos sobre Vendas")</f>
        <v>0</v>
      </c>
      <c r="BR35" s="39">
        <f>SUMIFS(Lançamentos!$G:$G,Lançamentos!$A:$A,BR$19,Lançamentos!$C:$C,"Impostos sobre Vendas")</f>
        <v>0</v>
      </c>
      <c r="BS35" s="39">
        <f>SUMIFS(Lançamentos!$G:$G,Lançamentos!$A:$A,BS$19,Lançamentos!$C:$C,"Impostos sobre Vendas")</f>
        <v>0</v>
      </c>
      <c r="BT35" s="39">
        <f>SUMIFS(Lançamentos!$G:$G,Lançamentos!$A:$A,BT$19,Lançamentos!$C:$C,"Impostos sobre Vendas")</f>
        <v>0</v>
      </c>
      <c r="BU35" s="39">
        <f>SUMIFS(Lançamentos!$G:$G,Lançamentos!$A:$A,BU$19,Lançamentos!$C:$C,"Impostos sobre Vendas")</f>
        <v>0</v>
      </c>
      <c r="BV35" s="39">
        <f>SUMIFS(Lançamentos!$G:$G,Lançamentos!$A:$A,BV$19,Lançamentos!$C:$C,"Impostos sobre Vendas")</f>
        <v>0</v>
      </c>
      <c r="BW35" s="39">
        <f>SUMIFS(Lançamentos!$G:$G,Lançamentos!$A:$A,BW$19,Lançamentos!$C:$C,"Impostos sobre Vendas")</f>
        <v>0</v>
      </c>
      <c r="BX35" s="39">
        <f>SUMIFS(Lançamentos!$G:$G,Lançamentos!$A:$A,BX$19,Lançamentos!$C:$C,"Impostos sobre Vendas")</f>
        <v>0</v>
      </c>
      <c r="BY35" s="39">
        <f>SUMIFS(Lançamentos!$G:$G,Lançamentos!$A:$A,BY$19,Lançamentos!$C:$C,"Impostos sobre Vendas")</f>
        <v>0</v>
      </c>
      <c r="BZ35" s="39">
        <f>SUMIFS(Lançamentos!$G:$G,Lançamentos!$A:$A,BZ$19,Lançamentos!$C:$C,"Impostos sobre Vendas")</f>
        <v>0</v>
      </c>
      <c r="CA35" s="39">
        <f>SUMIFS(Lançamentos!$G:$G,Lançamentos!$A:$A,CA$19,Lançamentos!$C:$C,"Impostos sobre Vendas")</f>
        <v>0</v>
      </c>
      <c r="CB35" s="39">
        <f>SUMIFS(Lançamentos!$G:$G,Lançamentos!$A:$A,CB$19,Lançamentos!$C:$C,"Impostos sobre Vendas")</f>
        <v>0</v>
      </c>
      <c r="CC35" s="39">
        <f>SUMIFS(Lançamentos!$G:$G,Lançamentos!$A:$A,CC$19,Lançamentos!$C:$C,"Impostos sobre Vendas")</f>
        <v>0</v>
      </c>
      <c r="CD35" s="39">
        <f>SUMIFS(Lançamentos!$G:$G,Lançamentos!$A:$A,CD$19,Lançamentos!$C:$C,"Impostos sobre Vendas")</f>
        <v>0</v>
      </c>
      <c r="CE35" s="39">
        <f>SUMIFS(Lançamentos!$G:$G,Lançamentos!$A:$A,CE$19,Lançamentos!$C:$C,"Impostos sobre Vendas")</f>
        <v>0</v>
      </c>
      <c r="CF35" s="39">
        <f>SUMIFS(Lançamentos!$G:$G,Lançamentos!$A:$A,CF$19,Lançamentos!$C:$C,"Impostos sobre Vendas")</f>
        <v>0</v>
      </c>
      <c r="CG35" s="39">
        <f>SUMIFS(Lançamentos!$G:$G,Lançamentos!$A:$A,CG$19,Lançamentos!$C:$C,"Impostos sobre Vendas")</f>
        <v>0</v>
      </c>
      <c r="CH35" s="39">
        <f>SUMIFS(Lançamentos!$G:$G,Lançamentos!$A:$A,CH$19,Lançamentos!$C:$C,"Impostos sobre Vendas")</f>
        <v>0</v>
      </c>
      <c r="CI35" s="39">
        <f>SUMIFS(Lançamentos!$G:$G,Lançamentos!$A:$A,CI$19,Lançamentos!$C:$C,"Impostos sobre Vendas")</f>
        <v>0</v>
      </c>
      <c r="CJ35" s="39">
        <f>SUMIFS(Lançamentos!$G:$G,Lançamentos!$A:$A,CJ$19,Lançamentos!$C:$C,"Impostos sobre Vendas")</f>
        <v>0</v>
      </c>
      <c r="CK35" s="39">
        <f>SUMIFS(Lançamentos!$G:$G,Lançamentos!$A:$A,CK$19,Lançamentos!$C:$C,"Impostos sobre Vendas")</f>
        <v>0</v>
      </c>
      <c r="CL35" s="39">
        <f>SUMIFS(Lançamentos!$G:$G,Lançamentos!$A:$A,CL$19,Lançamentos!$C:$C,"Impostos sobre Vendas")</f>
        <v>0</v>
      </c>
      <c r="CM35" s="39">
        <f>SUMIFS(Lançamentos!$G:$G,Lançamentos!$A:$A,CM$19,Lançamentos!$C:$C,"Impostos sobre Vendas")</f>
        <v>0</v>
      </c>
      <c r="CN35" s="39">
        <f>SUMIFS(Lançamentos!$G:$G,Lançamentos!$A:$A,CN$19,Lançamentos!$C:$C,"Impostos sobre Vendas")</f>
        <v>0</v>
      </c>
      <c r="CO35" s="39">
        <f>SUMIFS(Lançamentos!$G:$G,Lançamentos!$A:$A,CO$19,Lançamentos!$C:$C,"Impostos sobre Vendas")</f>
        <v>0</v>
      </c>
      <c r="CP35" s="39">
        <f>SUMIFS(Lançamentos!$G:$G,Lançamentos!$A:$A,CP$19,Lançamentos!$C:$C,"Impostos sobre Vendas")</f>
        <v>0</v>
      </c>
      <c r="CQ35" s="39">
        <f>SUMIFS(Lançamentos!$G:$G,Lançamentos!$A:$A,CQ$19,Lançamentos!$C:$C,"Impostos sobre Vendas")</f>
        <v>0</v>
      </c>
      <c r="CR35" s="39">
        <f>SUMIFS(Lançamentos!$G:$G,Lançamentos!$A:$A,CR$19,Lançamentos!$C:$C,"Impostos sobre Vendas")</f>
        <v>0</v>
      </c>
      <c r="CS35" s="39">
        <f>SUMIFS(Lançamentos!$G:$G,Lançamentos!$A:$A,CS$19,Lançamentos!$C:$C,"Impostos sobre Vendas")</f>
        <v>0</v>
      </c>
      <c r="CT35" s="39">
        <f>SUMIFS(Lançamentos!$G:$G,Lançamentos!$A:$A,CT$19,Lançamentos!$C:$C,"Impostos sobre Vendas")</f>
        <v>0</v>
      </c>
      <c r="CU35" s="39">
        <f>SUMIFS(Lançamentos!$G:$G,Lançamentos!$A:$A,CU$19,Lançamentos!$C:$C,"Impostos sobre Vendas")</f>
        <v>0</v>
      </c>
      <c r="CV35" s="39">
        <f>SUMIFS(Lançamentos!$G:$G,Lançamentos!$A:$A,CV$19,Lançamentos!$C:$C,"Impostos sobre Vendas")</f>
        <v>0</v>
      </c>
      <c r="CW35" s="39">
        <f>SUMIFS(Lançamentos!$G:$G,Lançamentos!$A:$A,CW$19,Lançamentos!$C:$C,"Impostos sobre Vendas")</f>
        <v>0</v>
      </c>
      <c r="CX35" s="39">
        <f>SUMIFS(Lançamentos!$G:$G,Lançamentos!$A:$A,CX$19,Lançamentos!$C:$C,"Impostos sobre Vendas")</f>
        <v>0</v>
      </c>
      <c r="CY35" s="39">
        <f>SUMIFS(Lançamentos!$G:$G,Lançamentos!$A:$A,CY$19,Lançamentos!$C:$C,"Impostos sobre Vendas")</f>
        <v>0</v>
      </c>
      <c r="CZ35" s="39">
        <f>SUMIFS(Lançamentos!$G:$G,Lançamentos!$A:$A,CZ$19,Lançamentos!$C:$C,"Impostos sobre Vendas")</f>
        <v>0</v>
      </c>
      <c r="DA35" s="39">
        <f>SUMIFS(Lançamentos!$G:$G,Lançamentos!$A:$A,DA$19,Lançamentos!$C:$C,"Impostos sobre Vendas")</f>
        <v>0</v>
      </c>
      <c r="DB35" s="39">
        <f>SUMIFS(Lançamentos!$G:$G,Lançamentos!$A:$A,DB$19,Lançamentos!$C:$C,"Impostos sobre Vendas")</f>
        <v>0</v>
      </c>
      <c r="DC35" s="39">
        <f>SUMIFS(Lançamentos!$G:$G,Lançamentos!$A:$A,DC$19,Lançamentos!$C:$C,"Impostos sobre Vendas")</f>
        <v>0</v>
      </c>
      <c r="DD35" s="39">
        <f>SUMIFS(Lançamentos!$G:$G,Lançamentos!$A:$A,DD$19,Lançamentos!$C:$C,"Impostos sobre Vendas")</f>
        <v>0</v>
      </c>
      <c r="DE35" s="39">
        <f>SUMIFS(Lançamentos!$G:$G,Lançamentos!$A:$A,DE$19,Lançamentos!$C:$C,"Impostos sobre Vendas")</f>
        <v>0</v>
      </c>
      <c r="DF35" s="39">
        <f>SUMIFS(Lançamentos!$G:$G,Lançamentos!$A:$A,DF$19,Lançamentos!$C:$C,"Impostos sobre Vendas")</f>
        <v>0</v>
      </c>
      <c r="DG35" s="39">
        <f>SUMIFS(Lançamentos!$G:$G,Lançamentos!$A:$A,DG$19,Lançamentos!$C:$C,"Impostos sobre Vendas")</f>
        <v>0</v>
      </c>
      <c r="DH35" s="39">
        <f>SUMIFS(Lançamentos!$G:$G,Lançamentos!$A:$A,DH$19,Lançamentos!$C:$C,"Impostos sobre Vendas")</f>
        <v>0</v>
      </c>
      <c r="DI35" s="39">
        <f>SUMIFS(Lançamentos!$G:$G,Lançamentos!$A:$A,DI$19,Lançamentos!$C:$C,"Impostos sobre Vendas")</f>
        <v>0</v>
      </c>
      <c r="DJ35" s="39">
        <f>SUMIFS(Lançamentos!$G:$G,Lançamentos!$A:$A,DJ$19,Lançamentos!$C:$C,"Impostos sobre Vendas")</f>
        <v>0</v>
      </c>
      <c r="DK35" s="39">
        <f>SUMIFS(Lançamentos!$G:$G,Lançamentos!$A:$A,DK$19,Lançamentos!$C:$C,"Impostos sobre Vendas")</f>
        <v>0</v>
      </c>
      <c r="DL35" s="39">
        <f>SUMIFS(Lançamentos!$G:$G,Lançamentos!$A:$A,DL$19,Lançamentos!$C:$C,"Impostos sobre Vendas")</f>
        <v>0</v>
      </c>
      <c r="DM35" s="39">
        <f>SUMIFS(Lançamentos!$G:$G,Lançamentos!$A:$A,DM$19,Lançamentos!$C:$C,"Impostos sobre Vendas")</f>
        <v>0</v>
      </c>
      <c r="DN35" s="39">
        <f>SUMIFS(Lançamentos!$G:$G,Lançamentos!$A:$A,DN$19,Lançamentos!$C:$C,"Impostos sobre Vendas")</f>
        <v>0</v>
      </c>
      <c r="DO35" s="39">
        <f>SUMIFS(Lançamentos!$G:$G,Lançamentos!$A:$A,DO$19,Lançamentos!$C:$C,"Impostos sobre Vendas")</f>
        <v>0</v>
      </c>
      <c r="DP35" s="39">
        <f>SUMIFS(Lançamentos!$G:$G,Lançamentos!$A:$A,DP$19,Lançamentos!$C:$C,"Impostos sobre Vendas")</f>
        <v>0</v>
      </c>
      <c r="DQ35" s="39">
        <f>SUMIFS(Lançamentos!$G:$G,Lançamentos!$A:$A,DQ$19,Lançamentos!$C:$C,"Impostos sobre Vendas")</f>
        <v>0</v>
      </c>
      <c r="DR35" s="39">
        <f>SUMIFS(Lançamentos!$G:$G,Lançamentos!$A:$A,DR$19,Lançamentos!$C:$C,"Impostos sobre Vendas")</f>
        <v>0</v>
      </c>
      <c r="DS35" s="39">
        <f>SUMIFS(Lançamentos!$G:$G,Lançamentos!$A:$A,DS$19,Lançamentos!$C:$C,"Impostos sobre Vendas")</f>
        <v>0</v>
      </c>
      <c r="DT35" s="39">
        <f>SUMIFS(Lançamentos!$G:$G,Lançamentos!$A:$A,DT$19,Lançamentos!$C:$C,"Impostos sobre Vendas")</f>
        <v>0</v>
      </c>
      <c r="DU35" s="39">
        <f>SUMIFS(Lançamentos!$G:$G,Lançamentos!$A:$A,DU$19,Lançamentos!$C:$C,"Impostos sobre Vendas")</f>
        <v>0</v>
      </c>
      <c r="DV35" s="39">
        <f>SUMIFS(Lançamentos!$G:$G,Lançamentos!$A:$A,DV$19,Lançamentos!$C:$C,"Impostos sobre Vendas")</f>
        <v>0</v>
      </c>
      <c r="DW35" s="39">
        <f>SUMIFS(Lançamentos!$G:$G,Lançamentos!$A:$A,DW$19,Lançamentos!$C:$C,"Impostos sobre Vendas")</f>
        <v>0</v>
      </c>
      <c r="DX35" s="39">
        <f>SUMIFS(Lançamentos!$G:$G,Lançamentos!$A:$A,DX$19,Lançamentos!$C:$C,"Impostos sobre Vendas")</f>
        <v>0</v>
      </c>
      <c r="DY35" s="39">
        <f>SUMIFS(Lançamentos!$G:$G,Lançamentos!$A:$A,DY$19,Lançamentos!$C:$C,"Impostos sobre Vendas")</f>
        <v>0</v>
      </c>
      <c r="DZ35" s="39">
        <f>SUMIFS(Lançamentos!$G:$G,Lançamentos!$A:$A,DZ$19,Lançamentos!$C:$C,"Impostos sobre Vendas")</f>
        <v>0</v>
      </c>
      <c r="EA35" s="39">
        <f>SUMIFS(Lançamentos!$G:$G,Lançamentos!$A:$A,EA$19,Lançamentos!$C:$C,"Impostos sobre Vendas")</f>
        <v>0</v>
      </c>
      <c r="EB35" s="39">
        <f>SUMIFS(Lançamentos!$G:$G,Lançamentos!$A:$A,EB$19,Lançamentos!$C:$C,"Impostos sobre Vendas")</f>
        <v>0</v>
      </c>
      <c r="EC35" s="39">
        <f>SUMIFS(Lançamentos!$G:$G,Lançamentos!$A:$A,EC$19,Lançamentos!$C:$C,"Impostos sobre Vendas")</f>
        <v>0</v>
      </c>
      <c r="ED35" s="39">
        <f>SUMIFS(Lançamentos!$G:$G,Lançamentos!$A:$A,ED$19,Lançamentos!$C:$C,"Impostos sobre Vendas")</f>
        <v>0</v>
      </c>
      <c r="EE35" s="39">
        <f>SUMIFS(Lançamentos!$G:$G,Lançamentos!$A:$A,EE$19,Lançamentos!$C:$C,"Impostos sobre Vendas")</f>
        <v>0</v>
      </c>
      <c r="EF35" s="39">
        <f>SUMIFS(Lançamentos!$G:$G,Lançamentos!$A:$A,EF$19,Lançamentos!$C:$C,"Impostos sobre Vendas")</f>
        <v>0</v>
      </c>
      <c r="EG35" s="39">
        <f>SUMIFS(Lançamentos!$G:$G,Lançamentos!$A:$A,EG$19,Lançamentos!$C:$C,"Impostos sobre Vendas")</f>
        <v>0</v>
      </c>
      <c r="EH35" s="39">
        <f>SUMIFS(Lançamentos!$G:$G,Lançamentos!$A:$A,EH$19,Lançamentos!$C:$C,"Impostos sobre Vendas")</f>
        <v>0</v>
      </c>
      <c r="EI35" s="39">
        <f>SUMIFS(Lançamentos!$G:$G,Lançamentos!$A:$A,EI$19,Lançamentos!$C:$C,"Impostos sobre Vendas")</f>
        <v>0</v>
      </c>
      <c r="EJ35" s="39">
        <f>SUMIFS(Lançamentos!$G:$G,Lançamentos!$A:$A,EJ$19,Lançamentos!$C:$C,"Impostos sobre Vendas")</f>
        <v>0</v>
      </c>
      <c r="EK35" s="39">
        <f>SUMIFS(Lançamentos!$G:$G,Lançamentos!$A:$A,EK$19,Lançamentos!$C:$C,"Impostos sobre Vendas")</f>
        <v>0</v>
      </c>
      <c r="EL35" s="39">
        <f>SUMIFS(Lançamentos!$G:$G,Lançamentos!$A:$A,EL$19,Lançamentos!$C:$C,"Impostos sobre Vendas")</f>
        <v>0</v>
      </c>
      <c r="EM35" s="39">
        <f>SUMIFS(Lançamentos!$G:$G,Lançamentos!$A:$A,EM$19,Lançamentos!$C:$C,"Impostos sobre Vendas")</f>
        <v>0</v>
      </c>
      <c r="EN35" s="39">
        <f>SUMIFS(Lançamentos!$G:$G,Lançamentos!$A:$A,EN$19,Lançamentos!$C:$C,"Impostos sobre Vendas")</f>
        <v>0</v>
      </c>
      <c r="EO35" s="39">
        <f>SUMIFS(Lançamentos!$G:$G,Lançamentos!$A:$A,EO$19,Lançamentos!$C:$C,"Impostos sobre Vendas")</f>
        <v>0</v>
      </c>
      <c r="EP35" s="39">
        <f>SUMIFS(Lançamentos!$G:$G,Lançamentos!$A:$A,EP$19,Lançamentos!$C:$C,"Impostos sobre Vendas")</f>
        <v>0</v>
      </c>
      <c r="EQ35" s="39">
        <f>SUMIFS(Lançamentos!$G:$G,Lançamentos!$A:$A,EQ$19,Lançamentos!$C:$C,"Impostos sobre Vendas")</f>
        <v>0</v>
      </c>
      <c r="ER35" s="39">
        <f>SUMIFS(Lançamentos!$G:$G,Lançamentos!$A:$A,ER$19,Lançamentos!$C:$C,"Impostos sobre Vendas")</f>
        <v>0</v>
      </c>
      <c r="ES35" s="39">
        <f>SUMIFS(Lançamentos!$G:$G,Lançamentos!$A:$A,ES$19,Lançamentos!$C:$C,"Impostos sobre Vendas")</f>
        <v>0</v>
      </c>
      <c r="ET35" s="39">
        <f>SUMIFS(Lançamentos!$G:$G,Lançamentos!$A:$A,ET$19,Lançamentos!$C:$C,"Impostos sobre Vendas")</f>
        <v>0</v>
      </c>
      <c r="EU35" s="39">
        <f>SUMIFS(Lançamentos!$G:$G,Lançamentos!$A:$A,EU$19,Lançamentos!$C:$C,"Impostos sobre Vendas")</f>
        <v>0</v>
      </c>
      <c r="EV35" s="39">
        <f>SUMIFS(Lançamentos!$G:$G,Lançamentos!$A:$A,EV$19,Lançamentos!$C:$C,"Impostos sobre Vendas")</f>
        <v>0</v>
      </c>
      <c r="EW35" s="39">
        <f>SUMIFS(Lançamentos!$G:$G,Lançamentos!$A:$A,EW$19,Lançamentos!$C:$C,"Impostos sobre Vendas")</f>
        <v>0</v>
      </c>
      <c r="EX35" s="39">
        <f>SUMIFS(Lançamentos!$G:$G,Lançamentos!$A:$A,EX$19,Lançamentos!$C:$C,"Impostos sobre Vendas")</f>
        <v>0</v>
      </c>
      <c r="EY35" s="39">
        <f>SUMIFS(Lançamentos!$G:$G,Lançamentos!$A:$A,EY$19,Lançamentos!$C:$C,"Impostos sobre Vendas")</f>
        <v>0</v>
      </c>
      <c r="EZ35" s="39">
        <f>SUMIFS(Lançamentos!$G:$G,Lançamentos!$A:$A,EZ$19,Lançamentos!$C:$C,"Impostos sobre Vendas")</f>
        <v>0</v>
      </c>
      <c r="FA35" s="39">
        <f>SUMIFS(Lançamentos!$G:$G,Lançamentos!$A:$A,FA$19,Lançamentos!$C:$C,"Impostos sobre Vendas")</f>
        <v>0</v>
      </c>
      <c r="FB35" s="39">
        <f>SUMIFS(Lançamentos!$G:$G,Lançamentos!$A:$A,FB$19,Lançamentos!$C:$C,"Impostos sobre Vendas")</f>
        <v>0</v>
      </c>
      <c r="FC35" s="39">
        <f>SUMIFS(Lançamentos!$G:$G,Lançamentos!$A:$A,FC$19,Lançamentos!$C:$C,"Impostos sobre Vendas")</f>
        <v>0</v>
      </c>
      <c r="FD35" s="39">
        <f>SUMIFS(Lançamentos!$G:$G,Lançamentos!$A:$A,FD$19,Lançamentos!$C:$C,"Impostos sobre Vendas")</f>
        <v>0</v>
      </c>
      <c r="FE35" s="39">
        <f>SUMIFS(Lançamentos!$G:$G,Lançamentos!$A:$A,FE$19,Lançamentos!$C:$C,"Impostos sobre Vendas")</f>
        <v>0</v>
      </c>
      <c r="FF35" s="39">
        <f>SUMIFS(Lançamentos!$G:$G,Lançamentos!$A:$A,FF$19,Lançamentos!$C:$C,"Impostos sobre Vendas")</f>
        <v>0</v>
      </c>
      <c r="FG35" s="39">
        <f>SUMIFS(Lançamentos!$G:$G,Lançamentos!$A:$A,FG$19,Lançamentos!$C:$C,"Impostos sobre Vendas")</f>
        <v>0</v>
      </c>
      <c r="FH35" s="39">
        <f>SUMIFS(Lançamentos!$G:$G,Lançamentos!$A:$A,FH$19,Lançamentos!$C:$C,"Impostos sobre Vendas")</f>
        <v>0</v>
      </c>
      <c r="FI35" s="39">
        <f>SUMIFS(Lançamentos!$G:$G,Lançamentos!$A:$A,FI$19,Lançamentos!$C:$C,"Impostos sobre Vendas")</f>
        <v>0</v>
      </c>
      <c r="FJ35" s="39">
        <f>SUMIFS(Lançamentos!$G:$G,Lançamentos!$A:$A,FJ$19,Lançamentos!$C:$C,"Impostos sobre Vendas")</f>
        <v>0</v>
      </c>
      <c r="FK35" s="39">
        <f>SUMIFS(Lançamentos!$G:$G,Lançamentos!$A:$A,FK$19,Lançamentos!$C:$C,"Impostos sobre Vendas")</f>
        <v>0</v>
      </c>
      <c r="FL35" s="39">
        <f>SUMIFS(Lançamentos!$G:$G,Lançamentos!$A:$A,FL$19,Lançamentos!$C:$C,"Impostos sobre Vendas")</f>
        <v>0</v>
      </c>
      <c r="FM35" s="39">
        <f>SUMIFS(Lançamentos!$G:$G,Lançamentos!$A:$A,FM$19,Lançamentos!$C:$C,"Impostos sobre Vendas")</f>
        <v>0</v>
      </c>
      <c r="FN35" s="39">
        <f>SUMIFS(Lançamentos!$G:$G,Lançamentos!$A:$A,FN$19,Lançamentos!$C:$C,"Impostos sobre Vendas")</f>
        <v>0</v>
      </c>
      <c r="FO35" s="39">
        <f>SUMIFS(Lançamentos!$G:$G,Lançamentos!$A:$A,FO$19,Lançamentos!$C:$C,"Impostos sobre Vendas")</f>
        <v>0</v>
      </c>
      <c r="FP35" s="39">
        <f>SUMIFS(Lançamentos!$G:$G,Lançamentos!$A:$A,FP$19,Lançamentos!$C:$C,"Impostos sobre Vendas")</f>
        <v>0</v>
      </c>
      <c r="FQ35" s="39">
        <f>SUMIFS(Lançamentos!$G:$G,Lançamentos!$A:$A,FQ$19,Lançamentos!$C:$C,"Impostos sobre Vendas")</f>
        <v>0</v>
      </c>
      <c r="FR35" s="39">
        <f>SUMIFS(Lançamentos!$G:$G,Lançamentos!$A:$A,FR$19,Lançamentos!$C:$C,"Impostos sobre Vendas")</f>
        <v>0</v>
      </c>
      <c r="FS35" s="39">
        <f>SUMIFS(Lançamentos!$G:$G,Lançamentos!$A:$A,FS$19,Lançamentos!$C:$C,"Impostos sobre Vendas")</f>
        <v>0</v>
      </c>
      <c r="FT35" s="39">
        <f>SUMIFS(Lançamentos!$G:$G,Lançamentos!$A:$A,FT$19,Lançamentos!$C:$C,"Impostos sobre Vendas")</f>
        <v>0</v>
      </c>
      <c r="FU35" s="39">
        <f>SUMIFS(Lançamentos!$G:$G,Lançamentos!$A:$A,FU$19,Lançamentos!$C:$C,"Impostos sobre Vendas")</f>
        <v>0</v>
      </c>
      <c r="FV35" s="39">
        <f>SUMIFS(Lançamentos!$G:$G,Lançamentos!$A:$A,FV$19,Lançamentos!$C:$C,"Impostos sobre Vendas")</f>
        <v>0</v>
      </c>
      <c r="FW35" s="39">
        <f>SUMIFS(Lançamentos!$G:$G,Lançamentos!$A:$A,FW$19,Lançamentos!$C:$C,"Impostos sobre Vendas")</f>
        <v>0</v>
      </c>
      <c r="FX35" s="39">
        <f>SUMIFS(Lançamentos!$G:$G,Lançamentos!$A:$A,FX$19,Lançamentos!$C:$C,"Impostos sobre Vendas")</f>
        <v>0</v>
      </c>
      <c r="FY35" s="39">
        <f>SUMIFS(Lançamentos!$G:$G,Lançamentos!$A:$A,FY$19,Lançamentos!$C:$C,"Impostos sobre Vendas")</f>
        <v>0</v>
      </c>
      <c r="FZ35" s="39">
        <f>SUMIFS(Lançamentos!$G:$G,Lançamentos!$A:$A,FZ$19,Lançamentos!$C:$C,"Impostos sobre Vendas")</f>
        <v>0</v>
      </c>
      <c r="GA35" s="39">
        <f>SUMIFS(Lançamentos!$G:$G,Lançamentos!$A:$A,GA$19,Lançamentos!$C:$C,"Impostos sobre Vendas")</f>
        <v>0</v>
      </c>
      <c r="GB35" s="39">
        <f>SUMIFS(Lançamentos!$G:$G,Lançamentos!$A:$A,GB$19,Lançamentos!$C:$C,"Impostos sobre Vendas")</f>
        <v>0</v>
      </c>
      <c r="GC35" s="39">
        <f>SUMIFS(Lançamentos!$G:$G,Lançamentos!$A:$A,GC$19,Lançamentos!$C:$C,"Impostos sobre Vendas")</f>
        <v>0</v>
      </c>
      <c r="GD35" s="39">
        <f>SUMIFS(Lançamentos!$G:$G,Lançamentos!$A:$A,GD$19,Lançamentos!$C:$C,"Impostos sobre Vendas")</f>
        <v>0</v>
      </c>
      <c r="GE35" s="39">
        <f>SUMIFS(Lançamentos!$G:$G,Lançamentos!$A:$A,GE$19,Lançamentos!$C:$C,"Impostos sobre Vendas")</f>
        <v>0</v>
      </c>
      <c r="GF35" s="39">
        <f>SUMIFS(Lançamentos!$G:$G,Lançamentos!$A:$A,GF$19,Lançamentos!$C:$C,"Impostos sobre Vendas")</f>
        <v>0</v>
      </c>
      <c r="GG35" s="39">
        <f>SUMIFS(Lançamentos!$G:$G,Lançamentos!$A:$A,GG$19,Lançamentos!$C:$C,"Impostos sobre Vendas")</f>
        <v>0</v>
      </c>
      <c r="GH35" s="39">
        <f>SUMIFS(Lançamentos!$G:$G,Lançamentos!$A:$A,GH$19,Lançamentos!$C:$C,"Impostos sobre Vendas")</f>
        <v>0</v>
      </c>
      <c r="GI35" s="39">
        <f>SUMIFS(Lançamentos!$G:$G,Lançamentos!$A:$A,GI$19,Lançamentos!$C:$C,"Impostos sobre Vendas")</f>
        <v>0</v>
      </c>
      <c r="GJ35" s="39">
        <f>SUMIFS(Lançamentos!$G:$G,Lançamentos!$A:$A,GJ$19,Lançamentos!$C:$C,"Impostos sobre Vendas")</f>
        <v>0</v>
      </c>
      <c r="GK35" s="39">
        <f>SUMIFS(Lançamentos!$G:$G,Lançamentos!$A:$A,GK$19,Lançamentos!$C:$C,"Impostos sobre Vendas")</f>
        <v>0</v>
      </c>
      <c r="GL35" s="39">
        <f>SUMIFS(Lançamentos!$G:$G,Lançamentos!$A:$A,GL$19,Lançamentos!$C:$C,"Impostos sobre Vendas")</f>
        <v>0</v>
      </c>
      <c r="GM35" s="39">
        <f>SUMIFS(Lançamentos!$G:$G,Lançamentos!$A:$A,GM$19,Lançamentos!$C:$C,"Impostos sobre Vendas")</f>
        <v>0</v>
      </c>
      <c r="GN35" s="39">
        <f>SUMIFS(Lançamentos!$G:$G,Lançamentos!$A:$A,GN$19,Lançamentos!$C:$C,"Impostos sobre Vendas")</f>
        <v>0</v>
      </c>
      <c r="GO35" s="39">
        <f>SUMIFS(Lançamentos!$G:$G,Lançamentos!$A:$A,GO$19,Lançamentos!$C:$C,"Impostos sobre Vendas")</f>
        <v>0</v>
      </c>
      <c r="GP35" s="39">
        <f>SUMIFS(Lançamentos!$G:$G,Lançamentos!$A:$A,GP$19,Lançamentos!$C:$C,"Impostos sobre Vendas")</f>
        <v>0</v>
      </c>
      <c r="GQ35" s="39">
        <f>SUMIFS(Lançamentos!$G:$G,Lançamentos!$A:$A,GQ$19,Lançamentos!$C:$C,"Impostos sobre Vendas")</f>
        <v>0</v>
      </c>
      <c r="GR35" s="39">
        <f>SUMIFS(Lançamentos!$G:$G,Lançamentos!$A:$A,GR$19,Lançamentos!$C:$C,"Impostos sobre Vendas")</f>
        <v>0</v>
      </c>
      <c r="GS35" s="39">
        <f>SUMIFS(Lançamentos!$G:$G,Lançamentos!$A:$A,GS$19,Lançamentos!$C:$C,"Impostos sobre Vendas")</f>
        <v>0</v>
      </c>
      <c r="GT35" s="39">
        <f>SUMIFS(Lançamentos!$G:$G,Lançamentos!$A:$A,GT$19,Lançamentos!$C:$C,"Impostos sobre Vendas")</f>
        <v>0</v>
      </c>
      <c r="GU35" s="39">
        <f>SUMIFS(Lançamentos!$G:$G,Lançamentos!$A:$A,GU$19,Lançamentos!$C:$C,"Impostos sobre Vendas")</f>
        <v>0</v>
      </c>
      <c r="GV35" s="39">
        <f>SUMIFS(Lançamentos!$G:$G,Lançamentos!$A:$A,GV$19,Lançamentos!$C:$C,"Impostos sobre Vendas")</f>
        <v>0</v>
      </c>
      <c r="GW35" s="39">
        <f>SUMIFS(Lançamentos!$G:$G,Lançamentos!$A:$A,GW$19,Lançamentos!$C:$C,"Impostos sobre Vendas")</f>
        <v>0</v>
      </c>
      <c r="GX35" s="39">
        <f>SUMIFS(Lançamentos!$G:$G,Lançamentos!$A:$A,GX$19,Lançamentos!$C:$C,"Impostos sobre Vendas")</f>
        <v>0</v>
      </c>
      <c r="GY35" s="39">
        <f>SUMIFS(Lançamentos!$G:$G,Lançamentos!$A:$A,GY$19,Lançamentos!$C:$C,"Impostos sobre Vendas")</f>
        <v>0</v>
      </c>
      <c r="GZ35" s="39">
        <f>SUMIFS(Lançamentos!$G:$G,Lançamentos!$A:$A,GZ$19,Lançamentos!$C:$C,"Impostos sobre Vendas")</f>
        <v>0</v>
      </c>
      <c r="HA35" s="39">
        <f>SUMIFS(Lançamentos!$G:$G,Lançamentos!$A:$A,HA$19,Lançamentos!$C:$C,"Impostos sobre Vendas")</f>
        <v>0</v>
      </c>
      <c r="HB35" s="39">
        <f>SUMIFS(Lançamentos!$G:$G,Lançamentos!$A:$A,HB$19,Lançamentos!$C:$C,"Impostos sobre Vendas")</f>
        <v>0</v>
      </c>
      <c r="HC35" s="39">
        <f>SUMIFS(Lançamentos!$G:$G,Lançamentos!$A:$A,HC$19,Lançamentos!$C:$C,"Impostos sobre Vendas")</f>
        <v>0</v>
      </c>
      <c r="HD35" s="39">
        <f>SUMIFS(Lançamentos!$G:$G,Lançamentos!$A:$A,HD$19,Lançamentos!$C:$C,"Impostos sobre Vendas")</f>
        <v>0</v>
      </c>
      <c r="HE35" s="39">
        <f>SUMIFS(Lançamentos!$G:$G,Lançamentos!$A:$A,HE$19,Lançamentos!$C:$C,"Impostos sobre Vendas")</f>
        <v>0</v>
      </c>
      <c r="HF35" s="39">
        <f>SUMIFS(Lançamentos!$G:$G,Lançamentos!$A:$A,HF$19,Lançamentos!$C:$C,"Impostos sobre Vendas")</f>
        <v>0</v>
      </c>
      <c r="HG35" s="39">
        <f>SUMIFS(Lançamentos!$G:$G,Lançamentos!$A:$A,HG$19,Lançamentos!$C:$C,"Impostos sobre Vendas")</f>
        <v>0</v>
      </c>
      <c r="HH35" s="39">
        <f>SUMIFS(Lançamentos!$G:$G,Lançamentos!$A:$A,HH$19,Lançamentos!$C:$C,"Impostos sobre Vendas")</f>
        <v>0</v>
      </c>
      <c r="HI35" s="39">
        <f>SUMIFS(Lançamentos!$G:$G,Lançamentos!$A:$A,HI$19,Lançamentos!$C:$C,"Impostos sobre Vendas")</f>
        <v>0</v>
      </c>
      <c r="HJ35" s="39">
        <f>SUMIFS(Lançamentos!$G:$G,Lançamentos!$A:$A,HJ$19,Lançamentos!$C:$C,"Impostos sobre Vendas")</f>
        <v>0</v>
      </c>
      <c r="HK35" s="39">
        <f>SUMIFS(Lançamentos!$G:$G,Lançamentos!$A:$A,HK$19,Lançamentos!$C:$C,"Impostos sobre Vendas")</f>
        <v>0</v>
      </c>
      <c r="HL35" s="39">
        <f>SUMIFS(Lançamentos!$G:$G,Lançamentos!$A:$A,HL$19,Lançamentos!$C:$C,"Impostos sobre Vendas")</f>
        <v>0</v>
      </c>
      <c r="HM35" s="39">
        <f>SUMIFS(Lançamentos!$G:$G,Lançamentos!$A:$A,HM$19,Lançamentos!$C:$C,"Impostos sobre Vendas")</f>
        <v>0</v>
      </c>
      <c r="HN35" s="39">
        <f>SUMIFS(Lançamentos!$G:$G,Lançamentos!$A:$A,HN$19,Lançamentos!$C:$C,"Impostos sobre Vendas")</f>
        <v>0</v>
      </c>
      <c r="HO35" s="39">
        <f>SUMIFS(Lançamentos!$G:$G,Lançamentos!$A:$A,HO$19,Lançamentos!$C:$C,"Impostos sobre Vendas")</f>
        <v>0</v>
      </c>
      <c r="HP35" s="39">
        <f>SUMIFS(Lançamentos!$G:$G,Lançamentos!$A:$A,HP$19,Lançamentos!$C:$C,"Impostos sobre Vendas")</f>
        <v>0</v>
      </c>
      <c r="HQ35" s="39">
        <f>SUMIFS(Lançamentos!$G:$G,Lançamentos!$A:$A,HQ$19,Lançamentos!$C:$C,"Impostos sobre Vendas")</f>
        <v>0</v>
      </c>
      <c r="HR35" s="39">
        <f>SUMIFS(Lançamentos!$G:$G,Lançamentos!$A:$A,HR$19,Lançamentos!$C:$C,"Impostos sobre Vendas")</f>
        <v>0</v>
      </c>
      <c r="HS35" s="39">
        <f>SUMIFS(Lançamentos!$G:$G,Lançamentos!$A:$A,HS$19,Lançamentos!$C:$C,"Impostos sobre Vendas")</f>
        <v>0</v>
      </c>
      <c r="HT35" s="39">
        <f>SUMIFS(Lançamentos!$G:$G,Lançamentos!$A:$A,HT$19,Lançamentos!$C:$C,"Impostos sobre Vendas")</f>
        <v>0</v>
      </c>
      <c r="HU35" s="39">
        <f>SUMIFS(Lançamentos!$G:$G,Lançamentos!$A:$A,HU$19,Lançamentos!$C:$C,"Impostos sobre Vendas")</f>
        <v>0</v>
      </c>
      <c r="HV35" s="39">
        <f>SUMIFS(Lançamentos!$G:$G,Lançamentos!$A:$A,HV$19,Lançamentos!$C:$C,"Impostos sobre Vendas")</f>
        <v>0</v>
      </c>
      <c r="HW35" s="39">
        <f>SUMIFS(Lançamentos!$G:$G,Lançamentos!$A:$A,HW$19,Lançamentos!$C:$C,"Impostos sobre Vendas")</f>
        <v>0</v>
      </c>
      <c r="HX35" s="39">
        <f>SUMIFS(Lançamentos!$G:$G,Lançamentos!$A:$A,HX$19,Lançamentos!$C:$C,"Impostos sobre Vendas")</f>
        <v>0</v>
      </c>
      <c r="HY35" s="39">
        <f>SUMIFS(Lançamentos!$G:$G,Lançamentos!$A:$A,HY$19,Lançamentos!$C:$C,"Impostos sobre Vendas")</f>
        <v>0</v>
      </c>
      <c r="HZ35" s="39">
        <f>SUMIFS(Lançamentos!$G:$G,Lançamentos!$A:$A,HZ$19,Lançamentos!$C:$C,"Impostos sobre Vendas")</f>
        <v>0</v>
      </c>
      <c r="IA35" s="39">
        <f>SUMIFS(Lançamentos!$G:$G,Lançamentos!$A:$A,IA$19,Lançamentos!$C:$C,"Impostos sobre Vendas")</f>
        <v>0</v>
      </c>
      <c r="IB35" s="39">
        <f>SUMIFS(Lançamentos!$G:$G,Lançamentos!$A:$A,IB$19,Lançamentos!$C:$C,"Impostos sobre Vendas")</f>
        <v>0</v>
      </c>
      <c r="IC35" s="39">
        <f>SUMIFS(Lançamentos!$G:$G,Lançamentos!$A:$A,IC$19,Lançamentos!$C:$C,"Impostos sobre Vendas")</f>
        <v>0</v>
      </c>
      <c r="ID35" s="39">
        <f>SUMIFS(Lançamentos!$G:$G,Lançamentos!$A:$A,ID$19,Lançamentos!$C:$C,"Impostos sobre Vendas")</f>
        <v>0</v>
      </c>
      <c r="IE35" s="39">
        <f>SUMIFS(Lançamentos!$G:$G,Lançamentos!$A:$A,IE$19,Lançamentos!$C:$C,"Impostos sobre Vendas")</f>
        <v>0</v>
      </c>
      <c r="IF35" s="39">
        <f>SUMIFS(Lançamentos!$G:$G,Lançamentos!$A:$A,IF$19,Lançamentos!$C:$C,"Impostos sobre Vendas")</f>
        <v>0</v>
      </c>
      <c r="IG35" s="39">
        <f>SUMIFS(Lançamentos!$G:$G,Lançamentos!$A:$A,IG$19,Lançamentos!$C:$C,"Impostos sobre Vendas")</f>
        <v>0</v>
      </c>
      <c r="IH35" s="39">
        <f>SUMIFS(Lançamentos!$G:$G,Lançamentos!$A:$A,IH$19,Lançamentos!$C:$C,"Impostos sobre Vendas")</f>
        <v>0</v>
      </c>
      <c r="II35" s="39">
        <f>SUMIFS(Lançamentos!$G:$G,Lançamentos!$A:$A,II$19,Lançamentos!$C:$C,"Impostos sobre Vendas")</f>
        <v>0</v>
      </c>
      <c r="IJ35" s="39">
        <f>SUMIFS(Lançamentos!$G:$G,Lançamentos!$A:$A,IJ$19,Lançamentos!$C:$C,"Impostos sobre Vendas")</f>
        <v>0</v>
      </c>
      <c r="IK35" s="39">
        <f>SUMIFS(Lançamentos!$G:$G,Lançamentos!$A:$A,IK$19,Lançamentos!$C:$C,"Impostos sobre Vendas")</f>
        <v>0</v>
      </c>
      <c r="IL35" s="39">
        <f>SUMIFS(Lançamentos!$G:$G,Lançamentos!$A:$A,IL$19,Lançamentos!$C:$C,"Impostos sobre Vendas")</f>
        <v>0</v>
      </c>
    </row>
    <row r="36" spans="1:246" x14ac:dyDescent="0.3">
      <c r="A36" t="s">
        <v>11</v>
      </c>
      <c r="B36" s="39">
        <f>SUMIFS(Lançamentos!$G:$G,Lançamentos!$A:$A,B$19,Lançamentos!$C:$C,"Devoluções")</f>
        <v>0</v>
      </c>
      <c r="C36" s="39">
        <f>SUMIFS(Lançamentos!$G:$G,Lançamentos!$A:$A,C$19,Lançamentos!$C:$C,"Devoluções")</f>
        <v>0</v>
      </c>
      <c r="D36" s="39">
        <f>SUMIFS(Lançamentos!$G:$G,Lançamentos!$A:$A,D$19,Lançamentos!$C:$C,"Devoluções")</f>
        <v>0</v>
      </c>
      <c r="E36" s="39">
        <f>SUMIFS(Lançamentos!$G:$G,Lançamentos!$A:$A,E$19,Lançamentos!$C:$C,"Devoluções")</f>
        <v>0</v>
      </c>
      <c r="F36" s="39">
        <f>SUMIFS(Lançamentos!$G:$G,Lançamentos!$A:$A,F$19,Lançamentos!$C:$C,"Devoluções")</f>
        <v>0</v>
      </c>
      <c r="G36" s="39">
        <f>SUMIFS(Lançamentos!$G:$G,Lançamentos!$A:$A,G$19,Lançamentos!$C:$C,"Devoluções")</f>
        <v>0</v>
      </c>
      <c r="H36" s="39">
        <f>SUMIFS(Lançamentos!$G:$G,Lançamentos!$A:$A,H$19,Lançamentos!$C:$C,"Devoluções")</f>
        <v>0</v>
      </c>
      <c r="I36" s="39">
        <f>SUMIFS(Lançamentos!$G:$G,Lançamentos!$A:$A,I$19,Lançamentos!$C:$C,"Devoluções")</f>
        <v>0</v>
      </c>
      <c r="J36" s="39">
        <f>SUMIFS(Lançamentos!$G:$G,Lançamentos!$A:$A,J$19,Lançamentos!$C:$C,"Devoluções")</f>
        <v>0</v>
      </c>
      <c r="K36" s="39">
        <f>SUMIFS(Lançamentos!$G:$G,Lançamentos!$A:$A,K$19,Lançamentos!$C:$C,"Devoluções")</f>
        <v>0</v>
      </c>
      <c r="L36" s="39">
        <f>SUMIFS(Lançamentos!$G:$G,Lançamentos!$A:$A,L$19,Lançamentos!$C:$C,"Devoluções")</f>
        <v>0</v>
      </c>
      <c r="M36" s="39">
        <f>SUMIFS(Lançamentos!$G:$G,Lançamentos!$A:$A,M$19,Lançamentos!$C:$C,"Devoluções")</f>
        <v>0</v>
      </c>
      <c r="N36" s="39">
        <f>SUMIFS(Lançamentos!$G:$G,Lançamentos!$A:$A,N$19,Lançamentos!$C:$C,"Devoluções")</f>
        <v>0</v>
      </c>
      <c r="O36" s="39">
        <f>SUMIFS(Lançamentos!$G:$G,Lançamentos!$A:$A,O$19,Lançamentos!$C:$C,"Devoluções")</f>
        <v>0</v>
      </c>
      <c r="P36" s="39">
        <f>SUMIFS(Lançamentos!$G:$G,Lançamentos!$A:$A,P$19,Lançamentos!$C:$C,"Devoluções")</f>
        <v>0</v>
      </c>
      <c r="Q36" s="39">
        <f>SUMIFS(Lançamentos!$G:$G,Lançamentos!$A:$A,Q$19,Lançamentos!$C:$C,"Devoluções")</f>
        <v>0</v>
      </c>
      <c r="R36" s="39">
        <f>SUMIFS(Lançamentos!$G:$G,Lançamentos!$A:$A,R$19,Lançamentos!$C:$C,"Devoluções")</f>
        <v>0</v>
      </c>
      <c r="S36" s="39">
        <f>SUMIFS(Lançamentos!$G:$G,Lançamentos!$A:$A,S$19,Lançamentos!$C:$C,"Devoluções")</f>
        <v>0</v>
      </c>
      <c r="T36" s="39">
        <f>SUMIFS(Lançamentos!$G:$G,Lançamentos!$A:$A,T$19,Lançamentos!$C:$C,"Devoluções")</f>
        <v>0</v>
      </c>
      <c r="U36" s="39">
        <f>SUMIFS(Lançamentos!$G:$G,Lançamentos!$A:$A,U$19,Lançamentos!$C:$C,"Devoluções")</f>
        <v>0</v>
      </c>
      <c r="V36" s="39">
        <f>SUMIFS(Lançamentos!$G:$G,Lançamentos!$A:$A,V$19,Lançamentos!$C:$C,"Devoluções")</f>
        <v>0</v>
      </c>
      <c r="W36" s="39">
        <f>SUMIFS(Lançamentos!$G:$G,Lançamentos!$A:$A,W$19,Lançamentos!$C:$C,"Devoluções")</f>
        <v>0</v>
      </c>
      <c r="X36" s="39">
        <f>SUMIFS(Lançamentos!$G:$G,Lançamentos!$A:$A,X$19,Lançamentos!$C:$C,"Devoluções")</f>
        <v>0</v>
      </c>
      <c r="Y36" s="39">
        <f>SUMIFS(Lançamentos!$G:$G,Lançamentos!$A:$A,Y$19,Lançamentos!$C:$C,"Devoluções")</f>
        <v>0</v>
      </c>
      <c r="Z36" s="39">
        <f>SUMIFS(Lançamentos!$G:$G,Lançamentos!$A:$A,Z$19,Lançamentos!$C:$C,"Devoluções")</f>
        <v>0</v>
      </c>
      <c r="AA36" s="39">
        <f>SUMIFS(Lançamentos!$G:$G,Lançamentos!$A:$A,AA$19,Lançamentos!$C:$C,"Devoluções")</f>
        <v>0</v>
      </c>
      <c r="AB36" s="39">
        <f>SUMIFS(Lançamentos!$G:$G,Lançamentos!$A:$A,AB$19,Lançamentos!$C:$C,"Devoluções")</f>
        <v>0</v>
      </c>
      <c r="AC36" s="39">
        <f>SUMIFS(Lançamentos!$G:$G,Lançamentos!$A:$A,AC$19,Lançamentos!$C:$C,"Devoluções")</f>
        <v>0</v>
      </c>
      <c r="AD36" s="39">
        <f>SUMIFS(Lançamentos!$G:$G,Lançamentos!$A:$A,AD$19,Lançamentos!$C:$C,"Devoluções")</f>
        <v>0</v>
      </c>
      <c r="AE36" s="39">
        <f>SUMIFS(Lançamentos!$G:$G,Lançamentos!$A:$A,AE$19,Lançamentos!$C:$C,"Devoluções")</f>
        <v>0</v>
      </c>
      <c r="AF36" s="39">
        <f>SUMIFS(Lançamentos!$G:$G,Lançamentos!$A:$A,AF$19,Lançamentos!$C:$C,"Devoluções")</f>
        <v>0</v>
      </c>
      <c r="AG36" s="39">
        <f>SUMIFS(Lançamentos!$G:$G,Lançamentos!$A:$A,AG$19,Lançamentos!$C:$C,"Devoluções")</f>
        <v>0</v>
      </c>
      <c r="AH36" s="39">
        <f>SUMIFS(Lançamentos!$G:$G,Lançamentos!$A:$A,AH$19,Lançamentos!$C:$C,"Devoluções")</f>
        <v>0</v>
      </c>
      <c r="AI36" s="39">
        <f>SUMIFS(Lançamentos!$G:$G,Lançamentos!$A:$A,AI$19,Lançamentos!$C:$C,"Devoluções")</f>
        <v>0</v>
      </c>
      <c r="AJ36" s="39">
        <f>SUMIFS(Lançamentos!$G:$G,Lançamentos!$A:$A,AJ$19,Lançamentos!$C:$C,"Devoluções")</f>
        <v>0</v>
      </c>
      <c r="AK36" s="39">
        <f>SUMIFS(Lançamentos!$G:$G,Lançamentos!$A:$A,AK$19,Lançamentos!$C:$C,"Devoluções")</f>
        <v>0</v>
      </c>
      <c r="AL36" s="39">
        <f>SUMIFS(Lançamentos!$G:$G,Lançamentos!$A:$A,AL$19,Lançamentos!$C:$C,"Devoluções")</f>
        <v>0</v>
      </c>
      <c r="AM36" s="39">
        <f>SUMIFS(Lançamentos!$G:$G,Lançamentos!$A:$A,AM$19,Lançamentos!$C:$C,"Devoluções")</f>
        <v>0</v>
      </c>
      <c r="AN36" s="39">
        <f>SUMIFS(Lançamentos!$G:$G,Lançamentos!$A:$A,AN$19,Lançamentos!$C:$C,"Devoluções")</f>
        <v>0</v>
      </c>
      <c r="AO36" s="39">
        <f>SUMIFS(Lançamentos!$G:$G,Lançamentos!$A:$A,AO$19,Lançamentos!$C:$C,"Devoluções")</f>
        <v>0</v>
      </c>
      <c r="AP36" s="39">
        <f>SUMIFS(Lançamentos!$G:$G,Lançamentos!$A:$A,AP$19,Lançamentos!$C:$C,"Devoluções")</f>
        <v>0</v>
      </c>
      <c r="AQ36" s="39">
        <f>SUMIFS(Lançamentos!$G:$G,Lançamentos!$A:$A,AQ$19,Lançamentos!$C:$C,"Devoluções")</f>
        <v>0</v>
      </c>
      <c r="AR36" s="39">
        <f>SUMIFS(Lançamentos!$G:$G,Lançamentos!$A:$A,AR$19,Lançamentos!$C:$C,"Devoluções")</f>
        <v>0</v>
      </c>
      <c r="AS36" s="39">
        <f>SUMIFS(Lançamentos!$G:$G,Lançamentos!$A:$A,AS$19,Lançamentos!$C:$C,"Devoluções")</f>
        <v>0</v>
      </c>
      <c r="AT36" s="39">
        <f>SUMIFS(Lançamentos!$G:$G,Lançamentos!$A:$A,AT$19,Lançamentos!$C:$C,"Devoluções")</f>
        <v>0</v>
      </c>
      <c r="AU36" s="39">
        <f>SUMIFS(Lançamentos!$G:$G,Lançamentos!$A:$A,AU$19,Lançamentos!$C:$C,"Devoluções")</f>
        <v>0</v>
      </c>
      <c r="AV36" s="39">
        <f>SUMIFS(Lançamentos!$G:$G,Lançamentos!$A:$A,AV$19,Lançamentos!$C:$C,"Devoluções")</f>
        <v>0</v>
      </c>
      <c r="AW36" s="39">
        <f>SUMIFS(Lançamentos!$G:$G,Lançamentos!$A:$A,AW$19,Lançamentos!$C:$C,"Devoluções")</f>
        <v>0</v>
      </c>
      <c r="AX36" s="39">
        <f>SUMIFS(Lançamentos!$G:$G,Lançamentos!$A:$A,AX$19,Lançamentos!$C:$C,"Devoluções")</f>
        <v>0</v>
      </c>
      <c r="AY36" s="39">
        <f>SUMIFS(Lançamentos!$G:$G,Lançamentos!$A:$A,AY$19,Lançamentos!$C:$C,"Devoluções")</f>
        <v>0</v>
      </c>
      <c r="AZ36" s="39">
        <f>SUMIFS(Lançamentos!$G:$G,Lançamentos!$A:$A,AZ$19,Lançamentos!$C:$C,"Devoluções")</f>
        <v>0</v>
      </c>
      <c r="BA36" s="39">
        <f>SUMIFS(Lançamentos!$G:$G,Lançamentos!$A:$A,BA$19,Lançamentos!$C:$C,"Devoluções")</f>
        <v>0</v>
      </c>
      <c r="BB36" s="39">
        <f>SUMIFS(Lançamentos!$G:$G,Lançamentos!$A:$A,BB$19,Lançamentos!$C:$C,"Devoluções")</f>
        <v>0</v>
      </c>
      <c r="BC36" s="39">
        <f>SUMIFS(Lançamentos!$G:$G,Lançamentos!$A:$A,BC$19,Lançamentos!$C:$C,"Devoluções")</f>
        <v>0</v>
      </c>
      <c r="BD36" s="39">
        <f>SUMIFS(Lançamentos!$G:$G,Lançamentos!$A:$A,BD$19,Lançamentos!$C:$C,"Devoluções")</f>
        <v>0</v>
      </c>
      <c r="BE36" s="39">
        <f>SUMIFS(Lançamentos!$G:$G,Lançamentos!$A:$A,BE$19,Lançamentos!$C:$C,"Devoluções")</f>
        <v>0</v>
      </c>
      <c r="BF36" s="39">
        <f>SUMIFS(Lançamentos!$G:$G,Lançamentos!$A:$A,BF$19,Lançamentos!$C:$C,"Devoluções")</f>
        <v>0</v>
      </c>
      <c r="BG36" s="39">
        <f>SUMIFS(Lançamentos!$G:$G,Lançamentos!$A:$A,BG$19,Lançamentos!$C:$C,"Devoluções")</f>
        <v>0</v>
      </c>
      <c r="BH36" s="39">
        <f>SUMIFS(Lançamentos!$G:$G,Lançamentos!$A:$A,BH$19,Lançamentos!$C:$C,"Devoluções")</f>
        <v>0</v>
      </c>
      <c r="BI36" s="39">
        <f>SUMIFS(Lançamentos!$G:$G,Lançamentos!$A:$A,BI$19,Lançamentos!$C:$C,"Devoluções")</f>
        <v>0</v>
      </c>
      <c r="BJ36" s="39">
        <f>SUMIFS(Lançamentos!$G:$G,Lançamentos!$A:$A,BJ$19,Lançamentos!$C:$C,"Devoluções")</f>
        <v>0</v>
      </c>
      <c r="BK36" s="39">
        <f>SUMIFS(Lançamentos!$G:$G,Lançamentos!$A:$A,BK$19,Lançamentos!$C:$C,"Devoluções")</f>
        <v>0</v>
      </c>
      <c r="BL36" s="39">
        <f>SUMIFS(Lançamentos!$G:$G,Lançamentos!$A:$A,BL$19,Lançamentos!$C:$C,"Devoluções")</f>
        <v>0</v>
      </c>
      <c r="BM36" s="39">
        <f>SUMIFS(Lançamentos!$G:$G,Lançamentos!$A:$A,BM$19,Lançamentos!$C:$C,"Devoluções")</f>
        <v>0</v>
      </c>
      <c r="BN36" s="39">
        <f>SUMIFS(Lançamentos!$G:$G,Lançamentos!$A:$A,BN$19,Lançamentos!$C:$C,"Devoluções")</f>
        <v>0</v>
      </c>
      <c r="BO36" s="39">
        <f>SUMIFS(Lançamentos!$G:$G,Lançamentos!$A:$A,BO$19,Lançamentos!$C:$C,"Devoluções")</f>
        <v>0</v>
      </c>
      <c r="BP36" s="39">
        <f>SUMIFS(Lançamentos!$G:$G,Lançamentos!$A:$A,BP$19,Lançamentos!$C:$C,"Devoluções")</f>
        <v>0</v>
      </c>
      <c r="BQ36" s="39">
        <f>SUMIFS(Lançamentos!$G:$G,Lançamentos!$A:$A,BQ$19,Lançamentos!$C:$C,"Devoluções")</f>
        <v>0</v>
      </c>
      <c r="BR36" s="39">
        <f>SUMIFS(Lançamentos!$G:$G,Lançamentos!$A:$A,BR$19,Lançamentos!$C:$C,"Devoluções")</f>
        <v>0</v>
      </c>
      <c r="BS36" s="39">
        <f>SUMIFS(Lançamentos!$G:$G,Lançamentos!$A:$A,BS$19,Lançamentos!$C:$C,"Devoluções")</f>
        <v>0</v>
      </c>
      <c r="BT36" s="39">
        <f>SUMIFS(Lançamentos!$G:$G,Lançamentos!$A:$A,BT$19,Lançamentos!$C:$C,"Devoluções")</f>
        <v>0</v>
      </c>
      <c r="BU36" s="39">
        <f>SUMIFS(Lançamentos!$G:$G,Lançamentos!$A:$A,BU$19,Lançamentos!$C:$C,"Devoluções")</f>
        <v>0</v>
      </c>
      <c r="BV36" s="39">
        <f>SUMIFS(Lançamentos!$G:$G,Lançamentos!$A:$A,BV$19,Lançamentos!$C:$C,"Devoluções")</f>
        <v>0</v>
      </c>
      <c r="BW36" s="39">
        <f>SUMIFS(Lançamentos!$G:$G,Lançamentos!$A:$A,BW$19,Lançamentos!$C:$C,"Devoluções")</f>
        <v>0</v>
      </c>
      <c r="BX36" s="39">
        <f>SUMIFS(Lançamentos!$G:$G,Lançamentos!$A:$A,BX$19,Lançamentos!$C:$C,"Devoluções")</f>
        <v>0</v>
      </c>
      <c r="BY36" s="39">
        <f>SUMIFS(Lançamentos!$G:$G,Lançamentos!$A:$A,BY$19,Lançamentos!$C:$C,"Devoluções")</f>
        <v>0</v>
      </c>
      <c r="BZ36" s="39">
        <f>SUMIFS(Lançamentos!$G:$G,Lançamentos!$A:$A,BZ$19,Lançamentos!$C:$C,"Devoluções")</f>
        <v>0</v>
      </c>
      <c r="CA36" s="39">
        <f>SUMIFS(Lançamentos!$G:$G,Lançamentos!$A:$A,CA$19,Lançamentos!$C:$C,"Devoluções")</f>
        <v>0</v>
      </c>
      <c r="CB36" s="39">
        <f>SUMIFS(Lançamentos!$G:$G,Lançamentos!$A:$A,CB$19,Lançamentos!$C:$C,"Devoluções")</f>
        <v>0</v>
      </c>
      <c r="CC36" s="39">
        <f>SUMIFS(Lançamentos!$G:$G,Lançamentos!$A:$A,CC$19,Lançamentos!$C:$C,"Devoluções")</f>
        <v>0</v>
      </c>
      <c r="CD36" s="39">
        <f>SUMIFS(Lançamentos!$G:$G,Lançamentos!$A:$A,CD$19,Lançamentos!$C:$C,"Devoluções")</f>
        <v>0</v>
      </c>
      <c r="CE36" s="39">
        <f>SUMIFS(Lançamentos!$G:$G,Lançamentos!$A:$A,CE$19,Lançamentos!$C:$C,"Devoluções")</f>
        <v>0</v>
      </c>
      <c r="CF36" s="39">
        <f>SUMIFS(Lançamentos!$G:$G,Lançamentos!$A:$A,CF$19,Lançamentos!$C:$C,"Devoluções")</f>
        <v>0</v>
      </c>
      <c r="CG36" s="39">
        <f>SUMIFS(Lançamentos!$G:$G,Lançamentos!$A:$A,CG$19,Lançamentos!$C:$C,"Devoluções")</f>
        <v>0</v>
      </c>
      <c r="CH36" s="39">
        <f>SUMIFS(Lançamentos!$G:$G,Lançamentos!$A:$A,CH$19,Lançamentos!$C:$C,"Devoluções")</f>
        <v>0</v>
      </c>
      <c r="CI36" s="39">
        <f>SUMIFS(Lançamentos!$G:$G,Lançamentos!$A:$A,CI$19,Lançamentos!$C:$C,"Devoluções")</f>
        <v>0</v>
      </c>
      <c r="CJ36" s="39">
        <f>SUMIFS(Lançamentos!$G:$G,Lançamentos!$A:$A,CJ$19,Lançamentos!$C:$C,"Devoluções")</f>
        <v>0</v>
      </c>
      <c r="CK36" s="39">
        <f>SUMIFS(Lançamentos!$G:$G,Lançamentos!$A:$A,CK$19,Lançamentos!$C:$C,"Devoluções")</f>
        <v>0</v>
      </c>
      <c r="CL36" s="39">
        <f>SUMIFS(Lançamentos!$G:$G,Lançamentos!$A:$A,CL$19,Lançamentos!$C:$C,"Devoluções")</f>
        <v>0</v>
      </c>
      <c r="CM36" s="39">
        <f>SUMIFS(Lançamentos!$G:$G,Lançamentos!$A:$A,CM$19,Lançamentos!$C:$C,"Devoluções")</f>
        <v>0</v>
      </c>
      <c r="CN36" s="39">
        <f>SUMIFS(Lançamentos!$G:$G,Lançamentos!$A:$A,CN$19,Lançamentos!$C:$C,"Devoluções")</f>
        <v>0</v>
      </c>
      <c r="CO36" s="39">
        <f>SUMIFS(Lançamentos!$G:$G,Lançamentos!$A:$A,CO$19,Lançamentos!$C:$C,"Devoluções")</f>
        <v>0</v>
      </c>
      <c r="CP36" s="39">
        <f>SUMIFS(Lançamentos!$G:$G,Lançamentos!$A:$A,CP$19,Lançamentos!$C:$C,"Devoluções")</f>
        <v>0</v>
      </c>
      <c r="CQ36" s="39">
        <f>SUMIFS(Lançamentos!$G:$G,Lançamentos!$A:$A,CQ$19,Lançamentos!$C:$C,"Devoluções")</f>
        <v>0</v>
      </c>
      <c r="CR36" s="39">
        <f>SUMIFS(Lançamentos!$G:$G,Lançamentos!$A:$A,CR$19,Lançamentos!$C:$C,"Devoluções")</f>
        <v>0</v>
      </c>
      <c r="CS36" s="39">
        <f>SUMIFS(Lançamentos!$G:$G,Lançamentos!$A:$A,CS$19,Lançamentos!$C:$C,"Devoluções")</f>
        <v>0</v>
      </c>
      <c r="CT36" s="39">
        <f>SUMIFS(Lançamentos!$G:$G,Lançamentos!$A:$A,CT$19,Lançamentos!$C:$C,"Devoluções")</f>
        <v>0</v>
      </c>
      <c r="CU36" s="39">
        <f>SUMIFS(Lançamentos!$G:$G,Lançamentos!$A:$A,CU$19,Lançamentos!$C:$C,"Devoluções")</f>
        <v>0</v>
      </c>
      <c r="CV36" s="39">
        <f>SUMIFS(Lançamentos!$G:$G,Lançamentos!$A:$A,CV$19,Lançamentos!$C:$C,"Devoluções")</f>
        <v>0</v>
      </c>
      <c r="CW36" s="39">
        <f>SUMIFS(Lançamentos!$G:$G,Lançamentos!$A:$A,CW$19,Lançamentos!$C:$C,"Devoluções")</f>
        <v>0</v>
      </c>
      <c r="CX36" s="39">
        <f>SUMIFS(Lançamentos!$G:$G,Lançamentos!$A:$A,CX$19,Lançamentos!$C:$C,"Devoluções")</f>
        <v>0</v>
      </c>
      <c r="CY36" s="39">
        <f>SUMIFS(Lançamentos!$G:$G,Lançamentos!$A:$A,CY$19,Lançamentos!$C:$C,"Devoluções")</f>
        <v>0</v>
      </c>
      <c r="CZ36" s="39">
        <f>SUMIFS(Lançamentos!$G:$G,Lançamentos!$A:$A,CZ$19,Lançamentos!$C:$C,"Devoluções")</f>
        <v>0</v>
      </c>
      <c r="DA36" s="39">
        <f>SUMIFS(Lançamentos!$G:$G,Lançamentos!$A:$A,DA$19,Lançamentos!$C:$C,"Devoluções")</f>
        <v>0</v>
      </c>
      <c r="DB36" s="39">
        <f>SUMIFS(Lançamentos!$G:$G,Lançamentos!$A:$A,DB$19,Lançamentos!$C:$C,"Devoluções")</f>
        <v>0</v>
      </c>
      <c r="DC36" s="39">
        <f>SUMIFS(Lançamentos!$G:$G,Lançamentos!$A:$A,DC$19,Lançamentos!$C:$C,"Devoluções")</f>
        <v>0</v>
      </c>
      <c r="DD36" s="39">
        <f>SUMIFS(Lançamentos!$G:$G,Lançamentos!$A:$A,DD$19,Lançamentos!$C:$C,"Devoluções")</f>
        <v>0</v>
      </c>
      <c r="DE36" s="39">
        <f>SUMIFS(Lançamentos!$G:$G,Lançamentos!$A:$A,DE$19,Lançamentos!$C:$C,"Devoluções")</f>
        <v>0</v>
      </c>
      <c r="DF36" s="39">
        <f>SUMIFS(Lançamentos!$G:$G,Lançamentos!$A:$A,DF$19,Lançamentos!$C:$C,"Devoluções")</f>
        <v>0</v>
      </c>
      <c r="DG36" s="39">
        <f>SUMIFS(Lançamentos!$G:$G,Lançamentos!$A:$A,DG$19,Lançamentos!$C:$C,"Devoluções")</f>
        <v>0</v>
      </c>
      <c r="DH36" s="39">
        <f>SUMIFS(Lançamentos!$G:$G,Lançamentos!$A:$A,DH$19,Lançamentos!$C:$C,"Devoluções")</f>
        <v>0</v>
      </c>
      <c r="DI36" s="39">
        <f>SUMIFS(Lançamentos!$G:$G,Lançamentos!$A:$A,DI$19,Lançamentos!$C:$C,"Devoluções")</f>
        <v>0</v>
      </c>
      <c r="DJ36" s="39">
        <f>SUMIFS(Lançamentos!$G:$G,Lançamentos!$A:$A,DJ$19,Lançamentos!$C:$C,"Devoluções")</f>
        <v>0</v>
      </c>
      <c r="DK36" s="39">
        <f>SUMIFS(Lançamentos!$G:$G,Lançamentos!$A:$A,DK$19,Lançamentos!$C:$C,"Devoluções")</f>
        <v>0</v>
      </c>
      <c r="DL36" s="39">
        <f>SUMIFS(Lançamentos!$G:$G,Lançamentos!$A:$A,DL$19,Lançamentos!$C:$C,"Devoluções")</f>
        <v>0</v>
      </c>
      <c r="DM36" s="39">
        <f>SUMIFS(Lançamentos!$G:$G,Lançamentos!$A:$A,DM$19,Lançamentos!$C:$C,"Devoluções")</f>
        <v>0</v>
      </c>
      <c r="DN36" s="39">
        <f>SUMIFS(Lançamentos!$G:$G,Lançamentos!$A:$A,DN$19,Lançamentos!$C:$C,"Devoluções")</f>
        <v>0</v>
      </c>
      <c r="DO36" s="39">
        <f>SUMIFS(Lançamentos!$G:$G,Lançamentos!$A:$A,DO$19,Lançamentos!$C:$C,"Devoluções")</f>
        <v>0</v>
      </c>
      <c r="DP36" s="39">
        <f>SUMIFS(Lançamentos!$G:$G,Lançamentos!$A:$A,DP$19,Lançamentos!$C:$C,"Devoluções")</f>
        <v>0</v>
      </c>
      <c r="DQ36" s="39">
        <f>SUMIFS(Lançamentos!$G:$G,Lançamentos!$A:$A,DQ$19,Lançamentos!$C:$C,"Devoluções")</f>
        <v>0</v>
      </c>
      <c r="DR36" s="39">
        <f>SUMIFS(Lançamentos!$G:$G,Lançamentos!$A:$A,DR$19,Lançamentos!$C:$C,"Devoluções")</f>
        <v>0</v>
      </c>
      <c r="DS36" s="39">
        <f>SUMIFS(Lançamentos!$G:$G,Lançamentos!$A:$A,DS$19,Lançamentos!$C:$C,"Devoluções")</f>
        <v>0</v>
      </c>
      <c r="DT36" s="39">
        <f>SUMIFS(Lançamentos!$G:$G,Lançamentos!$A:$A,DT$19,Lançamentos!$C:$C,"Devoluções")</f>
        <v>0</v>
      </c>
      <c r="DU36" s="39">
        <f>SUMIFS(Lançamentos!$G:$G,Lançamentos!$A:$A,DU$19,Lançamentos!$C:$C,"Devoluções")</f>
        <v>0</v>
      </c>
      <c r="DV36" s="39">
        <f>SUMIFS(Lançamentos!$G:$G,Lançamentos!$A:$A,DV$19,Lançamentos!$C:$C,"Devoluções")</f>
        <v>0</v>
      </c>
      <c r="DW36" s="39">
        <f>SUMIFS(Lançamentos!$G:$G,Lançamentos!$A:$A,DW$19,Lançamentos!$C:$C,"Devoluções")</f>
        <v>0</v>
      </c>
      <c r="DX36" s="39">
        <f>SUMIFS(Lançamentos!$G:$G,Lançamentos!$A:$A,DX$19,Lançamentos!$C:$C,"Devoluções")</f>
        <v>0</v>
      </c>
      <c r="DY36" s="39">
        <f>SUMIFS(Lançamentos!$G:$G,Lançamentos!$A:$A,DY$19,Lançamentos!$C:$C,"Devoluções")</f>
        <v>0</v>
      </c>
      <c r="DZ36" s="39">
        <f>SUMIFS(Lançamentos!$G:$G,Lançamentos!$A:$A,DZ$19,Lançamentos!$C:$C,"Devoluções")</f>
        <v>0</v>
      </c>
      <c r="EA36" s="39">
        <f>SUMIFS(Lançamentos!$G:$G,Lançamentos!$A:$A,EA$19,Lançamentos!$C:$C,"Devoluções")</f>
        <v>0</v>
      </c>
      <c r="EB36" s="39">
        <f>SUMIFS(Lançamentos!$G:$G,Lançamentos!$A:$A,EB$19,Lançamentos!$C:$C,"Devoluções")</f>
        <v>0</v>
      </c>
      <c r="EC36" s="39">
        <f>SUMIFS(Lançamentos!$G:$G,Lançamentos!$A:$A,EC$19,Lançamentos!$C:$C,"Devoluções")</f>
        <v>0</v>
      </c>
      <c r="ED36" s="39">
        <f>SUMIFS(Lançamentos!$G:$G,Lançamentos!$A:$A,ED$19,Lançamentos!$C:$C,"Devoluções")</f>
        <v>0</v>
      </c>
      <c r="EE36" s="39">
        <f>SUMIFS(Lançamentos!$G:$G,Lançamentos!$A:$A,EE$19,Lançamentos!$C:$C,"Devoluções")</f>
        <v>0</v>
      </c>
      <c r="EF36" s="39">
        <f>SUMIFS(Lançamentos!$G:$G,Lançamentos!$A:$A,EF$19,Lançamentos!$C:$C,"Devoluções")</f>
        <v>0</v>
      </c>
      <c r="EG36" s="39">
        <f>SUMIFS(Lançamentos!$G:$G,Lançamentos!$A:$A,EG$19,Lançamentos!$C:$C,"Devoluções")</f>
        <v>0</v>
      </c>
      <c r="EH36" s="39">
        <f>SUMIFS(Lançamentos!$G:$G,Lançamentos!$A:$A,EH$19,Lançamentos!$C:$C,"Devoluções")</f>
        <v>0</v>
      </c>
      <c r="EI36" s="39">
        <f>SUMIFS(Lançamentos!$G:$G,Lançamentos!$A:$A,EI$19,Lançamentos!$C:$C,"Devoluções")</f>
        <v>0</v>
      </c>
      <c r="EJ36" s="39">
        <f>SUMIFS(Lançamentos!$G:$G,Lançamentos!$A:$A,EJ$19,Lançamentos!$C:$C,"Devoluções")</f>
        <v>0</v>
      </c>
      <c r="EK36" s="39">
        <f>SUMIFS(Lançamentos!$G:$G,Lançamentos!$A:$A,EK$19,Lançamentos!$C:$C,"Devoluções")</f>
        <v>0</v>
      </c>
      <c r="EL36" s="39">
        <f>SUMIFS(Lançamentos!$G:$G,Lançamentos!$A:$A,EL$19,Lançamentos!$C:$C,"Devoluções")</f>
        <v>0</v>
      </c>
      <c r="EM36" s="39">
        <f>SUMIFS(Lançamentos!$G:$G,Lançamentos!$A:$A,EM$19,Lançamentos!$C:$C,"Devoluções")</f>
        <v>0</v>
      </c>
      <c r="EN36" s="39">
        <f>SUMIFS(Lançamentos!$G:$G,Lançamentos!$A:$A,EN$19,Lançamentos!$C:$C,"Devoluções")</f>
        <v>0</v>
      </c>
      <c r="EO36" s="39">
        <f>SUMIFS(Lançamentos!$G:$G,Lançamentos!$A:$A,EO$19,Lançamentos!$C:$C,"Devoluções")</f>
        <v>0</v>
      </c>
      <c r="EP36" s="39">
        <f>SUMIFS(Lançamentos!$G:$G,Lançamentos!$A:$A,EP$19,Lançamentos!$C:$C,"Devoluções")</f>
        <v>0</v>
      </c>
      <c r="EQ36" s="39">
        <f>SUMIFS(Lançamentos!$G:$G,Lançamentos!$A:$A,EQ$19,Lançamentos!$C:$C,"Devoluções")</f>
        <v>0</v>
      </c>
      <c r="ER36" s="39">
        <f>SUMIFS(Lançamentos!$G:$G,Lançamentos!$A:$A,ER$19,Lançamentos!$C:$C,"Devoluções")</f>
        <v>0</v>
      </c>
      <c r="ES36" s="39">
        <f>SUMIFS(Lançamentos!$G:$G,Lançamentos!$A:$A,ES$19,Lançamentos!$C:$C,"Devoluções")</f>
        <v>0</v>
      </c>
      <c r="ET36" s="39">
        <f>SUMIFS(Lançamentos!$G:$G,Lançamentos!$A:$A,ET$19,Lançamentos!$C:$C,"Devoluções")</f>
        <v>0</v>
      </c>
      <c r="EU36" s="39">
        <f>SUMIFS(Lançamentos!$G:$G,Lançamentos!$A:$A,EU$19,Lançamentos!$C:$C,"Devoluções")</f>
        <v>0</v>
      </c>
      <c r="EV36" s="39">
        <f>SUMIFS(Lançamentos!$G:$G,Lançamentos!$A:$A,EV$19,Lançamentos!$C:$C,"Devoluções")</f>
        <v>0</v>
      </c>
      <c r="EW36" s="39">
        <f>SUMIFS(Lançamentos!$G:$G,Lançamentos!$A:$A,EW$19,Lançamentos!$C:$C,"Devoluções")</f>
        <v>0</v>
      </c>
      <c r="EX36" s="39">
        <f>SUMIFS(Lançamentos!$G:$G,Lançamentos!$A:$A,EX$19,Lançamentos!$C:$C,"Devoluções")</f>
        <v>0</v>
      </c>
      <c r="EY36" s="39">
        <f>SUMIFS(Lançamentos!$G:$G,Lançamentos!$A:$A,EY$19,Lançamentos!$C:$C,"Devoluções")</f>
        <v>0</v>
      </c>
      <c r="EZ36" s="39">
        <f>SUMIFS(Lançamentos!$G:$G,Lançamentos!$A:$A,EZ$19,Lançamentos!$C:$C,"Devoluções")</f>
        <v>0</v>
      </c>
      <c r="FA36" s="39">
        <f>SUMIFS(Lançamentos!$G:$G,Lançamentos!$A:$A,FA$19,Lançamentos!$C:$C,"Devoluções")</f>
        <v>0</v>
      </c>
      <c r="FB36" s="39">
        <f>SUMIFS(Lançamentos!$G:$G,Lançamentos!$A:$A,FB$19,Lançamentos!$C:$C,"Devoluções")</f>
        <v>0</v>
      </c>
      <c r="FC36" s="39">
        <f>SUMIFS(Lançamentos!$G:$G,Lançamentos!$A:$A,FC$19,Lançamentos!$C:$C,"Devoluções")</f>
        <v>0</v>
      </c>
      <c r="FD36" s="39">
        <f>SUMIFS(Lançamentos!$G:$G,Lançamentos!$A:$A,FD$19,Lançamentos!$C:$C,"Devoluções")</f>
        <v>0</v>
      </c>
      <c r="FE36" s="39">
        <f>SUMIFS(Lançamentos!$G:$G,Lançamentos!$A:$A,FE$19,Lançamentos!$C:$C,"Devoluções")</f>
        <v>0</v>
      </c>
      <c r="FF36" s="39">
        <f>SUMIFS(Lançamentos!$G:$G,Lançamentos!$A:$A,FF$19,Lançamentos!$C:$C,"Devoluções")</f>
        <v>0</v>
      </c>
      <c r="FG36" s="39">
        <f>SUMIFS(Lançamentos!$G:$G,Lançamentos!$A:$A,FG$19,Lançamentos!$C:$C,"Devoluções")</f>
        <v>0</v>
      </c>
      <c r="FH36" s="39">
        <f>SUMIFS(Lançamentos!$G:$G,Lançamentos!$A:$A,FH$19,Lançamentos!$C:$C,"Devoluções")</f>
        <v>0</v>
      </c>
      <c r="FI36" s="39">
        <f>SUMIFS(Lançamentos!$G:$G,Lançamentos!$A:$A,FI$19,Lançamentos!$C:$C,"Devoluções")</f>
        <v>0</v>
      </c>
      <c r="FJ36" s="39">
        <f>SUMIFS(Lançamentos!$G:$G,Lançamentos!$A:$A,FJ$19,Lançamentos!$C:$C,"Devoluções")</f>
        <v>0</v>
      </c>
      <c r="FK36" s="39">
        <f>SUMIFS(Lançamentos!$G:$G,Lançamentos!$A:$A,FK$19,Lançamentos!$C:$C,"Devoluções")</f>
        <v>0</v>
      </c>
      <c r="FL36" s="39">
        <f>SUMIFS(Lançamentos!$G:$G,Lançamentos!$A:$A,FL$19,Lançamentos!$C:$C,"Devoluções")</f>
        <v>0</v>
      </c>
      <c r="FM36" s="39">
        <f>SUMIFS(Lançamentos!$G:$G,Lançamentos!$A:$A,FM$19,Lançamentos!$C:$C,"Devoluções")</f>
        <v>0</v>
      </c>
      <c r="FN36" s="39">
        <f>SUMIFS(Lançamentos!$G:$G,Lançamentos!$A:$A,FN$19,Lançamentos!$C:$C,"Devoluções")</f>
        <v>0</v>
      </c>
      <c r="FO36" s="39">
        <f>SUMIFS(Lançamentos!$G:$G,Lançamentos!$A:$A,FO$19,Lançamentos!$C:$C,"Devoluções")</f>
        <v>0</v>
      </c>
      <c r="FP36" s="39">
        <f>SUMIFS(Lançamentos!$G:$G,Lançamentos!$A:$A,FP$19,Lançamentos!$C:$C,"Devoluções")</f>
        <v>0</v>
      </c>
      <c r="FQ36" s="39">
        <f>SUMIFS(Lançamentos!$G:$G,Lançamentos!$A:$A,FQ$19,Lançamentos!$C:$C,"Devoluções")</f>
        <v>0</v>
      </c>
      <c r="FR36" s="39">
        <f>SUMIFS(Lançamentos!$G:$G,Lançamentos!$A:$A,FR$19,Lançamentos!$C:$C,"Devoluções")</f>
        <v>0</v>
      </c>
      <c r="FS36" s="39">
        <f>SUMIFS(Lançamentos!$G:$G,Lançamentos!$A:$A,FS$19,Lançamentos!$C:$C,"Devoluções")</f>
        <v>0</v>
      </c>
      <c r="FT36" s="39">
        <f>SUMIFS(Lançamentos!$G:$G,Lançamentos!$A:$A,FT$19,Lançamentos!$C:$C,"Devoluções")</f>
        <v>0</v>
      </c>
      <c r="FU36" s="39">
        <f>SUMIFS(Lançamentos!$G:$G,Lançamentos!$A:$A,FU$19,Lançamentos!$C:$C,"Devoluções")</f>
        <v>0</v>
      </c>
      <c r="FV36" s="39">
        <f>SUMIFS(Lançamentos!$G:$G,Lançamentos!$A:$A,FV$19,Lançamentos!$C:$C,"Devoluções")</f>
        <v>0</v>
      </c>
      <c r="FW36" s="39">
        <f>SUMIFS(Lançamentos!$G:$G,Lançamentos!$A:$A,FW$19,Lançamentos!$C:$C,"Devoluções")</f>
        <v>0</v>
      </c>
      <c r="FX36" s="39">
        <f>SUMIFS(Lançamentos!$G:$G,Lançamentos!$A:$A,FX$19,Lançamentos!$C:$C,"Devoluções")</f>
        <v>0</v>
      </c>
      <c r="FY36" s="39">
        <f>SUMIFS(Lançamentos!$G:$G,Lançamentos!$A:$A,FY$19,Lançamentos!$C:$C,"Devoluções")</f>
        <v>0</v>
      </c>
      <c r="FZ36" s="39">
        <f>SUMIFS(Lançamentos!$G:$G,Lançamentos!$A:$A,FZ$19,Lançamentos!$C:$C,"Devoluções")</f>
        <v>0</v>
      </c>
      <c r="GA36" s="39">
        <f>SUMIFS(Lançamentos!$G:$G,Lançamentos!$A:$A,GA$19,Lançamentos!$C:$C,"Devoluções")</f>
        <v>0</v>
      </c>
      <c r="GB36" s="39">
        <f>SUMIFS(Lançamentos!$G:$G,Lançamentos!$A:$A,GB$19,Lançamentos!$C:$C,"Devoluções")</f>
        <v>0</v>
      </c>
      <c r="GC36" s="39">
        <f>SUMIFS(Lançamentos!$G:$G,Lançamentos!$A:$A,GC$19,Lançamentos!$C:$C,"Devoluções")</f>
        <v>0</v>
      </c>
      <c r="GD36" s="39">
        <f>SUMIFS(Lançamentos!$G:$G,Lançamentos!$A:$A,GD$19,Lançamentos!$C:$C,"Devoluções")</f>
        <v>0</v>
      </c>
      <c r="GE36" s="39">
        <f>SUMIFS(Lançamentos!$G:$G,Lançamentos!$A:$A,GE$19,Lançamentos!$C:$C,"Devoluções")</f>
        <v>0</v>
      </c>
      <c r="GF36" s="39">
        <f>SUMIFS(Lançamentos!$G:$G,Lançamentos!$A:$A,GF$19,Lançamentos!$C:$C,"Devoluções")</f>
        <v>0</v>
      </c>
      <c r="GG36" s="39">
        <f>SUMIFS(Lançamentos!$G:$G,Lançamentos!$A:$A,GG$19,Lançamentos!$C:$C,"Devoluções")</f>
        <v>0</v>
      </c>
      <c r="GH36" s="39">
        <f>SUMIFS(Lançamentos!$G:$G,Lançamentos!$A:$A,GH$19,Lançamentos!$C:$C,"Devoluções")</f>
        <v>0</v>
      </c>
      <c r="GI36" s="39">
        <f>SUMIFS(Lançamentos!$G:$G,Lançamentos!$A:$A,GI$19,Lançamentos!$C:$C,"Devoluções")</f>
        <v>0</v>
      </c>
      <c r="GJ36" s="39">
        <f>SUMIFS(Lançamentos!$G:$G,Lançamentos!$A:$A,GJ$19,Lançamentos!$C:$C,"Devoluções")</f>
        <v>0</v>
      </c>
      <c r="GK36" s="39">
        <f>SUMIFS(Lançamentos!$G:$G,Lançamentos!$A:$A,GK$19,Lançamentos!$C:$C,"Devoluções")</f>
        <v>0</v>
      </c>
      <c r="GL36" s="39">
        <f>SUMIFS(Lançamentos!$G:$G,Lançamentos!$A:$A,GL$19,Lançamentos!$C:$C,"Devoluções")</f>
        <v>0</v>
      </c>
      <c r="GM36" s="39">
        <f>SUMIFS(Lançamentos!$G:$G,Lançamentos!$A:$A,GM$19,Lançamentos!$C:$C,"Devoluções")</f>
        <v>0</v>
      </c>
      <c r="GN36" s="39">
        <f>SUMIFS(Lançamentos!$G:$G,Lançamentos!$A:$A,GN$19,Lançamentos!$C:$C,"Devoluções")</f>
        <v>0</v>
      </c>
      <c r="GO36" s="39">
        <f>SUMIFS(Lançamentos!$G:$G,Lançamentos!$A:$A,GO$19,Lançamentos!$C:$C,"Devoluções")</f>
        <v>0</v>
      </c>
      <c r="GP36" s="39">
        <f>SUMIFS(Lançamentos!$G:$G,Lançamentos!$A:$A,GP$19,Lançamentos!$C:$C,"Devoluções")</f>
        <v>0</v>
      </c>
      <c r="GQ36" s="39">
        <f>SUMIFS(Lançamentos!$G:$G,Lançamentos!$A:$A,GQ$19,Lançamentos!$C:$C,"Devoluções")</f>
        <v>0</v>
      </c>
      <c r="GR36" s="39">
        <f>SUMIFS(Lançamentos!$G:$G,Lançamentos!$A:$A,GR$19,Lançamentos!$C:$C,"Devoluções")</f>
        <v>0</v>
      </c>
      <c r="GS36" s="39">
        <f>SUMIFS(Lançamentos!$G:$G,Lançamentos!$A:$A,GS$19,Lançamentos!$C:$C,"Devoluções")</f>
        <v>0</v>
      </c>
      <c r="GT36" s="39">
        <f>SUMIFS(Lançamentos!$G:$G,Lançamentos!$A:$A,GT$19,Lançamentos!$C:$C,"Devoluções")</f>
        <v>0</v>
      </c>
      <c r="GU36" s="39">
        <f>SUMIFS(Lançamentos!$G:$G,Lançamentos!$A:$A,GU$19,Lançamentos!$C:$C,"Devoluções")</f>
        <v>0</v>
      </c>
      <c r="GV36" s="39">
        <f>SUMIFS(Lançamentos!$G:$G,Lançamentos!$A:$A,GV$19,Lançamentos!$C:$C,"Devoluções")</f>
        <v>0</v>
      </c>
      <c r="GW36" s="39">
        <f>SUMIFS(Lançamentos!$G:$G,Lançamentos!$A:$A,GW$19,Lançamentos!$C:$C,"Devoluções")</f>
        <v>0</v>
      </c>
      <c r="GX36" s="39">
        <f>SUMIFS(Lançamentos!$G:$G,Lançamentos!$A:$A,GX$19,Lançamentos!$C:$C,"Devoluções")</f>
        <v>0</v>
      </c>
      <c r="GY36" s="39">
        <f>SUMIFS(Lançamentos!$G:$G,Lançamentos!$A:$A,GY$19,Lançamentos!$C:$C,"Devoluções")</f>
        <v>0</v>
      </c>
      <c r="GZ36" s="39">
        <f>SUMIFS(Lançamentos!$G:$G,Lançamentos!$A:$A,GZ$19,Lançamentos!$C:$C,"Devoluções")</f>
        <v>0</v>
      </c>
      <c r="HA36" s="39">
        <f>SUMIFS(Lançamentos!$G:$G,Lançamentos!$A:$A,HA$19,Lançamentos!$C:$C,"Devoluções")</f>
        <v>0</v>
      </c>
      <c r="HB36" s="39">
        <f>SUMIFS(Lançamentos!$G:$G,Lançamentos!$A:$A,HB$19,Lançamentos!$C:$C,"Devoluções")</f>
        <v>0</v>
      </c>
      <c r="HC36" s="39">
        <f>SUMIFS(Lançamentos!$G:$G,Lançamentos!$A:$A,HC$19,Lançamentos!$C:$C,"Devoluções")</f>
        <v>0</v>
      </c>
      <c r="HD36" s="39">
        <f>SUMIFS(Lançamentos!$G:$G,Lançamentos!$A:$A,HD$19,Lançamentos!$C:$C,"Devoluções")</f>
        <v>0</v>
      </c>
      <c r="HE36" s="39">
        <f>SUMIFS(Lançamentos!$G:$G,Lançamentos!$A:$A,HE$19,Lançamentos!$C:$C,"Devoluções")</f>
        <v>0</v>
      </c>
      <c r="HF36" s="39">
        <f>SUMIFS(Lançamentos!$G:$G,Lançamentos!$A:$A,HF$19,Lançamentos!$C:$C,"Devoluções")</f>
        <v>0</v>
      </c>
      <c r="HG36" s="39">
        <f>SUMIFS(Lançamentos!$G:$G,Lançamentos!$A:$A,HG$19,Lançamentos!$C:$C,"Devoluções")</f>
        <v>0</v>
      </c>
      <c r="HH36" s="39">
        <f>SUMIFS(Lançamentos!$G:$G,Lançamentos!$A:$A,HH$19,Lançamentos!$C:$C,"Devoluções")</f>
        <v>0</v>
      </c>
      <c r="HI36" s="39">
        <f>SUMIFS(Lançamentos!$G:$G,Lançamentos!$A:$A,HI$19,Lançamentos!$C:$C,"Devoluções")</f>
        <v>0</v>
      </c>
      <c r="HJ36" s="39">
        <f>SUMIFS(Lançamentos!$G:$G,Lançamentos!$A:$A,HJ$19,Lançamentos!$C:$C,"Devoluções")</f>
        <v>0</v>
      </c>
      <c r="HK36" s="39">
        <f>SUMIFS(Lançamentos!$G:$G,Lançamentos!$A:$A,HK$19,Lançamentos!$C:$C,"Devoluções")</f>
        <v>0</v>
      </c>
      <c r="HL36" s="39">
        <f>SUMIFS(Lançamentos!$G:$G,Lançamentos!$A:$A,HL$19,Lançamentos!$C:$C,"Devoluções")</f>
        <v>0</v>
      </c>
      <c r="HM36" s="39">
        <f>SUMIFS(Lançamentos!$G:$G,Lançamentos!$A:$A,HM$19,Lançamentos!$C:$C,"Devoluções")</f>
        <v>0</v>
      </c>
      <c r="HN36" s="39">
        <f>SUMIFS(Lançamentos!$G:$G,Lançamentos!$A:$A,HN$19,Lançamentos!$C:$C,"Devoluções")</f>
        <v>0</v>
      </c>
      <c r="HO36" s="39">
        <f>SUMIFS(Lançamentos!$G:$G,Lançamentos!$A:$A,HO$19,Lançamentos!$C:$C,"Devoluções")</f>
        <v>0</v>
      </c>
      <c r="HP36" s="39">
        <f>SUMIFS(Lançamentos!$G:$G,Lançamentos!$A:$A,HP$19,Lançamentos!$C:$C,"Devoluções")</f>
        <v>0</v>
      </c>
      <c r="HQ36" s="39">
        <f>SUMIFS(Lançamentos!$G:$G,Lançamentos!$A:$A,HQ$19,Lançamentos!$C:$C,"Devoluções")</f>
        <v>0</v>
      </c>
      <c r="HR36" s="39">
        <f>SUMIFS(Lançamentos!$G:$G,Lançamentos!$A:$A,HR$19,Lançamentos!$C:$C,"Devoluções")</f>
        <v>0</v>
      </c>
      <c r="HS36" s="39">
        <f>SUMIFS(Lançamentos!$G:$G,Lançamentos!$A:$A,HS$19,Lançamentos!$C:$C,"Devoluções")</f>
        <v>0</v>
      </c>
      <c r="HT36" s="39">
        <f>SUMIFS(Lançamentos!$G:$G,Lançamentos!$A:$A,HT$19,Lançamentos!$C:$C,"Devoluções")</f>
        <v>0</v>
      </c>
      <c r="HU36" s="39">
        <f>SUMIFS(Lançamentos!$G:$G,Lançamentos!$A:$A,HU$19,Lançamentos!$C:$C,"Devoluções")</f>
        <v>0</v>
      </c>
      <c r="HV36" s="39">
        <f>SUMIFS(Lançamentos!$G:$G,Lançamentos!$A:$A,HV$19,Lançamentos!$C:$C,"Devoluções")</f>
        <v>0</v>
      </c>
      <c r="HW36" s="39">
        <f>SUMIFS(Lançamentos!$G:$G,Lançamentos!$A:$A,HW$19,Lançamentos!$C:$C,"Devoluções")</f>
        <v>0</v>
      </c>
      <c r="HX36" s="39">
        <f>SUMIFS(Lançamentos!$G:$G,Lançamentos!$A:$A,HX$19,Lançamentos!$C:$C,"Devoluções")</f>
        <v>0</v>
      </c>
      <c r="HY36" s="39">
        <f>SUMIFS(Lançamentos!$G:$G,Lançamentos!$A:$A,HY$19,Lançamentos!$C:$C,"Devoluções")</f>
        <v>0</v>
      </c>
      <c r="HZ36" s="39">
        <f>SUMIFS(Lançamentos!$G:$G,Lançamentos!$A:$A,HZ$19,Lançamentos!$C:$C,"Devoluções")</f>
        <v>0</v>
      </c>
      <c r="IA36" s="39">
        <f>SUMIFS(Lançamentos!$G:$G,Lançamentos!$A:$A,IA$19,Lançamentos!$C:$C,"Devoluções")</f>
        <v>0</v>
      </c>
      <c r="IB36" s="39">
        <f>SUMIFS(Lançamentos!$G:$G,Lançamentos!$A:$A,IB$19,Lançamentos!$C:$C,"Devoluções")</f>
        <v>0</v>
      </c>
      <c r="IC36" s="39">
        <f>SUMIFS(Lançamentos!$G:$G,Lançamentos!$A:$A,IC$19,Lançamentos!$C:$C,"Devoluções")</f>
        <v>0</v>
      </c>
      <c r="ID36" s="39">
        <f>SUMIFS(Lançamentos!$G:$G,Lançamentos!$A:$A,ID$19,Lançamentos!$C:$C,"Devoluções")</f>
        <v>0</v>
      </c>
      <c r="IE36" s="39">
        <f>SUMIFS(Lançamentos!$G:$G,Lançamentos!$A:$A,IE$19,Lançamentos!$C:$C,"Devoluções")</f>
        <v>0</v>
      </c>
      <c r="IF36" s="39">
        <f>SUMIFS(Lançamentos!$G:$G,Lançamentos!$A:$A,IF$19,Lançamentos!$C:$C,"Devoluções")</f>
        <v>0</v>
      </c>
      <c r="IG36" s="39">
        <f>SUMIFS(Lançamentos!$G:$G,Lançamentos!$A:$A,IG$19,Lançamentos!$C:$C,"Devoluções")</f>
        <v>0</v>
      </c>
      <c r="IH36" s="39">
        <f>SUMIFS(Lançamentos!$G:$G,Lançamentos!$A:$A,IH$19,Lançamentos!$C:$C,"Devoluções")</f>
        <v>0</v>
      </c>
      <c r="II36" s="39">
        <f>SUMIFS(Lançamentos!$G:$G,Lançamentos!$A:$A,II$19,Lançamentos!$C:$C,"Devoluções")</f>
        <v>0</v>
      </c>
      <c r="IJ36" s="39">
        <f>SUMIFS(Lançamentos!$G:$G,Lançamentos!$A:$A,IJ$19,Lançamentos!$C:$C,"Devoluções")</f>
        <v>0</v>
      </c>
      <c r="IK36" s="39">
        <f>SUMIFS(Lançamentos!$G:$G,Lançamentos!$A:$A,IK$19,Lançamentos!$C:$C,"Devoluções")</f>
        <v>0</v>
      </c>
      <c r="IL36" s="39">
        <f>SUMIFS(Lançamentos!$G:$G,Lançamentos!$A:$A,IL$19,Lançamentos!$C:$C,"Devoluções")</f>
        <v>0</v>
      </c>
    </row>
    <row r="37" spans="1:246" x14ac:dyDescent="0.3">
      <c r="A37" t="s">
        <v>12</v>
      </c>
      <c r="B37" s="39">
        <f>SUMIFS(Lançamentos!$G:$G,Lançamentos!$A:$A,B$19,Lançamentos!$C:$C,"Custo de Mercadoria Vendida")</f>
        <v>0</v>
      </c>
      <c r="C37" s="39">
        <f>SUMIFS(Lançamentos!$G:$G,Lançamentos!$A:$A,C$19,Lançamentos!$C:$C,"Custo de Mercadoria Vendida")</f>
        <v>0</v>
      </c>
      <c r="D37" s="39">
        <f>SUMIFS(Lançamentos!$G:$G,Lançamentos!$A:$A,D$19,Lançamentos!$C:$C,"Custo de Mercadoria Vendida")</f>
        <v>0</v>
      </c>
      <c r="E37" s="39">
        <f>SUMIFS(Lançamentos!$G:$G,Lançamentos!$A:$A,E$19,Lançamentos!$C:$C,"Custo de Mercadoria Vendida")</f>
        <v>0</v>
      </c>
      <c r="F37" s="39">
        <f>SUMIFS(Lançamentos!$G:$G,Lançamentos!$A:$A,F$19,Lançamentos!$C:$C,"Custo de Mercadoria Vendida")</f>
        <v>0</v>
      </c>
      <c r="G37" s="39">
        <f>SUMIFS(Lançamentos!$G:$G,Lançamentos!$A:$A,G$19,Lançamentos!$C:$C,"Custo de Mercadoria Vendida")</f>
        <v>0</v>
      </c>
      <c r="H37" s="39">
        <f>SUMIFS(Lançamentos!$G:$G,Lançamentos!$A:$A,H$19,Lançamentos!$C:$C,"Custo de Mercadoria Vendida")</f>
        <v>0</v>
      </c>
      <c r="I37" s="39">
        <f>SUMIFS(Lançamentos!$G:$G,Lançamentos!$A:$A,I$19,Lançamentos!$C:$C,"Custo de Mercadoria Vendida")</f>
        <v>0</v>
      </c>
      <c r="J37" s="39">
        <f>SUMIFS(Lançamentos!$G:$G,Lançamentos!$A:$A,J$19,Lançamentos!$C:$C,"Custo de Mercadoria Vendida")</f>
        <v>0</v>
      </c>
      <c r="K37" s="39">
        <f>SUMIFS(Lançamentos!$G:$G,Lançamentos!$A:$A,K$19,Lançamentos!$C:$C,"Custo de Mercadoria Vendida")</f>
        <v>0</v>
      </c>
      <c r="L37" s="39">
        <f>SUMIFS(Lançamentos!$G:$G,Lançamentos!$A:$A,L$19,Lançamentos!$C:$C,"Custo de Mercadoria Vendida")</f>
        <v>0</v>
      </c>
      <c r="M37" s="39">
        <f>SUMIFS(Lançamentos!$G:$G,Lançamentos!$A:$A,M$19,Lançamentos!$C:$C,"Custo de Mercadoria Vendida")</f>
        <v>0</v>
      </c>
      <c r="N37" s="39">
        <f>SUMIFS(Lançamentos!$G:$G,Lançamentos!$A:$A,N$19,Lançamentos!$C:$C,"Custo de Mercadoria Vendida")</f>
        <v>0</v>
      </c>
      <c r="O37" s="39">
        <f>SUMIFS(Lançamentos!$G:$G,Lançamentos!$A:$A,O$19,Lançamentos!$C:$C,"Custo de Mercadoria Vendida")</f>
        <v>0</v>
      </c>
      <c r="P37" s="39">
        <f>SUMIFS(Lançamentos!$G:$G,Lançamentos!$A:$A,P$19,Lançamentos!$C:$C,"Custo de Mercadoria Vendida")</f>
        <v>0</v>
      </c>
      <c r="Q37" s="39">
        <f>SUMIFS(Lançamentos!$G:$G,Lançamentos!$A:$A,Q$19,Lançamentos!$C:$C,"Custo de Mercadoria Vendida")</f>
        <v>0</v>
      </c>
      <c r="R37" s="39">
        <f>SUMIFS(Lançamentos!$G:$G,Lançamentos!$A:$A,R$19,Lançamentos!$C:$C,"Custo de Mercadoria Vendida")</f>
        <v>0</v>
      </c>
      <c r="S37" s="39">
        <f>SUMIFS(Lançamentos!$G:$G,Lançamentos!$A:$A,S$19,Lançamentos!$C:$C,"Custo de Mercadoria Vendida")</f>
        <v>0</v>
      </c>
      <c r="T37" s="39">
        <f>SUMIFS(Lançamentos!$G:$G,Lançamentos!$A:$A,T$19,Lançamentos!$C:$C,"Custo de Mercadoria Vendida")</f>
        <v>0</v>
      </c>
      <c r="U37" s="39">
        <f>SUMIFS(Lançamentos!$G:$G,Lançamentos!$A:$A,U$19,Lançamentos!$C:$C,"Custo de Mercadoria Vendida")</f>
        <v>0</v>
      </c>
      <c r="V37" s="39">
        <f>SUMIFS(Lançamentos!$G:$G,Lançamentos!$A:$A,V$19,Lançamentos!$C:$C,"Custo de Mercadoria Vendida")</f>
        <v>0</v>
      </c>
      <c r="W37" s="39">
        <f>SUMIFS(Lançamentos!$G:$G,Lançamentos!$A:$A,W$19,Lançamentos!$C:$C,"Custo de Mercadoria Vendida")</f>
        <v>0</v>
      </c>
      <c r="X37" s="39">
        <f>SUMIFS(Lançamentos!$G:$G,Lançamentos!$A:$A,X$19,Lançamentos!$C:$C,"Custo de Mercadoria Vendida")</f>
        <v>0</v>
      </c>
      <c r="Y37" s="39">
        <f>SUMIFS(Lançamentos!$G:$G,Lançamentos!$A:$A,Y$19,Lançamentos!$C:$C,"Custo de Mercadoria Vendida")</f>
        <v>0</v>
      </c>
      <c r="Z37" s="39">
        <f>SUMIFS(Lançamentos!$G:$G,Lançamentos!$A:$A,Z$19,Lançamentos!$C:$C,"Custo de Mercadoria Vendida")</f>
        <v>0</v>
      </c>
      <c r="AA37" s="39">
        <f>SUMIFS(Lançamentos!$G:$G,Lançamentos!$A:$A,AA$19,Lançamentos!$C:$C,"Custo de Mercadoria Vendida")</f>
        <v>0</v>
      </c>
      <c r="AB37" s="39">
        <f>SUMIFS(Lançamentos!$G:$G,Lançamentos!$A:$A,AB$19,Lançamentos!$C:$C,"Custo de Mercadoria Vendida")</f>
        <v>0</v>
      </c>
      <c r="AC37" s="39">
        <f>SUMIFS(Lançamentos!$G:$G,Lançamentos!$A:$A,AC$19,Lançamentos!$C:$C,"Custo de Mercadoria Vendida")</f>
        <v>0</v>
      </c>
      <c r="AD37" s="39">
        <f>SUMIFS(Lançamentos!$G:$G,Lançamentos!$A:$A,AD$19,Lançamentos!$C:$C,"Custo de Mercadoria Vendida")</f>
        <v>0</v>
      </c>
      <c r="AE37" s="39">
        <f>SUMIFS(Lançamentos!$G:$G,Lançamentos!$A:$A,AE$19,Lançamentos!$C:$C,"Custo de Mercadoria Vendida")</f>
        <v>0</v>
      </c>
      <c r="AF37" s="39">
        <f>SUMIFS(Lançamentos!$G:$G,Lançamentos!$A:$A,AF$19,Lançamentos!$C:$C,"Custo de Mercadoria Vendida")</f>
        <v>0</v>
      </c>
      <c r="AG37" s="39">
        <f>SUMIFS(Lançamentos!$G:$G,Lançamentos!$A:$A,AG$19,Lançamentos!$C:$C,"Custo de Mercadoria Vendida")</f>
        <v>0</v>
      </c>
      <c r="AH37" s="39">
        <f>SUMIFS(Lançamentos!$G:$G,Lançamentos!$A:$A,AH$19,Lançamentos!$C:$C,"Custo de Mercadoria Vendida")</f>
        <v>0</v>
      </c>
      <c r="AI37" s="39">
        <f>SUMIFS(Lançamentos!$G:$G,Lançamentos!$A:$A,AI$19,Lançamentos!$C:$C,"Custo de Mercadoria Vendida")</f>
        <v>0</v>
      </c>
      <c r="AJ37" s="39">
        <f>SUMIFS(Lançamentos!$G:$G,Lançamentos!$A:$A,AJ$19,Lançamentos!$C:$C,"Custo de Mercadoria Vendida")</f>
        <v>0</v>
      </c>
      <c r="AK37" s="39">
        <f>SUMIFS(Lançamentos!$G:$G,Lançamentos!$A:$A,AK$19,Lançamentos!$C:$C,"Custo de Mercadoria Vendida")</f>
        <v>0</v>
      </c>
      <c r="AL37" s="39">
        <f>SUMIFS(Lançamentos!$G:$G,Lançamentos!$A:$A,AL$19,Lançamentos!$C:$C,"Custo de Mercadoria Vendida")</f>
        <v>0</v>
      </c>
      <c r="AM37" s="39">
        <f>SUMIFS(Lançamentos!$G:$G,Lançamentos!$A:$A,AM$19,Lançamentos!$C:$C,"Custo de Mercadoria Vendida")</f>
        <v>0</v>
      </c>
      <c r="AN37" s="39">
        <f>SUMIFS(Lançamentos!$G:$G,Lançamentos!$A:$A,AN$19,Lançamentos!$C:$C,"Custo de Mercadoria Vendida")</f>
        <v>0</v>
      </c>
      <c r="AO37" s="39">
        <f>SUMIFS(Lançamentos!$G:$G,Lançamentos!$A:$A,AO$19,Lançamentos!$C:$C,"Custo de Mercadoria Vendida")</f>
        <v>0</v>
      </c>
      <c r="AP37" s="39">
        <f>SUMIFS(Lançamentos!$G:$G,Lançamentos!$A:$A,AP$19,Lançamentos!$C:$C,"Custo de Mercadoria Vendida")</f>
        <v>0</v>
      </c>
      <c r="AQ37" s="39">
        <f>SUMIFS(Lançamentos!$G:$G,Lançamentos!$A:$A,AQ$19,Lançamentos!$C:$C,"Custo de Mercadoria Vendida")</f>
        <v>0</v>
      </c>
      <c r="AR37" s="39">
        <f>SUMIFS(Lançamentos!$G:$G,Lançamentos!$A:$A,AR$19,Lançamentos!$C:$C,"Custo de Mercadoria Vendida")</f>
        <v>0</v>
      </c>
      <c r="AS37" s="39">
        <f>SUMIFS(Lançamentos!$G:$G,Lançamentos!$A:$A,AS$19,Lançamentos!$C:$C,"Custo de Mercadoria Vendida")</f>
        <v>0</v>
      </c>
      <c r="AT37" s="39">
        <f>SUMIFS(Lançamentos!$G:$G,Lançamentos!$A:$A,AT$19,Lançamentos!$C:$C,"Custo de Mercadoria Vendida")</f>
        <v>0</v>
      </c>
      <c r="AU37" s="39">
        <f>SUMIFS(Lançamentos!$G:$G,Lançamentos!$A:$A,AU$19,Lançamentos!$C:$C,"Custo de Mercadoria Vendida")</f>
        <v>0</v>
      </c>
      <c r="AV37" s="39">
        <f>SUMIFS(Lançamentos!$G:$G,Lançamentos!$A:$A,AV$19,Lançamentos!$C:$C,"Custo de Mercadoria Vendida")</f>
        <v>0</v>
      </c>
      <c r="AW37" s="39">
        <f>SUMIFS(Lançamentos!$G:$G,Lançamentos!$A:$A,AW$19,Lançamentos!$C:$C,"Custo de Mercadoria Vendida")</f>
        <v>0</v>
      </c>
      <c r="AX37" s="39">
        <f>SUMIFS(Lançamentos!$G:$G,Lançamentos!$A:$A,AX$19,Lançamentos!$C:$C,"Custo de Mercadoria Vendida")</f>
        <v>0</v>
      </c>
      <c r="AY37" s="39">
        <f>SUMIFS(Lançamentos!$G:$G,Lançamentos!$A:$A,AY$19,Lançamentos!$C:$C,"Custo de Mercadoria Vendida")</f>
        <v>0</v>
      </c>
      <c r="AZ37" s="39">
        <f>SUMIFS(Lançamentos!$G:$G,Lançamentos!$A:$A,AZ$19,Lançamentos!$C:$C,"Custo de Mercadoria Vendida")</f>
        <v>0</v>
      </c>
      <c r="BA37" s="39">
        <f>SUMIFS(Lançamentos!$G:$G,Lançamentos!$A:$A,BA$19,Lançamentos!$C:$C,"Custo de Mercadoria Vendida")</f>
        <v>0</v>
      </c>
      <c r="BB37" s="39">
        <f>SUMIFS(Lançamentos!$G:$G,Lançamentos!$A:$A,BB$19,Lançamentos!$C:$C,"Custo de Mercadoria Vendida")</f>
        <v>0</v>
      </c>
      <c r="BC37" s="39">
        <f>SUMIFS(Lançamentos!$G:$G,Lançamentos!$A:$A,BC$19,Lançamentos!$C:$C,"Custo de Mercadoria Vendida")</f>
        <v>0</v>
      </c>
      <c r="BD37" s="39">
        <f>SUMIFS(Lançamentos!$G:$G,Lançamentos!$A:$A,BD$19,Lançamentos!$C:$C,"Custo de Mercadoria Vendida")</f>
        <v>0</v>
      </c>
      <c r="BE37" s="39">
        <f>SUMIFS(Lançamentos!$G:$G,Lançamentos!$A:$A,BE$19,Lançamentos!$C:$C,"Custo de Mercadoria Vendida")</f>
        <v>0</v>
      </c>
      <c r="BF37" s="39">
        <f>SUMIFS(Lançamentos!$G:$G,Lançamentos!$A:$A,BF$19,Lançamentos!$C:$C,"Custo de Mercadoria Vendida")</f>
        <v>0</v>
      </c>
      <c r="BG37" s="39">
        <f>SUMIFS(Lançamentos!$G:$G,Lançamentos!$A:$A,BG$19,Lançamentos!$C:$C,"Custo de Mercadoria Vendida")</f>
        <v>0</v>
      </c>
      <c r="BH37" s="39">
        <f>SUMIFS(Lançamentos!$G:$G,Lançamentos!$A:$A,BH$19,Lançamentos!$C:$C,"Custo de Mercadoria Vendida")</f>
        <v>0</v>
      </c>
      <c r="BI37" s="39">
        <f>SUMIFS(Lançamentos!$G:$G,Lançamentos!$A:$A,BI$19,Lançamentos!$C:$C,"Custo de Mercadoria Vendida")</f>
        <v>0</v>
      </c>
      <c r="BJ37" s="39">
        <f>SUMIFS(Lançamentos!$G:$G,Lançamentos!$A:$A,BJ$19,Lançamentos!$C:$C,"Custo de Mercadoria Vendida")</f>
        <v>0</v>
      </c>
      <c r="BK37" s="39">
        <f>SUMIFS(Lançamentos!$G:$G,Lançamentos!$A:$A,BK$19,Lançamentos!$C:$C,"Custo de Mercadoria Vendida")</f>
        <v>0</v>
      </c>
      <c r="BL37" s="39">
        <f>SUMIFS(Lançamentos!$G:$G,Lançamentos!$A:$A,BL$19,Lançamentos!$C:$C,"Custo de Mercadoria Vendida")</f>
        <v>0</v>
      </c>
      <c r="BM37" s="39">
        <f>SUMIFS(Lançamentos!$G:$G,Lançamentos!$A:$A,BM$19,Lançamentos!$C:$C,"Custo de Mercadoria Vendida")</f>
        <v>0</v>
      </c>
      <c r="BN37" s="39">
        <f>SUMIFS(Lançamentos!$G:$G,Lançamentos!$A:$A,BN$19,Lançamentos!$C:$C,"Custo de Mercadoria Vendida")</f>
        <v>0</v>
      </c>
      <c r="BO37" s="39">
        <f>SUMIFS(Lançamentos!$G:$G,Lançamentos!$A:$A,BO$19,Lançamentos!$C:$C,"Custo de Mercadoria Vendida")</f>
        <v>0</v>
      </c>
      <c r="BP37" s="39">
        <f>SUMIFS(Lançamentos!$G:$G,Lançamentos!$A:$A,BP$19,Lançamentos!$C:$C,"Custo de Mercadoria Vendida")</f>
        <v>0</v>
      </c>
      <c r="BQ37" s="39">
        <f>SUMIFS(Lançamentos!$G:$G,Lançamentos!$A:$A,BQ$19,Lançamentos!$C:$C,"Custo de Mercadoria Vendida")</f>
        <v>0</v>
      </c>
      <c r="BR37" s="39">
        <f>SUMIFS(Lançamentos!$G:$G,Lançamentos!$A:$A,BR$19,Lançamentos!$C:$C,"Custo de Mercadoria Vendida")</f>
        <v>0</v>
      </c>
      <c r="BS37" s="39">
        <f>SUMIFS(Lançamentos!$G:$G,Lançamentos!$A:$A,BS$19,Lançamentos!$C:$C,"Custo de Mercadoria Vendida")</f>
        <v>0</v>
      </c>
      <c r="BT37" s="39">
        <f>SUMIFS(Lançamentos!$G:$G,Lançamentos!$A:$A,BT$19,Lançamentos!$C:$C,"Custo de Mercadoria Vendida")</f>
        <v>0</v>
      </c>
      <c r="BU37" s="39">
        <f>SUMIFS(Lançamentos!$G:$G,Lançamentos!$A:$A,BU$19,Lançamentos!$C:$C,"Custo de Mercadoria Vendida")</f>
        <v>0</v>
      </c>
      <c r="BV37" s="39">
        <f>SUMIFS(Lançamentos!$G:$G,Lançamentos!$A:$A,BV$19,Lançamentos!$C:$C,"Custo de Mercadoria Vendida")</f>
        <v>0</v>
      </c>
      <c r="BW37" s="39">
        <f>SUMIFS(Lançamentos!$G:$G,Lançamentos!$A:$A,BW$19,Lançamentos!$C:$C,"Custo de Mercadoria Vendida")</f>
        <v>0</v>
      </c>
      <c r="BX37" s="39">
        <f>SUMIFS(Lançamentos!$G:$G,Lançamentos!$A:$A,BX$19,Lançamentos!$C:$C,"Custo de Mercadoria Vendida")</f>
        <v>0</v>
      </c>
      <c r="BY37" s="39">
        <f>SUMIFS(Lançamentos!$G:$G,Lançamentos!$A:$A,BY$19,Lançamentos!$C:$C,"Custo de Mercadoria Vendida")</f>
        <v>0</v>
      </c>
      <c r="BZ37" s="39">
        <f>SUMIFS(Lançamentos!$G:$G,Lançamentos!$A:$A,BZ$19,Lançamentos!$C:$C,"Custo de Mercadoria Vendida")</f>
        <v>0</v>
      </c>
      <c r="CA37" s="39">
        <f>SUMIFS(Lançamentos!$G:$G,Lançamentos!$A:$A,CA$19,Lançamentos!$C:$C,"Custo de Mercadoria Vendida")</f>
        <v>0</v>
      </c>
      <c r="CB37" s="39">
        <f>SUMIFS(Lançamentos!$G:$G,Lançamentos!$A:$A,CB$19,Lançamentos!$C:$C,"Custo de Mercadoria Vendida")</f>
        <v>0</v>
      </c>
      <c r="CC37" s="39">
        <f>SUMIFS(Lançamentos!$G:$G,Lançamentos!$A:$A,CC$19,Lançamentos!$C:$C,"Custo de Mercadoria Vendida")</f>
        <v>0</v>
      </c>
      <c r="CD37" s="39">
        <f>SUMIFS(Lançamentos!$G:$G,Lançamentos!$A:$A,CD$19,Lançamentos!$C:$C,"Custo de Mercadoria Vendida")</f>
        <v>0</v>
      </c>
      <c r="CE37" s="39">
        <f>SUMIFS(Lançamentos!$G:$G,Lançamentos!$A:$A,CE$19,Lançamentos!$C:$C,"Custo de Mercadoria Vendida")</f>
        <v>0</v>
      </c>
      <c r="CF37" s="39">
        <f>SUMIFS(Lançamentos!$G:$G,Lançamentos!$A:$A,CF$19,Lançamentos!$C:$C,"Custo de Mercadoria Vendida")</f>
        <v>0</v>
      </c>
      <c r="CG37" s="39">
        <f>SUMIFS(Lançamentos!$G:$G,Lançamentos!$A:$A,CG$19,Lançamentos!$C:$C,"Custo de Mercadoria Vendida")</f>
        <v>0</v>
      </c>
      <c r="CH37" s="39">
        <f>SUMIFS(Lançamentos!$G:$G,Lançamentos!$A:$A,CH$19,Lançamentos!$C:$C,"Custo de Mercadoria Vendida")</f>
        <v>0</v>
      </c>
      <c r="CI37" s="39">
        <f>SUMIFS(Lançamentos!$G:$G,Lançamentos!$A:$A,CI$19,Lançamentos!$C:$C,"Custo de Mercadoria Vendida")</f>
        <v>0</v>
      </c>
      <c r="CJ37" s="39">
        <f>SUMIFS(Lançamentos!$G:$G,Lançamentos!$A:$A,CJ$19,Lançamentos!$C:$C,"Custo de Mercadoria Vendida")</f>
        <v>0</v>
      </c>
      <c r="CK37" s="39">
        <f>SUMIFS(Lançamentos!$G:$G,Lançamentos!$A:$A,CK$19,Lançamentos!$C:$C,"Custo de Mercadoria Vendida")</f>
        <v>0</v>
      </c>
      <c r="CL37" s="39">
        <f>SUMIFS(Lançamentos!$G:$G,Lançamentos!$A:$A,CL$19,Lançamentos!$C:$C,"Custo de Mercadoria Vendida")</f>
        <v>0</v>
      </c>
      <c r="CM37" s="39">
        <f>SUMIFS(Lançamentos!$G:$G,Lançamentos!$A:$A,CM$19,Lançamentos!$C:$C,"Custo de Mercadoria Vendida")</f>
        <v>0</v>
      </c>
      <c r="CN37" s="39">
        <f>SUMIFS(Lançamentos!$G:$G,Lançamentos!$A:$A,CN$19,Lançamentos!$C:$C,"Custo de Mercadoria Vendida")</f>
        <v>0</v>
      </c>
      <c r="CO37" s="39">
        <f>SUMIFS(Lançamentos!$G:$G,Lançamentos!$A:$A,CO$19,Lançamentos!$C:$C,"Custo de Mercadoria Vendida")</f>
        <v>0</v>
      </c>
      <c r="CP37" s="39">
        <f>SUMIFS(Lançamentos!$G:$G,Lançamentos!$A:$A,CP$19,Lançamentos!$C:$C,"Custo de Mercadoria Vendida")</f>
        <v>0</v>
      </c>
      <c r="CQ37" s="39">
        <f>SUMIFS(Lançamentos!$G:$G,Lançamentos!$A:$A,CQ$19,Lançamentos!$C:$C,"Custo de Mercadoria Vendida")</f>
        <v>0</v>
      </c>
      <c r="CR37" s="39">
        <f>SUMIFS(Lançamentos!$G:$G,Lançamentos!$A:$A,CR$19,Lançamentos!$C:$C,"Custo de Mercadoria Vendida")</f>
        <v>0</v>
      </c>
      <c r="CS37" s="39">
        <f>SUMIFS(Lançamentos!$G:$G,Lançamentos!$A:$A,CS$19,Lançamentos!$C:$C,"Custo de Mercadoria Vendida")</f>
        <v>0</v>
      </c>
      <c r="CT37" s="39">
        <f>SUMIFS(Lançamentos!$G:$G,Lançamentos!$A:$A,CT$19,Lançamentos!$C:$C,"Custo de Mercadoria Vendida")</f>
        <v>0</v>
      </c>
      <c r="CU37" s="39">
        <f>SUMIFS(Lançamentos!$G:$G,Lançamentos!$A:$A,CU$19,Lançamentos!$C:$C,"Custo de Mercadoria Vendida")</f>
        <v>0</v>
      </c>
      <c r="CV37" s="39">
        <f>SUMIFS(Lançamentos!$G:$G,Lançamentos!$A:$A,CV$19,Lançamentos!$C:$C,"Custo de Mercadoria Vendida")</f>
        <v>0</v>
      </c>
      <c r="CW37" s="39">
        <f>SUMIFS(Lançamentos!$G:$G,Lançamentos!$A:$A,CW$19,Lançamentos!$C:$C,"Custo de Mercadoria Vendida")</f>
        <v>0</v>
      </c>
      <c r="CX37" s="39">
        <f>SUMIFS(Lançamentos!$G:$G,Lançamentos!$A:$A,CX$19,Lançamentos!$C:$C,"Custo de Mercadoria Vendida")</f>
        <v>0</v>
      </c>
      <c r="CY37" s="39">
        <f>SUMIFS(Lançamentos!$G:$G,Lançamentos!$A:$A,CY$19,Lançamentos!$C:$C,"Custo de Mercadoria Vendida")</f>
        <v>0</v>
      </c>
      <c r="CZ37" s="39">
        <f>SUMIFS(Lançamentos!$G:$G,Lançamentos!$A:$A,CZ$19,Lançamentos!$C:$C,"Custo de Mercadoria Vendida")</f>
        <v>0</v>
      </c>
      <c r="DA37" s="39">
        <f>SUMIFS(Lançamentos!$G:$G,Lançamentos!$A:$A,DA$19,Lançamentos!$C:$C,"Custo de Mercadoria Vendida")</f>
        <v>0</v>
      </c>
      <c r="DB37" s="39">
        <f>SUMIFS(Lançamentos!$G:$G,Lançamentos!$A:$A,DB$19,Lançamentos!$C:$C,"Custo de Mercadoria Vendida")</f>
        <v>0</v>
      </c>
      <c r="DC37" s="39">
        <f>SUMIFS(Lançamentos!$G:$G,Lançamentos!$A:$A,DC$19,Lançamentos!$C:$C,"Custo de Mercadoria Vendida")</f>
        <v>0</v>
      </c>
      <c r="DD37" s="39">
        <f>SUMIFS(Lançamentos!$G:$G,Lançamentos!$A:$A,DD$19,Lançamentos!$C:$C,"Custo de Mercadoria Vendida")</f>
        <v>0</v>
      </c>
      <c r="DE37" s="39">
        <f>SUMIFS(Lançamentos!$G:$G,Lançamentos!$A:$A,DE$19,Lançamentos!$C:$C,"Custo de Mercadoria Vendida")</f>
        <v>0</v>
      </c>
      <c r="DF37" s="39">
        <f>SUMIFS(Lançamentos!$G:$G,Lançamentos!$A:$A,DF$19,Lançamentos!$C:$C,"Custo de Mercadoria Vendida")</f>
        <v>0</v>
      </c>
      <c r="DG37" s="39">
        <f>SUMIFS(Lançamentos!$G:$G,Lançamentos!$A:$A,DG$19,Lançamentos!$C:$C,"Custo de Mercadoria Vendida")</f>
        <v>0</v>
      </c>
      <c r="DH37" s="39">
        <f>SUMIFS(Lançamentos!$G:$G,Lançamentos!$A:$A,DH$19,Lançamentos!$C:$C,"Custo de Mercadoria Vendida")</f>
        <v>0</v>
      </c>
      <c r="DI37" s="39">
        <f>SUMIFS(Lançamentos!$G:$G,Lançamentos!$A:$A,DI$19,Lançamentos!$C:$C,"Custo de Mercadoria Vendida")</f>
        <v>0</v>
      </c>
      <c r="DJ37" s="39">
        <f>SUMIFS(Lançamentos!$G:$G,Lançamentos!$A:$A,DJ$19,Lançamentos!$C:$C,"Custo de Mercadoria Vendida")</f>
        <v>0</v>
      </c>
      <c r="DK37" s="39">
        <f>SUMIFS(Lançamentos!$G:$G,Lançamentos!$A:$A,DK$19,Lançamentos!$C:$C,"Custo de Mercadoria Vendida")</f>
        <v>0</v>
      </c>
      <c r="DL37" s="39">
        <f>SUMIFS(Lançamentos!$G:$G,Lançamentos!$A:$A,DL$19,Lançamentos!$C:$C,"Custo de Mercadoria Vendida")</f>
        <v>0</v>
      </c>
      <c r="DM37" s="39">
        <f>SUMIFS(Lançamentos!$G:$G,Lançamentos!$A:$A,DM$19,Lançamentos!$C:$C,"Custo de Mercadoria Vendida")</f>
        <v>0</v>
      </c>
      <c r="DN37" s="39">
        <f>SUMIFS(Lançamentos!$G:$G,Lançamentos!$A:$A,DN$19,Lançamentos!$C:$C,"Custo de Mercadoria Vendida")</f>
        <v>0</v>
      </c>
      <c r="DO37" s="39">
        <f>SUMIFS(Lançamentos!$G:$G,Lançamentos!$A:$A,DO$19,Lançamentos!$C:$C,"Custo de Mercadoria Vendida")</f>
        <v>0</v>
      </c>
      <c r="DP37" s="39">
        <f>SUMIFS(Lançamentos!$G:$G,Lançamentos!$A:$A,DP$19,Lançamentos!$C:$C,"Custo de Mercadoria Vendida")</f>
        <v>0</v>
      </c>
      <c r="DQ37" s="39">
        <f>SUMIFS(Lançamentos!$G:$G,Lançamentos!$A:$A,DQ$19,Lançamentos!$C:$C,"Custo de Mercadoria Vendida")</f>
        <v>0</v>
      </c>
      <c r="DR37" s="39">
        <f>SUMIFS(Lançamentos!$G:$G,Lançamentos!$A:$A,DR$19,Lançamentos!$C:$C,"Custo de Mercadoria Vendida")</f>
        <v>0</v>
      </c>
      <c r="DS37" s="39">
        <f>SUMIFS(Lançamentos!$G:$G,Lançamentos!$A:$A,DS$19,Lançamentos!$C:$C,"Custo de Mercadoria Vendida")</f>
        <v>0</v>
      </c>
      <c r="DT37" s="39">
        <f>SUMIFS(Lançamentos!$G:$G,Lançamentos!$A:$A,DT$19,Lançamentos!$C:$C,"Custo de Mercadoria Vendida")</f>
        <v>0</v>
      </c>
      <c r="DU37" s="39">
        <f>SUMIFS(Lançamentos!$G:$G,Lançamentos!$A:$A,DU$19,Lançamentos!$C:$C,"Custo de Mercadoria Vendida")</f>
        <v>0</v>
      </c>
      <c r="DV37" s="39">
        <f>SUMIFS(Lançamentos!$G:$G,Lançamentos!$A:$A,DV$19,Lançamentos!$C:$C,"Custo de Mercadoria Vendida")</f>
        <v>0</v>
      </c>
      <c r="DW37" s="39">
        <f>SUMIFS(Lançamentos!$G:$G,Lançamentos!$A:$A,DW$19,Lançamentos!$C:$C,"Custo de Mercadoria Vendida")</f>
        <v>0</v>
      </c>
      <c r="DX37" s="39">
        <f>SUMIFS(Lançamentos!$G:$G,Lançamentos!$A:$A,DX$19,Lançamentos!$C:$C,"Custo de Mercadoria Vendida")</f>
        <v>0</v>
      </c>
      <c r="DY37" s="39">
        <f>SUMIFS(Lançamentos!$G:$G,Lançamentos!$A:$A,DY$19,Lançamentos!$C:$C,"Custo de Mercadoria Vendida")</f>
        <v>0</v>
      </c>
      <c r="DZ37" s="39">
        <f>SUMIFS(Lançamentos!$G:$G,Lançamentos!$A:$A,DZ$19,Lançamentos!$C:$C,"Custo de Mercadoria Vendida")</f>
        <v>0</v>
      </c>
      <c r="EA37" s="39">
        <f>SUMIFS(Lançamentos!$G:$G,Lançamentos!$A:$A,EA$19,Lançamentos!$C:$C,"Custo de Mercadoria Vendida")</f>
        <v>0</v>
      </c>
      <c r="EB37" s="39">
        <f>SUMIFS(Lançamentos!$G:$G,Lançamentos!$A:$A,EB$19,Lançamentos!$C:$C,"Custo de Mercadoria Vendida")</f>
        <v>0</v>
      </c>
      <c r="EC37" s="39">
        <f>SUMIFS(Lançamentos!$G:$G,Lançamentos!$A:$A,EC$19,Lançamentos!$C:$C,"Custo de Mercadoria Vendida")</f>
        <v>0</v>
      </c>
      <c r="ED37" s="39">
        <f>SUMIFS(Lançamentos!$G:$G,Lançamentos!$A:$A,ED$19,Lançamentos!$C:$C,"Custo de Mercadoria Vendida")</f>
        <v>0</v>
      </c>
      <c r="EE37" s="39">
        <f>SUMIFS(Lançamentos!$G:$G,Lançamentos!$A:$A,EE$19,Lançamentos!$C:$C,"Custo de Mercadoria Vendida")</f>
        <v>0</v>
      </c>
      <c r="EF37" s="39">
        <f>SUMIFS(Lançamentos!$G:$G,Lançamentos!$A:$A,EF$19,Lançamentos!$C:$C,"Custo de Mercadoria Vendida")</f>
        <v>0</v>
      </c>
      <c r="EG37" s="39">
        <f>SUMIFS(Lançamentos!$G:$G,Lançamentos!$A:$A,EG$19,Lançamentos!$C:$C,"Custo de Mercadoria Vendida")</f>
        <v>0</v>
      </c>
      <c r="EH37" s="39">
        <f>SUMIFS(Lançamentos!$G:$G,Lançamentos!$A:$A,EH$19,Lançamentos!$C:$C,"Custo de Mercadoria Vendida")</f>
        <v>0</v>
      </c>
      <c r="EI37" s="39">
        <f>SUMIFS(Lançamentos!$G:$G,Lançamentos!$A:$A,EI$19,Lançamentos!$C:$C,"Custo de Mercadoria Vendida")</f>
        <v>0</v>
      </c>
      <c r="EJ37" s="39">
        <f>SUMIFS(Lançamentos!$G:$G,Lançamentos!$A:$A,EJ$19,Lançamentos!$C:$C,"Custo de Mercadoria Vendida")</f>
        <v>0</v>
      </c>
      <c r="EK37" s="39">
        <f>SUMIFS(Lançamentos!$G:$G,Lançamentos!$A:$A,EK$19,Lançamentos!$C:$C,"Custo de Mercadoria Vendida")</f>
        <v>0</v>
      </c>
      <c r="EL37" s="39">
        <f>SUMIFS(Lançamentos!$G:$G,Lançamentos!$A:$A,EL$19,Lançamentos!$C:$C,"Custo de Mercadoria Vendida")</f>
        <v>0</v>
      </c>
      <c r="EM37" s="39">
        <f>SUMIFS(Lançamentos!$G:$G,Lançamentos!$A:$A,EM$19,Lançamentos!$C:$C,"Custo de Mercadoria Vendida")</f>
        <v>0</v>
      </c>
      <c r="EN37" s="39">
        <f>SUMIFS(Lançamentos!$G:$G,Lançamentos!$A:$A,EN$19,Lançamentos!$C:$C,"Custo de Mercadoria Vendida")</f>
        <v>0</v>
      </c>
      <c r="EO37" s="39">
        <f>SUMIFS(Lançamentos!$G:$G,Lançamentos!$A:$A,EO$19,Lançamentos!$C:$C,"Custo de Mercadoria Vendida")</f>
        <v>0</v>
      </c>
      <c r="EP37" s="39">
        <f>SUMIFS(Lançamentos!$G:$G,Lançamentos!$A:$A,EP$19,Lançamentos!$C:$C,"Custo de Mercadoria Vendida")</f>
        <v>0</v>
      </c>
      <c r="EQ37" s="39">
        <f>SUMIFS(Lançamentos!$G:$G,Lançamentos!$A:$A,EQ$19,Lançamentos!$C:$C,"Custo de Mercadoria Vendida")</f>
        <v>0</v>
      </c>
      <c r="ER37" s="39">
        <f>SUMIFS(Lançamentos!$G:$G,Lançamentos!$A:$A,ER$19,Lançamentos!$C:$C,"Custo de Mercadoria Vendida")</f>
        <v>0</v>
      </c>
      <c r="ES37" s="39">
        <f>SUMIFS(Lançamentos!$G:$G,Lançamentos!$A:$A,ES$19,Lançamentos!$C:$C,"Custo de Mercadoria Vendida")</f>
        <v>0</v>
      </c>
      <c r="ET37" s="39">
        <f>SUMIFS(Lançamentos!$G:$G,Lançamentos!$A:$A,ET$19,Lançamentos!$C:$C,"Custo de Mercadoria Vendida")</f>
        <v>0</v>
      </c>
      <c r="EU37" s="39">
        <f>SUMIFS(Lançamentos!$G:$G,Lançamentos!$A:$A,EU$19,Lançamentos!$C:$C,"Custo de Mercadoria Vendida")</f>
        <v>0</v>
      </c>
      <c r="EV37" s="39">
        <f>SUMIFS(Lançamentos!$G:$G,Lançamentos!$A:$A,EV$19,Lançamentos!$C:$C,"Custo de Mercadoria Vendida")</f>
        <v>0</v>
      </c>
      <c r="EW37" s="39">
        <f>SUMIFS(Lançamentos!$G:$G,Lançamentos!$A:$A,EW$19,Lançamentos!$C:$C,"Custo de Mercadoria Vendida")</f>
        <v>0</v>
      </c>
      <c r="EX37" s="39">
        <f>SUMIFS(Lançamentos!$G:$G,Lançamentos!$A:$A,EX$19,Lançamentos!$C:$C,"Custo de Mercadoria Vendida")</f>
        <v>0</v>
      </c>
      <c r="EY37" s="39">
        <f>SUMIFS(Lançamentos!$G:$G,Lançamentos!$A:$A,EY$19,Lançamentos!$C:$C,"Custo de Mercadoria Vendida")</f>
        <v>0</v>
      </c>
      <c r="EZ37" s="39">
        <f>SUMIFS(Lançamentos!$G:$G,Lançamentos!$A:$A,EZ$19,Lançamentos!$C:$C,"Custo de Mercadoria Vendida")</f>
        <v>0</v>
      </c>
      <c r="FA37" s="39">
        <f>SUMIFS(Lançamentos!$G:$G,Lançamentos!$A:$A,FA$19,Lançamentos!$C:$C,"Custo de Mercadoria Vendida")</f>
        <v>0</v>
      </c>
      <c r="FB37" s="39">
        <f>SUMIFS(Lançamentos!$G:$G,Lançamentos!$A:$A,FB$19,Lançamentos!$C:$C,"Custo de Mercadoria Vendida")</f>
        <v>0</v>
      </c>
      <c r="FC37" s="39">
        <f>SUMIFS(Lançamentos!$G:$G,Lançamentos!$A:$A,FC$19,Lançamentos!$C:$C,"Custo de Mercadoria Vendida")</f>
        <v>0</v>
      </c>
      <c r="FD37" s="39">
        <f>SUMIFS(Lançamentos!$G:$G,Lançamentos!$A:$A,FD$19,Lançamentos!$C:$C,"Custo de Mercadoria Vendida")</f>
        <v>0</v>
      </c>
      <c r="FE37" s="39">
        <f>SUMIFS(Lançamentos!$G:$G,Lançamentos!$A:$A,FE$19,Lançamentos!$C:$C,"Custo de Mercadoria Vendida")</f>
        <v>0</v>
      </c>
      <c r="FF37" s="39">
        <f>SUMIFS(Lançamentos!$G:$G,Lançamentos!$A:$A,FF$19,Lançamentos!$C:$C,"Custo de Mercadoria Vendida")</f>
        <v>0</v>
      </c>
      <c r="FG37" s="39">
        <f>SUMIFS(Lançamentos!$G:$G,Lançamentos!$A:$A,FG$19,Lançamentos!$C:$C,"Custo de Mercadoria Vendida")</f>
        <v>0</v>
      </c>
      <c r="FH37" s="39">
        <f>SUMIFS(Lançamentos!$G:$G,Lançamentos!$A:$A,FH$19,Lançamentos!$C:$C,"Custo de Mercadoria Vendida")</f>
        <v>0</v>
      </c>
      <c r="FI37" s="39">
        <f>SUMIFS(Lançamentos!$G:$G,Lançamentos!$A:$A,FI$19,Lançamentos!$C:$C,"Custo de Mercadoria Vendida")</f>
        <v>0</v>
      </c>
      <c r="FJ37" s="39">
        <f>SUMIFS(Lançamentos!$G:$G,Lançamentos!$A:$A,FJ$19,Lançamentos!$C:$C,"Custo de Mercadoria Vendida")</f>
        <v>0</v>
      </c>
      <c r="FK37" s="39">
        <f>SUMIFS(Lançamentos!$G:$G,Lançamentos!$A:$A,FK$19,Lançamentos!$C:$C,"Custo de Mercadoria Vendida")</f>
        <v>0</v>
      </c>
      <c r="FL37" s="39">
        <f>SUMIFS(Lançamentos!$G:$G,Lançamentos!$A:$A,FL$19,Lançamentos!$C:$C,"Custo de Mercadoria Vendida")</f>
        <v>0</v>
      </c>
      <c r="FM37" s="39">
        <f>SUMIFS(Lançamentos!$G:$G,Lançamentos!$A:$A,FM$19,Lançamentos!$C:$C,"Custo de Mercadoria Vendida")</f>
        <v>0</v>
      </c>
      <c r="FN37" s="39">
        <f>SUMIFS(Lançamentos!$G:$G,Lançamentos!$A:$A,FN$19,Lançamentos!$C:$C,"Custo de Mercadoria Vendida")</f>
        <v>0</v>
      </c>
      <c r="FO37" s="39">
        <f>SUMIFS(Lançamentos!$G:$G,Lançamentos!$A:$A,FO$19,Lançamentos!$C:$C,"Custo de Mercadoria Vendida")</f>
        <v>0</v>
      </c>
      <c r="FP37" s="39">
        <f>SUMIFS(Lançamentos!$G:$G,Lançamentos!$A:$A,FP$19,Lançamentos!$C:$C,"Custo de Mercadoria Vendida")</f>
        <v>0</v>
      </c>
      <c r="FQ37" s="39">
        <f>SUMIFS(Lançamentos!$G:$G,Lançamentos!$A:$A,FQ$19,Lançamentos!$C:$C,"Custo de Mercadoria Vendida")</f>
        <v>0</v>
      </c>
      <c r="FR37" s="39">
        <f>SUMIFS(Lançamentos!$G:$G,Lançamentos!$A:$A,FR$19,Lançamentos!$C:$C,"Custo de Mercadoria Vendida")</f>
        <v>0</v>
      </c>
      <c r="FS37" s="39">
        <f>SUMIFS(Lançamentos!$G:$G,Lançamentos!$A:$A,FS$19,Lançamentos!$C:$C,"Custo de Mercadoria Vendida")</f>
        <v>0</v>
      </c>
      <c r="FT37" s="39">
        <f>SUMIFS(Lançamentos!$G:$G,Lançamentos!$A:$A,FT$19,Lançamentos!$C:$C,"Custo de Mercadoria Vendida")</f>
        <v>0</v>
      </c>
      <c r="FU37" s="39">
        <f>SUMIFS(Lançamentos!$G:$G,Lançamentos!$A:$A,FU$19,Lançamentos!$C:$C,"Custo de Mercadoria Vendida")</f>
        <v>0</v>
      </c>
      <c r="FV37" s="39">
        <f>SUMIFS(Lançamentos!$G:$G,Lançamentos!$A:$A,FV$19,Lançamentos!$C:$C,"Custo de Mercadoria Vendida")</f>
        <v>0</v>
      </c>
      <c r="FW37" s="39">
        <f>SUMIFS(Lançamentos!$G:$G,Lançamentos!$A:$A,FW$19,Lançamentos!$C:$C,"Custo de Mercadoria Vendida")</f>
        <v>0</v>
      </c>
      <c r="FX37" s="39">
        <f>SUMIFS(Lançamentos!$G:$G,Lançamentos!$A:$A,FX$19,Lançamentos!$C:$C,"Custo de Mercadoria Vendida")</f>
        <v>0</v>
      </c>
      <c r="FY37" s="39">
        <f>SUMIFS(Lançamentos!$G:$G,Lançamentos!$A:$A,FY$19,Lançamentos!$C:$C,"Custo de Mercadoria Vendida")</f>
        <v>0</v>
      </c>
      <c r="FZ37" s="39">
        <f>SUMIFS(Lançamentos!$G:$G,Lançamentos!$A:$A,FZ$19,Lançamentos!$C:$C,"Custo de Mercadoria Vendida")</f>
        <v>0</v>
      </c>
      <c r="GA37" s="39">
        <f>SUMIFS(Lançamentos!$G:$G,Lançamentos!$A:$A,GA$19,Lançamentos!$C:$C,"Custo de Mercadoria Vendida")</f>
        <v>0</v>
      </c>
      <c r="GB37" s="39">
        <f>SUMIFS(Lançamentos!$G:$G,Lançamentos!$A:$A,GB$19,Lançamentos!$C:$C,"Custo de Mercadoria Vendida")</f>
        <v>0</v>
      </c>
      <c r="GC37" s="39">
        <f>SUMIFS(Lançamentos!$G:$G,Lançamentos!$A:$A,GC$19,Lançamentos!$C:$C,"Custo de Mercadoria Vendida")</f>
        <v>0</v>
      </c>
      <c r="GD37" s="39">
        <f>SUMIFS(Lançamentos!$G:$G,Lançamentos!$A:$A,GD$19,Lançamentos!$C:$C,"Custo de Mercadoria Vendida")</f>
        <v>0</v>
      </c>
      <c r="GE37" s="39">
        <f>SUMIFS(Lançamentos!$G:$G,Lançamentos!$A:$A,GE$19,Lançamentos!$C:$C,"Custo de Mercadoria Vendida")</f>
        <v>0</v>
      </c>
      <c r="GF37" s="39">
        <f>SUMIFS(Lançamentos!$G:$G,Lançamentos!$A:$A,GF$19,Lançamentos!$C:$C,"Custo de Mercadoria Vendida")</f>
        <v>0</v>
      </c>
      <c r="GG37" s="39">
        <f>SUMIFS(Lançamentos!$G:$G,Lançamentos!$A:$A,GG$19,Lançamentos!$C:$C,"Custo de Mercadoria Vendida")</f>
        <v>0</v>
      </c>
      <c r="GH37" s="39">
        <f>SUMIFS(Lançamentos!$G:$G,Lançamentos!$A:$A,GH$19,Lançamentos!$C:$C,"Custo de Mercadoria Vendida")</f>
        <v>0</v>
      </c>
      <c r="GI37" s="39">
        <f>SUMIFS(Lançamentos!$G:$G,Lançamentos!$A:$A,GI$19,Lançamentos!$C:$C,"Custo de Mercadoria Vendida")</f>
        <v>0</v>
      </c>
      <c r="GJ37" s="39">
        <f>SUMIFS(Lançamentos!$G:$G,Lançamentos!$A:$A,GJ$19,Lançamentos!$C:$C,"Custo de Mercadoria Vendida")</f>
        <v>0</v>
      </c>
      <c r="GK37" s="39">
        <f>SUMIFS(Lançamentos!$G:$G,Lançamentos!$A:$A,GK$19,Lançamentos!$C:$C,"Custo de Mercadoria Vendida")</f>
        <v>0</v>
      </c>
      <c r="GL37" s="39">
        <f>SUMIFS(Lançamentos!$G:$G,Lançamentos!$A:$A,GL$19,Lançamentos!$C:$C,"Custo de Mercadoria Vendida")</f>
        <v>0</v>
      </c>
      <c r="GM37" s="39">
        <f>SUMIFS(Lançamentos!$G:$G,Lançamentos!$A:$A,GM$19,Lançamentos!$C:$C,"Custo de Mercadoria Vendida")</f>
        <v>0</v>
      </c>
      <c r="GN37" s="39">
        <f>SUMIFS(Lançamentos!$G:$G,Lançamentos!$A:$A,GN$19,Lançamentos!$C:$C,"Custo de Mercadoria Vendida")</f>
        <v>0</v>
      </c>
      <c r="GO37" s="39">
        <f>SUMIFS(Lançamentos!$G:$G,Lançamentos!$A:$A,GO$19,Lançamentos!$C:$C,"Custo de Mercadoria Vendida")</f>
        <v>0</v>
      </c>
      <c r="GP37" s="39">
        <f>SUMIFS(Lançamentos!$G:$G,Lançamentos!$A:$A,GP$19,Lançamentos!$C:$C,"Custo de Mercadoria Vendida")</f>
        <v>0</v>
      </c>
      <c r="GQ37" s="39">
        <f>SUMIFS(Lançamentos!$G:$G,Lançamentos!$A:$A,GQ$19,Lançamentos!$C:$C,"Custo de Mercadoria Vendida")</f>
        <v>0</v>
      </c>
      <c r="GR37" s="39">
        <f>SUMIFS(Lançamentos!$G:$G,Lançamentos!$A:$A,GR$19,Lançamentos!$C:$C,"Custo de Mercadoria Vendida")</f>
        <v>0</v>
      </c>
      <c r="GS37" s="39">
        <f>SUMIFS(Lançamentos!$G:$G,Lançamentos!$A:$A,GS$19,Lançamentos!$C:$C,"Custo de Mercadoria Vendida")</f>
        <v>0</v>
      </c>
      <c r="GT37" s="39">
        <f>SUMIFS(Lançamentos!$G:$G,Lançamentos!$A:$A,GT$19,Lançamentos!$C:$C,"Custo de Mercadoria Vendida")</f>
        <v>0</v>
      </c>
      <c r="GU37" s="39">
        <f>SUMIFS(Lançamentos!$G:$G,Lançamentos!$A:$A,GU$19,Lançamentos!$C:$C,"Custo de Mercadoria Vendida")</f>
        <v>0</v>
      </c>
      <c r="GV37" s="39">
        <f>SUMIFS(Lançamentos!$G:$G,Lançamentos!$A:$A,GV$19,Lançamentos!$C:$C,"Custo de Mercadoria Vendida")</f>
        <v>0</v>
      </c>
      <c r="GW37" s="39">
        <f>SUMIFS(Lançamentos!$G:$G,Lançamentos!$A:$A,GW$19,Lançamentos!$C:$C,"Custo de Mercadoria Vendida")</f>
        <v>0</v>
      </c>
      <c r="GX37" s="39">
        <f>SUMIFS(Lançamentos!$G:$G,Lançamentos!$A:$A,GX$19,Lançamentos!$C:$C,"Custo de Mercadoria Vendida")</f>
        <v>0</v>
      </c>
      <c r="GY37" s="39">
        <f>SUMIFS(Lançamentos!$G:$G,Lançamentos!$A:$A,GY$19,Lançamentos!$C:$C,"Custo de Mercadoria Vendida")</f>
        <v>0</v>
      </c>
      <c r="GZ37" s="39">
        <f>SUMIFS(Lançamentos!$G:$G,Lançamentos!$A:$A,GZ$19,Lançamentos!$C:$C,"Custo de Mercadoria Vendida")</f>
        <v>0</v>
      </c>
      <c r="HA37" s="39">
        <f>SUMIFS(Lançamentos!$G:$G,Lançamentos!$A:$A,HA$19,Lançamentos!$C:$C,"Custo de Mercadoria Vendida")</f>
        <v>0</v>
      </c>
      <c r="HB37" s="39">
        <f>SUMIFS(Lançamentos!$G:$G,Lançamentos!$A:$A,HB$19,Lançamentos!$C:$C,"Custo de Mercadoria Vendida")</f>
        <v>0</v>
      </c>
      <c r="HC37" s="39">
        <f>SUMIFS(Lançamentos!$G:$G,Lançamentos!$A:$A,HC$19,Lançamentos!$C:$C,"Custo de Mercadoria Vendida")</f>
        <v>0</v>
      </c>
      <c r="HD37" s="39">
        <f>SUMIFS(Lançamentos!$G:$G,Lançamentos!$A:$A,HD$19,Lançamentos!$C:$C,"Custo de Mercadoria Vendida")</f>
        <v>0</v>
      </c>
      <c r="HE37" s="39">
        <f>SUMIFS(Lançamentos!$G:$G,Lançamentos!$A:$A,HE$19,Lançamentos!$C:$C,"Custo de Mercadoria Vendida")</f>
        <v>0</v>
      </c>
      <c r="HF37" s="39">
        <f>SUMIFS(Lançamentos!$G:$G,Lançamentos!$A:$A,HF$19,Lançamentos!$C:$C,"Custo de Mercadoria Vendida")</f>
        <v>0</v>
      </c>
      <c r="HG37" s="39">
        <f>SUMIFS(Lançamentos!$G:$G,Lançamentos!$A:$A,HG$19,Lançamentos!$C:$C,"Custo de Mercadoria Vendida")</f>
        <v>0</v>
      </c>
      <c r="HH37" s="39">
        <f>SUMIFS(Lançamentos!$G:$G,Lançamentos!$A:$A,HH$19,Lançamentos!$C:$C,"Custo de Mercadoria Vendida")</f>
        <v>0</v>
      </c>
      <c r="HI37" s="39">
        <f>SUMIFS(Lançamentos!$G:$G,Lançamentos!$A:$A,HI$19,Lançamentos!$C:$C,"Custo de Mercadoria Vendida")</f>
        <v>0</v>
      </c>
      <c r="HJ37" s="39">
        <f>SUMIFS(Lançamentos!$G:$G,Lançamentos!$A:$A,HJ$19,Lançamentos!$C:$C,"Custo de Mercadoria Vendida")</f>
        <v>0</v>
      </c>
      <c r="HK37" s="39">
        <f>SUMIFS(Lançamentos!$G:$G,Lançamentos!$A:$A,HK$19,Lançamentos!$C:$C,"Custo de Mercadoria Vendida")</f>
        <v>0</v>
      </c>
      <c r="HL37" s="39">
        <f>SUMIFS(Lançamentos!$G:$G,Lançamentos!$A:$A,HL$19,Lançamentos!$C:$C,"Custo de Mercadoria Vendida")</f>
        <v>0</v>
      </c>
      <c r="HM37" s="39">
        <f>SUMIFS(Lançamentos!$G:$G,Lançamentos!$A:$A,HM$19,Lançamentos!$C:$C,"Custo de Mercadoria Vendida")</f>
        <v>0</v>
      </c>
      <c r="HN37" s="39">
        <f>SUMIFS(Lançamentos!$G:$G,Lançamentos!$A:$A,HN$19,Lançamentos!$C:$C,"Custo de Mercadoria Vendida")</f>
        <v>0</v>
      </c>
      <c r="HO37" s="39">
        <f>SUMIFS(Lançamentos!$G:$G,Lançamentos!$A:$A,HO$19,Lançamentos!$C:$C,"Custo de Mercadoria Vendida")</f>
        <v>0</v>
      </c>
      <c r="HP37" s="39">
        <f>SUMIFS(Lançamentos!$G:$G,Lançamentos!$A:$A,HP$19,Lançamentos!$C:$C,"Custo de Mercadoria Vendida")</f>
        <v>0</v>
      </c>
      <c r="HQ37" s="39">
        <f>SUMIFS(Lançamentos!$G:$G,Lançamentos!$A:$A,HQ$19,Lançamentos!$C:$C,"Custo de Mercadoria Vendida")</f>
        <v>0</v>
      </c>
      <c r="HR37" s="39">
        <f>SUMIFS(Lançamentos!$G:$G,Lançamentos!$A:$A,HR$19,Lançamentos!$C:$C,"Custo de Mercadoria Vendida")</f>
        <v>0</v>
      </c>
      <c r="HS37" s="39">
        <f>SUMIFS(Lançamentos!$G:$G,Lançamentos!$A:$A,HS$19,Lançamentos!$C:$C,"Custo de Mercadoria Vendida")</f>
        <v>0</v>
      </c>
      <c r="HT37" s="39">
        <f>SUMIFS(Lançamentos!$G:$G,Lançamentos!$A:$A,HT$19,Lançamentos!$C:$C,"Custo de Mercadoria Vendida")</f>
        <v>0</v>
      </c>
      <c r="HU37" s="39">
        <f>SUMIFS(Lançamentos!$G:$G,Lançamentos!$A:$A,HU$19,Lançamentos!$C:$C,"Custo de Mercadoria Vendida")</f>
        <v>0</v>
      </c>
      <c r="HV37" s="39">
        <f>SUMIFS(Lançamentos!$G:$G,Lançamentos!$A:$A,HV$19,Lançamentos!$C:$C,"Custo de Mercadoria Vendida")</f>
        <v>0</v>
      </c>
      <c r="HW37" s="39">
        <f>SUMIFS(Lançamentos!$G:$G,Lançamentos!$A:$A,HW$19,Lançamentos!$C:$C,"Custo de Mercadoria Vendida")</f>
        <v>0</v>
      </c>
      <c r="HX37" s="39">
        <f>SUMIFS(Lançamentos!$G:$G,Lançamentos!$A:$A,HX$19,Lançamentos!$C:$C,"Custo de Mercadoria Vendida")</f>
        <v>0</v>
      </c>
      <c r="HY37" s="39">
        <f>SUMIFS(Lançamentos!$G:$G,Lançamentos!$A:$A,HY$19,Lançamentos!$C:$C,"Custo de Mercadoria Vendida")</f>
        <v>0</v>
      </c>
      <c r="HZ37" s="39">
        <f>SUMIFS(Lançamentos!$G:$G,Lançamentos!$A:$A,HZ$19,Lançamentos!$C:$C,"Custo de Mercadoria Vendida")</f>
        <v>0</v>
      </c>
      <c r="IA37" s="39">
        <f>SUMIFS(Lançamentos!$G:$G,Lançamentos!$A:$A,IA$19,Lançamentos!$C:$C,"Custo de Mercadoria Vendida")</f>
        <v>0</v>
      </c>
      <c r="IB37" s="39">
        <f>SUMIFS(Lançamentos!$G:$G,Lançamentos!$A:$A,IB$19,Lançamentos!$C:$C,"Custo de Mercadoria Vendida")</f>
        <v>0</v>
      </c>
      <c r="IC37" s="39">
        <f>SUMIFS(Lançamentos!$G:$G,Lançamentos!$A:$A,IC$19,Lançamentos!$C:$C,"Custo de Mercadoria Vendida")</f>
        <v>0</v>
      </c>
      <c r="ID37" s="39">
        <f>SUMIFS(Lançamentos!$G:$G,Lançamentos!$A:$A,ID$19,Lançamentos!$C:$C,"Custo de Mercadoria Vendida")</f>
        <v>0</v>
      </c>
      <c r="IE37" s="39">
        <f>SUMIFS(Lançamentos!$G:$G,Lançamentos!$A:$A,IE$19,Lançamentos!$C:$C,"Custo de Mercadoria Vendida")</f>
        <v>0</v>
      </c>
      <c r="IF37" s="39">
        <f>SUMIFS(Lançamentos!$G:$G,Lançamentos!$A:$A,IF$19,Lançamentos!$C:$C,"Custo de Mercadoria Vendida")</f>
        <v>0</v>
      </c>
      <c r="IG37" s="39">
        <f>SUMIFS(Lançamentos!$G:$G,Lançamentos!$A:$A,IG$19,Lançamentos!$C:$C,"Custo de Mercadoria Vendida")</f>
        <v>0</v>
      </c>
      <c r="IH37" s="39">
        <f>SUMIFS(Lançamentos!$G:$G,Lançamentos!$A:$A,IH$19,Lançamentos!$C:$C,"Custo de Mercadoria Vendida")</f>
        <v>0</v>
      </c>
      <c r="II37" s="39">
        <f>SUMIFS(Lançamentos!$G:$G,Lançamentos!$A:$A,II$19,Lançamentos!$C:$C,"Custo de Mercadoria Vendida")</f>
        <v>0</v>
      </c>
      <c r="IJ37" s="39">
        <f>SUMIFS(Lançamentos!$G:$G,Lançamentos!$A:$A,IJ$19,Lançamentos!$C:$C,"Custo de Mercadoria Vendida")</f>
        <v>0</v>
      </c>
      <c r="IK37" s="39">
        <f>SUMIFS(Lançamentos!$G:$G,Lançamentos!$A:$A,IK$19,Lançamentos!$C:$C,"Custo de Mercadoria Vendida")</f>
        <v>0</v>
      </c>
      <c r="IL37" s="39">
        <f>SUMIFS(Lançamentos!$G:$G,Lançamentos!$A:$A,IL$19,Lançamentos!$C:$C,"Custo de Mercadoria Vendida")</f>
        <v>0</v>
      </c>
    </row>
    <row r="38" spans="1:246" x14ac:dyDescent="0.3">
      <c r="A38" t="s">
        <v>14</v>
      </c>
      <c r="B38" s="39">
        <f>SUMIFS(Lançamentos!$G:$G,Lançamentos!$A:$A,B$19,Lançamentos!$C:$C,"Custo de Serviços Prestados")</f>
        <v>0</v>
      </c>
      <c r="C38" s="39">
        <f>SUMIFS(Lançamentos!$G:$G,Lançamentos!$A:$A,C$19,Lançamentos!$C:$C,"Custo de Serviços Prestados")</f>
        <v>0</v>
      </c>
      <c r="D38" s="39">
        <f>SUMIFS(Lançamentos!$G:$G,Lançamentos!$A:$A,D$19,Lançamentos!$C:$C,"Custo de Serviços Prestados")</f>
        <v>0</v>
      </c>
      <c r="E38" s="39">
        <f>SUMIFS(Lançamentos!$G:$G,Lançamentos!$A:$A,E$19,Lançamentos!$C:$C,"Custo de Serviços Prestados")</f>
        <v>0</v>
      </c>
      <c r="F38" s="39">
        <f>SUMIFS(Lançamentos!$G:$G,Lançamentos!$A:$A,F$19,Lançamentos!$C:$C,"Custo de Serviços Prestados")</f>
        <v>0</v>
      </c>
      <c r="G38" s="39">
        <f>SUMIFS(Lançamentos!$G:$G,Lançamentos!$A:$A,G$19,Lançamentos!$C:$C,"Custo de Serviços Prestados")</f>
        <v>0</v>
      </c>
      <c r="H38" s="39">
        <f>SUMIFS(Lançamentos!$G:$G,Lançamentos!$A:$A,H$19,Lançamentos!$C:$C,"Custo de Serviços Prestados")</f>
        <v>0</v>
      </c>
      <c r="I38" s="39">
        <f>SUMIFS(Lançamentos!$G:$G,Lançamentos!$A:$A,I$19,Lançamentos!$C:$C,"Custo de Serviços Prestados")</f>
        <v>0</v>
      </c>
      <c r="J38" s="39">
        <f>SUMIFS(Lançamentos!$G:$G,Lançamentos!$A:$A,J$19,Lançamentos!$C:$C,"Custo de Serviços Prestados")</f>
        <v>0</v>
      </c>
      <c r="K38" s="39">
        <f>SUMIFS(Lançamentos!$G:$G,Lançamentos!$A:$A,K$19,Lançamentos!$C:$C,"Custo de Serviços Prestados")</f>
        <v>0</v>
      </c>
      <c r="L38" s="39">
        <f>SUMIFS(Lançamentos!$G:$G,Lançamentos!$A:$A,L$19,Lançamentos!$C:$C,"Custo de Serviços Prestados")</f>
        <v>0</v>
      </c>
      <c r="M38" s="39">
        <f>SUMIFS(Lançamentos!$G:$G,Lançamentos!$A:$A,M$19,Lançamentos!$C:$C,"Custo de Serviços Prestados")</f>
        <v>0</v>
      </c>
      <c r="N38" s="39">
        <f>SUMIFS(Lançamentos!$G:$G,Lançamentos!$A:$A,N$19,Lançamentos!$C:$C,"Custo de Serviços Prestados")</f>
        <v>0</v>
      </c>
      <c r="O38" s="39">
        <f>SUMIFS(Lançamentos!$G:$G,Lançamentos!$A:$A,O$19,Lançamentos!$C:$C,"Custo de Serviços Prestados")</f>
        <v>0</v>
      </c>
      <c r="P38" s="39">
        <f>SUMIFS(Lançamentos!$G:$G,Lançamentos!$A:$A,P$19,Lançamentos!$C:$C,"Custo de Serviços Prestados")</f>
        <v>0</v>
      </c>
      <c r="Q38" s="39">
        <f>SUMIFS(Lançamentos!$G:$G,Lançamentos!$A:$A,Q$19,Lançamentos!$C:$C,"Custo de Serviços Prestados")</f>
        <v>0</v>
      </c>
      <c r="R38" s="39">
        <f>SUMIFS(Lançamentos!$G:$G,Lançamentos!$A:$A,R$19,Lançamentos!$C:$C,"Custo de Serviços Prestados")</f>
        <v>0</v>
      </c>
      <c r="S38" s="39">
        <f>SUMIFS(Lançamentos!$G:$G,Lançamentos!$A:$A,S$19,Lançamentos!$C:$C,"Custo de Serviços Prestados")</f>
        <v>0</v>
      </c>
      <c r="T38" s="39">
        <f>SUMIFS(Lançamentos!$G:$G,Lançamentos!$A:$A,T$19,Lançamentos!$C:$C,"Custo de Serviços Prestados")</f>
        <v>0</v>
      </c>
      <c r="U38" s="39">
        <f>SUMIFS(Lançamentos!$G:$G,Lançamentos!$A:$A,U$19,Lançamentos!$C:$C,"Custo de Serviços Prestados")</f>
        <v>0</v>
      </c>
      <c r="V38" s="39">
        <f>SUMIFS(Lançamentos!$G:$G,Lançamentos!$A:$A,V$19,Lançamentos!$C:$C,"Custo de Serviços Prestados")</f>
        <v>0</v>
      </c>
      <c r="W38" s="39">
        <f>SUMIFS(Lançamentos!$G:$G,Lançamentos!$A:$A,W$19,Lançamentos!$C:$C,"Custo de Serviços Prestados")</f>
        <v>0</v>
      </c>
      <c r="X38" s="39">
        <f>SUMIFS(Lançamentos!$G:$G,Lançamentos!$A:$A,X$19,Lançamentos!$C:$C,"Custo de Serviços Prestados")</f>
        <v>0</v>
      </c>
      <c r="Y38" s="39">
        <f>SUMIFS(Lançamentos!$G:$G,Lançamentos!$A:$A,Y$19,Lançamentos!$C:$C,"Custo de Serviços Prestados")</f>
        <v>0</v>
      </c>
      <c r="Z38" s="39">
        <f>SUMIFS(Lançamentos!$G:$G,Lançamentos!$A:$A,Z$19,Lançamentos!$C:$C,"Custo de Serviços Prestados")</f>
        <v>0</v>
      </c>
      <c r="AA38" s="39">
        <f>SUMIFS(Lançamentos!$G:$G,Lançamentos!$A:$A,AA$19,Lançamentos!$C:$C,"Custo de Serviços Prestados")</f>
        <v>0</v>
      </c>
      <c r="AB38" s="39">
        <f>SUMIFS(Lançamentos!$G:$G,Lançamentos!$A:$A,AB$19,Lançamentos!$C:$C,"Custo de Serviços Prestados")</f>
        <v>0</v>
      </c>
      <c r="AC38" s="39">
        <f>SUMIFS(Lançamentos!$G:$G,Lançamentos!$A:$A,AC$19,Lançamentos!$C:$C,"Custo de Serviços Prestados")</f>
        <v>0</v>
      </c>
      <c r="AD38" s="39">
        <f>SUMIFS(Lançamentos!$G:$G,Lançamentos!$A:$A,AD$19,Lançamentos!$C:$C,"Custo de Serviços Prestados")</f>
        <v>0</v>
      </c>
      <c r="AE38" s="39">
        <f>SUMIFS(Lançamentos!$G:$G,Lançamentos!$A:$A,AE$19,Lançamentos!$C:$C,"Custo de Serviços Prestados")</f>
        <v>0</v>
      </c>
      <c r="AF38" s="39">
        <f>SUMIFS(Lançamentos!$G:$G,Lançamentos!$A:$A,AF$19,Lançamentos!$C:$C,"Custo de Serviços Prestados")</f>
        <v>0</v>
      </c>
      <c r="AG38" s="39">
        <f>SUMIFS(Lançamentos!$G:$G,Lançamentos!$A:$A,AG$19,Lançamentos!$C:$C,"Custo de Serviços Prestados")</f>
        <v>0</v>
      </c>
      <c r="AH38" s="39">
        <f>SUMIFS(Lançamentos!$G:$G,Lançamentos!$A:$A,AH$19,Lançamentos!$C:$C,"Custo de Serviços Prestados")</f>
        <v>0</v>
      </c>
      <c r="AI38" s="39">
        <f>SUMIFS(Lançamentos!$G:$G,Lançamentos!$A:$A,AI$19,Lançamentos!$C:$C,"Custo de Serviços Prestados")</f>
        <v>0</v>
      </c>
      <c r="AJ38" s="39">
        <f>SUMIFS(Lançamentos!$G:$G,Lançamentos!$A:$A,AJ$19,Lançamentos!$C:$C,"Custo de Serviços Prestados")</f>
        <v>0</v>
      </c>
      <c r="AK38" s="39">
        <f>SUMIFS(Lançamentos!$G:$G,Lançamentos!$A:$A,AK$19,Lançamentos!$C:$C,"Custo de Serviços Prestados")</f>
        <v>0</v>
      </c>
      <c r="AL38" s="39">
        <f>SUMIFS(Lançamentos!$G:$G,Lançamentos!$A:$A,AL$19,Lançamentos!$C:$C,"Custo de Serviços Prestados")</f>
        <v>0</v>
      </c>
      <c r="AM38" s="39">
        <f>SUMIFS(Lançamentos!$G:$G,Lançamentos!$A:$A,AM$19,Lançamentos!$C:$C,"Custo de Serviços Prestados")</f>
        <v>0</v>
      </c>
      <c r="AN38" s="39">
        <f>SUMIFS(Lançamentos!$G:$G,Lançamentos!$A:$A,AN$19,Lançamentos!$C:$C,"Custo de Serviços Prestados")</f>
        <v>0</v>
      </c>
      <c r="AO38" s="39">
        <f>SUMIFS(Lançamentos!$G:$G,Lançamentos!$A:$A,AO$19,Lançamentos!$C:$C,"Custo de Serviços Prestados")</f>
        <v>0</v>
      </c>
      <c r="AP38" s="39">
        <f>SUMIFS(Lançamentos!$G:$G,Lançamentos!$A:$A,AP$19,Lançamentos!$C:$C,"Custo de Serviços Prestados")</f>
        <v>0</v>
      </c>
      <c r="AQ38" s="39">
        <f>SUMIFS(Lançamentos!$G:$G,Lançamentos!$A:$A,AQ$19,Lançamentos!$C:$C,"Custo de Serviços Prestados")</f>
        <v>0</v>
      </c>
      <c r="AR38" s="39">
        <f>SUMIFS(Lançamentos!$G:$G,Lançamentos!$A:$A,AR$19,Lançamentos!$C:$C,"Custo de Serviços Prestados")</f>
        <v>0</v>
      </c>
      <c r="AS38" s="39">
        <f>SUMIFS(Lançamentos!$G:$G,Lançamentos!$A:$A,AS$19,Lançamentos!$C:$C,"Custo de Serviços Prestados")</f>
        <v>0</v>
      </c>
      <c r="AT38" s="39">
        <f>SUMIFS(Lançamentos!$G:$G,Lançamentos!$A:$A,AT$19,Lançamentos!$C:$C,"Custo de Serviços Prestados")</f>
        <v>0</v>
      </c>
      <c r="AU38" s="39">
        <f>SUMIFS(Lançamentos!$G:$G,Lançamentos!$A:$A,AU$19,Lançamentos!$C:$C,"Custo de Serviços Prestados")</f>
        <v>0</v>
      </c>
      <c r="AV38" s="39">
        <f>SUMIFS(Lançamentos!$G:$G,Lançamentos!$A:$A,AV$19,Lançamentos!$C:$C,"Custo de Serviços Prestados")</f>
        <v>0</v>
      </c>
      <c r="AW38" s="39">
        <f>SUMIFS(Lançamentos!$G:$G,Lançamentos!$A:$A,AW$19,Lançamentos!$C:$C,"Custo de Serviços Prestados")</f>
        <v>0</v>
      </c>
      <c r="AX38" s="39">
        <f>SUMIFS(Lançamentos!$G:$G,Lançamentos!$A:$A,AX$19,Lançamentos!$C:$C,"Custo de Serviços Prestados")</f>
        <v>0</v>
      </c>
      <c r="AY38" s="39">
        <f>SUMIFS(Lançamentos!$G:$G,Lançamentos!$A:$A,AY$19,Lançamentos!$C:$C,"Custo de Serviços Prestados")</f>
        <v>0</v>
      </c>
      <c r="AZ38" s="39">
        <f>SUMIFS(Lançamentos!$G:$G,Lançamentos!$A:$A,AZ$19,Lançamentos!$C:$C,"Custo de Serviços Prestados")</f>
        <v>0</v>
      </c>
      <c r="BA38" s="39">
        <f>SUMIFS(Lançamentos!$G:$G,Lançamentos!$A:$A,BA$19,Lançamentos!$C:$C,"Custo de Serviços Prestados")</f>
        <v>0</v>
      </c>
      <c r="BB38" s="39">
        <f>SUMIFS(Lançamentos!$G:$G,Lançamentos!$A:$A,BB$19,Lançamentos!$C:$C,"Custo de Serviços Prestados")</f>
        <v>0</v>
      </c>
      <c r="BC38" s="39">
        <f>SUMIFS(Lançamentos!$G:$G,Lançamentos!$A:$A,BC$19,Lançamentos!$C:$C,"Custo de Serviços Prestados")</f>
        <v>0</v>
      </c>
      <c r="BD38" s="39">
        <f>SUMIFS(Lançamentos!$G:$G,Lançamentos!$A:$A,BD$19,Lançamentos!$C:$C,"Custo de Serviços Prestados")</f>
        <v>0</v>
      </c>
      <c r="BE38" s="39">
        <f>SUMIFS(Lançamentos!$G:$G,Lançamentos!$A:$A,BE$19,Lançamentos!$C:$C,"Custo de Serviços Prestados")</f>
        <v>0</v>
      </c>
      <c r="BF38" s="39">
        <f>SUMIFS(Lançamentos!$G:$G,Lançamentos!$A:$A,BF$19,Lançamentos!$C:$C,"Custo de Serviços Prestados")</f>
        <v>0</v>
      </c>
      <c r="BG38" s="39">
        <f>SUMIFS(Lançamentos!$G:$G,Lançamentos!$A:$A,BG$19,Lançamentos!$C:$C,"Custo de Serviços Prestados")</f>
        <v>0</v>
      </c>
      <c r="BH38" s="39">
        <f>SUMIFS(Lançamentos!$G:$G,Lançamentos!$A:$A,BH$19,Lançamentos!$C:$C,"Custo de Serviços Prestados")</f>
        <v>0</v>
      </c>
      <c r="BI38" s="39">
        <f>SUMIFS(Lançamentos!$G:$G,Lançamentos!$A:$A,BI$19,Lançamentos!$C:$C,"Custo de Serviços Prestados")</f>
        <v>0</v>
      </c>
      <c r="BJ38" s="39">
        <f>SUMIFS(Lançamentos!$G:$G,Lançamentos!$A:$A,BJ$19,Lançamentos!$C:$C,"Custo de Serviços Prestados")</f>
        <v>0</v>
      </c>
      <c r="BK38" s="39">
        <f>SUMIFS(Lançamentos!$G:$G,Lançamentos!$A:$A,BK$19,Lançamentos!$C:$C,"Custo de Serviços Prestados")</f>
        <v>0</v>
      </c>
      <c r="BL38" s="39">
        <f>SUMIFS(Lançamentos!$G:$G,Lançamentos!$A:$A,BL$19,Lançamentos!$C:$C,"Custo de Serviços Prestados")</f>
        <v>0</v>
      </c>
      <c r="BM38" s="39">
        <f>SUMIFS(Lançamentos!$G:$G,Lançamentos!$A:$A,BM$19,Lançamentos!$C:$C,"Custo de Serviços Prestados")</f>
        <v>0</v>
      </c>
      <c r="BN38" s="39">
        <f>SUMIFS(Lançamentos!$G:$G,Lançamentos!$A:$A,BN$19,Lançamentos!$C:$C,"Custo de Serviços Prestados")</f>
        <v>0</v>
      </c>
      <c r="BO38" s="39">
        <f>SUMIFS(Lançamentos!$G:$G,Lançamentos!$A:$A,BO$19,Lançamentos!$C:$C,"Custo de Serviços Prestados")</f>
        <v>0</v>
      </c>
      <c r="BP38" s="39">
        <f>SUMIFS(Lançamentos!$G:$G,Lançamentos!$A:$A,BP$19,Lançamentos!$C:$C,"Custo de Serviços Prestados")</f>
        <v>0</v>
      </c>
      <c r="BQ38" s="39">
        <f>SUMIFS(Lançamentos!$G:$G,Lançamentos!$A:$A,BQ$19,Lançamentos!$C:$C,"Custo de Serviços Prestados")</f>
        <v>0</v>
      </c>
      <c r="BR38" s="39">
        <f>SUMIFS(Lançamentos!$G:$G,Lançamentos!$A:$A,BR$19,Lançamentos!$C:$C,"Custo de Serviços Prestados")</f>
        <v>0</v>
      </c>
      <c r="BS38" s="39">
        <f>SUMIFS(Lançamentos!$G:$G,Lançamentos!$A:$A,BS$19,Lançamentos!$C:$C,"Custo de Serviços Prestados")</f>
        <v>0</v>
      </c>
      <c r="BT38" s="39">
        <f>SUMIFS(Lançamentos!$G:$G,Lançamentos!$A:$A,BT$19,Lançamentos!$C:$C,"Custo de Serviços Prestados")</f>
        <v>0</v>
      </c>
      <c r="BU38" s="39">
        <f>SUMIFS(Lançamentos!$G:$G,Lançamentos!$A:$A,BU$19,Lançamentos!$C:$C,"Custo de Serviços Prestados")</f>
        <v>0</v>
      </c>
      <c r="BV38" s="39">
        <f>SUMIFS(Lançamentos!$G:$G,Lançamentos!$A:$A,BV$19,Lançamentos!$C:$C,"Custo de Serviços Prestados")</f>
        <v>0</v>
      </c>
      <c r="BW38" s="39">
        <f>SUMIFS(Lançamentos!$G:$G,Lançamentos!$A:$A,BW$19,Lançamentos!$C:$C,"Custo de Serviços Prestados")</f>
        <v>0</v>
      </c>
      <c r="BX38" s="39">
        <f>SUMIFS(Lançamentos!$G:$G,Lançamentos!$A:$A,BX$19,Lançamentos!$C:$C,"Custo de Serviços Prestados")</f>
        <v>0</v>
      </c>
      <c r="BY38" s="39">
        <f>SUMIFS(Lançamentos!$G:$G,Lançamentos!$A:$A,BY$19,Lançamentos!$C:$C,"Custo de Serviços Prestados")</f>
        <v>0</v>
      </c>
      <c r="BZ38" s="39">
        <f>SUMIFS(Lançamentos!$G:$G,Lançamentos!$A:$A,BZ$19,Lançamentos!$C:$C,"Custo de Serviços Prestados")</f>
        <v>0</v>
      </c>
      <c r="CA38" s="39">
        <f>SUMIFS(Lançamentos!$G:$G,Lançamentos!$A:$A,CA$19,Lançamentos!$C:$C,"Custo de Serviços Prestados")</f>
        <v>0</v>
      </c>
      <c r="CB38" s="39">
        <f>SUMIFS(Lançamentos!$G:$G,Lançamentos!$A:$A,CB$19,Lançamentos!$C:$C,"Custo de Serviços Prestados")</f>
        <v>0</v>
      </c>
      <c r="CC38" s="39">
        <f>SUMIFS(Lançamentos!$G:$G,Lançamentos!$A:$A,CC$19,Lançamentos!$C:$C,"Custo de Serviços Prestados")</f>
        <v>0</v>
      </c>
      <c r="CD38" s="39">
        <f>SUMIFS(Lançamentos!$G:$G,Lançamentos!$A:$A,CD$19,Lançamentos!$C:$C,"Custo de Serviços Prestados")</f>
        <v>0</v>
      </c>
      <c r="CE38" s="39">
        <f>SUMIFS(Lançamentos!$G:$G,Lançamentos!$A:$A,CE$19,Lançamentos!$C:$C,"Custo de Serviços Prestados")</f>
        <v>0</v>
      </c>
      <c r="CF38" s="39">
        <f>SUMIFS(Lançamentos!$G:$G,Lançamentos!$A:$A,CF$19,Lançamentos!$C:$C,"Custo de Serviços Prestados")</f>
        <v>0</v>
      </c>
      <c r="CG38" s="39">
        <f>SUMIFS(Lançamentos!$G:$G,Lançamentos!$A:$A,CG$19,Lançamentos!$C:$C,"Custo de Serviços Prestados")</f>
        <v>0</v>
      </c>
      <c r="CH38" s="39">
        <f>SUMIFS(Lançamentos!$G:$G,Lançamentos!$A:$A,CH$19,Lançamentos!$C:$C,"Custo de Serviços Prestados")</f>
        <v>0</v>
      </c>
      <c r="CI38" s="39">
        <f>SUMIFS(Lançamentos!$G:$G,Lançamentos!$A:$A,CI$19,Lançamentos!$C:$C,"Custo de Serviços Prestados")</f>
        <v>0</v>
      </c>
      <c r="CJ38" s="39">
        <f>SUMIFS(Lançamentos!$G:$G,Lançamentos!$A:$A,CJ$19,Lançamentos!$C:$C,"Custo de Serviços Prestados")</f>
        <v>0</v>
      </c>
      <c r="CK38" s="39">
        <f>SUMIFS(Lançamentos!$G:$G,Lançamentos!$A:$A,CK$19,Lançamentos!$C:$C,"Custo de Serviços Prestados")</f>
        <v>0</v>
      </c>
      <c r="CL38" s="39">
        <f>SUMIFS(Lançamentos!$G:$G,Lançamentos!$A:$A,CL$19,Lançamentos!$C:$C,"Custo de Serviços Prestados")</f>
        <v>0</v>
      </c>
      <c r="CM38" s="39">
        <f>SUMIFS(Lançamentos!$G:$G,Lançamentos!$A:$A,CM$19,Lançamentos!$C:$C,"Custo de Serviços Prestados")</f>
        <v>0</v>
      </c>
      <c r="CN38" s="39">
        <f>SUMIFS(Lançamentos!$G:$G,Lançamentos!$A:$A,CN$19,Lançamentos!$C:$C,"Custo de Serviços Prestados")</f>
        <v>0</v>
      </c>
      <c r="CO38" s="39">
        <f>SUMIFS(Lançamentos!$G:$G,Lançamentos!$A:$A,CO$19,Lançamentos!$C:$C,"Custo de Serviços Prestados")</f>
        <v>0</v>
      </c>
      <c r="CP38" s="39">
        <f>SUMIFS(Lançamentos!$G:$G,Lançamentos!$A:$A,CP$19,Lançamentos!$C:$C,"Custo de Serviços Prestados")</f>
        <v>0</v>
      </c>
      <c r="CQ38" s="39">
        <f>SUMIFS(Lançamentos!$G:$G,Lançamentos!$A:$A,CQ$19,Lançamentos!$C:$C,"Custo de Serviços Prestados")</f>
        <v>0</v>
      </c>
      <c r="CR38" s="39">
        <f>SUMIFS(Lançamentos!$G:$G,Lançamentos!$A:$A,CR$19,Lançamentos!$C:$C,"Custo de Serviços Prestados")</f>
        <v>0</v>
      </c>
      <c r="CS38" s="39">
        <f>SUMIFS(Lançamentos!$G:$G,Lançamentos!$A:$A,CS$19,Lançamentos!$C:$C,"Custo de Serviços Prestados")</f>
        <v>0</v>
      </c>
      <c r="CT38" s="39">
        <f>SUMIFS(Lançamentos!$G:$G,Lançamentos!$A:$A,CT$19,Lançamentos!$C:$C,"Custo de Serviços Prestados")</f>
        <v>0</v>
      </c>
      <c r="CU38" s="39">
        <f>SUMIFS(Lançamentos!$G:$G,Lançamentos!$A:$A,CU$19,Lançamentos!$C:$C,"Custo de Serviços Prestados")</f>
        <v>0</v>
      </c>
      <c r="CV38" s="39">
        <f>SUMIFS(Lançamentos!$G:$G,Lançamentos!$A:$A,CV$19,Lançamentos!$C:$C,"Custo de Serviços Prestados")</f>
        <v>0</v>
      </c>
      <c r="CW38" s="39">
        <f>SUMIFS(Lançamentos!$G:$G,Lançamentos!$A:$A,CW$19,Lançamentos!$C:$C,"Custo de Serviços Prestados")</f>
        <v>0</v>
      </c>
      <c r="CX38" s="39">
        <f>SUMIFS(Lançamentos!$G:$G,Lançamentos!$A:$A,CX$19,Lançamentos!$C:$C,"Custo de Serviços Prestados")</f>
        <v>0</v>
      </c>
      <c r="CY38" s="39">
        <f>SUMIFS(Lançamentos!$G:$G,Lançamentos!$A:$A,CY$19,Lançamentos!$C:$C,"Custo de Serviços Prestados")</f>
        <v>0</v>
      </c>
      <c r="CZ38" s="39">
        <f>SUMIFS(Lançamentos!$G:$G,Lançamentos!$A:$A,CZ$19,Lançamentos!$C:$C,"Custo de Serviços Prestados")</f>
        <v>0</v>
      </c>
      <c r="DA38" s="39">
        <f>SUMIFS(Lançamentos!$G:$G,Lançamentos!$A:$A,DA$19,Lançamentos!$C:$C,"Custo de Serviços Prestados")</f>
        <v>0</v>
      </c>
      <c r="DB38" s="39">
        <f>SUMIFS(Lançamentos!$G:$G,Lançamentos!$A:$A,DB$19,Lançamentos!$C:$C,"Custo de Serviços Prestados")</f>
        <v>0</v>
      </c>
      <c r="DC38" s="39">
        <f>SUMIFS(Lançamentos!$G:$G,Lançamentos!$A:$A,DC$19,Lançamentos!$C:$C,"Custo de Serviços Prestados")</f>
        <v>0</v>
      </c>
      <c r="DD38" s="39">
        <f>SUMIFS(Lançamentos!$G:$G,Lançamentos!$A:$A,DD$19,Lançamentos!$C:$C,"Custo de Serviços Prestados")</f>
        <v>0</v>
      </c>
      <c r="DE38" s="39">
        <f>SUMIFS(Lançamentos!$G:$G,Lançamentos!$A:$A,DE$19,Lançamentos!$C:$C,"Custo de Serviços Prestados")</f>
        <v>0</v>
      </c>
      <c r="DF38" s="39">
        <f>SUMIFS(Lançamentos!$G:$G,Lançamentos!$A:$A,DF$19,Lançamentos!$C:$C,"Custo de Serviços Prestados")</f>
        <v>0</v>
      </c>
      <c r="DG38" s="39">
        <f>SUMIFS(Lançamentos!$G:$G,Lançamentos!$A:$A,DG$19,Lançamentos!$C:$C,"Custo de Serviços Prestados")</f>
        <v>0</v>
      </c>
      <c r="DH38" s="39">
        <f>SUMIFS(Lançamentos!$G:$G,Lançamentos!$A:$A,DH$19,Lançamentos!$C:$C,"Custo de Serviços Prestados")</f>
        <v>0</v>
      </c>
      <c r="DI38" s="39">
        <f>SUMIFS(Lançamentos!$G:$G,Lançamentos!$A:$A,DI$19,Lançamentos!$C:$C,"Custo de Serviços Prestados")</f>
        <v>0</v>
      </c>
      <c r="DJ38" s="39">
        <f>SUMIFS(Lançamentos!$G:$G,Lançamentos!$A:$A,DJ$19,Lançamentos!$C:$C,"Custo de Serviços Prestados")</f>
        <v>0</v>
      </c>
      <c r="DK38" s="39">
        <f>SUMIFS(Lançamentos!$G:$G,Lançamentos!$A:$A,DK$19,Lançamentos!$C:$C,"Custo de Serviços Prestados")</f>
        <v>0</v>
      </c>
      <c r="DL38" s="39">
        <f>SUMIFS(Lançamentos!$G:$G,Lançamentos!$A:$A,DL$19,Lançamentos!$C:$C,"Custo de Serviços Prestados")</f>
        <v>0</v>
      </c>
      <c r="DM38" s="39">
        <f>SUMIFS(Lançamentos!$G:$G,Lançamentos!$A:$A,DM$19,Lançamentos!$C:$C,"Custo de Serviços Prestados")</f>
        <v>0</v>
      </c>
      <c r="DN38" s="39">
        <f>SUMIFS(Lançamentos!$G:$G,Lançamentos!$A:$A,DN$19,Lançamentos!$C:$C,"Custo de Serviços Prestados")</f>
        <v>0</v>
      </c>
      <c r="DO38" s="39">
        <f>SUMIFS(Lançamentos!$G:$G,Lançamentos!$A:$A,DO$19,Lançamentos!$C:$C,"Custo de Serviços Prestados")</f>
        <v>0</v>
      </c>
      <c r="DP38" s="39">
        <f>SUMIFS(Lançamentos!$G:$G,Lançamentos!$A:$A,DP$19,Lançamentos!$C:$C,"Custo de Serviços Prestados")</f>
        <v>0</v>
      </c>
      <c r="DQ38" s="39">
        <f>SUMIFS(Lançamentos!$G:$G,Lançamentos!$A:$A,DQ$19,Lançamentos!$C:$C,"Custo de Serviços Prestados")</f>
        <v>0</v>
      </c>
      <c r="DR38" s="39">
        <f>SUMIFS(Lançamentos!$G:$G,Lançamentos!$A:$A,DR$19,Lançamentos!$C:$C,"Custo de Serviços Prestados")</f>
        <v>0</v>
      </c>
      <c r="DS38" s="39">
        <f>SUMIFS(Lançamentos!$G:$G,Lançamentos!$A:$A,DS$19,Lançamentos!$C:$C,"Custo de Serviços Prestados")</f>
        <v>0</v>
      </c>
      <c r="DT38" s="39">
        <f>SUMIFS(Lançamentos!$G:$G,Lançamentos!$A:$A,DT$19,Lançamentos!$C:$C,"Custo de Serviços Prestados")</f>
        <v>0</v>
      </c>
      <c r="DU38" s="39">
        <f>SUMIFS(Lançamentos!$G:$G,Lançamentos!$A:$A,DU$19,Lançamentos!$C:$C,"Custo de Serviços Prestados")</f>
        <v>0</v>
      </c>
      <c r="DV38" s="39">
        <f>SUMIFS(Lançamentos!$G:$G,Lançamentos!$A:$A,DV$19,Lançamentos!$C:$C,"Custo de Serviços Prestados")</f>
        <v>0</v>
      </c>
      <c r="DW38" s="39">
        <f>SUMIFS(Lançamentos!$G:$G,Lançamentos!$A:$A,DW$19,Lançamentos!$C:$C,"Custo de Serviços Prestados")</f>
        <v>0</v>
      </c>
      <c r="DX38" s="39">
        <f>SUMIFS(Lançamentos!$G:$G,Lançamentos!$A:$A,DX$19,Lançamentos!$C:$C,"Custo de Serviços Prestados")</f>
        <v>0</v>
      </c>
      <c r="DY38" s="39">
        <f>SUMIFS(Lançamentos!$G:$G,Lançamentos!$A:$A,DY$19,Lançamentos!$C:$C,"Custo de Serviços Prestados")</f>
        <v>0</v>
      </c>
      <c r="DZ38" s="39">
        <f>SUMIFS(Lançamentos!$G:$G,Lançamentos!$A:$A,DZ$19,Lançamentos!$C:$C,"Custo de Serviços Prestados")</f>
        <v>0</v>
      </c>
      <c r="EA38" s="39">
        <f>SUMIFS(Lançamentos!$G:$G,Lançamentos!$A:$A,EA$19,Lançamentos!$C:$C,"Custo de Serviços Prestados")</f>
        <v>0</v>
      </c>
      <c r="EB38" s="39">
        <f>SUMIFS(Lançamentos!$G:$G,Lançamentos!$A:$A,EB$19,Lançamentos!$C:$C,"Custo de Serviços Prestados")</f>
        <v>0</v>
      </c>
      <c r="EC38" s="39">
        <f>SUMIFS(Lançamentos!$G:$G,Lançamentos!$A:$A,EC$19,Lançamentos!$C:$C,"Custo de Serviços Prestados")</f>
        <v>0</v>
      </c>
      <c r="ED38" s="39">
        <f>SUMIFS(Lançamentos!$G:$G,Lançamentos!$A:$A,ED$19,Lançamentos!$C:$C,"Custo de Serviços Prestados")</f>
        <v>0</v>
      </c>
      <c r="EE38" s="39">
        <f>SUMIFS(Lançamentos!$G:$G,Lançamentos!$A:$A,EE$19,Lançamentos!$C:$C,"Custo de Serviços Prestados")</f>
        <v>0</v>
      </c>
      <c r="EF38" s="39">
        <f>SUMIFS(Lançamentos!$G:$G,Lançamentos!$A:$A,EF$19,Lançamentos!$C:$C,"Custo de Serviços Prestados")</f>
        <v>0</v>
      </c>
      <c r="EG38" s="39">
        <f>SUMIFS(Lançamentos!$G:$G,Lançamentos!$A:$A,EG$19,Lançamentos!$C:$C,"Custo de Serviços Prestados")</f>
        <v>0</v>
      </c>
      <c r="EH38" s="39">
        <f>SUMIFS(Lançamentos!$G:$G,Lançamentos!$A:$A,EH$19,Lançamentos!$C:$C,"Custo de Serviços Prestados")</f>
        <v>0</v>
      </c>
      <c r="EI38" s="39">
        <f>SUMIFS(Lançamentos!$G:$G,Lançamentos!$A:$A,EI$19,Lançamentos!$C:$C,"Custo de Serviços Prestados")</f>
        <v>0</v>
      </c>
      <c r="EJ38" s="39">
        <f>SUMIFS(Lançamentos!$G:$G,Lançamentos!$A:$A,EJ$19,Lançamentos!$C:$C,"Custo de Serviços Prestados")</f>
        <v>0</v>
      </c>
      <c r="EK38" s="39">
        <f>SUMIFS(Lançamentos!$G:$G,Lançamentos!$A:$A,EK$19,Lançamentos!$C:$C,"Custo de Serviços Prestados")</f>
        <v>0</v>
      </c>
      <c r="EL38" s="39">
        <f>SUMIFS(Lançamentos!$G:$G,Lançamentos!$A:$A,EL$19,Lançamentos!$C:$C,"Custo de Serviços Prestados")</f>
        <v>0</v>
      </c>
      <c r="EM38" s="39">
        <f>SUMIFS(Lançamentos!$G:$G,Lançamentos!$A:$A,EM$19,Lançamentos!$C:$C,"Custo de Serviços Prestados")</f>
        <v>0</v>
      </c>
      <c r="EN38" s="39">
        <f>SUMIFS(Lançamentos!$G:$G,Lançamentos!$A:$A,EN$19,Lançamentos!$C:$C,"Custo de Serviços Prestados")</f>
        <v>0</v>
      </c>
      <c r="EO38" s="39">
        <f>SUMIFS(Lançamentos!$G:$G,Lançamentos!$A:$A,EO$19,Lançamentos!$C:$C,"Custo de Serviços Prestados")</f>
        <v>0</v>
      </c>
      <c r="EP38" s="39">
        <f>SUMIFS(Lançamentos!$G:$G,Lançamentos!$A:$A,EP$19,Lançamentos!$C:$C,"Custo de Serviços Prestados")</f>
        <v>0</v>
      </c>
      <c r="EQ38" s="39">
        <f>SUMIFS(Lançamentos!$G:$G,Lançamentos!$A:$A,EQ$19,Lançamentos!$C:$C,"Custo de Serviços Prestados")</f>
        <v>0</v>
      </c>
      <c r="ER38" s="39">
        <f>SUMIFS(Lançamentos!$G:$G,Lançamentos!$A:$A,ER$19,Lançamentos!$C:$C,"Custo de Serviços Prestados")</f>
        <v>0</v>
      </c>
      <c r="ES38" s="39">
        <f>SUMIFS(Lançamentos!$G:$G,Lançamentos!$A:$A,ES$19,Lançamentos!$C:$C,"Custo de Serviços Prestados")</f>
        <v>0</v>
      </c>
      <c r="ET38" s="39">
        <f>SUMIFS(Lançamentos!$G:$G,Lançamentos!$A:$A,ET$19,Lançamentos!$C:$C,"Custo de Serviços Prestados")</f>
        <v>0</v>
      </c>
      <c r="EU38" s="39">
        <f>SUMIFS(Lançamentos!$G:$G,Lançamentos!$A:$A,EU$19,Lançamentos!$C:$C,"Custo de Serviços Prestados")</f>
        <v>0</v>
      </c>
      <c r="EV38" s="39">
        <f>SUMIFS(Lançamentos!$G:$G,Lançamentos!$A:$A,EV$19,Lançamentos!$C:$C,"Custo de Serviços Prestados")</f>
        <v>0</v>
      </c>
      <c r="EW38" s="39">
        <f>SUMIFS(Lançamentos!$G:$G,Lançamentos!$A:$A,EW$19,Lançamentos!$C:$C,"Custo de Serviços Prestados")</f>
        <v>0</v>
      </c>
      <c r="EX38" s="39">
        <f>SUMIFS(Lançamentos!$G:$G,Lançamentos!$A:$A,EX$19,Lançamentos!$C:$C,"Custo de Serviços Prestados")</f>
        <v>0</v>
      </c>
      <c r="EY38" s="39">
        <f>SUMIFS(Lançamentos!$G:$G,Lançamentos!$A:$A,EY$19,Lançamentos!$C:$C,"Custo de Serviços Prestados")</f>
        <v>0</v>
      </c>
      <c r="EZ38" s="39">
        <f>SUMIFS(Lançamentos!$G:$G,Lançamentos!$A:$A,EZ$19,Lançamentos!$C:$C,"Custo de Serviços Prestados")</f>
        <v>0</v>
      </c>
      <c r="FA38" s="39">
        <f>SUMIFS(Lançamentos!$G:$G,Lançamentos!$A:$A,FA$19,Lançamentos!$C:$C,"Custo de Serviços Prestados")</f>
        <v>0</v>
      </c>
      <c r="FB38" s="39">
        <f>SUMIFS(Lançamentos!$G:$G,Lançamentos!$A:$A,FB$19,Lançamentos!$C:$C,"Custo de Serviços Prestados")</f>
        <v>0</v>
      </c>
      <c r="FC38" s="39">
        <f>SUMIFS(Lançamentos!$G:$G,Lançamentos!$A:$A,FC$19,Lançamentos!$C:$C,"Custo de Serviços Prestados")</f>
        <v>0</v>
      </c>
      <c r="FD38" s="39">
        <f>SUMIFS(Lançamentos!$G:$G,Lançamentos!$A:$A,FD$19,Lançamentos!$C:$C,"Custo de Serviços Prestados")</f>
        <v>0</v>
      </c>
      <c r="FE38" s="39">
        <f>SUMIFS(Lançamentos!$G:$G,Lançamentos!$A:$A,FE$19,Lançamentos!$C:$C,"Custo de Serviços Prestados")</f>
        <v>0</v>
      </c>
      <c r="FF38" s="39">
        <f>SUMIFS(Lançamentos!$G:$G,Lançamentos!$A:$A,FF$19,Lançamentos!$C:$C,"Custo de Serviços Prestados")</f>
        <v>0</v>
      </c>
      <c r="FG38" s="39">
        <f>SUMIFS(Lançamentos!$G:$G,Lançamentos!$A:$A,FG$19,Lançamentos!$C:$C,"Custo de Serviços Prestados")</f>
        <v>0</v>
      </c>
      <c r="FH38" s="39">
        <f>SUMIFS(Lançamentos!$G:$G,Lançamentos!$A:$A,FH$19,Lançamentos!$C:$C,"Custo de Serviços Prestados")</f>
        <v>0</v>
      </c>
      <c r="FI38" s="39">
        <f>SUMIFS(Lançamentos!$G:$G,Lançamentos!$A:$A,FI$19,Lançamentos!$C:$C,"Custo de Serviços Prestados")</f>
        <v>0</v>
      </c>
      <c r="FJ38" s="39">
        <f>SUMIFS(Lançamentos!$G:$G,Lançamentos!$A:$A,FJ$19,Lançamentos!$C:$C,"Custo de Serviços Prestados")</f>
        <v>0</v>
      </c>
      <c r="FK38" s="39">
        <f>SUMIFS(Lançamentos!$G:$G,Lançamentos!$A:$A,FK$19,Lançamentos!$C:$C,"Custo de Serviços Prestados")</f>
        <v>0</v>
      </c>
      <c r="FL38" s="39">
        <f>SUMIFS(Lançamentos!$G:$G,Lançamentos!$A:$A,FL$19,Lançamentos!$C:$C,"Custo de Serviços Prestados")</f>
        <v>0</v>
      </c>
      <c r="FM38" s="39">
        <f>SUMIFS(Lançamentos!$G:$G,Lançamentos!$A:$A,FM$19,Lançamentos!$C:$C,"Custo de Serviços Prestados")</f>
        <v>0</v>
      </c>
      <c r="FN38" s="39">
        <f>SUMIFS(Lançamentos!$G:$G,Lançamentos!$A:$A,FN$19,Lançamentos!$C:$C,"Custo de Serviços Prestados")</f>
        <v>0</v>
      </c>
      <c r="FO38" s="39">
        <f>SUMIFS(Lançamentos!$G:$G,Lançamentos!$A:$A,FO$19,Lançamentos!$C:$C,"Custo de Serviços Prestados")</f>
        <v>0</v>
      </c>
      <c r="FP38" s="39">
        <f>SUMIFS(Lançamentos!$G:$G,Lançamentos!$A:$A,FP$19,Lançamentos!$C:$C,"Custo de Serviços Prestados")</f>
        <v>0</v>
      </c>
      <c r="FQ38" s="39">
        <f>SUMIFS(Lançamentos!$G:$G,Lançamentos!$A:$A,FQ$19,Lançamentos!$C:$C,"Custo de Serviços Prestados")</f>
        <v>0</v>
      </c>
      <c r="FR38" s="39">
        <f>SUMIFS(Lançamentos!$G:$G,Lançamentos!$A:$A,FR$19,Lançamentos!$C:$C,"Custo de Serviços Prestados")</f>
        <v>0</v>
      </c>
      <c r="FS38" s="39">
        <f>SUMIFS(Lançamentos!$G:$G,Lançamentos!$A:$A,FS$19,Lançamentos!$C:$C,"Custo de Serviços Prestados")</f>
        <v>0</v>
      </c>
      <c r="FT38" s="39">
        <f>SUMIFS(Lançamentos!$G:$G,Lançamentos!$A:$A,FT$19,Lançamentos!$C:$C,"Custo de Serviços Prestados")</f>
        <v>0</v>
      </c>
      <c r="FU38" s="39">
        <f>SUMIFS(Lançamentos!$G:$G,Lançamentos!$A:$A,FU$19,Lançamentos!$C:$C,"Custo de Serviços Prestados")</f>
        <v>0</v>
      </c>
      <c r="FV38" s="39">
        <f>SUMIFS(Lançamentos!$G:$G,Lançamentos!$A:$A,FV$19,Lançamentos!$C:$C,"Custo de Serviços Prestados")</f>
        <v>0</v>
      </c>
      <c r="FW38" s="39">
        <f>SUMIFS(Lançamentos!$G:$G,Lançamentos!$A:$A,FW$19,Lançamentos!$C:$C,"Custo de Serviços Prestados")</f>
        <v>0</v>
      </c>
      <c r="FX38" s="39">
        <f>SUMIFS(Lançamentos!$G:$G,Lançamentos!$A:$A,FX$19,Lançamentos!$C:$C,"Custo de Serviços Prestados")</f>
        <v>0</v>
      </c>
      <c r="FY38" s="39">
        <f>SUMIFS(Lançamentos!$G:$G,Lançamentos!$A:$A,FY$19,Lançamentos!$C:$C,"Custo de Serviços Prestados")</f>
        <v>0</v>
      </c>
      <c r="FZ38" s="39">
        <f>SUMIFS(Lançamentos!$G:$G,Lançamentos!$A:$A,FZ$19,Lançamentos!$C:$C,"Custo de Serviços Prestados")</f>
        <v>0</v>
      </c>
      <c r="GA38" s="39">
        <f>SUMIFS(Lançamentos!$G:$G,Lançamentos!$A:$A,GA$19,Lançamentos!$C:$C,"Custo de Serviços Prestados")</f>
        <v>0</v>
      </c>
      <c r="GB38" s="39">
        <f>SUMIFS(Lançamentos!$G:$G,Lançamentos!$A:$A,GB$19,Lançamentos!$C:$C,"Custo de Serviços Prestados")</f>
        <v>0</v>
      </c>
      <c r="GC38" s="39">
        <f>SUMIFS(Lançamentos!$G:$G,Lançamentos!$A:$A,GC$19,Lançamentos!$C:$C,"Custo de Serviços Prestados")</f>
        <v>0</v>
      </c>
      <c r="GD38" s="39">
        <f>SUMIFS(Lançamentos!$G:$G,Lançamentos!$A:$A,GD$19,Lançamentos!$C:$C,"Custo de Serviços Prestados")</f>
        <v>0</v>
      </c>
      <c r="GE38" s="39">
        <f>SUMIFS(Lançamentos!$G:$G,Lançamentos!$A:$A,GE$19,Lançamentos!$C:$C,"Custo de Serviços Prestados")</f>
        <v>0</v>
      </c>
      <c r="GF38" s="39">
        <f>SUMIFS(Lançamentos!$G:$G,Lançamentos!$A:$A,GF$19,Lançamentos!$C:$C,"Custo de Serviços Prestados")</f>
        <v>0</v>
      </c>
      <c r="GG38" s="39">
        <f>SUMIFS(Lançamentos!$G:$G,Lançamentos!$A:$A,GG$19,Lançamentos!$C:$C,"Custo de Serviços Prestados")</f>
        <v>0</v>
      </c>
      <c r="GH38" s="39">
        <f>SUMIFS(Lançamentos!$G:$G,Lançamentos!$A:$A,GH$19,Lançamentos!$C:$C,"Custo de Serviços Prestados")</f>
        <v>0</v>
      </c>
      <c r="GI38" s="39">
        <f>SUMIFS(Lançamentos!$G:$G,Lançamentos!$A:$A,GI$19,Lançamentos!$C:$C,"Custo de Serviços Prestados")</f>
        <v>0</v>
      </c>
      <c r="GJ38" s="39">
        <f>SUMIFS(Lançamentos!$G:$G,Lançamentos!$A:$A,GJ$19,Lançamentos!$C:$C,"Custo de Serviços Prestados")</f>
        <v>0</v>
      </c>
      <c r="GK38" s="39">
        <f>SUMIFS(Lançamentos!$G:$G,Lançamentos!$A:$A,GK$19,Lançamentos!$C:$C,"Custo de Serviços Prestados")</f>
        <v>0</v>
      </c>
      <c r="GL38" s="39">
        <f>SUMIFS(Lançamentos!$G:$G,Lançamentos!$A:$A,GL$19,Lançamentos!$C:$C,"Custo de Serviços Prestados")</f>
        <v>0</v>
      </c>
      <c r="GM38" s="39">
        <f>SUMIFS(Lançamentos!$G:$G,Lançamentos!$A:$A,GM$19,Lançamentos!$C:$C,"Custo de Serviços Prestados")</f>
        <v>0</v>
      </c>
      <c r="GN38" s="39">
        <f>SUMIFS(Lançamentos!$G:$G,Lançamentos!$A:$A,GN$19,Lançamentos!$C:$C,"Custo de Serviços Prestados")</f>
        <v>0</v>
      </c>
      <c r="GO38" s="39">
        <f>SUMIFS(Lançamentos!$G:$G,Lançamentos!$A:$A,GO$19,Lançamentos!$C:$C,"Custo de Serviços Prestados")</f>
        <v>0</v>
      </c>
      <c r="GP38" s="39">
        <f>SUMIFS(Lançamentos!$G:$G,Lançamentos!$A:$A,GP$19,Lançamentos!$C:$C,"Custo de Serviços Prestados")</f>
        <v>0</v>
      </c>
      <c r="GQ38" s="39">
        <f>SUMIFS(Lançamentos!$G:$G,Lançamentos!$A:$A,GQ$19,Lançamentos!$C:$C,"Custo de Serviços Prestados")</f>
        <v>0</v>
      </c>
      <c r="GR38" s="39">
        <f>SUMIFS(Lançamentos!$G:$G,Lançamentos!$A:$A,GR$19,Lançamentos!$C:$C,"Custo de Serviços Prestados")</f>
        <v>0</v>
      </c>
      <c r="GS38" s="39">
        <f>SUMIFS(Lançamentos!$G:$G,Lançamentos!$A:$A,GS$19,Lançamentos!$C:$C,"Custo de Serviços Prestados")</f>
        <v>0</v>
      </c>
      <c r="GT38" s="39">
        <f>SUMIFS(Lançamentos!$G:$G,Lançamentos!$A:$A,GT$19,Lançamentos!$C:$C,"Custo de Serviços Prestados")</f>
        <v>0</v>
      </c>
      <c r="GU38" s="39">
        <f>SUMIFS(Lançamentos!$G:$G,Lançamentos!$A:$A,GU$19,Lançamentos!$C:$C,"Custo de Serviços Prestados")</f>
        <v>0</v>
      </c>
      <c r="GV38" s="39">
        <f>SUMIFS(Lançamentos!$G:$G,Lançamentos!$A:$A,GV$19,Lançamentos!$C:$C,"Custo de Serviços Prestados")</f>
        <v>0</v>
      </c>
      <c r="GW38" s="39">
        <f>SUMIFS(Lançamentos!$G:$G,Lançamentos!$A:$A,GW$19,Lançamentos!$C:$C,"Custo de Serviços Prestados")</f>
        <v>0</v>
      </c>
      <c r="GX38" s="39">
        <f>SUMIFS(Lançamentos!$G:$G,Lançamentos!$A:$A,GX$19,Lançamentos!$C:$C,"Custo de Serviços Prestados")</f>
        <v>0</v>
      </c>
      <c r="GY38" s="39">
        <f>SUMIFS(Lançamentos!$G:$G,Lançamentos!$A:$A,GY$19,Lançamentos!$C:$C,"Custo de Serviços Prestados")</f>
        <v>0</v>
      </c>
      <c r="GZ38" s="39">
        <f>SUMIFS(Lançamentos!$G:$G,Lançamentos!$A:$A,GZ$19,Lançamentos!$C:$C,"Custo de Serviços Prestados")</f>
        <v>0</v>
      </c>
      <c r="HA38" s="39">
        <f>SUMIFS(Lançamentos!$G:$G,Lançamentos!$A:$A,HA$19,Lançamentos!$C:$C,"Custo de Serviços Prestados")</f>
        <v>0</v>
      </c>
      <c r="HB38" s="39">
        <f>SUMIFS(Lançamentos!$G:$G,Lançamentos!$A:$A,HB$19,Lançamentos!$C:$C,"Custo de Serviços Prestados")</f>
        <v>0</v>
      </c>
      <c r="HC38" s="39">
        <f>SUMIFS(Lançamentos!$G:$G,Lançamentos!$A:$A,HC$19,Lançamentos!$C:$C,"Custo de Serviços Prestados")</f>
        <v>0</v>
      </c>
      <c r="HD38" s="39">
        <f>SUMIFS(Lançamentos!$G:$G,Lançamentos!$A:$A,HD$19,Lançamentos!$C:$C,"Custo de Serviços Prestados")</f>
        <v>0</v>
      </c>
      <c r="HE38" s="39">
        <f>SUMIFS(Lançamentos!$G:$G,Lançamentos!$A:$A,HE$19,Lançamentos!$C:$C,"Custo de Serviços Prestados")</f>
        <v>0</v>
      </c>
      <c r="HF38" s="39">
        <f>SUMIFS(Lançamentos!$G:$G,Lançamentos!$A:$A,HF$19,Lançamentos!$C:$C,"Custo de Serviços Prestados")</f>
        <v>0</v>
      </c>
      <c r="HG38" s="39">
        <f>SUMIFS(Lançamentos!$G:$G,Lançamentos!$A:$A,HG$19,Lançamentos!$C:$C,"Custo de Serviços Prestados")</f>
        <v>0</v>
      </c>
      <c r="HH38" s="39">
        <f>SUMIFS(Lançamentos!$G:$G,Lançamentos!$A:$A,HH$19,Lançamentos!$C:$C,"Custo de Serviços Prestados")</f>
        <v>0</v>
      </c>
      <c r="HI38" s="39">
        <f>SUMIFS(Lançamentos!$G:$G,Lançamentos!$A:$A,HI$19,Lançamentos!$C:$C,"Custo de Serviços Prestados")</f>
        <v>0</v>
      </c>
      <c r="HJ38" s="39">
        <f>SUMIFS(Lançamentos!$G:$G,Lançamentos!$A:$A,HJ$19,Lançamentos!$C:$C,"Custo de Serviços Prestados")</f>
        <v>0</v>
      </c>
      <c r="HK38" s="39">
        <f>SUMIFS(Lançamentos!$G:$G,Lançamentos!$A:$A,HK$19,Lançamentos!$C:$C,"Custo de Serviços Prestados")</f>
        <v>0</v>
      </c>
      <c r="HL38" s="39">
        <f>SUMIFS(Lançamentos!$G:$G,Lançamentos!$A:$A,HL$19,Lançamentos!$C:$C,"Custo de Serviços Prestados")</f>
        <v>0</v>
      </c>
      <c r="HM38" s="39">
        <f>SUMIFS(Lançamentos!$G:$G,Lançamentos!$A:$A,HM$19,Lançamentos!$C:$C,"Custo de Serviços Prestados")</f>
        <v>0</v>
      </c>
      <c r="HN38" s="39">
        <f>SUMIFS(Lançamentos!$G:$G,Lançamentos!$A:$A,HN$19,Lançamentos!$C:$C,"Custo de Serviços Prestados")</f>
        <v>0</v>
      </c>
      <c r="HO38" s="39">
        <f>SUMIFS(Lançamentos!$G:$G,Lançamentos!$A:$A,HO$19,Lançamentos!$C:$C,"Custo de Serviços Prestados")</f>
        <v>0</v>
      </c>
      <c r="HP38" s="39">
        <f>SUMIFS(Lançamentos!$G:$G,Lançamentos!$A:$A,HP$19,Lançamentos!$C:$C,"Custo de Serviços Prestados")</f>
        <v>0</v>
      </c>
      <c r="HQ38" s="39">
        <f>SUMIFS(Lançamentos!$G:$G,Lançamentos!$A:$A,HQ$19,Lançamentos!$C:$C,"Custo de Serviços Prestados")</f>
        <v>0</v>
      </c>
      <c r="HR38" s="39">
        <f>SUMIFS(Lançamentos!$G:$G,Lançamentos!$A:$A,HR$19,Lançamentos!$C:$C,"Custo de Serviços Prestados")</f>
        <v>0</v>
      </c>
      <c r="HS38" s="39">
        <f>SUMIFS(Lançamentos!$G:$G,Lançamentos!$A:$A,HS$19,Lançamentos!$C:$C,"Custo de Serviços Prestados")</f>
        <v>0</v>
      </c>
      <c r="HT38" s="39">
        <f>SUMIFS(Lançamentos!$G:$G,Lançamentos!$A:$A,HT$19,Lançamentos!$C:$C,"Custo de Serviços Prestados")</f>
        <v>0</v>
      </c>
      <c r="HU38" s="39">
        <f>SUMIFS(Lançamentos!$G:$G,Lançamentos!$A:$A,HU$19,Lançamentos!$C:$C,"Custo de Serviços Prestados")</f>
        <v>0</v>
      </c>
      <c r="HV38" s="39">
        <f>SUMIFS(Lançamentos!$G:$G,Lançamentos!$A:$A,HV$19,Lançamentos!$C:$C,"Custo de Serviços Prestados")</f>
        <v>0</v>
      </c>
      <c r="HW38" s="39">
        <f>SUMIFS(Lançamentos!$G:$G,Lançamentos!$A:$A,HW$19,Lançamentos!$C:$C,"Custo de Serviços Prestados")</f>
        <v>0</v>
      </c>
      <c r="HX38" s="39">
        <f>SUMIFS(Lançamentos!$G:$G,Lançamentos!$A:$A,HX$19,Lançamentos!$C:$C,"Custo de Serviços Prestados")</f>
        <v>0</v>
      </c>
      <c r="HY38" s="39">
        <f>SUMIFS(Lançamentos!$G:$G,Lançamentos!$A:$A,HY$19,Lançamentos!$C:$C,"Custo de Serviços Prestados")</f>
        <v>0</v>
      </c>
      <c r="HZ38" s="39">
        <f>SUMIFS(Lançamentos!$G:$G,Lançamentos!$A:$A,HZ$19,Lançamentos!$C:$C,"Custo de Serviços Prestados")</f>
        <v>0</v>
      </c>
      <c r="IA38" s="39">
        <f>SUMIFS(Lançamentos!$G:$G,Lançamentos!$A:$A,IA$19,Lançamentos!$C:$C,"Custo de Serviços Prestados")</f>
        <v>0</v>
      </c>
      <c r="IB38" s="39">
        <f>SUMIFS(Lançamentos!$G:$G,Lançamentos!$A:$A,IB$19,Lançamentos!$C:$C,"Custo de Serviços Prestados")</f>
        <v>0</v>
      </c>
      <c r="IC38" s="39">
        <f>SUMIFS(Lançamentos!$G:$G,Lançamentos!$A:$A,IC$19,Lançamentos!$C:$C,"Custo de Serviços Prestados")</f>
        <v>0</v>
      </c>
      <c r="ID38" s="39">
        <f>SUMIFS(Lançamentos!$G:$G,Lançamentos!$A:$A,ID$19,Lançamentos!$C:$C,"Custo de Serviços Prestados")</f>
        <v>0</v>
      </c>
      <c r="IE38" s="39">
        <f>SUMIFS(Lançamentos!$G:$G,Lançamentos!$A:$A,IE$19,Lançamentos!$C:$C,"Custo de Serviços Prestados")</f>
        <v>0</v>
      </c>
      <c r="IF38" s="39">
        <f>SUMIFS(Lançamentos!$G:$G,Lançamentos!$A:$A,IF$19,Lançamentos!$C:$C,"Custo de Serviços Prestados")</f>
        <v>0</v>
      </c>
      <c r="IG38" s="39">
        <f>SUMIFS(Lançamentos!$G:$G,Lançamentos!$A:$A,IG$19,Lançamentos!$C:$C,"Custo de Serviços Prestados")</f>
        <v>0</v>
      </c>
      <c r="IH38" s="39">
        <f>SUMIFS(Lançamentos!$G:$G,Lançamentos!$A:$A,IH$19,Lançamentos!$C:$C,"Custo de Serviços Prestados")</f>
        <v>0</v>
      </c>
      <c r="II38" s="39">
        <f>SUMIFS(Lançamentos!$G:$G,Lançamentos!$A:$A,II$19,Lançamentos!$C:$C,"Custo de Serviços Prestados")</f>
        <v>0</v>
      </c>
      <c r="IJ38" s="39">
        <f>SUMIFS(Lançamentos!$G:$G,Lançamentos!$A:$A,IJ$19,Lançamentos!$C:$C,"Custo de Serviços Prestados")</f>
        <v>0</v>
      </c>
      <c r="IK38" s="39">
        <f>SUMIFS(Lançamentos!$G:$G,Lançamentos!$A:$A,IK$19,Lançamentos!$C:$C,"Custo de Serviços Prestados")</f>
        <v>0</v>
      </c>
      <c r="IL38" s="39">
        <f>SUMIFS(Lançamentos!$G:$G,Lançamentos!$A:$A,IL$19,Lançamentos!$C:$C,"Custo de Serviços Prestados")</f>
        <v>0</v>
      </c>
    </row>
    <row r="39" spans="1:246" x14ac:dyDescent="0.3">
      <c r="A39" t="s">
        <v>15</v>
      </c>
      <c r="B39" s="39">
        <f>SUMIFS(Lançamentos!$G:$G,Lançamentos!$A:$A,B$19,Lançamentos!$C:$C,"Salários e Encargos")</f>
        <v>0</v>
      </c>
      <c r="C39" s="39">
        <f>SUMIFS(Lançamentos!$G:$G,Lançamentos!$A:$A,C$19,Lançamentos!$C:$C,"Salários e Encargos")</f>
        <v>0</v>
      </c>
      <c r="D39" s="39">
        <f>SUMIFS(Lançamentos!$G:$G,Lançamentos!$A:$A,D$19,Lançamentos!$C:$C,"Salários e Encargos")</f>
        <v>0</v>
      </c>
      <c r="E39" s="39">
        <f>SUMIFS(Lançamentos!$G:$G,Lançamentos!$A:$A,E$19,Lançamentos!$C:$C,"Salários e Encargos")</f>
        <v>0</v>
      </c>
      <c r="F39" s="39">
        <f>SUMIFS(Lançamentos!$G:$G,Lançamentos!$A:$A,F$19,Lançamentos!$C:$C,"Salários e Encargos")</f>
        <v>0</v>
      </c>
      <c r="G39" s="39">
        <f>SUMIFS(Lançamentos!$G:$G,Lançamentos!$A:$A,G$19,Lançamentos!$C:$C,"Salários e Encargos")</f>
        <v>0</v>
      </c>
      <c r="H39" s="39">
        <f>SUMIFS(Lançamentos!$G:$G,Lançamentos!$A:$A,H$19,Lançamentos!$C:$C,"Salários e Encargos")</f>
        <v>0</v>
      </c>
      <c r="I39" s="39">
        <f>SUMIFS(Lançamentos!$G:$G,Lançamentos!$A:$A,I$19,Lançamentos!$C:$C,"Salários e Encargos")</f>
        <v>0</v>
      </c>
      <c r="J39" s="39">
        <f>SUMIFS(Lançamentos!$G:$G,Lançamentos!$A:$A,J$19,Lançamentos!$C:$C,"Salários e Encargos")</f>
        <v>0</v>
      </c>
      <c r="K39" s="39">
        <f>SUMIFS(Lançamentos!$G:$G,Lançamentos!$A:$A,K$19,Lançamentos!$C:$C,"Salários e Encargos")</f>
        <v>0</v>
      </c>
      <c r="L39" s="39">
        <f>SUMIFS(Lançamentos!$G:$G,Lançamentos!$A:$A,L$19,Lançamentos!$C:$C,"Salários e Encargos")</f>
        <v>0</v>
      </c>
      <c r="M39" s="39">
        <f>SUMIFS(Lançamentos!$G:$G,Lançamentos!$A:$A,M$19,Lançamentos!$C:$C,"Salários e Encargos")</f>
        <v>0</v>
      </c>
      <c r="N39" s="39">
        <f>SUMIFS(Lançamentos!$G:$G,Lançamentos!$A:$A,N$19,Lançamentos!$C:$C,"Salários e Encargos")</f>
        <v>0</v>
      </c>
      <c r="O39" s="39">
        <f>SUMIFS(Lançamentos!$G:$G,Lançamentos!$A:$A,O$19,Lançamentos!$C:$C,"Salários e Encargos")</f>
        <v>0</v>
      </c>
      <c r="P39" s="39">
        <f>SUMIFS(Lançamentos!$G:$G,Lançamentos!$A:$A,P$19,Lançamentos!$C:$C,"Salários e Encargos")</f>
        <v>0</v>
      </c>
      <c r="Q39" s="39">
        <f>SUMIFS(Lançamentos!$G:$G,Lançamentos!$A:$A,Q$19,Lançamentos!$C:$C,"Salários e Encargos")</f>
        <v>0</v>
      </c>
      <c r="R39" s="39">
        <f>SUMIFS(Lançamentos!$G:$G,Lançamentos!$A:$A,R$19,Lançamentos!$C:$C,"Salários e Encargos")</f>
        <v>0</v>
      </c>
      <c r="S39" s="39">
        <f>SUMIFS(Lançamentos!$G:$G,Lançamentos!$A:$A,S$19,Lançamentos!$C:$C,"Salários e Encargos")</f>
        <v>0</v>
      </c>
      <c r="T39" s="39">
        <f>SUMIFS(Lançamentos!$G:$G,Lançamentos!$A:$A,T$19,Lançamentos!$C:$C,"Salários e Encargos")</f>
        <v>0</v>
      </c>
      <c r="U39" s="39">
        <f>SUMIFS(Lançamentos!$G:$G,Lançamentos!$A:$A,U$19,Lançamentos!$C:$C,"Salários e Encargos")</f>
        <v>0</v>
      </c>
      <c r="V39" s="39">
        <f>SUMIFS(Lançamentos!$G:$G,Lançamentos!$A:$A,V$19,Lançamentos!$C:$C,"Salários e Encargos")</f>
        <v>0</v>
      </c>
      <c r="W39" s="39">
        <f>SUMIFS(Lançamentos!$G:$G,Lançamentos!$A:$A,W$19,Lançamentos!$C:$C,"Salários e Encargos")</f>
        <v>0</v>
      </c>
      <c r="X39" s="39">
        <f>SUMIFS(Lançamentos!$G:$G,Lançamentos!$A:$A,X$19,Lançamentos!$C:$C,"Salários e Encargos")</f>
        <v>0</v>
      </c>
      <c r="Y39" s="39">
        <f>SUMIFS(Lançamentos!$G:$G,Lançamentos!$A:$A,Y$19,Lançamentos!$C:$C,"Salários e Encargos")</f>
        <v>0</v>
      </c>
      <c r="Z39" s="39">
        <f>SUMIFS(Lançamentos!$G:$G,Lançamentos!$A:$A,Z$19,Lançamentos!$C:$C,"Salários e Encargos")</f>
        <v>0</v>
      </c>
      <c r="AA39" s="39">
        <f>SUMIFS(Lançamentos!$G:$G,Lançamentos!$A:$A,AA$19,Lançamentos!$C:$C,"Salários e Encargos")</f>
        <v>0</v>
      </c>
      <c r="AB39" s="39">
        <f>SUMIFS(Lançamentos!$G:$G,Lançamentos!$A:$A,AB$19,Lançamentos!$C:$C,"Salários e Encargos")</f>
        <v>0</v>
      </c>
      <c r="AC39" s="39">
        <f>SUMIFS(Lançamentos!$G:$G,Lançamentos!$A:$A,AC$19,Lançamentos!$C:$C,"Salários e Encargos")</f>
        <v>0</v>
      </c>
      <c r="AD39" s="39">
        <f>SUMIFS(Lançamentos!$G:$G,Lançamentos!$A:$A,AD$19,Lançamentos!$C:$C,"Salários e Encargos")</f>
        <v>0</v>
      </c>
      <c r="AE39" s="39">
        <f>SUMIFS(Lançamentos!$G:$G,Lançamentos!$A:$A,AE$19,Lançamentos!$C:$C,"Salários e Encargos")</f>
        <v>0</v>
      </c>
      <c r="AF39" s="39">
        <f>SUMIFS(Lançamentos!$G:$G,Lançamentos!$A:$A,AF$19,Lançamentos!$C:$C,"Salários e Encargos")</f>
        <v>0</v>
      </c>
      <c r="AG39" s="39">
        <f>SUMIFS(Lançamentos!$G:$G,Lançamentos!$A:$A,AG$19,Lançamentos!$C:$C,"Salários e Encargos")</f>
        <v>0</v>
      </c>
      <c r="AH39" s="39">
        <f>SUMIFS(Lançamentos!$G:$G,Lançamentos!$A:$A,AH$19,Lançamentos!$C:$C,"Salários e Encargos")</f>
        <v>0</v>
      </c>
      <c r="AI39" s="39">
        <f>SUMIFS(Lançamentos!$G:$G,Lançamentos!$A:$A,AI$19,Lançamentos!$C:$C,"Salários e Encargos")</f>
        <v>0</v>
      </c>
      <c r="AJ39" s="39">
        <f>SUMIFS(Lançamentos!$G:$G,Lançamentos!$A:$A,AJ$19,Lançamentos!$C:$C,"Salários e Encargos")</f>
        <v>0</v>
      </c>
      <c r="AK39" s="39">
        <f>SUMIFS(Lançamentos!$G:$G,Lançamentos!$A:$A,AK$19,Lançamentos!$C:$C,"Salários e Encargos")</f>
        <v>0</v>
      </c>
      <c r="AL39" s="39">
        <f>SUMIFS(Lançamentos!$G:$G,Lançamentos!$A:$A,AL$19,Lançamentos!$C:$C,"Salários e Encargos")</f>
        <v>0</v>
      </c>
      <c r="AM39" s="39">
        <f>SUMIFS(Lançamentos!$G:$G,Lançamentos!$A:$A,AM$19,Lançamentos!$C:$C,"Salários e Encargos")</f>
        <v>0</v>
      </c>
      <c r="AN39" s="39">
        <f>SUMIFS(Lançamentos!$G:$G,Lançamentos!$A:$A,AN$19,Lançamentos!$C:$C,"Salários e Encargos")</f>
        <v>0</v>
      </c>
      <c r="AO39" s="39">
        <f>SUMIFS(Lançamentos!$G:$G,Lançamentos!$A:$A,AO$19,Lançamentos!$C:$C,"Salários e Encargos")</f>
        <v>0</v>
      </c>
      <c r="AP39" s="39">
        <f>SUMIFS(Lançamentos!$G:$G,Lançamentos!$A:$A,AP$19,Lançamentos!$C:$C,"Salários e Encargos")</f>
        <v>0</v>
      </c>
      <c r="AQ39" s="39">
        <f>SUMIFS(Lançamentos!$G:$G,Lançamentos!$A:$A,AQ$19,Lançamentos!$C:$C,"Salários e Encargos")</f>
        <v>0</v>
      </c>
      <c r="AR39" s="39">
        <f>SUMIFS(Lançamentos!$G:$G,Lançamentos!$A:$A,AR$19,Lançamentos!$C:$C,"Salários e Encargos")</f>
        <v>0</v>
      </c>
      <c r="AS39" s="39">
        <f>SUMIFS(Lançamentos!$G:$G,Lançamentos!$A:$A,AS$19,Lançamentos!$C:$C,"Salários e Encargos")</f>
        <v>0</v>
      </c>
      <c r="AT39" s="39">
        <f>SUMIFS(Lançamentos!$G:$G,Lançamentos!$A:$A,AT$19,Lançamentos!$C:$C,"Salários e Encargos")</f>
        <v>0</v>
      </c>
      <c r="AU39" s="39">
        <f>SUMIFS(Lançamentos!$G:$G,Lançamentos!$A:$A,AU$19,Lançamentos!$C:$C,"Salários e Encargos")</f>
        <v>0</v>
      </c>
      <c r="AV39" s="39">
        <f>SUMIFS(Lançamentos!$G:$G,Lançamentos!$A:$A,AV$19,Lançamentos!$C:$C,"Salários e Encargos")</f>
        <v>0</v>
      </c>
      <c r="AW39" s="39">
        <f>SUMIFS(Lançamentos!$G:$G,Lançamentos!$A:$A,AW$19,Lançamentos!$C:$C,"Salários e Encargos")</f>
        <v>0</v>
      </c>
      <c r="AX39" s="39">
        <f>SUMIFS(Lançamentos!$G:$G,Lançamentos!$A:$A,AX$19,Lançamentos!$C:$C,"Salários e Encargos")</f>
        <v>0</v>
      </c>
      <c r="AY39" s="39">
        <f>SUMIFS(Lançamentos!$G:$G,Lançamentos!$A:$A,AY$19,Lançamentos!$C:$C,"Salários e Encargos")</f>
        <v>0</v>
      </c>
      <c r="AZ39" s="39">
        <f>SUMIFS(Lançamentos!$G:$G,Lançamentos!$A:$A,AZ$19,Lançamentos!$C:$C,"Salários e Encargos")</f>
        <v>0</v>
      </c>
      <c r="BA39" s="39">
        <f>SUMIFS(Lançamentos!$G:$G,Lançamentos!$A:$A,BA$19,Lançamentos!$C:$C,"Salários e Encargos")</f>
        <v>0</v>
      </c>
      <c r="BB39" s="39">
        <f>SUMIFS(Lançamentos!$G:$G,Lançamentos!$A:$A,BB$19,Lançamentos!$C:$C,"Salários e Encargos")</f>
        <v>0</v>
      </c>
      <c r="BC39" s="39">
        <f>SUMIFS(Lançamentos!$G:$G,Lançamentos!$A:$A,BC$19,Lançamentos!$C:$C,"Salários e Encargos")</f>
        <v>0</v>
      </c>
      <c r="BD39" s="39">
        <f>SUMIFS(Lançamentos!$G:$G,Lançamentos!$A:$A,BD$19,Lançamentos!$C:$C,"Salários e Encargos")</f>
        <v>0</v>
      </c>
      <c r="BE39" s="39">
        <f>SUMIFS(Lançamentos!$G:$G,Lançamentos!$A:$A,BE$19,Lançamentos!$C:$C,"Salários e Encargos")</f>
        <v>0</v>
      </c>
      <c r="BF39" s="39">
        <f>SUMIFS(Lançamentos!$G:$G,Lançamentos!$A:$A,BF$19,Lançamentos!$C:$C,"Salários e Encargos")</f>
        <v>0</v>
      </c>
      <c r="BG39" s="39">
        <f>SUMIFS(Lançamentos!$G:$G,Lançamentos!$A:$A,BG$19,Lançamentos!$C:$C,"Salários e Encargos")</f>
        <v>0</v>
      </c>
      <c r="BH39" s="39">
        <f>SUMIFS(Lançamentos!$G:$G,Lançamentos!$A:$A,BH$19,Lançamentos!$C:$C,"Salários e Encargos")</f>
        <v>0</v>
      </c>
      <c r="BI39" s="39">
        <f>SUMIFS(Lançamentos!$G:$G,Lançamentos!$A:$A,BI$19,Lançamentos!$C:$C,"Salários e Encargos")</f>
        <v>0</v>
      </c>
      <c r="BJ39" s="39">
        <f>SUMIFS(Lançamentos!$G:$G,Lançamentos!$A:$A,BJ$19,Lançamentos!$C:$C,"Salários e Encargos")</f>
        <v>0</v>
      </c>
      <c r="BK39" s="39">
        <f>SUMIFS(Lançamentos!$G:$G,Lançamentos!$A:$A,BK$19,Lançamentos!$C:$C,"Salários e Encargos")</f>
        <v>0</v>
      </c>
      <c r="BL39" s="39">
        <f>SUMIFS(Lançamentos!$G:$G,Lançamentos!$A:$A,BL$19,Lançamentos!$C:$C,"Salários e Encargos")</f>
        <v>0</v>
      </c>
      <c r="BM39" s="39">
        <f>SUMIFS(Lançamentos!$G:$G,Lançamentos!$A:$A,BM$19,Lançamentos!$C:$C,"Salários e Encargos")</f>
        <v>0</v>
      </c>
      <c r="BN39" s="39">
        <f>SUMIFS(Lançamentos!$G:$G,Lançamentos!$A:$A,BN$19,Lançamentos!$C:$C,"Salários e Encargos")</f>
        <v>0</v>
      </c>
      <c r="BO39" s="39">
        <f>SUMIFS(Lançamentos!$G:$G,Lançamentos!$A:$A,BO$19,Lançamentos!$C:$C,"Salários e Encargos")</f>
        <v>0</v>
      </c>
      <c r="BP39" s="39">
        <f>SUMIFS(Lançamentos!$G:$G,Lançamentos!$A:$A,BP$19,Lançamentos!$C:$C,"Salários e Encargos")</f>
        <v>0</v>
      </c>
      <c r="BQ39" s="39">
        <f>SUMIFS(Lançamentos!$G:$G,Lançamentos!$A:$A,BQ$19,Lançamentos!$C:$C,"Salários e Encargos")</f>
        <v>0</v>
      </c>
      <c r="BR39" s="39">
        <f>SUMIFS(Lançamentos!$G:$G,Lançamentos!$A:$A,BR$19,Lançamentos!$C:$C,"Salários e Encargos")</f>
        <v>0</v>
      </c>
      <c r="BS39" s="39">
        <f>SUMIFS(Lançamentos!$G:$G,Lançamentos!$A:$A,BS$19,Lançamentos!$C:$C,"Salários e Encargos")</f>
        <v>0</v>
      </c>
      <c r="BT39" s="39">
        <f>SUMIFS(Lançamentos!$G:$G,Lançamentos!$A:$A,BT$19,Lançamentos!$C:$C,"Salários e Encargos")</f>
        <v>0</v>
      </c>
      <c r="BU39" s="39">
        <f>SUMIFS(Lançamentos!$G:$G,Lançamentos!$A:$A,BU$19,Lançamentos!$C:$C,"Salários e Encargos")</f>
        <v>0</v>
      </c>
      <c r="BV39" s="39">
        <f>SUMIFS(Lançamentos!$G:$G,Lançamentos!$A:$A,BV$19,Lançamentos!$C:$C,"Salários e Encargos")</f>
        <v>0</v>
      </c>
      <c r="BW39" s="39">
        <f>SUMIFS(Lançamentos!$G:$G,Lançamentos!$A:$A,BW$19,Lançamentos!$C:$C,"Salários e Encargos")</f>
        <v>0</v>
      </c>
      <c r="BX39" s="39">
        <f>SUMIFS(Lançamentos!$G:$G,Lançamentos!$A:$A,BX$19,Lançamentos!$C:$C,"Salários e Encargos")</f>
        <v>0</v>
      </c>
      <c r="BY39" s="39">
        <f>SUMIFS(Lançamentos!$G:$G,Lançamentos!$A:$A,BY$19,Lançamentos!$C:$C,"Salários e Encargos")</f>
        <v>0</v>
      </c>
      <c r="BZ39" s="39">
        <f>SUMIFS(Lançamentos!$G:$G,Lançamentos!$A:$A,BZ$19,Lançamentos!$C:$C,"Salários e Encargos")</f>
        <v>0</v>
      </c>
      <c r="CA39" s="39">
        <f>SUMIFS(Lançamentos!$G:$G,Lançamentos!$A:$A,CA$19,Lançamentos!$C:$C,"Salários e Encargos")</f>
        <v>0</v>
      </c>
      <c r="CB39" s="39">
        <f>SUMIFS(Lançamentos!$G:$G,Lançamentos!$A:$A,CB$19,Lançamentos!$C:$C,"Salários e Encargos")</f>
        <v>0</v>
      </c>
      <c r="CC39" s="39">
        <f>SUMIFS(Lançamentos!$G:$G,Lançamentos!$A:$A,CC$19,Lançamentos!$C:$C,"Salários e Encargos")</f>
        <v>0</v>
      </c>
      <c r="CD39" s="39">
        <f>SUMIFS(Lançamentos!$G:$G,Lançamentos!$A:$A,CD$19,Lançamentos!$C:$C,"Salários e Encargos")</f>
        <v>0</v>
      </c>
      <c r="CE39" s="39">
        <f>SUMIFS(Lançamentos!$G:$G,Lançamentos!$A:$A,CE$19,Lançamentos!$C:$C,"Salários e Encargos")</f>
        <v>0</v>
      </c>
      <c r="CF39" s="39">
        <f>SUMIFS(Lançamentos!$G:$G,Lançamentos!$A:$A,CF$19,Lançamentos!$C:$C,"Salários e Encargos")</f>
        <v>0</v>
      </c>
      <c r="CG39" s="39">
        <f>SUMIFS(Lançamentos!$G:$G,Lançamentos!$A:$A,CG$19,Lançamentos!$C:$C,"Salários e Encargos")</f>
        <v>0</v>
      </c>
      <c r="CH39" s="39">
        <f>SUMIFS(Lançamentos!$G:$G,Lançamentos!$A:$A,CH$19,Lançamentos!$C:$C,"Salários e Encargos")</f>
        <v>0</v>
      </c>
      <c r="CI39" s="39">
        <f>SUMIFS(Lançamentos!$G:$G,Lançamentos!$A:$A,CI$19,Lançamentos!$C:$C,"Salários e Encargos")</f>
        <v>0</v>
      </c>
      <c r="CJ39" s="39">
        <f>SUMIFS(Lançamentos!$G:$G,Lançamentos!$A:$A,CJ$19,Lançamentos!$C:$C,"Salários e Encargos")</f>
        <v>0</v>
      </c>
      <c r="CK39" s="39">
        <f>SUMIFS(Lançamentos!$G:$G,Lançamentos!$A:$A,CK$19,Lançamentos!$C:$C,"Salários e Encargos")</f>
        <v>0</v>
      </c>
      <c r="CL39" s="39">
        <f>SUMIFS(Lançamentos!$G:$G,Lançamentos!$A:$A,CL$19,Lançamentos!$C:$C,"Salários e Encargos")</f>
        <v>0</v>
      </c>
      <c r="CM39" s="39">
        <f>SUMIFS(Lançamentos!$G:$G,Lançamentos!$A:$A,CM$19,Lançamentos!$C:$C,"Salários e Encargos")</f>
        <v>0</v>
      </c>
      <c r="CN39" s="39">
        <f>SUMIFS(Lançamentos!$G:$G,Lançamentos!$A:$A,CN$19,Lançamentos!$C:$C,"Salários e Encargos")</f>
        <v>0</v>
      </c>
      <c r="CO39" s="39">
        <f>SUMIFS(Lançamentos!$G:$G,Lançamentos!$A:$A,CO$19,Lançamentos!$C:$C,"Salários e Encargos")</f>
        <v>0</v>
      </c>
      <c r="CP39" s="39">
        <f>SUMIFS(Lançamentos!$G:$G,Lançamentos!$A:$A,CP$19,Lançamentos!$C:$C,"Salários e Encargos")</f>
        <v>0</v>
      </c>
      <c r="CQ39" s="39">
        <f>SUMIFS(Lançamentos!$G:$G,Lançamentos!$A:$A,CQ$19,Lançamentos!$C:$C,"Salários e Encargos")</f>
        <v>0</v>
      </c>
      <c r="CR39" s="39">
        <f>SUMIFS(Lançamentos!$G:$G,Lançamentos!$A:$A,CR$19,Lançamentos!$C:$C,"Salários e Encargos")</f>
        <v>0</v>
      </c>
      <c r="CS39" s="39">
        <f>SUMIFS(Lançamentos!$G:$G,Lançamentos!$A:$A,CS$19,Lançamentos!$C:$C,"Salários e Encargos")</f>
        <v>0</v>
      </c>
      <c r="CT39" s="39">
        <f>SUMIFS(Lançamentos!$G:$G,Lançamentos!$A:$A,CT$19,Lançamentos!$C:$C,"Salários e Encargos")</f>
        <v>0</v>
      </c>
      <c r="CU39" s="39">
        <f>SUMIFS(Lançamentos!$G:$G,Lançamentos!$A:$A,CU$19,Lançamentos!$C:$C,"Salários e Encargos")</f>
        <v>0</v>
      </c>
      <c r="CV39" s="39">
        <f>SUMIFS(Lançamentos!$G:$G,Lançamentos!$A:$A,CV$19,Lançamentos!$C:$C,"Salários e Encargos")</f>
        <v>0</v>
      </c>
      <c r="CW39" s="39">
        <f>SUMIFS(Lançamentos!$G:$G,Lançamentos!$A:$A,CW$19,Lançamentos!$C:$C,"Salários e Encargos")</f>
        <v>0</v>
      </c>
      <c r="CX39" s="39">
        <f>SUMIFS(Lançamentos!$G:$G,Lançamentos!$A:$A,CX$19,Lançamentos!$C:$C,"Salários e Encargos")</f>
        <v>0</v>
      </c>
      <c r="CY39" s="39">
        <f>SUMIFS(Lançamentos!$G:$G,Lançamentos!$A:$A,CY$19,Lançamentos!$C:$C,"Salários e Encargos")</f>
        <v>0</v>
      </c>
      <c r="CZ39" s="39">
        <f>SUMIFS(Lançamentos!$G:$G,Lançamentos!$A:$A,CZ$19,Lançamentos!$C:$C,"Salários e Encargos")</f>
        <v>0</v>
      </c>
      <c r="DA39" s="39">
        <f>SUMIFS(Lançamentos!$G:$G,Lançamentos!$A:$A,DA$19,Lançamentos!$C:$C,"Salários e Encargos")</f>
        <v>0</v>
      </c>
      <c r="DB39" s="39">
        <f>SUMIFS(Lançamentos!$G:$G,Lançamentos!$A:$A,DB$19,Lançamentos!$C:$C,"Salários e Encargos")</f>
        <v>0</v>
      </c>
      <c r="DC39" s="39">
        <f>SUMIFS(Lançamentos!$G:$G,Lançamentos!$A:$A,DC$19,Lançamentos!$C:$C,"Salários e Encargos")</f>
        <v>0</v>
      </c>
      <c r="DD39" s="39">
        <f>SUMIFS(Lançamentos!$G:$G,Lançamentos!$A:$A,DD$19,Lançamentos!$C:$C,"Salários e Encargos")</f>
        <v>0</v>
      </c>
      <c r="DE39" s="39">
        <f>SUMIFS(Lançamentos!$G:$G,Lançamentos!$A:$A,DE$19,Lançamentos!$C:$C,"Salários e Encargos")</f>
        <v>0</v>
      </c>
      <c r="DF39" s="39">
        <f>SUMIFS(Lançamentos!$G:$G,Lançamentos!$A:$A,DF$19,Lançamentos!$C:$C,"Salários e Encargos")</f>
        <v>0</v>
      </c>
      <c r="DG39" s="39">
        <f>SUMIFS(Lançamentos!$G:$G,Lançamentos!$A:$A,DG$19,Lançamentos!$C:$C,"Salários e Encargos")</f>
        <v>0</v>
      </c>
      <c r="DH39" s="39">
        <f>SUMIFS(Lançamentos!$G:$G,Lançamentos!$A:$A,DH$19,Lançamentos!$C:$C,"Salários e Encargos")</f>
        <v>0</v>
      </c>
      <c r="DI39" s="39">
        <f>SUMIFS(Lançamentos!$G:$G,Lançamentos!$A:$A,DI$19,Lançamentos!$C:$C,"Salários e Encargos")</f>
        <v>0</v>
      </c>
      <c r="DJ39" s="39">
        <f>SUMIFS(Lançamentos!$G:$G,Lançamentos!$A:$A,DJ$19,Lançamentos!$C:$C,"Salários e Encargos")</f>
        <v>0</v>
      </c>
      <c r="DK39" s="39">
        <f>SUMIFS(Lançamentos!$G:$G,Lançamentos!$A:$A,DK$19,Lançamentos!$C:$C,"Salários e Encargos")</f>
        <v>0</v>
      </c>
      <c r="DL39" s="39">
        <f>SUMIFS(Lançamentos!$G:$G,Lançamentos!$A:$A,DL$19,Lançamentos!$C:$C,"Salários e Encargos")</f>
        <v>0</v>
      </c>
      <c r="DM39" s="39">
        <f>SUMIFS(Lançamentos!$G:$G,Lançamentos!$A:$A,DM$19,Lançamentos!$C:$C,"Salários e Encargos")</f>
        <v>0</v>
      </c>
      <c r="DN39" s="39">
        <f>SUMIFS(Lançamentos!$G:$G,Lançamentos!$A:$A,DN$19,Lançamentos!$C:$C,"Salários e Encargos")</f>
        <v>0</v>
      </c>
      <c r="DO39" s="39">
        <f>SUMIFS(Lançamentos!$G:$G,Lançamentos!$A:$A,DO$19,Lançamentos!$C:$C,"Salários e Encargos")</f>
        <v>0</v>
      </c>
      <c r="DP39" s="39">
        <f>SUMIFS(Lançamentos!$G:$G,Lançamentos!$A:$A,DP$19,Lançamentos!$C:$C,"Salários e Encargos")</f>
        <v>0</v>
      </c>
      <c r="DQ39" s="39">
        <f>SUMIFS(Lançamentos!$G:$G,Lançamentos!$A:$A,DQ$19,Lançamentos!$C:$C,"Salários e Encargos")</f>
        <v>0</v>
      </c>
      <c r="DR39" s="39">
        <f>SUMIFS(Lançamentos!$G:$G,Lançamentos!$A:$A,DR$19,Lançamentos!$C:$C,"Salários e Encargos")</f>
        <v>0</v>
      </c>
      <c r="DS39" s="39">
        <f>SUMIFS(Lançamentos!$G:$G,Lançamentos!$A:$A,DS$19,Lançamentos!$C:$C,"Salários e Encargos")</f>
        <v>0</v>
      </c>
      <c r="DT39" s="39">
        <f>SUMIFS(Lançamentos!$G:$G,Lançamentos!$A:$A,DT$19,Lançamentos!$C:$C,"Salários e Encargos")</f>
        <v>0</v>
      </c>
      <c r="DU39" s="39">
        <f>SUMIFS(Lançamentos!$G:$G,Lançamentos!$A:$A,DU$19,Lançamentos!$C:$C,"Salários e Encargos")</f>
        <v>0</v>
      </c>
      <c r="DV39" s="39">
        <f>SUMIFS(Lançamentos!$G:$G,Lançamentos!$A:$A,DV$19,Lançamentos!$C:$C,"Salários e Encargos")</f>
        <v>0</v>
      </c>
      <c r="DW39" s="39">
        <f>SUMIFS(Lançamentos!$G:$G,Lançamentos!$A:$A,DW$19,Lançamentos!$C:$C,"Salários e Encargos")</f>
        <v>0</v>
      </c>
      <c r="DX39" s="39">
        <f>SUMIFS(Lançamentos!$G:$G,Lançamentos!$A:$A,DX$19,Lançamentos!$C:$C,"Salários e Encargos")</f>
        <v>0</v>
      </c>
      <c r="DY39" s="39">
        <f>SUMIFS(Lançamentos!$G:$G,Lançamentos!$A:$A,DY$19,Lançamentos!$C:$C,"Salários e Encargos")</f>
        <v>0</v>
      </c>
      <c r="DZ39" s="39">
        <f>SUMIFS(Lançamentos!$G:$G,Lançamentos!$A:$A,DZ$19,Lançamentos!$C:$C,"Salários e Encargos")</f>
        <v>0</v>
      </c>
      <c r="EA39" s="39">
        <f>SUMIFS(Lançamentos!$G:$G,Lançamentos!$A:$A,EA$19,Lançamentos!$C:$C,"Salários e Encargos")</f>
        <v>0</v>
      </c>
      <c r="EB39" s="39">
        <f>SUMIFS(Lançamentos!$G:$G,Lançamentos!$A:$A,EB$19,Lançamentos!$C:$C,"Salários e Encargos")</f>
        <v>0</v>
      </c>
      <c r="EC39" s="39">
        <f>SUMIFS(Lançamentos!$G:$G,Lançamentos!$A:$A,EC$19,Lançamentos!$C:$C,"Salários e Encargos")</f>
        <v>0</v>
      </c>
      <c r="ED39" s="39">
        <f>SUMIFS(Lançamentos!$G:$G,Lançamentos!$A:$A,ED$19,Lançamentos!$C:$C,"Salários e Encargos")</f>
        <v>0</v>
      </c>
      <c r="EE39" s="39">
        <f>SUMIFS(Lançamentos!$G:$G,Lançamentos!$A:$A,EE$19,Lançamentos!$C:$C,"Salários e Encargos")</f>
        <v>0</v>
      </c>
      <c r="EF39" s="39">
        <f>SUMIFS(Lançamentos!$G:$G,Lançamentos!$A:$A,EF$19,Lançamentos!$C:$C,"Salários e Encargos")</f>
        <v>0</v>
      </c>
      <c r="EG39" s="39">
        <f>SUMIFS(Lançamentos!$G:$G,Lançamentos!$A:$A,EG$19,Lançamentos!$C:$C,"Salários e Encargos")</f>
        <v>0</v>
      </c>
      <c r="EH39" s="39">
        <f>SUMIFS(Lançamentos!$G:$G,Lançamentos!$A:$A,EH$19,Lançamentos!$C:$C,"Salários e Encargos")</f>
        <v>0</v>
      </c>
      <c r="EI39" s="39">
        <f>SUMIFS(Lançamentos!$G:$G,Lançamentos!$A:$A,EI$19,Lançamentos!$C:$C,"Salários e Encargos")</f>
        <v>0</v>
      </c>
      <c r="EJ39" s="39">
        <f>SUMIFS(Lançamentos!$G:$G,Lançamentos!$A:$A,EJ$19,Lançamentos!$C:$C,"Salários e Encargos")</f>
        <v>0</v>
      </c>
      <c r="EK39" s="39">
        <f>SUMIFS(Lançamentos!$G:$G,Lançamentos!$A:$A,EK$19,Lançamentos!$C:$C,"Salários e Encargos")</f>
        <v>0</v>
      </c>
      <c r="EL39" s="39">
        <f>SUMIFS(Lançamentos!$G:$G,Lançamentos!$A:$A,EL$19,Lançamentos!$C:$C,"Salários e Encargos")</f>
        <v>0</v>
      </c>
      <c r="EM39" s="39">
        <f>SUMIFS(Lançamentos!$G:$G,Lançamentos!$A:$A,EM$19,Lançamentos!$C:$C,"Salários e Encargos")</f>
        <v>0</v>
      </c>
      <c r="EN39" s="39">
        <f>SUMIFS(Lançamentos!$G:$G,Lançamentos!$A:$A,EN$19,Lançamentos!$C:$C,"Salários e Encargos")</f>
        <v>0</v>
      </c>
      <c r="EO39" s="39">
        <f>SUMIFS(Lançamentos!$G:$G,Lançamentos!$A:$A,EO$19,Lançamentos!$C:$C,"Salários e Encargos")</f>
        <v>0</v>
      </c>
      <c r="EP39" s="39">
        <f>SUMIFS(Lançamentos!$G:$G,Lançamentos!$A:$A,EP$19,Lançamentos!$C:$C,"Salários e Encargos")</f>
        <v>0</v>
      </c>
      <c r="EQ39" s="39">
        <f>SUMIFS(Lançamentos!$G:$G,Lançamentos!$A:$A,EQ$19,Lançamentos!$C:$C,"Salários e Encargos")</f>
        <v>0</v>
      </c>
      <c r="ER39" s="39">
        <f>SUMIFS(Lançamentos!$G:$G,Lançamentos!$A:$A,ER$19,Lançamentos!$C:$C,"Salários e Encargos")</f>
        <v>0</v>
      </c>
      <c r="ES39" s="39">
        <f>SUMIFS(Lançamentos!$G:$G,Lançamentos!$A:$A,ES$19,Lançamentos!$C:$C,"Salários e Encargos")</f>
        <v>0</v>
      </c>
      <c r="ET39" s="39">
        <f>SUMIFS(Lançamentos!$G:$G,Lançamentos!$A:$A,ET$19,Lançamentos!$C:$C,"Salários e Encargos")</f>
        <v>0</v>
      </c>
      <c r="EU39" s="39">
        <f>SUMIFS(Lançamentos!$G:$G,Lançamentos!$A:$A,EU$19,Lançamentos!$C:$C,"Salários e Encargos")</f>
        <v>0</v>
      </c>
      <c r="EV39" s="39">
        <f>SUMIFS(Lançamentos!$G:$G,Lançamentos!$A:$A,EV$19,Lançamentos!$C:$C,"Salários e Encargos")</f>
        <v>0</v>
      </c>
      <c r="EW39" s="39">
        <f>SUMIFS(Lançamentos!$G:$G,Lançamentos!$A:$A,EW$19,Lançamentos!$C:$C,"Salários e Encargos")</f>
        <v>0</v>
      </c>
      <c r="EX39" s="39">
        <f>SUMIFS(Lançamentos!$G:$G,Lançamentos!$A:$A,EX$19,Lançamentos!$C:$C,"Salários e Encargos")</f>
        <v>0</v>
      </c>
      <c r="EY39" s="39">
        <f>SUMIFS(Lançamentos!$G:$G,Lançamentos!$A:$A,EY$19,Lançamentos!$C:$C,"Salários e Encargos")</f>
        <v>0</v>
      </c>
      <c r="EZ39" s="39">
        <f>SUMIFS(Lançamentos!$G:$G,Lançamentos!$A:$A,EZ$19,Lançamentos!$C:$C,"Salários e Encargos")</f>
        <v>0</v>
      </c>
      <c r="FA39" s="39">
        <f>SUMIFS(Lançamentos!$G:$G,Lançamentos!$A:$A,FA$19,Lançamentos!$C:$C,"Salários e Encargos")</f>
        <v>0</v>
      </c>
      <c r="FB39" s="39">
        <f>SUMIFS(Lançamentos!$G:$G,Lançamentos!$A:$A,FB$19,Lançamentos!$C:$C,"Salários e Encargos")</f>
        <v>0</v>
      </c>
      <c r="FC39" s="39">
        <f>SUMIFS(Lançamentos!$G:$G,Lançamentos!$A:$A,FC$19,Lançamentos!$C:$C,"Salários e Encargos")</f>
        <v>0</v>
      </c>
      <c r="FD39" s="39">
        <f>SUMIFS(Lançamentos!$G:$G,Lançamentos!$A:$A,FD$19,Lançamentos!$C:$C,"Salários e Encargos")</f>
        <v>0</v>
      </c>
      <c r="FE39" s="39">
        <f>SUMIFS(Lançamentos!$G:$G,Lançamentos!$A:$A,FE$19,Lançamentos!$C:$C,"Salários e Encargos")</f>
        <v>0</v>
      </c>
      <c r="FF39" s="39">
        <f>SUMIFS(Lançamentos!$G:$G,Lançamentos!$A:$A,FF$19,Lançamentos!$C:$C,"Salários e Encargos")</f>
        <v>0</v>
      </c>
      <c r="FG39" s="39">
        <f>SUMIFS(Lançamentos!$G:$G,Lançamentos!$A:$A,FG$19,Lançamentos!$C:$C,"Salários e Encargos")</f>
        <v>0</v>
      </c>
      <c r="FH39" s="39">
        <f>SUMIFS(Lançamentos!$G:$G,Lançamentos!$A:$A,FH$19,Lançamentos!$C:$C,"Salários e Encargos")</f>
        <v>0</v>
      </c>
      <c r="FI39" s="39">
        <f>SUMIFS(Lançamentos!$G:$G,Lançamentos!$A:$A,FI$19,Lançamentos!$C:$C,"Salários e Encargos")</f>
        <v>0</v>
      </c>
      <c r="FJ39" s="39">
        <f>SUMIFS(Lançamentos!$G:$G,Lançamentos!$A:$A,FJ$19,Lançamentos!$C:$C,"Salários e Encargos")</f>
        <v>0</v>
      </c>
      <c r="FK39" s="39">
        <f>SUMIFS(Lançamentos!$G:$G,Lançamentos!$A:$A,FK$19,Lançamentos!$C:$C,"Salários e Encargos")</f>
        <v>0</v>
      </c>
      <c r="FL39" s="39">
        <f>SUMIFS(Lançamentos!$G:$G,Lançamentos!$A:$A,FL$19,Lançamentos!$C:$C,"Salários e Encargos")</f>
        <v>0</v>
      </c>
      <c r="FM39" s="39">
        <f>SUMIFS(Lançamentos!$G:$G,Lançamentos!$A:$A,FM$19,Lançamentos!$C:$C,"Salários e Encargos")</f>
        <v>0</v>
      </c>
      <c r="FN39" s="39">
        <f>SUMIFS(Lançamentos!$G:$G,Lançamentos!$A:$A,FN$19,Lançamentos!$C:$C,"Salários e Encargos")</f>
        <v>0</v>
      </c>
      <c r="FO39" s="39">
        <f>SUMIFS(Lançamentos!$G:$G,Lançamentos!$A:$A,FO$19,Lançamentos!$C:$C,"Salários e Encargos")</f>
        <v>0</v>
      </c>
      <c r="FP39" s="39">
        <f>SUMIFS(Lançamentos!$G:$G,Lançamentos!$A:$A,FP$19,Lançamentos!$C:$C,"Salários e Encargos")</f>
        <v>0</v>
      </c>
      <c r="FQ39" s="39">
        <f>SUMIFS(Lançamentos!$G:$G,Lançamentos!$A:$A,FQ$19,Lançamentos!$C:$C,"Salários e Encargos")</f>
        <v>0</v>
      </c>
      <c r="FR39" s="39">
        <f>SUMIFS(Lançamentos!$G:$G,Lançamentos!$A:$A,FR$19,Lançamentos!$C:$C,"Salários e Encargos")</f>
        <v>0</v>
      </c>
      <c r="FS39" s="39">
        <f>SUMIFS(Lançamentos!$G:$G,Lançamentos!$A:$A,FS$19,Lançamentos!$C:$C,"Salários e Encargos")</f>
        <v>0</v>
      </c>
      <c r="FT39" s="39">
        <f>SUMIFS(Lançamentos!$G:$G,Lançamentos!$A:$A,FT$19,Lançamentos!$C:$C,"Salários e Encargos")</f>
        <v>0</v>
      </c>
      <c r="FU39" s="39">
        <f>SUMIFS(Lançamentos!$G:$G,Lançamentos!$A:$A,FU$19,Lançamentos!$C:$C,"Salários e Encargos")</f>
        <v>0</v>
      </c>
      <c r="FV39" s="39">
        <f>SUMIFS(Lançamentos!$G:$G,Lançamentos!$A:$A,FV$19,Lançamentos!$C:$C,"Salários e Encargos")</f>
        <v>0</v>
      </c>
      <c r="FW39" s="39">
        <f>SUMIFS(Lançamentos!$G:$G,Lançamentos!$A:$A,FW$19,Lançamentos!$C:$C,"Salários e Encargos")</f>
        <v>0</v>
      </c>
      <c r="FX39" s="39">
        <f>SUMIFS(Lançamentos!$G:$G,Lançamentos!$A:$A,FX$19,Lançamentos!$C:$C,"Salários e Encargos")</f>
        <v>0</v>
      </c>
      <c r="FY39" s="39">
        <f>SUMIFS(Lançamentos!$G:$G,Lançamentos!$A:$A,FY$19,Lançamentos!$C:$C,"Salários e Encargos")</f>
        <v>0</v>
      </c>
      <c r="FZ39" s="39">
        <f>SUMIFS(Lançamentos!$G:$G,Lançamentos!$A:$A,FZ$19,Lançamentos!$C:$C,"Salários e Encargos")</f>
        <v>0</v>
      </c>
      <c r="GA39" s="39">
        <f>SUMIFS(Lançamentos!$G:$G,Lançamentos!$A:$A,GA$19,Lançamentos!$C:$C,"Salários e Encargos")</f>
        <v>0</v>
      </c>
      <c r="GB39" s="39">
        <f>SUMIFS(Lançamentos!$G:$G,Lançamentos!$A:$A,GB$19,Lançamentos!$C:$C,"Salários e Encargos")</f>
        <v>0</v>
      </c>
      <c r="GC39" s="39">
        <f>SUMIFS(Lançamentos!$G:$G,Lançamentos!$A:$A,GC$19,Lançamentos!$C:$C,"Salários e Encargos")</f>
        <v>0</v>
      </c>
      <c r="GD39" s="39">
        <f>SUMIFS(Lançamentos!$G:$G,Lançamentos!$A:$A,GD$19,Lançamentos!$C:$C,"Salários e Encargos")</f>
        <v>0</v>
      </c>
      <c r="GE39" s="39">
        <f>SUMIFS(Lançamentos!$G:$G,Lançamentos!$A:$A,GE$19,Lançamentos!$C:$C,"Salários e Encargos")</f>
        <v>0</v>
      </c>
      <c r="GF39" s="39">
        <f>SUMIFS(Lançamentos!$G:$G,Lançamentos!$A:$A,GF$19,Lançamentos!$C:$C,"Salários e Encargos")</f>
        <v>0</v>
      </c>
      <c r="GG39" s="39">
        <f>SUMIFS(Lançamentos!$G:$G,Lançamentos!$A:$A,GG$19,Lançamentos!$C:$C,"Salários e Encargos")</f>
        <v>0</v>
      </c>
      <c r="GH39" s="39">
        <f>SUMIFS(Lançamentos!$G:$G,Lançamentos!$A:$A,GH$19,Lançamentos!$C:$C,"Salários e Encargos")</f>
        <v>0</v>
      </c>
      <c r="GI39" s="39">
        <f>SUMIFS(Lançamentos!$G:$G,Lançamentos!$A:$A,GI$19,Lançamentos!$C:$C,"Salários e Encargos")</f>
        <v>0</v>
      </c>
      <c r="GJ39" s="39">
        <f>SUMIFS(Lançamentos!$G:$G,Lançamentos!$A:$A,GJ$19,Lançamentos!$C:$C,"Salários e Encargos")</f>
        <v>0</v>
      </c>
      <c r="GK39" s="39">
        <f>SUMIFS(Lançamentos!$G:$G,Lançamentos!$A:$A,GK$19,Lançamentos!$C:$C,"Salários e Encargos")</f>
        <v>0</v>
      </c>
      <c r="GL39" s="39">
        <f>SUMIFS(Lançamentos!$G:$G,Lançamentos!$A:$A,GL$19,Lançamentos!$C:$C,"Salários e Encargos")</f>
        <v>0</v>
      </c>
      <c r="GM39" s="39">
        <f>SUMIFS(Lançamentos!$G:$G,Lançamentos!$A:$A,GM$19,Lançamentos!$C:$C,"Salários e Encargos")</f>
        <v>0</v>
      </c>
      <c r="GN39" s="39">
        <f>SUMIFS(Lançamentos!$G:$G,Lançamentos!$A:$A,GN$19,Lançamentos!$C:$C,"Salários e Encargos")</f>
        <v>0</v>
      </c>
      <c r="GO39" s="39">
        <f>SUMIFS(Lançamentos!$G:$G,Lançamentos!$A:$A,GO$19,Lançamentos!$C:$C,"Salários e Encargos")</f>
        <v>0</v>
      </c>
      <c r="GP39" s="39">
        <f>SUMIFS(Lançamentos!$G:$G,Lançamentos!$A:$A,GP$19,Lançamentos!$C:$C,"Salários e Encargos")</f>
        <v>0</v>
      </c>
      <c r="GQ39" s="39">
        <f>SUMIFS(Lançamentos!$G:$G,Lançamentos!$A:$A,GQ$19,Lançamentos!$C:$C,"Salários e Encargos")</f>
        <v>0</v>
      </c>
      <c r="GR39" s="39">
        <f>SUMIFS(Lançamentos!$G:$G,Lançamentos!$A:$A,GR$19,Lançamentos!$C:$C,"Salários e Encargos")</f>
        <v>0</v>
      </c>
      <c r="GS39" s="39">
        <f>SUMIFS(Lançamentos!$G:$G,Lançamentos!$A:$A,GS$19,Lançamentos!$C:$C,"Salários e Encargos")</f>
        <v>0</v>
      </c>
      <c r="GT39" s="39">
        <f>SUMIFS(Lançamentos!$G:$G,Lançamentos!$A:$A,GT$19,Lançamentos!$C:$C,"Salários e Encargos")</f>
        <v>0</v>
      </c>
      <c r="GU39" s="39">
        <f>SUMIFS(Lançamentos!$G:$G,Lançamentos!$A:$A,GU$19,Lançamentos!$C:$C,"Salários e Encargos")</f>
        <v>0</v>
      </c>
      <c r="GV39" s="39">
        <f>SUMIFS(Lançamentos!$G:$G,Lançamentos!$A:$A,GV$19,Lançamentos!$C:$C,"Salários e Encargos")</f>
        <v>0</v>
      </c>
      <c r="GW39" s="39">
        <f>SUMIFS(Lançamentos!$G:$G,Lançamentos!$A:$A,GW$19,Lançamentos!$C:$C,"Salários e Encargos")</f>
        <v>0</v>
      </c>
      <c r="GX39" s="39">
        <f>SUMIFS(Lançamentos!$G:$G,Lançamentos!$A:$A,GX$19,Lançamentos!$C:$C,"Salários e Encargos")</f>
        <v>0</v>
      </c>
      <c r="GY39" s="39">
        <f>SUMIFS(Lançamentos!$G:$G,Lançamentos!$A:$A,GY$19,Lançamentos!$C:$C,"Salários e Encargos")</f>
        <v>0</v>
      </c>
      <c r="GZ39" s="39">
        <f>SUMIFS(Lançamentos!$G:$G,Lançamentos!$A:$A,GZ$19,Lançamentos!$C:$C,"Salários e Encargos")</f>
        <v>0</v>
      </c>
      <c r="HA39" s="39">
        <f>SUMIFS(Lançamentos!$G:$G,Lançamentos!$A:$A,HA$19,Lançamentos!$C:$C,"Salários e Encargos")</f>
        <v>0</v>
      </c>
      <c r="HB39" s="39">
        <f>SUMIFS(Lançamentos!$G:$G,Lançamentos!$A:$A,HB$19,Lançamentos!$C:$C,"Salários e Encargos")</f>
        <v>0</v>
      </c>
      <c r="HC39" s="39">
        <f>SUMIFS(Lançamentos!$G:$G,Lançamentos!$A:$A,HC$19,Lançamentos!$C:$C,"Salários e Encargos")</f>
        <v>0</v>
      </c>
      <c r="HD39" s="39">
        <f>SUMIFS(Lançamentos!$G:$G,Lançamentos!$A:$A,HD$19,Lançamentos!$C:$C,"Salários e Encargos")</f>
        <v>0</v>
      </c>
      <c r="HE39" s="39">
        <f>SUMIFS(Lançamentos!$G:$G,Lançamentos!$A:$A,HE$19,Lançamentos!$C:$C,"Salários e Encargos")</f>
        <v>0</v>
      </c>
      <c r="HF39" s="39">
        <f>SUMIFS(Lançamentos!$G:$G,Lançamentos!$A:$A,HF$19,Lançamentos!$C:$C,"Salários e Encargos")</f>
        <v>0</v>
      </c>
      <c r="HG39" s="39">
        <f>SUMIFS(Lançamentos!$G:$G,Lançamentos!$A:$A,HG$19,Lançamentos!$C:$C,"Salários e Encargos")</f>
        <v>0</v>
      </c>
      <c r="HH39" s="39">
        <f>SUMIFS(Lançamentos!$G:$G,Lançamentos!$A:$A,HH$19,Lançamentos!$C:$C,"Salários e Encargos")</f>
        <v>0</v>
      </c>
      <c r="HI39" s="39">
        <f>SUMIFS(Lançamentos!$G:$G,Lançamentos!$A:$A,HI$19,Lançamentos!$C:$C,"Salários e Encargos")</f>
        <v>0</v>
      </c>
      <c r="HJ39" s="39">
        <f>SUMIFS(Lançamentos!$G:$G,Lançamentos!$A:$A,HJ$19,Lançamentos!$C:$C,"Salários e Encargos")</f>
        <v>0</v>
      </c>
      <c r="HK39" s="39">
        <f>SUMIFS(Lançamentos!$G:$G,Lançamentos!$A:$A,HK$19,Lançamentos!$C:$C,"Salários e Encargos")</f>
        <v>0</v>
      </c>
      <c r="HL39" s="39">
        <f>SUMIFS(Lançamentos!$G:$G,Lançamentos!$A:$A,HL$19,Lançamentos!$C:$C,"Salários e Encargos")</f>
        <v>0</v>
      </c>
      <c r="HM39" s="39">
        <f>SUMIFS(Lançamentos!$G:$G,Lançamentos!$A:$A,HM$19,Lançamentos!$C:$C,"Salários e Encargos")</f>
        <v>0</v>
      </c>
      <c r="HN39" s="39">
        <f>SUMIFS(Lançamentos!$G:$G,Lançamentos!$A:$A,HN$19,Lançamentos!$C:$C,"Salários e Encargos")</f>
        <v>0</v>
      </c>
      <c r="HO39" s="39">
        <f>SUMIFS(Lançamentos!$G:$G,Lançamentos!$A:$A,HO$19,Lançamentos!$C:$C,"Salários e Encargos")</f>
        <v>0</v>
      </c>
      <c r="HP39" s="39">
        <f>SUMIFS(Lançamentos!$G:$G,Lançamentos!$A:$A,HP$19,Lançamentos!$C:$C,"Salários e Encargos")</f>
        <v>0</v>
      </c>
      <c r="HQ39" s="39">
        <f>SUMIFS(Lançamentos!$G:$G,Lançamentos!$A:$A,HQ$19,Lançamentos!$C:$C,"Salários e Encargos")</f>
        <v>0</v>
      </c>
      <c r="HR39" s="39">
        <f>SUMIFS(Lançamentos!$G:$G,Lançamentos!$A:$A,HR$19,Lançamentos!$C:$C,"Salários e Encargos")</f>
        <v>0</v>
      </c>
      <c r="HS39" s="39">
        <f>SUMIFS(Lançamentos!$G:$G,Lançamentos!$A:$A,HS$19,Lançamentos!$C:$C,"Salários e Encargos")</f>
        <v>0</v>
      </c>
      <c r="HT39" s="39">
        <f>SUMIFS(Lançamentos!$G:$G,Lançamentos!$A:$A,HT$19,Lançamentos!$C:$C,"Salários e Encargos")</f>
        <v>0</v>
      </c>
      <c r="HU39" s="39">
        <f>SUMIFS(Lançamentos!$G:$G,Lançamentos!$A:$A,HU$19,Lançamentos!$C:$C,"Salários e Encargos")</f>
        <v>0</v>
      </c>
      <c r="HV39" s="39">
        <f>SUMIFS(Lançamentos!$G:$G,Lançamentos!$A:$A,HV$19,Lançamentos!$C:$C,"Salários e Encargos")</f>
        <v>0</v>
      </c>
      <c r="HW39" s="39">
        <f>SUMIFS(Lançamentos!$G:$G,Lançamentos!$A:$A,HW$19,Lançamentos!$C:$C,"Salários e Encargos")</f>
        <v>0</v>
      </c>
      <c r="HX39" s="39">
        <f>SUMIFS(Lançamentos!$G:$G,Lançamentos!$A:$A,HX$19,Lançamentos!$C:$C,"Salários e Encargos")</f>
        <v>0</v>
      </c>
      <c r="HY39" s="39">
        <f>SUMIFS(Lançamentos!$G:$G,Lançamentos!$A:$A,HY$19,Lançamentos!$C:$C,"Salários e Encargos")</f>
        <v>0</v>
      </c>
      <c r="HZ39" s="39">
        <f>SUMIFS(Lançamentos!$G:$G,Lançamentos!$A:$A,HZ$19,Lançamentos!$C:$C,"Salários e Encargos")</f>
        <v>0</v>
      </c>
      <c r="IA39" s="39">
        <f>SUMIFS(Lançamentos!$G:$G,Lançamentos!$A:$A,IA$19,Lançamentos!$C:$C,"Salários e Encargos")</f>
        <v>0</v>
      </c>
      <c r="IB39" s="39">
        <f>SUMIFS(Lançamentos!$G:$G,Lançamentos!$A:$A,IB$19,Lançamentos!$C:$C,"Salários e Encargos")</f>
        <v>0</v>
      </c>
      <c r="IC39" s="39">
        <f>SUMIFS(Lançamentos!$G:$G,Lançamentos!$A:$A,IC$19,Lançamentos!$C:$C,"Salários e Encargos")</f>
        <v>0</v>
      </c>
      <c r="ID39" s="39">
        <f>SUMIFS(Lançamentos!$G:$G,Lançamentos!$A:$A,ID$19,Lançamentos!$C:$C,"Salários e Encargos")</f>
        <v>0</v>
      </c>
      <c r="IE39" s="39">
        <f>SUMIFS(Lançamentos!$G:$G,Lançamentos!$A:$A,IE$19,Lançamentos!$C:$C,"Salários e Encargos")</f>
        <v>0</v>
      </c>
      <c r="IF39" s="39">
        <f>SUMIFS(Lançamentos!$G:$G,Lançamentos!$A:$A,IF$19,Lançamentos!$C:$C,"Salários e Encargos")</f>
        <v>0</v>
      </c>
      <c r="IG39" s="39">
        <f>SUMIFS(Lançamentos!$G:$G,Lançamentos!$A:$A,IG$19,Lançamentos!$C:$C,"Salários e Encargos")</f>
        <v>0</v>
      </c>
      <c r="IH39" s="39">
        <f>SUMIFS(Lançamentos!$G:$G,Lançamentos!$A:$A,IH$19,Lançamentos!$C:$C,"Salários e Encargos")</f>
        <v>0</v>
      </c>
      <c r="II39" s="39">
        <f>SUMIFS(Lançamentos!$G:$G,Lançamentos!$A:$A,II$19,Lançamentos!$C:$C,"Salários e Encargos")</f>
        <v>0</v>
      </c>
      <c r="IJ39" s="39">
        <f>SUMIFS(Lançamentos!$G:$G,Lançamentos!$A:$A,IJ$19,Lançamentos!$C:$C,"Salários e Encargos")</f>
        <v>0</v>
      </c>
      <c r="IK39" s="39">
        <f>SUMIFS(Lançamentos!$G:$G,Lançamentos!$A:$A,IK$19,Lançamentos!$C:$C,"Salários e Encargos")</f>
        <v>0</v>
      </c>
      <c r="IL39" s="39">
        <f>SUMIFS(Lançamentos!$G:$G,Lançamentos!$A:$A,IL$19,Lançamentos!$C:$C,"Salários e Encargos")</f>
        <v>0</v>
      </c>
    </row>
    <row r="40" spans="1:246" x14ac:dyDescent="0.3">
      <c r="A40" t="s">
        <v>17</v>
      </c>
      <c r="B40" s="39">
        <f>SUMIFS(Lançamentos!$G:$G,Lançamentos!$A:$A,B$19,Lançamentos!$C:$C,"Aluguel")</f>
        <v>0</v>
      </c>
      <c r="C40" s="39">
        <f>SUMIFS(Lançamentos!$G:$G,Lançamentos!$A:$A,C$19,Lançamentos!$C:$C,"Aluguel")</f>
        <v>0</v>
      </c>
      <c r="D40" s="39">
        <f>SUMIFS(Lançamentos!$G:$G,Lançamentos!$A:$A,D$19,Lançamentos!$C:$C,"Aluguel")</f>
        <v>0</v>
      </c>
      <c r="E40" s="39">
        <f>SUMIFS(Lançamentos!$G:$G,Lançamentos!$A:$A,E$19,Lançamentos!$C:$C,"Aluguel")</f>
        <v>0</v>
      </c>
      <c r="F40" s="39">
        <f>SUMIFS(Lançamentos!$G:$G,Lançamentos!$A:$A,F$19,Lançamentos!$C:$C,"Aluguel")</f>
        <v>0</v>
      </c>
      <c r="G40" s="39">
        <f>SUMIFS(Lançamentos!$G:$G,Lançamentos!$A:$A,G$19,Lançamentos!$C:$C,"Aluguel")</f>
        <v>0</v>
      </c>
      <c r="H40" s="39">
        <f>SUMIFS(Lançamentos!$G:$G,Lançamentos!$A:$A,H$19,Lançamentos!$C:$C,"Aluguel")</f>
        <v>0</v>
      </c>
      <c r="I40" s="39">
        <f>SUMIFS(Lançamentos!$G:$G,Lançamentos!$A:$A,I$19,Lançamentos!$C:$C,"Aluguel")</f>
        <v>0</v>
      </c>
      <c r="J40" s="39">
        <f>SUMIFS(Lançamentos!$G:$G,Lançamentos!$A:$A,J$19,Lançamentos!$C:$C,"Aluguel")</f>
        <v>0</v>
      </c>
      <c r="K40" s="39">
        <f>SUMIFS(Lançamentos!$G:$G,Lançamentos!$A:$A,K$19,Lançamentos!$C:$C,"Aluguel")</f>
        <v>0</v>
      </c>
      <c r="L40" s="39">
        <f>SUMIFS(Lançamentos!$G:$G,Lançamentos!$A:$A,L$19,Lançamentos!$C:$C,"Aluguel")</f>
        <v>0</v>
      </c>
      <c r="M40" s="39">
        <f>SUMIFS(Lançamentos!$G:$G,Lançamentos!$A:$A,M$19,Lançamentos!$C:$C,"Aluguel")</f>
        <v>0</v>
      </c>
      <c r="N40" s="39">
        <f>SUMIFS(Lançamentos!$G:$G,Lançamentos!$A:$A,N$19,Lançamentos!$C:$C,"Aluguel")</f>
        <v>0</v>
      </c>
      <c r="O40" s="39">
        <f>SUMIFS(Lançamentos!$G:$G,Lançamentos!$A:$A,O$19,Lançamentos!$C:$C,"Aluguel")</f>
        <v>0</v>
      </c>
      <c r="P40" s="39">
        <f>SUMIFS(Lançamentos!$G:$G,Lançamentos!$A:$A,P$19,Lançamentos!$C:$C,"Aluguel")</f>
        <v>0</v>
      </c>
      <c r="Q40" s="39">
        <f>SUMIFS(Lançamentos!$G:$G,Lançamentos!$A:$A,Q$19,Lançamentos!$C:$C,"Aluguel")</f>
        <v>0</v>
      </c>
      <c r="R40" s="39">
        <f>SUMIFS(Lançamentos!$G:$G,Lançamentos!$A:$A,R$19,Lançamentos!$C:$C,"Aluguel")</f>
        <v>0</v>
      </c>
      <c r="S40" s="39">
        <f>SUMIFS(Lançamentos!$G:$G,Lançamentos!$A:$A,S$19,Lançamentos!$C:$C,"Aluguel")</f>
        <v>0</v>
      </c>
      <c r="T40" s="39">
        <f>SUMIFS(Lançamentos!$G:$G,Lançamentos!$A:$A,T$19,Lançamentos!$C:$C,"Aluguel")</f>
        <v>0</v>
      </c>
      <c r="U40" s="39">
        <f>SUMIFS(Lançamentos!$G:$G,Lançamentos!$A:$A,U$19,Lançamentos!$C:$C,"Aluguel")</f>
        <v>0</v>
      </c>
      <c r="V40" s="39">
        <f>SUMIFS(Lançamentos!$G:$G,Lançamentos!$A:$A,V$19,Lançamentos!$C:$C,"Aluguel")</f>
        <v>0</v>
      </c>
      <c r="W40" s="39">
        <f>SUMIFS(Lançamentos!$G:$G,Lançamentos!$A:$A,W$19,Lançamentos!$C:$C,"Aluguel")</f>
        <v>0</v>
      </c>
      <c r="X40" s="39">
        <f>SUMIFS(Lançamentos!$G:$G,Lançamentos!$A:$A,X$19,Lançamentos!$C:$C,"Aluguel")</f>
        <v>0</v>
      </c>
      <c r="Y40" s="39">
        <f>SUMIFS(Lançamentos!$G:$G,Lançamentos!$A:$A,Y$19,Lançamentos!$C:$C,"Aluguel")</f>
        <v>0</v>
      </c>
      <c r="Z40" s="39">
        <f>SUMIFS(Lançamentos!$G:$G,Lançamentos!$A:$A,Z$19,Lançamentos!$C:$C,"Aluguel")</f>
        <v>0</v>
      </c>
      <c r="AA40" s="39">
        <f>SUMIFS(Lançamentos!$G:$G,Lançamentos!$A:$A,AA$19,Lançamentos!$C:$C,"Aluguel")</f>
        <v>0</v>
      </c>
      <c r="AB40" s="39">
        <f>SUMIFS(Lançamentos!$G:$G,Lançamentos!$A:$A,AB$19,Lançamentos!$C:$C,"Aluguel")</f>
        <v>0</v>
      </c>
      <c r="AC40" s="39">
        <f>SUMIFS(Lançamentos!$G:$G,Lançamentos!$A:$A,AC$19,Lançamentos!$C:$C,"Aluguel")</f>
        <v>0</v>
      </c>
      <c r="AD40" s="39">
        <f>SUMIFS(Lançamentos!$G:$G,Lançamentos!$A:$A,AD$19,Lançamentos!$C:$C,"Aluguel")</f>
        <v>0</v>
      </c>
      <c r="AE40" s="39">
        <f>SUMIFS(Lançamentos!$G:$G,Lançamentos!$A:$A,AE$19,Lançamentos!$C:$C,"Aluguel")</f>
        <v>0</v>
      </c>
      <c r="AF40" s="39">
        <f>SUMIFS(Lançamentos!$G:$G,Lançamentos!$A:$A,AF$19,Lançamentos!$C:$C,"Aluguel")</f>
        <v>0</v>
      </c>
      <c r="AG40" s="39">
        <f>SUMIFS(Lançamentos!$G:$G,Lançamentos!$A:$A,AG$19,Lançamentos!$C:$C,"Aluguel")</f>
        <v>0</v>
      </c>
      <c r="AH40" s="39">
        <f>SUMIFS(Lançamentos!$G:$G,Lançamentos!$A:$A,AH$19,Lançamentos!$C:$C,"Aluguel")</f>
        <v>0</v>
      </c>
      <c r="AI40" s="39">
        <f>SUMIFS(Lançamentos!$G:$G,Lançamentos!$A:$A,AI$19,Lançamentos!$C:$C,"Aluguel")</f>
        <v>0</v>
      </c>
      <c r="AJ40" s="39">
        <f>SUMIFS(Lançamentos!$G:$G,Lançamentos!$A:$A,AJ$19,Lançamentos!$C:$C,"Aluguel")</f>
        <v>0</v>
      </c>
      <c r="AK40" s="39">
        <f>SUMIFS(Lançamentos!$G:$G,Lançamentos!$A:$A,AK$19,Lançamentos!$C:$C,"Aluguel")</f>
        <v>0</v>
      </c>
      <c r="AL40" s="39">
        <f>SUMIFS(Lançamentos!$G:$G,Lançamentos!$A:$A,AL$19,Lançamentos!$C:$C,"Aluguel")</f>
        <v>0</v>
      </c>
      <c r="AM40" s="39">
        <f>SUMIFS(Lançamentos!$G:$G,Lançamentos!$A:$A,AM$19,Lançamentos!$C:$C,"Aluguel")</f>
        <v>0</v>
      </c>
      <c r="AN40" s="39">
        <f>SUMIFS(Lançamentos!$G:$G,Lançamentos!$A:$A,AN$19,Lançamentos!$C:$C,"Aluguel")</f>
        <v>0</v>
      </c>
      <c r="AO40" s="39">
        <f>SUMIFS(Lançamentos!$G:$G,Lançamentos!$A:$A,AO$19,Lançamentos!$C:$C,"Aluguel")</f>
        <v>0</v>
      </c>
      <c r="AP40" s="39">
        <f>SUMIFS(Lançamentos!$G:$G,Lançamentos!$A:$A,AP$19,Lançamentos!$C:$C,"Aluguel")</f>
        <v>0</v>
      </c>
      <c r="AQ40" s="39">
        <f>SUMIFS(Lançamentos!$G:$G,Lançamentos!$A:$A,AQ$19,Lançamentos!$C:$C,"Aluguel")</f>
        <v>0</v>
      </c>
      <c r="AR40" s="39">
        <f>SUMIFS(Lançamentos!$G:$G,Lançamentos!$A:$A,AR$19,Lançamentos!$C:$C,"Aluguel")</f>
        <v>0</v>
      </c>
      <c r="AS40" s="39">
        <f>SUMIFS(Lançamentos!$G:$G,Lançamentos!$A:$A,AS$19,Lançamentos!$C:$C,"Aluguel")</f>
        <v>0</v>
      </c>
      <c r="AT40" s="39">
        <f>SUMIFS(Lançamentos!$G:$G,Lançamentos!$A:$A,AT$19,Lançamentos!$C:$C,"Aluguel")</f>
        <v>0</v>
      </c>
      <c r="AU40" s="39">
        <f>SUMIFS(Lançamentos!$G:$G,Lançamentos!$A:$A,AU$19,Lançamentos!$C:$C,"Aluguel")</f>
        <v>0</v>
      </c>
      <c r="AV40" s="39">
        <f>SUMIFS(Lançamentos!$G:$G,Lançamentos!$A:$A,AV$19,Lançamentos!$C:$C,"Aluguel")</f>
        <v>0</v>
      </c>
      <c r="AW40" s="39">
        <f>SUMIFS(Lançamentos!$G:$G,Lançamentos!$A:$A,AW$19,Lançamentos!$C:$C,"Aluguel")</f>
        <v>0</v>
      </c>
      <c r="AX40" s="39">
        <f>SUMIFS(Lançamentos!$G:$G,Lançamentos!$A:$A,AX$19,Lançamentos!$C:$C,"Aluguel")</f>
        <v>0</v>
      </c>
      <c r="AY40" s="39">
        <f>SUMIFS(Lançamentos!$G:$G,Lançamentos!$A:$A,AY$19,Lançamentos!$C:$C,"Aluguel")</f>
        <v>0</v>
      </c>
      <c r="AZ40" s="39">
        <f>SUMIFS(Lançamentos!$G:$G,Lançamentos!$A:$A,AZ$19,Lançamentos!$C:$C,"Aluguel")</f>
        <v>0</v>
      </c>
      <c r="BA40" s="39">
        <f>SUMIFS(Lançamentos!$G:$G,Lançamentos!$A:$A,BA$19,Lançamentos!$C:$C,"Aluguel")</f>
        <v>0</v>
      </c>
      <c r="BB40" s="39">
        <f>SUMIFS(Lançamentos!$G:$G,Lançamentos!$A:$A,BB$19,Lançamentos!$C:$C,"Aluguel")</f>
        <v>0</v>
      </c>
      <c r="BC40" s="39">
        <f>SUMIFS(Lançamentos!$G:$G,Lançamentos!$A:$A,BC$19,Lançamentos!$C:$C,"Aluguel")</f>
        <v>0</v>
      </c>
      <c r="BD40" s="39">
        <f>SUMIFS(Lançamentos!$G:$G,Lançamentos!$A:$A,BD$19,Lançamentos!$C:$C,"Aluguel")</f>
        <v>0</v>
      </c>
      <c r="BE40" s="39">
        <f>SUMIFS(Lançamentos!$G:$G,Lançamentos!$A:$A,BE$19,Lançamentos!$C:$C,"Aluguel")</f>
        <v>0</v>
      </c>
      <c r="BF40" s="39">
        <f>SUMIFS(Lançamentos!$G:$G,Lançamentos!$A:$A,BF$19,Lançamentos!$C:$C,"Aluguel")</f>
        <v>0</v>
      </c>
      <c r="BG40" s="39">
        <f>SUMIFS(Lançamentos!$G:$G,Lançamentos!$A:$A,BG$19,Lançamentos!$C:$C,"Aluguel")</f>
        <v>0</v>
      </c>
      <c r="BH40" s="39">
        <f>SUMIFS(Lançamentos!$G:$G,Lançamentos!$A:$A,BH$19,Lançamentos!$C:$C,"Aluguel")</f>
        <v>0</v>
      </c>
      <c r="BI40" s="39">
        <f>SUMIFS(Lançamentos!$G:$G,Lançamentos!$A:$A,BI$19,Lançamentos!$C:$C,"Aluguel")</f>
        <v>0</v>
      </c>
      <c r="BJ40" s="39">
        <f>SUMIFS(Lançamentos!$G:$G,Lançamentos!$A:$A,BJ$19,Lançamentos!$C:$C,"Aluguel")</f>
        <v>0</v>
      </c>
      <c r="BK40" s="39">
        <f>SUMIFS(Lançamentos!$G:$G,Lançamentos!$A:$A,BK$19,Lançamentos!$C:$C,"Aluguel")</f>
        <v>0</v>
      </c>
      <c r="BL40" s="39">
        <f>SUMIFS(Lançamentos!$G:$G,Lançamentos!$A:$A,BL$19,Lançamentos!$C:$C,"Aluguel")</f>
        <v>0</v>
      </c>
      <c r="BM40" s="39">
        <f>SUMIFS(Lançamentos!$G:$G,Lançamentos!$A:$A,BM$19,Lançamentos!$C:$C,"Aluguel")</f>
        <v>0</v>
      </c>
      <c r="BN40" s="39">
        <f>SUMIFS(Lançamentos!$G:$G,Lançamentos!$A:$A,BN$19,Lançamentos!$C:$C,"Aluguel")</f>
        <v>0</v>
      </c>
      <c r="BO40" s="39">
        <f>SUMIFS(Lançamentos!$G:$G,Lançamentos!$A:$A,BO$19,Lançamentos!$C:$C,"Aluguel")</f>
        <v>0</v>
      </c>
      <c r="BP40" s="39">
        <f>SUMIFS(Lançamentos!$G:$G,Lançamentos!$A:$A,BP$19,Lançamentos!$C:$C,"Aluguel")</f>
        <v>0</v>
      </c>
      <c r="BQ40" s="39">
        <f>SUMIFS(Lançamentos!$G:$G,Lançamentos!$A:$A,BQ$19,Lançamentos!$C:$C,"Aluguel")</f>
        <v>0</v>
      </c>
      <c r="BR40" s="39">
        <f>SUMIFS(Lançamentos!$G:$G,Lançamentos!$A:$A,BR$19,Lançamentos!$C:$C,"Aluguel")</f>
        <v>0</v>
      </c>
      <c r="BS40" s="39">
        <f>SUMIFS(Lançamentos!$G:$G,Lançamentos!$A:$A,BS$19,Lançamentos!$C:$C,"Aluguel")</f>
        <v>0</v>
      </c>
      <c r="BT40" s="39">
        <f>SUMIFS(Lançamentos!$G:$G,Lançamentos!$A:$A,BT$19,Lançamentos!$C:$C,"Aluguel")</f>
        <v>0</v>
      </c>
      <c r="BU40" s="39">
        <f>SUMIFS(Lançamentos!$G:$G,Lançamentos!$A:$A,BU$19,Lançamentos!$C:$C,"Aluguel")</f>
        <v>0</v>
      </c>
      <c r="BV40" s="39">
        <f>SUMIFS(Lançamentos!$G:$G,Lançamentos!$A:$A,BV$19,Lançamentos!$C:$C,"Aluguel")</f>
        <v>0</v>
      </c>
      <c r="BW40" s="39">
        <f>SUMIFS(Lançamentos!$G:$G,Lançamentos!$A:$A,BW$19,Lançamentos!$C:$C,"Aluguel")</f>
        <v>0</v>
      </c>
      <c r="BX40" s="39">
        <f>SUMIFS(Lançamentos!$G:$G,Lançamentos!$A:$A,BX$19,Lançamentos!$C:$C,"Aluguel")</f>
        <v>0</v>
      </c>
      <c r="BY40" s="39">
        <f>SUMIFS(Lançamentos!$G:$G,Lançamentos!$A:$A,BY$19,Lançamentos!$C:$C,"Aluguel")</f>
        <v>0</v>
      </c>
      <c r="BZ40" s="39">
        <f>SUMIFS(Lançamentos!$G:$G,Lançamentos!$A:$A,BZ$19,Lançamentos!$C:$C,"Aluguel")</f>
        <v>0</v>
      </c>
      <c r="CA40" s="39">
        <f>SUMIFS(Lançamentos!$G:$G,Lançamentos!$A:$A,CA$19,Lançamentos!$C:$C,"Aluguel")</f>
        <v>0</v>
      </c>
      <c r="CB40" s="39">
        <f>SUMIFS(Lançamentos!$G:$G,Lançamentos!$A:$A,CB$19,Lançamentos!$C:$C,"Aluguel")</f>
        <v>0</v>
      </c>
      <c r="CC40" s="39">
        <f>SUMIFS(Lançamentos!$G:$G,Lançamentos!$A:$A,CC$19,Lançamentos!$C:$C,"Aluguel")</f>
        <v>0</v>
      </c>
      <c r="CD40" s="39">
        <f>SUMIFS(Lançamentos!$G:$G,Lançamentos!$A:$A,CD$19,Lançamentos!$C:$C,"Aluguel")</f>
        <v>0</v>
      </c>
      <c r="CE40" s="39">
        <f>SUMIFS(Lançamentos!$G:$G,Lançamentos!$A:$A,CE$19,Lançamentos!$C:$C,"Aluguel")</f>
        <v>0</v>
      </c>
      <c r="CF40" s="39">
        <f>SUMIFS(Lançamentos!$G:$G,Lançamentos!$A:$A,CF$19,Lançamentos!$C:$C,"Aluguel")</f>
        <v>0</v>
      </c>
      <c r="CG40" s="39">
        <f>SUMIFS(Lançamentos!$G:$G,Lançamentos!$A:$A,CG$19,Lançamentos!$C:$C,"Aluguel")</f>
        <v>0</v>
      </c>
      <c r="CH40" s="39">
        <f>SUMIFS(Lançamentos!$G:$G,Lançamentos!$A:$A,CH$19,Lançamentos!$C:$C,"Aluguel")</f>
        <v>0</v>
      </c>
      <c r="CI40" s="39">
        <f>SUMIFS(Lançamentos!$G:$G,Lançamentos!$A:$A,CI$19,Lançamentos!$C:$C,"Aluguel")</f>
        <v>0</v>
      </c>
      <c r="CJ40" s="39">
        <f>SUMIFS(Lançamentos!$G:$G,Lançamentos!$A:$A,CJ$19,Lançamentos!$C:$C,"Aluguel")</f>
        <v>0</v>
      </c>
      <c r="CK40" s="39">
        <f>SUMIFS(Lançamentos!$G:$G,Lançamentos!$A:$A,CK$19,Lançamentos!$C:$C,"Aluguel")</f>
        <v>0</v>
      </c>
      <c r="CL40" s="39">
        <f>SUMIFS(Lançamentos!$G:$G,Lançamentos!$A:$A,CL$19,Lançamentos!$C:$C,"Aluguel")</f>
        <v>0</v>
      </c>
      <c r="CM40" s="39">
        <f>SUMIFS(Lançamentos!$G:$G,Lançamentos!$A:$A,CM$19,Lançamentos!$C:$C,"Aluguel")</f>
        <v>0</v>
      </c>
      <c r="CN40" s="39">
        <f>SUMIFS(Lançamentos!$G:$G,Lançamentos!$A:$A,CN$19,Lançamentos!$C:$C,"Aluguel")</f>
        <v>0</v>
      </c>
      <c r="CO40" s="39">
        <f>SUMIFS(Lançamentos!$G:$G,Lançamentos!$A:$A,CO$19,Lançamentos!$C:$C,"Aluguel")</f>
        <v>0</v>
      </c>
      <c r="CP40" s="39">
        <f>SUMIFS(Lançamentos!$G:$G,Lançamentos!$A:$A,CP$19,Lançamentos!$C:$C,"Aluguel")</f>
        <v>0</v>
      </c>
      <c r="CQ40" s="39">
        <f>SUMIFS(Lançamentos!$G:$G,Lançamentos!$A:$A,CQ$19,Lançamentos!$C:$C,"Aluguel")</f>
        <v>0</v>
      </c>
      <c r="CR40" s="39">
        <f>SUMIFS(Lançamentos!$G:$G,Lançamentos!$A:$A,CR$19,Lançamentos!$C:$C,"Aluguel")</f>
        <v>0</v>
      </c>
      <c r="CS40" s="39">
        <f>SUMIFS(Lançamentos!$G:$G,Lançamentos!$A:$A,CS$19,Lançamentos!$C:$C,"Aluguel")</f>
        <v>0</v>
      </c>
      <c r="CT40" s="39">
        <f>SUMIFS(Lançamentos!$G:$G,Lançamentos!$A:$A,CT$19,Lançamentos!$C:$C,"Aluguel")</f>
        <v>0</v>
      </c>
      <c r="CU40" s="39">
        <f>SUMIFS(Lançamentos!$G:$G,Lançamentos!$A:$A,CU$19,Lançamentos!$C:$C,"Aluguel")</f>
        <v>0</v>
      </c>
      <c r="CV40" s="39">
        <f>SUMIFS(Lançamentos!$G:$G,Lançamentos!$A:$A,CV$19,Lançamentos!$C:$C,"Aluguel")</f>
        <v>0</v>
      </c>
      <c r="CW40" s="39">
        <f>SUMIFS(Lançamentos!$G:$G,Lançamentos!$A:$A,CW$19,Lançamentos!$C:$C,"Aluguel")</f>
        <v>0</v>
      </c>
      <c r="CX40" s="39">
        <f>SUMIFS(Lançamentos!$G:$G,Lançamentos!$A:$A,CX$19,Lançamentos!$C:$C,"Aluguel")</f>
        <v>0</v>
      </c>
      <c r="CY40" s="39">
        <f>SUMIFS(Lançamentos!$G:$G,Lançamentos!$A:$A,CY$19,Lançamentos!$C:$C,"Aluguel")</f>
        <v>0</v>
      </c>
      <c r="CZ40" s="39">
        <f>SUMIFS(Lançamentos!$G:$G,Lançamentos!$A:$A,CZ$19,Lançamentos!$C:$C,"Aluguel")</f>
        <v>0</v>
      </c>
      <c r="DA40" s="39">
        <f>SUMIFS(Lançamentos!$G:$G,Lançamentos!$A:$A,DA$19,Lançamentos!$C:$C,"Aluguel")</f>
        <v>0</v>
      </c>
      <c r="DB40" s="39">
        <f>SUMIFS(Lançamentos!$G:$G,Lançamentos!$A:$A,DB$19,Lançamentos!$C:$C,"Aluguel")</f>
        <v>0</v>
      </c>
      <c r="DC40" s="39">
        <f>SUMIFS(Lançamentos!$G:$G,Lançamentos!$A:$A,DC$19,Lançamentos!$C:$C,"Aluguel")</f>
        <v>0</v>
      </c>
      <c r="DD40" s="39">
        <f>SUMIFS(Lançamentos!$G:$G,Lançamentos!$A:$A,DD$19,Lançamentos!$C:$C,"Aluguel")</f>
        <v>0</v>
      </c>
      <c r="DE40" s="39">
        <f>SUMIFS(Lançamentos!$G:$G,Lançamentos!$A:$A,DE$19,Lançamentos!$C:$C,"Aluguel")</f>
        <v>0</v>
      </c>
      <c r="DF40" s="39">
        <f>SUMIFS(Lançamentos!$G:$G,Lançamentos!$A:$A,DF$19,Lançamentos!$C:$C,"Aluguel")</f>
        <v>0</v>
      </c>
      <c r="DG40" s="39">
        <f>SUMIFS(Lançamentos!$G:$G,Lançamentos!$A:$A,DG$19,Lançamentos!$C:$C,"Aluguel")</f>
        <v>0</v>
      </c>
      <c r="DH40" s="39">
        <f>SUMIFS(Lançamentos!$G:$G,Lançamentos!$A:$A,DH$19,Lançamentos!$C:$C,"Aluguel")</f>
        <v>0</v>
      </c>
      <c r="DI40" s="39">
        <f>SUMIFS(Lançamentos!$G:$G,Lançamentos!$A:$A,DI$19,Lançamentos!$C:$C,"Aluguel")</f>
        <v>0</v>
      </c>
      <c r="DJ40" s="39">
        <f>SUMIFS(Lançamentos!$G:$G,Lançamentos!$A:$A,DJ$19,Lançamentos!$C:$C,"Aluguel")</f>
        <v>0</v>
      </c>
      <c r="DK40" s="39">
        <f>SUMIFS(Lançamentos!$G:$G,Lançamentos!$A:$A,DK$19,Lançamentos!$C:$C,"Aluguel")</f>
        <v>0</v>
      </c>
      <c r="DL40" s="39">
        <f>SUMIFS(Lançamentos!$G:$G,Lançamentos!$A:$A,DL$19,Lançamentos!$C:$C,"Aluguel")</f>
        <v>0</v>
      </c>
      <c r="DM40" s="39">
        <f>SUMIFS(Lançamentos!$G:$G,Lançamentos!$A:$A,DM$19,Lançamentos!$C:$C,"Aluguel")</f>
        <v>0</v>
      </c>
      <c r="DN40" s="39">
        <f>SUMIFS(Lançamentos!$G:$G,Lançamentos!$A:$A,DN$19,Lançamentos!$C:$C,"Aluguel")</f>
        <v>0</v>
      </c>
      <c r="DO40" s="39">
        <f>SUMIFS(Lançamentos!$G:$G,Lançamentos!$A:$A,DO$19,Lançamentos!$C:$C,"Aluguel")</f>
        <v>0</v>
      </c>
      <c r="DP40" s="39">
        <f>SUMIFS(Lançamentos!$G:$G,Lançamentos!$A:$A,DP$19,Lançamentos!$C:$C,"Aluguel")</f>
        <v>0</v>
      </c>
      <c r="DQ40" s="39">
        <f>SUMIFS(Lançamentos!$G:$G,Lançamentos!$A:$A,DQ$19,Lançamentos!$C:$C,"Aluguel")</f>
        <v>0</v>
      </c>
      <c r="DR40" s="39">
        <f>SUMIFS(Lançamentos!$G:$G,Lançamentos!$A:$A,DR$19,Lançamentos!$C:$C,"Aluguel")</f>
        <v>0</v>
      </c>
      <c r="DS40" s="39">
        <f>SUMIFS(Lançamentos!$G:$G,Lançamentos!$A:$A,DS$19,Lançamentos!$C:$C,"Aluguel")</f>
        <v>0</v>
      </c>
      <c r="DT40" s="39">
        <f>SUMIFS(Lançamentos!$G:$G,Lançamentos!$A:$A,DT$19,Lançamentos!$C:$C,"Aluguel")</f>
        <v>0</v>
      </c>
      <c r="DU40" s="39">
        <f>SUMIFS(Lançamentos!$G:$G,Lançamentos!$A:$A,DU$19,Lançamentos!$C:$C,"Aluguel")</f>
        <v>0</v>
      </c>
      <c r="DV40" s="39">
        <f>SUMIFS(Lançamentos!$G:$G,Lançamentos!$A:$A,DV$19,Lançamentos!$C:$C,"Aluguel")</f>
        <v>0</v>
      </c>
      <c r="DW40" s="39">
        <f>SUMIFS(Lançamentos!$G:$G,Lançamentos!$A:$A,DW$19,Lançamentos!$C:$C,"Aluguel")</f>
        <v>0</v>
      </c>
      <c r="DX40" s="39">
        <f>SUMIFS(Lançamentos!$G:$G,Lançamentos!$A:$A,DX$19,Lançamentos!$C:$C,"Aluguel")</f>
        <v>0</v>
      </c>
      <c r="DY40" s="39">
        <f>SUMIFS(Lançamentos!$G:$G,Lançamentos!$A:$A,DY$19,Lançamentos!$C:$C,"Aluguel")</f>
        <v>0</v>
      </c>
      <c r="DZ40" s="39">
        <f>SUMIFS(Lançamentos!$G:$G,Lançamentos!$A:$A,DZ$19,Lançamentos!$C:$C,"Aluguel")</f>
        <v>0</v>
      </c>
      <c r="EA40" s="39">
        <f>SUMIFS(Lançamentos!$G:$G,Lançamentos!$A:$A,EA$19,Lançamentos!$C:$C,"Aluguel")</f>
        <v>0</v>
      </c>
      <c r="EB40" s="39">
        <f>SUMIFS(Lançamentos!$G:$G,Lançamentos!$A:$A,EB$19,Lançamentos!$C:$C,"Aluguel")</f>
        <v>0</v>
      </c>
      <c r="EC40" s="39">
        <f>SUMIFS(Lançamentos!$G:$G,Lançamentos!$A:$A,EC$19,Lançamentos!$C:$C,"Aluguel")</f>
        <v>0</v>
      </c>
      <c r="ED40" s="39">
        <f>SUMIFS(Lançamentos!$G:$G,Lançamentos!$A:$A,ED$19,Lançamentos!$C:$C,"Aluguel")</f>
        <v>0</v>
      </c>
      <c r="EE40" s="39">
        <f>SUMIFS(Lançamentos!$G:$G,Lançamentos!$A:$A,EE$19,Lançamentos!$C:$C,"Aluguel")</f>
        <v>0</v>
      </c>
      <c r="EF40" s="39">
        <f>SUMIFS(Lançamentos!$G:$G,Lançamentos!$A:$A,EF$19,Lançamentos!$C:$C,"Aluguel")</f>
        <v>0</v>
      </c>
      <c r="EG40" s="39">
        <f>SUMIFS(Lançamentos!$G:$G,Lançamentos!$A:$A,EG$19,Lançamentos!$C:$C,"Aluguel")</f>
        <v>0</v>
      </c>
      <c r="EH40" s="39">
        <f>SUMIFS(Lançamentos!$G:$G,Lançamentos!$A:$A,EH$19,Lançamentos!$C:$C,"Aluguel")</f>
        <v>0</v>
      </c>
      <c r="EI40" s="39">
        <f>SUMIFS(Lançamentos!$G:$G,Lançamentos!$A:$A,EI$19,Lançamentos!$C:$C,"Aluguel")</f>
        <v>0</v>
      </c>
      <c r="EJ40" s="39">
        <f>SUMIFS(Lançamentos!$G:$G,Lançamentos!$A:$A,EJ$19,Lançamentos!$C:$C,"Aluguel")</f>
        <v>0</v>
      </c>
      <c r="EK40" s="39">
        <f>SUMIFS(Lançamentos!$G:$G,Lançamentos!$A:$A,EK$19,Lançamentos!$C:$C,"Aluguel")</f>
        <v>0</v>
      </c>
      <c r="EL40" s="39">
        <f>SUMIFS(Lançamentos!$G:$G,Lançamentos!$A:$A,EL$19,Lançamentos!$C:$C,"Aluguel")</f>
        <v>0</v>
      </c>
      <c r="EM40" s="39">
        <f>SUMIFS(Lançamentos!$G:$G,Lançamentos!$A:$A,EM$19,Lançamentos!$C:$C,"Aluguel")</f>
        <v>0</v>
      </c>
      <c r="EN40" s="39">
        <f>SUMIFS(Lançamentos!$G:$G,Lançamentos!$A:$A,EN$19,Lançamentos!$C:$C,"Aluguel")</f>
        <v>0</v>
      </c>
      <c r="EO40" s="39">
        <f>SUMIFS(Lançamentos!$G:$G,Lançamentos!$A:$A,EO$19,Lançamentos!$C:$C,"Aluguel")</f>
        <v>0</v>
      </c>
      <c r="EP40" s="39">
        <f>SUMIFS(Lançamentos!$G:$G,Lançamentos!$A:$A,EP$19,Lançamentos!$C:$C,"Aluguel")</f>
        <v>0</v>
      </c>
      <c r="EQ40" s="39">
        <f>SUMIFS(Lançamentos!$G:$G,Lançamentos!$A:$A,EQ$19,Lançamentos!$C:$C,"Aluguel")</f>
        <v>0</v>
      </c>
      <c r="ER40" s="39">
        <f>SUMIFS(Lançamentos!$G:$G,Lançamentos!$A:$A,ER$19,Lançamentos!$C:$C,"Aluguel")</f>
        <v>0</v>
      </c>
      <c r="ES40" s="39">
        <f>SUMIFS(Lançamentos!$G:$G,Lançamentos!$A:$A,ES$19,Lançamentos!$C:$C,"Aluguel")</f>
        <v>0</v>
      </c>
      <c r="ET40" s="39">
        <f>SUMIFS(Lançamentos!$G:$G,Lançamentos!$A:$A,ET$19,Lançamentos!$C:$C,"Aluguel")</f>
        <v>0</v>
      </c>
      <c r="EU40" s="39">
        <f>SUMIFS(Lançamentos!$G:$G,Lançamentos!$A:$A,EU$19,Lançamentos!$C:$C,"Aluguel")</f>
        <v>0</v>
      </c>
      <c r="EV40" s="39">
        <f>SUMIFS(Lançamentos!$G:$G,Lançamentos!$A:$A,EV$19,Lançamentos!$C:$C,"Aluguel")</f>
        <v>0</v>
      </c>
      <c r="EW40" s="39">
        <f>SUMIFS(Lançamentos!$G:$G,Lançamentos!$A:$A,EW$19,Lançamentos!$C:$C,"Aluguel")</f>
        <v>0</v>
      </c>
      <c r="EX40" s="39">
        <f>SUMIFS(Lançamentos!$G:$G,Lançamentos!$A:$A,EX$19,Lançamentos!$C:$C,"Aluguel")</f>
        <v>0</v>
      </c>
      <c r="EY40" s="39">
        <f>SUMIFS(Lançamentos!$G:$G,Lançamentos!$A:$A,EY$19,Lançamentos!$C:$C,"Aluguel")</f>
        <v>0</v>
      </c>
      <c r="EZ40" s="39">
        <f>SUMIFS(Lançamentos!$G:$G,Lançamentos!$A:$A,EZ$19,Lançamentos!$C:$C,"Aluguel")</f>
        <v>0</v>
      </c>
      <c r="FA40" s="39">
        <f>SUMIFS(Lançamentos!$G:$G,Lançamentos!$A:$A,FA$19,Lançamentos!$C:$C,"Aluguel")</f>
        <v>0</v>
      </c>
      <c r="FB40" s="39">
        <f>SUMIFS(Lançamentos!$G:$G,Lançamentos!$A:$A,FB$19,Lançamentos!$C:$C,"Aluguel")</f>
        <v>0</v>
      </c>
      <c r="FC40" s="39">
        <f>SUMIFS(Lançamentos!$G:$G,Lançamentos!$A:$A,FC$19,Lançamentos!$C:$C,"Aluguel")</f>
        <v>0</v>
      </c>
      <c r="FD40" s="39">
        <f>SUMIFS(Lançamentos!$G:$G,Lançamentos!$A:$A,FD$19,Lançamentos!$C:$C,"Aluguel")</f>
        <v>0</v>
      </c>
      <c r="FE40" s="39">
        <f>SUMIFS(Lançamentos!$G:$G,Lançamentos!$A:$A,FE$19,Lançamentos!$C:$C,"Aluguel")</f>
        <v>0</v>
      </c>
      <c r="FF40" s="39">
        <f>SUMIFS(Lançamentos!$G:$G,Lançamentos!$A:$A,FF$19,Lançamentos!$C:$C,"Aluguel")</f>
        <v>0</v>
      </c>
      <c r="FG40" s="39">
        <f>SUMIFS(Lançamentos!$G:$G,Lançamentos!$A:$A,FG$19,Lançamentos!$C:$C,"Aluguel")</f>
        <v>0</v>
      </c>
      <c r="FH40" s="39">
        <f>SUMIFS(Lançamentos!$G:$G,Lançamentos!$A:$A,FH$19,Lançamentos!$C:$C,"Aluguel")</f>
        <v>0</v>
      </c>
      <c r="FI40" s="39">
        <f>SUMIFS(Lançamentos!$G:$G,Lançamentos!$A:$A,FI$19,Lançamentos!$C:$C,"Aluguel")</f>
        <v>0</v>
      </c>
      <c r="FJ40" s="39">
        <f>SUMIFS(Lançamentos!$G:$G,Lançamentos!$A:$A,FJ$19,Lançamentos!$C:$C,"Aluguel")</f>
        <v>0</v>
      </c>
      <c r="FK40" s="39">
        <f>SUMIFS(Lançamentos!$G:$G,Lançamentos!$A:$A,FK$19,Lançamentos!$C:$C,"Aluguel")</f>
        <v>0</v>
      </c>
      <c r="FL40" s="39">
        <f>SUMIFS(Lançamentos!$G:$G,Lançamentos!$A:$A,FL$19,Lançamentos!$C:$C,"Aluguel")</f>
        <v>0</v>
      </c>
      <c r="FM40" s="39">
        <f>SUMIFS(Lançamentos!$G:$G,Lançamentos!$A:$A,FM$19,Lançamentos!$C:$C,"Aluguel")</f>
        <v>0</v>
      </c>
      <c r="FN40" s="39">
        <f>SUMIFS(Lançamentos!$G:$G,Lançamentos!$A:$A,FN$19,Lançamentos!$C:$C,"Aluguel")</f>
        <v>0</v>
      </c>
      <c r="FO40" s="39">
        <f>SUMIFS(Lançamentos!$G:$G,Lançamentos!$A:$A,FO$19,Lançamentos!$C:$C,"Aluguel")</f>
        <v>0</v>
      </c>
      <c r="FP40" s="39">
        <f>SUMIFS(Lançamentos!$G:$G,Lançamentos!$A:$A,FP$19,Lançamentos!$C:$C,"Aluguel")</f>
        <v>0</v>
      </c>
      <c r="FQ40" s="39">
        <f>SUMIFS(Lançamentos!$G:$G,Lançamentos!$A:$A,FQ$19,Lançamentos!$C:$C,"Aluguel")</f>
        <v>0</v>
      </c>
      <c r="FR40" s="39">
        <f>SUMIFS(Lançamentos!$G:$G,Lançamentos!$A:$A,FR$19,Lançamentos!$C:$C,"Aluguel")</f>
        <v>0</v>
      </c>
      <c r="FS40" s="39">
        <f>SUMIFS(Lançamentos!$G:$G,Lançamentos!$A:$A,FS$19,Lançamentos!$C:$C,"Aluguel")</f>
        <v>0</v>
      </c>
      <c r="FT40" s="39">
        <f>SUMIFS(Lançamentos!$G:$G,Lançamentos!$A:$A,FT$19,Lançamentos!$C:$C,"Aluguel")</f>
        <v>0</v>
      </c>
      <c r="FU40" s="39">
        <f>SUMIFS(Lançamentos!$G:$G,Lançamentos!$A:$A,FU$19,Lançamentos!$C:$C,"Aluguel")</f>
        <v>0</v>
      </c>
      <c r="FV40" s="39">
        <f>SUMIFS(Lançamentos!$G:$G,Lançamentos!$A:$A,FV$19,Lançamentos!$C:$C,"Aluguel")</f>
        <v>0</v>
      </c>
      <c r="FW40" s="39">
        <f>SUMIFS(Lançamentos!$G:$G,Lançamentos!$A:$A,FW$19,Lançamentos!$C:$C,"Aluguel")</f>
        <v>0</v>
      </c>
      <c r="FX40" s="39">
        <f>SUMIFS(Lançamentos!$G:$G,Lançamentos!$A:$A,FX$19,Lançamentos!$C:$C,"Aluguel")</f>
        <v>0</v>
      </c>
      <c r="FY40" s="39">
        <f>SUMIFS(Lançamentos!$G:$G,Lançamentos!$A:$A,FY$19,Lançamentos!$C:$C,"Aluguel")</f>
        <v>0</v>
      </c>
      <c r="FZ40" s="39">
        <f>SUMIFS(Lançamentos!$G:$G,Lançamentos!$A:$A,FZ$19,Lançamentos!$C:$C,"Aluguel")</f>
        <v>0</v>
      </c>
      <c r="GA40" s="39">
        <f>SUMIFS(Lançamentos!$G:$G,Lançamentos!$A:$A,GA$19,Lançamentos!$C:$C,"Aluguel")</f>
        <v>0</v>
      </c>
      <c r="GB40" s="39">
        <f>SUMIFS(Lançamentos!$G:$G,Lançamentos!$A:$A,GB$19,Lançamentos!$C:$C,"Aluguel")</f>
        <v>0</v>
      </c>
      <c r="GC40" s="39">
        <f>SUMIFS(Lançamentos!$G:$G,Lançamentos!$A:$A,GC$19,Lançamentos!$C:$C,"Aluguel")</f>
        <v>0</v>
      </c>
      <c r="GD40" s="39">
        <f>SUMIFS(Lançamentos!$G:$G,Lançamentos!$A:$A,GD$19,Lançamentos!$C:$C,"Aluguel")</f>
        <v>0</v>
      </c>
      <c r="GE40" s="39">
        <f>SUMIFS(Lançamentos!$G:$G,Lançamentos!$A:$A,GE$19,Lançamentos!$C:$C,"Aluguel")</f>
        <v>0</v>
      </c>
      <c r="GF40" s="39">
        <f>SUMIFS(Lançamentos!$G:$G,Lançamentos!$A:$A,GF$19,Lançamentos!$C:$C,"Aluguel")</f>
        <v>0</v>
      </c>
      <c r="GG40" s="39">
        <f>SUMIFS(Lançamentos!$G:$G,Lançamentos!$A:$A,GG$19,Lançamentos!$C:$C,"Aluguel")</f>
        <v>0</v>
      </c>
      <c r="GH40" s="39">
        <f>SUMIFS(Lançamentos!$G:$G,Lançamentos!$A:$A,GH$19,Lançamentos!$C:$C,"Aluguel")</f>
        <v>0</v>
      </c>
      <c r="GI40" s="39">
        <f>SUMIFS(Lançamentos!$G:$G,Lançamentos!$A:$A,GI$19,Lançamentos!$C:$C,"Aluguel")</f>
        <v>0</v>
      </c>
      <c r="GJ40" s="39">
        <f>SUMIFS(Lançamentos!$G:$G,Lançamentos!$A:$A,GJ$19,Lançamentos!$C:$C,"Aluguel")</f>
        <v>0</v>
      </c>
      <c r="GK40" s="39">
        <f>SUMIFS(Lançamentos!$G:$G,Lançamentos!$A:$A,GK$19,Lançamentos!$C:$C,"Aluguel")</f>
        <v>0</v>
      </c>
      <c r="GL40" s="39">
        <f>SUMIFS(Lançamentos!$G:$G,Lançamentos!$A:$A,GL$19,Lançamentos!$C:$C,"Aluguel")</f>
        <v>0</v>
      </c>
      <c r="GM40" s="39">
        <f>SUMIFS(Lançamentos!$G:$G,Lançamentos!$A:$A,GM$19,Lançamentos!$C:$C,"Aluguel")</f>
        <v>0</v>
      </c>
      <c r="GN40" s="39">
        <f>SUMIFS(Lançamentos!$G:$G,Lançamentos!$A:$A,GN$19,Lançamentos!$C:$C,"Aluguel")</f>
        <v>0</v>
      </c>
      <c r="GO40" s="39">
        <f>SUMIFS(Lançamentos!$G:$G,Lançamentos!$A:$A,GO$19,Lançamentos!$C:$C,"Aluguel")</f>
        <v>0</v>
      </c>
      <c r="GP40" s="39">
        <f>SUMIFS(Lançamentos!$G:$G,Lançamentos!$A:$A,GP$19,Lançamentos!$C:$C,"Aluguel")</f>
        <v>0</v>
      </c>
      <c r="GQ40" s="39">
        <f>SUMIFS(Lançamentos!$G:$G,Lançamentos!$A:$A,GQ$19,Lançamentos!$C:$C,"Aluguel")</f>
        <v>0</v>
      </c>
      <c r="GR40" s="39">
        <f>SUMIFS(Lançamentos!$G:$G,Lançamentos!$A:$A,GR$19,Lançamentos!$C:$C,"Aluguel")</f>
        <v>0</v>
      </c>
      <c r="GS40" s="39">
        <f>SUMIFS(Lançamentos!$G:$G,Lançamentos!$A:$A,GS$19,Lançamentos!$C:$C,"Aluguel")</f>
        <v>0</v>
      </c>
      <c r="GT40" s="39">
        <f>SUMIFS(Lançamentos!$G:$G,Lançamentos!$A:$A,GT$19,Lançamentos!$C:$C,"Aluguel")</f>
        <v>0</v>
      </c>
      <c r="GU40" s="39">
        <f>SUMIFS(Lançamentos!$G:$G,Lançamentos!$A:$A,GU$19,Lançamentos!$C:$C,"Aluguel")</f>
        <v>0</v>
      </c>
      <c r="GV40" s="39">
        <f>SUMIFS(Lançamentos!$G:$G,Lançamentos!$A:$A,GV$19,Lançamentos!$C:$C,"Aluguel")</f>
        <v>0</v>
      </c>
      <c r="GW40" s="39">
        <f>SUMIFS(Lançamentos!$G:$G,Lançamentos!$A:$A,GW$19,Lançamentos!$C:$C,"Aluguel")</f>
        <v>0</v>
      </c>
      <c r="GX40" s="39">
        <f>SUMIFS(Lançamentos!$G:$G,Lançamentos!$A:$A,GX$19,Lançamentos!$C:$C,"Aluguel")</f>
        <v>0</v>
      </c>
      <c r="GY40" s="39">
        <f>SUMIFS(Lançamentos!$G:$G,Lançamentos!$A:$A,GY$19,Lançamentos!$C:$C,"Aluguel")</f>
        <v>0</v>
      </c>
      <c r="GZ40" s="39">
        <f>SUMIFS(Lançamentos!$G:$G,Lançamentos!$A:$A,GZ$19,Lançamentos!$C:$C,"Aluguel")</f>
        <v>0</v>
      </c>
      <c r="HA40" s="39">
        <f>SUMIFS(Lançamentos!$G:$G,Lançamentos!$A:$A,HA$19,Lançamentos!$C:$C,"Aluguel")</f>
        <v>0</v>
      </c>
      <c r="HB40" s="39">
        <f>SUMIFS(Lançamentos!$G:$G,Lançamentos!$A:$A,HB$19,Lançamentos!$C:$C,"Aluguel")</f>
        <v>0</v>
      </c>
      <c r="HC40" s="39">
        <f>SUMIFS(Lançamentos!$G:$G,Lançamentos!$A:$A,HC$19,Lançamentos!$C:$C,"Aluguel")</f>
        <v>0</v>
      </c>
      <c r="HD40" s="39">
        <f>SUMIFS(Lançamentos!$G:$G,Lançamentos!$A:$A,HD$19,Lançamentos!$C:$C,"Aluguel")</f>
        <v>0</v>
      </c>
      <c r="HE40" s="39">
        <f>SUMIFS(Lançamentos!$G:$G,Lançamentos!$A:$A,HE$19,Lançamentos!$C:$C,"Aluguel")</f>
        <v>0</v>
      </c>
      <c r="HF40" s="39">
        <f>SUMIFS(Lançamentos!$G:$G,Lançamentos!$A:$A,HF$19,Lançamentos!$C:$C,"Aluguel")</f>
        <v>0</v>
      </c>
      <c r="HG40" s="39">
        <f>SUMIFS(Lançamentos!$G:$G,Lançamentos!$A:$A,HG$19,Lançamentos!$C:$C,"Aluguel")</f>
        <v>0</v>
      </c>
      <c r="HH40" s="39">
        <f>SUMIFS(Lançamentos!$G:$G,Lançamentos!$A:$A,HH$19,Lançamentos!$C:$C,"Aluguel")</f>
        <v>0</v>
      </c>
      <c r="HI40" s="39">
        <f>SUMIFS(Lançamentos!$G:$G,Lançamentos!$A:$A,HI$19,Lançamentos!$C:$C,"Aluguel")</f>
        <v>0</v>
      </c>
      <c r="HJ40" s="39">
        <f>SUMIFS(Lançamentos!$G:$G,Lançamentos!$A:$A,HJ$19,Lançamentos!$C:$C,"Aluguel")</f>
        <v>0</v>
      </c>
      <c r="HK40" s="39">
        <f>SUMIFS(Lançamentos!$G:$G,Lançamentos!$A:$A,HK$19,Lançamentos!$C:$C,"Aluguel")</f>
        <v>0</v>
      </c>
      <c r="HL40" s="39">
        <f>SUMIFS(Lançamentos!$G:$G,Lançamentos!$A:$A,HL$19,Lançamentos!$C:$C,"Aluguel")</f>
        <v>0</v>
      </c>
      <c r="HM40" s="39">
        <f>SUMIFS(Lançamentos!$G:$G,Lançamentos!$A:$A,HM$19,Lançamentos!$C:$C,"Aluguel")</f>
        <v>0</v>
      </c>
      <c r="HN40" s="39">
        <f>SUMIFS(Lançamentos!$G:$G,Lançamentos!$A:$A,HN$19,Lançamentos!$C:$C,"Aluguel")</f>
        <v>0</v>
      </c>
      <c r="HO40" s="39">
        <f>SUMIFS(Lançamentos!$G:$G,Lançamentos!$A:$A,HO$19,Lançamentos!$C:$C,"Aluguel")</f>
        <v>0</v>
      </c>
      <c r="HP40" s="39">
        <f>SUMIFS(Lançamentos!$G:$G,Lançamentos!$A:$A,HP$19,Lançamentos!$C:$C,"Aluguel")</f>
        <v>0</v>
      </c>
      <c r="HQ40" s="39">
        <f>SUMIFS(Lançamentos!$G:$G,Lançamentos!$A:$A,HQ$19,Lançamentos!$C:$C,"Aluguel")</f>
        <v>0</v>
      </c>
      <c r="HR40" s="39">
        <f>SUMIFS(Lançamentos!$G:$G,Lançamentos!$A:$A,HR$19,Lançamentos!$C:$C,"Aluguel")</f>
        <v>0</v>
      </c>
      <c r="HS40" s="39">
        <f>SUMIFS(Lançamentos!$G:$G,Lançamentos!$A:$A,HS$19,Lançamentos!$C:$C,"Aluguel")</f>
        <v>0</v>
      </c>
      <c r="HT40" s="39">
        <f>SUMIFS(Lançamentos!$G:$G,Lançamentos!$A:$A,HT$19,Lançamentos!$C:$C,"Aluguel")</f>
        <v>0</v>
      </c>
      <c r="HU40" s="39">
        <f>SUMIFS(Lançamentos!$G:$G,Lançamentos!$A:$A,HU$19,Lançamentos!$C:$C,"Aluguel")</f>
        <v>0</v>
      </c>
      <c r="HV40" s="39">
        <f>SUMIFS(Lançamentos!$G:$G,Lançamentos!$A:$A,HV$19,Lançamentos!$C:$C,"Aluguel")</f>
        <v>0</v>
      </c>
      <c r="HW40" s="39">
        <f>SUMIFS(Lançamentos!$G:$G,Lançamentos!$A:$A,HW$19,Lançamentos!$C:$C,"Aluguel")</f>
        <v>0</v>
      </c>
      <c r="HX40" s="39">
        <f>SUMIFS(Lançamentos!$G:$G,Lançamentos!$A:$A,HX$19,Lançamentos!$C:$C,"Aluguel")</f>
        <v>0</v>
      </c>
      <c r="HY40" s="39">
        <f>SUMIFS(Lançamentos!$G:$G,Lançamentos!$A:$A,HY$19,Lançamentos!$C:$C,"Aluguel")</f>
        <v>0</v>
      </c>
      <c r="HZ40" s="39">
        <f>SUMIFS(Lançamentos!$G:$G,Lançamentos!$A:$A,HZ$19,Lançamentos!$C:$C,"Aluguel")</f>
        <v>0</v>
      </c>
      <c r="IA40" s="39">
        <f>SUMIFS(Lançamentos!$G:$G,Lançamentos!$A:$A,IA$19,Lançamentos!$C:$C,"Aluguel")</f>
        <v>0</v>
      </c>
      <c r="IB40" s="39">
        <f>SUMIFS(Lançamentos!$G:$G,Lançamentos!$A:$A,IB$19,Lançamentos!$C:$C,"Aluguel")</f>
        <v>0</v>
      </c>
      <c r="IC40" s="39">
        <f>SUMIFS(Lançamentos!$G:$G,Lançamentos!$A:$A,IC$19,Lançamentos!$C:$C,"Aluguel")</f>
        <v>0</v>
      </c>
      <c r="ID40" s="39">
        <f>SUMIFS(Lançamentos!$G:$G,Lançamentos!$A:$A,ID$19,Lançamentos!$C:$C,"Aluguel")</f>
        <v>0</v>
      </c>
      <c r="IE40" s="39">
        <f>SUMIFS(Lançamentos!$G:$G,Lançamentos!$A:$A,IE$19,Lançamentos!$C:$C,"Aluguel")</f>
        <v>0</v>
      </c>
      <c r="IF40" s="39">
        <f>SUMIFS(Lançamentos!$G:$G,Lançamentos!$A:$A,IF$19,Lançamentos!$C:$C,"Aluguel")</f>
        <v>0</v>
      </c>
      <c r="IG40" s="39">
        <f>SUMIFS(Lançamentos!$G:$G,Lançamentos!$A:$A,IG$19,Lançamentos!$C:$C,"Aluguel")</f>
        <v>0</v>
      </c>
      <c r="IH40" s="39">
        <f>SUMIFS(Lançamentos!$G:$G,Lançamentos!$A:$A,IH$19,Lançamentos!$C:$C,"Aluguel")</f>
        <v>0</v>
      </c>
      <c r="II40" s="39">
        <f>SUMIFS(Lançamentos!$G:$G,Lançamentos!$A:$A,II$19,Lançamentos!$C:$C,"Aluguel")</f>
        <v>0</v>
      </c>
      <c r="IJ40" s="39">
        <f>SUMIFS(Lançamentos!$G:$G,Lançamentos!$A:$A,IJ$19,Lançamentos!$C:$C,"Aluguel")</f>
        <v>0</v>
      </c>
      <c r="IK40" s="39">
        <f>SUMIFS(Lançamentos!$G:$G,Lançamentos!$A:$A,IK$19,Lançamentos!$C:$C,"Aluguel")</f>
        <v>0</v>
      </c>
      <c r="IL40" s="39">
        <f>SUMIFS(Lançamentos!$G:$G,Lançamentos!$A:$A,IL$19,Lançamentos!$C:$C,"Aluguel")</f>
        <v>0</v>
      </c>
    </row>
    <row r="41" spans="1:246" x14ac:dyDescent="0.3">
      <c r="A41" t="s">
        <v>18</v>
      </c>
      <c r="B41" s="39">
        <f>SUMIFS(Lançamentos!$G:$G,Lançamentos!$A:$A,B$19,Lançamentos!$C:$C,"Água, Luz e Internet")</f>
        <v>0</v>
      </c>
      <c r="C41" s="39">
        <f>SUMIFS(Lançamentos!$G:$G,Lançamentos!$A:$A,C$19,Lançamentos!$C:$C,"Água, Luz e Internet")</f>
        <v>0</v>
      </c>
      <c r="D41" s="39">
        <f>SUMIFS(Lançamentos!$G:$G,Lançamentos!$A:$A,D$19,Lançamentos!$C:$C,"Água, Luz e Internet")</f>
        <v>0</v>
      </c>
      <c r="E41" s="39">
        <f>SUMIFS(Lançamentos!$G:$G,Lançamentos!$A:$A,E$19,Lançamentos!$C:$C,"Água, Luz e Internet")</f>
        <v>0</v>
      </c>
      <c r="F41" s="39">
        <f>SUMIFS(Lançamentos!$G:$G,Lançamentos!$A:$A,F$19,Lançamentos!$C:$C,"Água, Luz e Internet")</f>
        <v>0</v>
      </c>
      <c r="G41" s="39">
        <f>SUMIFS(Lançamentos!$G:$G,Lançamentos!$A:$A,G$19,Lançamentos!$C:$C,"Água, Luz e Internet")</f>
        <v>0</v>
      </c>
      <c r="H41" s="39">
        <f>SUMIFS(Lançamentos!$G:$G,Lançamentos!$A:$A,H$19,Lançamentos!$C:$C,"Água, Luz e Internet")</f>
        <v>0</v>
      </c>
      <c r="I41" s="39">
        <f>SUMIFS(Lançamentos!$G:$G,Lançamentos!$A:$A,I$19,Lançamentos!$C:$C,"Água, Luz e Internet")</f>
        <v>0</v>
      </c>
      <c r="J41" s="39">
        <f>SUMIFS(Lançamentos!$G:$G,Lançamentos!$A:$A,J$19,Lançamentos!$C:$C,"Água, Luz e Internet")</f>
        <v>0</v>
      </c>
      <c r="K41" s="39">
        <f>SUMIFS(Lançamentos!$G:$G,Lançamentos!$A:$A,K$19,Lançamentos!$C:$C,"Água, Luz e Internet")</f>
        <v>0</v>
      </c>
      <c r="L41" s="39">
        <f>SUMIFS(Lançamentos!$G:$G,Lançamentos!$A:$A,L$19,Lançamentos!$C:$C,"Água, Luz e Internet")</f>
        <v>0</v>
      </c>
      <c r="M41" s="39">
        <f>SUMIFS(Lançamentos!$G:$G,Lançamentos!$A:$A,M$19,Lançamentos!$C:$C,"Água, Luz e Internet")</f>
        <v>0</v>
      </c>
      <c r="N41" s="39">
        <f>SUMIFS(Lançamentos!$G:$G,Lançamentos!$A:$A,N$19,Lançamentos!$C:$C,"Água, Luz e Internet")</f>
        <v>0</v>
      </c>
      <c r="O41" s="39">
        <f>SUMIFS(Lançamentos!$G:$G,Lançamentos!$A:$A,O$19,Lançamentos!$C:$C,"Água, Luz e Internet")</f>
        <v>0</v>
      </c>
      <c r="P41" s="39">
        <f>SUMIFS(Lançamentos!$G:$G,Lançamentos!$A:$A,P$19,Lançamentos!$C:$C,"Água, Luz e Internet")</f>
        <v>0</v>
      </c>
      <c r="Q41" s="39">
        <f>SUMIFS(Lançamentos!$G:$G,Lançamentos!$A:$A,Q$19,Lançamentos!$C:$C,"Água, Luz e Internet")</f>
        <v>0</v>
      </c>
      <c r="R41" s="39">
        <f>SUMIFS(Lançamentos!$G:$G,Lançamentos!$A:$A,R$19,Lançamentos!$C:$C,"Água, Luz e Internet")</f>
        <v>0</v>
      </c>
      <c r="S41" s="39">
        <f>SUMIFS(Lançamentos!$G:$G,Lançamentos!$A:$A,S$19,Lançamentos!$C:$C,"Água, Luz e Internet")</f>
        <v>0</v>
      </c>
      <c r="T41" s="39">
        <f>SUMIFS(Lançamentos!$G:$G,Lançamentos!$A:$A,T$19,Lançamentos!$C:$C,"Água, Luz e Internet")</f>
        <v>0</v>
      </c>
      <c r="U41" s="39">
        <f>SUMIFS(Lançamentos!$G:$G,Lançamentos!$A:$A,U$19,Lançamentos!$C:$C,"Água, Luz e Internet")</f>
        <v>0</v>
      </c>
      <c r="V41" s="39">
        <f>SUMIFS(Lançamentos!$G:$G,Lançamentos!$A:$A,V$19,Lançamentos!$C:$C,"Água, Luz e Internet")</f>
        <v>0</v>
      </c>
      <c r="W41" s="39">
        <f>SUMIFS(Lançamentos!$G:$G,Lançamentos!$A:$A,W$19,Lançamentos!$C:$C,"Água, Luz e Internet")</f>
        <v>0</v>
      </c>
      <c r="X41" s="39">
        <f>SUMIFS(Lançamentos!$G:$G,Lançamentos!$A:$A,X$19,Lançamentos!$C:$C,"Água, Luz e Internet")</f>
        <v>0</v>
      </c>
      <c r="Y41" s="39">
        <f>SUMIFS(Lançamentos!$G:$G,Lançamentos!$A:$A,Y$19,Lançamentos!$C:$C,"Água, Luz e Internet")</f>
        <v>0</v>
      </c>
      <c r="Z41" s="39">
        <f>SUMIFS(Lançamentos!$G:$G,Lançamentos!$A:$A,Z$19,Lançamentos!$C:$C,"Água, Luz e Internet")</f>
        <v>0</v>
      </c>
      <c r="AA41" s="39">
        <f>SUMIFS(Lançamentos!$G:$G,Lançamentos!$A:$A,AA$19,Lançamentos!$C:$C,"Água, Luz e Internet")</f>
        <v>0</v>
      </c>
      <c r="AB41" s="39">
        <f>SUMIFS(Lançamentos!$G:$G,Lançamentos!$A:$A,AB$19,Lançamentos!$C:$C,"Água, Luz e Internet")</f>
        <v>0</v>
      </c>
      <c r="AC41" s="39">
        <f>SUMIFS(Lançamentos!$G:$G,Lançamentos!$A:$A,AC$19,Lançamentos!$C:$C,"Água, Luz e Internet")</f>
        <v>0</v>
      </c>
      <c r="AD41" s="39">
        <f>SUMIFS(Lançamentos!$G:$G,Lançamentos!$A:$A,AD$19,Lançamentos!$C:$C,"Água, Luz e Internet")</f>
        <v>0</v>
      </c>
      <c r="AE41" s="39">
        <f>SUMIFS(Lançamentos!$G:$G,Lançamentos!$A:$A,AE$19,Lançamentos!$C:$C,"Água, Luz e Internet")</f>
        <v>0</v>
      </c>
      <c r="AF41" s="39">
        <f>SUMIFS(Lançamentos!$G:$G,Lançamentos!$A:$A,AF$19,Lançamentos!$C:$C,"Água, Luz e Internet")</f>
        <v>0</v>
      </c>
      <c r="AG41" s="39">
        <f>SUMIFS(Lançamentos!$G:$G,Lançamentos!$A:$A,AG$19,Lançamentos!$C:$C,"Água, Luz e Internet")</f>
        <v>0</v>
      </c>
      <c r="AH41" s="39">
        <f>SUMIFS(Lançamentos!$G:$G,Lançamentos!$A:$A,AH$19,Lançamentos!$C:$C,"Água, Luz e Internet")</f>
        <v>0</v>
      </c>
      <c r="AI41" s="39">
        <f>SUMIFS(Lançamentos!$G:$G,Lançamentos!$A:$A,AI$19,Lançamentos!$C:$C,"Água, Luz e Internet")</f>
        <v>0</v>
      </c>
      <c r="AJ41" s="39">
        <f>SUMIFS(Lançamentos!$G:$G,Lançamentos!$A:$A,AJ$19,Lançamentos!$C:$C,"Água, Luz e Internet")</f>
        <v>0</v>
      </c>
      <c r="AK41" s="39">
        <f>SUMIFS(Lançamentos!$G:$G,Lançamentos!$A:$A,AK$19,Lançamentos!$C:$C,"Água, Luz e Internet")</f>
        <v>0</v>
      </c>
      <c r="AL41" s="39">
        <f>SUMIFS(Lançamentos!$G:$G,Lançamentos!$A:$A,AL$19,Lançamentos!$C:$C,"Água, Luz e Internet")</f>
        <v>0</v>
      </c>
      <c r="AM41" s="39">
        <f>SUMIFS(Lançamentos!$G:$G,Lançamentos!$A:$A,AM$19,Lançamentos!$C:$C,"Água, Luz e Internet")</f>
        <v>0</v>
      </c>
      <c r="AN41" s="39">
        <f>SUMIFS(Lançamentos!$G:$G,Lançamentos!$A:$A,AN$19,Lançamentos!$C:$C,"Água, Luz e Internet")</f>
        <v>0</v>
      </c>
      <c r="AO41" s="39">
        <f>SUMIFS(Lançamentos!$G:$G,Lançamentos!$A:$A,AO$19,Lançamentos!$C:$C,"Água, Luz e Internet")</f>
        <v>0</v>
      </c>
      <c r="AP41" s="39">
        <f>SUMIFS(Lançamentos!$G:$G,Lançamentos!$A:$A,AP$19,Lançamentos!$C:$C,"Água, Luz e Internet")</f>
        <v>0</v>
      </c>
      <c r="AQ41" s="39">
        <f>SUMIFS(Lançamentos!$G:$G,Lançamentos!$A:$A,AQ$19,Lançamentos!$C:$C,"Água, Luz e Internet")</f>
        <v>0</v>
      </c>
      <c r="AR41" s="39">
        <f>SUMIFS(Lançamentos!$G:$G,Lançamentos!$A:$A,AR$19,Lançamentos!$C:$C,"Água, Luz e Internet")</f>
        <v>0</v>
      </c>
      <c r="AS41" s="39">
        <f>SUMIFS(Lançamentos!$G:$G,Lançamentos!$A:$A,AS$19,Lançamentos!$C:$C,"Água, Luz e Internet")</f>
        <v>0</v>
      </c>
      <c r="AT41" s="39">
        <f>SUMIFS(Lançamentos!$G:$G,Lançamentos!$A:$A,AT$19,Lançamentos!$C:$C,"Água, Luz e Internet")</f>
        <v>0</v>
      </c>
      <c r="AU41" s="39">
        <f>SUMIFS(Lançamentos!$G:$G,Lançamentos!$A:$A,AU$19,Lançamentos!$C:$C,"Água, Luz e Internet")</f>
        <v>0</v>
      </c>
      <c r="AV41" s="39">
        <f>SUMIFS(Lançamentos!$G:$G,Lançamentos!$A:$A,AV$19,Lançamentos!$C:$C,"Água, Luz e Internet")</f>
        <v>0</v>
      </c>
      <c r="AW41" s="39">
        <f>SUMIFS(Lançamentos!$G:$G,Lançamentos!$A:$A,AW$19,Lançamentos!$C:$C,"Água, Luz e Internet")</f>
        <v>0</v>
      </c>
      <c r="AX41" s="39">
        <f>SUMIFS(Lançamentos!$G:$G,Lançamentos!$A:$A,AX$19,Lançamentos!$C:$C,"Água, Luz e Internet")</f>
        <v>0</v>
      </c>
      <c r="AY41" s="39">
        <f>SUMIFS(Lançamentos!$G:$G,Lançamentos!$A:$A,AY$19,Lançamentos!$C:$C,"Água, Luz e Internet")</f>
        <v>0</v>
      </c>
      <c r="AZ41" s="39">
        <f>SUMIFS(Lançamentos!$G:$G,Lançamentos!$A:$A,AZ$19,Lançamentos!$C:$C,"Água, Luz e Internet")</f>
        <v>0</v>
      </c>
      <c r="BA41" s="39">
        <f>SUMIFS(Lançamentos!$G:$G,Lançamentos!$A:$A,BA$19,Lançamentos!$C:$C,"Água, Luz e Internet")</f>
        <v>0</v>
      </c>
      <c r="BB41" s="39">
        <f>SUMIFS(Lançamentos!$G:$G,Lançamentos!$A:$A,BB$19,Lançamentos!$C:$C,"Água, Luz e Internet")</f>
        <v>0</v>
      </c>
      <c r="BC41" s="39">
        <f>SUMIFS(Lançamentos!$G:$G,Lançamentos!$A:$A,BC$19,Lançamentos!$C:$C,"Água, Luz e Internet")</f>
        <v>0</v>
      </c>
      <c r="BD41" s="39">
        <f>SUMIFS(Lançamentos!$G:$G,Lançamentos!$A:$A,BD$19,Lançamentos!$C:$C,"Água, Luz e Internet")</f>
        <v>0</v>
      </c>
      <c r="BE41" s="39">
        <f>SUMIFS(Lançamentos!$G:$G,Lançamentos!$A:$A,BE$19,Lançamentos!$C:$C,"Água, Luz e Internet")</f>
        <v>0</v>
      </c>
      <c r="BF41" s="39">
        <f>SUMIFS(Lançamentos!$G:$G,Lançamentos!$A:$A,BF$19,Lançamentos!$C:$C,"Água, Luz e Internet")</f>
        <v>0</v>
      </c>
      <c r="BG41" s="39">
        <f>SUMIFS(Lançamentos!$G:$G,Lançamentos!$A:$A,BG$19,Lançamentos!$C:$C,"Água, Luz e Internet")</f>
        <v>0</v>
      </c>
      <c r="BH41" s="39">
        <f>SUMIFS(Lançamentos!$G:$G,Lançamentos!$A:$A,BH$19,Lançamentos!$C:$C,"Água, Luz e Internet")</f>
        <v>0</v>
      </c>
      <c r="BI41" s="39">
        <f>SUMIFS(Lançamentos!$G:$G,Lançamentos!$A:$A,BI$19,Lançamentos!$C:$C,"Água, Luz e Internet")</f>
        <v>0</v>
      </c>
      <c r="BJ41" s="39">
        <f>SUMIFS(Lançamentos!$G:$G,Lançamentos!$A:$A,BJ$19,Lançamentos!$C:$C,"Água, Luz e Internet")</f>
        <v>0</v>
      </c>
      <c r="BK41" s="39">
        <f>SUMIFS(Lançamentos!$G:$G,Lançamentos!$A:$A,BK$19,Lançamentos!$C:$C,"Água, Luz e Internet")</f>
        <v>0</v>
      </c>
      <c r="BL41" s="39">
        <f>SUMIFS(Lançamentos!$G:$G,Lançamentos!$A:$A,BL$19,Lançamentos!$C:$C,"Água, Luz e Internet")</f>
        <v>0</v>
      </c>
      <c r="BM41" s="39">
        <f>SUMIFS(Lançamentos!$G:$G,Lançamentos!$A:$A,BM$19,Lançamentos!$C:$C,"Água, Luz e Internet")</f>
        <v>0</v>
      </c>
      <c r="BN41" s="39">
        <f>SUMIFS(Lançamentos!$G:$G,Lançamentos!$A:$A,BN$19,Lançamentos!$C:$C,"Água, Luz e Internet")</f>
        <v>0</v>
      </c>
      <c r="BO41" s="39">
        <f>SUMIFS(Lançamentos!$G:$G,Lançamentos!$A:$A,BO$19,Lançamentos!$C:$C,"Água, Luz e Internet")</f>
        <v>0</v>
      </c>
      <c r="BP41" s="39">
        <f>SUMIFS(Lançamentos!$G:$G,Lançamentos!$A:$A,BP$19,Lançamentos!$C:$C,"Água, Luz e Internet")</f>
        <v>0</v>
      </c>
      <c r="BQ41" s="39">
        <f>SUMIFS(Lançamentos!$G:$G,Lançamentos!$A:$A,BQ$19,Lançamentos!$C:$C,"Água, Luz e Internet")</f>
        <v>0</v>
      </c>
      <c r="BR41" s="39">
        <f>SUMIFS(Lançamentos!$G:$G,Lançamentos!$A:$A,BR$19,Lançamentos!$C:$C,"Água, Luz e Internet")</f>
        <v>0</v>
      </c>
      <c r="BS41" s="39">
        <f>SUMIFS(Lançamentos!$G:$G,Lançamentos!$A:$A,BS$19,Lançamentos!$C:$C,"Água, Luz e Internet")</f>
        <v>0</v>
      </c>
      <c r="BT41" s="39">
        <f>SUMIFS(Lançamentos!$G:$G,Lançamentos!$A:$A,BT$19,Lançamentos!$C:$C,"Água, Luz e Internet")</f>
        <v>0</v>
      </c>
      <c r="BU41" s="39">
        <f>SUMIFS(Lançamentos!$G:$G,Lançamentos!$A:$A,BU$19,Lançamentos!$C:$C,"Água, Luz e Internet")</f>
        <v>0</v>
      </c>
      <c r="BV41" s="39">
        <f>SUMIFS(Lançamentos!$G:$G,Lançamentos!$A:$A,BV$19,Lançamentos!$C:$C,"Água, Luz e Internet")</f>
        <v>0</v>
      </c>
      <c r="BW41" s="39">
        <f>SUMIFS(Lançamentos!$G:$G,Lançamentos!$A:$A,BW$19,Lançamentos!$C:$C,"Água, Luz e Internet")</f>
        <v>0</v>
      </c>
      <c r="BX41" s="39">
        <f>SUMIFS(Lançamentos!$G:$G,Lançamentos!$A:$A,BX$19,Lançamentos!$C:$C,"Água, Luz e Internet")</f>
        <v>0</v>
      </c>
      <c r="BY41" s="39">
        <f>SUMIFS(Lançamentos!$G:$G,Lançamentos!$A:$A,BY$19,Lançamentos!$C:$C,"Água, Luz e Internet")</f>
        <v>0</v>
      </c>
      <c r="BZ41" s="39">
        <f>SUMIFS(Lançamentos!$G:$G,Lançamentos!$A:$A,BZ$19,Lançamentos!$C:$C,"Água, Luz e Internet")</f>
        <v>0</v>
      </c>
      <c r="CA41" s="39">
        <f>SUMIFS(Lançamentos!$G:$G,Lançamentos!$A:$A,CA$19,Lançamentos!$C:$C,"Água, Luz e Internet")</f>
        <v>0</v>
      </c>
      <c r="CB41" s="39">
        <f>SUMIFS(Lançamentos!$G:$G,Lançamentos!$A:$A,CB$19,Lançamentos!$C:$C,"Água, Luz e Internet")</f>
        <v>0</v>
      </c>
      <c r="CC41" s="39">
        <f>SUMIFS(Lançamentos!$G:$G,Lançamentos!$A:$A,CC$19,Lançamentos!$C:$C,"Água, Luz e Internet")</f>
        <v>0</v>
      </c>
      <c r="CD41" s="39">
        <f>SUMIFS(Lançamentos!$G:$G,Lançamentos!$A:$A,CD$19,Lançamentos!$C:$C,"Água, Luz e Internet")</f>
        <v>0</v>
      </c>
      <c r="CE41" s="39">
        <f>SUMIFS(Lançamentos!$G:$G,Lançamentos!$A:$A,CE$19,Lançamentos!$C:$C,"Água, Luz e Internet")</f>
        <v>0</v>
      </c>
      <c r="CF41" s="39">
        <f>SUMIFS(Lançamentos!$G:$G,Lançamentos!$A:$A,CF$19,Lançamentos!$C:$C,"Água, Luz e Internet")</f>
        <v>0</v>
      </c>
      <c r="CG41" s="39">
        <f>SUMIFS(Lançamentos!$G:$G,Lançamentos!$A:$A,CG$19,Lançamentos!$C:$C,"Água, Luz e Internet")</f>
        <v>0</v>
      </c>
      <c r="CH41" s="39">
        <f>SUMIFS(Lançamentos!$G:$G,Lançamentos!$A:$A,CH$19,Lançamentos!$C:$C,"Água, Luz e Internet")</f>
        <v>0</v>
      </c>
      <c r="CI41" s="39">
        <f>SUMIFS(Lançamentos!$G:$G,Lançamentos!$A:$A,CI$19,Lançamentos!$C:$C,"Água, Luz e Internet")</f>
        <v>0</v>
      </c>
      <c r="CJ41" s="39">
        <f>SUMIFS(Lançamentos!$G:$G,Lançamentos!$A:$A,CJ$19,Lançamentos!$C:$C,"Água, Luz e Internet")</f>
        <v>0</v>
      </c>
      <c r="CK41" s="39">
        <f>SUMIFS(Lançamentos!$G:$G,Lançamentos!$A:$A,CK$19,Lançamentos!$C:$C,"Água, Luz e Internet")</f>
        <v>0</v>
      </c>
      <c r="CL41" s="39">
        <f>SUMIFS(Lançamentos!$G:$G,Lançamentos!$A:$A,CL$19,Lançamentos!$C:$C,"Água, Luz e Internet")</f>
        <v>0</v>
      </c>
      <c r="CM41" s="39">
        <f>SUMIFS(Lançamentos!$G:$G,Lançamentos!$A:$A,CM$19,Lançamentos!$C:$C,"Água, Luz e Internet")</f>
        <v>0</v>
      </c>
      <c r="CN41" s="39">
        <f>SUMIFS(Lançamentos!$G:$G,Lançamentos!$A:$A,CN$19,Lançamentos!$C:$C,"Água, Luz e Internet")</f>
        <v>0</v>
      </c>
      <c r="CO41" s="39">
        <f>SUMIFS(Lançamentos!$G:$G,Lançamentos!$A:$A,CO$19,Lançamentos!$C:$C,"Água, Luz e Internet")</f>
        <v>0</v>
      </c>
      <c r="CP41" s="39">
        <f>SUMIFS(Lançamentos!$G:$G,Lançamentos!$A:$A,CP$19,Lançamentos!$C:$C,"Água, Luz e Internet")</f>
        <v>0</v>
      </c>
      <c r="CQ41" s="39">
        <f>SUMIFS(Lançamentos!$G:$G,Lançamentos!$A:$A,CQ$19,Lançamentos!$C:$C,"Água, Luz e Internet")</f>
        <v>0</v>
      </c>
      <c r="CR41" s="39">
        <f>SUMIFS(Lançamentos!$G:$G,Lançamentos!$A:$A,CR$19,Lançamentos!$C:$C,"Água, Luz e Internet")</f>
        <v>0</v>
      </c>
      <c r="CS41" s="39">
        <f>SUMIFS(Lançamentos!$G:$G,Lançamentos!$A:$A,CS$19,Lançamentos!$C:$C,"Água, Luz e Internet")</f>
        <v>0</v>
      </c>
      <c r="CT41" s="39">
        <f>SUMIFS(Lançamentos!$G:$G,Lançamentos!$A:$A,CT$19,Lançamentos!$C:$C,"Água, Luz e Internet")</f>
        <v>0</v>
      </c>
      <c r="CU41" s="39">
        <f>SUMIFS(Lançamentos!$G:$G,Lançamentos!$A:$A,CU$19,Lançamentos!$C:$C,"Água, Luz e Internet")</f>
        <v>0</v>
      </c>
      <c r="CV41" s="39">
        <f>SUMIFS(Lançamentos!$G:$G,Lançamentos!$A:$A,CV$19,Lançamentos!$C:$C,"Água, Luz e Internet")</f>
        <v>0</v>
      </c>
      <c r="CW41" s="39">
        <f>SUMIFS(Lançamentos!$G:$G,Lançamentos!$A:$A,CW$19,Lançamentos!$C:$C,"Água, Luz e Internet")</f>
        <v>0</v>
      </c>
      <c r="CX41" s="39">
        <f>SUMIFS(Lançamentos!$G:$G,Lançamentos!$A:$A,CX$19,Lançamentos!$C:$C,"Água, Luz e Internet")</f>
        <v>0</v>
      </c>
      <c r="CY41" s="39">
        <f>SUMIFS(Lançamentos!$G:$G,Lançamentos!$A:$A,CY$19,Lançamentos!$C:$C,"Água, Luz e Internet")</f>
        <v>0</v>
      </c>
      <c r="CZ41" s="39">
        <f>SUMIFS(Lançamentos!$G:$G,Lançamentos!$A:$A,CZ$19,Lançamentos!$C:$C,"Água, Luz e Internet")</f>
        <v>0</v>
      </c>
      <c r="DA41" s="39">
        <f>SUMIFS(Lançamentos!$G:$G,Lançamentos!$A:$A,DA$19,Lançamentos!$C:$C,"Água, Luz e Internet")</f>
        <v>0</v>
      </c>
      <c r="DB41" s="39">
        <f>SUMIFS(Lançamentos!$G:$G,Lançamentos!$A:$A,DB$19,Lançamentos!$C:$C,"Água, Luz e Internet")</f>
        <v>0</v>
      </c>
      <c r="DC41" s="39">
        <f>SUMIFS(Lançamentos!$G:$G,Lançamentos!$A:$A,DC$19,Lançamentos!$C:$C,"Água, Luz e Internet")</f>
        <v>0</v>
      </c>
      <c r="DD41" s="39">
        <f>SUMIFS(Lançamentos!$G:$G,Lançamentos!$A:$A,DD$19,Lançamentos!$C:$C,"Água, Luz e Internet")</f>
        <v>0</v>
      </c>
      <c r="DE41" s="39">
        <f>SUMIFS(Lançamentos!$G:$G,Lançamentos!$A:$A,DE$19,Lançamentos!$C:$C,"Água, Luz e Internet")</f>
        <v>0</v>
      </c>
      <c r="DF41" s="39">
        <f>SUMIFS(Lançamentos!$G:$G,Lançamentos!$A:$A,DF$19,Lançamentos!$C:$C,"Água, Luz e Internet")</f>
        <v>0</v>
      </c>
      <c r="DG41" s="39">
        <f>SUMIFS(Lançamentos!$G:$G,Lançamentos!$A:$A,DG$19,Lançamentos!$C:$C,"Água, Luz e Internet")</f>
        <v>0</v>
      </c>
      <c r="DH41" s="39">
        <f>SUMIFS(Lançamentos!$G:$G,Lançamentos!$A:$A,DH$19,Lançamentos!$C:$C,"Água, Luz e Internet")</f>
        <v>0</v>
      </c>
      <c r="DI41" s="39">
        <f>SUMIFS(Lançamentos!$G:$G,Lançamentos!$A:$A,DI$19,Lançamentos!$C:$C,"Água, Luz e Internet")</f>
        <v>0</v>
      </c>
      <c r="DJ41" s="39">
        <f>SUMIFS(Lançamentos!$G:$G,Lançamentos!$A:$A,DJ$19,Lançamentos!$C:$C,"Água, Luz e Internet")</f>
        <v>0</v>
      </c>
      <c r="DK41" s="39">
        <f>SUMIFS(Lançamentos!$G:$G,Lançamentos!$A:$A,DK$19,Lançamentos!$C:$C,"Água, Luz e Internet")</f>
        <v>0</v>
      </c>
      <c r="DL41" s="39">
        <f>SUMIFS(Lançamentos!$G:$G,Lançamentos!$A:$A,DL$19,Lançamentos!$C:$C,"Água, Luz e Internet")</f>
        <v>0</v>
      </c>
      <c r="DM41" s="39">
        <f>SUMIFS(Lançamentos!$G:$G,Lançamentos!$A:$A,DM$19,Lançamentos!$C:$C,"Água, Luz e Internet")</f>
        <v>0</v>
      </c>
      <c r="DN41" s="39">
        <f>SUMIFS(Lançamentos!$G:$G,Lançamentos!$A:$A,DN$19,Lançamentos!$C:$C,"Água, Luz e Internet")</f>
        <v>0</v>
      </c>
      <c r="DO41" s="39">
        <f>SUMIFS(Lançamentos!$G:$G,Lançamentos!$A:$A,DO$19,Lançamentos!$C:$C,"Água, Luz e Internet")</f>
        <v>0</v>
      </c>
      <c r="DP41" s="39">
        <f>SUMIFS(Lançamentos!$G:$G,Lançamentos!$A:$A,DP$19,Lançamentos!$C:$C,"Água, Luz e Internet")</f>
        <v>0</v>
      </c>
      <c r="DQ41" s="39">
        <f>SUMIFS(Lançamentos!$G:$G,Lançamentos!$A:$A,DQ$19,Lançamentos!$C:$C,"Água, Luz e Internet")</f>
        <v>0</v>
      </c>
      <c r="DR41" s="39">
        <f>SUMIFS(Lançamentos!$G:$G,Lançamentos!$A:$A,DR$19,Lançamentos!$C:$C,"Água, Luz e Internet")</f>
        <v>0</v>
      </c>
      <c r="DS41" s="39">
        <f>SUMIFS(Lançamentos!$G:$G,Lançamentos!$A:$A,DS$19,Lançamentos!$C:$C,"Água, Luz e Internet")</f>
        <v>0</v>
      </c>
      <c r="DT41" s="39">
        <f>SUMIFS(Lançamentos!$G:$G,Lançamentos!$A:$A,DT$19,Lançamentos!$C:$C,"Água, Luz e Internet")</f>
        <v>0</v>
      </c>
      <c r="DU41" s="39">
        <f>SUMIFS(Lançamentos!$G:$G,Lançamentos!$A:$A,DU$19,Lançamentos!$C:$C,"Água, Luz e Internet")</f>
        <v>0</v>
      </c>
      <c r="DV41" s="39">
        <f>SUMIFS(Lançamentos!$G:$G,Lançamentos!$A:$A,DV$19,Lançamentos!$C:$C,"Água, Luz e Internet")</f>
        <v>0</v>
      </c>
      <c r="DW41" s="39">
        <f>SUMIFS(Lançamentos!$G:$G,Lançamentos!$A:$A,DW$19,Lançamentos!$C:$C,"Água, Luz e Internet")</f>
        <v>0</v>
      </c>
      <c r="DX41" s="39">
        <f>SUMIFS(Lançamentos!$G:$G,Lançamentos!$A:$A,DX$19,Lançamentos!$C:$C,"Água, Luz e Internet")</f>
        <v>0</v>
      </c>
      <c r="DY41" s="39">
        <f>SUMIFS(Lançamentos!$G:$G,Lançamentos!$A:$A,DY$19,Lançamentos!$C:$C,"Água, Luz e Internet")</f>
        <v>0</v>
      </c>
      <c r="DZ41" s="39">
        <f>SUMIFS(Lançamentos!$G:$G,Lançamentos!$A:$A,DZ$19,Lançamentos!$C:$C,"Água, Luz e Internet")</f>
        <v>0</v>
      </c>
      <c r="EA41" s="39">
        <f>SUMIFS(Lançamentos!$G:$G,Lançamentos!$A:$A,EA$19,Lançamentos!$C:$C,"Água, Luz e Internet")</f>
        <v>0</v>
      </c>
      <c r="EB41" s="39">
        <f>SUMIFS(Lançamentos!$G:$G,Lançamentos!$A:$A,EB$19,Lançamentos!$C:$C,"Água, Luz e Internet")</f>
        <v>0</v>
      </c>
      <c r="EC41" s="39">
        <f>SUMIFS(Lançamentos!$G:$G,Lançamentos!$A:$A,EC$19,Lançamentos!$C:$C,"Água, Luz e Internet")</f>
        <v>0</v>
      </c>
      <c r="ED41" s="39">
        <f>SUMIFS(Lançamentos!$G:$G,Lançamentos!$A:$A,ED$19,Lançamentos!$C:$C,"Água, Luz e Internet")</f>
        <v>0</v>
      </c>
      <c r="EE41" s="39">
        <f>SUMIFS(Lançamentos!$G:$G,Lançamentos!$A:$A,EE$19,Lançamentos!$C:$C,"Água, Luz e Internet")</f>
        <v>0</v>
      </c>
      <c r="EF41" s="39">
        <f>SUMIFS(Lançamentos!$G:$G,Lançamentos!$A:$A,EF$19,Lançamentos!$C:$C,"Água, Luz e Internet")</f>
        <v>0</v>
      </c>
      <c r="EG41" s="39">
        <f>SUMIFS(Lançamentos!$G:$G,Lançamentos!$A:$A,EG$19,Lançamentos!$C:$C,"Água, Luz e Internet")</f>
        <v>0</v>
      </c>
      <c r="EH41" s="39">
        <f>SUMIFS(Lançamentos!$G:$G,Lançamentos!$A:$A,EH$19,Lançamentos!$C:$C,"Água, Luz e Internet")</f>
        <v>0</v>
      </c>
      <c r="EI41" s="39">
        <f>SUMIFS(Lançamentos!$G:$G,Lançamentos!$A:$A,EI$19,Lançamentos!$C:$C,"Água, Luz e Internet")</f>
        <v>0</v>
      </c>
      <c r="EJ41" s="39">
        <f>SUMIFS(Lançamentos!$G:$G,Lançamentos!$A:$A,EJ$19,Lançamentos!$C:$C,"Água, Luz e Internet")</f>
        <v>0</v>
      </c>
      <c r="EK41" s="39">
        <f>SUMIFS(Lançamentos!$G:$G,Lançamentos!$A:$A,EK$19,Lançamentos!$C:$C,"Água, Luz e Internet")</f>
        <v>0</v>
      </c>
      <c r="EL41" s="39">
        <f>SUMIFS(Lançamentos!$G:$G,Lançamentos!$A:$A,EL$19,Lançamentos!$C:$C,"Água, Luz e Internet")</f>
        <v>0</v>
      </c>
      <c r="EM41" s="39">
        <f>SUMIFS(Lançamentos!$G:$G,Lançamentos!$A:$A,EM$19,Lançamentos!$C:$C,"Água, Luz e Internet")</f>
        <v>0</v>
      </c>
      <c r="EN41" s="39">
        <f>SUMIFS(Lançamentos!$G:$G,Lançamentos!$A:$A,EN$19,Lançamentos!$C:$C,"Água, Luz e Internet")</f>
        <v>0</v>
      </c>
      <c r="EO41" s="39">
        <f>SUMIFS(Lançamentos!$G:$G,Lançamentos!$A:$A,EO$19,Lançamentos!$C:$C,"Água, Luz e Internet")</f>
        <v>0</v>
      </c>
      <c r="EP41" s="39">
        <f>SUMIFS(Lançamentos!$G:$G,Lançamentos!$A:$A,EP$19,Lançamentos!$C:$C,"Água, Luz e Internet")</f>
        <v>0</v>
      </c>
      <c r="EQ41" s="39">
        <f>SUMIFS(Lançamentos!$G:$G,Lançamentos!$A:$A,EQ$19,Lançamentos!$C:$C,"Água, Luz e Internet")</f>
        <v>0</v>
      </c>
      <c r="ER41" s="39">
        <f>SUMIFS(Lançamentos!$G:$G,Lançamentos!$A:$A,ER$19,Lançamentos!$C:$C,"Água, Luz e Internet")</f>
        <v>0</v>
      </c>
      <c r="ES41" s="39">
        <f>SUMIFS(Lançamentos!$G:$G,Lançamentos!$A:$A,ES$19,Lançamentos!$C:$C,"Água, Luz e Internet")</f>
        <v>0</v>
      </c>
      <c r="ET41" s="39">
        <f>SUMIFS(Lançamentos!$G:$G,Lançamentos!$A:$A,ET$19,Lançamentos!$C:$C,"Água, Luz e Internet")</f>
        <v>0</v>
      </c>
      <c r="EU41" s="39">
        <f>SUMIFS(Lançamentos!$G:$G,Lançamentos!$A:$A,EU$19,Lançamentos!$C:$C,"Água, Luz e Internet")</f>
        <v>0</v>
      </c>
      <c r="EV41" s="39">
        <f>SUMIFS(Lançamentos!$G:$G,Lançamentos!$A:$A,EV$19,Lançamentos!$C:$C,"Água, Luz e Internet")</f>
        <v>0</v>
      </c>
      <c r="EW41" s="39">
        <f>SUMIFS(Lançamentos!$G:$G,Lançamentos!$A:$A,EW$19,Lançamentos!$C:$C,"Água, Luz e Internet")</f>
        <v>0</v>
      </c>
      <c r="EX41" s="39">
        <f>SUMIFS(Lançamentos!$G:$G,Lançamentos!$A:$A,EX$19,Lançamentos!$C:$C,"Água, Luz e Internet")</f>
        <v>0</v>
      </c>
      <c r="EY41" s="39">
        <f>SUMIFS(Lançamentos!$G:$G,Lançamentos!$A:$A,EY$19,Lançamentos!$C:$C,"Água, Luz e Internet")</f>
        <v>0</v>
      </c>
      <c r="EZ41" s="39">
        <f>SUMIFS(Lançamentos!$G:$G,Lançamentos!$A:$A,EZ$19,Lançamentos!$C:$C,"Água, Luz e Internet")</f>
        <v>0</v>
      </c>
      <c r="FA41" s="39">
        <f>SUMIFS(Lançamentos!$G:$G,Lançamentos!$A:$A,FA$19,Lançamentos!$C:$C,"Água, Luz e Internet")</f>
        <v>0</v>
      </c>
      <c r="FB41" s="39">
        <f>SUMIFS(Lançamentos!$G:$G,Lançamentos!$A:$A,FB$19,Lançamentos!$C:$C,"Água, Luz e Internet")</f>
        <v>0</v>
      </c>
      <c r="FC41" s="39">
        <f>SUMIFS(Lançamentos!$G:$G,Lançamentos!$A:$A,FC$19,Lançamentos!$C:$C,"Água, Luz e Internet")</f>
        <v>0</v>
      </c>
      <c r="FD41" s="39">
        <f>SUMIFS(Lançamentos!$G:$G,Lançamentos!$A:$A,FD$19,Lançamentos!$C:$C,"Água, Luz e Internet")</f>
        <v>0</v>
      </c>
      <c r="FE41" s="39">
        <f>SUMIFS(Lançamentos!$G:$G,Lançamentos!$A:$A,FE$19,Lançamentos!$C:$C,"Água, Luz e Internet")</f>
        <v>0</v>
      </c>
      <c r="FF41" s="39">
        <f>SUMIFS(Lançamentos!$G:$G,Lançamentos!$A:$A,FF$19,Lançamentos!$C:$C,"Água, Luz e Internet")</f>
        <v>0</v>
      </c>
      <c r="FG41" s="39">
        <f>SUMIFS(Lançamentos!$G:$G,Lançamentos!$A:$A,FG$19,Lançamentos!$C:$C,"Água, Luz e Internet")</f>
        <v>0</v>
      </c>
      <c r="FH41" s="39">
        <f>SUMIFS(Lançamentos!$G:$G,Lançamentos!$A:$A,FH$19,Lançamentos!$C:$C,"Água, Luz e Internet")</f>
        <v>0</v>
      </c>
      <c r="FI41" s="39">
        <f>SUMIFS(Lançamentos!$G:$G,Lançamentos!$A:$A,FI$19,Lançamentos!$C:$C,"Água, Luz e Internet")</f>
        <v>0</v>
      </c>
      <c r="FJ41" s="39">
        <f>SUMIFS(Lançamentos!$G:$G,Lançamentos!$A:$A,FJ$19,Lançamentos!$C:$C,"Água, Luz e Internet")</f>
        <v>0</v>
      </c>
      <c r="FK41" s="39">
        <f>SUMIFS(Lançamentos!$G:$G,Lançamentos!$A:$A,FK$19,Lançamentos!$C:$C,"Água, Luz e Internet")</f>
        <v>0</v>
      </c>
      <c r="FL41" s="39">
        <f>SUMIFS(Lançamentos!$G:$G,Lançamentos!$A:$A,FL$19,Lançamentos!$C:$C,"Água, Luz e Internet")</f>
        <v>0</v>
      </c>
      <c r="FM41" s="39">
        <f>SUMIFS(Lançamentos!$G:$G,Lançamentos!$A:$A,FM$19,Lançamentos!$C:$C,"Água, Luz e Internet")</f>
        <v>0</v>
      </c>
      <c r="FN41" s="39">
        <f>SUMIFS(Lançamentos!$G:$G,Lançamentos!$A:$A,FN$19,Lançamentos!$C:$C,"Água, Luz e Internet")</f>
        <v>0</v>
      </c>
      <c r="FO41" s="39">
        <f>SUMIFS(Lançamentos!$G:$G,Lançamentos!$A:$A,FO$19,Lançamentos!$C:$C,"Água, Luz e Internet")</f>
        <v>0</v>
      </c>
      <c r="FP41" s="39">
        <f>SUMIFS(Lançamentos!$G:$G,Lançamentos!$A:$A,FP$19,Lançamentos!$C:$C,"Água, Luz e Internet")</f>
        <v>0</v>
      </c>
      <c r="FQ41" s="39">
        <f>SUMIFS(Lançamentos!$G:$G,Lançamentos!$A:$A,FQ$19,Lançamentos!$C:$C,"Água, Luz e Internet")</f>
        <v>0</v>
      </c>
      <c r="FR41" s="39">
        <f>SUMIFS(Lançamentos!$G:$G,Lançamentos!$A:$A,FR$19,Lançamentos!$C:$C,"Água, Luz e Internet")</f>
        <v>0</v>
      </c>
      <c r="FS41" s="39">
        <f>SUMIFS(Lançamentos!$G:$G,Lançamentos!$A:$A,FS$19,Lançamentos!$C:$C,"Água, Luz e Internet")</f>
        <v>0</v>
      </c>
      <c r="FT41" s="39">
        <f>SUMIFS(Lançamentos!$G:$G,Lançamentos!$A:$A,FT$19,Lançamentos!$C:$C,"Água, Luz e Internet")</f>
        <v>0</v>
      </c>
      <c r="FU41" s="39">
        <f>SUMIFS(Lançamentos!$G:$G,Lançamentos!$A:$A,FU$19,Lançamentos!$C:$C,"Água, Luz e Internet")</f>
        <v>0</v>
      </c>
      <c r="FV41" s="39">
        <f>SUMIFS(Lançamentos!$G:$G,Lançamentos!$A:$A,FV$19,Lançamentos!$C:$C,"Água, Luz e Internet")</f>
        <v>0</v>
      </c>
      <c r="FW41" s="39">
        <f>SUMIFS(Lançamentos!$G:$G,Lançamentos!$A:$A,FW$19,Lançamentos!$C:$C,"Água, Luz e Internet")</f>
        <v>0</v>
      </c>
      <c r="FX41" s="39">
        <f>SUMIFS(Lançamentos!$G:$G,Lançamentos!$A:$A,FX$19,Lançamentos!$C:$C,"Água, Luz e Internet")</f>
        <v>0</v>
      </c>
      <c r="FY41" s="39">
        <f>SUMIFS(Lançamentos!$G:$G,Lançamentos!$A:$A,FY$19,Lançamentos!$C:$C,"Água, Luz e Internet")</f>
        <v>0</v>
      </c>
      <c r="FZ41" s="39">
        <f>SUMIFS(Lançamentos!$G:$G,Lançamentos!$A:$A,FZ$19,Lançamentos!$C:$C,"Água, Luz e Internet")</f>
        <v>0</v>
      </c>
      <c r="GA41" s="39">
        <f>SUMIFS(Lançamentos!$G:$G,Lançamentos!$A:$A,GA$19,Lançamentos!$C:$C,"Água, Luz e Internet")</f>
        <v>0</v>
      </c>
      <c r="GB41" s="39">
        <f>SUMIFS(Lançamentos!$G:$G,Lançamentos!$A:$A,GB$19,Lançamentos!$C:$C,"Água, Luz e Internet")</f>
        <v>0</v>
      </c>
      <c r="GC41" s="39">
        <f>SUMIFS(Lançamentos!$G:$G,Lançamentos!$A:$A,GC$19,Lançamentos!$C:$C,"Água, Luz e Internet")</f>
        <v>0</v>
      </c>
      <c r="GD41" s="39">
        <f>SUMIFS(Lançamentos!$G:$G,Lançamentos!$A:$A,GD$19,Lançamentos!$C:$C,"Água, Luz e Internet")</f>
        <v>0</v>
      </c>
      <c r="GE41" s="39">
        <f>SUMIFS(Lançamentos!$G:$G,Lançamentos!$A:$A,GE$19,Lançamentos!$C:$C,"Água, Luz e Internet")</f>
        <v>0</v>
      </c>
      <c r="GF41" s="39">
        <f>SUMIFS(Lançamentos!$G:$G,Lançamentos!$A:$A,GF$19,Lançamentos!$C:$C,"Água, Luz e Internet")</f>
        <v>0</v>
      </c>
      <c r="GG41" s="39">
        <f>SUMIFS(Lançamentos!$G:$G,Lançamentos!$A:$A,GG$19,Lançamentos!$C:$C,"Água, Luz e Internet")</f>
        <v>0</v>
      </c>
      <c r="GH41" s="39">
        <f>SUMIFS(Lançamentos!$G:$G,Lançamentos!$A:$A,GH$19,Lançamentos!$C:$C,"Água, Luz e Internet")</f>
        <v>0</v>
      </c>
      <c r="GI41" s="39">
        <f>SUMIFS(Lançamentos!$G:$G,Lançamentos!$A:$A,GI$19,Lançamentos!$C:$C,"Água, Luz e Internet")</f>
        <v>0</v>
      </c>
      <c r="GJ41" s="39">
        <f>SUMIFS(Lançamentos!$G:$G,Lançamentos!$A:$A,GJ$19,Lançamentos!$C:$C,"Água, Luz e Internet")</f>
        <v>0</v>
      </c>
      <c r="GK41" s="39">
        <f>SUMIFS(Lançamentos!$G:$G,Lançamentos!$A:$A,GK$19,Lançamentos!$C:$C,"Água, Luz e Internet")</f>
        <v>0</v>
      </c>
      <c r="GL41" s="39">
        <f>SUMIFS(Lançamentos!$G:$G,Lançamentos!$A:$A,GL$19,Lançamentos!$C:$C,"Água, Luz e Internet")</f>
        <v>0</v>
      </c>
      <c r="GM41" s="39">
        <f>SUMIFS(Lançamentos!$G:$G,Lançamentos!$A:$A,GM$19,Lançamentos!$C:$C,"Água, Luz e Internet")</f>
        <v>0</v>
      </c>
      <c r="GN41" s="39">
        <f>SUMIFS(Lançamentos!$G:$G,Lançamentos!$A:$A,GN$19,Lançamentos!$C:$C,"Água, Luz e Internet")</f>
        <v>0</v>
      </c>
      <c r="GO41" s="39">
        <f>SUMIFS(Lançamentos!$G:$G,Lançamentos!$A:$A,GO$19,Lançamentos!$C:$C,"Água, Luz e Internet")</f>
        <v>0</v>
      </c>
      <c r="GP41" s="39">
        <f>SUMIFS(Lançamentos!$G:$G,Lançamentos!$A:$A,GP$19,Lançamentos!$C:$C,"Água, Luz e Internet")</f>
        <v>0</v>
      </c>
      <c r="GQ41" s="39">
        <f>SUMIFS(Lançamentos!$G:$G,Lançamentos!$A:$A,GQ$19,Lançamentos!$C:$C,"Água, Luz e Internet")</f>
        <v>0</v>
      </c>
      <c r="GR41" s="39">
        <f>SUMIFS(Lançamentos!$G:$G,Lançamentos!$A:$A,GR$19,Lançamentos!$C:$C,"Água, Luz e Internet")</f>
        <v>0</v>
      </c>
      <c r="GS41" s="39">
        <f>SUMIFS(Lançamentos!$G:$G,Lançamentos!$A:$A,GS$19,Lançamentos!$C:$C,"Água, Luz e Internet")</f>
        <v>0</v>
      </c>
      <c r="GT41" s="39">
        <f>SUMIFS(Lançamentos!$G:$G,Lançamentos!$A:$A,GT$19,Lançamentos!$C:$C,"Água, Luz e Internet")</f>
        <v>0</v>
      </c>
      <c r="GU41" s="39">
        <f>SUMIFS(Lançamentos!$G:$G,Lançamentos!$A:$A,GU$19,Lançamentos!$C:$C,"Água, Luz e Internet")</f>
        <v>0</v>
      </c>
      <c r="GV41" s="39">
        <f>SUMIFS(Lançamentos!$G:$G,Lançamentos!$A:$A,GV$19,Lançamentos!$C:$C,"Água, Luz e Internet")</f>
        <v>0</v>
      </c>
      <c r="GW41" s="39">
        <f>SUMIFS(Lançamentos!$G:$G,Lançamentos!$A:$A,GW$19,Lançamentos!$C:$C,"Água, Luz e Internet")</f>
        <v>0</v>
      </c>
      <c r="GX41" s="39">
        <f>SUMIFS(Lançamentos!$G:$G,Lançamentos!$A:$A,GX$19,Lançamentos!$C:$C,"Água, Luz e Internet")</f>
        <v>0</v>
      </c>
      <c r="GY41" s="39">
        <f>SUMIFS(Lançamentos!$G:$G,Lançamentos!$A:$A,GY$19,Lançamentos!$C:$C,"Água, Luz e Internet")</f>
        <v>0</v>
      </c>
      <c r="GZ41" s="39">
        <f>SUMIFS(Lançamentos!$G:$G,Lançamentos!$A:$A,GZ$19,Lançamentos!$C:$C,"Água, Luz e Internet")</f>
        <v>0</v>
      </c>
      <c r="HA41" s="39">
        <f>SUMIFS(Lançamentos!$G:$G,Lançamentos!$A:$A,HA$19,Lançamentos!$C:$C,"Água, Luz e Internet")</f>
        <v>0</v>
      </c>
      <c r="HB41" s="39">
        <f>SUMIFS(Lançamentos!$G:$G,Lançamentos!$A:$A,HB$19,Lançamentos!$C:$C,"Água, Luz e Internet")</f>
        <v>0</v>
      </c>
      <c r="HC41" s="39">
        <f>SUMIFS(Lançamentos!$G:$G,Lançamentos!$A:$A,HC$19,Lançamentos!$C:$C,"Água, Luz e Internet")</f>
        <v>0</v>
      </c>
      <c r="HD41" s="39">
        <f>SUMIFS(Lançamentos!$G:$G,Lançamentos!$A:$A,HD$19,Lançamentos!$C:$C,"Água, Luz e Internet")</f>
        <v>0</v>
      </c>
      <c r="HE41" s="39">
        <f>SUMIFS(Lançamentos!$G:$G,Lançamentos!$A:$A,HE$19,Lançamentos!$C:$C,"Água, Luz e Internet")</f>
        <v>0</v>
      </c>
      <c r="HF41" s="39">
        <f>SUMIFS(Lançamentos!$G:$G,Lançamentos!$A:$A,HF$19,Lançamentos!$C:$C,"Água, Luz e Internet")</f>
        <v>0</v>
      </c>
      <c r="HG41" s="39">
        <f>SUMIFS(Lançamentos!$G:$G,Lançamentos!$A:$A,HG$19,Lançamentos!$C:$C,"Água, Luz e Internet")</f>
        <v>0</v>
      </c>
      <c r="HH41" s="39">
        <f>SUMIFS(Lançamentos!$G:$G,Lançamentos!$A:$A,HH$19,Lançamentos!$C:$C,"Água, Luz e Internet")</f>
        <v>0</v>
      </c>
      <c r="HI41" s="39">
        <f>SUMIFS(Lançamentos!$G:$G,Lançamentos!$A:$A,HI$19,Lançamentos!$C:$C,"Água, Luz e Internet")</f>
        <v>0</v>
      </c>
      <c r="HJ41" s="39">
        <f>SUMIFS(Lançamentos!$G:$G,Lançamentos!$A:$A,HJ$19,Lançamentos!$C:$C,"Água, Luz e Internet")</f>
        <v>0</v>
      </c>
      <c r="HK41" s="39">
        <f>SUMIFS(Lançamentos!$G:$G,Lançamentos!$A:$A,HK$19,Lançamentos!$C:$C,"Água, Luz e Internet")</f>
        <v>0</v>
      </c>
      <c r="HL41" s="39">
        <f>SUMIFS(Lançamentos!$G:$G,Lançamentos!$A:$A,HL$19,Lançamentos!$C:$C,"Água, Luz e Internet")</f>
        <v>0</v>
      </c>
      <c r="HM41" s="39">
        <f>SUMIFS(Lançamentos!$G:$G,Lançamentos!$A:$A,HM$19,Lançamentos!$C:$C,"Água, Luz e Internet")</f>
        <v>0</v>
      </c>
      <c r="HN41" s="39">
        <f>SUMIFS(Lançamentos!$G:$G,Lançamentos!$A:$A,HN$19,Lançamentos!$C:$C,"Água, Luz e Internet")</f>
        <v>0</v>
      </c>
      <c r="HO41" s="39">
        <f>SUMIFS(Lançamentos!$G:$G,Lançamentos!$A:$A,HO$19,Lançamentos!$C:$C,"Água, Luz e Internet")</f>
        <v>0</v>
      </c>
      <c r="HP41" s="39">
        <f>SUMIFS(Lançamentos!$G:$G,Lançamentos!$A:$A,HP$19,Lançamentos!$C:$C,"Água, Luz e Internet")</f>
        <v>0</v>
      </c>
      <c r="HQ41" s="39">
        <f>SUMIFS(Lançamentos!$G:$G,Lançamentos!$A:$A,HQ$19,Lançamentos!$C:$C,"Água, Luz e Internet")</f>
        <v>0</v>
      </c>
      <c r="HR41" s="39">
        <f>SUMIFS(Lançamentos!$G:$G,Lançamentos!$A:$A,HR$19,Lançamentos!$C:$C,"Água, Luz e Internet")</f>
        <v>0</v>
      </c>
      <c r="HS41" s="39">
        <f>SUMIFS(Lançamentos!$G:$G,Lançamentos!$A:$A,HS$19,Lançamentos!$C:$C,"Água, Luz e Internet")</f>
        <v>0</v>
      </c>
      <c r="HT41" s="39">
        <f>SUMIFS(Lançamentos!$G:$G,Lançamentos!$A:$A,HT$19,Lançamentos!$C:$C,"Água, Luz e Internet")</f>
        <v>0</v>
      </c>
      <c r="HU41" s="39">
        <f>SUMIFS(Lançamentos!$G:$G,Lançamentos!$A:$A,HU$19,Lançamentos!$C:$C,"Água, Luz e Internet")</f>
        <v>0</v>
      </c>
      <c r="HV41" s="39">
        <f>SUMIFS(Lançamentos!$G:$G,Lançamentos!$A:$A,HV$19,Lançamentos!$C:$C,"Água, Luz e Internet")</f>
        <v>0</v>
      </c>
      <c r="HW41" s="39">
        <f>SUMIFS(Lançamentos!$G:$G,Lançamentos!$A:$A,HW$19,Lançamentos!$C:$C,"Água, Luz e Internet")</f>
        <v>0</v>
      </c>
      <c r="HX41" s="39">
        <f>SUMIFS(Lançamentos!$G:$G,Lançamentos!$A:$A,HX$19,Lançamentos!$C:$C,"Água, Luz e Internet")</f>
        <v>0</v>
      </c>
      <c r="HY41" s="39">
        <f>SUMIFS(Lançamentos!$G:$G,Lançamentos!$A:$A,HY$19,Lançamentos!$C:$C,"Água, Luz e Internet")</f>
        <v>0</v>
      </c>
      <c r="HZ41" s="39">
        <f>SUMIFS(Lançamentos!$G:$G,Lançamentos!$A:$A,HZ$19,Lançamentos!$C:$C,"Água, Luz e Internet")</f>
        <v>0</v>
      </c>
      <c r="IA41" s="39">
        <f>SUMIFS(Lançamentos!$G:$G,Lançamentos!$A:$A,IA$19,Lançamentos!$C:$C,"Água, Luz e Internet")</f>
        <v>0</v>
      </c>
      <c r="IB41" s="39">
        <f>SUMIFS(Lançamentos!$G:$G,Lançamentos!$A:$A,IB$19,Lançamentos!$C:$C,"Água, Luz e Internet")</f>
        <v>0</v>
      </c>
      <c r="IC41" s="39">
        <f>SUMIFS(Lançamentos!$G:$G,Lançamentos!$A:$A,IC$19,Lançamentos!$C:$C,"Água, Luz e Internet")</f>
        <v>0</v>
      </c>
      <c r="ID41" s="39">
        <f>SUMIFS(Lançamentos!$G:$G,Lançamentos!$A:$A,ID$19,Lançamentos!$C:$C,"Água, Luz e Internet")</f>
        <v>0</v>
      </c>
      <c r="IE41" s="39">
        <f>SUMIFS(Lançamentos!$G:$G,Lançamentos!$A:$A,IE$19,Lançamentos!$C:$C,"Água, Luz e Internet")</f>
        <v>0</v>
      </c>
      <c r="IF41" s="39">
        <f>SUMIFS(Lançamentos!$G:$G,Lançamentos!$A:$A,IF$19,Lançamentos!$C:$C,"Água, Luz e Internet")</f>
        <v>0</v>
      </c>
      <c r="IG41" s="39">
        <f>SUMIFS(Lançamentos!$G:$G,Lançamentos!$A:$A,IG$19,Lançamentos!$C:$C,"Água, Luz e Internet")</f>
        <v>0</v>
      </c>
      <c r="IH41" s="39">
        <f>SUMIFS(Lançamentos!$G:$G,Lançamentos!$A:$A,IH$19,Lançamentos!$C:$C,"Água, Luz e Internet")</f>
        <v>0</v>
      </c>
      <c r="II41" s="39">
        <f>SUMIFS(Lançamentos!$G:$G,Lançamentos!$A:$A,II$19,Lançamentos!$C:$C,"Água, Luz e Internet")</f>
        <v>0</v>
      </c>
      <c r="IJ41" s="39">
        <f>SUMIFS(Lançamentos!$G:$G,Lançamentos!$A:$A,IJ$19,Lançamentos!$C:$C,"Água, Luz e Internet")</f>
        <v>0</v>
      </c>
      <c r="IK41" s="39">
        <f>SUMIFS(Lançamentos!$G:$G,Lançamentos!$A:$A,IK$19,Lançamentos!$C:$C,"Água, Luz e Internet")</f>
        <v>0</v>
      </c>
      <c r="IL41" s="39">
        <f>SUMIFS(Lançamentos!$G:$G,Lançamentos!$A:$A,IL$19,Lançamentos!$C:$C,"Água, Luz e Internet")</f>
        <v>0</v>
      </c>
    </row>
    <row r="42" spans="1:246" x14ac:dyDescent="0.3">
      <c r="A42" t="s">
        <v>19</v>
      </c>
      <c r="B42" s="39">
        <f>SUMIFS(Lançamentos!$G:$G,Lançamentos!$A:$A,B$19,Lançamentos!$C:$C,"Material de Escritório")</f>
        <v>0</v>
      </c>
      <c r="C42" s="39">
        <f>SUMIFS(Lançamentos!$G:$G,Lançamentos!$A:$A,C$19,Lançamentos!$C:$C,"Material de Escritório")</f>
        <v>0</v>
      </c>
      <c r="D42" s="39">
        <f>SUMIFS(Lançamentos!$G:$G,Lançamentos!$A:$A,D$19,Lançamentos!$C:$C,"Material de Escritório")</f>
        <v>0</v>
      </c>
      <c r="E42" s="39">
        <f>SUMIFS(Lançamentos!$G:$G,Lançamentos!$A:$A,E$19,Lançamentos!$C:$C,"Material de Escritório")</f>
        <v>0</v>
      </c>
      <c r="F42" s="39">
        <f>SUMIFS(Lançamentos!$G:$G,Lançamentos!$A:$A,F$19,Lançamentos!$C:$C,"Material de Escritório")</f>
        <v>0</v>
      </c>
      <c r="G42" s="39">
        <f>SUMIFS(Lançamentos!$G:$G,Lançamentos!$A:$A,G$19,Lançamentos!$C:$C,"Material de Escritório")</f>
        <v>0</v>
      </c>
      <c r="H42" s="39">
        <f>SUMIFS(Lançamentos!$G:$G,Lançamentos!$A:$A,H$19,Lançamentos!$C:$C,"Material de Escritório")</f>
        <v>0</v>
      </c>
      <c r="I42" s="39">
        <f>SUMIFS(Lançamentos!$G:$G,Lançamentos!$A:$A,I$19,Lançamentos!$C:$C,"Material de Escritório")</f>
        <v>0</v>
      </c>
      <c r="J42" s="39">
        <f>SUMIFS(Lançamentos!$G:$G,Lançamentos!$A:$A,J$19,Lançamentos!$C:$C,"Material de Escritório")</f>
        <v>0</v>
      </c>
      <c r="K42" s="39">
        <f>SUMIFS(Lançamentos!$G:$G,Lançamentos!$A:$A,K$19,Lançamentos!$C:$C,"Material de Escritório")</f>
        <v>0</v>
      </c>
      <c r="L42" s="39">
        <f>SUMIFS(Lançamentos!$G:$G,Lançamentos!$A:$A,L$19,Lançamentos!$C:$C,"Material de Escritório")</f>
        <v>0</v>
      </c>
      <c r="M42" s="39">
        <f>SUMIFS(Lançamentos!$G:$G,Lançamentos!$A:$A,M$19,Lançamentos!$C:$C,"Material de Escritório")</f>
        <v>0</v>
      </c>
      <c r="N42" s="39">
        <f>SUMIFS(Lançamentos!$G:$G,Lançamentos!$A:$A,N$19,Lançamentos!$C:$C,"Material de Escritório")</f>
        <v>0</v>
      </c>
      <c r="O42" s="39">
        <f>SUMIFS(Lançamentos!$G:$G,Lançamentos!$A:$A,O$19,Lançamentos!$C:$C,"Material de Escritório")</f>
        <v>0</v>
      </c>
      <c r="P42" s="39">
        <f>SUMIFS(Lançamentos!$G:$G,Lançamentos!$A:$A,P$19,Lançamentos!$C:$C,"Material de Escritório")</f>
        <v>0</v>
      </c>
      <c r="Q42" s="39">
        <f>SUMIFS(Lançamentos!$G:$G,Lançamentos!$A:$A,Q$19,Lançamentos!$C:$C,"Material de Escritório")</f>
        <v>0</v>
      </c>
      <c r="R42" s="39">
        <f>SUMIFS(Lançamentos!$G:$G,Lançamentos!$A:$A,R$19,Lançamentos!$C:$C,"Material de Escritório")</f>
        <v>0</v>
      </c>
      <c r="S42" s="39">
        <f>SUMIFS(Lançamentos!$G:$G,Lançamentos!$A:$A,S$19,Lançamentos!$C:$C,"Material de Escritório")</f>
        <v>0</v>
      </c>
      <c r="T42" s="39">
        <f>SUMIFS(Lançamentos!$G:$G,Lançamentos!$A:$A,T$19,Lançamentos!$C:$C,"Material de Escritório")</f>
        <v>0</v>
      </c>
      <c r="U42" s="39">
        <f>SUMIFS(Lançamentos!$G:$G,Lançamentos!$A:$A,U$19,Lançamentos!$C:$C,"Material de Escritório")</f>
        <v>0</v>
      </c>
      <c r="V42" s="39">
        <f>SUMIFS(Lançamentos!$G:$G,Lançamentos!$A:$A,V$19,Lançamentos!$C:$C,"Material de Escritório")</f>
        <v>0</v>
      </c>
      <c r="W42" s="39">
        <f>SUMIFS(Lançamentos!$G:$G,Lançamentos!$A:$A,W$19,Lançamentos!$C:$C,"Material de Escritório")</f>
        <v>0</v>
      </c>
      <c r="X42" s="39">
        <f>SUMIFS(Lançamentos!$G:$G,Lançamentos!$A:$A,X$19,Lançamentos!$C:$C,"Material de Escritório")</f>
        <v>0</v>
      </c>
      <c r="Y42" s="39">
        <f>SUMIFS(Lançamentos!$G:$G,Lançamentos!$A:$A,Y$19,Lançamentos!$C:$C,"Material de Escritório")</f>
        <v>0</v>
      </c>
      <c r="Z42" s="39">
        <f>SUMIFS(Lançamentos!$G:$G,Lançamentos!$A:$A,Z$19,Lançamentos!$C:$C,"Material de Escritório")</f>
        <v>0</v>
      </c>
      <c r="AA42" s="39">
        <f>SUMIFS(Lançamentos!$G:$G,Lançamentos!$A:$A,AA$19,Lançamentos!$C:$C,"Material de Escritório")</f>
        <v>0</v>
      </c>
      <c r="AB42" s="39">
        <f>SUMIFS(Lançamentos!$G:$G,Lançamentos!$A:$A,AB$19,Lançamentos!$C:$C,"Material de Escritório")</f>
        <v>0</v>
      </c>
      <c r="AC42" s="39">
        <f>SUMIFS(Lançamentos!$G:$G,Lançamentos!$A:$A,AC$19,Lançamentos!$C:$C,"Material de Escritório")</f>
        <v>0</v>
      </c>
      <c r="AD42" s="39">
        <f>SUMIFS(Lançamentos!$G:$G,Lançamentos!$A:$A,AD$19,Lançamentos!$C:$C,"Material de Escritório")</f>
        <v>0</v>
      </c>
      <c r="AE42" s="39">
        <f>SUMIFS(Lançamentos!$G:$G,Lançamentos!$A:$A,AE$19,Lançamentos!$C:$C,"Material de Escritório")</f>
        <v>0</v>
      </c>
      <c r="AF42" s="39">
        <f>SUMIFS(Lançamentos!$G:$G,Lançamentos!$A:$A,AF$19,Lançamentos!$C:$C,"Material de Escritório")</f>
        <v>0</v>
      </c>
      <c r="AG42" s="39">
        <f>SUMIFS(Lançamentos!$G:$G,Lançamentos!$A:$A,AG$19,Lançamentos!$C:$C,"Material de Escritório")</f>
        <v>0</v>
      </c>
      <c r="AH42" s="39">
        <f>SUMIFS(Lançamentos!$G:$G,Lançamentos!$A:$A,AH$19,Lançamentos!$C:$C,"Material de Escritório")</f>
        <v>0</v>
      </c>
      <c r="AI42" s="39">
        <f>SUMIFS(Lançamentos!$G:$G,Lançamentos!$A:$A,AI$19,Lançamentos!$C:$C,"Material de Escritório")</f>
        <v>0</v>
      </c>
      <c r="AJ42" s="39">
        <f>SUMIFS(Lançamentos!$G:$G,Lançamentos!$A:$A,AJ$19,Lançamentos!$C:$C,"Material de Escritório")</f>
        <v>0</v>
      </c>
      <c r="AK42" s="39">
        <f>SUMIFS(Lançamentos!$G:$G,Lançamentos!$A:$A,AK$19,Lançamentos!$C:$C,"Material de Escritório")</f>
        <v>0</v>
      </c>
      <c r="AL42" s="39">
        <f>SUMIFS(Lançamentos!$G:$G,Lançamentos!$A:$A,AL$19,Lançamentos!$C:$C,"Material de Escritório")</f>
        <v>0</v>
      </c>
      <c r="AM42" s="39">
        <f>SUMIFS(Lançamentos!$G:$G,Lançamentos!$A:$A,AM$19,Lançamentos!$C:$C,"Material de Escritório")</f>
        <v>0</v>
      </c>
      <c r="AN42" s="39">
        <f>SUMIFS(Lançamentos!$G:$G,Lançamentos!$A:$A,AN$19,Lançamentos!$C:$C,"Material de Escritório")</f>
        <v>0</v>
      </c>
      <c r="AO42" s="39">
        <f>SUMIFS(Lançamentos!$G:$G,Lançamentos!$A:$A,AO$19,Lançamentos!$C:$C,"Material de Escritório")</f>
        <v>0</v>
      </c>
      <c r="AP42" s="39">
        <f>SUMIFS(Lançamentos!$G:$G,Lançamentos!$A:$A,AP$19,Lançamentos!$C:$C,"Material de Escritório")</f>
        <v>0</v>
      </c>
      <c r="AQ42" s="39">
        <f>SUMIFS(Lançamentos!$G:$G,Lançamentos!$A:$A,AQ$19,Lançamentos!$C:$C,"Material de Escritório")</f>
        <v>0</v>
      </c>
      <c r="AR42" s="39">
        <f>SUMIFS(Lançamentos!$G:$G,Lançamentos!$A:$A,AR$19,Lançamentos!$C:$C,"Material de Escritório")</f>
        <v>0</v>
      </c>
      <c r="AS42" s="39">
        <f>SUMIFS(Lançamentos!$G:$G,Lançamentos!$A:$A,AS$19,Lançamentos!$C:$C,"Material de Escritório")</f>
        <v>0</v>
      </c>
      <c r="AT42" s="39">
        <f>SUMIFS(Lançamentos!$G:$G,Lançamentos!$A:$A,AT$19,Lançamentos!$C:$C,"Material de Escritório")</f>
        <v>0</v>
      </c>
      <c r="AU42" s="39">
        <f>SUMIFS(Lançamentos!$G:$G,Lançamentos!$A:$A,AU$19,Lançamentos!$C:$C,"Material de Escritório")</f>
        <v>0</v>
      </c>
      <c r="AV42" s="39">
        <f>SUMIFS(Lançamentos!$G:$G,Lançamentos!$A:$A,AV$19,Lançamentos!$C:$C,"Material de Escritório")</f>
        <v>0</v>
      </c>
      <c r="AW42" s="39">
        <f>SUMIFS(Lançamentos!$G:$G,Lançamentos!$A:$A,AW$19,Lançamentos!$C:$C,"Material de Escritório")</f>
        <v>0</v>
      </c>
      <c r="AX42" s="39">
        <f>SUMIFS(Lançamentos!$G:$G,Lançamentos!$A:$A,AX$19,Lançamentos!$C:$C,"Material de Escritório")</f>
        <v>0</v>
      </c>
      <c r="AY42" s="39">
        <f>SUMIFS(Lançamentos!$G:$G,Lançamentos!$A:$A,AY$19,Lançamentos!$C:$C,"Material de Escritório")</f>
        <v>0</v>
      </c>
      <c r="AZ42" s="39">
        <f>SUMIFS(Lançamentos!$G:$G,Lançamentos!$A:$A,AZ$19,Lançamentos!$C:$C,"Material de Escritório")</f>
        <v>0</v>
      </c>
      <c r="BA42" s="39">
        <f>SUMIFS(Lançamentos!$G:$G,Lançamentos!$A:$A,BA$19,Lançamentos!$C:$C,"Material de Escritório")</f>
        <v>0</v>
      </c>
      <c r="BB42" s="39">
        <f>SUMIFS(Lançamentos!$G:$G,Lançamentos!$A:$A,BB$19,Lançamentos!$C:$C,"Material de Escritório")</f>
        <v>0</v>
      </c>
      <c r="BC42" s="39">
        <f>SUMIFS(Lançamentos!$G:$G,Lançamentos!$A:$A,BC$19,Lançamentos!$C:$C,"Material de Escritório")</f>
        <v>0</v>
      </c>
      <c r="BD42" s="39">
        <f>SUMIFS(Lançamentos!$G:$G,Lançamentos!$A:$A,BD$19,Lançamentos!$C:$C,"Material de Escritório")</f>
        <v>0</v>
      </c>
      <c r="BE42" s="39">
        <f>SUMIFS(Lançamentos!$G:$G,Lançamentos!$A:$A,BE$19,Lançamentos!$C:$C,"Material de Escritório")</f>
        <v>0</v>
      </c>
      <c r="BF42" s="39">
        <f>SUMIFS(Lançamentos!$G:$G,Lançamentos!$A:$A,BF$19,Lançamentos!$C:$C,"Material de Escritório")</f>
        <v>0</v>
      </c>
      <c r="BG42" s="39">
        <f>SUMIFS(Lançamentos!$G:$G,Lançamentos!$A:$A,BG$19,Lançamentos!$C:$C,"Material de Escritório")</f>
        <v>0</v>
      </c>
      <c r="BH42" s="39">
        <f>SUMIFS(Lançamentos!$G:$G,Lançamentos!$A:$A,BH$19,Lançamentos!$C:$C,"Material de Escritório")</f>
        <v>0</v>
      </c>
      <c r="BI42" s="39">
        <f>SUMIFS(Lançamentos!$G:$G,Lançamentos!$A:$A,BI$19,Lançamentos!$C:$C,"Material de Escritório")</f>
        <v>0</v>
      </c>
      <c r="BJ42" s="39">
        <f>SUMIFS(Lançamentos!$G:$G,Lançamentos!$A:$A,BJ$19,Lançamentos!$C:$C,"Material de Escritório")</f>
        <v>0</v>
      </c>
      <c r="BK42" s="39">
        <f>SUMIFS(Lançamentos!$G:$G,Lançamentos!$A:$A,BK$19,Lançamentos!$C:$C,"Material de Escritório")</f>
        <v>0</v>
      </c>
      <c r="BL42" s="39">
        <f>SUMIFS(Lançamentos!$G:$G,Lançamentos!$A:$A,BL$19,Lançamentos!$C:$C,"Material de Escritório")</f>
        <v>0</v>
      </c>
      <c r="BM42" s="39">
        <f>SUMIFS(Lançamentos!$G:$G,Lançamentos!$A:$A,BM$19,Lançamentos!$C:$C,"Material de Escritório")</f>
        <v>0</v>
      </c>
      <c r="BN42" s="39">
        <f>SUMIFS(Lançamentos!$G:$G,Lançamentos!$A:$A,BN$19,Lançamentos!$C:$C,"Material de Escritório")</f>
        <v>0</v>
      </c>
      <c r="BO42" s="39">
        <f>SUMIFS(Lançamentos!$G:$G,Lançamentos!$A:$A,BO$19,Lançamentos!$C:$C,"Material de Escritório")</f>
        <v>0</v>
      </c>
      <c r="BP42" s="39">
        <f>SUMIFS(Lançamentos!$G:$G,Lançamentos!$A:$A,BP$19,Lançamentos!$C:$C,"Material de Escritório")</f>
        <v>0</v>
      </c>
      <c r="BQ42" s="39">
        <f>SUMIFS(Lançamentos!$G:$G,Lançamentos!$A:$A,BQ$19,Lançamentos!$C:$C,"Material de Escritório")</f>
        <v>0</v>
      </c>
      <c r="BR42" s="39">
        <f>SUMIFS(Lançamentos!$G:$G,Lançamentos!$A:$A,BR$19,Lançamentos!$C:$C,"Material de Escritório")</f>
        <v>0</v>
      </c>
      <c r="BS42" s="39">
        <f>SUMIFS(Lançamentos!$G:$G,Lançamentos!$A:$A,BS$19,Lançamentos!$C:$C,"Material de Escritório")</f>
        <v>0</v>
      </c>
      <c r="BT42" s="39">
        <f>SUMIFS(Lançamentos!$G:$G,Lançamentos!$A:$A,BT$19,Lançamentos!$C:$C,"Material de Escritório")</f>
        <v>0</v>
      </c>
      <c r="BU42" s="39">
        <f>SUMIFS(Lançamentos!$G:$G,Lançamentos!$A:$A,BU$19,Lançamentos!$C:$C,"Material de Escritório")</f>
        <v>0</v>
      </c>
      <c r="BV42" s="39">
        <f>SUMIFS(Lançamentos!$G:$G,Lançamentos!$A:$A,BV$19,Lançamentos!$C:$C,"Material de Escritório")</f>
        <v>0</v>
      </c>
      <c r="BW42" s="39">
        <f>SUMIFS(Lançamentos!$G:$G,Lançamentos!$A:$A,BW$19,Lançamentos!$C:$C,"Material de Escritório")</f>
        <v>0</v>
      </c>
      <c r="BX42" s="39">
        <f>SUMIFS(Lançamentos!$G:$G,Lançamentos!$A:$A,BX$19,Lançamentos!$C:$C,"Material de Escritório")</f>
        <v>0</v>
      </c>
      <c r="BY42" s="39">
        <f>SUMIFS(Lançamentos!$G:$G,Lançamentos!$A:$A,BY$19,Lançamentos!$C:$C,"Material de Escritório")</f>
        <v>0</v>
      </c>
      <c r="BZ42" s="39">
        <f>SUMIFS(Lançamentos!$G:$G,Lançamentos!$A:$A,BZ$19,Lançamentos!$C:$C,"Material de Escritório")</f>
        <v>0</v>
      </c>
      <c r="CA42" s="39">
        <f>SUMIFS(Lançamentos!$G:$G,Lançamentos!$A:$A,CA$19,Lançamentos!$C:$C,"Material de Escritório")</f>
        <v>0</v>
      </c>
      <c r="CB42" s="39">
        <f>SUMIFS(Lançamentos!$G:$G,Lançamentos!$A:$A,CB$19,Lançamentos!$C:$C,"Material de Escritório")</f>
        <v>0</v>
      </c>
      <c r="CC42" s="39">
        <f>SUMIFS(Lançamentos!$G:$G,Lançamentos!$A:$A,CC$19,Lançamentos!$C:$C,"Material de Escritório")</f>
        <v>0</v>
      </c>
      <c r="CD42" s="39">
        <f>SUMIFS(Lançamentos!$G:$G,Lançamentos!$A:$A,CD$19,Lançamentos!$C:$C,"Material de Escritório")</f>
        <v>0</v>
      </c>
      <c r="CE42" s="39">
        <f>SUMIFS(Lançamentos!$G:$G,Lançamentos!$A:$A,CE$19,Lançamentos!$C:$C,"Material de Escritório")</f>
        <v>0</v>
      </c>
      <c r="CF42" s="39">
        <f>SUMIFS(Lançamentos!$G:$G,Lançamentos!$A:$A,CF$19,Lançamentos!$C:$C,"Material de Escritório")</f>
        <v>0</v>
      </c>
      <c r="CG42" s="39">
        <f>SUMIFS(Lançamentos!$G:$G,Lançamentos!$A:$A,CG$19,Lançamentos!$C:$C,"Material de Escritório")</f>
        <v>0</v>
      </c>
      <c r="CH42" s="39">
        <f>SUMIFS(Lançamentos!$G:$G,Lançamentos!$A:$A,CH$19,Lançamentos!$C:$C,"Material de Escritório")</f>
        <v>0</v>
      </c>
      <c r="CI42" s="39">
        <f>SUMIFS(Lançamentos!$G:$G,Lançamentos!$A:$A,CI$19,Lançamentos!$C:$C,"Material de Escritório")</f>
        <v>0</v>
      </c>
      <c r="CJ42" s="39">
        <f>SUMIFS(Lançamentos!$G:$G,Lançamentos!$A:$A,CJ$19,Lançamentos!$C:$C,"Material de Escritório")</f>
        <v>0</v>
      </c>
      <c r="CK42" s="39">
        <f>SUMIFS(Lançamentos!$G:$G,Lançamentos!$A:$A,CK$19,Lançamentos!$C:$C,"Material de Escritório")</f>
        <v>0</v>
      </c>
      <c r="CL42" s="39">
        <f>SUMIFS(Lançamentos!$G:$G,Lançamentos!$A:$A,CL$19,Lançamentos!$C:$C,"Material de Escritório")</f>
        <v>0</v>
      </c>
      <c r="CM42" s="39">
        <f>SUMIFS(Lançamentos!$G:$G,Lançamentos!$A:$A,CM$19,Lançamentos!$C:$C,"Material de Escritório")</f>
        <v>0</v>
      </c>
      <c r="CN42" s="39">
        <f>SUMIFS(Lançamentos!$G:$G,Lançamentos!$A:$A,CN$19,Lançamentos!$C:$C,"Material de Escritório")</f>
        <v>0</v>
      </c>
      <c r="CO42" s="39">
        <f>SUMIFS(Lançamentos!$G:$G,Lançamentos!$A:$A,CO$19,Lançamentos!$C:$C,"Material de Escritório")</f>
        <v>0</v>
      </c>
      <c r="CP42" s="39">
        <f>SUMIFS(Lançamentos!$G:$G,Lançamentos!$A:$A,CP$19,Lançamentos!$C:$C,"Material de Escritório")</f>
        <v>0</v>
      </c>
      <c r="CQ42" s="39">
        <f>SUMIFS(Lançamentos!$G:$G,Lançamentos!$A:$A,CQ$19,Lançamentos!$C:$C,"Material de Escritório")</f>
        <v>0</v>
      </c>
      <c r="CR42" s="39">
        <f>SUMIFS(Lançamentos!$G:$G,Lançamentos!$A:$A,CR$19,Lançamentos!$C:$C,"Material de Escritório")</f>
        <v>0</v>
      </c>
      <c r="CS42" s="39">
        <f>SUMIFS(Lançamentos!$G:$G,Lançamentos!$A:$A,CS$19,Lançamentos!$C:$C,"Material de Escritório")</f>
        <v>0</v>
      </c>
      <c r="CT42" s="39">
        <f>SUMIFS(Lançamentos!$G:$G,Lançamentos!$A:$A,CT$19,Lançamentos!$C:$C,"Material de Escritório")</f>
        <v>0</v>
      </c>
      <c r="CU42" s="39">
        <f>SUMIFS(Lançamentos!$G:$G,Lançamentos!$A:$A,CU$19,Lançamentos!$C:$C,"Material de Escritório")</f>
        <v>0</v>
      </c>
      <c r="CV42" s="39">
        <f>SUMIFS(Lançamentos!$G:$G,Lançamentos!$A:$A,CV$19,Lançamentos!$C:$C,"Material de Escritório")</f>
        <v>0</v>
      </c>
      <c r="CW42" s="39">
        <f>SUMIFS(Lançamentos!$G:$G,Lançamentos!$A:$A,CW$19,Lançamentos!$C:$C,"Material de Escritório")</f>
        <v>0</v>
      </c>
      <c r="CX42" s="39">
        <f>SUMIFS(Lançamentos!$G:$G,Lançamentos!$A:$A,CX$19,Lançamentos!$C:$C,"Material de Escritório")</f>
        <v>0</v>
      </c>
      <c r="CY42" s="39">
        <f>SUMIFS(Lançamentos!$G:$G,Lançamentos!$A:$A,CY$19,Lançamentos!$C:$C,"Material de Escritório")</f>
        <v>0</v>
      </c>
      <c r="CZ42" s="39">
        <f>SUMIFS(Lançamentos!$G:$G,Lançamentos!$A:$A,CZ$19,Lançamentos!$C:$C,"Material de Escritório")</f>
        <v>0</v>
      </c>
      <c r="DA42" s="39">
        <f>SUMIFS(Lançamentos!$G:$G,Lançamentos!$A:$A,DA$19,Lançamentos!$C:$C,"Material de Escritório")</f>
        <v>0</v>
      </c>
      <c r="DB42" s="39">
        <f>SUMIFS(Lançamentos!$G:$G,Lançamentos!$A:$A,DB$19,Lançamentos!$C:$C,"Material de Escritório")</f>
        <v>0</v>
      </c>
      <c r="DC42" s="39">
        <f>SUMIFS(Lançamentos!$G:$G,Lançamentos!$A:$A,DC$19,Lançamentos!$C:$C,"Material de Escritório")</f>
        <v>0</v>
      </c>
      <c r="DD42" s="39">
        <f>SUMIFS(Lançamentos!$G:$G,Lançamentos!$A:$A,DD$19,Lançamentos!$C:$C,"Material de Escritório")</f>
        <v>0</v>
      </c>
      <c r="DE42" s="39">
        <f>SUMIFS(Lançamentos!$G:$G,Lançamentos!$A:$A,DE$19,Lançamentos!$C:$C,"Material de Escritório")</f>
        <v>0</v>
      </c>
      <c r="DF42" s="39">
        <f>SUMIFS(Lançamentos!$G:$G,Lançamentos!$A:$A,DF$19,Lançamentos!$C:$C,"Material de Escritório")</f>
        <v>0</v>
      </c>
      <c r="DG42" s="39">
        <f>SUMIFS(Lançamentos!$G:$G,Lançamentos!$A:$A,DG$19,Lançamentos!$C:$C,"Material de Escritório")</f>
        <v>0</v>
      </c>
      <c r="DH42" s="39">
        <f>SUMIFS(Lançamentos!$G:$G,Lançamentos!$A:$A,DH$19,Lançamentos!$C:$C,"Material de Escritório")</f>
        <v>0</v>
      </c>
      <c r="DI42" s="39">
        <f>SUMIFS(Lançamentos!$G:$G,Lançamentos!$A:$A,DI$19,Lançamentos!$C:$C,"Material de Escritório")</f>
        <v>0</v>
      </c>
      <c r="DJ42" s="39">
        <f>SUMIFS(Lançamentos!$G:$G,Lançamentos!$A:$A,DJ$19,Lançamentos!$C:$C,"Material de Escritório")</f>
        <v>0</v>
      </c>
      <c r="DK42" s="39">
        <f>SUMIFS(Lançamentos!$G:$G,Lançamentos!$A:$A,DK$19,Lançamentos!$C:$C,"Material de Escritório")</f>
        <v>0</v>
      </c>
      <c r="DL42" s="39">
        <f>SUMIFS(Lançamentos!$G:$G,Lançamentos!$A:$A,DL$19,Lançamentos!$C:$C,"Material de Escritório")</f>
        <v>0</v>
      </c>
      <c r="DM42" s="39">
        <f>SUMIFS(Lançamentos!$G:$G,Lançamentos!$A:$A,DM$19,Lançamentos!$C:$C,"Material de Escritório")</f>
        <v>0</v>
      </c>
      <c r="DN42" s="39">
        <f>SUMIFS(Lançamentos!$G:$G,Lançamentos!$A:$A,DN$19,Lançamentos!$C:$C,"Material de Escritório")</f>
        <v>0</v>
      </c>
      <c r="DO42" s="39">
        <f>SUMIFS(Lançamentos!$G:$G,Lançamentos!$A:$A,DO$19,Lançamentos!$C:$C,"Material de Escritório")</f>
        <v>0</v>
      </c>
      <c r="DP42" s="39">
        <f>SUMIFS(Lançamentos!$G:$G,Lançamentos!$A:$A,DP$19,Lançamentos!$C:$C,"Material de Escritório")</f>
        <v>0</v>
      </c>
      <c r="DQ42" s="39">
        <f>SUMIFS(Lançamentos!$G:$G,Lançamentos!$A:$A,DQ$19,Lançamentos!$C:$C,"Material de Escritório")</f>
        <v>0</v>
      </c>
      <c r="DR42" s="39">
        <f>SUMIFS(Lançamentos!$G:$G,Lançamentos!$A:$A,DR$19,Lançamentos!$C:$C,"Material de Escritório")</f>
        <v>0</v>
      </c>
      <c r="DS42" s="39">
        <f>SUMIFS(Lançamentos!$G:$G,Lançamentos!$A:$A,DS$19,Lançamentos!$C:$C,"Material de Escritório")</f>
        <v>0</v>
      </c>
      <c r="DT42" s="39">
        <f>SUMIFS(Lançamentos!$G:$G,Lançamentos!$A:$A,DT$19,Lançamentos!$C:$C,"Material de Escritório")</f>
        <v>0</v>
      </c>
      <c r="DU42" s="39">
        <f>SUMIFS(Lançamentos!$G:$G,Lançamentos!$A:$A,DU$19,Lançamentos!$C:$C,"Material de Escritório")</f>
        <v>0</v>
      </c>
      <c r="DV42" s="39">
        <f>SUMIFS(Lançamentos!$G:$G,Lançamentos!$A:$A,DV$19,Lançamentos!$C:$C,"Material de Escritório")</f>
        <v>0</v>
      </c>
      <c r="DW42" s="39">
        <f>SUMIFS(Lançamentos!$G:$G,Lançamentos!$A:$A,DW$19,Lançamentos!$C:$C,"Material de Escritório")</f>
        <v>0</v>
      </c>
      <c r="DX42" s="39">
        <f>SUMIFS(Lançamentos!$G:$G,Lançamentos!$A:$A,DX$19,Lançamentos!$C:$C,"Material de Escritório")</f>
        <v>0</v>
      </c>
      <c r="DY42" s="39">
        <f>SUMIFS(Lançamentos!$G:$G,Lançamentos!$A:$A,DY$19,Lançamentos!$C:$C,"Material de Escritório")</f>
        <v>0</v>
      </c>
      <c r="DZ42" s="39">
        <f>SUMIFS(Lançamentos!$G:$G,Lançamentos!$A:$A,DZ$19,Lançamentos!$C:$C,"Material de Escritório")</f>
        <v>0</v>
      </c>
      <c r="EA42" s="39">
        <f>SUMIFS(Lançamentos!$G:$G,Lançamentos!$A:$A,EA$19,Lançamentos!$C:$C,"Material de Escritório")</f>
        <v>0</v>
      </c>
      <c r="EB42" s="39">
        <f>SUMIFS(Lançamentos!$G:$G,Lançamentos!$A:$A,EB$19,Lançamentos!$C:$C,"Material de Escritório")</f>
        <v>0</v>
      </c>
      <c r="EC42" s="39">
        <f>SUMIFS(Lançamentos!$G:$G,Lançamentos!$A:$A,EC$19,Lançamentos!$C:$C,"Material de Escritório")</f>
        <v>0</v>
      </c>
      <c r="ED42" s="39">
        <f>SUMIFS(Lançamentos!$G:$G,Lançamentos!$A:$A,ED$19,Lançamentos!$C:$C,"Material de Escritório")</f>
        <v>0</v>
      </c>
      <c r="EE42" s="39">
        <f>SUMIFS(Lançamentos!$G:$G,Lançamentos!$A:$A,EE$19,Lançamentos!$C:$C,"Material de Escritório")</f>
        <v>0</v>
      </c>
      <c r="EF42" s="39">
        <f>SUMIFS(Lançamentos!$G:$G,Lançamentos!$A:$A,EF$19,Lançamentos!$C:$C,"Material de Escritório")</f>
        <v>0</v>
      </c>
      <c r="EG42" s="39">
        <f>SUMIFS(Lançamentos!$G:$G,Lançamentos!$A:$A,EG$19,Lançamentos!$C:$C,"Material de Escritório")</f>
        <v>0</v>
      </c>
      <c r="EH42" s="39">
        <f>SUMIFS(Lançamentos!$G:$G,Lançamentos!$A:$A,EH$19,Lançamentos!$C:$C,"Material de Escritório")</f>
        <v>0</v>
      </c>
      <c r="EI42" s="39">
        <f>SUMIFS(Lançamentos!$G:$G,Lançamentos!$A:$A,EI$19,Lançamentos!$C:$C,"Material de Escritório")</f>
        <v>0</v>
      </c>
      <c r="EJ42" s="39">
        <f>SUMIFS(Lançamentos!$G:$G,Lançamentos!$A:$A,EJ$19,Lançamentos!$C:$C,"Material de Escritório")</f>
        <v>0</v>
      </c>
      <c r="EK42" s="39">
        <f>SUMIFS(Lançamentos!$G:$G,Lançamentos!$A:$A,EK$19,Lançamentos!$C:$C,"Material de Escritório")</f>
        <v>0</v>
      </c>
      <c r="EL42" s="39">
        <f>SUMIFS(Lançamentos!$G:$G,Lançamentos!$A:$A,EL$19,Lançamentos!$C:$C,"Material de Escritório")</f>
        <v>0</v>
      </c>
      <c r="EM42" s="39">
        <f>SUMIFS(Lançamentos!$G:$G,Lançamentos!$A:$A,EM$19,Lançamentos!$C:$C,"Material de Escritório")</f>
        <v>0</v>
      </c>
      <c r="EN42" s="39">
        <f>SUMIFS(Lançamentos!$G:$G,Lançamentos!$A:$A,EN$19,Lançamentos!$C:$C,"Material de Escritório")</f>
        <v>0</v>
      </c>
      <c r="EO42" s="39">
        <f>SUMIFS(Lançamentos!$G:$G,Lançamentos!$A:$A,EO$19,Lançamentos!$C:$C,"Material de Escritório")</f>
        <v>0</v>
      </c>
      <c r="EP42" s="39">
        <f>SUMIFS(Lançamentos!$G:$G,Lançamentos!$A:$A,EP$19,Lançamentos!$C:$C,"Material de Escritório")</f>
        <v>0</v>
      </c>
      <c r="EQ42" s="39">
        <f>SUMIFS(Lançamentos!$G:$G,Lançamentos!$A:$A,EQ$19,Lançamentos!$C:$C,"Material de Escritório")</f>
        <v>0</v>
      </c>
      <c r="ER42" s="39">
        <f>SUMIFS(Lançamentos!$G:$G,Lançamentos!$A:$A,ER$19,Lançamentos!$C:$C,"Material de Escritório")</f>
        <v>0</v>
      </c>
      <c r="ES42" s="39">
        <f>SUMIFS(Lançamentos!$G:$G,Lançamentos!$A:$A,ES$19,Lançamentos!$C:$C,"Material de Escritório")</f>
        <v>0</v>
      </c>
      <c r="ET42" s="39">
        <f>SUMIFS(Lançamentos!$G:$G,Lançamentos!$A:$A,ET$19,Lançamentos!$C:$C,"Material de Escritório")</f>
        <v>0</v>
      </c>
      <c r="EU42" s="39">
        <f>SUMIFS(Lançamentos!$G:$G,Lançamentos!$A:$A,EU$19,Lançamentos!$C:$C,"Material de Escritório")</f>
        <v>0</v>
      </c>
      <c r="EV42" s="39">
        <f>SUMIFS(Lançamentos!$G:$G,Lançamentos!$A:$A,EV$19,Lançamentos!$C:$C,"Material de Escritório")</f>
        <v>0</v>
      </c>
      <c r="EW42" s="39">
        <f>SUMIFS(Lançamentos!$G:$G,Lançamentos!$A:$A,EW$19,Lançamentos!$C:$C,"Material de Escritório")</f>
        <v>0</v>
      </c>
      <c r="EX42" s="39">
        <f>SUMIFS(Lançamentos!$G:$G,Lançamentos!$A:$A,EX$19,Lançamentos!$C:$C,"Material de Escritório")</f>
        <v>0</v>
      </c>
      <c r="EY42" s="39">
        <f>SUMIFS(Lançamentos!$G:$G,Lançamentos!$A:$A,EY$19,Lançamentos!$C:$C,"Material de Escritório")</f>
        <v>0</v>
      </c>
      <c r="EZ42" s="39">
        <f>SUMIFS(Lançamentos!$G:$G,Lançamentos!$A:$A,EZ$19,Lançamentos!$C:$C,"Material de Escritório")</f>
        <v>0</v>
      </c>
      <c r="FA42" s="39">
        <f>SUMIFS(Lançamentos!$G:$G,Lançamentos!$A:$A,FA$19,Lançamentos!$C:$C,"Material de Escritório")</f>
        <v>0</v>
      </c>
      <c r="FB42" s="39">
        <f>SUMIFS(Lançamentos!$G:$G,Lançamentos!$A:$A,FB$19,Lançamentos!$C:$C,"Material de Escritório")</f>
        <v>0</v>
      </c>
      <c r="FC42" s="39">
        <f>SUMIFS(Lançamentos!$G:$G,Lançamentos!$A:$A,FC$19,Lançamentos!$C:$C,"Material de Escritório")</f>
        <v>0</v>
      </c>
      <c r="FD42" s="39">
        <f>SUMIFS(Lançamentos!$G:$G,Lançamentos!$A:$A,FD$19,Lançamentos!$C:$C,"Material de Escritório")</f>
        <v>0</v>
      </c>
      <c r="FE42" s="39">
        <f>SUMIFS(Lançamentos!$G:$G,Lançamentos!$A:$A,FE$19,Lançamentos!$C:$C,"Material de Escritório")</f>
        <v>0</v>
      </c>
      <c r="FF42" s="39">
        <f>SUMIFS(Lançamentos!$G:$G,Lançamentos!$A:$A,FF$19,Lançamentos!$C:$C,"Material de Escritório")</f>
        <v>0</v>
      </c>
      <c r="FG42" s="39">
        <f>SUMIFS(Lançamentos!$G:$G,Lançamentos!$A:$A,FG$19,Lançamentos!$C:$C,"Material de Escritório")</f>
        <v>0</v>
      </c>
      <c r="FH42" s="39">
        <f>SUMIFS(Lançamentos!$G:$G,Lançamentos!$A:$A,FH$19,Lançamentos!$C:$C,"Material de Escritório")</f>
        <v>0</v>
      </c>
      <c r="FI42" s="39">
        <f>SUMIFS(Lançamentos!$G:$G,Lançamentos!$A:$A,FI$19,Lançamentos!$C:$C,"Material de Escritório")</f>
        <v>0</v>
      </c>
      <c r="FJ42" s="39">
        <f>SUMIFS(Lançamentos!$G:$G,Lançamentos!$A:$A,FJ$19,Lançamentos!$C:$C,"Material de Escritório")</f>
        <v>0</v>
      </c>
      <c r="FK42" s="39">
        <f>SUMIFS(Lançamentos!$G:$G,Lançamentos!$A:$A,FK$19,Lançamentos!$C:$C,"Material de Escritório")</f>
        <v>0</v>
      </c>
      <c r="FL42" s="39">
        <f>SUMIFS(Lançamentos!$G:$G,Lançamentos!$A:$A,FL$19,Lançamentos!$C:$C,"Material de Escritório")</f>
        <v>0</v>
      </c>
      <c r="FM42" s="39">
        <f>SUMIFS(Lançamentos!$G:$G,Lançamentos!$A:$A,FM$19,Lançamentos!$C:$C,"Material de Escritório")</f>
        <v>0</v>
      </c>
      <c r="FN42" s="39">
        <f>SUMIFS(Lançamentos!$G:$G,Lançamentos!$A:$A,FN$19,Lançamentos!$C:$C,"Material de Escritório")</f>
        <v>0</v>
      </c>
      <c r="FO42" s="39">
        <f>SUMIFS(Lançamentos!$G:$G,Lançamentos!$A:$A,FO$19,Lançamentos!$C:$C,"Material de Escritório")</f>
        <v>0</v>
      </c>
      <c r="FP42" s="39">
        <f>SUMIFS(Lançamentos!$G:$G,Lançamentos!$A:$A,FP$19,Lançamentos!$C:$C,"Material de Escritório")</f>
        <v>0</v>
      </c>
      <c r="FQ42" s="39">
        <f>SUMIFS(Lançamentos!$G:$G,Lançamentos!$A:$A,FQ$19,Lançamentos!$C:$C,"Material de Escritório")</f>
        <v>0</v>
      </c>
      <c r="FR42" s="39">
        <f>SUMIFS(Lançamentos!$G:$G,Lançamentos!$A:$A,FR$19,Lançamentos!$C:$C,"Material de Escritório")</f>
        <v>0</v>
      </c>
      <c r="FS42" s="39">
        <f>SUMIFS(Lançamentos!$G:$G,Lançamentos!$A:$A,FS$19,Lançamentos!$C:$C,"Material de Escritório")</f>
        <v>0</v>
      </c>
      <c r="FT42" s="39">
        <f>SUMIFS(Lançamentos!$G:$G,Lançamentos!$A:$A,FT$19,Lançamentos!$C:$C,"Material de Escritório")</f>
        <v>0</v>
      </c>
      <c r="FU42" s="39">
        <f>SUMIFS(Lançamentos!$G:$G,Lançamentos!$A:$A,FU$19,Lançamentos!$C:$C,"Material de Escritório")</f>
        <v>0</v>
      </c>
      <c r="FV42" s="39">
        <f>SUMIFS(Lançamentos!$G:$G,Lançamentos!$A:$A,FV$19,Lançamentos!$C:$C,"Material de Escritório")</f>
        <v>0</v>
      </c>
      <c r="FW42" s="39">
        <f>SUMIFS(Lançamentos!$G:$G,Lançamentos!$A:$A,FW$19,Lançamentos!$C:$C,"Material de Escritório")</f>
        <v>0</v>
      </c>
      <c r="FX42" s="39">
        <f>SUMIFS(Lançamentos!$G:$G,Lançamentos!$A:$A,FX$19,Lançamentos!$C:$C,"Material de Escritório")</f>
        <v>0</v>
      </c>
      <c r="FY42" s="39">
        <f>SUMIFS(Lançamentos!$G:$G,Lançamentos!$A:$A,FY$19,Lançamentos!$C:$C,"Material de Escritório")</f>
        <v>0</v>
      </c>
      <c r="FZ42" s="39">
        <f>SUMIFS(Lançamentos!$G:$G,Lançamentos!$A:$A,FZ$19,Lançamentos!$C:$C,"Material de Escritório")</f>
        <v>0</v>
      </c>
      <c r="GA42" s="39">
        <f>SUMIFS(Lançamentos!$G:$G,Lançamentos!$A:$A,GA$19,Lançamentos!$C:$C,"Material de Escritório")</f>
        <v>0</v>
      </c>
      <c r="GB42" s="39">
        <f>SUMIFS(Lançamentos!$G:$G,Lançamentos!$A:$A,GB$19,Lançamentos!$C:$C,"Material de Escritório")</f>
        <v>0</v>
      </c>
      <c r="GC42" s="39">
        <f>SUMIFS(Lançamentos!$G:$G,Lançamentos!$A:$A,GC$19,Lançamentos!$C:$C,"Material de Escritório")</f>
        <v>0</v>
      </c>
      <c r="GD42" s="39">
        <f>SUMIFS(Lançamentos!$G:$G,Lançamentos!$A:$A,GD$19,Lançamentos!$C:$C,"Material de Escritório")</f>
        <v>0</v>
      </c>
      <c r="GE42" s="39">
        <f>SUMIFS(Lançamentos!$G:$G,Lançamentos!$A:$A,GE$19,Lançamentos!$C:$C,"Material de Escritório")</f>
        <v>0</v>
      </c>
      <c r="GF42" s="39">
        <f>SUMIFS(Lançamentos!$G:$G,Lançamentos!$A:$A,GF$19,Lançamentos!$C:$C,"Material de Escritório")</f>
        <v>0</v>
      </c>
      <c r="GG42" s="39">
        <f>SUMIFS(Lançamentos!$G:$G,Lançamentos!$A:$A,GG$19,Lançamentos!$C:$C,"Material de Escritório")</f>
        <v>0</v>
      </c>
      <c r="GH42" s="39">
        <f>SUMIFS(Lançamentos!$G:$G,Lançamentos!$A:$A,GH$19,Lançamentos!$C:$C,"Material de Escritório")</f>
        <v>0</v>
      </c>
      <c r="GI42" s="39">
        <f>SUMIFS(Lançamentos!$G:$G,Lançamentos!$A:$A,GI$19,Lançamentos!$C:$C,"Material de Escritório")</f>
        <v>0</v>
      </c>
      <c r="GJ42" s="39">
        <f>SUMIFS(Lançamentos!$G:$G,Lançamentos!$A:$A,GJ$19,Lançamentos!$C:$C,"Material de Escritório")</f>
        <v>0</v>
      </c>
      <c r="GK42" s="39">
        <f>SUMIFS(Lançamentos!$G:$G,Lançamentos!$A:$A,GK$19,Lançamentos!$C:$C,"Material de Escritório")</f>
        <v>0</v>
      </c>
      <c r="GL42" s="39">
        <f>SUMIFS(Lançamentos!$G:$G,Lançamentos!$A:$A,GL$19,Lançamentos!$C:$C,"Material de Escritório")</f>
        <v>0</v>
      </c>
      <c r="GM42" s="39">
        <f>SUMIFS(Lançamentos!$G:$G,Lançamentos!$A:$A,GM$19,Lançamentos!$C:$C,"Material de Escritório")</f>
        <v>0</v>
      </c>
      <c r="GN42" s="39">
        <f>SUMIFS(Lançamentos!$G:$G,Lançamentos!$A:$A,GN$19,Lançamentos!$C:$C,"Material de Escritório")</f>
        <v>0</v>
      </c>
      <c r="GO42" s="39">
        <f>SUMIFS(Lançamentos!$G:$G,Lançamentos!$A:$A,GO$19,Lançamentos!$C:$C,"Material de Escritório")</f>
        <v>0</v>
      </c>
      <c r="GP42" s="39">
        <f>SUMIFS(Lançamentos!$G:$G,Lançamentos!$A:$A,GP$19,Lançamentos!$C:$C,"Material de Escritório")</f>
        <v>0</v>
      </c>
      <c r="GQ42" s="39">
        <f>SUMIFS(Lançamentos!$G:$G,Lançamentos!$A:$A,GQ$19,Lançamentos!$C:$C,"Material de Escritório")</f>
        <v>0</v>
      </c>
      <c r="GR42" s="39">
        <f>SUMIFS(Lançamentos!$G:$G,Lançamentos!$A:$A,GR$19,Lançamentos!$C:$C,"Material de Escritório")</f>
        <v>0</v>
      </c>
      <c r="GS42" s="39">
        <f>SUMIFS(Lançamentos!$G:$G,Lançamentos!$A:$A,GS$19,Lançamentos!$C:$C,"Material de Escritório")</f>
        <v>0</v>
      </c>
      <c r="GT42" s="39">
        <f>SUMIFS(Lançamentos!$G:$G,Lançamentos!$A:$A,GT$19,Lançamentos!$C:$C,"Material de Escritório")</f>
        <v>0</v>
      </c>
      <c r="GU42" s="39">
        <f>SUMIFS(Lançamentos!$G:$G,Lançamentos!$A:$A,GU$19,Lançamentos!$C:$C,"Material de Escritório")</f>
        <v>0</v>
      </c>
      <c r="GV42" s="39">
        <f>SUMIFS(Lançamentos!$G:$G,Lançamentos!$A:$A,GV$19,Lançamentos!$C:$C,"Material de Escritório")</f>
        <v>0</v>
      </c>
      <c r="GW42" s="39">
        <f>SUMIFS(Lançamentos!$G:$G,Lançamentos!$A:$A,GW$19,Lançamentos!$C:$C,"Material de Escritório")</f>
        <v>0</v>
      </c>
      <c r="GX42" s="39">
        <f>SUMIFS(Lançamentos!$G:$G,Lançamentos!$A:$A,GX$19,Lançamentos!$C:$C,"Material de Escritório")</f>
        <v>0</v>
      </c>
      <c r="GY42" s="39">
        <f>SUMIFS(Lançamentos!$G:$G,Lançamentos!$A:$A,GY$19,Lançamentos!$C:$C,"Material de Escritório")</f>
        <v>0</v>
      </c>
      <c r="GZ42" s="39">
        <f>SUMIFS(Lançamentos!$G:$G,Lançamentos!$A:$A,GZ$19,Lançamentos!$C:$C,"Material de Escritório")</f>
        <v>0</v>
      </c>
      <c r="HA42" s="39">
        <f>SUMIFS(Lançamentos!$G:$G,Lançamentos!$A:$A,HA$19,Lançamentos!$C:$C,"Material de Escritório")</f>
        <v>0</v>
      </c>
      <c r="HB42" s="39">
        <f>SUMIFS(Lançamentos!$G:$G,Lançamentos!$A:$A,HB$19,Lançamentos!$C:$C,"Material de Escritório")</f>
        <v>0</v>
      </c>
      <c r="HC42" s="39">
        <f>SUMIFS(Lançamentos!$G:$G,Lançamentos!$A:$A,HC$19,Lançamentos!$C:$C,"Material de Escritório")</f>
        <v>0</v>
      </c>
      <c r="HD42" s="39">
        <f>SUMIFS(Lançamentos!$G:$G,Lançamentos!$A:$A,HD$19,Lançamentos!$C:$C,"Material de Escritório")</f>
        <v>0</v>
      </c>
      <c r="HE42" s="39">
        <f>SUMIFS(Lançamentos!$G:$G,Lançamentos!$A:$A,HE$19,Lançamentos!$C:$C,"Material de Escritório")</f>
        <v>0</v>
      </c>
      <c r="HF42" s="39">
        <f>SUMIFS(Lançamentos!$G:$G,Lançamentos!$A:$A,HF$19,Lançamentos!$C:$C,"Material de Escritório")</f>
        <v>0</v>
      </c>
      <c r="HG42" s="39">
        <f>SUMIFS(Lançamentos!$G:$G,Lançamentos!$A:$A,HG$19,Lançamentos!$C:$C,"Material de Escritório")</f>
        <v>0</v>
      </c>
      <c r="HH42" s="39">
        <f>SUMIFS(Lançamentos!$G:$G,Lançamentos!$A:$A,HH$19,Lançamentos!$C:$C,"Material de Escritório")</f>
        <v>0</v>
      </c>
      <c r="HI42" s="39">
        <f>SUMIFS(Lançamentos!$G:$G,Lançamentos!$A:$A,HI$19,Lançamentos!$C:$C,"Material de Escritório")</f>
        <v>0</v>
      </c>
      <c r="HJ42" s="39">
        <f>SUMIFS(Lançamentos!$G:$G,Lançamentos!$A:$A,HJ$19,Lançamentos!$C:$C,"Material de Escritório")</f>
        <v>0</v>
      </c>
      <c r="HK42" s="39">
        <f>SUMIFS(Lançamentos!$G:$G,Lançamentos!$A:$A,HK$19,Lançamentos!$C:$C,"Material de Escritório")</f>
        <v>0</v>
      </c>
      <c r="HL42" s="39">
        <f>SUMIFS(Lançamentos!$G:$G,Lançamentos!$A:$A,HL$19,Lançamentos!$C:$C,"Material de Escritório")</f>
        <v>0</v>
      </c>
      <c r="HM42" s="39">
        <f>SUMIFS(Lançamentos!$G:$G,Lançamentos!$A:$A,HM$19,Lançamentos!$C:$C,"Material de Escritório")</f>
        <v>0</v>
      </c>
      <c r="HN42" s="39">
        <f>SUMIFS(Lançamentos!$G:$G,Lançamentos!$A:$A,HN$19,Lançamentos!$C:$C,"Material de Escritório")</f>
        <v>0</v>
      </c>
      <c r="HO42" s="39">
        <f>SUMIFS(Lançamentos!$G:$G,Lançamentos!$A:$A,HO$19,Lançamentos!$C:$C,"Material de Escritório")</f>
        <v>0</v>
      </c>
      <c r="HP42" s="39">
        <f>SUMIFS(Lançamentos!$G:$G,Lançamentos!$A:$A,HP$19,Lançamentos!$C:$C,"Material de Escritório")</f>
        <v>0</v>
      </c>
      <c r="HQ42" s="39">
        <f>SUMIFS(Lançamentos!$G:$G,Lançamentos!$A:$A,HQ$19,Lançamentos!$C:$C,"Material de Escritório")</f>
        <v>0</v>
      </c>
      <c r="HR42" s="39">
        <f>SUMIFS(Lançamentos!$G:$G,Lançamentos!$A:$A,HR$19,Lançamentos!$C:$C,"Material de Escritório")</f>
        <v>0</v>
      </c>
      <c r="HS42" s="39">
        <f>SUMIFS(Lançamentos!$G:$G,Lançamentos!$A:$A,HS$19,Lançamentos!$C:$C,"Material de Escritório")</f>
        <v>0</v>
      </c>
      <c r="HT42" s="39">
        <f>SUMIFS(Lançamentos!$G:$G,Lançamentos!$A:$A,HT$19,Lançamentos!$C:$C,"Material de Escritório")</f>
        <v>0</v>
      </c>
      <c r="HU42" s="39">
        <f>SUMIFS(Lançamentos!$G:$G,Lançamentos!$A:$A,HU$19,Lançamentos!$C:$C,"Material de Escritório")</f>
        <v>0</v>
      </c>
      <c r="HV42" s="39">
        <f>SUMIFS(Lançamentos!$G:$G,Lançamentos!$A:$A,HV$19,Lançamentos!$C:$C,"Material de Escritório")</f>
        <v>0</v>
      </c>
      <c r="HW42" s="39">
        <f>SUMIFS(Lançamentos!$G:$G,Lançamentos!$A:$A,HW$19,Lançamentos!$C:$C,"Material de Escritório")</f>
        <v>0</v>
      </c>
      <c r="HX42" s="39">
        <f>SUMIFS(Lançamentos!$G:$G,Lançamentos!$A:$A,HX$19,Lançamentos!$C:$C,"Material de Escritório")</f>
        <v>0</v>
      </c>
      <c r="HY42" s="39">
        <f>SUMIFS(Lançamentos!$G:$G,Lançamentos!$A:$A,HY$19,Lançamentos!$C:$C,"Material de Escritório")</f>
        <v>0</v>
      </c>
      <c r="HZ42" s="39">
        <f>SUMIFS(Lançamentos!$G:$G,Lançamentos!$A:$A,HZ$19,Lançamentos!$C:$C,"Material de Escritório")</f>
        <v>0</v>
      </c>
      <c r="IA42" s="39">
        <f>SUMIFS(Lançamentos!$G:$G,Lançamentos!$A:$A,IA$19,Lançamentos!$C:$C,"Material de Escritório")</f>
        <v>0</v>
      </c>
      <c r="IB42" s="39">
        <f>SUMIFS(Lançamentos!$G:$G,Lançamentos!$A:$A,IB$19,Lançamentos!$C:$C,"Material de Escritório")</f>
        <v>0</v>
      </c>
      <c r="IC42" s="39">
        <f>SUMIFS(Lançamentos!$G:$G,Lançamentos!$A:$A,IC$19,Lançamentos!$C:$C,"Material de Escritório")</f>
        <v>0</v>
      </c>
      <c r="ID42" s="39">
        <f>SUMIFS(Lançamentos!$G:$G,Lançamentos!$A:$A,ID$19,Lançamentos!$C:$C,"Material de Escritório")</f>
        <v>0</v>
      </c>
      <c r="IE42" s="39">
        <f>SUMIFS(Lançamentos!$G:$G,Lançamentos!$A:$A,IE$19,Lançamentos!$C:$C,"Material de Escritório")</f>
        <v>0</v>
      </c>
      <c r="IF42" s="39">
        <f>SUMIFS(Lançamentos!$G:$G,Lançamentos!$A:$A,IF$19,Lançamentos!$C:$C,"Material de Escritório")</f>
        <v>0</v>
      </c>
      <c r="IG42" s="39">
        <f>SUMIFS(Lançamentos!$G:$G,Lançamentos!$A:$A,IG$19,Lançamentos!$C:$C,"Material de Escritório")</f>
        <v>0</v>
      </c>
      <c r="IH42" s="39">
        <f>SUMIFS(Lançamentos!$G:$G,Lançamentos!$A:$A,IH$19,Lançamentos!$C:$C,"Material de Escritório")</f>
        <v>0</v>
      </c>
      <c r="II42" s="39">
        <f>SUMIFS(Lançamentos!$G:$G,Lançamentos!$A:$A,II$19,Lançamentos!$C:$C,"Material de Escritório")</f>
        <v>0</v>
      </c>
      <c r="IJ42" s="39">
        <f>SUMIFS(Lançamentos!$G:$G,Lançamentos!$A:$A,IJ$19,Lançamentos!$C:$C,"Material de Escritório")</f>
        <v>0</v>
      </c>
      <c r="IK42" s="39">
        <f>SUMIFS(Lançamentos!$G:$G,Lançamentos!$A:$A,IK$19,Lançamentos!$C:$C,"Material de Escritório")</f>
        <v>0</v>
      </c>
      <c r="IL42" s="39">
        <f>SUMIFS(Lançamentos!$G:$G,Lançamentos!$A:$A,IL$19,Lançamentos!$C:$C,"Material de Escritório")</f>
        <v>0</v>
      </c>
    </row>
    <row r="43" spans="1:246" x14ac:dyDescent="0.3">
      <c r="A43" t="s">
        <v>20</v>
      </c>
      <c r="B43" s="39">
        <f>SUMIFS(Lançamentos!$G:$G,Lançamentos!$A:$A,B$19,Lançamentos!$C:$C,"Marketing e Publicidade")</f>
        <v>0</v>
      </c>
      <c r="C43" s="39">
        <f>SUMIFS(Lançamentos!$G:$G,Lançamentos!$A:$A,C$19,Lançamentos!$C:$C,"Marketing e Publicidade")</f>
        <v>0</v>
      </c>
      <c r="D43" s="39">
        <f>SUMIFS(Lançamentos!$G:$G,Lançamentos!$A:$A,D$19,Lançamentos!$C:$C,"Marketing e Publicidade")</f>
        <v>0</v>
      </c>
      <c r="E43" s="39">
        <f>SUMIFS(Lançamentos!$G:$G,Lançamentos!$A:$A,E$19,Lançamentos!$C:$C,"Marketing e Publicidade")</f>
        <v>0</v>
      </c>
      <c r="F43" s="39">
        <f>SUMIFS(Lançamentos!$G:$G,Lançamentos!$A:$A,F$19,Lançamentos!$C:$C,"Marketing e Publicidade")</f>
        <v>0</v>
      </c>
      <c r="G43" s="39">
        <f>SUMIFS(Lançamentos!$G:$G,Lançamentos!$A:$A,G$19,Lançamentos!$C:$C,"Marketing e Publicidade")</f>
        <v>0</v>
      </c>
      <c r="H43" s="39">
        <f>SUMIFS(Lançamentos!$G:$G,Lançamentos!$A:$A,H$19,Lançamentos!$C:$C,"Marketing e Publicidade")</f>
        <v>0</v>
      </c>
      <c r="I43" s="39">
        <f>SUMIFS(Lançamentos!$G:$G,Lançamentos!$A:$A,I$19,Lançamentos!$C:$C,"Marketing e Publicidade")</f>
        <v>0</v>
      </c>
      <c r="J43" s="39">
        <f>SUMIFS(Lançamentos!$G:$G,Lançamentos!$A:$A,J$19,Lançamentos!$C:$C,"Marketing e Publicidade")</f>
        <v>0</v>
      </c>
      <c r="K43" s="39">
        <f>SUMIFS(Lançamentos!$G:$G,Lançamentos!$A:$A,K$19,Lançamentos!$C:$C,"Marketing e Publicidade")</f>
        <v>0</v>
      </c>
      <c r="L43" s="39">
        <f>SUMIFS(Lançamentos!$G:$G,Lançamentos!$A:$A,L$19,Lançamentos!$C:$C,"Marketing e Publicidade")</f>
        <v>0</v>
      </c>
      <c r="M43" s="39">
        <f>SUMIFS(Lançamentos!$G:$G,Lançamentos!$A:$A,M$19,Lançamentos!$C:$C,"Marketing e Publicidade")</f>
        <v>0</v>
      </c>
      <c r="N43" s="39">
        <f>SUMIFS(Lançamentos!$G:$G,Lançamentos!$A:$A,N$19,Lançamentos!$C:$C,"Marketing e Publicidade")</f>
        <v>0</v>
      </c>
      <c r="O43" s="39">
        <f>SUMIFS(Lançamentos!$G:$G,Lançamentos!$A:$A,O$19,Lançamentos!$C:$C,"Marketing e Publicidade")</f>
        <v>0</v>
      </c>
      <c r="P43" s="39">
        <f>SUMIFS(Lançamentos!$G:$G,Lançamentos!$A:$A,P$19,Lançamentos!$C:$C,"Marketing e Publicidade")</f>
        <v>0</v>
      </c>
      <c r="Q43" s="39">
        <f>SUMIFS(Lançamentos!$G:$G,Lançamentos!$A:$A,Q$19,Lançamentos!$C:$C,"Marketing e Publicidade")</f>
        <v>0</v>
      </c>
      <c r="R43" s="39">
        <f>SUMIFS(Lançamentos!$G:$G,Lançamentos!$A:$A,R$19,Lançamentos!$C:$C,"Marketing e Publicidade")</f>
        <v>0</v>
      </c>
      <c r="S43" s="39">
        <f>SUMIFS(Lançamentos!$G:$G,Lançamentos!$A:$A,S$19,Lançamentos!$C:$C,"Marketing e Publicidade")</f>
        <v>0</v>
      </c>
      <c r="T43" s="39">
        <f>SUMIFS(Lançamentos!$G:$G,Lançamentos!$A:$A,T$19,Lançamentos!$C:$C,"Marketing e Publicidade")</f>
        <v>0</v>
      </c>
      <c r="U43" s="39">
        <f>SUMIFS(Lançamentos!$G:$G,Lançamentos!$A:$A,U$19,Lançamentos!$C:$C,"Marketing e Publicidade")</f>
        <v>0</v>
      </c>
      <c r="V43" s="39">
        <f>SUMIFS(Lançamentos!$G:$G,Lançamentos!$A:$A,V$19,Lançamentos!$C:$C,"Marketing e Publicidade")</f>
        <v>0</v>
      </c>
      <c r="W43" s="39">
        <f>SUMIFS(Lançamentos!$G:$G,Lançamentos!$A:$A,W$19,Lançamentos!$C:$C,"Marketing e Publicidade")</f>
        <v>0</v>
      </c>
      <c r="X43" s="39">
        <f>SUMIFS(Lançamentos!$G:$G,Lançamentos!$A:$A,X$19,Lançamentos!$C:$C,"Marketing e Publicidade")</f>
        <v>0</v>
      </c>
      <c r="Y43" s="39">
        <f>SUMIFS(Lançamentos!$G:$G,Lançamentos!$A:$A,Y$19,Lançamentos!$C:$C,"Marketing e Publicidade")</f>
        <v>0</v>
      </c>
      <c r="Z43" s="39">
        <f>SUMIFS(Lançamentos!$G:$G,Lançamentos!$A:$A,Z$19,Lançamentos!$C:$C,"Marketing e Publicidade")</f>
        <v>0</v>
      </c>
      <c r="AA43" s="39">
        <f>SUMIFS(Lançamentos!$G:$G,Lançamentos!$A:$A,AA$19,Lançamentos!$C:$C,"Marketing e Publicidade")</f>
        <v>0</v>
      </c>
      <c r="AB43" s="39">
        <f>SUMIFS(Lançamentos!$G:$G,Lançamentos!$A:$A,AB$19,Lançamentos!$C:$C,"Marketing e Publicidade")</f>
        <v>0</v>
      </c>
      <c r="AC43" s="39">
        <f>SUMIFS(Lançamentos!$G:$G,Lançamentos!$A:$A,AC$19,Lançamentos!$C:$C,"Marketing e Publicidade")</f>
        <v>0</v>
      </c>
      <c r="AD43" s="39">
        <f>SUMIFS(Lançamentos!$G:$G,Lançamentos!$A:$A,AD$19,Lançamentos!$C:$C,"Marketing e Publicidade")</f>
        <v>0</v>
      </c>
      <c r="AE43" s="39">
        <f>SUMIFS(Lançamentos!$G:$G,Lançamentos!$A:$A,AE$19,Lançamentos!$C:$C,"Marketing e Publicidade")</f>
        <v>0</v>
      </c>
      <c r="AF43" s="39">
        <f>SUMIFS(Lançamentos!$G:$G,Lançamentos!$A:$A,AF$19,Lançamentos!$C:$C,"Marketing e Publicidade")</f>
        <v>0</v>
      </c>
      <c r="AG43" s="39">
        <f>SUMIFS(Lançamentos!$G:$G,Lançamentos!$A:$A,AG$19,Lançamentos!$C:$C,"Marketing e Publicidade")</f>
        <v>0</v>
      </c>
      <c r="AH43" s="39">
        <f>SUMIFS(Lançamentos!$G:$G,Lançamentos!$A:$A,AH$19,Lançamentos!$C:$C,"Marketing e Publicidade")</f>
        <v>0</v>
      </c>
      <c r="AI43" s="39">
        <f>SUMIFS(Lançamentos!$G:$G,Lançamentos!$A:$A,AI$19,Lançamentos!$C:$C,"Marketing e Publicidade")</f>
        <v>0</v>
      </c>
      <c r="AJ43" s="39">
        <f>SUMIFS(Lançamentos!$G:$G,Lançamentos!$A:$A,AJ$19,Lançamentos!$C:$C,"Marketing e Publicidade")</f>
        <v>0</v>
      </c>
      <c r="AK43" s="39">
        <f>SUMIFS(Lançamentos!$G:$G,Lançamentos!$A:$A,AK$19,Lançamentos!$C:$C,"Marketing e Publicidade")</f>
        <v>0</v>
      </c>
      <c r="AL43" s="39">
        <f>SUMIFS(Lançamentos!$G:$G,Lançamentos!$A:$A,AL$19,Lançamentos!$C:$C,"Marketing e Publicidade")</f>
        <v>0</v>
      </c>
      <c r="AM43" s="39">
        <f>SUMIFS(Lançamentos!$G:$G,Lançamentos!$A:$A,AM$19,Lançamentos!$C:$C,"Marketing e Publicidade")</f>
        <v>0</v>
      </c>
      <c r="AN43" s="39">
        <f>SUMIFS(Lançamentos!$G:$G,Lançamentos!$A:$A,AN$19,Lançamentos!$C:$C,"Marketing e Publicidade")</f>
        <v>0</v>
      </c>
      <c r="AO43" s="39">
        <f>SUMIFS(Lançamentos!$G:$G,Lançamentos!$A:$A,AO$19,Lançamentos!$C:$C,"Marketing e Publicidade")</f>
        <v>0</v>
      </c>
      <c r="AP43" s="39">
        <f>SUMIFS(Lançamentos!$G:$G,Lançamentos!$A:$A,AP$19,Lançamentos!$C:$C,"Marketing e Publicidade")</f>
        <v>0</v>
      </c>
      <c r="AQ43" s="39">
        <f>SUMIFS(Lançamentos!$G:$G,Lançamentos!$A:$A,AQ$19,Lançamentos!$C:$C,"Marketing e Publicidade")</f>
        <v>0</v>
      </c>
      <c r="AR43" s="39">
        <f>SUMIFS(Lançamentos!$G:$G,Lançamentos!$A:$A,AR$19,Lançamentos!$C:$C,"Marketing e Publicidade")</f>
        <v>0</v>
      </c>
      <c r="AS43" s="39">
        <f>SUMIFS(Lançamentos!$G:$G,Lançamentos!$A:$A,AS$19,Lançamentos!$C:$C,"Marketing e Publicidade")</f>
        <v>0</v>
      </c>
      <c r="AT43" s="39">
        <f>SUMIFS(Lançamentos!$G:$G,Lançamentos!$A:$A,AT$19,Lançamentos!$C:$C,"Marketing e Publicidade")</f>
        <v>0</v>
      </c>
      <c r="AU43" s="39">
        <f>SUMIFS(Lançamentos!$G:$G,Lançamentos!$A:$A,AU$19,Lançamentos!$C:$C,"Marketing e Publicidade")</f>
        <v>0</v>
      </c>
      <c r="AV43" s="39">
        <f>SUMIFS(Lançamentos!$G:$G,Lançamentos!$A:$A,AV$19,Lançamentos!$C:$C,"Marketing e Publicidade")</f>
        <v>0</v>
      </c>
      <c r="AW43" s="39">
        <f>SUMIFS(Lançamentos!$G:$G,Lançamentos!$A:$A,AW$19,Lançamentos!$C:$C,"Marketing e Publicidade")</f>
        <v>0</v>
      </c>
      <c r="AX43" s="39">
        <f>SUMIFS(Lançamentos!$G:$G,Lançamentos!$A:$A,AX$19,Lançamentos!$C:$C,"Marketing e Publicidade")</f>
        <v>0</v>
      </c>
      <c r="AY43" s="39">
        <f>SUMIFS(Lançamentos!$G:$G,Lançamentos!$A:$A,AY$19,Lançamentos!$C:$C,"Marketing e Publicidade")</f>
        <v>0</v>
      </c>
      <c r="AZ43" s="39">
        <f>SUMIFS(Lançamentos!$G:$G,Lançamentos!$A:$A,AZ$19,Lançamentos!$C:$C,"Marketing e Publicidade")</f>
        <v>0</v>
      </c>
      <c r="BA43" s="39">
        <f>SUMIFS(Lançamentos!$G:$G,Lançamentos!$A:$A,BA$19,Lançamentos!$C:$C,"Marketing e Publicidade")</f>
        <v>0</v>
      </c>
      <c r="BB43" s="39">
        <f>SUMIFS(Lançamentos!$G:$G,Lançamentos!$A:$A,BB$19,Lançamentos!$C:$C,"Marketing e Publicidade")</f>
        <v>0</v>
      </c>
      <c r="BC43" s="39">
        <f>SUMIFS(Lançamentos!$G:$G,Lançamentos!$A:$A,BC$19,Lançamentos!$C:$C,"Marketing e Publicidade")</f>
        <v>0</v>
      </c>
      <c r="BD43" s="39">
        <f>SUMIFS(Lançamentos!$G:$G,Lançamentos!$A:$A,BD$19,Lançamentos!$C:$C,"Marketing e Publicidade")</f>
        <v>0</v>
      </c>
      <c r="BE43" s="39">
        <f>SUMIFS(Lançamentos!$G:$G,Lançamentos!$A:$A,BE$19,Lançamentos!$C:$C,"Marketing e Publicidade")</f>
        <v>0</v>
      </c>
      <c r="BF43" s="39">
        <f>SUMIFS(Lançamentos!$G:$G,Lançamentos!$A:$A,BF$19,Lançamentos!$C:$C,"Marketing e Publicidade")</f>
        <v>0</v>
      </c>
      <c r="BG43" s="39">
        <f>SUMIFS(Lançamentos!$G:$G,Lançamentos!$A:$A,BG$19,Lançamentos!$C:$C,"Marketing e Publicidade")</f>
        <v>0</v>
      </c>
      <c r="BH43" s="39">
        <f>SUMIFS(Lançamentos!$G:$G,Lançamentos!$A:$A,BH$19,Lançamentos!$C:$C,"Marketing e Publicidade")</f>
        <v>0</v>
      </c>
      <c r="BI43" s="39">
        <f>SUMIFS(Lançamentos!$G:$G,Lançamentos!$A:$A,BI$19,Lançamentos!$C:$C,"Marketing e Publicidade")</f>
        <v>0</v>
      </c>
      <c r="BJ43" s="39">
        <f>SUMIFS(Lançamentos!$G:$G,Lançamentos!$A:$A,BJ$19,Lançamentos!$C:$C,"Marketing e Publicidade")</f>
        <v>0</v>
      </c>
      <c r="BK43" s="39">
        <f>SUMIFS(Lançamentos!$G:$G,Lançamentos!$A:$A,BK$19,Lançamentos!$C:$C,"Marketing e Publicidade")</f>
        <v>0</v>
      </c>
      <c r="BL43" s="39">
        <f>SUMIFS(Lançamentos!$G:$G,Lançamentos!$A:$A,BL$19,Lançamentos!$C:$C,"Marketing e Publicidade")</f>
        <v>0</v>
      </c>
      <c r="BM43" s="39">
        <f>SUMIFS(Lançamentos!$G:$G,Lançamentos!$A:$A,BM$19,Lançamentos!$C:$C,"Marketing e Publicidade")</f>
        <v>0</v>
      </c>
      <c r="BN43" s="39">
        <f>SUMIFS(Lançamentos!$G:$G,Lançamentos!$A:$A,BN$19,Lançamentos!$C:$C,"Marketing e Publicidade")</f>
        <v>0</v>
      </c>
      <c r="BO43" s="39">
        <f>SUMIFS(Lançamentos!$G:$G,Lançamentos!$A:$A,BO$19,Lançamentos!$C:$C,"Marketing e Publicidade")</f>
        <v>0</v>
      </c>
      <c r="BP43" s="39">
        <f>SUMIFS(Lançamentos!$G:$G,Lançamentos!$A:$A,BP$19,Lançamentos!$C:$C,"Marketing e Publicidade")</f>
        <v>0</v>
      </c>
      <c r="BQ43" s="39">
        <f>SUMIFS(Lançamentos!$G:$G,Lançamentos!$A:$A,BQ$19,Lançamentos!$C:$C,"Marketing e Publicidade")</f>
        <v>0</v>
      </c>
      <c r="BR43" s="39">
        <f>SUMIFS(Lançamentos!$G:$G,Lançamentos!$A:$A,BR$19,Lançamentos!$C:$C,"Marketing e Publicidade")</f>
        <v>0</v>
      </c>
      <c r="BS43" s="39">
        <f>SUMIFS(Lançamentos!$G:$G,Lançamentos!$A:$A,BS$19,Lançamentos!$C:$C,"Marketing e Publicidade")</f>
        <v>0</v>
      </c>
      <c r="BT43" s="39">
        <f>SUMIFS(Lançamentos!$G:$G,Lançamentos!$A:$A,BT$19,Lançamentos!$C:$C,"Marketing e Publicidade")</f>
        <v>0</v>
      </c>
      <c r="BU43" s="39">
        <f>SUMIFS(Lançamentos!$G:$G,Lançamentos!$A:$A,BU$19,Lançamentos!$C:$C,"Marketing e Publicidade")</f>
        <v>0</v>
      </c>
      <c r="BV43" s="39">
        <f>SUMIFS(Lançamentos!$G:$G,Lançamentos!$A:$A,BV$19,Lançamentos!$C:$C,"Marketing e Publicidade")</f>
        <v>0</v>
      </c>
      <c r="BW43" s="39">
        <f>SUMIFS(Lançamentos!$G:$G,Lançamentos!$A:$A,BW$19,Lançamentos!$C:$C,"Marketing e Publicidade")</f>
        <v>0</v>
      </c>
      <c r="BX43" s="39">
        <f>SUMIFS(Lançamentos!$G:$G,Lançamentos!$A:$A,BX$19,Lançamentos!$C:$C,"Marketing e Publicidade")</f>
        <v>0</v>
      </c>
      <c r="BY43" s="39">
        <f>SUMIFS(Lançamentos!$G:$G,Lançamentos!$A:$A,BY$19,Lançamentos!$C:$C,"Marketing e Publicidade")</f>
        <v>0</v>
      </c>
      <c r="BZ43" s="39">
        <f>SUMIFS(Lançamentos!$G:$G,Lançamentos!$A:$A,BZ$19,Lançamentos!$C:$C,"Marketing e Publicidade")</f>
        <v>0</v>
      </c>
      <c r="CA43" s="39">
        <f>SUMIFS(Lançamentos!$G:$G,Lançamentos!$A:$A,CA$19,Lançamentos!$C:$C,"Marketing e Publicidade")</f>
        <v>0</v>
      </c>
      <c r="CB43" s="39">
        <f>SUMIFS(Lançamentos!$G:$G,Lançamentos!$A:$A,CB$19,Lançamentos!$C:$C,"Marketing e Publicidade")</f>
        <v>0</v>
      </c>
      <c r="CC43" s="39">
        <f>SUMIFS(Lançamentos!$G:$G,Lançamentos!$A:$A,CC$19,Lançamentos!$C:$C,"Marketing e Publicidade")</f>
        <v>0</v>
      </c>
      <c r="CD43" s="39">
        <f>SUMIFS(Lançamentos!$G:$G,Lançamentos!$A:$A,CD$19,Lançamentos!$C:$C,"Marketing e Publicidade")</f>
        <v>0</v>
      </c>
      <c r="CE43" s="39">
        <f>SUMIFS(Lançamentos!$G:$G,Lançamentos!$A:$A,CE$19,Lançamentos!$C:$C,"Marketing e Publicidade")</f>
        <v>0</v>
      </c>
      <c r="CF43" s="39">
        <f>SUMIFS(Lançamentos!$G:$G,Lançamentos!$A:$A,CF$19,Lançamentos!$C:$C,"Marketing e Publicidade")</f>
        <v>0</v>
      </c>
      <c r="CG43" s="39">
        <f>SUMIFS(Lançamentos!$G:$G,Lançamentos!$A:$A,CG$19,Lançamentos!$C:$C,"Marketing e Publicidade")</f>
        <v>0</v>
      </c>
      <c r="CH43" s="39">
        <f>SUMIFS(Lançamentos!$G:$G,Lançamentos!$A:$A,CH$19,Lançamentos!$C:$C,"Marketing e Publicidade")</f>
        <v>0</v>
      </c>
      <c r="CI43" s="39">
        <f>SUMIFS(Lançamentos!$G:$G,Lançamentos!$A:$A,CI$19,Lançamentos!$C:$C,"Marketing e Publicidade")</f>
        <v>0</v>
      </c>
      <c r="CJ43" s="39">
        <f>SUMIFS(Lançamentos!$G:$G,Lançamentos!$A:$A,CJ$19,Lançamentos!$C:$C,"Marketing e Publicidade")</f>
        <v>0</v>
      </c>
      <c r="CK43" s="39">
        <f>SUMIFS(Lançamentos!$G:$G,Lançamentos!$A:$A,CK$19,Lançamentos!$C:$C,"Marketing e Publicidade")</f>
        <v>0</v>
      </c>
      <c r="CL43" s="39">
        <f>SUMIFS(Lançamentos!$G:$G,Lançamentos!$A:$A,CL$19,Lançamentos!$C:$C,"Marketing e Publicidade")</f>
        <v>0</v>
      </c>
      <c r="CM43" s="39">
        <f>SUMIFS(Lançamentos!$G:$G,Lançamentos!$A:$A,CM$19,Lançamentos!$C:$C,"Marketing e Publicidade")</f>
        <v>0</v>
      </c>
      <c r="CN43" s="39">
        <f>SUMIFS(Lançamentos!$G:$G,Lançamentos!$A:$A,CN$19,Lançamentos!$C:$C,"Marketing e Publicidade")</f>
        <v>0</v>
      </c>
      <c r="CO43" s="39">
        <f>SUMIFS(Lançamentos!$G:$G,Lançamentos!$A:$A,CO$19,Lançamentos!$C:$C,"Marketing e Publicidade")</f>
        <v>0</v>
      </c>
      <c r="CP43" s="39">
        <f>SUMIFS(Lançamentos!$G:$G,Lançamentos!$A:$A,CP$19,Lançamentos!$C:$C,"Marketing e Publicidade")</f>
        <v>0</v>
      </c>
      <c r="CQ43" s="39">
        <f>SUMIFS(Lançamentos!$G:$G,Lançamentos!$A:$A,CQ$19,Lançamentos!$C:$C,"Marketing e Publicidade")</f>
        <v>0</v>
      </c>
      <c r="CR43" s="39">
        <f>SUMIFS(Lançamentos!$G:$G,Lançamentos!$A:$A,CR$19,Lançamentos!$C:$C,"Marketing e Publicidade")</f>
        <v>0</v>
      </c>
      <c r="CS43" s="39">
        <f>SUMIFS(Lançamentos!$G:$G,Lançamentos!$A:$A,CS$19,Lançamentos!$C:$C,"Marketing e Publicidade")</f>
        <v>0</v>
      </c>
      <c r="CT43" s="39">
        <f>SUMIFS(Lançamentos!$G:$G,Lançamentos!$A:$A,CT$19,Lançamentos!$C:$C,"Marketing e Publicidade")</f>
        <v>0</v>
      </c>
      <c r="CU43" s="39">
        <f>SUMIFS(Lançamentos!$G:$G,Lançamentos!$A:$A,CU$19,Lançamentos!$C:$C,"Marketing e Publicidade")</f>
        <v>0</v>
      </c>
      <c r="CV43" s="39">
        <f>SUMIFS(Lançamentos!$G:$G,Lançamentos!$A:$A,CV$19,Lançamentos!$C:$C,"Marketing e Publicidade")</f>
        <v>0</v>
      </c>
      <c r="CW43" s="39">
        <f>SUMIFS(Lançamentos!$G:$G,Lançamentos!$A:$A,CW$19,Lançamentos!$C:$C,"Marketing e Publicidade")</f>
        <v>0</v>
      </c>
      <c r="CX43" s="39">
        <f>SUMIFS(Lançamentos!$G:$G,Lançamentos!$A:$A,CX$19,Lançamentos!$C:$C,"Marketing e Publicidade")</f>
        <v>0</v>
      </c>
      <c r="CY43" s="39">
        <f>SUMIFS(Lançamentos!$G:$G,Lançamentos!$A:$A,CY$19,Lançamentos!$C:$C,"Marketing e Publicidade")</f>
        <v>0</v>
      </c>
      <c r="CZ43" s="39">
        <f>SUMIFS(Lançamentos!$G:$G,Lançamentos!$A:$A,CZ$19,Lançamentos!$C:$C,"Marketing e Publicidade")</f>
        <v>0</v>
      </c>
      <c r="DA43" s="39">
        <f>SUMIFS(Lançamentos!$G:$G,Lançamentos!$A:$A,DA$19,Lançamentos!$C:$C,"Marketing e Publicidade")</f>
        <v>0</v>
      </c>
      <c r="DB43" s="39">
        <f>SUMIFS(Lançamentos!$G:$G,Lançamentos!$A:$A,DB$19,Lançamentos!$C:$C,"Marketing e Publicidade")</f>
        <v>0</v>
      </c>
      <c r="DC43" s="39">
        <f>SUMIFS(Lançamentos!$G:$G,Lançamentos!$A:$A,DC$19,Lançamentos!$C:$C,"Marketing e Publicidade")</f>
        <v>0</v>
      </c>
      <c r="DD43" s="39">
        <f>SUMIFS(Lançamentos!$G:$G,Lançamentos!$A:$A,DD$19,Lançamentos!$C:$C,"Marketing e Publicidade")</f>
        <v>0</v>
      </c>
      <c r="DE43" s="39">
        <f>SUMIFS(Lançamentos!$G:$G,Lançamentos!$A:$A,DE$19,Lançamentos!$C:$C,"Marketing e Publicidade")</f>
        <v>0</v>
      </c>
      <c r="DF43" s="39">
        <f>SUMIFS(Lançamentos!$G:$G,Lançamentos!$A:$A,DF$19,Lançamentos!$C:$C,"Marketing e Publicidade")</f>
        <v>0</v>
      </c>
      <c r="DG43" s="39">
        <f>SUMIFS(Lançamentos!$G:$G,Lançamentos!$A:$A,DG$19,Lançamentos!$C:$C,"Marketing e Publicidade")</f>
        <v>0</v>
      </c>
      <c r="DH43" s="39">
        <f>SUMIFS(Lançamentos!$G:$G,Lançamentos!$A:$A,DH$19,Lançamentos!$C:$C,"Marketing e Publicidade")</f>
        <v>0</v>
      </c>
      <c r="DI43" s="39">
        <f>SUMIFS(Lançamentos!$G:$G,Lançamentos!$A:$A,DI$19,Lançamentos!$C:$C,"Marketing e Publicidade")</f>
        <v>0</v>
      </c>
      <c r="DJ43" s="39">
        <f>SUMIFS(Lançamentos!$G:$G,Lançamentos!$A:$A,DJ$19,Lançamentos!$C:$C,"Marketing e Publicidade")</f>
        <v>0</v>
      </c>
      <c r="DK43" s="39">
        <f>SUMIFS(Lançamentos!$G:$G,Lançamentos!$A:$A,DK$19,Lançamentos!$C:$C,"Marketing e Publicidade")</f>
        <v>0</v>
      </c>
      <c r="DL43" s="39">
        <f>SUMIFS(Lançamentos!$G:$G,Lançamentos!$A:$A,DL$19,Lançamentos!$C:$C,"Marketing e Publicidade")</f>
        <v>0</v>
      </c>
      <c r="DM43" s="39">
        <f>SUMIFS(Lançamentos!$G:$G,Lançamentos!$A:$A,DM$19,Lançamentos!$C:$C,"Marketing e Publicidade")</f>
        <v>0</v>
      </c>
      <c r="DN43" s="39">
        <f>SUMIFS(Lançamentos!$G:$G,Lançamentos!$A:$A,DN$19,Lançamentos!$C:$C,"Marketing e Publicidade")</f>
        <v>0</v>
      </c>
      <c r="DO43" s="39">
        <f>SUMIFS(Lançamentos!$G:$G,Lançamentos!$A:$A,DO$19,Lançamentos!$C:$C,"Marketing e Publicidade")</f>
        <v>0</v>
      </c>
      <c r="DP43" s="39">
        <f>SUMIFS(Lançamentos!$G:$G,Lançamentos!$A:$A,DP$19,Lançamentos!$C:$C,"Marketing e Publicidade")</f>
        <v>0</v>
      </c>
      <c r="DQ43" s="39">
        <f>SUMIFS(Lançamentos!$G:$G,Lançamentos!$A:$A,DQ$19,Lançamentos!$C:$C,"Marketing e Publicidade")</f>
        <v>0</v>
      </c>
      <c r="DR43" s="39">
        <f>SUMIFS(Lançamentos!$G:$G,Lançamentos!$A:$A,DR$19,Lançamentos!$C:$C,"Marketing e Publicidade")</f>
        <v>0</v>
      </c>
      <c r="DS43" s="39">
        <f>SUMIFS(Lançamentos!$G:$G,Lançamentos!$A:$A,DS$19,Lançamentos!$C:$C,"Marketing e Publicidade")</f>
        <v>0</v>
      </c>
      <c r="DT43" s="39">
        <f>SUMIFS(Lançamentos!$G:$G,Lançamentos!$A:$A,DT$19,Lançamentos!$C:$C,"Marketing e Publicidade")</f>
        <v>0</v>
      </c>
      <c r="DU43" s="39">
        <f>SUMIFS(Lançamentos!$G:$G,Lançamentos!$A:$A,DU$19,Lançamentos!$C:$C,"Marketing e Publicidade")</f>
        <v>0</v>
      </c>
      <c r="DV43" s="39">
        <f>SUMIFS(Lançamentos!$G:$G,Lançamentos!$A:$A,DV$19,Lançamentos!$C:$C,"Marketing e Publicidade")</f>
        <v>0</v>
      </c>
      <c r="DW43" s="39">
        <f>SUMIFS(Lançamentos!$G:$G,Lançamentos!$A:$A,DW$19,Lançamentos!$C:$C,"Marketing e Publicidade")</f>
        <v>0</v>
      </c>
      <c r="DX43" s="39">
        <f>SUMIFS(Lançamentos!$G:$G,Lançamentos!$A:$A,DX$19,Lançamentos!$C:$C,"Marketing e Publicidade")</f>
        <v>0</v>
      </c>
      <c r="DY43" s="39">
        <f>SUMIFS(Lançamentos!$G:$G,Lançamentos!$A:$A,DY$19,Lançamentos!$C:$C,"Marketing e Publicidade")</f>
        <v>0</v>
      </c>
      <c r="DZ43" s="39">
        <f>SUMIFS(Lançamentos!$G:$G,Lançamentos!$A:$A,DZ$19,Lançamentos!$C:$C,"Marketing e Publicidade")</f>
        <v>0</v>
      </c>
      <c r="EA43" s="39">
        <f>SUMIFS(Lançamentos!$G:$G,Lançamentos!$A:$A,EA$19,Lançamentos!$C:$C,"Marketing e Publicidade")</f>
        <v>0</v>
      </c>
      <c r="EB43" s="39">
        <f>SUMIFS(Lançamentos!$G:$G,Lançamentos!$A:$A,EB$19,Lançamentos!$C:$C,"Marketing e Publicidade")</f>
        <v>0</v>
      </c>
      <c r="EC43" s="39">
        <f>SUMIFS(Lançamentos!$G:$G,Lançamentos!$A:$A,EC$19,Lançamentos!$C:$C,"Marketing e Publicidade")</f>
        <v>0</v>
      </c>
      <c r="ED43" s="39">
        <f>SUMIFS(Lançamentos!$G:$G,Lançamentos!$A:$A,ED$19,Lançamentos!$C:$C,"Marketing e Publicidade")</f>
        <v>0</v>
      </c>
      <c r="EE43" s="39">
        <f>SUMIFS(Lançamentos!$G:$G,Lançamentos!$A:$A,EE$19,Lançamentos!$C:$C,"Marketing e Publicidade")</f>
        <v>0</v>
      </c>
      <c r="EF43" s="39">
        <f>SUMIFS(Lançamentos!$G:$G,Lançamentos!$A:$A,EF$19,Lançamentos!$C:$C,"Marketing e Publicidade")</f>
        <v>0</v>
      </c>
      <c r="EG43" s="39">
        <f>SUMIFS(Lançamentos!$G:$G,Lançamentos!$A:$A,EG$19,Lançamentos!$C:$C,"Marketing e Publicidade")</f>
        <v>0</v>
      </c>
      <c r="EH43" s="39">
        <f>SUMIFS(Lançamentos!$G:$G,Lançamentos!$A:$A,EH$19,Lançamentos!$C:$C,"Marketing e Publicidade")</f>
        <v>0</v>
      </c>
      <c r="EI43" s="39">
        <f>SUMIFS(Lançamentos!$G:$G,Lançamentos!$A:$A,EI$19,Lançamentos!$C:$C,"Marketing e Publicidade")</f>
        <v>0</v>
      </c>
      <c r="EJ43" s="39">
        <f>SUMIFS(Lançamentos!$G:$G,Lançamentos!$A:$A,EJ$19,Lançamentos!$C:$C,"Marketing e Publicidade")</f>
        <v>0</v>
      </c>
      <c r="EK43" s="39">
        <f>SUMIFS(Lançamentos!$G:$G,Lançamentos!$A:$A,EK$19,Lançamentos!$C:$C,"Marketing e Publicidade")</f>
        <v>0</v>
      </c>
      <c r="EL43" s="39">
        <f>SUMIFS(Lançamentos!$G:$G,Lançamentos!$A:$A,EL$19,Lançamentos!$C:$C,"Marketing e Publicidade")</f>
        <v>0</v>
      </c>
      <c r="EM43" s="39">
        <f>SUMIFS(Lançamentos!$G:$G,Lançamentos!$A:$A,EM$19,Lançamentos!$C:$C,"Marketing e Publicidade")</f>
        <v>0</v>
      </c>
      <c r="EN43" s="39">
        <f>SUMIFS(Lançamentos!$G:$G,Lançamentos!$A:$A,EN$19,Lançamentos!$C:$C,"Marketing e Publicidade")</f>
        <v>0</v>
      </c>
      <c r="EO43" s="39">
        <f>SUMIFS(Lançamentos!$G:$G,Lançamentos!$A:$A,EO$19,Lançamentos!$C:$C,"Marketing e Publicidade")</f>
        <v>0</v>
      </c>
      <c r="EP43" s="39">
        <f>SUMIFS(Lançamentos!$G:$G,Lançamentos!$A:$A,EP$19,Lançamentos!$C:$C,"Marketing e Publicidade")</f>
        <v>0</v>
      </c>
      <c r="EQ43" s="39">
        <f>SUMIFS(Lançamentos!$G:$G,Lançamentos!$A:$A,EQ$19,Lançamentos!$C:$C,"Marketing e Publicidade")</f>
        <v>0</v>
      </c>
      <c r="ER43" s="39">
        <f>SUMIFS(Lançamentos!$G:$G,Lançamentos!$A:$A,ER$19,Lançamentos!$C:$C,"Marketing e Publicidade")</f>
        <v>0</v>
      </c>
      <c r="ES43" s="39">
        <f>SUMIFS(Lançamentos!$G:$G,Lançamentos!$A:$A,ES$19,Lançamentos!$C:$C,"Marketing e Publicidade")</f>
        <v>0</v>
      </c>
      <c r="ET43" s="39">
        <f>SUMIFS(Lançamentos!$G:$G,Lançamentos!$A:$A,ET$19,Lançamentos!$C:$C,"Marketing e Publicidade")</f>
        <v>0</v>
      </c>
      <c r="EU43" s="39">
        <f>SUMIFS(Lançamentos!$G:$G,Lançamentos!$A:$A,EU$19,Lançamentos!$C:$C,"Marketing e Publicidade")</f>
        <v>0</v>
      </c>
      <c r="EV43" s="39">
        <f>SUMIFS(Lançamentos!$G:$G,Lançamentos!$A:$A,EV$19,Lançamentos!$C:$C,"Marketing e Publicidade")</f>
        <v>0</v>
      </c>
      <c r="EW43" s="39">
        <f>SUMIFS(Lançamentos!$G:$G,Lançamentos!$A:$A,EW$19,Lançamentos!$C:$C,"Marketing e Publicidade")</f>
        <v>0</v>
      </c>
      <c r="EX43" s="39">
        <f>SUMIFS(Lançamentos!$G:$G,Lançamentos!$A:$A,EX$19,Lançamentos!$C:$C,"Marketing e Publicidade")</f>
        <v>0</v>
      </c>
      <c r="EY43" s="39">
        <f>SUMIFS(Lançamentos!$G:$G,Lançamentos!$A:$A,EY$19,Lançamentos!$C:$C,"Marketing e Publicidade")</f>
        <v>0</v>
      </c>
      <c r="EZ43" s="39">
        <f>SUMIFS(Lançamentos!$G:$G,Lançamentos!$A:$A,EZ$19,Lançamentos!$C:$C,"Marketing e Publicidade")</f>
        <v>0</v>
      </c>
      <c r="FA43" s="39">
        <f>SUMIFS(Lançamentos!$G:$G,Lançamentos!$A:$A,FA$19,Lançamentos!$C:$C,"Marketing e Publicidade")</f>
        <v>0</v>
      </c>
      <c r="FB43" s="39">
        <f>SUMIFS(Lançamentos!$G:$G,Lançamentos!$A:$A,FB$19,Lançamentos!$C:$C,"Marketing e Publicidade")</f>
        <v>0</v>
      </c>
      <c r="FC43" s="39">
        <f>SUMIFS(Lançamentos!$G:$G,Lançamentos!$A:$A,FC$19,Lançamentos!$C:$C,"Marketing e Publicidade")</f>
        <v>0</v>
      </c>
      <c r="FD43" s="39">
        <f>SUMIFS(Lançamentos!$G:$G,Lançamentos!$A:$A,FD$19,Lançamentos!$C:$C,"Marketing e Publicidade")</f>
        <v>0</v>
      </c>
      <c r="FE43" s="39">
        <f>SUMIFS(Lançamentos!$G:$G,Lançamentos!$A:$A,FE$19,Lançamentos!$C:$C,"Marketing e Publicidade")</f>
        <v>0</v>
      </c>
      <c r="FF43" s="39">
        <f>SUMIFS(Lançamentos!$G:$G,Lançamentos!$A:$A,FF$19,Lançamentos!$C:$C,"Marketing e Publicidade")</f>
        <v>0</v>
      </c>
      <c r="FG43" s="39">
        <f>SUMIFS(Lançamentos!$G:$G,Lançamentos!$A:$A,FG$19,Lançamentos!$C:$C,"Marketing e Publicidade")</f>
        <v>0</v>
      </c>
      <c r="FH43" s="39">
        <f>SUMIFS(Lançamentos!$G:$G,Lançamentos!$A:$A,FH$19,Lançamentos!$C:$C,"Marketing e Publicidade")</f>
        <v>0</v>
      </c>
      <c r="FI43" s="39">
        <f>SUMIFS(Lançamentos!$G:$G,Lançamentos!$A:$A,FI$19,Lançamentos!$C:$C,"Marketing e Publicidade")</f>
        <v>0</v>
      </c>
      <c r="FJ43" s="39">
        <f>SUMIFS(Lançamentos!$G:$G,Lançamentos!$A:$A,FJ$19,Lançamentos!$C:$C,"Marketing e Publicidade")</f>
        <v>0</v>
      </c>
      <c r="FK43" s="39">
        <f>SUMIFS(Lançamentos!$G:$G,Lançamentos!$A:$A,FK$19,Lançamentos!$C:$C,"Marketing e Publicidade")</f>
        <v>0</v>
      </c>
      <c r="FL43" s="39">
        <f>SUMIFS(Lançamentos!$G:$G,Lançamentos!$A:$A,FL$19,Lançamentos!$C:$C,"Marketing e Publicidade")</f>
        <v>0</v>
      </c>
      <c r="FM43" s="39">
        <f>SUMIFS(Lançamentos!$G:$G,Lançamentos!$A:$A,FM$19,Lançamentos!$C:$C,"Marketing e Publicidade")</f>
        <v>0</v>
      </c>
      <c r="FN43" s="39">
        <f>SUMIFS(Lançamentos!$G:$G,Lançamentos!$A:$A,FN$19,Lançamentos!$C:$C,"Marketing e Publicidade")</f>
        <v>0</v>
      </c>
      <c r="FO43" s="39">
        <f>SUMIFS(Lançamentos!$G:$G,Lançamentos!$A:$A,FO$19,Lançamentos!$C:$C,"Marketing e Publicidade")</f>
        <v>0</v>
      </c>
      <c r="FP43" s="39">
        <f>SUMIFS(Lançamentos!$G:$G,Lançamentos!$A:$A,FP$19,Lançamentos!$C:$C,"Marketing e Publicidade")</f>
        <v>0</v>
      </c>
      <c r="FQ43" s="39">
        <f>SUMIFS(Lançamentos!$G:$G,Lançamentos!$A:$A,FQ$19,Lançamentos!$C:$C,"Marketing e Publicidade")</f>
        <v>0</v>
      </c>
      <c r="FR43" s="39">
        <f>SUMIFS(Lançamentos!$G:$G,Lançamentos!$A:$A,FR$19,Lançamentos!$C:$C,"Marketing e Publicidade")</f>
        <v>0</v>
      </c>
      <c r="FS43" s="39">
        <f>SUMIFS(Lançamentos!$G:$G,Lançamentos!$A:$A,FS$19,Lançamentos!$C:$C,"Marketing e Publicidade")</f>
        <v>0</v>
      </c>
      <c r="FT43" s="39">
        <f>SUMIFS(Lançamentos!$G:$G,Lançamentos!$A:$A,FT$19,Lançamentos!$C:$C,"Marketing e Publicidade")</f>
        <v>0</v>
      </c>
      <c r="FU43" s="39">
        <f>SUMIFS(Lançamentos!$G:$G,Lançamentos!$A:$A,FU$19,Lançamentos!$C:$C,"Marketing e Publicidade")</f>
        <v>0</v>
      </c>
      <c r="FV43" s="39">
        <f>SUMIFS(Lançamentos!$G:$G,Lançamentos!$A:$A,FV$19,Lançamentos!$C:$C,"Marketing e Publicidade")</f>
        <v>0</v>
      </c>
      <c r="FW43" s="39">
        <f>SUMIFS(Lançamentos!$G:$G,Lançamentos!$A:$A,FW$19,Lançamentos!$C:$C,"Marketing e Publicidade")</f>
        <v>0</v>
      </c>
      <c r="FX43" s="39">
        <f>SUMIFS(Lançamentos!$G:$G,Lançamentos!$A:$A,FX$19,Lançamentos!$C:$C,"Marketing e Publicidade")</f>
        <v>0</v>
      </c>
      <c r="FY43" s="39">
        <f>SUMIFS(Lançamentos!$G:$G,Lançamentos!$A:$A,FY$19,Lançamentos!$C:$C,"Marketing e Publicidade")</f>
        <v>0</v>
      </c>
      <c r="FZ43" s="39">
        <f>SUMIFS(Lançamentos!$G:$G,Lançamentos!$A:$A,FZ$19,Lançamentos!$C:$C,"Marketing e Publicidade")</f>
        <v>0</v>
      </c>
      <c r="GA43" s="39">
        <f>SUMIFS(Lançamentos!$G:$G,Lançamentos!$A:$A,GA$19,Lançamentos!$C:$C,"Marketing e Publicidade")</f>
        <v>0</v>
      </c>
      <c r="GB43" s="39">
        <f>SUMIFS(Lançamentos!$G:$G,Lançamentos!$A:$A,GB$19,Lançamentos!$C:$C,"Marketing e Publicidade")</f>
        <v>0</v>
      </c>
      <c r="GC43" s="39">
        <f>SUMIFS(Lançamentos!$G:$G,Lançamentos!$A:$A,GC$19,Lançamentos!$C:$C,"Marketing e Publicidade")</f>
        <v>0</v>
      </c>
      <c r="GD43" s="39">
        <f>SUMIFS(Lançamentos!$G:$G,Lançamentos!$A:$A,GD$19,Lançamentos!$C:$C,"Marketing e Publicidade")</f>
        <v>0</v>
      </c>
      <c r="GE43" s="39">
        <f>SUMIFS(Lançamentos!$G:$G,Lançamentos!$A:$A,GE$19,Lançamentos!$C:$C,"Marketing e Publicidade")</f>
        <v>0</v>
      </c>
      <c r="GF43" s="39">
        <f>SUMIFS(Lançamentos!$G:$G,Lançamentos!$A:$A,GF$19,Lançamentos!$C:$C,"Marketing e Publicidade")</f>
        <v>0</v>
      </c>
      <c r="GG43" s="39">
        <f>SUMIFS(Lançamentos!$G:$G,Lançamentos!$A:$A,GG$19,Lançamentos!$C:$C,"Marketing e Publicidade")</f>
        <v>0</v>
      </c>
      <c r="GH43" s="39">
        <f>SUMIFS(Lançamentos!$G:$G,Lançamentos!$A:$A,GH$19,Lançamentos!$C:$C,"Marketing e Publicidade")</f>
        <v>0</v>
      </c>
      <c r="GI43" s="39">
        <f>SUMIFS(Lançamentos!$G:$G,Lançamentos!$A:$A,GI$19,Lançamentos!$C:$C,"Marketing e Publicidade")</f>
        <v>0</v>
      </c>
      <c r="GJ43" s="39">
        <f>SUMIFS(Lançamentos!$G:$G,Lançamentos!$A:$A,GJ$19,Lançamentos!$C:$C,"Marketing e Publicidade")</f>
        <v>0</v>
      </c>
      <c r="GK43" s="39">
        <f>SUMIFS(Lançamentos!$G:$G,Lançamentos!$A:$A,GK$19,Lançamentos!$C:$C,"Marketing e Publicidade")</f>
        <v>0</v>
      </c>
      <c r="GL43" s="39">
        <f>SUMIFS(Lançamentos!$G:$G,Lançamentos!$A:$A,GL$19,Lançamentos!$C:$C,"Marketing e Publicidade")</f>
        <v>0</v>
      </c>
      <c r="GM43" s="39">
        <f>SUMIFS(Lançamentos!$G:$G,Lançamentos!$A:$A,GM$19,Lançamentos!$C:$C,"Marketing e Publicidade")</f>
        <v>0</v>
      </c>
      <c r="GN43" s="39">
        <f>SUMIFS(Lançamentos!$G:$G,Lançamentos!$A:$A,GN$19,Lançamentos!$C:$C,"Marketing e Publicidade")</f>
        <v>0</v>
      </c>
      <c r="GO43" s="39">
        <f>SUMIFS(Lançamentos!$G:$G,Lançamentos!$A:$A,GO$19,Lançamentos!$C:$C,"Marketing e Publicidade")</f>
        <v>0</v>
      </c>
      <c r="GP43" s="39">
        <f>SUMIFS(Lançamentos!$G:$G,Lançamentos!$A:$A,GP$19,Lançamentos!$C:$C,"Marketing e Publicidade")</f>
        <v>0</v>
      </c>
      <c r="GQ43" s="39">
        <f>SUMIFS(Lançamentos!$G:$G,Lançamentos!$A:$A,GQ$19,Lançamentos!$C:$C,"Marketing e Publicidade")</f>
        <v>0</v>
      </c>
      <c r="GR43" s="39">
        <f>SUMIFS(Lançamentos!$G:$G,Lançamentos!$A:$A,GR$19,Lançamentos!$C:$C,"Marketing e Publicidade")</f>
        <v>0</v>
      </c>
      <c r="GS43" s="39">
        <f>SUMIFS(Lançamentos!$G:$G,Lançamentos!$A:$A,GS$19,Lançamentos!$C:$C,"Marketing e Publicidade")</f>
        <v>0</v>
      </c>
      <c r="GT43" s="39">
        <f>SUMIFS(Lançamentos!$G:$G,Lançamentos!$A:$A,GT$19,Lançamentos!$C:$C,"Marketing e Publicidade")</f>
        <v>0</v>
      </c>
      <c r="GU43" s="39">
        <f>SUMIFS(Lançamentos!$G:$G,Lançamentos!$A:$A,GU$19,Lançamentos!$C:$C,"Marketing e Publicidade")</f>
        <v>0</v>
      </c>
      <c r="GV43" s="39">
        <f>SUMIFS(Lançamentos!$G:$G,Lançamentos!$A:$A,GV$19,Lançamentos!$C:$C,"Marketing e Publicidade")</f>
        <v>0</v>
      </c>
      <c r="GW43" s="39">
        <f>SUMIFS(Lançamentos!$G:$G,Lançamentos!$A:$A,GW$19,Lançamentos!$C:$C,"Marketing e Publicidade")</f>
        <v>0</v>
      </c>
      <c r="GX43" s="39">
        <f>SUMIFS(Lançamentos!$G:$G,Lançamentos!$A:$A,GX$19,Lançamentos!$C:$C,"Marketing e Publicidade")</f>
        <v>0</v>
      </c>
      <c r="GY43" s="39">
        <f>SUMIFS(Lançamentos!$G:$G,Lançamentos!$A:$A,GY$19,Lançamentos!$C:$C,"Marketing e Publicidade")</f>
        <v>0</v>
      </c>
      <c r="GZ43" s="39">
        <f>SUMIFS(Lançamentos!$G:$G,Lançamentos!$A:$A,GZ$19,Lançamentos!$C:$C,"Marketing e Publicidade")</f>
        <v>0</v>
      </c>
      <c r="HA43" s="39">
        <f>SUMIFS(Lançamentos!$G:$G,Lançamentos!$A:$A,HA$19,Lançamentos!$C:$C,"Marketing e Publicidade")</f>
        <v>0</v>
      </c>
      <c r="HB43" s="39">
        <f>SUMIFS(Lançamentos!$G:$G,Lançamentos!$A:$A,HB$19,Lançamentos!$C:$C,"Marketing e Publicidade")</f>
        <v>0</v>
      </c>
      <c r="HC43" s="39">
        <f>SUMIFS(Lançamentos!$G:$G,Lançamentos!$A:$A,HC$19,Lançamentos!$C:$C,"Marketing e Publicidade")</f>
        <v>0</v>
      </c>
      <c r="HD43" s="39">
        <f>SUMIFS(Lançamentos!$G:$G,Lançamentos!$A:$A,HD$19,Lançamentos!$C:$C,"Marketing e Publicidade")</f>
        <v>0</v>
      </c>
      <c r="HE43" s="39">
        <f>SUMIFS(Lançamentos!$G:$G,Lançamentos!$A:$A,HE$19,Lançamentos!$C:$C,"Marketing e Publicidade")</f>
        <v>0</v>
      </c>
      <c r="HF43" s="39">
        <f>SUMIFS(Lançamentos!$G:$G,Lançamentos!$A:$A,HF$19,Lançamentos!$C:$C,"Marketing e Publicidade")</f>
        <v>0</v>
      </c>
      <c r="HG43" s="39">
        <f>SUMIFS(Lançamentos!$G:$G,Lançamentos!$A:$A,HG$19,Lançamentos!$C:$C,"Marketing e Publicidade")</f>
        <v>0</v>
      </c>
      <c r="HH43" s="39">
        <f>SUMIFS(Lançamentos!$G:$G,Lançamentos!$A:$A,HH$19,Lançamentos!$C:$C,"Marketing e Publicidade")</f>
        <v>0</v>
      </c>
      <c r="HI43" s="39">
        <f>SUMIFS(Lançamentos!$G:$G,Lançamentos!$A:$A,HI$19,Lançamentos!$C:$C,"Marketing e Publicidade")</f>
        <v>0</v>
      </c>
      <c r="HJ43" s="39">
        <f>SUMIFS(Lançamentos!$G:$G,Lançamentos!$A:$A,HJ$19,Lançamentos!$C:$C,"Marketing e Publicidade")</f>
        <v>0</v>
      </c>
      <c r="HK43" s="39">
        <f>SUMIFS(Lançamentos!$G:$G,Lançamentos!$A:$A,HK$19,Lançamentos!$C:$C,"Marketing e Publicidade")</f>
        <v>0</v>
      </c>
      <c r="HL43" s="39">
        <f>SUMIFS(Lançamentos!$G:$G,Lançamentos!$A:$A,HL$19,Lançamentos!$C:$C,"Marketing e Publicidade")</f>
        <v>0</v>
      </c>
      <c r="HM43" s="39">
        <f>SUMIFS(Lançamentos!$G:$G,Lançamentos!$A:$A,HM$19,Lançamentos!$C:$C,"Marketing e Publicidade")</f>
        <v>0</v>
      </c>
      <c r="HN43" s="39">
        <f>SUMIFS(Lançamentos!$G:$G,Lançamentos!$A:$A,HN$19,Lançamentos!$C:$C,"Marketing e Publicidade")</f>
        <v>0</v>
      </c>
      <c r="HO43" s="39">
        <f>SUMIFS(Lançamentos!$G:$G,Lançamentos!$A:$A,HO$19,Lançamentos!$C:$C,"Marketing e Publicidade")</f>
        <v>0</v>
      </c>
      <c r="HP43" s="39">
        <f>SUMIFS(Lançamentos!$G:$G,Lançamentos!$A:$A,HP$19,Lançamentos!$C:$C,"Marketing e Publicidade")</f>
        <v>0</v>
      </c>
      <c r="HQ43" s="39">
        <f>SUMIFS(Lançamentos!$G:$G,Lançamentos!$A:$A,HQ$19,Lançamentos!$C:$C,"Marketing e Publicidade")</f>
        <v>0</v>
      </c>
      <c r="HR43" s="39">
        <f>SUMIFS(Lançamentos!$G:$G,Lançamentos!$A:$A,HR$19,Lançamentos!$C:$C,"Marketing e Publicidade")</f>
        <v>0</v>
      </c>
      <c r="HS43" s="39">
        <f>SUMIFS(Lançamentos!$G:$G,Lançamentos!$A:$A,HS$19,Lançamentos!$C:$C,"Marketing e Publicidade")</f>
        <v>0</v>
      </c>
      <c r="HT43" s="39">
        <f>SUMIFS(Lançamentos!$G:$G,Lançamentos!$A:$A,HT$19,Lançamentos!$C:$C,"Marketing e Publicidade")</f>
        <v>0</v>
      </c>
      <c r="HU43" s="39">
        <f>SUMIFS(Lançamentos!$G:$G,Lançamentos!$A:$A,HU$19,Lançamentos!$C:$C,"Marketing e Publicidade")</f>
        <v>0</v>
      </c>
      <c r="HV43" s="39">
        <f>SUMIFS(Lançamentos!$G:$G,Lançamentos!$A:$A,HV$19,Lançamentos!$C:$C,"Marketing e Publicidade")</f>
        <v>0</v>
      </c>
      <c r="HW43" s="39">
        <f>SUMIFS(Lançamentos!$G:$G,Lançamentos!$A:$A,HW$19,Lançamentos!$C:$C,"Marketing e Publicidade")</f>
        <v>0</v>
      </c>
      <c r="HX43" s="39">
        <f>SUMIFS(Lançamentos!$G:$G,Lançamentos!$A:$A,HX$19,Lançamentos!$C:$C,"Marketing e Publicidade")</f>
        <v>0</v>
      </c>
      <c r="HY43" s="39">
        <f>SUMIFS(Lançamentos!$G:$G,Lançamentos!$A:$A,HY$19,Lançamentos!$C:$C,"Marketing e Publicidade")</f>
        <v>0</v>
      </c>
      <c r="HZ43" s="39">
        <f>SUMIFS(Lançamentos!$G:$G,Lançamentos!$A:$A,HZ$19,Lançamentos!$C:$C,"Marketing e Publicidade")</f>
        <v>0</v>
      </c>
      <c r="IA43" s="39">
        <f>SUMIFS(Lançamentos!$G:$G,Lançamentos!$A:$A,IA$19,Lançamentos!$C:$C,"Marketing e Publicidade")</f>
        <v>0</v>
      </c>
      <c r="IB43" s="39">
        <f>SUMIFS(Lançamentos!$G:$G,Lançamentos!$A:$A,IB$19,Lançamentos!$C:$C,"Marketing e Publicidade")</f>
        <v>0</v>
      </c>
      <c r="IC43" s="39">
        <f>SUMIFS(Lançamentos!$G:$G,Lançamentos!$A:$A,IC$19,Lançamentos!$C:$C,"Marketing e Publicidade")</f>
        <v>0</v>
      </c>
      <c r="ID43" s="39">
        <f>SUMIFS(Lançamentos!$G:$G,Lançamentos!$A:$A,ID$19,Lançamentos!$C:$C,"Marketing e Publicidade")</f>
        <v>0</v>
      </c>
      <c r="IE43" s="39">
        <f>SUMIFS(Lançamentos!$G:$G,Lançamentos!$A:$A,IE$19,Lançamentos!$C:$C,"Marketing e Publicidade")</f>
        <v>0</v>
      </c>
      <c r="IF43" s="39">
        <f>SUMIFS(Lançamentos!$G:$G,Lançamentos!$A:$A,IF$19,Lançamentos!$C:$C,"Marketing e Publicidade")</f>
        <v>0</v>
      </c>
      <c r="IG43" s="39">
        <f>SUMIFS(Lançamentos!$G:$G,Lançamentos!$A:$A,IG$19,Lançamentos!$C:$C,"Marketing e Publicidade")</f>
        <v>0</v>
      </c>
      <c r="IH43" s="39">
        <f>SUMIFS(Lançamentos!$G:$G,Lançamentos!$A:$A,IH$19,Lançamentos!$C:$C,"Marketing e Publicidade")</f>
        <v>0</v>
      </c>
      <c r="II43" s="39">
        <f>SUMIFS(Lançamentos!$G:$G,Lançamentos!$A:$A,II$19,Lançamentos!$C:$C,"Marketing e Publicidade")</f>
        <v>0</v>
      </c>
      <c r="IJ43" s="39">
        <f>SUMIFS(Lançamentos!$G:$G,Lançamentos!$A:$A,IJ$19,Lançamentos!$C:$C,"Marketing e Publicidade")</f>
        <v>0</v>
      </c>
      <c r="IK43" s="39">
        <f>SUMIFS(Lançamentos!$G:$G,Lançamentos!$A:$A,IK$19,Lançamentos!$C:$C,"Marketing e Publicidade")</f>
        <v>0</v>
      </c>
      <c r="IL43" s="39">
        <f>SUMIFS(Lançamentos!$G:$G,Lançamentos!$A:$A,IL$19,Lançamentos!$C:$C,"Marketing e Publicidade")</f>
        <v>0</v>
      </c>
    </row>
    <row r="44" spans="1:246" x14ac:dyDescent="0.3">
      <c r="A44" t="s">
        <v>21</v>
      </c>
      <c r="B44" s="39">
        <f>SUMIFS(Lançamentos!$G:$G,Lançamentos!$A:$A,B$19,Lançamentos!$C:$C,"Manutenção")</f>
        <v>0</v>
      </c>
      <c r="C44" s="39">
        <f>SUMIFS(Lançamentos!$G:$G,Lançamentos!$A:$A,C$19,Lançamentos!$C:$C,"Manutenção")</f>
        <v>0</v>
      </c>
      <c r="D44" s="39">
        <f>SUMIFS(Lançamentos!$G:$G,Lançamentos!$A:$A,D$19,Lançamentos!$C:$C,"Manutenção")</f>
        <v>0</v>
      </c>
      <c r="E44" s="39">
        <f>SUMIFS(Lançamentos!$G:$G,Lançamentos!$A:$A,E$19,Lançamentos!$C:$C,"Manutenção")</f>
        <v>0</v>
      </c>
      <c r="F44" s="39">
        <f>SUMIFS(Lançamentos!$G:$G,Lançamentos!$A:$A,F$19,Lançamentos!$C:$C,"Manutenção")</f>
        <v>0</v>
      </c>
      <c r="G44" s="39">
        <f>SUMIFS(Lançamentos!$G:$G,Lançamentos!$A:$A,G$19,Lançamentos!$C:$C,"Manutenção")</f>
        <v>0</v>
      </c>
      <c r="H44" s="39">
        <f>SUMIFS(Lançamentos!$G:$G,Lançamentos!$A:$A,H$19,Lançamentos!$C:$C,"Manutenção")</f>
        <v>0</v>
      </c>
      <c r="I44" s="39">
        <f>SUMIFS(Lançamentos!$G:$G,Lançamentos!$A:$A,I$19,Lançamentos!$C:$C,"Manutenção")</f>
        <v>0</v>
      </c>
      <c r="J44" s="39">
        <f>SUMIFS(Lançamentos!$G:$G,Lançamentos!$A:$A,J$19,Lançamentos!$C:$C,"Manutenção")</f>
        <v>0</v>
      </c>
      <c r="K44" s="39">
        <f>SUMIFS(Lançamentos!$G:$G,Lançamentos!$A:$A,K$19,Lançamentos!$C:$C,"Manutenção")</f>
        <v>0</v>
      </c>
      <c r="L44" s="39">
        <f>SUMIFS(Lançamentos!$G:$G,Lançamentos!$A:$A,L$19,Lançamentos!$C:$C,"Manutenção")</f>
        <v>0</v>
      </c>
      <c r="M44" s="39">
        <f>SUMIFS(Lançamentos!$G:$G,Lançamentos!$A:$A,M$19,Lançamentos!$C:$C,"Manutenção")</f>
        <v>0</v>
      </c>
      <c r="N44" s="39">
        <f>SUMIFS(Lançamentos!$G:$G,Lançamentos!$A:$A,N$19,Lançamentos!$C:$C,"Manutenção")</f>
        <v>0</v>
      </c>
      <c r="O44" s="39">
        <f>SUMIFS(Lançamentos!$G:$G,Lançamentos!$A:$A,O$19,Lançamentos!$C:$C,"Manutenção")</f>
        <v>0</v>
      </c>
      <c r="P44" s="39">
        <f>SUMIFS(Lançamentos!$G:$G,Lançamentos!$A:$A,P$19,Lançamentos!$C:$C,"Manutenção")</f>
        <v>0</v>
      </c>
      <c r="Q44" s="39">
        <f>SUMIFS(Lançamentos!$G:$G,Lançamentos!$A:$A,Q$19,Lançamentos!$C:$C,"Manutenção")</f>
        <v>0</v>
      </c>
      <c r="R44" s="39">
        <f>SUMIFS(Lançamentos!$G:$G,Lançamentos!$A:$A,R$19,Lançamentos!$C:$C,"Manutenção")</f>
        <v>0</v>
      </c>
      <c r="S44" s="39">
        <f>SUMIFS(Lançamentos!$G:$G,Lançamentos!$A:$A,S$19,Lançamentos!$C:$C,"Manutenção")</f>
        <v>0</v>
      </c>
      <c r="T44" s="39">
        <f>SUMIFS(Lançamentos!$G:$G,Lançamentos!$A:$A,T$19,Lançamentos!$C:$C,"Manutenção")</f>
        <v>0</v>
      </c>
      <c r="U44" s="39">
        <f>SUMIFS(Lançamentos!$G:$G,Lançamentos!$A:$A,U$19,Lançamentos!$C:$C,"Manutenção")</f>
        <v>0</v>
      </c>
      <c r="V44" s="39">
        <f>SUMIFS(Lançamentos!$G:$G,Lançamentos!$A:$A,V$19,Lançamentos!$C:$C,"Manutenção")</f>
        <v>0</v>
      </c>
      <c r="W44" s="39">
        <f>SUMIFS(Lançamentos!$G:$G,Lançamentos!$A:$A,W$19,Lançamentos!$C:$C,"Manutenção")</f>
        <v>0</v>
      </c>
      <c r="X44" s="39">
        <f>SUMIFS(Lançamentos!$G:$G,Lançamentos!$A:$A,X$19,Lançamentos!$C:$C,"Manutenção")</f>
        <v>0</v>
      </c>
      <c r="Y44" s="39">
        <f>SUMIFS(Lançamentos!$G:$G,Lançamentos!$A:$A,Y$19,Lançamentos!$C:$C,"Manutenção")</f>
        <v>0</v>
      </c>
      <c r="Z44" s="39">
        <f>SUMIFS(Lançamentos!$G:$G,Lançamentos!$A:$A,Z$19,Lançamentos!$C:$C,"Manutenção")</f>
        <v>0</v>
      </c>
      <c r="AA44" s="39">
        <f>SUMIFS(Lançamentos!$G:$G,Lançamentos!$A:$A,AA$19,Lançamentos!$C:$C,"Manutenção")</f>
        <v>0</v>
      </c>
      <c r="AB44" s="39">
        <f>SUMIFS(Lançamentos!$G:$G,Lançamentos!$A:$A,AB$19,Lançamentos!$C:$C,"Manutenção")</f>
        <v>0</v>
      </c>
      <c r="AC44" s="39">
        <f>SUMIFS(Lançamentos!$G:$G,Lançamentos!$A:$A,AC$19,Lançamentos!$C:$C,"Manutenção")</f>
        <v>0</v>
      </c>
      <c r="AD44" s="39">
        <f>SUMIFS(Lançamentos!$G:$G,Lançamentos!$A:$A,AD$19,Lançamentos!$C:$C,"Manutenção")</f>
        <v>0</v>
      </c>
      <c r="AE44" s="39">
        <f>SUMIFS(Lançamentos!$G:$G,Lançamentos!$A:$A,AE$19,Lançamentos!$C:$C,"Manutenção")</f>
        <v>0</v>
      </c>
      <c r="AF44" s="39">
        <f>SUMIFS(Lançamentos!$G:$G,Lançamentos!$A:$A,AF$19,Lançamentos!$C:$C,"Manutenção")</f>
        <v>0</v>
      </c>
      <c r="AG44" s="39">
        <f>SUMIFS(Lançamentos!$G:$G,Lançamentos!$A:$A,AG$19,Lançamentos!$C:$C,"Manutenção")</f>
        <v>0</v>
      </c>
      <c r="AH44" s="39">
        <f>SUMIFS(Lançamentos!$G:$G,Lançamentos!$A:$A,AH$19,Lançamentos!$C:$C,"Manutenção")</f>
        <v>0</v>
      </c>
      <c r="AI44" s="39">
        <f>SUMIFS(Lançamentos!$G:$G,Lançamentos!$A:$A,AI$19,Lançamentos!$C:$C,"Manutenção")</f>
        <v>0</v>
      </c>
      <c r="AJ44" s="39">
        <f>SUMIFS(Lançamentos!$G:$G,Lançamentos!$A:$A,AJ$19,Lançamentos!$C:$C,"Manutenção")</f>
        <v>0</v>
      </c>
      <c r="AK44" s="39">
        <f>SUMIFS(Lançamentos!$G:$G,Lançamentos!$A:$A,AK$19,Lançamentos!$C:$C,"Manutenção")</f>
        <v>0</v>
      </c>
      <c r="AL44" s="39">
        <f>SUMIFS(Lançamentos!$G:$G,Lançamentos!$A:$A,AL$19,Lançamentos!$C:$C,"Manutenção")</f>
        <v>0</v>
      </c>
      <c r="AM44" s="39">
        <f>SUMIFS(Lançamentos!$G:$G,Lançamentos!$A:$A,AM$19,Lançamentos!$C:$C,"Manutenção")</f>
        <v>0</v>
      </c>
      <c r="AN44" s="39">
        <f>SUMIFS(Lançamentos!$G:$G,Lançamentos!$A:$A,AN$19,Lançamentos!$C:$C,"Manutenção")</f>
        <v>0</v>
      </c>
      <c r="AO44" s="39">
        <f>SUMIFS(Lançamentos!$G:$G,Lançamentos!$A:$A,AO$19,Lançamentos!$C:$C,"Manutenção")</f>
        <v>0</v>
      </c>
      <c r="AP44" s="39">
        <f>SUMIFS(Lançamentos!$G:$G,Lançamentos!$A:$A,AP$19,Lançamentos!$C:$C,"Manutenção")</f>
        <v>0</v>
      </c>
      <c r="AQ44" s="39">
        <f>SUMIFS(Lançamentos!$G:$G,Lançamentos!$A:$A,AQ$19,Lançamentos!$C:$C,"Manutenção")</f>
        <v>0</v>
      </c>
      <c r="AR44" s="39">
        <f>SUMIFS(Lançamentos!$G:$G,Lançamentos!$A:$A,AR$19,Lançamentos!$C:$C,"Manutenção")</f>
        <v>0</v>
      </c>
      <c r="AS44" s="39">
        <f>SUMIFS(Lançamentos!$G:$G,Lançamentos!$A:$A,AS$19,Lançamentos!$C:$C,"Manutenção")</f>
        <v>0</v>
      </c>
      <c r="AT44" s="39">
        <f>SUMIFS(Lançamentos!$G:$G,Lançamentos!$A:$A,AT$19,Lançamentos!$C:$C,"Manutenção")</f>
        <v>0</v>
      </c>
      <c r="AU44" s="39">
        <f>SUMIFS(Lançamentos!$G:$G,Lançamentos!$A:$A,AU$19,Lançamentos!$C:$C,"Manutenção")</f>
        <v>0</v>
      </c>
      <c r="AV44" s="39">
        <f>SUMIFS(Lançamentos!$G:$G,Lançamentos!$A:$A,AV$19,Lançamentos!$C:$C,"Manutenção")</f>
        <v>0</v>
      </c>
      <c r="AW44" s="39">
        <f>SUMIFS(Lançamentos!$G:$G,Lançamentos!$A:$A,AW$19,Lançamentos!$C:$C,"Manutenção")</f>
        <v>0</v>
      </c>
      <c r="AX44" s="39">
        <f>SUMIFS(Lançamentos!$G:$G,Lançamentos!$A:$A,AX$19,Lançamentos!$C:$C,"Manutenção")</f>
        <v>0</v>
      </c>
      <c r="AY44" s="39">
        <f>SUMIFS(Lançamentos!$G:$G,Lançamentos!$A:$A,AY$19,Lançamentos!$C:$C,"Manutenção")</f>
        <v>0</v>
      </c>
      <c r="AZ44" s="39">
        <f>SUMIFS(Lançamentos!$G:$G,Lançamentos!$A:$A,AZ$19,Lançamentos!$C:$C,"Manutenção")</f>
        <v>0</v>
      </c>
      <c r="BA44" s="39">
        <f>SUMIFS(Lançamentos!$G:$G,Lançamentos!$A:$A,BA$19,Lançamentos!$C:$C,"Manutenção")</f>
        <v>0</v>
      </c>
      <c r="BB44" s="39">
        <f>SUMIFS(Lançamentos!$G:$G,Lançamentos!$A:$A,BB$19,Lançamentos!$C:$C,"Manutenção")</f>
        <v>0</v>
      </c>
      <c r="BC44" s="39">
        <f>SUMIFS(Lançamentos!$G:$G,Lançamentos!$A:$A,BC$19,Lançamentos!$C:$C,"Manutenção")</f>
        <v>0</v>
      </c>
      <c r="BD44" s="39">
        <f>SUMIFS(Lançamentos!$G:$G,Lançamentos!$A:$A,BD$19,Lançamentos!$C:$C,"Manutenção")</f>
        <v>0</v>
      </c>
      <c r="BE44" s="39">
        <f>SUMIFS(Lançamentos!$G:$G,Lançamentos!$A:$A,BE$19,Lançamentos!$C:$C,"Manutenção")</f>
        <v>0</v>
      </c>
      <c r="BF44" s="39">
        <f>SUMIFS(Lançamentos!$G:$G,Lançamentos!$A:$A,BF$19,Lançamentos!$C:$C,"Manutenção")</f>
        <v>0</v>
      </c>
      <c r="BG44" s="39">
        <f>SUMIFS(Lançamentos!$G:$G,Lançamentos!$A:$A,BG$19,Lançamentos!$C:$C,"Manutenção")</f>
        <v>0</v>
      </c>
      <c r="BH44" s="39">
        <f>SUMIFS(Lançamentos!$G:$G,Lançamentos!$A:$A,BH$19,Lançamentos!$C:$C,"Manutenção")</f>
        <v>0</v>
      </c>
      <c r="BI44" s="39">
        <f>SUMIFS(Lançamentos!$G:$G,Lançamentos!$A:$A,BI$19,Lançamentos!$C:$C,"Manutenção")</f>
        <v>0</v>
      </c>
      <c r="BJ44" s="39">
        <f>SUMIFS(Lançamentos!$G:$G,Lançamentos!$A:$A,BJ$19,Lançamentos!$C:$C,"Manutenção")</f>
        <v>0</v>
      </c>
      <c r="BK44" s="39">
        <f>SUMIFS(Lançamentos!$G:$G,Lançamentos!$A:$A,BK$19,Lançamentos!$C:$C,"Manutenção")</f>
        <v>0</v>
      </c>
      <c r="BL44" s="39">
        <f>SUMIFS(Lançamentos!$G:$G,Lançamentos!$A:$A,BL$19,Lançamentos!$C:$C,"Manutenção")</f>
        <v>0</v>
      </c>
      <c r="BM44" s="39">
        <f>SUMIFS(Lançamentos!$G:$G,Lançamentos!$A:$A,BM$19,Lançamentos!$C:$C,"Manutenção")</f>
        <v>0</v>
      </c>
      <c r="BN44" s="39">
        <f>SUMIFS(Lançamentos!$G:$G,Lançamentos!$A:$A,BN$19,Lançamentos!$C:$C,"Manutenção")</f>
        <v>0</v>
      </c>
      <c r="BO44" s="39">
        <f>SUMIFS(Lançamentos!$G:$G,Lançamentos!$A:$A,BO$19,Lançamentos!$C:$C,"Manutenção")</f>
        <v>0</v>
      </c>
      <c r="BP44" s="39">
        <f>SUMIFS(Lançamentos!$G:$G,Lançamentos!$A:$A,BP$19,Lançamentos!$C:$C,"Manutenção")</f>
        <v>0</v>
      </c>
      <c r="BQ44" s="39">
        <f>SUMIFS(Lançamentos!$G:$G,Lançamentos!$A:$A,BQ$19,Lançamentos!$C:$C,"Manutenção")</f>
        <v>0</v>
      </c>
      <c r="BR44" s="39">
        <f>SUMIFS(Lançamentos!$G:$G,Lançamentos!$A:$A,BR$19,Lançamentos!$C:$C,"Manutenção")</f>
        <v>0</v>
      </c>
      <c r="BS44" s="39">
        <f>SUMIFS(Lançamentos!$G:$G,Lançamentos!$A:$A,BS$19,Lançamentos!$C:$C,"Manutenção")</f>
        <v>0</v>
      </c>
      <c r="BT44" s="39">
        <f>SUMIFS(Lançamentos!$G:$G,Lançamentos!$A:$A,BT$19,Lançamentos!$C:$C,"Manutenção")</f>
        <v>0</v>
      </c>
      <c r="BU44" s="39">
        <f>SUMIFS(Lançamentos!$G:$G,Lançamentos!$A:$A,BU$19,Lançamentos!$C:$C,"Manutenção")</f>
        <v>0</v>
      </c>
      <c r="BV44" s="39">
        <f>SUMIFS(Lançamentos!$G:$G,Lançamentos!$A:$A,BV$19,Lançamentos!$C:$C,"Manutenção")</f>
        <v>0</v>
      </c>
      <c r="BW44" s="39">
        <f>SUMIFS(Lançamentos!$G:$G,Lançamentos!$A:$A,BW$19,Lançamentos!$C:$C,"Manutenção")</f>
        <v>0</v>
      </c>
      <c r="BX44" s="39">
        <f>SUMIFS(Lançamentos!$G:$G,Lançamentos!$A:$A,BX$19,Lançamentos!$C:$C,"Manutenção")</f>
        <v>0</v>
      </c>
      <c r="BY44" s="39">
        <f>SUMIFS(Lançamentos!$G:$G,Lançamentos!$A:$A,BY$19,Lançamentos!$C:$C,"Manutenção")</f>
        <v>0</v>
      </c>
      <c r="BZ44" s="39">
        <f>SUMIFS(Lançamentos!$G:$G,Lançamentos!$A:$A,BZ$19,Lançamentos!$C:$C,"Manutenção")</f>
        <v>0</v>
      </c>
      <c r="CA44" s="39">
        <f>SUMIFS(Lançamentos!$G:$G,Lançamentos!$A:$A,CA$19,Lançamentos!$C:$C,"Manutenção")</f>
        <v>0</v>
      </c>
      <c r="CB44" s="39">
        <f>SUMIFS(Lançamentos!$G:$G,Lançamentos!$A:$A,CB$19,Lançamentos!$C:$C,"Manutenção")</f>
        <v>0</v>
      </c>
      <c r="CC44" s="39">
        <f>SUMIFS(Lançamentos!$G:$G,Lançamentos!$A:$A,CC$19,Lançamentos!$C:$C,"Manutenção")</f>
        <v>0</v>
      </c>
      <c r="CD44" s="39">
        <f>SUMIFS(Lançamentos!$G:$G,Lançamentos!$A:$A,CD$19,Lançamentos!$C:$C,"Manutenção")</f>
        <v>0</v>
      </c>
      <c r="CE44" s="39">
        <f>SUMIFS(Lançamentos!$G:$G,Lançamentos!$A:$A,CE$19,Lançamentos!$C:$C,"Manutenção")</f>
        <v>0</v>
      </c>
      <c r="CF44" s="39">
        <f>SUMIFS(Lançamentos!$G:$G,Lançamentos!$A:$A,CF$19,Lançamentos!$C:$C,"Manutenção")</f>
        <v>0</v>
      </c>
      <c r="CG44" s="39">
        <f>SUMIFS(Lançamentos!$G:$G,Lançamentos!$A:$A,CG$19,Lançamentos!$C:$C,"Manutenção")</f>
        <v>0</v>
      </c>
      <c r="CH44" s="39">
        <f>SUMIFS(Lançamentos!$G:$G,Lançamentos!$A:$A,CH$19,Lançamentos!$C:$C,"Manutenção")</f>
        <v>0</v>
      </c>
      <c r="CI44" s="39">
        <f>SUMIFS(Lançamentos!$G:$G,Lançamentos!$A:$A,CI$19,Lançamentos!$C:$C,"Manutenção")</f>
        <v>0</v>
      </c>
      <c r="CJ44" s="39">
        <f>SUMIFS(Lançamentos!$G:$G,Lançamentos!$A:$A,CJ$19,Lançamentos!$C:$C,"Manutenção")</f>
        <v>0</v>
      </c>
      <c r="CK44" s="39">
        <f>SUMIFS(Lançamentos!$G:$G,Lançamentos!$A:$A,CK$19,Lançamentos!$C:$C,"Manutenção")</f>
        <v>0</v>
      </c>
      <c r="CL44" s="39">
        <f>SUMIFS(Lançamentos!$G:$G,Lançamentos!$A:$A,CL$19,Lançamentos!$C:$C,"Manutenção")</f>
        <v>0</v>
      </c>
      <c r="CM44" s="39">
        <f>SUMIFS(Lançamentos!$G:$G,Lançamentos!$A:$A,CM$19,Lançamentos!$C:$C,"Manutenção")</f>
        <v>0</v>
      </c>
      <c r="CN44" s="39">
        <f>SUMIFS(Lançamentos!$G:$G,Lançamentos!$A:$A,CN$19,Lançamentos!$C:$C,"Manutenção")</f>
        <v>0</v>
      </c>
      <c r="CO44" s="39">
        <f>SUMIFS(Lançamentos!$G:$G,Lançamentos!$A:$A,CO$19,Lançamentos!$C:$C,"Manutenção")</f>
        <v>0</v>
      </c>
      <c r="CP44" s="39">
        <f>SUMIFS(Lançamentos!$G:$G,Lançamentos!$A:$A,CP$19,Lançamentos!$C:$C,"Manutenção")</f>
        <v>0</v>
      </c>
      <c r="CQ44" s="39">
        <f>SUMIFS(Lançamentos!$G:$G,Lançamentos!$A:$A,CQ$19,Lançamentos!$C:$C,"Manutenção")</f>
        <v>0</v>
      </c>
      <c r="CR44" s="39">
        <f>SUMIFS(Lançamentos!$G:$G,Lançamentos!$A:$A,CR$19,Lançamentos!$C:$C,"Manutenção")</f>
        <v>0</v>
      </c>
      <c r="CS44" s="39">
        <f>SUMIFS(Lançamentos!$G:$G,Lançamentos!$A:$A,CS$19,Lançamentos!$C:$C,"Manutenção")</f>
        <v>0</v>
      </c>
      <c r="CT44" s="39">
        <f>SUMIFS(Lançamentos!$G:$G,Lançamentos!$A:$A,CT$19,Lançamentos!$C:$C,"Manutenção")</f>
        <v>0</v>
      </c>
      <c r="CU44" s="39">
        <f>SUMIFS(Lançamentos!$G:$G,Lançamentos!$A:$A,CU$19,Lançamentos!$C:$C,"Manutenção")</f>
        <v>0</v>
      </c>
      <c r="CV44" s="39">
        <f>SUMIFS(Lançamentos!$G:$G,Lançamentos!$A:$A,CV$19,Lançamentos!$C:$C,"Manutenção")</f>
        <v>0</v>
      </c>
      <c r="CW44" s="39">
        <f>SUMIFS(Lançamentos!$G:$G,Lançamentos!$A:$A,CW$19,Lançamentos!$C:$C,"Manutenção")</f>
        <v>0</v>
      </c>
      <c r="CX44" s="39">
        <f>SUMIFS(Lançamentos!$G:$G,Lançamentos!$A:$A,CX$19,Lançamentos!$C:$C,"Manutenção")</f>
        <v>0</v>
      </c>
      <c r="CY44" s="39">
        <f>SUMIFS(Lançamentos!$G:$G,Lançamentos!$A:$A,CY$19,Lançamentos!$C:$C,"Manutenção")</f>
        <v>0</v>
      </c>
      <c r="CZ44" s="39">
        <f>SUMIFS(Lançamentos!$G:$G,Lançamentos!$A:$A,CZ$19,Lançamentos!$C:$C,"Manutenção")</f>
        <v>0</v>
      </c>
      <c r="DA44" s="39">
        <f>SUMIFS(Lançamentos!$G:$G,Lançamentos!$A:$A,DA$19,Lançamentos!$C:$C,"Manutenção")</f>
        <v>0</v>
      </c>
      <c r="DB44" s="39">
        <f>SUMIFS(Lançamentos!$G:$G,Lançamentos!$A:$A,DB$19,Lançamentos!$C:$C,"Manutenção")</f>
        <v>0</v>
      </c>
      <c r="DC44" s="39">
        <f>SUMIFS(Lançamentos!$G:$G,Lançamentos!$A:$A,DC$19,Lançamentos!$C:$C,"Manutenção")</f>
        <v>0</v>
      </c>
      <c r="DD44" s="39">
        <f>SUMIFS(Lançamentos!$G:$G,Lançamentos!$A:$A,DD$19,Lançamentos!$C:$C,"Manutenção")</f>
        <v>0</v>
      </c>
      <c r="DE44" s="39">
        <f>SUMIFS(Lançamentos!$G:$G,Lançamentos!$A:$A,DE$19,Lançamentos!$C:$C,"Manutenção")</f>
        <v>0</v>
      </c>
      <c r="DF44" s="39">
        <f>SUMIFS(Lançamentos!$G:$G,Lançamentos!$A:$A,DF$19,Lançamentos!$C:$C,"Manutenção")</f>
        <v>0</v>
      </c>
      <c r="DG44" s="39">
        <f>SUMIFS(Lançamentos!$G:$G,Lançamentos!$A:$A,DG$19,Lançamentos!$C:$C,"Manutenção")</f>
        <v>0</v>
      </c>
      <c r="DH44" s="39">
        <f>SUMIFS(Lançamentos!$G:$G,Lançamentos!$A:$A,DH$19,Lançamentos!$C:$C,"Manutenção")</f>
        <v>0</v>
      </c>
      <c r="DI44" s="39">
        <f>SUMIFS(Lançamentos!$G:$G,Lançamentos!$A:$A,DI$19,Lançamentos!$C:$C,"Manutenção")</f>
        <v>0</v>
      </c>
      <c r="DJ44" s="39">
        <f>SUMIFS(Lançamentos!$G:$G,Lançamentos!$A:$A,DJ$19,Lançamentos!$C:$C,"Manutenção")</f>
        <v>0</v>
      </c>
      <c r="DK44" s="39">
        <f>SUMIFS(Lançamentos!$G:$G,Lançamentos!$A:$A,DK$19,Lançamentos!$C:$C,"Manutenção")</f>
        <v>0</v>
      </c>
      <c r="DL44" s="39">
        <f>SUMIFS(Lançamentos!$G:$G,Lançamentos!$A:$A,DL$19,Lançamentos!$C:$C,"Manutenção")</f>
        <v>0</v>
      </c>
      <c r="DM44" s="39">
        <f>SUMIFS(Lançamentos!$G:$G,Lançamentos!$A:$A,DM$19,Lançamentos!$C:$C,"Manutenção")</f>
        <v>0</v>
      </c>
      <c r="DN44" s="39">
        <f>SUMIFS(Lançamentos!$G:$G,Lançamentos!$A:$A,DN$19,Lançamentos!$C:$C,"Manutenção")</f>
        <v>0</v>
      </c>
      <c r="DO44" s="39">
        <f>SUMIFS(Lançamentos!$G:$G,Lançamentos!$A:$A,DO$19,Lançamentos!$C:$C,"Manutenção")</f>
        <v>0</v>
      </c>
      <c r="DP44" s="39">
        <f>SUMIFS(Lançamentos!$G:$G,Lançamentos!$A:$A,DP$19,Lançamentos!$C:$C,"Manutenção")</f>
        <v>0</v>
      </c>
      <c r="DQ44" s="39">
        <f>SUMIFS(Lançamentos!$G:$G,Lançamentos!$A:$A,DQ$19,Lançamentos!$C:$C,"Manutenção")</f>
        <v>0</v>
      </c>
      <c r="DR44" s="39">
        <f>SUMIFS(Lançamentos!$G:$G,Lançamentos!$A:$A,DR$19,Lançamentos!$C:$C,"Manutenção")</f>
        <v>0</v>
      </c>
      <c r="DS44" s="39">
        <f>SUMIFS(Lançamentos!$G:$G,Lançamentos!$A:$A,DS$19,Lançamentos!$C:$C,"Manutenção")</f>
        <v>0</v>
      </c>
      <c r="DT44" s="39">
        <f>SUMIFS(Lançamentos!$G:$G,Lançamentos!$A:$A,DT$19,Lançamentos!$C:$C,"Manutenção")</f>
        <v>0</v>
      </c>
      <c r="DU44" s="39">
        <f>SUMIFS(Lançamentos!$G:$G,Lançamentos!$A:$A,DU$19,Lançamentos!$C:$C,"Manutenção")</f>
        <v>0</v>
      </c>
      <c r="DV44" s="39">
        <f>SUMIFS(Lançamentos!$G:$G,Lançamentos!$A:$A,DV$19,Lançamentos!$C:$C,"Manutenção")</f>
        <v>0</v>
      </c>
      <c r="DW44" s="39">
        <f>SUMIFS(Lançamentos!$G:$G,Lançamentos!$A:$A,DW$19,Lançamentos!$C:$C,"Manutenção")</f>
        <v>0</v>
      </c>
      <c r="DX44" s="39">
        <f>SUMIFS(Lançamentos!$G:$G,Lançamentos!$A:$A,DX$19,Lançamentos!$C:$C,"Manutenção")</f>
        <v>0</v>
      </c>
      <c r="DY44" s="39">
        <f>SUMIFS(Lançamentos!$G:$G,Lançamentos!$A:$A,DY$19,Lançamentos!$C:$C,"Manutenção")</f>
        <v>0</v>
      </c>
      <c r="DZ44" s="39">
        <f>SUMIFS(Lançamentos!$G:$G,Lançamentos!$A:$A,DZ$19,Lançamentos!$C:$C,"Manutenção")</f>
        <v>0</v>
      </c>
      <c r="EA44" s="39">
        <f>SUMIFS(Lançamentos!$G:$G,Lançamentos!$A:$A,EA$19,Lançamentos!$C:$C,"Manutenção")</f>
        <v>0</v>
      </c>
      <c r="EB44" s="39">
        <f>SUMIFS(Lançamentos!$G:$G,Lançamentos!$A:$A,EB$19,Lançamentos!$C:$C,"Manutenção")</f>
        <v>0</v>
      </c>
      <c r="EC44" s="39">
        <f>SUMIFS(Lançamentos!$G:$G,Lançamentos!$A:$A,EC$19,Lançamentos!$C:$C,"Manutenção")</f>
        <v>0</v>
      </c>
      <c r="ED44" s="39">
        <f>SUMIFS(Lançamentos!$G:$G,Lançamentos!$A:$A,ED$19,Lançamentos!$C:$C,"Manutenção")</f>
        <v>0</v>
      </c>
      <c r="EE44" s="39">
        <f>SUMIFS(Lançamentos!$G:$G,Lançamentos!$A:$A,EE$19,Lançamentos!$C:$C,"Manutenção")</f>
        <v>0</v>
      </c>
      <c r="EF44" s="39">
        <f>SUMIFS(Lançamentos!$G:$G,Lançamentos!$A:$A,EF$19,Lançamentos!$C:$C,"Manutenção")</f>
        <v>0</v>
      </c>
      <c r="EG44" s="39">
        <f>SUMIFS(Lançamentos!$G:$G,Lançamentos!$A:$A,EG$19,Lançamentos!$C:$C,"Manutenção")</f>
        <v>0</v>
      </c>
      <c r="EH44" s="39">
        <f>SUMIFS(Lançamentos!$G:$G,Lançamentos!$A:$A,EH$19,Lançamentos!$C:$C,"Manutenção")</f>
        <v>0</v>
      </c>
      <c r="EI44" s="39">
        <f>SUMIFS(Lançamentos!$G:$G,Lançamentos!$A:$A,EI$19,Lançamentos!$C:$C,"Manutenção")</f>
        <v>0</v>
      </c>
      <c r="EJ44" s="39">
        <f>SUMIFS(Lançamentos!$G:$G,Lançamentos!$A:$A,EJ$19,Lançamentos!$C:$C,"Manutenção")</f>
        <v>0</v>
      </c>
      <c r="EK44" s="39">
        <f>SUMIFS(Lançamentos!$G:$G,Lançamentos!$A:$A,EK$19,Lançamentos!$C:$C,"Manutenção")</f>
        <v>0</v>
      </c>
      <c r="EL44" s="39">
        <f>SUMIFS(Lançamentos!$G:$G,Lançamentos!$A:$A,EL$19,Lançamentos!$C:$C,"Manutenção")</f>
        <v>0</v>
      </c>
      <c r="EM44" s="39">
        <f>SUMIFS(Lançamentos!$G:$G,Lançamentos!$A:$A,EM$19,Lançamentos!$C:$C,"Manutenção")</f>
        <v>0</v>
      </c>
      <c r="EN44" s="39">
        <f>SUMIFS(Lançamentos!$G:$G,Lançamentos!$A:$A,EN$19,Lançamentos!$C:$C,"Manutenção")</f>
        <v>0</v>
      </c>
      <c r="EO44" s="39">
        <f>SUMIFS(Lançamentos!$G:$G,Lançamentos!$A:$A,EO$19,Lançamentos!$C:$C,"Manutenção")</f>
        <v>0</v>
      </c>
      <c r="EP44" s="39">
        <f>SUMIFS(Lançamentos!$G:$G,Lançamentos!$A:$A,EP$19,Lançamentos!$C:$C,"Manutenção")</f>
        <v>0</v>
      </c>
      <c r="EQ44" s="39">
        <f>SUMIFS(Lançamentos!$G:$G,Lançamentos!$A:$A,EQ$19,Lançamentos!$C:$C,"Manutenção")</f>
        <v>0</v>
      </c>
      <c r="ER44" s="39">
        <f>SUMIFS(Lançamentos!$G:$G,Lançamentos!$A:$A,ER$19,Lançamentos!$C:$C,"Manutenção")</f>
        <v>0</v>
      </c>
      <c r="ES44" s="39">
        <f>SUMIFS(Lançamentos!$G:$G,Lançamentos!$A:$A,ES$19,Lançamentos!$C:$C,"Manutenção")</f>
        <v>0</v>
      </c>
      <c r="ET44" s="39">
        <f>SUMIFS(Lançamentos!$G:$G,Lançamentos!$A:$A,ET$19,Lançamentos!$C:$C,"Manutenção")</f>
        <v>0</v>
      </c>
      <c r="EU44" s="39">
        <f>SUMIFS(Lançamentos!$G:$G,Lançamentos!$A:$A,EU$19,Lançamentos!$C:$C,"Manutenção")</f>
        <v>0</v>
      </c>
      <c r="EV44" s="39">
        <f>SUMIFS(Lançamentos!$G:$G,Lançamentos!$A:$A,EV$19,Lançamentos!$C:$C,"Manutenção")</f>
        <v>0</v>
      </c>
      <c r="EW44" s="39">
        <f>SUMIFS(Lançamentos!$G:$G,Lançamentos!$A:$A,EW$19,Lançamentos!$C:$C,"Manutenção")</f>
        <v>0</v>
      </c>
      <c r="EX44" s="39">
        <f>SUMIFS(Lançamentos!$G:$G,Lançamentos!$A:$A,EX$19,Lançamentos!$C:$C,"Manutenção")</f>
        <v>0</v>
      </c>
      <c r="EY44" s="39">
        <f>SUMIFS(Lançamentos!$G:$G,Lançamentos!$A:$A,EY$19,Lançamentos!$C:$C,"Manutenção")</f>
        <v>0</v>
      </c>
      <c r="EZ44" s="39">
        <f>SUMIFS(Lançamentos!$G:$G,Lançamentos!$A:$A,EZ$19,Lançamentos!$C:$C,"Manutenção")</f>
        <v>0</v>
      </c>
      <c r="FA44" s="39">
        <f>SUMIFS(Lançamentos!$G:$G,Lançamentos!$A:$A,FA$19,Lançamentos!$C:$C,"Manutenção")</f>
        <v>0</v>
      </c>
      <c r="FB44" s="39">
        <f>SUMIFS(Lançamentos!$G:$G,Lançamentos!$A:$A,FB$19,Lançamentos!$C:$C,"Manutenção")</f>
        <v>0</v>
      </c>
      <c r="FC44" s="39">
        <f>SUMIFS(Lançamentos!$G:$G,Lançamentos!$A:$A,FC$19,Lançamentos!$C:$C,"Manutenção")</f>
        <v>0</v>
      </c>
      <c r="FD44" s="39">
        <f>SUMIFS(Lançamentos!$G:$G,Lançamentos!$A:$A,FD$19,Lançamentos!$C:$C,"Manutenção")</f>
        <v>0</v>
      </c>
      <c r="FE44" s="39">
        <f>SUMIFS(Lançamentos!$G:$G,Lançamentos!$A:$A,FE$19,Lançamentos!$C:$C,"Manutenção")</f>
        <v>0</v>
      </c>
      <c r="FF44" s="39">
        <f>SUMIFS(Lançamentos!$G:$G,Lançamentos!$A:$A,FF$19,Lançamentos!$C:$C,"Manutenção")</f>
        <v>0</v>
      </c>
      <c r="FG44" s="39">
        <f>SUMIFS(Lançamentos!$G:$G,Lançamentos!$A:$A,FG$19,Lançamentos!$C:$C,"Manutenção")</f>
        <v>0</v>
      </c>
      <c r="FH44" s="39">
        <f>SUMIFS(Lançamentos!$G:$G,Lançamentos!$A:$A,FH$19,Lançamentos!$C:$C,"Manutenção")</f>
        <v>0</v>
      </c>
      <c r="FI44" s="39">
        <f>SUMIFS(Lançamentos!$G:$G,Lançamentos!$A:$A,FI$19,Lançamentos!$C:$C,"Manutenção")</f>
        <v>0</v>
      </c>
      <c r="FJ44" s="39">
        <f>SUMIFS(Lançamentos!$G:$G,Lançamentos!$A:$A,FJ$19,Lançamentos!$C:$C,"Manutenção")</f>
        <v>0</v>
      </c>
      <c r="FK44" s="39">
        <f>SUMIFS(Lançamentos!$G:$G,Lançamentos!$A:$A,FK$19,Lançamentos!$C:$C,"Manutenção")</f>
        <v>0</v>
      </c>
      <c r="FL44" s="39">
        <f>SUMIFS(Lançamentos!$G:$G,Lançamentos!$A:$A,FL$19,Lançamentos!$C:$C,"Manutenção")</f>
        <v>0</v>
      </c>
      <c r="FM44" s="39">
        <f>SUMIFS(Lançamentos!$G:$G,Lançamentos!$A:$A,FM$19,Lançamentos!$C:$C,"Manutenção")</f>
        <v>0</v>
      </c>
      <c r="FN44" s="39">
        <f>SUMIFS(Lançamentos!$G:$G,Lançamentos!$A:$A,FN$19,Lançamentos!$C:$C,"Manutenção")</f>
        <v>0</v>
      </c>
      <c r="FO44" s="39">
        <f>SUMIFS(Lançamentos!$G:$G,Lançamentos!$A:$A,FO$19,Lançamentos!$C:$C,"Manutenção")</f>
        <v>0</v>
      </c>
      <c r="FP44" s="39">
        <f>SUMIFS(Lançamentos!$G:$G,Lançamentos!$A:$A,FP$19,Lançamentos!$C:$C,"Manutenção")</f>
        <v>0</v>
      </c>
      <c r="FQ44" s="39">
        <f>SUMIFS(Lançamentos!$G:$G,Lançamentos!$A:$A,FQ$19,Lançamentos!$C:$C,"Manutenção")</f>
        <v>0</v>
      </c>
      <c r="FR44" s="39">
        <f>SUMIFS(Lançamentos!$G:$G,Lançamentos!$A:$A,FR$19,Lançamentos!$C:$C,"Manutenção")</f>
        <v>0</v>
      </c>
      <c r="FS44" s="39">
        <f>SUMIFS(Lançamentos!$G:$G,Lançamentos!$A:$A,FS$19,Lançamentos!$C:$C,"Manutenção")</f>
        <v>0</v>
      </c>
      <c r="FT44" s="39">
        <f>SUMIFS(Lançamentos!$G:$G,Lançamentos!$A:$A,FT$19,Lançamentos!$C:$C,"Manutenção")</f>
        <v>0</v>
      </c>
      <c r="FU44" s="39">
        <f>SUMIFS(Lançamentos!$G:$G,Lançamentos!$A:$A,FU$19,Lançamentos!$C:$C,"Manutenção")</f>
        <v>0</v>
      </c>
      <c r="FV44" s="39">
        <f>SUMIFS(Lançamentos!$G:$G,Lançamentos!$A:$A,FV$19,Lançamentos!$C:$C,"Manutenção")</f>
        <v>0</v>
      </c>
      <c r="FW44" s="39">
        <f>SUMIFS(Lançamentos!$G:$G,Lançamentos!$A:$A,FW$19,Lançamentos!$C:$C,"Manutenção")</f>
        <v>0</v>
      </c>
      <c r="FX44" s="39">
        <f>SUMIFS(Lançamentos!$G:$G,Lançamentos!$A:$A,FX$19,Lançamentos!$C:$C,"Manutenção")</f>
        <v>0</v>
      </c>
      <c r="FY44" s="39">
        <f>SUMIFS(Lançamentos!$G:$G,Lançamentos!$A:$A,FY$19,Lançamentos!$C:$C,"Manutenção")</f>
        <v>0</v>
      </c>
      <c r="FZ44" s="39">
        <f>SUMIFS(Lançamentos!$G:$G,Lançamentos!$A:$A,FZ$19,Lançamentos!$C:$C,"Manutenção")</f>
        <v>0</v>
      </c>
      <c r="GA44" s="39">
        <f>SUMIFS(Lançamentos!$G:$G,Lançamentos!$A:$A,GA$19,Lançamentos!$C:$C,"Manutenção")</f>
        <v>0</v>
      </c>
      <c r="GB44" s="39">
        <f>SUMIFS(Lançamentos!$G:$G,Lançamentos!$A:$A,GB$19,Lançamentos!$C:$C,"Manutenção")</f>
        <v>0</v>
      </c>
      <c r="GC44" s="39">
        <f>SUMIFS(Lançamentos!$G:$G,Lançamentos!$A:$A,GC$19,Lançamentos!$C:$C,"Manutenção")</f>
        <v>0</v>
      </c>
      <c r="GD44" s="39">
        <f>SUMIFS(Lançamentos!$G:$G,Lançamentos!$A:$A,GD$19,Lançamentos!$C:$C,"Manutenção")</f>
        <v>0</v>
      </c>
      <c r="GE44" s="39">
        <f>SUMIFS(Lançamentos!$G:$G,Lançamentos!$A:$A,GE$19,Lançamentos!$C:$C,"Manutenção")</f>
        <v>0</v>
      </c>
      <c r="GF44" s="39">
        <f>SUMIFS(Lançamentos!$G:$G,Lançamentos!$A:$A,GF$19,Lançamentos!$C:$C,"Manutenção")</f>
        <v>0</v>
      </c>
      <c r="GG44" s="39">
        <f>SUMIFS(Lançamentos!$G:$G,Lançamentos!$A:$A,GG$19,Lançamentos!$C:$C,"Manutenção")</f>
        <v>0</v>
      </c>
      <c r="GH44" s="39">
        <f>SUMIFS(Lançamentos!$G:$G,Lançamentos!$A:$A,GH$19,Lançamentos!$C:$C,"Manutenção")</f>
        <v>0</v>
      </c>
      <c r="GI44" s="39">
        <f>SUMIFS(Lançamentos!$G:$G,Lançamentos!$A:$A,GI$19,Lançamentos!$C:$C,"Manutenção")</f>
        <v>0</v>
      </c>
      <c r="GJ44" s="39">
        <f>SUMIFS(Lançamentos!$G:$G,Lançamentos!$A:$A,GJ$19,Lançamentos!$C:$C,"Manutenção")</f>
        <v>0</v>
      </c>
      <c r="GK44" s="39">
        <f>SUMIFS(Lançamentos!$G:$G,Lançamentos!$A:$A,GK$19,Lançamentos!$C:$C,"Manutenção")</f>
        <v>0</v>
      </c>
      <c r="GL44" s="39">
        <f>SUMIFS(Lançamentos!$G:$G,Lançamentos!$A:$A,GL$19,Lançamentos!$C:$C,"Manutenção")</f>
        <v>0</v>
      </c>
      <c r="GM44" s="39">
        <f>SUMIFS(Lançamentos!$G:$G,Lançamentos!$A:$A,GM$19,Lançamentos!$C:$C,"Manutenção")</f>
        <v>0</v>
      </c>
      <c r="GN44" s="39">
        <f>SUMIFS(Lançamentos!$G:$G,Lançamentos!$A:$A,GN$19,Lançamentos!$C:$C,"Manutenção")</f>
        <v>0</v>
      </c>
      <c r="GO44" s="39">
        <f>SUMIFS(Lançamentos!$G:$G,Lançamentos!$A:$A,GO$19,Lançamentos!$C:$C,"Manutenção")</f>
        <v>0</v>
      </c>
      <c r="GP44" s="39">
        <f>SUMIFS(Lançamentos!$G:$G,Lançamentos!$A:$A,GP$19,Lançamentos!$C:$C,"Manutenção")</f>
        <v>0</v>
      </c>
      <c r="GQ44" s="39">
        <f>SUMIFS(Lançamentos!$G:$G,Lançamentos!$A:$A,GQ$19,Lançamentos!$C:$C,"Manutenção")</f>
        <v>0</v>
      </c>
      <c r="GR44" s="39">
        <f>SUMIFS(Lançamentos!$G:$G,Lançamentos!$A:$A,GR$19,Lançamentos!$C:$C,"Manutenção")</f>
        <v>0</v>
      </c>
      <c r="GS44" s="39">
        <f>SUMIFS(Lançamentos!$G:$G,Lançamentos!$A:$A,GS$19,Lançamentos!$C:$C,"Manutenção")</f>
        <v>0</v>
      </c>
      <c r="GT44" s="39">
        <f>SUMIFS(Lançamentos!$G:$G,Lançamentos!$A:$A,GT$19,Lançamentos!$C:$C,"Manutenção")</f>
        <v>0</v>
      </c>
      <c r="GU44" s="39">
        <f>SUMIFS(Lançamentos!$G:$G,Lançamentos!$A:$A,GU$19,Lançamentos!$C:$C,"Manutenção")</f>
        <v>0</v>
      </c>
      <c r="GV44" s="39">
        <f>SUMIFS(Lançamentos!$G:$G,Lançamentos!$A:$A,GV$19,Lançamentos!$C:$C,"Manutenção")</f>
        <v>0</v>
      </c>
      <c r="GW44" s="39">
        <f>SUMIFS(Lançamentos!$G:$G,Lançamentos!$A:$A,GW$19,Lançamentos!$C:$C,"Manutenção")</f>
        <v>0</v>
      </c>
      <c r="GX44" s="39">
        <f>SUMIFS(Lançamentos!$G:$G,Lançamentos!$A:$A,GX$19,Lançamentos!$C:$C,"Manutenção")</f>
        <v>0</v>
      </c>
      <c r="GY44" s="39">
        <f>SUMIFS(Lançamentos!$G:$G,Lançamentos!$A:$A,GY$19,Lançamentos!$C:$C,"Manutenção")</f>
        <v>0</v>
      </c>
      <c r="GZ44" s="39">
        <f>SUMIFS(Lançamentos!$G:$G,Lançamentos!$A:$A,GZ$19,Lançamentos!$C:$C,"Manutenção")</f>
        <v>0</v>
      </c>
      <c r="HA44" s="39">
        <f>SUMIFS(Lançamentos!$G:$G,Lançamentos!$A:$A,HA$19,Lançamentos!$C:$C,"Manutenção")</f>
        <v>0</v>
      </c>
      <c r="HB44" s="39">
        <f>SUMIFS(Lançamentos!$G:$G,Lançamentos!$A:$A,HB$19,Lançamentos!$C:$C,"Manutenção")</f>
        <v>0</v>
      </c>
      <c r="HC44" s="39">
        <f>SUMIFS(Lançamentos!$G:$G,Lançamentos!$A:$A,HC$19,Lançamentos!$C:$C,"Manutenção")</f>
        <v>0</v>
      </c>
      <c r="HD44" s="39">
        <f>SUMIFS(Lançamentos!$G:$G,Lançamentos!$A:$A,HD$19,Lançamentos!$C:$C,"Manutenção")</f>
        <v>0</v>
      </c>
      <c r="HE44" s="39">
        <f>SUMIFS(Lançamentos!$G:$G,Lançamentos!$A:$A,HE$19,Lançamentos!$C:$C,"Manutenção")</f>
        <v>0</v>
      </c>
      <c r="HF44" s="39">
        <f>SUMIFS(Lançamentos!$G:$G,Lançamentos!$A:$A,HF$19,Lançamentos!$C:$C,"Manutenção")</f>
        <v>0</v>
      </c>
      <c r="HG44" s="39">
        <f>SUMIFS(Lançamentos!$G:$G,Lançamentos!$A:$A,HG$19,Lançamentos!$C:$C,"Manutenção")</f>
        <v>0</v>
      </c>
      <c r="HH44" s="39">
        <f>SUMIFS(Lançamentos!$G:$G,Lançamentos!$A:$A,HH$19,Lançamentos!$C:$C,"Manutenção")</f>
        <v>0</v>
      </c>
      <c r="HI44" s="39">
        <f>SUMIFS(Lançamentos!$G:$G,Lançamentos!$A:$A,HI$19,Lançamentos!$C:$C,"Manutenção")</f>
        <v>0</v>
      </c>
      <c r="HJ44" s="39">
        <f>SUMIFS(Lançamentos!$G:$G,Lançamentos!$A:$A,HJ$19,Lançamentos!$C:$C,"Manutenção")</f>
        <v>0</v>
      </c>
      <c r="HK44" s="39">
        <f>SUMIFS(Lançamentos!$G:$G,Lançamentos!$A:$A,HK$19,Lançamentos!$C:$C,"Manutenção")</f>
        <v>0</v>
      </c>
      <c r="HL44" s="39">
        <f>SUMIFS(Lançamentos!$G:$G,Lançamentos!$A:$A,HL$19,Lançamentos!$C:$C,"Manutenção")</f>
        <v>0</v>
      </c>
      <c r="HM44" s="39">
        <f>SUMIFS(Lançamentos!$G:$G,Lançamentos!$A:$A,HM$19,Lançamentos!$C:$C,"Manutenção")</f>
        <v>0</v>
      </c>
      <c r="HN44" s="39">
        <f>SUMIFS(Lançamentos!$G:$G,Lançamentos!$A:$A,HN$19,Lançamentos!$C:$C,"Manutenção")</f>
        <v>0</v>
      </c>
      <c r="HO44" s="39">
        <f>SUMIFS(Lançamentos!$G:$G,Lançamentos!$A:$A,HO$19,Lançamentos!$C:$C,"Manutenção")</f>
        <v>0</v>
      </c>
      <c r="HP44" s="39">
        <f>SUMIFS(Lançamentos!$G:$G,Lançamentos!$A:$A,HP$19,Lançamentos!$C:$C,"Manutenção")</f>
        <v>0</v>
      </c>
      <c r="HQ44" s="39">
        <f>SUMIFS(Lançamentos!$G:$G,Lançamentos!$A:$A,HQ$19,Lançamentos!$C:$C,"Manutenção")</f>
        <v>0</v>
      </c>
      <c r="HR44" s="39">
        <f>SUMIFS(Lançamentos!$G:$G,Lançamentos!$A:$A,HR$19,Lançamentos!$C:$C,"Manutenção")</f>
        <v>0</v>
      </c>
      <c r="HS44" s="39">
        <f>SUMIFS(Lançamentos!$G:$G,Lançamentos!$A:$A,HS$19,Lançamentos!$C:$C,"Manutenção")</f>
        <v>0</v>
      </c>
      <c r="HT44" s="39">
        <f>SUMIFS(Lançamentos!$G:$G,Lançamentos!$A:$A,HT$19,Lançamentos!$C:$C,"Manutenção")</f>
        <v>0</v>
      </c>
      <c r="HU44" s="39">
        <f>SUMIFS(Lançamentos!$G:$G,Lançamentos!$A:$A,HU$19,Lançamentos!$C:$C,"Manutenção")</f>
        <v>0</v>
      </c>
      <c r="HV44" s="39">
        <f>SUMIFS(Lançamentos!$G:$G,Lançamentos!$A:$A,HV$19,Lançamentos!$C:$C,"Manutenção")</f>
        <v>0</v>
      </c>
      <c r="HW44" s="39">
        <f>SUMIFS(Lançamentos!$G:$G,Lançamentos!$A:$A,HW$19,Lançamentos!$C:$C,"Manutenção")</f>
        <v>0</v>
      </c>
      <c r="HX44" s="39">
        <f>SUMIFS(Lançamentos!$G:$G,Lançamentos!$A:$A,HX$19,Lançamentos!$C:$C,"Manutenção")</f>
        <v>0</v>
      </c>
      <c r="HY44" s="39">
        <f>SUMIFS(Lançamentos!$G:$G,Lançamentos!$A:$A,HY$19,Lançamentos!$C:$C,"Manutenção")</f>
        <v>0</v>
      </c>
      <c r="HZ44" s="39">
        <f>SUMIFS(Lançamentos!$G:$G,Lançamentos!$A:$A,HZ$19,Lançamentos!$C:$C,"Manutenção")</f>
        <v>0</v>
      </c>
      <c r="IA44" s="39">
        <f>SUMIFS(Lançamentos!$G:$G,Lançamentos!$A:$A,IA$19,Lançamentos!$C:$C,"Manutenção")</f>
        <v>0</v>
      </c>
      <c r="IB44" s="39">
        <f>SUMIFS(Lançamentos!$G:$G,Lançamentos!$A:$A,IB$19,Lançamentos!$C:$C,"Manutenção")</f>
        <v>0</v>
      </c>
      <c r="IC44" s="39">
        <f>SUMIFS(Lançamentos!$G:$G,Lançamentos!$A:$A,IC$19,Lançamentos!$C:$C,"Manutenção")</f>
        <v>0</v>
      </c>
      <c r="ID44" s="39">
        <f>SUMIFS(Lançamentos!$G:$G,Lançamentos!$A:$A,ID$19,Lançamentos!$C:$C,"Manutenção")</f>
        <v>0</v>
      </c>
      <c r="IE44" s="39">
        <f>SUMIFS(Lançamentos!$G:$G,Lançamentos!$A:$A,IE$19,Lançamentos!$C:$C,"Manutenção")</f>
        <v>0</v>
      </c>
      <c r="IF44" s="39">
        <f>SUMIFS(Lançamentos!$G:$G,Lançamentos!$A:$A,IF$19,Lançamentos!$C:$C,"Manutenção")</f>
        <v>0</v>
      </c>
      <c r="IG44" s="39">
        <f>SUMIFS(Lançamentos!$G:$G,Lançamentos!$A:$A,IG$19,Lançamentos!$C:$C,"Manutenção")</f>
        <v>0</v>
      </c>
      <c r="IH44" s="39">
        <f>SUMIFS(Lançamentos!$G:$G,Lançamentos!$A:$A,IH$19,Lançamentos!$C:$C,"Manutenção")</f>
        <v>0</v>
      </c>
      <c r="II44" s="39">
        <f>SUMIFS(Lançamentos!$G:$G,Lançamentos!$A:$A,II$19,Lançamentos!$C:$C,"Manutenção")</f>
        <v>0</v>
      </c>
      <c r="IJ44" s="39">
        <f>SUMIFS(Lançamentos!$G:$G,Lançamentos!$A:$A,IJ$19,Lançamentos!$C:$C,"Manutenção")</f>
        <v>0</v>
      </c>
      <c r="IK44" s="39">
        <f>SUMIFS(Lançamentos!$G:$G,Lançamentos!$A:$A,IK$19,Lançamentos!$C:$C,"Manutenção")</f>
        <v>0</v>
      </c>
      <c r="IL44" s="39">
        <f>SUMIFS(Lançamentos!$G:$G,Lançamentos!$A:$A,IL$19,Lançamentos!$C:$C,"Manutenção")</f>
        <v>0</v>
      </c>
    </row>
    <row r="45" spans="1:246" x14ac:dyDescent="0.3">
      <c r="A45" t="s">
        <v>22</v>
      </c>
      <c r="B45" s="39">
        <f>SUMIFS(Lançamentos!$G:$G,Lançamentos!$A:$A,B$19,Lançamentos!$C:$C,"Transporte e Viagens")</f>
        <v>0</v>
      </c>
      <c r="C45" s="39">
        <f>SUMIFS(Lançamentos!$G:$G,Lançamentos!$A:$A,C$19,Lançamentos!$C:$C,"Transporte e Viagens")</f>
        <v>0</v>
      </c>
      <c r="D45" s="39">
        <f>SUMIFS(Lançamentos!$G:$G,Lançamentos!$A:$A,D$19,Lançamentos!$C:$C,"Transporte e Viagens")</f>
        <v>0</v>
      </c>
      <c r="E45" s="39">
        <f>SUMIFS(Lançamentos!$G:$G,Lançamentos!$A:$A,E$19,Lançamentos!$C:$C,"Transporte e Viagens")</f>
        <v>0</v>
      </c>
      <c r="F45" s="39">
        <f>SUMIFS(Lançamentos!$G:$G,Lançamentos!$A:$A,F$19,Lançamentos!$C:$C,"Transporte e Viagens")</f>
        <v>0</v>
      </c>
      <c r="G45" s="39">
        <f>SUMIFS(Lançamentos!$G:$G,Lançamentos!$A:$A,G$19,Lançamentos!$C:$C,"Transporte e Viagens")</f>
        <v>0</v>
      </c>
      <c r="H45" s="39">
        <f>SUMIFS(Lançamentos!$G:$G,Lançamentos!$A:$A,H$19,Lançamentos!$C:$C,"Transporte e Viagens")</f>
        <v>0</v>
      </c>
      <c r="I45" s="39">
        <f>SUMIFS(Lançamentos!$G:$G,Lançamentos!$A:$A,I$19,Lançamentos!$C:$C,"Transporte e Viagens")</f>
        <v>0</v>
      </c>
      <c r="J45" s="39">
        <f>SUMIFS(Lançamentos!$G:$G,Lançamentos!$A:$A,J$19,Lançamentos!$C:$C,"Transporte e Viagens")</f>
        <v>0</v>
      </c>
      <c r="K45" s="39">
        <f>SUMIFS(Lançamentos!$G:$G,Lançamentos!$A:$A,K$19,Lançamentos!$C:$C,"Transporte e Viagens")</f>
        <v>0</v>
      </c>
      <c r="L45" s="39">
        <f>SUMIFS(Lançamentos!$G:$G,Lançamentos!$A:$A,L$19,Lançamentos!$C:$C,"Transporte e Viagens")</f>
        <v>0</v>
      </c>
      <c r="M45" s="39">
        <f>SUMIFS(Lançamentos!$G:$G,Lançamentos!$A:$A,M$19,Lançamentos!$C:$C,"Transporte e Viagens")</f>
        <v>0</v>
      </c>
      <c r="N45" s="39">
        <f>SUMIFS(Lançamentos!$G:$G,Lançamentos!$A:$A,N$19,Lançamentos!$C:$C,"Transporte e Viagens")</f>
        <v>0</v>
      </c>
      <c r="O45" s="39">
        <f>SUMIFS(Lançamentos!$G:$G,Lançamentos!$A:$A,O$19,Lançamentos!$C:$C,"Transporte e Viagens")</f>
        <v>0</v>
      </c>
      <c r="P45" s="39">
        <f>SUMIFS(Lançamentos!$G:$G,Lançamentos!$A:$A,P$19,Lançamentos!$C:$C,"Transporte e Viagens")</f>
        <v>0</v>
      </c>
      <c r="Q45" s="39">
        <f>SUMIFS(Lançamentos!$G:$G,Lançamentos!$A:$A,Q$19,Lançamentos!$C:$C,"Transporte e Viagens")</f>
        <v>0</v>
      </c>
      <c r="R45" s="39">
        <f>SUMIFS(Lançamentos!$G:$G,Lançamentos!$A:$A,R$19,Lançamentos!$C:$C,"Transporte e Viagens")</f>
        <v>0</v>
      </c>
      <c r="S45" s="39">
        <f>SUMIFS(Lançamentos!$G:$G,Lançamentos!$A:$A,S$19,Lançamentos!$C:$C,"Transporte e Viagens")</f>
        <v>0</v>
      </c>
      <c r="T45" s="39">
        <f>SUMIFS(Lançamentos!$G:$G,Lançamentos!$A:$A,T$19,Lançamentos!$C:$C,"Transporte e Viagens")</f>
        <v>0</v>
      </c>
      <c r="U45" s="39">
        <f>SUMIFS(Lançamentos!$G:$G,Lançamentos!$A:$A,U$19,Lançamentos!$C:$C,"Transporte e Viagens")</f>
        <v>0</v>
      </c>
      <c r="V45" s="39">
        <f>SUMIFS(Lançamentos!$G:$G,Lançamentos!$A:$A,V$19,Lançamentos!$C:$C,"Transporte e Viagens")</f>
        <v>0</v>
      </c>
      <c r="W45" s="39">
        <f>SUMIFS(Lançamentos!$G:$G,Lançamentos!$A:$A,W$19,Lançamentos!$C:$C,"Transporte e Viagens")</f>
        <v>0</v>
      </c>
      <c r="X45" s="39">
        <f>SUMIFS(Lançamentos!$G:$G,Lançamentos!$A:$A,X$19,Lançamentos!$C:$C,"Transporte e Viagens")</f>
        <v>0</v>
      </c>
      <c r="Y45" s="39">
        <f>SUMIFS(Lançamentos!$G:$G,Lançamentos!$A:$A,Y$19,Lançamentos!$C:$C,"Transporte e Viagens")</f>
        <v>0</v>
      </c>
      <c r="Z45" s="39">
        <f>SUMIFS(Lançamentos!$G:$G,Lançamentos!$A:$A,Z$19,Lançamentos!$C:$C,"Transporte e Viagens")</f>
        <v>0</v>
      </c>
      <c r="AA45" s="39">
        <f>SUMIFS(Lançamentos!$G:$G,Lançamentos!$A:$A,AA$19,Lançamentos!$C:$C,"Transporte e Viagens")</f>
        <v>0</v>
      </c>
      <c r="AB45" s="39">
        <f>SUMIFS(Lançamentos!$G:$G,Lançamentos!$A:$A,AB$19,Lançamentos!$C:$C,"Transporte e Viagens")</f>
        <v>0</v>
      </c>
      <c r="AC45" s="39">
        <f>SUMIFS(Lançamentos!$G:$G,Lançamentos!$A:$A,AC$19,Lançamentos!$C:$C,"Transporte e Viagens")</f>
        <v>0</v>
      </c>
      <c r="AD45" s="39">
        <f>SUMIFS(Lançamentos!$G:$G,Lançamentos!$A:$A,AD$19,Lançamentos!$C:$C,"Transporte e Viagens")</f>
        <v>0</v>
      </c>
      <c r="AE45" s="39">
        <f>SUMIFS(Lançamentos!$G:$G,Lançamentos!$A:$A,AE$19,Lançamentos!$C:$C,"Transporte e Viagens")</f>
        <v>0</v>
      </c>
      <c r="AF45" s="39">
        <f>SUMIFS(Lançamentos!$G:$G,Lançamentos!$A:$A,AF$19,Lançamentos!$C:$C,"Transporte e Viagens")</f>
        <v>0</v>
      </c>
      <c r="AG45" s="39">
        <f>SUMIFS(Lançamentos!$G:$G,Lançamentos!$A:$A,AG$19,Lançamentos!$C:$C,"Transporte e Viagens")</f>
        <v>0</v>
      </c>
      <c r="AH45" s="39">
        <f>SUMIFS(Lançamentos!$G:$G,Lançamentos!$A:$A,AH$19,Lançamentos!$C:$C,"Transporte e Viagens")</f>
        <v>0</v>
      </c>
      <c r="AI45" s="39">
        <f>SUMIFS(Lançamentos!$G:$G,Lançamentos!$A:$A,AI$19,Lançamentos!$C:$C,"Transporte e Viagens")</f>
        <v>0</v>
      </c>
      <c r="AJ45" s="39">
        <f>SUMIFS(Lançamentos!$G:$G,Lançamentos!$A:$A,AJ$19,Lançamentos!$C:$C,"Transporte e Viagens")</f>
        <v>0</v>
      </c>
      <c r="AK45" s="39">
        <f>SUMIFS(Lançamentos!$G:$G,Lançamentos!$A:$A,AK$19,Lançamentos!$C:$C,"Transporte e Viagens")</f>
        <v>0</v>
      </c>
      <c r="AL45" s="39">
        <f>SUMIFS(Lançamentos!$G:$G,Lançamentos!$A:$A,AL$19,Lançamentos!$C:$C,"Transporte e Viagens")</f>
        <v>0</v>
      </c>
      <c r="AM45" s="39">
        <f>SUMIFS(Lançamentos!$G:$G,Lançamentos!$A:$A,AM$19,Lançamentos!$C:$C,"Transporte e Viagens")</f>
        <v>0</v>
      </c>
      <c r="AN45" s="39">
        <f>SUMIFS(Lançamentos!$G:$G,Lançamentos!$A:$A,AN$19,Lançamentos!$C:$C,"Transporte e Viagens")</f>
        <v>0</v>
      </c>
      <c r="AO45" s="39">
        <f>SUMIFS(Lançamentos!$G:$G,Lançamentos!$A:$A,AO$19,Lançamentos!$C:$C,"Transporte e Viagens")</f>
        <v>0</v>
      </c>
      <c r="AP45" s="39">
        <f>SUMIFS(Lançamentos!$G:$G,Lançamentos!$A:$A,AP$19,Lançamentos!$C:$C,"Transporte e Viagens")</f>
        <v>0</v>
      </c>
      <c r="AQ45" s="39">
        <f>SUMIFS(Lançamentos!$G:$G,Lançamentos!$A:$A,AQ$19,Lançamentos!$C:$C,"Transporte e Viagens")</f>
        <v>0</v>
      </c>
      <c r="AR45" s="39">
        <f>SUMIFS(Lançamentos!$G:$G,Lançamentos!$A:$A,AR$19,Lançamentos!$C:$C,"Transporte e Viagens")</f>
        <v>0</v>
      </c>
      <c r="AS45" s="39">
        <f>SUMIFS(Lançamentos!$G:$G,Lançamentos!$A:$A,AS$19,Lançamentos!$C:$C,"Transporte e Viagens")</f>
        <v>0</v>
      </c>
      <c r="AT45" s="39">
        <f>SUMIFS(Lançamentos!$G:$G,Lançamentos!$A:$A,AT$19,Lançamentos!$C:$C,"Transporte e Viagens")</f>
        <v>0</v>
      </c>
      <c r="AU45" s="39">
        <f>SUMIFS(Lançamentos!$G:$G,Lançamentos!$A:$A,AU$19,Lançamentos!$C:$C,"Transporte e Viagens")</f>
        <v>0</v>
      </c>
      <c r="AV45" s="39">
        <f>SUMIFS(Lançamentos!$G:$G,Lançamentos!$A:$A,AV$19,Lançamentos!$C:$C,"Transporte e Viagens")</f>
        <v>0</v>
      </c>
      <c r="AW45" s="39">
        <f>SUMIFS(Lançamentos!$G:$G,Lançamentos!$A:$A,AW$19,Lançamentos!$C:$C,"Transporte e Viagens")</f>
        <v>0</v>
      </c>
      <c r="AX45" s="39">
        <f>SUMIFS(Lançamentos!$G:$G,Lançamentos!$A:$A,AX$19,Lançamentos!$C:$C,"Transporte e Viagens")</f>
        <v>0</v>
      </c>
      <c r="AY45" s="39">
        <f>SUMIFS(Lançamentos!$G:$G,Lançamentos!$A:$A,AY$19,Lançamentos!$C:$C,"Transporte e Viagens")</f>
        <v>0</v>
      </c>
      <c r="AZ45" s="39">
        <f>SUMIFS(Lançamentos!$G:$G,Lançamentos!$A:$A,AZ$19,Lançamentos!$C:$C,"Transporte e Viagens")</f>
        <v>0</v>
      </c>
      <c r="BA45" s="39">
        <f>SUMIFS(Lançamentos!$G:$G,Lançamentos!$A:$A,BA$19,Lançamentos!$C:$C,"Transporte e Viagens")</f>
        <v>0</v>
      </c>
      <c r="BB45" s="39">
        <f>SUMIFS(Lançamentos!$G:$G,Lançamentos!$A:$A,BB$19,Lançamentos!$C:$C,"Transporte e Viagens")</f>
        <v>0</v>
      </c>
      <c r="BC45" s="39">
        <f>SUMIFS(Lançamentos!$G:$G,Lançamentos!$A:$A,BC$19,Lançamentos!$C:$C,"Transporte e Viagens")</f>
        <v>0</v>
      </c>
      <c r="BD45" s="39">
        <f>SUMIFS(Lançamentos!$G:$G,Lançamentos!$A:$A,BD$19,Lançamentos!$C:$C,"Transporte e Viagens")</f>
        <v>0</v>
      </c>
      <c r="BE45" s="39">
        <f>SUMIFS(Lançamentos!$G:$G,Lançamentos!$A:$A,BE$19,Lançamentos!$C:$C,"Transporte e Viagens")</f>
        <v>0</v>
      </c>
      <c r="BF45" s="39">
        <f>SUMIFS(Lançamentos!$G:$G,Lançamentos!$A:$A,BF$19,Lançamentos!$C:$C,"Transporte e Viagens")</f>
        <v>0</v>
      </c>
      <c r="BG45" s="39">
        <f>SUMIFS(Lançamentos!$G:$G,Lançamentos!$A:$A,BG$19,Lançamentos!$C:$C,"Transporte e Viagens")</f>
        <v>0</v>
      </c>
      <c r="BH45" s="39">
        <f>SUMIFS(Lançamentos!$G:$G,Lançamentos!$A:$A,BH$19,Lançamentos!$C:$C,"Transporte e Viagens")</f>
        <v>0</v>
      </c>
      <c r="BI45" s="39">
        <f>SUMIFS(Lançamentos!$G:$G,Lançamentos!$A:$A,BI$19,Lançamentos!$C:$C,"Transporte e Viagens")</f>
        <v>0</v>
      </c>
      <c r="BJ45" s="39">
        <f>SUMIFS(Lançamentos!$G:$G,Lançamentos!$A:$A,BJ$19,Lançamentos!$C:$C,"Transporte e Viagens")</f>
        <v>0</v>
      </c>
      <c r="BK45" s="39">
        <f>SUMIFS(Lançamentos!$G:$G,Lançamentos!$A:$A,BK$19,Lançamentos!$C:$C,"Transporte e Viagens")</f>
        <v>0</v>
      </c>
      <c r="BL45" s="39">
        <f>SUMIFS(Lançamentos!$G:$G,Lançamentos!$A:$A,BL$19,Lançamentos!$C:$C,"Transporte e Viagens")</f>
        <v>0</v>
      </c>
      <c r="BM45" s="39">
        <f>SUMIFS(Lançamentos!$G:$G,Lançamentos!$A:$A,BM$19,Lançamentos!$C:$C,"Transporte e Viagens")</f>
        <v>0</v>
      </c>
      <c r="BN45" s="39">
        <f>SUMIFS(Lançamentos!$G:$G,Lançamentos!$A:$A,BN$19,Lançamentos!$C:$C,"Transporte e Viagens")</f>
        <v>0</v>
      </c>
      <c r="BO45" s="39">
        <f>SUMIFS(Lançamentos!$G:$G,Lançamentos!$A:$A,BO$19,Lançamentos!$C:$C,"Transporte e Viagens")</f>
        <v>0</v>
      </c>
      <c r="BP45" s="39">
        <f>SUMIFS(Lançamentos!$G:$G,Lançamentos!$A:$A,BP$19,Lançamentos!$C:$C,"Transporte e Viagens")</f>
        <v>0</v>
      </c>
      <c r="BQ45" s="39">
        <f>SUMIFS(Lançamentos!$G:$G,Lançamentos!$A:$A,BQ$19,Lançamentos!$C:$C,"Transporte e Viagens")</f>
        <v>0</v>
      </c>
      <c r="BR45" s="39">
        <f>SUMIFS(Lançamentos!$G:$G,Lançamentos!$A:$A,BR$19,Lançamentos!$C:$C,"Transporte e Viagens")</f>
        <v>0</v>
      </c>
      <c r="BS45" s="39">
        <f>SUMIFS(Lançamentos!$G:$G,Lançamentos!$A:$A,BS$19,Lançamentos!$C:$C,"Transporte e Viagens")</f>
        <v>0</v>
      </c>
      <c r="BT45" s="39">
        <f>SUMIFS(Lançamentos!$G:$G,Lançamentos!$A:$A,BT$19,Lançamentos!$C:$C,"Transporte e Viagens")</f>
        <v>0</v>
      </c>
      <c r="BU45" s="39">
        <f>SUMIFS(Lançamentos!$G:$G,Lançamentos!$A:$A,BU$19,Lançamentos!$C:$C,"Transporte e Viagens")</f>
        <v>0</v>
      </c>
      <c r="BV45" s="39">
        <f>SUMIFS(Lançamentos!$G:$G,Lançamentos!$A:$A,BV$19,Lançamentos!$C:$C,"Transporte e Viagens")</f>
        <v>0</v>
      </c>
      <c r="BW45" s="39">
        <f>SUMIFS(Lançamentos!$G:$G,Lançamentos!$A:$A,BW$19,Lançamentos!$C:$C,"Transporte e Viagens")</f>
        <v>0</v>
      </c>
      <c r="BX45" s="39">
        <f>SUMIFS(Lançamentos!$G:$G,Lançamentos!$A:$A,BX$19,Lançamentos!$C:$C,"Transporte e Viagens")</f>
        <v>0</v>
      </c>
      <c r="BY45" s="39">
        <f>SUMIFS(Lançamentos!$G:$G,Lançamentos!$A:$A,BY$19,Lançamentos!$C:$C,"Transporte e Viagens")</f>
        <v>0</v>
      </c>
      <c r="BZ45" s="39">
        <f>SUMIFS(Lançamentos!$G:$G,Lançamentos!$A:$A,BZ$19,Lançamentos!$C:$C,"Transporte e Viagens")</f>
        <v>0</v>
      </c>
      <c r="CA45" s="39">
        <f>SUMIFS(Lançamentos!$G:$G,Lançamentos!$A:$A,CA$19,Lançamentos!$C:$C,"Transporte e Viagens")</f>
        <v>0</v>
      </c>
      <c r="CB45" s="39">
        <f>SUMIFS(Lançamentos!$G:$G,Lançamentos!$A:$A,CB$19,Lançamentos!$C:$C,"Transporte e Viagens")</f>
        <v>0</v>
      </c>
      <c r="CC45" s="39">
        <f>SUMIFS(Lançamentos!$G:$G,Lançamentos!$A:$A,CC$19,Lançamentos!$C:$C,"Transporte e Viagens")</f>
        <v>0</v>
      </c>
      <c r="CD45" s="39">
        <f>SUMIFS(Lançamentos!$G:$G,Lançamentos!$A:$A,CD$19,Lançamentos!$C:$C,"Transporte e Viagens")</f>
        <v>0</v>
      </c>
      <c r="CE45" s="39">
        <f>SUMIFS(Lançamentos!$G:$G,Lançamentos!$A:$A,CE$19,Lançamentos!$C:$C,"Transporte e Viagens")</f>
        <v>0</v>
      </c>
      <c r="CF45" s="39">
        <f>SUMIFS(Lançamentos!$G:$G,Lançamentos!$A:$A,CF$19,Lançamentos!$C:$C,"Transporte e Viagens")</f>
        <v>0</v>
      </c>
      <c r="CG45" s="39">
        <f>SUMIFS(Lançamentos!$G:$G,Lançamentos!$A:$A,CG$19,Lançamentos!$C:$C,"Transporte e Viagens")</f>
        <v>0</v>
      </c>
      <c r="CH45" s="39">
        <f>SUMIFS(Lançamentos!$G:$G,Lançamentos!$A:$A,CH$19,Lançamentos!$C:$C,"Transporte e Viagens")</f>
        <v>0</v>
      </c>
      <c r="CI45" s="39">
        <f>SUMIFS(Lançamentos!$G:$G,Lançamentos!$A:$A,CI$19,Lançamentos!$C:$C,"Transporte e Viagens")</f>
        <v>0</v>
      </c>
      <c r="CJ45" s="39">
        <f>SUMIFS(Lançamentos!$G:$G,Lançamentos!$A:$A,CJ$19,Lançamentos!$C:$C,"Transporte e Viagens")</f>
        <v>0</v>
      </c>
      <c r="CK45" s="39">
        <f>SUMIFS(Lançamentos!$G:$G,Lançamentos!$A:$A,CK$19,Lançamentos!$C:$C,"Transporte e Viagens")</f>
        <v>0</v>
      </c>
      <c r="CL45" s="39">
        <f>SUMIFS(Lançamentos!$G:$G,Lançamentos!$A:$A,CL$19,Lançamentos!$C:$C,"Transporte e Viagens")</f>
        <v>0</v>
      </c>
      <c r="CM45" s="39">
        <f>SUMIFS(Lançamentos!$G:$G,Lançamentos!$A:$A,CM$19,Lançamentos!$C:$C,"Transporte e Viagens")</f>
        <v>0</v>
      </c>
      <c r="CN45" s="39">
        <f>SUMIFS(Lançamentos!$G:$G,Lançamentos!$A:$A,CN$19,Lançamentos!$C:$C,"Transporte e Viagens")</f>
        <v>0</v>
      </c>
      <c r="CO45" s="39">
        <f>SUMIFS(Lançamentos!$G:$G,Lançamentos!$A:$A,CO$19,Lançamentos!$C:$C,"Transporte e Viagens")</f>
        <v>0</v>
      </c>
      <c r="CP45" s="39">
        <f>SUMIFS(Lançamentos!$G:$G,Lançamentos!$A:$A,CP$19,Lançamentos!$C:$C,"Transporte e Viagens")</f>
        <v>0</v>
      </c>
      <c r="CQ45" s="39">
        <f>SUMIFS(Lançamentos!$G:$G,Lançamentos!$A:$A,CQ$19,Lançamentos!$C:$C,"Transporte e Viagens")</f>
        <v>0</v>
      </c>
      <c r="CR45" s="39">
        <f>SUMIFS(Lançamentos!$G:$G,Lançamentos!$A:$A,CR$19,Lançamentos!$C:$C,"Transporte e Viagens")</f>
        <v>0</v>
      </c>
      <c r="CS45" s="39">
        <f>SUMIFS(Lançamentos!$G:$G,Lançamentos!$A:$A,CS$19,Lançamentos!$C:$C,"Transporte e Viagens")</f>
        <v>0</v>
      </c>
      <c r="CT45" s="39">
        <f>SUMIFS(Lançamentos!$G:$G,Lançamentos!$A:$A,CT$19,Lançamentos!$C:$C,"Transporte e Viagens")</f>
        <v>0</v>
      </c>
      <c r="CU45" s="39">
        <f>SUMIFS(Lançamentos!$G:$G,Lançamentos!$A:$A,CU$19,Lançamentos!$C:$C,"Transporte e Viagens")</f>
        <v>0</v>
      </c>
      <c r="CV45" s="39">
        <f>SUMIFS(Lançamentos!$G:$G,Lançamentos!$A:$A,CV$19,Lançamentos!$C:$C,"Transporte e Viagens")</f>
        <v>0</v>
      </c>
      <c r="CW45" s="39">
        <f>SUMIFS(Lançamentos!$G:$G,Lançamentos!$A:$A,CW$19,Lançamentos!$C:$C,"Transporte e Viagens")</f>
        <v>0</v>
      </c>
      <c r="CX45" s="39">
        <f>SUMIFS(Lançamentos!$G:$G,Lançamentos!$A:$A,CX$19,Lançamentos!$C:$C,"Transporte e Viagens")</f>
        <v>0</v>
      </c>
      <c r="CY45" s="39">
        <f>SUMIFS(Lançamentos!$G:$G,Lançamentos!$A:$A,CY$19,Lançamentos!$C:$C,"Transporte e Viagens")</f>
        <v>0</v>
      </c>
      <c r="CZ45" s="39">
        <f>SUMIFS(Lançamentos!$G:$G,Lançamentos!$A:$A,CZ$19,Lançamentos!$C:$C,"Transporte e Viagens")</f>
        <v>0</v>
      </c>
      <c r="DA45" s="39">
        <f>SUMIFS(Lançamentos!$G:$G,Lançamentos!$A:$A,DA$19,Lançamentos!$C:$C,"Transporte e Viagens")</f>
        <v>0</v>
      </c>
      <c r="DB45" s="39">
        <f>SUMIFS(Lançamentos!$G:$G,Lançamentos!$A:$A,DB$19,Lançamentos!$C:$C,"Transporte e Viagens")</f>
        <v>0</v>
      </c>
      <c r="DC45" s="39">
        <f>SUMIFS(Lançamentos!$G:$G,Lançamentos!$A:$A,DC$19,Lançamentos!$C:$C,"Transporte e Viagens")</f>
        <v>0</v>
      </c>
      <c r="DD45" s="39">
        <f>SUMIFS(Lançamentos!$G:$G,Lançamentos!$A:$A,DD$19,Lançamentos!$C:$C,"Transporte e Viagens")</f>
        <v>0</v>
      </c>
      <c r="DE45" s="39">
        <f>SUMIFS(Lançamentos!$G:$G,Lançamentos!$A:$A,DE$19,Lançamentos!$C:$C,"Transporte e Viagens")</f>
        <v>0</v>
      </c>
      <c r="DF45" s="39">
        <f>SUMIFS(Lançamentos!$G:$G,Lançamentos!$A:$A,DF$19,Lançamentos!$C:$C,"Transporte e Viagens")</f>
        <v>0</v>
      </c>
      <c r="DG45" s="39">
        <f>SUMIFS(Lançamentos!$G:$G,Lançamentos!$A:$A,DG$19,Lançamentos!$C:$C,"Transporte e Viagens")</f>
        <v>0</v>
      </c>
      <c r="DH45" s="39">
        <f>SUMIFS(Lançamentos!$G:$G,Lançamentos!$A:$A,DH$19,Lançamentos!$C:$C,"Transporte e Viagens")</f>
        <v>0</v>
      </c>
      <c r="DI45" s="39">
        <f>SUMIFS(Lançamentos!$G:$G,Lançamentos!$A:$A,DI$19,Lançamentos!$C:$C,"Transporte e Viagens")</f>
        <v>0</v>
      </c>
      <c r="DJ45" s="39">
        <f>SUMIFS(Lançamentos!$G:$G,Lançamentos!$A:$A,DJ$19,Lançamentos!$C:$C,"Transporte e Viagens")</f>
        <v>0</v>
      </c>
      <c r="DK45" s="39">
        <f>SUMIFS(Lançamentos!$G:$G,Lançamentos!$A:$A,DK$19,Lançamentos!$C:$C,"Transporte e Viagens")</f>
        <v>0</v>
      </c>
      <c r="DL45" s="39">
        <f>SUMIFS(Lançamentos!$G:$G,Lançamentos!$A:$A,DL$19,Lançamentos!$C:$C,"Transporte e Viagens")</f>
        <v>0</v>
      </c>
      <c r="DM45" s="39">
        <f>SUMIFS(Lançamentos!$G:$G,Lançamentos!$A:$A,DM$19,Lançamentos!$C:$C,"Transporte e Viagens")</f>
        <v>0</v>
      </c>
      <c r="DN45" s="39">
        <f>SUMIFS(Lançamentos!$G:$G,Lançamentos!$A:$A,DN$19,Lançamentos!$C:$C,"Transporte e Viagens")</f>
        <v>0</v>
      </c>
      <c r="DO45" s="39">
        <f>SUMIFS(Lançamentos!$G:$G,Lançamentos!$A:$A,DO$19,Lançamentos!$C:$C,"Transporte e Viagens")</f>
        <v>0</v>
      </c>
      <c r="DP45" s="39">
        <f>SUMIFS(Lançamentos!$G:$G,Lançamentos!$A:$A,DP$19,Lançamentos!$C:$C,"Transporte e Viagens")</f>
        <v>0</v>
      </c>
      <c r="DQ45" s="39">
        <f>SUMIFS(Lançamentos!$G:$G,Lançamentos!$A:$A,DQ$19,Lançamentos!$C:$C,"Transporte e Viagens")</f>
        <v>0</v>
      </c>
      <c r="DR45" s="39">
        <f>SUMIFS(Lançamentos!$G:$G,Lançamentos!$A:$A,DR$19,Lançamentos!$C:$C,"Transporte e Viagens")</f>
        <v>0</v>
      </c>
      <c r="DS45" s="39">
        <f>SUMIFS(Lançamentos!$G:$G,Lançamentos!$A:$A,DS$19,Lançamentos!$C:$C,"Transporte e Viagens")</f>
        <v>0</v>
      </c>
      <c r="DT45" s="39">
        <f>SUMIFS(Lançamentos!$G:$G,Lançamentos!$A:$A,DT$19,Lançamentos!$C:$C,"Transporte e Viagens")</f>
        <v>0</v>
      </c>
      <c r="DU45" s="39">
        <f>SUMIFS(Lançamentos!$G:$G,Lançamentos!$A:$A,DU$19,Lançamentos!$C:$C,"Transporte e Viagens")</f>
        <v>0</v>
      </c>
      <c r="DV45" s="39">
        <f>SUMIFS(Lançamentos!$G:$G,Lançamentos!$A:$A,DV$19,Lançamentos!$C:$C,"Transporte e Viagens")</f>
        <v>0</v>
      </c>
      <c r="DW45" s="39">
        <f>SUMIFS(Lançamentos!$G:$G,Lançamentos!$A:$A,DW$19,Lançamentos!$C:$C,"Transporte e Viagens")</f>
        <v>0</v>
      </c>
      <c r="DX45" s="39">
        <f>SUMIFS(Lançamentos!$G:$G,Lançamentos!$A:$A,DX$19,Lançamentos!$C:$C,"Transporte e Viagens")</f>
        <v>0</v>
      </c>
      <c r="DY45" s="39">
        <f>SUMIFS(Lançamentos!$G:$G,Lançamentos!$A:$A,DY$19,Lançamentos!$C:$C,"Transporte e Viagens")</f>
        <v>0</v>
      </c>
      <c r="DZ45" s="39">
        <f>SUMIFS(Lançamentos!$G:$G,Lançamentos!$A:$A,DZ$19,Lançamentos!$C:$C,"Transporte e Viagens")</f>
        <v>0</v>
      </c>
      <c r="EA45" s="39">
        <f>SUMIFS(Lançamentos!$G:$G,Lançamentos!$A:$A,EA$19,Lançamentos!$C:$C,"Transporte e Viagens")</f>
        <v>0</v>
      </c>
      <c r="EB45" s="39">
        <f>SUMIFS(Lançamentos!$G:$G,Lançamentos!$A:$A,EB$19,Lançamentos!$C:$C,"Transporte e Viagens")</f>
        <v>0</v>
      </c>
      <c r="EC45" s="39">
        <f>SUMIFS(Lançamentos!$G:$G,Lançamentos!$A:$A,EC$19,Lançamentos!$C:$C,"Transporte e Viagens")</f>
        <v>0</v>
      </c>
      <c r="ED45" s="39">
        <f>SUMIFS(Lançamentos!$G:$G,Lançamentos!$A:$A,ED$19,Lançamentos!$C:$C,"Transporte e Viagens")</f>
        <v>0</v>
      </c>
      <c r="EE45" s="39">
        <f>SUMIFS(Lançamentos!$G:$G,Lançamentos!$A:$A,EE$19,Lançamentos!$C:$C,"Transporte e Viagens")</f>
        <v>0</v>
      </c>
      <c r="EF45" s="39">
        <f>SUMIFS(Lançamentos!$G:$G,Lançamentos!$A:$A,EF$19,Lançamentos!$C:$C,"Transporte e Viagens")</f>
        <v>0</v>
      </c>
      <c r="EG45" s="39">
        <f>SUMIFS(Lançamentos!$G:$G,Lançamentos!$A:$A,EG$19,Lançamentos!$C:$C,"Transporte e Viagens")</f>
        <v>0</v>
      </c>
      <c r="EH45" s="39">
        <f>SUMIFS(Lançamentos!$G:$G,Lançamentos!$A:$A,EH$19,Lançamentos!$C:$C,"Transporte e Viagens")</f>
        <v>0</v>
      </c>
      <c r="EI45" s="39">
        <f>SUMIFS(Lançamentos!$G:$G,Lançamentos!$A:$A,EI$19,Lançamentos!$C:$C,"Transporte e Viagens")</f>
        <v>0</v>
      </c>
      <c r="EJ45" s="39">
        <f>SUMIFS(Lançamentos!$G:$G,Lançamentos!$A:$A,EJ$19,Lançamentos!$C:$C,"Transporte e Viagens")</f>
        <v>0</v>
      </c>
      <c r="EK45" s="39">
        <f>SUMIFS(Lançamentos!$G:$G,Lançamentos!$A:$A,EK$19,Lançamentos!$C:$C,"Transporte e Viagens")</f>
        <v>0</v>
      </c>
      <c r="EL45" s="39">
        <f>SUMIFS(Lançamentos!$G:$G,Lançamentos!$A:$A,EL$19,Lançamentos!$C:$C,"Transporte e Viagens")</f>
        <v>0</v>
      </c>
      <c r="EM45" s="39">
        <f>SUMIFS(Lançamentos!$G:$G,Lançamentos!$A:$A,EM$19,Lançamentos!$C:$C,"Transporte e Viagens")</f>
        <v>0</v>
      </c>
      <c r="EN45" s="39">
        <f>SUMIFS(Lançamentos!$G:$G,Lançamentos!$A:$A,EN$19,Lançamentos!$C:$C,"Transporte e Viagens")</f>
        <v>0</v>
      </c>
      <c r="EO45" s="39">
        <f>SUMIFS(Lançamentos!$G:$G,Lançamentos!$A:$A,EO$19,Lançamentos!$C:$C,"Transporte e Viagens")</f>
        <v>0</v>
      </c>
      <c r="EP45" s="39">
        <f>SUMIFS(Lançamentos!$G:$G,Lançamentos!$A:$A,EP$19,Lançamentos!$C:$C,"Transporte e Viagens")</f>
        <v>0</v>
      </c>
      <c r="EQ45" s="39">
        <f>SUMIFS(Lançamentos!$G:$G,Lançamentos!$A:$A,EQ$19,Lançamentos!$C:$C,"Transporte e Viagens")</f>
        <v>0</v>
      </c>
      <c r="ER45" s="39">
        <f>SUMIFS(Lançamentos!$G:$G,Lançamentos!$A:$A,ER$19,Lançamentos!$C:$C,"Transporte e Viagens")</f>
        <v>0</v>
      </c>
      <c r="ES45" s="39">
        <f>SUMIFS(Lançamentos!$G:$G,Lançamentos!$A:$A,ES$19,Lançamentos!$C:$C,"Transporte e Viagens")</f>
        <v>0</v>
      </c>
      <c r="ET45" s="39">
        <f>SUMIFS(Lançamentos!$G:$G,Lançamentos!$A:$A,ET$19,Lançamentos!$C:$C,"Transporte e Viagens")</f>
        <v>0</v>
      </c>
      <c r="EU45" s="39">
        <f>SUMIFS(Lançamentos!$G:$G,Lançamentos!$A:$A,EU$19,Lançamentos!$C:$C,"Transporte e Viagens")</f>
        <v>0</v>
      </c>
      <c r="EV45" s="39">
        <f>SUMIFS(Lançamentos!$G:$G,Lançamentos!$A:$A,EV$19,Lançamentos!$C:$C,"Transporte e Viagens")</f>
        <v>0</v>
      </c>
      <c r="EW45" s="39">
        <f>SUMIFS(Lançamentos!$G:$G,Lançamentos!$A:$A,EW$19,Lançamentos!$C:$C,"Transporte e Viagens")</f>
        <v>0</v>
      </c>
      <c r="EX45" s="39">
        <f>SUMIFS(Lançamentos!$G:$G,Lançamentos!$A:$A,EX$19,Lançamentos!$C:$C,"Transporte e Viagens")</f>
        <v>0</v>
      </c>
      <c r="EY45" s="39">
        <f>SUMIFS(Lançamentos!$G:$G,Lançamentos!$A:$A,EY$19,Lançamentos!$C:$C,"Transporte e Viagens")</f>
        <v>0</v>
      </c>
      <c r="EZ45" s="39">
        <f>SUMIFS(Lançamentos!$G:$G,Lançamentos!$A:$A,EZ$19,Lançamentos!$C:$C,"Transporte e Viagens")</f>
        <v>0</v>
      </c>
      <c r="FA45" s="39">
        <f>SUMIFS(Lançamentos!$G:$G,Lançamentos!$A:$A,FA$19,Lançamentos!$C:$C,"Transporte e Viagens")</f>
        <v>0</v>
      </c>
      <c r="FB45" s="39">
        <f>SUMIFS(Lançamentos!$G:$G,Lançamentos!$A:$A,FB$19,Lançamentos!$C:$C,"Transporte e Viagens")</f>
        <v>0</v>
      </c>
      <c r="FC45" s="39">
        <f>SUMIFS(Lançamentos!$G:$G,Lançamentos!$A:$A,FC$19,Lançamentos!$C:$C,"Transporte e Viagens")</f>
        <v>0</v>
      </c>
      <c r="FD45" s="39">
        <f>SUMIFS(Lançamentos!$G:$G,Lançamentos!$A:$A,FD$19,Lançamentos!$C:$C,"Transporte e Viagens")</f>
        <v>0</v>
      </c>
      <c r="FE45" s="39">
        <f>SUMIFS(Lançamentos!$G:$G,Lançamentos!$A:$A,FE$19,Lançamentos!$C:$C,"Transporte e Viagens")</f>
        <v>0</v>
      </c>
      <c r="FF45" s="39">
        <f>SUMIFS(Lançamentos!$G:$G,Lançamentos!$A:$A,FF$19,Lançamentos!$C:$C,"Transporte e Viagens")</f>
        <v>0</v>
      </c>
      <c r="FG45" s="39">
        <f>SUMIFS(Lançamentos!$G:$G,Lançamentos!$A:$A,FG$19,Lançamentos!$C:$C,"Transporte e Viagens")</f>
        <v>0</v>
      </c>
      <c r="FH45" s="39">
        <f>SUMIFS(Lançamentos!$G:$G,Lançamentos!$A:$A,FH$19,Lançamentos!$C:$C,"Transporte e Viagens")</f>
        <v>0</v>
      </c>
      <c r="FI45" s="39">
        <f>SUMIFS(Lançamentos!$G:$G,Lançamentos!$A:$A,FI$19,Lançamentos!$C:$C,"Transporte e Viagens")</f>
        <v>0</v>
      </c>
      <c r="FJ45" s="39">
        <f>SUMIFS(Lançamentos!$G:$G,Lançamentos!$A:$A,FJ$19,Lançamentos!$C:$C,"Transporte e Viagens")</f>
        <v>0</v>
      </c>
      <c r="FK45" s="39">
        <f>SUMIFS(Lançamentos!$G:$G,Lançamentos!$A:$A,FK$19,Lançamentos!$C:$C,"Transporte e Viagens")</f>
        <v>0</v>
      </c>
      <c r="FL45" s="39">
        <f>SUMIFS(Lançamentos!$G:$G,Lançamentos!$A:$A,FL$19,Lançamentos!$C:$C,"Transporte e Viagens")</f>
        <v>0</v>
      </c>
      <c r="FM45" s="39">
        <f>SUMIFS(Lançamentos!$G:$G,Lançamentos!$A:$A,FM$19,Lançamentos!$C:$C,"Transporte e Viagens")</f>
        <v>0</v>
      </c>
      <c r="FN45" s="39">
        <f>SUMIFS(Lançamentos!$G:$G,Lançamentos!$A:$A,FN$19,Lançamentos!$C:$C,"Transporte e Viagens")</f>
        <v>0</v>
      </c>
      <c r="FO45" s="39">
        <f>SUMIFS(Lançamentos!$G:$G,Lançamentos!$A:$A,FO$19,Lançamentos!$C:$C,"Transporte e Viagens")</f>
        <v>0</v>
      </c>
      <c r="FP45" s="39">
        <f>SUMIFS(Lançamentos!$G:$G,Lançamentos!$A:$A,FP$19,Lançamentos!$C:$C,"Transporte e Viagens")</f>
        <v>0</v>
      </c>
      <c r="FQ45" s="39">
        <f>SUMIFS(Lançamentos!$G:$G,Lançamentos!$A:$A,FQ$19,Lançamentos!$C:$C,"Transporte e Viagens")</f>
        <v>0</v>
      </c>
      <c r="FR45" s="39">
        <f>SUMIFS(Lançamentos!$G:$G,Lançamentos!$A:$A,FR$19,Lançamentos!$C:$C,"Transporte e Viagens")</f>
        <v>0</v>
      </c>
      <c r="FS45" s="39">
        <f>SUMIFS(Lançamentos!$G:$G,Lançamentos!$A:$A,FS$19,Lançamentos!$C:$C,"Transporte e Viagens")</f>
        <v>0</v>
      </c>
      <c r="FT45" s="39">
        <f>SUMIFS(Lançamentos!$G:$G,Lançamentos!$A:$A,FT$19,Lançamentos!$C:$C,"Transporte e Viagens")</f>
        <v>0</v>
      </c>
      <c r="FU45" s="39">
        <f>SUMIFS(Lançamentos!$G:$G,Lançamentos!$A:$A,FU$19,Lançamentos!$C:$C,"Transporte e Viagens")</f>
        <v>0</v>
      </c>
      <c r="FV45" s="39">
        <f>SUMIFS(Lançamentos!$G:$G,Lançamentos!$A:$A,FV$19,Lançamentos!$C:$C,"Transporte e Viagens")</f>
        <v>0</v>
      </c>
      <c r="FW45" s="39">
        <f>SUMIFS(Lançamentos!$G:$G,Lançamentos!$A:$A,FW$19,Lançamentos!$C:$C,"Transporte e Viagens")</f>
        <v>0</v>
      </c>
      <c r="FX45" s="39">
        <f>SUMIFS(Lançamentos!$G:$G,Lançamentos!$A:$A,FX$19,Lançamentos!$C:$C,"Transporte e Viagens")</f>
        <v>0</v>
      </c>
      <c r="FY45" s="39">
        <f>SUMIFS(Lançamentos!$G:$G,Lançamentos!$A:$A,FY$19,Lançamentos!$C:$C,"Transporte e Viagens")</f>
        <v>0</v>
      </c>
      <c r="FZ45" s="39">
        <f>SUMIFS(Lançamentos!$G:$G,Lançamentos!$A:$A,FZ$19,Lançamentos!$C:$C,"Transporte e Viagens")</f>
        <v>0</v>
      </c>
      <c r="GA45" s="39">
        <f>SUMIFS(Lançamentos!$G:$G,Lançamentos!$A:$A,GA$19,Lançamentos!$C:$C,"Transporte e Viagens")</f>
        <v>0</v>
      </c>
      <c r="GB45" s="39">
        <f>SUMIFS(Lançamentos!$G:$G,Lançamentos!$A:$A,GB$19,Lançamentos!$C:$C,"Transporte e Viagens")</f>
        <v>0</v>
      </c>
      <c r="GC45" s="39">
        <f>SUMIFS(Lançamentos!$G:$G,Lançamentos!$A:$A,GC$19,Lançamentos!$C:$C,"Transporte e Viagens")</f>
        <v>0</v>
      </c>
      <c r="GD45" s="39">
        <f>SUMIFS(Lançamentos!$G:$G,Lançamentos!$A:$A,GD$19,Lançamentos!$C:$C,"Transporte e Viagens")</f>
        <v>0</v>
      </c>
      <c r="GE45" s="39">
        <f>SUMIFS(Lançamentos!$G:$G,Lançamentos!$A:$A,GE$19,Lançamentos!$C:$C,"Transporte e Viagens")</f>
        <v>0</v>
      </c>
      <c r="GF45" s="39">
        <f>SUMIFS(Lançamentos!$G:$G,Lançamentos!$A:$A,GF$19,Lançamentos!$C:$C,"Transporte e Viagens")</f>
        <v>0</v>
      </c>
      <c r="GG45" s="39">
        <f>SUMIFS(Lançamentos!$G:$G,Lançamentos!$A:$A,GG$19,Lançamentos!$C:$C,"Transporte e Viagens")</f>
        <v>0</v>
      </c>
      <c r="GH45" s="39">
        <f>SUMIFS(Lançamentos!$G:$G,Lançamentos!$A:$A,GH$19,Lançamentos!$C:$C,"Transporte e Viagens")</f>
        <v>0</v>
      </c>
      <c r="GI45" s="39">
        <f>SUMIFS(Lançamentos!$G:$G,Lançamentos!$A:$A,GI$19,Lançamentos!$C:$C,"Transporte e Viagens")</f>
        <v>0</v>
      </c>
      <c r="GJ45" s="39">
        <f>SUMIFS(Lançamentos!$G:$G,Lançamentos!$A:$A,GJ$19,Lançamentos!$C:$C,"Transporte e Viagens")</f>
        <v>0</v>
      </c>
      <c r="GK45" s="39">
        <f>SUMIFS(Lançamentos!$G:$G,Lançamentos!$A:$A,GK$19,Lançamentos!$C:$C,"Transporte e Viagens")</f>
        <v>0</v>
      </c>
      <c r="GL45" s="39">
        <f>SUMIFS(Lançamentos!$G:$G,Lançamentos!$A:$A,GL$19,Lançamentos!$C:$C,"Transporte e Viagens")</f>
        <v>0</v>
      </c>
      <c r="GM45" s="39">
        <f>SUMIFS(Lançamentos!$G:$G,Lançamentos!$A:$A,GM$19,Lançamentos!$C:$C,"Transporte e Viagens")</f>
        <v>0</v>
      </c>
      <c r="GN45" s="39">
        <f>SUMIFS(Lançamentos!$G:$G,Lançamentos!$A:$A,GN$19,Lançamentos!$C:$C,"Transporte e Viagens")</f>
        <v>0</v>
      </c>
      <c r="GO45" s="39">
        <f>SUMIFS(Lançamentos!$G:$G,Lançamentos!$A:$A,GO$19,Lançamentos!$C:$C,"Transporte e Viagens")</f>
        <v>0</v>
      </c>
      <c r="GP45" s="39">
        <f>SUMIFS(Lançamentos!$G:$G,Lançamentos!$A:$A,GP$19,Lançamentos!$C:$C,"Transporte e Viagens")</f>
        <v>0</v>
      </c>
      <c r="GQ45" s="39">
        <f>SUMIFS(Lançamentos!$G:$G,Lançamentos!$A:$A,GQ$19,Lançamentos!$C:$C,"Transporte e Viagens")</f>
        <v>0</v>
      </c>
      <c r="GR45" s="39">
        <f>SUMIFS(Lançamentos!$G:$G,Lançamentos!$A:$A,GR$19,Lançamentos!$C:$C,"Transporte e Viagens")</f>
        <v>0</v>
      </c>
      <c r="GS45" s="39">
        <f>SUMIFS(Lançamentos!$G:$G,Lançamentos!$A:$A,GS$19,Lançamentos!$C:$C,"Transporte e Viagens")</f>
        <v>0</v>
      </c>
      <c r="GT45" s="39">
        <f>SUMIFS(Lançamentos!$G:$G,Lançamentos!$A:$A,GT$19,Lançamentos!$C:$C,"Transporte e Viagens")</f>
        <v>0</v>
      </c>
      <c r="GU45" s="39">
        <f>SUMIFS(Lançamentos!$G:$G,Lançamentos!$A:$A,GU$19,Lançamentos!$C:$C,"Transporte e Viagens")</f>
        <v>0</v>
      </c>
      <c r="GV45" s="39">
        <f>SUMIFS(Lançamentos!$G:$G,Lançamentos!$A:$A,GV$19,Lançamentos!$C:$C,"Transporte e Viagens")</f>
        <v>0</v>
      </c>
      <c r="GW45" s="39">
        <f>SUMIFS(Lançamentos!$G:$G,Lançamentos!$A:$A,GW$19,Lançamentos!$C:$C,"Transporte e Viagens")</f>
        <v>0</v>
      </c>
      <c r="GX45" s="39">
        <f>SUMIFS(Lançamentos!$G:$G,Lançamentos!$A:$A,GX$19,Lançamentos!$C:$C,"Transporte e Viagens")</f>
        <v>0</v>
      </c>
      <c r="GY45" s="39">
        <f>SUMIFS(Lançamentos!$G:$G,Lançamentos!$A:$A,GY$19,Lançamentos!$C:$C,"Transporte e Viagens")</f>
        <v>0</v>
      </c>
      <c r="GZ45" s="39">
        <f>SUMIFS(Lançamentos!$G:$G,Lançamentos!$A:$A,GZ$19,Lançamentos!$C:$C,"Transporte e Viagens")</f>
        <v>0</v>
      </c>
      <c r="HA45" s="39">
        <f>SUMIFS(Lançamentos!$G:$G,Lançamentos!$A:$A,HA$19,Lançamentos!$C:$C,"Transporte e Viagens")</f>
        <v>0</v>
      </c>
      <c r="HB45" s="39">
        <f>SUMIFS(Lançamentos!$G:$G,Lançamentos!$A:$A,HB$19,Lançamentos!$C:$C,"Transporte e Viagens")</f>
        <v>0</v>
      </c>
      <c r="HC45" s="39">
        <f>SUMIFS(Lançamentos!$G:$G,Lançamentos!$A:$A,HC$19,Lançamentos!$C:$C,"Transporte e Viagens")</f>
        <v>0</v>
      </c>
      <c r="HD45" s="39">
        <f>SUMIFS(Lançamentos!$G:$G,Lançamentos!$A:$A,HD$19,Lançamentos!$C:$C,"Transporte e Viagens")</f>
        <v>0</v>
      </c>
      <c r="HE45" s="39">
        <f>SUMIFS(Lançamentos!$G:$G,Lançamentos!$A:$A,HE$19,Lançamentos!$C:$C,"Transporte e Viagens")</f>
        <v>0</v>
      </c>
      <c r="HF45" s="39">
        <f>SUMIFS(Lançamentos!$G:$G,Lançamentos!$A:$A,HF$19,Lançamentos!$C:$C,"Transporte e Viagens")</f>
        <v>0</v>
      </c>
      <c r="HG45" s="39">
        <f>SUMIFS(Lançamentos!$G:$G,Lançamentos!$A:$A,HG$19,Lançamentos!$C:$C,"Transporte e Viagens")</f>
        <v>0</v>
      </c>
      <c r="HH45" s="39">
        <f>SUMIFS(Lançamentos!$G:$G,Lançamentos!$A:$A,HH$19,Lançamentos!$C:$C,"Transporte e Viagens")</f>
        <v>0</v>
      </c>
      <c r="HI45" s="39">
        <f>SUMIFS(Lançamentos!$G:$G,Lançamentos!$A:$A,HI$19,Lançamentos!$C:$C,"Transporte e Viagens")</f>
        <v>0</v>
      </c>
      <c r="HJ45" s="39">
        <f>SUMIFS(Lançamentos!$G:$G,Lançamentos!$A:$A,HJ$19,Lançamentos!$C:$C,"Transporte e Viagens")</f>
        <v>0</v>
      </c>
      <c r="HK45" s="39">
        <f>SUMIFS(Lançamentos!$G:$G,Lançamentos!$A:$A,HK$19,Lançamentos!$C:$C,"Transporte e Viagens")</f>
        <v>0</v>
      </c>
      <c r="HL45" s="39">
        <f>SUMIFS(Lançamentos!$G:$G,Lançamentos!$A:$A,HL$19,Lançamentos!$C:$C,"Transporte e Viagens")</f>
        <v>0</v>
      </c>
      <c r="HM45" s="39">
        <f>SUMIFS(Lançamentos!$G:$G,Lançamentos!$A:$A,HM$19,Lançamentos!$C:$C,"Transporte e Viagens")</f>
        <v>0</v>
      </c>
      <c r="HN45" s="39">
        <f>SUMIFS(Lançamentos!$G:$G,Lançamentos!$A:$A,HN$19,Lançamentos!$C:$C,"Transporte e Viagens")</f>
        <v>0</v>
      </c>
      <c r="HO45" s="39">
        <f>SUMIFS(Lançamentos!$G:$G,Lançamentos!$A:$A,HO$19,Lançamentos!$C:$C,"Transporte e Viagens")</f>
        <v>0</v>
      </c>
      <c r="HP45" s="39">
        <f>SUMIFS(Lançamentos!$G:$G,Lançamentos!$A:$A,HP$19,Lançamentos!$C:$C,"Transporte e Viagens")</f>
        <v>0</v>
      </c>
      <c r="HQ45" s="39">
        <f>SUMIFS(Lançamentos!$G:$G,Lançamentos!$A:$A,HQ$19,Lançamentos!$C:$C,"Transporte e Viagens")</f>
        <v>0</v>
      </c>
      <c r="HR45" s="39">
        <f>SUMIFS(Lançamentos!$G:$G,Lançamentos!$A:$A,HR$19,Lançamentos!$C:$C,"Transporte e Viagens")</f>
        <v>0</v>
      </c>
      <c r="HS45" s="39">
        <f>SUMIFS(Lançamentos!$G:$G,Lançamentos!$A:$A,HS$19,Lançamentos!$C:$C,"Transporte e Viagens")</f>
        <v>0</v>
      </c>
      <c r="HT45" s="39">
        <f>SUMIFS(Lançamentos!$G:$G,Lançamentos!$A:$A,HT$19,Lançamentos!$C:$C,"Transporte e Viagens")</f>
        <v>0</v>
      </c>
      <c r="HU45" s="39">
        <f>SUMIFS(Lançamentos!$G:$G,Lançamentos!$A:$A,HU$19,Lançamentos!$C:$C,"Transporte e Viagens")</f>
        <v>0</v>
      </c>
      <c r="HV45" s="39">
        <f>SUMIFS(Lançamentos!$G:$G,Lançamentos!$A:$A,HV$19,Lançamentos!$C:$C,"Transporte e Viagens")</f>
        <v>0</v>
      </c>
      <c r="HW45" s="39">
        <f>SUMIFS(Lançamentos!$G:$G,Lançamentos!$A:$A,HW$19,Lançamentos!$C:$C,"Transporte e Viagens")</f>
        <v>0</v>
      </c>
      <c r="HX45" s="39">
        <f>SUMIFS(Lançamentos!$G:$G,Lançamentos!$A:$A,HX$19,Lançamentos!$C:$C,"Transporte e Viagens")</f>
        <v>0</v>
      </c>
      <c r="HY45" s="39">
        <f>SUMIFS(Lançamentos!$G:$G,Lançamentos!$A:$A,HY$19,Lançamentos!$C:$C,"Transporte e Viagens")</f>
        <v>0</v>
      </c>
      <c r="HZ45" s="39">
        <f>SUMIFS(Lançamentos!$G:$G,Lançamentos!$A:$A,HZ$19,Lançamentos!$C:$C,"Transporte e Viagens")</f>
        <v>0</v>
      </c>
      <c r="IA45" s="39">
        <f>SUMIFS(Lançamentos!$G:$G,Lançamentos!$A:$A,IA$19,Lançamentos!$C:$C,"Transporte e Viagens")</f>
        <v>0</v>
      </c>
      <c r="IB45" s="39">
        <f>SUMIFS(Lançamentos!$G:$G,Lançamentos!$A:$A,IB$19,Lançamentos!$C:$C,"Transporte e Viagens")</f>
        <v>0</v>
      </c>
      <c r="IC45" s="39">
        <f>SUMIFS(Lançamentos!$G:$G,Lançamentos!$A:$A,IC$19,Lançamentos!$C:$C,"Transporte e Viagens")</f>
        <v>0</v>
      </c>
      <c r="ID45" s="39">
        <f>SUMIFS(Lançamentos!$G:$G,Lançamentos!$A:$A,ID$19,Lançamentos!$C:$C,"Transporte e Viagens")</f>
        <v>0</v>
      </c>
      <c r="IE45" s="39">
        <f>SUMIFS(Lançamentos!$G:$G,Lançamentos!$A:$A,IE$19,Lançamentos!$C:$C,"Transporte e Viagens")</f>
        <v>0</v>
      </c>
      <c r="IF45" s="39">
        <f>SUMIFS(Lançamentos!$G:$G,Lançamentos!$A:$A,IF$19,Lançamentos!$C:$C,"Transporte e Viagens")</f>
        <v>0</v>
      </c>
      <c r="IG45" s="39">
        <f>SUMIFS(Lançamentos!$G:$G,Lançamentos!$A:$A,IG$19,Lançamentos!$C:$C,"Transporte e Viagens")</f>
        <v>0</v>
      </c>
      <c r="IH45" s="39">
        <f>SUMIFS(Lançamentos!$G:$G,Lançamentos!$A:$A,IH$19,Lançamentos!$C:$C,"Transporte e Viagens")</f>
        <v>0</v>
      </c>
      <c r="II45" s="39">
        <f>SUMIFS(Lançamentos!$G:$G,Lançamentos!$A:$A,II$19,Lançamentos!$C:$C,"Transporte e Viagens")</f>
        <v>0</v>
      </c>
      <c r="IJ45" s="39">
        <f>SUMIFS(Lançamentos!$G:$G,Lançamentos!$A:$A,IJ$19,Lançamentos!$C:$C,"Transporte e Viagens")</f>
        <v>0</v>
      </c>
      <c r="IK45" s="39">
        <f>SUMIFS(Lançamentos!$G:$G,Lançamentos!$A:$A,IK$19,Lançamentos!$C:$C,"Transporte e Viagens")</f>
        <v>0</v>
      </c>
      <c r="IL45" s="39">
        <f>SUMIFS(Lançamentos!$G:$G,Lançamentos!$A:$A,IL$19,Lançamentos!$C:$C,"Transporte e Viagens")</f>
        <v>0</v>
      </c>
    </row>
    <row r="46" spans="1:246" x14ac:dyDescent="0.3">
      <c r="A46" t="s">
        <v>23</v>
      </c>
      <c r="B46" s="39">
        <f>SUMIFS(Lançamentos!$G:$G,Lançamentos!$A:$A,B$19,Lançamentos!$C:$C,"Serviços de Terceiros")</f>
        <v>0</v>
      </c>
      <c r="C46" s="39">
        <f>SUMIFS(Lançamentos!$G:$G,Lançamentos!$A:$A,C$19,Lançamentos!$C:$C,"Serviços de Terceiros")</f>
        <v>0</v>
      </c>
      <c r="D46" s="39">
        <f>SUMIFS(Lançamentos!$G:$G,Lançamentos!$A:$A,D$19,Lançamentos!$C:$C,"Serviços de Terceiros")</f>
        <v>0</v>
      </c>
      <c r="E46" s="39">
        <f>SUMIFS(Lançamentos!$G:$G,Lançamentos!$A:$A,E$19,Lançamentos!$C:$C,"Serviços de Terceiros")</f>
        <v>0</v>
      </c>
      <c r="F46" s="39">
        <f>SUMIFS(Lançamentos!$G:$G,Lançamentos!$A:$A,F$19,Lançamentos!$C:$C,"Serviços de Terceiros")</f>
        <v>0</v>
      </c>
      <c r="G46" s="39">
        <f>SUMIFS(Lançamentos!$G:$G,Lançamentos!$A:$A,G$19,Lançamentos!$C:$C,"Serviços de Terceiros")</f>
        <v>0</v>
      </c>
      <c r="H46" s="39">
        <f>SUMIFS(Lançamentos!$G:$G,Lançamentos!$A:$A,H$19,Lançamentos!$C:$C,"Serviços de Terceiros")</f>
        <v>0</v>
      </c>
      <c r="I46" s="39">
        <f>SUMIFS(Lançamentos!$G:$G,Lançamentos!$A:$A,I$19,Lançamentos!$C:$C,"Serviços de Terceiros")</f>
        <v>0</v>
      </c>
      <c r="J46" s="39">
        <f>SUMIFS(Lançamentos!$G:$G,Lançamentos!$A:$A,J$19,Lançamentos!$C:$C,"Serviços de Terceiros")</f>
        <v>0</v>
      </c>
      <c r="K46" s="39">
        <f>SUMIFS(Lançamentos!$G:$G,Lançamentos!$A:$A,K$19,Lançamentos!$C:$C,"Serviços de Terceiros")</f>
        <v>0</v>
      </c>
      <c r="L46" s="39">
        <f>SUMIFS(Lançamentos!$G:$G,Lançamentos!$A:$A,L$19,Lançamentos!$C:$C,"Serviços de Terceiros")</f>
        <v>0</v>
      </c>
      <c r="M46" s="39">
        <f>SUMIFS(Lançamentos!$G:$G,Lançamentos!$A:$A,M$19,Lançamentos!$C:$C,"Serviços de Terceiros")</f>
        <v>0</v>
      </c>
      <c r="N46" s="39">
        <f>SUMIFS(Lançamentos!$G:$G,Lançamentos!$A:$A,N$19,Lançamentos!$C:$C,"Serviços de Terceiros")</f>
        <v>0</v>
      </c>
      <c r="O46" s="39">
        <f>SUMIFS(Lançamentos!$G:$G,Lançamentos!$A:$A,O$19,Lançamentos!$C:$C,"Serviços de Terceiros")</f>
        <v>0</v>
      </c>
      <c r="P46" s="39">
        <f>SUMIFS(Lançamentos!$G:$G,Lançamentos!$A:$A,P$19,Lançamentos!$C:$C,"Serviços de Terceiros")</f>
        <v>0</v>
      </c>
      <c r="Q46" s="39">
        <f>SUMIFS(Lançamentos!$G:$G,Lançamentos!$A:$A,Q$19,Lançamentos!$C:$C,"Serviços de Terceiros")</f>
        <v>0</v>
      </c>
      <c r="R46" s="39">
        <f>SUMIFS(Lançamentos!$G:$G,Lançamentos!$A:$A,R$19,Lançamentos!$C:$C,"Serviços de Terceiros")</f>
        <v>0</v>
      </c>
      <c r="S46" s="39">
        <f>SUMIFS(Lançamentos!$G:$G,Lançamentos!$A:$A,S$19,Lançamentos!$C:$C,"Serviços de Terceiros")</f>
        <v>0</v>
      </c>
      <c r="T46" s="39">
        <f>SUMIFS(Lançamentos!$G:$G,Lançamentos!$A:$A,T$19,Lançamentos!$C:$C,"Serviços de Terceiros")</f>
        <v>0</v>
      </c>
      <c r="U46" s="39">
        <f>SUMIFS(Lançamentos!$G:$G,Lançamentos!$A:$A,U$19,Lançamentos!$C:$C,"Serviços de Terceiros")</f>
        <v>0</v>
      </c>
      <c r="V46" s="39">
        <f>SUMIFS(Lançamentos!$G:$G,Lançamentos!$A:$A,V$19,Lançamentos!$C:$C,"Serviços de Terceiros")</f>
        <v>0</v>
      </c>
      <c r="W46" s="39">
        <f>SUMIFS(Lançamentos!$G:$G,Lançamentos!$A:$A,W$19,Lançamentos!$C:$C,"Serviços de Terceiros")</f>
        <v>0</v>
      </c>
      <c r="X46" s="39">
        <f>SUMIFS(Lançamentos!$G:$G,Lançamentos!$A:$A,X$19,Lançamentos!$C:$C,"Serviços de Terceiros")</f>
        <v>0</v>
      </c>
      <c r="Y46" s="39">
        <f>SUMIFS(Lançamentos!$G:$G,Lançamentos!$A:$A,Y$19,Lançamentos!$C:$C,"Serviços de Terceiros")</f>
        <v>0</v>
      </c>
      <c r="Z46" s="39">
        <f>SUMIFS(Lançamentos!$G:$G,Lançamentos!$A:$A,Z$19,Lançamentos!$C:$C,"Serviços de Terceiros")</f>
        <v>0</v>
      </c>
      <c r="AA46" s="39">
        <f>SUMIFS(Lançamentos!$G:$G,Lançamentos!$A:$A,AA$19,Lançamentos!$C:$C,"Serviços de Terceiros")</f>
        <v>0</v>
      </c>
      <c r="AB46" s="39">
        <f>SUMIFS(Lançamentos!$G:$G,Lançamentos!$A:$A,AB$19,Lançamentos!$C:$C,"Serviços de Terceiros")</f>
        <v>0</v>
      </c>
      <c r="AC46" s="39">
        <f>SUMIFS(Lançamentos!$G:$G,Lançamentos!$A:$A,AC$19,Lançamentos!$C:$C,"Serviços de Terceiros")</f>
        <v>0</v>
      </c>
      <c r="AD46" s="39">
        <f>SUMIFS(Lançamentos!$G:$G,Lançamentos!$A:$A,AD$19,Lançamentos!$C:$C,"Serviços de Terceiros")</f>
        <v>0</v>
      </c>
      <c r="AE46" s="39">
        <f>SUMIFS(Lançamentos!$G:$G,Lançamentos!$A:$A,AE$19,Lançamentos!$C:$C,"Serviços de Terceiros")</f>
        <v>0</v>
      </c>
      <c r="AF46" s="39">
        <f>SUMIFS(Lançamentos!$G:$G,Lançamentos!$A:$A,AF$19,Lançamentos!$C:$C,"Serviços de Terceiros")</f>
        <v>0</v>
      </c>
      <c r="AG46" s="39">
        <f>SUMIFS(Lançamentos!$G:$G,Lançamentos!$A:$A,AG$19,Lançamentos!$C:$C,"Serviços de Terceiros")</f>
        <v>0</v>
      </c>
      <c r="AH46" s="39">
        <f>SUMIFS(Lançamentos!$G:$G,Lançamentos!$A:$A,AH$19,Lançamentos!$C:$C,"Serviços de Terceiros")</f>
        <v>0</v>
      </c>
      <c r="AI46" s="39">
        <f>SUMIFS(Lançamentos!$G:$G,Lançamentos!$A:$A,AI$19,Lançamentos!$C:$C,"Serviços de Terceiros")</f>
        <v>0</v>
      </c>
      <c r="AJ46" s="39">
        <f>SUMIFS(Lançamentos!$G:$G,Lançamentos!$A:$A,AJ$19,Lançamentos!$C:$C,"Serviços de Terceiros")</f>
        <v>0</v>
      </c>
      <c r="AK46" s="39">
        <f>SUMIFS(Lançamentos!$G:$G,Lançamentos!$A:$A,AK$19,Lançamentos!$C:$C,"Serviços de Terceiros")</f>
        <v>0</v>
      </c>
      <c r="AL46" s="39">
        <f>SUMIFS(Lançamentos!$G:$G,Lançamentos!$A:$A,AL$19,Lançamentos!$C:$C,"Serviços de Terceiros")</f>
        <v>0</v>
      </c>
      <c r="AM46" s="39">
        <f>SUMIFS(Lançamentos!$G:$G,Lançamentos!$A:$A,AM$19,Lançamentos!$C:$C,"Serviços de Terceiros")</f>
        <v>0</v>
      </c>
      <c r="AN46" s="39">
        <f>SUMIFS(Lançamentos!$G:$G,Lançamentos!$A:$A,AN$19,Lançamentos!$C:$C,"Serviços de Terceiros")</f>
        <v>0</v>
      </c>
      <c r="AO46" s="39">
        <f>SUMIFS(Lançamentos!$G:$G,Lançamentos!$A:$A,AO$19,Lançamentos!$C:$C,"Serviços de Terceiros")</f>
        <v>0</v>
      </c>
      <c r="AP46" s="39">
        <f>SUMIFS(Lançamentos!$G:$G,Lançamentos!$A:$A,AP$19,Lançamentos!$C:$C,"Serviços de Terceiros")</f>
        <v>0</v>
      </c>
      <c r="AQ46" s="39">
        <f>SUMIFS(Lançamentos!$G:$G,Lançamentos!$A:$A,AQ$19,Lançamentos!$C:$C,"Serviços de Terceiros")</f>
        <v>0</v>
      </c>
      <c r="AR46" s="39">
        <f>SUMIFS(Lançamentos!$G:$G,Lançamentos!$A:$A,AR$19,Lançamentos!$C:$C,"Serviços de Terceiros")</f>
        <v>0</v>
      </c>
      <c r="AS46" s="39">
        <f>SUMIFS(Lançamentos!$G:$G,Lançamentos!$A:$A,AS$19,Lançamentos!$C:$C,"Serviços de Terceiros")</f>
        <v>0</v>
      </c>
      <c r="AT46" s="39">
        <f>SUMIFS(Lançamentos!$G:$G,Lançamentos!$A:$A,AT$19,Lançamentos!$C:$C,"Serviços de Terceiros")</f>
        <v>0</v>
      </c>
      <c r="AU46" s="39">
        <f>SUMIFS(Lançamentos!$G:$G,Lançamentos!$A:$A,AU$19,Lançamentos!$C:$C,"Serviços de Terceiros")</f>
        <v>0</v>
      </c>
      <c r="AV46" s="39">
        <f>SUMIFS(Lançamentos!$G:$G,Lançamentos!$A:$A,AV$19,Lançamentos!$C:$C,"Serviços de Terceiros")</f>
        <v>0</v>
      </c>
      <c r="AW46" s="39">
        <f>SUMIFS(Lançamentos!$G:$G,Lançamentos!$A:$A,AW$19,Lançamentos!$C:$C,"Serviços de Terceiros")</f>
        <v>0</v>
      </c>
      <c r="AX46" s="39">
        <f>SUMIFS(Lançamentos!$G:$G,Lançamentos!$A:$A,AX$19,Lançamentos!$C:$C,"Serviços de Terceiros")</f>
        <v>0</v>
      </c>
      <c r="AY46" s="39">
        <f>SUMIFS(Lançamentos!$G:$G,Lançamentos!$A:$A,AY$19,Lançamentos!$C:$C,"Serviços de Terceiros")</f>
        <v>0</v>
      </c>
      <c r="AZ46" s="39">
        <f>SUMIFS(Lançamentos!$G:$G,Lançamentos!$A:$A,AZ$19,Lançamentos!$C:$C,"Serviços de Terceiros")</f>
        <v>0</v>
      </c>
      <c r="BA46" s="39">
        <f>SUMIFS(Lançamentos!$G:$G,Lançamentos!$A:$A,BA$19,Lançamentos!$C:$C,"Serviços de Terceiros")</f>
        <v>0</v>
      </c>
      <c r="BB46" s="39">
        <f>SUMIFS(Lançamentos!$G:$G,Lançamentos!$A:$A,BB$19,Lançamentos!$C:$C,"Serviços de Terceiros")</f>
        <v>0</v>
      </c>
      <c r="BC46" s="39">
        <f>SUMIFS(Lançamentos!$G:$G,Lançamentos!$A:$A,BC$19,Lançamentos!$C:$C,"Serviços de Terceiros")</f>
        <v>0</v>
      </c>
      <c r="BD46" s="39">
        <f>SUMIFS(Lançamentos!$G:$G,Lançamentos!$A:$A,BD$19,Lançamentos!$C:$C,"Serviços de Terceiros")</f>
        <v>0</v>
      </c>
      <c r="BE46" s="39">
        <f>SUMIFS(Lançamentos!$G:$G,Lançamentos!$A:$A,BE$19,Lançamentos!$C:$C,"Serviços de Terceiros")</f>
        <v>0</v>
      </c>
      <c r="BF46" s="39">
        <f>SUMIFS(Lançamentos!$G:$G,Lançamentos!$A:$A,BF$19,Lançamentos!$C:$C,"Serviços de Terceiros")</f>
        <v>0</v>
      </c>
      <c r="BG46" s="39">
        <f>SUMIFS(Lançamentos!$G:$G,Lançamentos!$A:$A,BG$19,Lançamentos!$C:$C,"Serviços de Terceiros")</f>
        <v>0</v>
      </c>
      <c r="BH46" s="39">
        <f>SUMIFS(Lançamentos!$G:$G,Lançamentos!$A:$A,BH$19,Lançamentos!$C:$C,"Serviços de Terceiros")</f>
        <v>0</v>
      </c>
      <c r="BI46" s="39">
        <f>SUMIFS(Lançamentos!$G:$G,Lançamentos!$A:$A,BI$19,Lançamentos!$C:$C,"Serviços de Terceiros")</f>
        <v>0</v>
      </c>
      <c r="BJ46" s="39">
        <f>SUMIFS(Lançamentos!$G:$G,Lançamentos!$A:$A,BJ$19,Lançamentos!$C:$C,"Serviços de Terceiros")</f>
        <v>0</v>
      </c>
      <c r="BK46" s="39">
        <f>SUMIFS(Lançamentos!$G:$G,Lançamentos!$A:$A,BK$19,Lançamentos!$C:$C,"Serviços de Terceiros")</f>
        <v>0</v>
      </c>
      <c r="BL46" s="39">
        <f>SUMIFS(Lançamentos!$G:$G,Lançamentos!$A:$A,BL$19,Lançamentos!$C:$C,"Serviços de Terceiros")</f>
        <v>0</v>
      </c>
      <c r="BM46" s="39">
        <f>SUMIFS(Lançamentos!$G:$G,Lançamentos!$A:$A,BM$19,Lançamentos!$C:$C,"Serviços de Terceiros")</f>
        <v>0</v>
      </c>
      <c r="BN46" s="39">
        <f>SUMIFS(Lançamentos!$G:$G,Lançamentos!$A:$A,BN$19,Lançamentos!$C:$C,"Serviços de Terceiros")</f>
        <v>0</v>
      </c>
      <c r="BO46" s="39">
        <f>SUMIFS(Lançamentos!$G:$G,Lançamentos!$A:$A,BO$19,Lançamentos!$C:$C,"Serviços de Terceiros")</f>
        <v>0</v>
      </c>
      <c r="BP46" s="39">
        <f>SUMIFS(Lançamentos!$G:$G,Lançamentos!$A:$A,BP$19,Lançamentos!$C:$C,"Serviços de Terceiros")</f>
        <v>0</v>
      </c>
      <c r="BQ46" s="39">
        <f>SUMIFS(Lançamentos!$G:$G,Lançamentos!$A:$A,BQ$19,Lançamentos!$C:$C,"Serviços de Terceiros")</f>
        <v>0</v>
      </c>
      <c r="BR46" s="39">
        <f>SUMIFS(Lançamentos!$G:$G,Lançamentos!$A:$A,BR$19,Lançamentos!$C:$C,"Serviços de Terceiros")</f>
        <v>0</v>
      </c>
      <c r="BS46" s="39">
        <f>SUMIFS(Lançamentos!$G:$G,Lançamentos!$A:$A,BS$19,Lançamentos!$C:$C,"Serviços de Terceiros")</f>
        <v>0</v>
      </c>
      <c r="BT46" s="39">
        <f>SUMIFS(Lançamentos!$G:$G,Lançamentos!$A:$A,BT$19,Lançamentos!$C:$C,"Serviços de Terceiros")</f>
        <v>0</v>
      </c>
      <c r="BU46" s="39">
        <f>SUMIFS(Lançamentos!$G:$G,Lançamentos!$A:$A,BU$19,Lançamentos!$C:$C,"Serviços de Terceiros")</f>
        <v>0</v>
      </c>
      <c r="BV46" s="39">
        <f>SUMIFS(Lançamentos!$G:$G,Lançamentos!$A:$A,BV$19,Lançamentos!$C:$C,"Serviços de Terceiros")</f>
        <v>0</v>
      </c>
      <c r="BW46" s="39">
        <f>SUMIFS(Lançamentos!$G:$G,Lançamentos!$A:$A,BW$19,Lançamentos!$C:$C,"Serviços de Terceiros")</f>
        <v>0</v>
      </c>
      <c r="BX46" s="39">
        <f>SUMIFS(Lançamentos!$G:$G,Lançamentos!$A:$A,BX$19,Lançamentos!$C:$C,"Serviços de Terceiros")</f>
        <v>0</v>
      </c>
      <c r="BY46" s="39">
        <f>SUMIFS(Lançamentos!$G:$G,Lançamentos!$A:$A,BY$19,Lançamentos!$C:$C,"Serviços de Terceiros")</f>
        <v>0</v>
      </c>
      <c r="BZ46" s="39">
        <f>SUMIFS(Lançamentos!$G:$G,Lançamentos!$A:$A,BZ$19,Lançamentos!$C:$C,"Serviços de Terceiros")</f>
        <v>0</v>
      </c>
      <c r="CA46" s="39">
        <f>SUMIFS(Lançamentos!$G:$G,Lançamentos!$A:$A,CA$19,Lançamentos!$C:$C,"Serviços de Terceiros")</f>
        <v>0</v>
      </c>
      <c r="CB46" s="39">
        <f>SUMIFS(Lançamentos!$G:$G,Lançamentos!$A:$A,CB$19,Lançamentos!$C:$C,"Serviços de Terceiros")</f>
        <v>0</v>
      </c>
      <c r="CC46" s="39">
        <f>SUMIFS(Lançamentos!$G:$G,Lançamentos!$A:$A,CC$19,Lançamentos!$C:$C,"Serviços de Terceiros")</f>
        <v>0</v>
      </c>
      <c r="CD46" s="39">
        <f>SUMIFS(Lançamentos!$G:$G,Lançamentos!$A:$A,CD$19,Lançamentos!$C:$C,"Serviços de Terceiros")</f>
        <v>0</v>
      </c>
      <c r="CE46" s="39">
        <f>SUMIFS(Lançamentos!$G:$G,Lançamentos!$A:$A,CE$19,Lançamentos!$C:$C,"Serviços de Terceiros")</f>
        <v>0</v>
      </c>
      <c r="CF46" s="39">
        <f>SUMIFS(Lançamentos!$G:$G,Lançamentos!$A:$A,CF$19,Lançamentos!$C:$C,"Serviços de Terceiros")</f>
        <v>0</v>
      </c>
      <c r="CG46" s="39">
        <f>SUMIFS(Lançamentos!$G:$G,Lançamentos!$A:$A,CG$19,Lançamentos!$C:$C,"Serviços de Terceiros")</f>
        <v>0</v>
      </c>
      <c r="CH46" s="39">
        <f>SUMIFS(Lançamentos!$G:$G,Lançamentos!$A:$A,CH$19,Lançamentos!$C:$C,"Serviços de Terceiros")</f>
        <v>0</v>
      </c>
      <c r="CI46" s="39">
        <f>SUMIFS(Lançamentos!$G:$G,Lançamentos!$A:$A,CI$19,Lançamentos!$C:$C,"Serviços de Terceiros")</f>
        <v>0</v>
      </c>
      <c r="CJ46" s="39">
        <f>SUMIFS(Lançamentos!$G:$G,Lançamentos!$A:$A,CJ$19,Lançamentos!$C:$C,"Serviços de Terceiros")</f>
        <v>0</v>
      </c>
      <c r="CK46" s="39">
        <f>SUMIFS(Lançamentos!$G:$G,Lançamentos!$A:$A,CK$19,Lançamentos!$C:$C,"Serviços de Terceiros")</f>
        <v>0</v>
      </c>
      <c r="CL46" s="39">
        <f>SUMIFS(Lançamentos!$G:$G,Lançamentos!$A:$A,CL$19,Lançamentos!$C:$C,"Serviços de Terceiros")</f>
        <v>0</v>
      </c>
      <c r="CM46" s="39">
        <f>SUMIFS(Lançamentos!$G:$G,Lançamentos!$A:$A,CM$19,Lançamentos!$C:$C,"Serviços de Terceiros")</f>
        <v>0</v>
      </c>
      <c r="CN46" s="39">
        <f>SUMIFS(Lançamentos!$G:$G,Lançamentos!$A:$A,CN$19,Lançamentos!$C:$C,"Serviços de Terceiros")</f>
        <v>0</v>
      </c>
      <c r="CO46" s="39">
        <f>SUMIFS(Lançamentos!$G:$G,Lançamentos!$A:$A,CO$19,Lançamentos!$C:$C,"Serviços de Terceiros")</f>
        <v>0</v>
      </c>
      <c r="CP46" s="39">
        <f>SUMIFS(Lançamentos!$G:$G,Lançamentos!$A:$A,CP$19,Lançamentos!$C:$C,"Serviços de Terceiros")</f>
        <v>0</v>
      </c>
      <c r="CQ46" s="39">
        <f>SUMIFS(Lançamentos!$G:$G,Lançamentos!$A:$A,CQ$19,Lançamentos!$C:$C,"Serviços de Terceiros")</f>
        <v>0</v>
      </c>
      <c r="CR46" s="39">
        <f>SUMIFS(Lançamentos!$G:$G,Lançamentos!$A:$A,CR$19,Lançamentos!$C:$C,"Serviços de Terceiros")</f>
        <v>0</v>
      </c>
      <c r="CS46" s="39">
        <f>SUMIFS(Lançamentos!$G:$G,Lançamentos!$A:$A,CS$19,Lançamentos!$C:$C,"Serviços de Terceiros")</f>
        <v>0</v>
      </c>
      <c r="CT46" s="39">
        <f>SUMIFS(Lançamentos!$G:$G,Lançamentos!$A:$A,CT$19,Lançamentos!$C:$C,"Serviços de Terceiros")</f>
        <v>0</v>
      </c>
      <c r="CU46" s="39">
        <f>SUMIFS(Lançamentos!$G:$G,Lançamentos!$A:$A,CU$19,Lançamentos!$C:$C,"Serviços de Terceiros")</f>
        <v>0</v>
      </c>
      <c r="CV46" s="39">
        <f>SUMIFS(Lançamentos!$G:$G,Lançamentos!$A:$A,CV$19,Lançamentos!$C:$C,"Serviços de Terceiros")</f>
        <v>0</v>
      </c>
      <c r="CW46" s="39">
        <f>SUMIFS(Lançamentos!$G:$G,Lançamentos!$A:$A,CW$19,Lançamentos!$C:$C,"Serviços de Terceiros")</f>
        <v>0</v>
      </c>
      <c r="CX46" s="39">
        <f>SUMIFS(Lançamentos!$G:$G,Lançamentos!$A:$A,CX$19,Lançamentos!$C:$C,"Serviços de Terceiros")</f>
        <v>0</v>
      </c>
      <c r="CY46" s="39">
        <f>SUMIFS(Lançamentos!$G:$G,Lançamentos!$A:$A,CY$19,Lançamentos!$C:$C,"Serviços de Terceiros")</f>
        <v>0</v>
      </c>
      <c r="CZ46" s="39">
        <f>SUMIFS(Lançamentos!$G:$G,Lançamentos!$A:$A,CZ$19,Lançamentos!$C:$C,"Serviços de Terceiros")</f>
        <v>0</v>
      </c>
      <c r="DA46" s="39">
        <f>SUMIFS(Lançamentos!$G:$G,Lançamentos!$A:$A,DA$19,Lançamentos!$C:$C,"Serviços de Terceiros")</f>
        <v>0</v>
      </c>
      <c r="DB46" s="39">
        <f>SUMIFS(Lançamentos!$G:$G,Lançamentos!$A:$A,DB$19,Lançamentos!$C:$C,"Serviços de Terceiros")</f>
        <v>0</v>
      </c>
      <c r="DC46" s="39">
        <f>SUMIFS(Lançamentos!$G:$G,Lançamentos!$A:$A,DC$19,Lançamentos!$C:$C,"Serviços de Terceiros")</f>
        <v>0</v>
      </c>
      <c r="DD46" s="39">
        <f>SUMIFS(Lançamentos!$G:$G,Lançamentos!$A:$A,DD$19,Lançamentos!$C:$C,"Serviços de Terceiros")</f>
        <v>0</v>
      </c>
      <c r="DE46" s="39">
        <f>SUMIFS(Lançamentos!$G:$G,Lançamentos!$A:$A,DE$19,Lançamentos!$C:$C,"Serviços de Terceiros")</f>
        <v>0</v>
      </c>
      <c r="DF46" s="39">
        <f>SUMIFS(Lançamentos!$G:$G,Lançamentos!$A:$A,DF$19,Lançamentos!$C:$C,"Serviços de Terceiros")</f>
        <v>0</v>
      </c>
      <c r="DG46" s="39">
        <f>SUMIFS(Lançamentos!$G:$G,Lançamentos!$A:$A,DG$19,Lançamentos!$C:$C,"Serviços de Terceiros")</f>
        <v>0</v>
      </c>
      <c r="DH46" s="39">
        <f>SUMIFS(Lançamentos!$G:$G,Lançamentos!$A:$A,DH$19,Lançamentos!$C:$C,"Serviços de Terceiros")</f>
        <v>0</v>
      </c>
      <c r="DI46" s="39">
        <f>SUMIFS(Lançamentos!$G:$G,Lançamentos!$A:$A,DI$19,Lançamentos!$C:$C,"Serviços de Terceiros")</f>
        <v>0</v>
      </c>
      <c r="DJ46" s="39">
        <f>SUMIFS(Lançamentos!$G:$G,Lançamentos!$A:$A,DJ$19,Lançamentos!$C:$C,"Serviços de Terceiros")</f>
        <v>0</v>
      </c>
      <c r="DK46" s="39">
        <f>SUMIFS(Lançamentos!$G:$G,Lançamentos!$A:$A,DK$19,Lançamentos!$C:$C,"Serviços de Terceiros")</f>
        <v>0</v>
      </c>
      <c r="DL46" s="39">
        <f>SUMIFS(Lançamentos!$G:$G,Lançamentos!$A:$A,DL$19,Lançamentos!$C:$C,"Serviços de Terceiros")</f>
        <v>0</v>
      </c>
      <c r="DM46" s="39">
        <f>SUMIFS(Lançamentos!$G:$G,Lançamentos!$A:$A,DM$19,Lançamentos!$C:$C,"Serviços de Terceiros")</f>
        <v>0</v>
      </c>
      <c r="DN46" s="39">
        <f>SUMIFS(Lançamentos!$G:$G,Lançamentos!$A:$A,DN$19,Lançamentos!$C:$C,"Serviços de Terceiros")</f>
        <v>0</v>
      </c>
      <c r="DO46" s="39">
        <f>SUMIFS(Lançamentos!$G:$G,Lançamentos!$A:$A,DO$19,Lançamentos!$C:$C,"Serviços de Terceiros")</f>
        <v>0</v>
      </c>
      <c r="DP46" s="39">
        <f>SUMIFS(Lançamentos!$G:$G,Lançamentos!$A:$A,DP$19,Lançamentos!$C:$C,"Serviços de Terceiros")</f>
        <v>0</v>
      </c>
      <c r="DQ46" s="39">
        <f>SUMIFS(Lançamentos!$G:$G,Lançamentos!$A:$A,DQ$19,Lançamentos!$C:$C,"Serviços de Terceiros")</f>
        <v>0</v>
      </c>
      <c r="DR46" s="39">
        <f>SUMIFS(Lançamentos!$G:$G,Lançamentos!$A:$A,DR$19,Lançamentos!$C:$C,"Serviços de Terceiros")</f>
        <v>0</v>
      </c>
      <c r="DS46" s="39">
        <f>SUMIFS(Lançamentos!$G:$G,Lançamentos!$A:$A,DS$19,Lançamentos!$C:$C,"Serviços de Terceiros")</f>
        <v>0</v>
      </c>
      <c r="DT46" s="39">
        <f>SUMIFS(Lançamentos!$G:$G,Lançamentos!$A:$A,DT$19,Lançamentos!$C:$C,"Serviços de Terceiros")</f>
        <v>0</v>
      </c>
      <c r="DU46" s="39">
        <f>SUMIFS(Lançamentos!$G:$G,Lançamentos!$A:$A,DU$19,Lançamentos!$C:$C,"Serviços de Terceiros")</f>
        <v>0</v>
      </c>
      <c r="DV46" s="39">
        <f>SUMIFS(Lançamentos!$G:$G,Lançamentos!$A:$A,DV$19,Lançamentos!$C:$C,"Serviços de Terceiros")</f>
        <v>0</v>
      </c>
      <c r="DW46" s="39">
        <f>SUMIFS(Lançamentos!$G:$G,Lançamentos!$A:$A,DW$19,Lançamentos!$C:$C,"Serviços de Terceiros")</f>
        <v>0</v>
      </c>
      <c r="DX46" s="39">
        <f>SUMIFS(Lançamentos!$G:$G,Lançamentos!$A:$A,DX$19,Lançamentos!$C:$C,"Serviços de Terceiros")</f>
        <v>0</v>
      </c>
      <c r="DY46" s="39">
        <f>SUMIFS(Lançamentos!$G:$G,Lançamentos!$A:$A,DY$19,Lançamentos!$C:$C,"Serviços de Terceiros")</f>
        <v>0</v>
      </c>
      <c r="DZ46" s="39">
        <f>SUMIFS(Lançamentos!$G:$G,Lançamentos!$A:$A,DZ$19,Lançamentos!$C:$C,"Serviços de Terceiros")</f>
        <v>0</v>
      </c>
      <c r="EA46" s="39">
        <f>SUMIFS(Lançamentos!$G:$G,Lançamentos!$A:$A,EA$19,Lançamentos!$C:$C,"Serviços de Terceiros")</f>
        <v>0</v>
      </c>
      <c r="EB46" s="39">
        <f>SUMIFS(Lançamentos!$G:$G,Lançamentos!$A:$A,EB$19,Lançamentos!$C:$C,"Serviços de Terceiros")</f>
        <v>0</v>
      </c>
      <c r="EC46" s="39">
        <f>SUMIFS(Lançamentos!$G:$G,Lançamentos!$A:$A,EC$19,Lançamentos!$C:$C,"Serviços de Terceiros")</f>
        <v>0</v>
      </c>
      <c r="ED46" s="39">
        <f>SUMIFS(Lançamentos!$G:$G,Lançamentos!$A:$A,ED$19,Lançamentos!$C:$C,"Serviços de Terceiros")</f>
        <v>0</v>
      </c>
      <c r="EE46" s="39">
        <f>SUMIFS(Lançamentos!$G:$G,Lançamentos!$A:$A,EE$19,Lançamentos!$C:$C,"Serviços de Terceiros")</f>
        <v>0</v>
      </c>
      <c r="EF46" s="39">
        <f>SUMIFS(Lançamentos!$G:$G,Lançamentos!$A:$A,EF$19,Lançamentos!$C:$C,"Serviços de Terceiros")</f>
        <v>0</v>
      </c>
      <c r="EG46" s="39">
        <f>SUMIFS(Lançamentos!$G:$G,Lançamentos!$A:$A,EG$19,Lançamentos!$C:$C,"Serviços de Terceiros")</f>
        <v>0</v>
      </c>
      <c r="EH46" s="39">
        <f>SUMIFS(Lançamentos!$G:$G,Lançamentos!$A:$A,EH$19,Lançamentos!$C:$C,"Serviços de Terceiros")</f>
        <v>0</v>
      </c>
      <c r="EI46" s="39">
        <f>SUMIFS(Lançamentos!$G:$G,Lançamentos!$A:$A,EI$19,Lançamentos!$C:$C,"Serviços de Terceiros")</f>
        <v>0</v>
      </c>
      <c r="EJ46" s="39">
        <f>SUMIFS(Lançamentos!$G:$G,Lançamentos!$A:$A,EJ$19,Lançamentos!$C:$C,"Serviços de Terceiros")</f>
        <v>0</v>
      </c>
      <c r="EK46" s="39">
        <f>SUMIFS(Lançamentos!$G:$G,Lançamentos!$A:$A,EK$19,Lançamentos!$C:$C,"Serviços de Terceiros")</f>
        <v>0</v>
      </c>
      <c r="EL46" s="39">
        <f>SUMIFS(Lançamentos!$G:$G,Lançamentos!$A:$A,EL$19,Lançamentos!$C:$C,"Serviços de Terceiros")</f>
        <v>0</v>
      </c>
      <c r="EM46" s="39">
        <f>SUMIFS(Lançamentos!$G:$G,Lançamentos!$A:$A,EM$19,Lançamentos!$C:$C,"Serviços de Terceiros")</f>
        <v>0</v>
      </c>
      <c r="EN46" s="39">
        <f>SUMIFS(Lançamentos!$G:$G,Lançamentos!$A:$A,EN$19,Lançamentos!$C:$C,"Serviços de Terceiros")</f>
        <v>0</v>
      </c>
      <c r="EO46" s="39">
        <f>SUMIFS(Lançamentos!$G:$G,Lançamentos!$A:$A,EO$19,Lançamentos!$C:$C,"Serviços de Terceiros")</f>
        <v>0</v>
      </c>
      <c r="EP46" s="39">
        <f>SUMIFS(Lançamentos!$G:$G,Lançamentos!$A:$A,EP$19,Lançamentos!$C:$C,"Serviços de Terceiros")</f>
        <v>0</v>
      </c>
      <c r="EQ46" s="39">
        <f>SUMIFS(Lançamentos!$G:$G,Lançamentos!$A:$A,EQ$19,Lançamentos!$C:$C,"Serviços de Terceiros")</f>
        <v>0</v>
      </c>
      <c r="ER46" s="39">
        <f>SUMIFS(Lançamentos!$G:$G,Lançamentos!$A:$A,ER$19,Lançamentos!$C:$C,"Serviços de Terceiros")</f>
        <v>0</v>
      </c>
      <c r="ES46" s="39">
        <f>SUMIFS(Lançamentos!$G:$G,Lançamentos!$A:$A,ES$19,Lançamentos!$C:$C,"Serviços de Terceiros")</f>
        <v>0</v>
      </c>
      <c r="ET46" s="39">
        <f>SUMIFS(Lançamentos!$G:$G,Lançamentos!$A:$A,ET$19,Lançamentos!$C:$C,"Serviços de Terceiros")</f>
        <v>0</v>
      </c>
      <c r="EU46" s="39">
        <f>SUMIFS(Lançamentos!$G:$G,Lançamentos!$A:$A,EU$19,Lançamentos!$C:$C,"Serviços de Terceiros")</f>
        <v>0</v>
      </c>
      <c r="EV46" s="39">
        <f>SUMIFS(Lançamentos!$G:$G,Lançamentos!$A:$A,EV$19,Lançamentos!$C:$C,"Serviços de Terceiros")</f>
        <v>0</v>
      </c>
      <c r="EW46" s="39">
        <f>SUMIFS(Lançamentos!$G:$G,Lançamentos!$A:$A,EW$19,Lançamentos!$C:$C,"Serviços de Terceiros")</f>
        <v>0</v>
      </c>
      <c r="EX46" s="39">
        <f>SUMIFS(Lançamentos!$G:$G,Lançamentos!$A:$A,EX$19,Lançamentos!$C:$C,"Serviços de Terceiros")</f>
        <v>0</v>
      </c>
      <c r="EY46" s="39">
        <f>SUMIFS(Lançamentos!$G:$G,Lançamentos!$A:$A,EY$19,Lançamentos!$C:$C,"Serviços de Terceiros")</f>
        <v>0</v>
      </c>
      <c r="EZ46" s="39">
        <f>SUMIFS(Lançamentos!$G:$G,Lançamentos!$A:$A,EZ$19,Lançamentos!$C:$C,"Serviços de Terceiros")</f>
        <v>0</v>
      </c>
      <c r="FA46" s="39">
        <f>SUMIFS(Lançamentos!$G:$G,Lançamentos!$A:$A,FA$19,Lançamentos!$C:$C,"Serviços de Terceiros")</f>
        <v>0</v>
      </c>
      <c r="FB46" s="39">
        <f>SUMIFS(Lançamentos!$G:$G,Lançamentos!$A:$A,FB$19,Lançamentos!$C:$C,"Serviços de Terceiros")</f>
        <v>0</v>
      </c>
      <c r="FC46" s="39">
        <f>SUMIFS(Lançamentos!$G:$G,Lançamentos!$A:$A,FC$19,Lançamentos!$C:$C,"Serviços de Terceiros")</f>
        <v>0</v>
      </c>
      <c r="FD46" s="39">
        <f>SUMIFS(Lançamentos!$G:$G,Lançamentos!$A:$A,FD$19,Lançamentos!$C:$C,"Serviços de Terceiros")</f>
        <v>0</v>
      </c>
      <c r="FE46" s="39">
        <f>SUMIFS(Lançamentos!$G:$G,Lançamentos!$A:$A,FE$19,Lançamentos!$C:$C,"Serviços de Terceiros")</f>
        <v>0</v>
      </c>
      <c r="FF46" s="39">
        <f>SUMIFS(Lançamentos!$G:$G,Lançamentos!$A:$A,FF$19,Lançamentos!$C:$C,"Serviços de Terceiros")</f>
        <v>0</v>
      </c>
      <c r="FG46" s="39">
        <f>SUMIFS(Lançamentos!$G:$G,Lançamentos!$A:$A,FG$19,Lançamentos!$C:$C,"Serviços de Terceiros")</f>
        <v>0</v>
      </c>
      <c r="FH46" s="39">
        <f>SUMIFS(Lançamentos!$G:$G,Lançamentos!$A:$A,FH$19,Lançamentos!$C:$C,"Serviços de Terceiros")</f>
        <v>0</v>
      </c>
      <c r="FI46" s="39">
        <f>SUMIFS(Lançamentos!$G:$G,Lançamentos!$A:$A,FI$19,Lançamentos!$C:$C,"Serviços de Terceiros")</f>
        <v>0</v>
      </c>
      <c r="FJ46" s="39">
        <f>SUMIFS(Lançamentos!$G:$G,Lançamentos!$A:$A,FJ$19,Lançamentos!$C:$C,"Serviços de Terceiros")</f>
        <v>0</v>
      </c>
      <c r="FK46" s="39">
        <f>SUMIFS(Lançamentos!$G:$G,Lançamentos!$A:$A,FK$19,Lançamentos!$C:$C,"Serviços de Terceiros")</f>
        <v>0</v>
      </c>
      <c r="FL46" s="39">
        <f>SUMIFS(Lançamentos!$G:$G,Lançamentos!$A:$A,FL$19,Lançamentos!$C:$C,"Serviços de Terceiros")</f>
        <v>0</v>
      </c>
      <c r="FM46" s="39">
        <f>SUMIFS(Lançamentos!$G:$G,Lançamentos!$A:$A,FM$19,Lançamentos!$C:$C,"Serviços de Terceiros")</f>
        <v>0</v>
      </c>
      <c r="FN46" s="39">
        <f>SUMIFS(Lançamentos!$G:$G,Lançamentos!$A:$A,FN$19,Lançamentos!$C:$C,"Serviços de Terceiros")</f>
        <v>0</v>
      </c>
      <c r="FO46" s="39">
        <f>SUMIFS(Lançamentos!$G:$G,Lançamentos!$A:$A,FO$19,Lançamentos!$C:$C,"Serviços de Terceiros")</f>
        <v>0</v>
      </c>
      <c r="FP46" s="39">
        <f>SUMIFS(Lançamentos!$G:$G,Lançamentos!$A:$A,FP$19,Lançamentos!$C:$C,"Serviços de Terceiros")</f>
        <v>0</v>
      </c>
      <c r="FQ46" s="39">
        <f>SUMIFS(Lançamentos!$G:$G,Lançamentos!$A:$A,FQ$19,Lançamentos!$C:$C,"Serviços de Terceiros")</f>
        <v>0</v>
      </c>
      <c r="FR46" s="39">
        <f>SUMIFS(Lançamentos!$G:$G,Lançamentos!$A:$A,FR$19,Lançamentos!$C:$C,"Serviços de Terceiros")</f>
        <v>0</v>
      </c>
      <c r="FS46" s="39">
        <f>SUMIFS(Lançamentos!$G:$G,Lançamentos!$A:$A,FS$19,Lançamentos!$C:$C,"Serviços de Terceiros")</f>
        <v>0</v>
      </c>
      <c r="FT46" s="39">
        <f>SUMIFS(Lançamentos!$G:$G,Lançamentos!$A:$A,FT$19,Lançamentos!$C:$C,"Serviços de Terceiros")</f>
        <v>0</v>
      </c>
      <c r="FU46" s="39">
        <f>SUMIFS(Lançamentos!$G:$G,Lançamentos!$A:$A,FU$19,Lançamentos!$C:$C,"Serviços de Terceiros")</f>
        <v>0</v>
      </c>
      <c r="FV46" s="39">
        <f>SUMIFS(Lançamentos!$G:$G,Lançamentos!$A:$A,FV$19,Lançamentos!$C:$C,"Serviços de Terceiros")</f>
        <v>0</v>
      </c>
      <c r="FW46" s="39">
        <f>SUMIFS(Lançamentos!$G:$G,Lançamentos!$A:$A,FW$19,Lançamentos!$C:$C,"Serviços de Terceiros")</f>
        <v>0</v>
      </c>
      <c r="FX46" s="39">
        <f>SUMIFS(Lançamentos!$G:$G,Lançamentos!$A:$A,FX$19,Lançamentos!$C:$C,"Serviços de Terceiros")</f>
        <v>0</v>
      </c>
      <c r="FY46" s="39">
        <f>SUMIFS(Lançamentos!$G:$G,Lançamentos!$A:$A,FY$19,Lançamentos!$C:$C,"Serviços de Terceiros")</f>
        <v>0</v>
      </c>
      <c r="FZ46" s="39">
        <f>SUMIFS(Lançamentos!$G:$G,Lançamentos!$A:$A,FZ$19,Lançamentos!$C:$C,"Serviços de Terceiros")</f>
        <v>0</v>
      </c>
      <c r="GA46" s="39">
        <f>SUMIFS(Lançamentos!$G:$G,Lançamentos!$A:$A,GA$19,Lançamentos!$C:$C,"Serviços de Terceiros")</f>
        <v>0</v>
      </c>
      <c r="GB46" s="39">
        <f>SUMIFS(Lançamentos!$G:$G,Lançamentos!$A:$A,GB$19,Lançamentos!$C:$C,"Serviços de Terceiros")</f>
        <v>0</v>
      </c>
      <c r="GC46" s="39">
        <f>SUMIFS(Lançamentos!$G:$G,Lançamentos!$A:$A,GC$19,Lançamentos!$C:$C,"Serviços de Terceiros")</f>
        <v>0</v>
      </c>
      <c r="GD46" s="39">
        <f>SUMIFS(Lançamentos!$G:$G,Lançamentos!$A:$A,GD$19,Lançamentos!$C:$C,"Serviços de Terceiros")</f>
        <v>0</v>
      </c>
      <c r="GE46" s="39">
        <f>SUMIFS(Lançamentos!$G:$G,Lançamentos!$A:$A,GE$19,Lançamentos!$C:$C,"Serviços de Terceiros")</f>
        <v>0</v>
      </c>
      <c r="GF46" s="39">
        <f>SUMIFS(Lançamentos!$G:$G,Lançamentos!$A:$A,GF$19,Lançamentos!$C:$C,"Serviços de Terceiros")</f>
        <v>0</v>
      </c>
      <c r="GG46" s="39">
        <f>SUMIFS(Lançamentos!$G:$G,Lançamentos!$A:$A,GG$19,Lançamentos!$C:$C,"Serviços de Terceiros")</f>
        <v>0</v>
      </c>
      <c r="GH46" s="39">
        <f>SUMIFS(Lançamentos!$G:$G,Lançamentos!$A:$A,GH$19,Lançamentos!$C:$C,"Serviços de Terceiros")</f>
        <v>0</v>
      </c>
      <c r="GI46" s="39">
        <f>SUMIFS(Lançamentos!$G:$G,Lançamentos!$A:$A,GI$19,Lançamentos!$C:$C,"Serviços de Terceiros")</f>
        <v>0</v>
      </c>
      <c r="GJ46" s="39">
        <f>SUMIFS(Lançamentos!$G:$G,Lançamentos!$A:$A,GJ$19,Lançamentos!$C:$C,"Serviços de Terceiros")</f>
        <v>0</v>
      </c>
      <c r="GK46" s="39">
        <f>SUMIFS(Lançamentos!$G:$G,Lançamentos!$A:$A,GK$19,Lançamentos!$C:$C,"Serviços de Terceiros")</f>
        <v>0</v>
      </c>
      <c r="GL46" s="39">
        <f>SUMIFS(Lançamentos!$G:$G,Lançamentos!$A:$A,GL$19,Lançamentos!$C:$C,"Serviços de Terceiros")</f>
        <v>0</v>
      </c>
      <c r="GM46" s="39">
        <f>SUMIFS(Lançamentos!$G:$G,Lançamentos!$A:$A,GM$19,Lançamentos!$C:$C,"Serviços de Terceiros")</f>
        <v>0</v>
      </c>
      <c r="GN46" s="39">
        <f>SUMIFS(Lançamentos!$G:$G,Lançamentos!$A:$A,GN$19,Lançamentos!$C:$C,"Serviços de Terceiros")</f>
        <v>0</v>
      </c>
      <c r="GO46" s="39">
        <f>SUMIFS(Lançamentos!$G:$G,Lançamentos!$A:$A,GO$19,Lançamentos!$C:$C,"Serviços de Terceiros")</f>
        <v>0</v>
      </c>
      <c r="GP46" s="39">
        <f>SUMIFS(Lançamentos!$G:$G,Lançamentos!$A:$A,GP$19,Lançamentos!$C:$C,"Serviços de Terceiros")</f>
        <v>0</v>
      </c>
      <c r="GQ46" s="39">
        <f>SUMIFS(Lançamentos!$G:$G,Lançamentos!$A:$A,GQ$19,Lançamentos!$C:$C,"Serviços de Terceiros")</f>
        <v>0</v>
      </c>
      <c r="GR46" s="39">
        <f>SUMIFS(Lançamentos!$G:$G,Lançamentos!$A:$A,GR$19,Lançamentos!$C:$C,"Serviços de Terceiros")</f>
        <v>0</v>
      </c>
      <c r="GS46" s="39">
        <f>SUMIFS(Lançamentos!$G:$G,Lançamentos!$A:$A,GS$19,Lançamentos!$C:$C,"Serviços de Terceiros")</f>
        <v>0</v>
      </c>
      <c r="GT46" s="39">
        <f>SUMIFS(Lançamentos!$G:$G,Lançamentos!$A:$A,GT$19,Lançamentos!$C:$C,"Serviços de Terceiros")</f>
        <v>0</v>
      </c>
      <c r="GU46" s="39">
        <f>SUMIFS(Lançamentos!$G:$G,Lançamentos!$A:$A,GU$19,Lançamentos!$C:$C,"Serviços de Terceiros")</f>
        <v>0</v>
      </c>
      <c r="GV46" s="39">
        <f>SUMIFS(Lançamentos!$G:$G,Lançamentos!$A:$A,GV$19,Lançamentos!$C:$C,"Serviços de Terceiros")</f>
        <v>0</v>
      </c>
      <c r="GW46" s="39">
        <f>SUMIFS(Lançamentos!$G:$G,Lançamentos!$A:$A,GW$19,Lançamentos!$C:$C,"Serviços de Terceiros")</f>
        <v>0</v>
      </c>
      <c r="GX46" s="39">
        <f>SUMIFS(Lançamentos!$G:$G,Lançamentos!$A:$A,GX$19,Lançamentos!$C:$C,"Serviços de Terceiros")</f>
        <v>0</v>
      </c>
      <c r="GY46" s="39">
        <f>SUMIFS(Lançamentos!$G:$G,Lançamentos!$A:$A,GY$19,Lançamentos!$C:$C,"Serviços de Terceiros")</f>
        <v>0</v>
      </c>
      <c r="GZ46" s="39">
        <f>SUMIFS(Lançamentos!$G:$G,Lançamentos!$A:$A,GZ$19,Lançamentos!$C:$C,"Serviços de Terceiros")</f>
        <v>0</v>
      </c>
      <c r="HA46" s="39">
        <f>SUMIFS(Lançamentos!$G:$G,Lançamentos!$A:$A,HA$19,Lançamentos!$C:$C,"Serviços de Terceiros")</f>
        <v>0</v>
      </c>
      <c r="HB46" s="39">
        <f>SUMIFS(Lançamentos!$G:$G,Lançamentos!$A:$A,HB$19,Lançamentos!$C:$C,"Serviços de Terceiros")</f>
        <v>0</v>
      </c>
      <c r="HC46" s="39">
        <f>SUMIFS(Lançamentos!$G:$G,Lançamentos!$A:$A,HC$19,Lançamentos!$C:$C,"Serviços de Terceiros")</f>
        <v>0</v>
      </c>
      <c r="HD46" s="39">
        <f>SUMIFS(Lançamentos!$G:$G,Lançamentos!$A:$A,HD$19,Lançamentos!$C:$C,"Serviços de Terceiros")</f>
        <v>0</v>
      </c>
      <c r="HE46" s="39">
        <f>SUMIFS(Lançamentos!$G:$G,Lançamentos!$A:$A,HE$19,Lançamentos!$C:$C,"Serviços de Terceiros")</f>
        <v>0</v>
      </c>
      <c r="HF46" s="39">
        <f>SUMIFS(Lançamentos!$G:$G,Lançamentos!$A:$A,HF$19,Lançamentos!$C:$C,"Serviços de Terceiros")</f>
        <v>0</v>
      </c>
      <c r="HG46" s="39">
        <f>SUMIFS(Lançamentos!$G:$G,Lançamentos!$A:$A,HG$19,Lançamentos!$C:$C,"Serviços de Terceiros")</f>
        <v>0</v>
      </c>
      <c r="HH46" s="39">
        <f>SUMIFS(Lançamentos!$G:$G,Lançamentos!$A:$A,HH$19,Lançamentos!$C:$C,"Serviços de Terceiros")</f>
        <v>0</v>
      </c>
      <c r="HI46" s="39">
        <f>SUMIFS(Lançamentos!$G:$G,Lançamentos!$A:$A,HI$19,Lançamentos!$C:$C,"Serviços de Terceiros")</f>
        <v>0</v>
      </c>
      <c r="HJ46" s="39">
        <f>SUMIFS(Lançamentos!$G:$G,Lançamentos!$A:$A,HJ$19,Lançamentos!$C:$C,"Serviços de Terceiros")</f>
        <v>0</v>
      </c>
      <c r="HK46" s="39">
        <f>SUMIFS(Lançamentos!$G:$G,Lançamentos!$A:$A,HK$19,Lançamentos!$C:$C,"Serviços de Terceiros")</f>
        <v>0</v>
      </c>
      <c r="HL46" s="39">
        <f>SUMIFS(Lançamentos!$G:$G,Lançamentos!$A:$A,HL$19,Lançamentos!$C:$C,"Serviços de Terceiros")</f>
        <v>0</v>
      </c>
      <c r="HM46" s="39">
        <f>SUMIFS(Lançamentos!$G:$G,Lançamentos!$A:$A,HM$19,Lançamentos!$C:$C,"Serviços de Terceiros")</f>
        <v>0</v>
      </c>
      <c r="HN46" s="39">
        <f>SUMIFS(Lançamentos!$G:$G,Lançamentos!$A:$A,HN$19,Lançamentos!$C:$C,"Serviços de Terceiros")</f>
        <v>0</v>
      </c>
      <c r="HO46" s="39">
        <f>SUMIFS(Lançamentos!$G:$G,Lançamentos!$A:$A,HO$19,Lançamentos!$C:$C,"Serviços de Terceiros")</f>
        <v>0</v>
      </c>
      <c r="HP46" s="39">
        <f>SUMIFS(Lançamentos!$G:$G,Lançamentos!$A:$A,HP$19,Lançamentos!$C:$C,"Serviços de Terceiros")</f>
        <v>0</v>
      </c>
      <c r="HQ46" s="39">
        <f>SUMIFS(Lançamentos!$G:$G,Lançamentos!$A:$A,HQ$19,Lançamentos!$C:$C,"Serviços de Terceiros")</f>
        <v>0</v>
      </c>
      <c r="HR46" s="39">
        <f>SUMIFS(Lançamentos!$G:$G,Lançamentos!$A:$A,HR$19,Lançamentos!$C:$C,"Serviços de Terceiros")</f>
        <v>0</v>
      </c>
      <c r="HS46" s="39">
        <f>SUMIFS(Lançamentos!$G:$G,Lançamentos!$A:$A,HS$19,Lançamentos!$C:$C,"Serviços de Terceiros")</f>
        <v>0</v>
      </c>
      <c r="HT46" s="39">
        <f>SUMIFS(Lançamentos!$G:$G,Lançamentos!$A:$A,HT$19,Lançamentos!$C:$C,"Serviços de Terceiros")</f>
        <v>0</v>
      </c>
      <c r="HU46" s="39">
        <f>SUMIFS(Lançamentos!$G:$G,Lançamentos!$A:$A,HU$19,Lançamentos!$C:$C,"Serviços de Terceiros")</f>
        <v>0</v>
      </c>
      <c r="HV46" s="39">
        <f>SUMIFS(Lançamentos!$G:$G,Lançamentos!$A:$A,HV$19,Lançamentos!$C:$C,"Serviços de Terceiros")</f>
        <v>0</v>
      </c>
      <c r="HW46" s="39">
        <f>SUMIFS(Lançamentos!$G:$G,Lançamentos!$A:$A,HW$19,Lançamentos!$C:$C,"Serviços de Terceiros")</f>
        <v>0</v>
      </c>
      <c r="HX46" s="39">
        <f>SUMIFS(Lançamentos!$G:$G,Lançamentos!$A:$A,HX$19,Lançamentos!$C:$C,"Serviços de Terceiros")</f>
        <v>0</v>
      </c>
      <c r="HY46" s="39">
        <f>SUMIFS(Lançamentos!$G:$G,Lançamentos!$A:$A,HY$19,Lançamentos!$C:$C,"Serviços de Terceiros")</f>
        <v>0</v>
      </c>
      <c r="HZ46" s="39">
        <f>SUMIFS(Lançamentos!$G:$G,Lançamentos!$A:$A,HZ$19,Lançamentos!$C:$C,"Serviços de Terceiros")</f>
        <v>0</v>
      </c>
      <c r="IA46" s="39">
        <f>SUMIFS(Lançamentos!$G:$G,Lançamentos!$A:$A,IA$19,Lançamentos!$C:$C,"Serviços de Terceiros")</f>
        <v>0</v>
      </c>
      <c r="IB46" s="39">
        <f>SUMIFS(Lançamentos!$G:$G,Lançamentos!$A:$A,IB$19,Lançamentos!$C:$C,"Serviços de Terceiros")</f>
        <v>0</v>
      </c>
      <c r="IC46" s="39">
        <f>SUMIFS(Lançamentos!$G:$G,Lançamentos!$A:$A,IC$19,Lançamentos!$C:$C,"Serviços de Terceiros")</f>
        <v>0</v>
      </c>
      <c r="ID46" s="39">
        <f>SUMIFS(Lançamentos!$G:$G,Lançamentos!$A:$A,ID$19,Lançamentos!$C:$C,"Serviços de Terceiros")</f>
        <v>0</v>
      </c>
      <c r="IE46" s="39">
        <f>SUMIFS(Lançamentos!$G:$G,Lançamentos!$A:$A,IE$19,Lançamentos!$C:$C,"Serviços de Terceiros")</f>
        <v>0</v>
      </c>
      <c r="IF46" s="39">
        <f>SUMIFS(Lançamentos!$G:$G,Lançamentos!$A:$A,IF$19,Lançamentos!$C:$C,"Serviços de Terceiros")</f>
        <v>0</v>
      </c>
      <c r="IG46" s="39">
        <f>SUMIFS(Lançamentos!$G:$G,Lançamentos!$A:$A,IG$19,Lançamentos!$C:$C,"Serviços de Terceiros")</f>
        <v>0</v>
      </c>
      <c r="IH46" s="39">
        <f>SUMIFS(Lançamentos!$G:$G,Lançamentos!$A:$A,IH$19,Lançamentos!$C:$C,"Serviços de Terceiros")</f>
        <v>0</v>
      </c>
      <c r="II46" s="39">
        <f>SUMIFS(Lançamentos!$G:$G,Lançamentos!$A:$A,II$19,Lançamentos!$C:$C,"Serviços de Terceiros")</f>
        <v>0</v>
      </c>
      <c r="IJ46" s="39">
        <f>SUMIFS(Lançamentos!$G:$G,Lançamentos!$A:$A,IJ$19,Lançamentos!$C:$C,"Serviços de Terceiros")</f>
        <v>0</v>
      </c>
      <c r="IK46" s="39">
        <f>SUMIFS(Lançamentos!$G:$G,Lançamentos!$A:$A,IK$19,Lançamentos!$C:$C,"Serviços de Terceiros")</f>
        <v>0</v>
      </c>
      <c r="IL46" s="39">
        <f>SUMIFS(Lançamentos!$G:$G,Lançamentos!$A:$A,IL$19,Lançamentos!$C:$C,"Serviços de Terceiros")</f>
        <v>0</v>
      </c>
    </row>
    <row r="47" spans="1:246" x14ac:dyDescent="0.3">
      <c r="A47" t="s">
        <v>24</v>
      </c>
      <c r="B47" s="39">
        <f>SUMIFS(Lançamentos!$G:$G,Lançamentos!$A:$A,B$19,Lançamentos!$C:$C,"Juros e Tarifas Bancárias")</f>
        <v>0</v>
      </c>
      <c r="C47" s="39">
        <f>SUMIFS(Lançamentos!$G:$G,Lançamentos!$A:$A,C$19,Lançamentos!$C:$C,"Juros e Tarifas Bancárias")</f>
        <v>0</v>
      </c>
      <c r="D47" s="39">
        <f>SUMIFS(Lançamentos!$G:$G,Lançamentos!$A:$A,D$19,Lançamentos!$C:$C,"Juros e Tarifas Bancárias")</f>
        <v>0</v>
      </c>
      <c r="E47" s="39">
        <f>SUMIFS(Lançamentos!$G:$G,Lançamentos!$A:$A,E$19,Lançamentos!$C:$C,"Juros e Tarifas Bancárias")</f>
        <v>0</v>
      </c>
      <c r="F47" s="39">
        <f>SUMIFS(Lançamentos!$G:$G,Lançamentos!$A:$A,F$19,Lançamentos!$C:$C,"Juros e Tarifas Bancárias")</f>
        <v>0</v>
      </c>
      <c r="G47" s="39">
        <f>SUMIFS(Lançamentos!$G:$G,Lançamentos!$A:$A,G$19,Lançamentos!$C:$C,"Juros e Tarifas Bancárias")</f>
        <v>0</v>
      </c>
      <c r="H47" s="39">
        <f>SUMIFS(Lançamentos!$G:$G,Lançamentos!$A:$A,H$19,Lançamentos!$C:$C,"Juros e Tarifas Bancárias")</f>
        <v>0</v>
      </c>
      <c r="I47" s="39">
        <f>SUMIFS(Lançamentos!$G:$G,Lançamentos!$A:$A,I$19,Lançamentos!$C:$C,"Juros e Tarifas Bancárias")</f>
        <v>0</v>
      </c>
      <c r="J47" s="39">
        <f>SUMIFS(Lançamentos!$G:$G,Lançamentos!$A:$A,J$19,Lançamentos!$C:$C,"Juros e Tarifas Bancárias")</f>
        <v>0</v>
      </c>
      <c r="K47" s="39">
        <f>SUMIFS(Lançamentos!$G:$G,Lançamentos!$A:$A,K$19,Lançamentos!$C:$C,"Juros e Tarifas Bancárias")</f>
        <v>0</v>
      </c>
      <c r="L47" s="39">
        <f>SUMIFS(Lançamentos!$G:$G,Lançamentos!$A:$A,L$19,Lançamentos!$C:$C,"Juros e Tarifas Bancárias")</f>
        <v>0</v>
      </c>
      <c r="M47" s="39">
        <f>SUMIFS(Lançamentos!$G:$G,Lançamentos!$A:$A,M$19,Lançamentos!$C:$C,"Juros e Tarifas Bancárias")</f>
        <v>0</v>
      </c>
      <c r="N47" s="39">
        <f>SUMIFS(Lançamentos!$G:$G,Lançamentos!$A:$A,N$19,Lançamentos!$C:$C,"Juros e Tarifas Bancárias")</f>
        <v>0</v>
      </c>
      <c r="O47" s="39">
        <f>SUMIFS(Lançamentos!$G:$G,Lançamentos!$A:$A,O$19,Lançamentos!$C:$C,"Juros e Tarifas Bancárias")</f>
        <v>0</v>
      </c>
      <c r="P47" s="39">
        <f>SUMIFS(Lançamentos!$G:$G,Lançamentos!$A:$A,P$19,Lançamentos!$C:$C,"Juros e Tarifas Bancárias")</f>
        <v>0</v>
      </c>
      <c r="Q47" s="39">
        <f>SUMIFS(Lançamentos!$G:$G,Lançamentos!$A:$A,Q$19,Lançamentos!$C:$C,"Juros e Tarifas Bancárias")</f>
        <v>0</v>
      </c>
      <c r="R47" s="39">
        <f>SUMIFS(Lançamentos!$G:$G,Lançamentos!$A:$A,R$19,Lançamentos!$C:$C,"Juros e Tarifas Bancárias")</f>
        <v>0</v>
      </c>
      <c r="S47" s="39">
        <f>SUMIFS(Lançamentos!$G:$G,Lançamentos!$A:$A,S$19,Lançamentos!$C:$C,"Juros e Tarifas Bancárias")</f>
        <v>0</v>
      </c>
      <c r="T47" s="39">
        <f>SUMIFS(Lançamentos!$G:$G,Lançamentos!$A:$A,T$19,Lançamentos!$C:$C,"Juros e Tarifas Bancárias")</f>
        <v>0</v>
      </c>
      <c r="U47" s="39">
        <f>SUMIFS(Lançamentos!$G:$G,Lançamentos!$A:$A,U$19,Lançamentos!$C:$C,"Juros e Tarifas Bancárias")</f>
        <v>0</v>
      </c>
      <c r="V47" s="39">
        <f>SUMIFS(Lançamentos!$G:$G,Lançamentos!$A:$A,V$19,Lançamentos!$C:$C,"Juros e Tarifas Bancárias")</f>
        <v>0</v>
      </c>
      <c r="W47" s="39">
        <f>SUMIFS(Lançamentos!$G:$G,Lançamentos!$A:$A,W$19,Lançamentos!$C:$C,"Juros e Tarifas Bancárias")</f>
        <v>0</v>
      </c>
      <c r="X47" s="39">
        <f>SUMIFS(Lançamentos!$G:$G,Lançamentos!$A:$A,X$19,Lançamentos!$C:$C,"Juros e Tarifas Bancárias")</f>
        <v>0</v>
      </c>
      <c r="Y47" s="39">
        <f>SUMIFS(Lançamentos!$G:$G,Lançamentos!$A:$A,Y$19,Lançamentos!$C:$C,"Juros e Tarifas Bancárias")</f>
        <v>0</v>
      </c>
      <c r="Z47" s="39">
        <f>SUMIFS(Lançamentos!$G:$G,Lançamentos!$A:$A,Z$19,Lançamentos!$C:$C,"Juros e Tarifas Bancárias")</f>
        <v>0</v>
      </c>
      <c r="AA47" s="39">
        <f>SUMIFS(Lançamentos!$G:$G,Lançamentos!$A:$A,AA$19,Lançamentos!$C:$C,"Juros e Tarifas Bancárias")</f>
        <v>0</v>
      </c>
      <c r="AB47" s="39">
        <f>SUMIFS(Lançamentos!$G:$G,Lançamentos!$A:$A,AB$19,Lançamentos!$C:$C,"Juros e Tarifas Bancárias")</f>
        <v>0</v>
      </c>
      <c r="AC47" s="39">
        <f>SUMIFS(Lançamentos!$G:$G,Lançamentos!$A:$A,AC$19,Lançamentos!$C:$C,"Juros e Tarifas Bancárias")</f>
        <v>0</v>
      </c>
      <c r="AD47" s="39">
        <f>SUMIFS(Lançamentos!$G:$G,Lançamentos!$A:$A,AD$19,Lançamentos!$C:$C,"Juros e Tarifas Bancárias")</f>
        <v>0</v>
      </c>
      <c r="AE47" s="39">
        <f>SUMIFS(Lançamentos!$G:$G,Lançamentos!$A:$A,AE$19,Lançamentos!$C:$C,"Juros e Tarifas Bancárias")</f>
        <v>0</v>
      </c>
      <c r="AF47" s="39">
        <f>SUMIFS(Lançamentos!$G:$G,Lançamentos!$A:$A,AF$19,Lançamentos!$C:$C,"Juros e Tarifas Bancárias")</f>
        <v>0</v>
      </c>
      <c r="AG47" s="39">
        <f>SUMIFS(Lançamentos!$G:$G,Lançamentos!$A:$A,AG$19,Lançamentos!$C:$C,"Juros e Tarifas Bancárias")</f>
        <v>0</v>
      </c>
      <c r="AH47" s="39">
        <f>SUMIFS(Lançamentos!$G:$G,Lançamentos!$A:$A,AH$19,Lançamentos!$C:$C,"Juros e Tarifas Bancárias")</f>
        <v>0</v>
      </c>
      <c r="AI47" s="39">
        <f>SUMIFS(Lançamentos!$G:$G,Lançamentos!$A:$A,AI$19,Lançamentos!$C:$C,"Juros e Tarifas Bancárias")</f>
        <v>0</v>
      </c>
      <c r="AJ47" s="39">
        <f>SUMIFS(Lançamentos!$G:$G,Lançamentos!$A:$A,AJ$19,Lançamentos!$C:$C,"Juros e Tarifas Bancárias")</f>
        <v>0</v>
      </c>
      <c r="AK47" s="39">
        <f>SUMIFS(Lançamentos!$G:$G,Lançamentos!$A:$A,AK$19,Lançamentos!$C:$C,"Juros e Tarifas Bancárias")</f>
        <v>0</v>
      </c>
      <c r="AL47" s="39">
        <f>SUMIFS(Lançamentos!$G:$G,Lançamentos!$A:$A,AL$19,Lançamentos!$C:$C,"Juros e Tarifas Bancárias")</f>
        <v>0</v>
      </c>
      <c r="AM47" s="39">
        <f>SUMIFS(Lançamentos!$G:$G,Lançamentos!$A:$A,AM$19,Lançamentos!$C:$C,"Juros e Tarifas Bancárias")</f>
        <v>0</v>
      </c>
      <c r="AN47" s="39">
        <f>SUMIFS(Lançamentos!$G:$G,Lançamentos!$A:$A,AN$19,Lançamentos!$C:$C,"Juros e Tarifas Bancárias")</f>
        <v>0</v>
      </c>
      <c r="AO47" s="39">
        <f>SUMIFS(Lançamentos!$G:$G,Lançamentos!$A:$A,AO$19,Lançamentos!$C:$C,"Juros e Tarifas Bancárias")</f>
        <v>0</v>
      </c>
      <c r="AP47" s="39">
        <f>SUMIFS(Lançamentos!$G:$G,Lançamentos!$A:$A,AP$19,Lançamentos!$C:$C,"Juros e Tarifas Bancárias")</f>
        <v>0</v>
      </c>
      <c r="AQ47" s="39">
        <f>SUMIFS(Lançamentos!$G:$G,Lançamentos!$A:$A,AQ$19,Lançamentos!$C:$C,"Juros e Tarifas Bancárias")</f>
        <v>0</v>
      </c>
      <c r="AR47" s="39">
        <f>SUMIFS(Lançamentos!$G:$G,Lançamentos!$A:$A,AR$19,Lançamentos!$C:$C,"Juros e Tarifas Bancárias")</f>
        <v>0</v>
      </c>
      <c r="AS47" s="39">
        <f>SUMIFS(Lançamentos!$G:$G,Lançamentos!$A:$A,AS$19,Lançamentos!$C:$C,"Juros e Tarifas Bancárias")</f>
        <v>0</v>
      </c>
      <c r="AT47" s="39">
        <f>SUMIFS(Lançamentos!$G:$G,Lançamentos!$A:$A,AT$19,Lançamentos!$C:$C,"Juros e Tarifas Bancárias")</f>
        <v>0</v>
      </c>
      <c r="AU47" s="39">
        <f>SUMIFS(Lançamentos!$G:$G,Lançamentos!$A:$A,AU$19,Lançamentos!$C:$C,"Juros e Tarifas Bancárias")</f>
        <v>0</v>
      </c>
      <c r="AV47" s="39">
        <f>SUMIFS(Lançamentos!$G:$G,Lançamentos!$A:$A,AV$19,Lançamentos!$C:$C,"Juros e Tarifas Bancárias")</f>
        <v>0</v>
      </c>
      <c r="AW47" s="39">
        <f>SUMIFS(Lançamentos!$G:$G,Lançamentos!$A:$A,AW$19,Lançamentos!$C:$C,"Juros e Tarifas Bancárias")</f>
        <v>0</v>
      </c>
      <c r="AX47" s="39">
        <f>SUMIFS(Lançamentos!$G:$G,Lançamentos!$A:$A,AX$19,Lançamentos!$C:$C,"Juros e Tarifas Bancárias")</f>
        <v>0</v>
      </c>
      <c r="AY47" s="39">
        <f>SUMIFS(Lançamentos!$G:$G,Lançamentos!$A:$A,AY$19,Lançamentos!$C:$C,"Juros e Tarifas Bancárias")</f>
        <v>0</v>
      </c>
      <c r="AZ47" s="39">
        <f>SUMIFS(Lançamentos!$G:$G,Lançamentos!$A:$A,AZ$19,Lançamentos!$C:$C,"Juros e Tarifas Bancárias")</f>
        <v>0</v>
      </c>
      <c r="BA47" s="39">
        <f>SUMIFS(Lançamentos!$G:$G,Lançamentos!$A:$A,BA$19,Lançamentos!$C:$C,"Juros e Tarifas Bancárias")</f>
        <v>0</v>
      </c>
      <c r="BB47" s="39">
        <f>SUMIFS(Lançamentos!$G:$G,Lançamentos!$A:$A,BB$19,Lançamentos!$C:$C,"Juros e Tarifas Bancárias")</f>
        <v>0</v>
      </c>
      <c r="BC47" s="39">
        <f>SUMIFS(Lançamentos!$G:$G,Lançamentos!$A:$A,BC$19,Lançamentos!$C:$C,"Juros e Tarifas Bancárias")</f>
        <v>0</v>
      </c>
      <c r="BD47" s="39">
        <f>SUMIFS(Lançamentos!$G:$G,Lançamentos!$A:$A,BD$19,Lançamentos!$C:$C,"Juros e Tarifas Bancárias")</f>
        <v>0</v>
      </c>
      <c r="BE47" s="39">
        <f>SUMIFS(Lançamentos!$G:$G,Lançamentos!$A:$A,BE$19,Lançamentos!$C:$C,"Juros e Tarifas Bancárias")</f>
        <v>0</v>
      </c>
      <c r="BF47" s="39">
        <f>SUMIFS(Lançamentos!$G:$G,Lançamentos!$A:$A,BF$19,Lançamentos!$C:$C,"Juros e Tarifas Bancárias")</f>
        <v>0</v>
      </c>
      <c r="BG47" s="39">
        <f>SUMIFS(Lançamentos!$G:$G,Lançamentos!$A:$A,BG$19,Lançamentos!$C:$C,"Juros e Tarifas Bancárias")</f>
        <v>0</v>
      </c>
      <c r="BH47" s="39">
        <f>SUMIFS(Lançamentos!$G:$G,Lançamentos!$A:$A,BH$19,Lançamentos!$C:$C,"Juros e Tarifas Bancárias")</f>
        <v>0</v>
      </c>
      <c r="BI47" s="39">
        <f>SUMIFS(Lançamentos!$G:$G,Lançamentos!$A:$A,BI$19,Lançamentos!$C:$C,"Juros e Tarifas Bancárias")</f>
        <v>0</v>
      </c>
      <c r="BJ47" s="39">
        <f>SUMIFS(Lançamentos!$G:$G,Lançamentos!$A:$A,BJ$19,Lançamentos!$C:$C,"Juros e Tarifas Bancárias")</f>
        <v>0</v>
      </c>
      <c r="BK47" s="39">
        <f>SUMIFS(Lançamentos!$G:$G,Lançamentos!$A:$A,BK$19,Lançamentos!$C:$C,"Juros e Tarifas Bancárias")</f>
        <v>0</v>
      </c>
      <c r="BL47" s="39">
        <f>SUMIFS(Lançamentos!$G:$G,Lançamentos!$A:$A,BL$19,Lançamentos!$C:$C,"Juros e Tarifas Bancárias")</f>
        <v>0</v>
      </c>
      <c r="BM47" s="39">
        <f>SUMIFS(Lançamentos!$G:$G,Lançamentos!$A:$A,BM$19,Lançamentos!$C:$C,"Juros e Tarifas Bancárias")</f>
        <v>0</v>
      </c>
      <c r="BN47" s="39">
        <f>SUMIFS(Lançamentos!$G:$G,Lançamentos!$A:$A,BN$19,Lançamentos!$C:$C,"Juros e Tarifas Bancárias")</f>
        <v>0</v>
      </c>
      <c r="BO47" s="39">
        <f>SUMIFS(Lançamentos!$G:$G,Lançamentos!$A:$A,BO$19,Lançamentos!$C:$C,"Juros e Tarifas Bancárias")</f>
        <v>0</v>
      </c>
      <c r="BP47" s="39">
        <f>SUMIFS(Lançamentos!$G:$G,Lançamentos!$A:$A,BP$19,Lançamentos!$C:$C,"Juros e Tarifas Bancárias")</f>
        <v>0</v>
      </c>
      <c r="BQ47" s="39">
        <f>SUMIFS(Lançamentos!$G:$G,Lançamentos!$A:$A,BQ$19,Lançamentos!$C:$C,"Juros e Tarifas Bancárias")</f>
        <v>0</v>
      </c>
      <c r="BR47" s="39">
        <f>SUMIFS(Lançamentos!$G:$G,Lançamentos!$A:$A,BR$19,Lançamentos!$C:$C,"Juros e Tarifas Bancárias")</f>
        <v>0</v>
      </c>
      <c r="BS47" s="39">
        <f>SUMIFS(Lançamentos!$G:$G,Lançamentos!$A:$A,BS$19,Lançamentos!$C:$C,"Juros e Tarifas Bancárias")</f>
        <v>0</v>
      </c>
      <c r="BT47" s="39">
        <f>SUMIFS(Lançamentos!$G:$G,Lançamentos!$A:$A,BT$19,Lançamentos!$C:$C,"Juros e Tarifas Bancárias")</f>
        <v>0</v>
      </c>
      <c r="BU47" s="39">
        <f>SUMIFS(Lançamentos!$G:$G,Lançamentos!$A:$A,BU$19,Lançamentos!$C:$C,"Juros e Tarifas Bancárias")</f>
        <v>0</v>
      </c>
      <c r="BV47" s="39">
        <f>SUMIFS(Lançamentos!$G:$G,Lançamentos!$A:$A,BV$19,Lançamentos!$C:$C,"Juros e Tarifas Bancárias")</f>
        <v>0</v>
      </c>
      <c r="BW47" s="39">
        <f>SUMIFS(Lançamentos!$G:$G,Lançamentos!$A:$A,BW$19,Lançamentos!$C:$C,"Juros e Tarifas Bancárias")</f>
        <v>0</v>
      </c>
      <c r="BX47" s="39">
        <f>SUMIFS(Lançamentos!$G:$G,Lançamentos!$A:$A,BX$19,Lançamentos!$C:$C,"Juros e Tarifas Bancárias")</f>
        <v>0</v>
      </c>
      <c r="BY47" s="39">
        <f>SUMIFS(Lançamentos!$G:$G,Lançamentos!$A:$A,BY$19,Lançamentos!$C:$C,"Juros e Tarifas Bancárias")</f>
        <v>0</v>
      </c>
      <c r="BZ47" s="39">
        <f>SUMIFS(Lançamentos!$G:$G,Lançamentos!$A:$A,BZ$19,Lançamentos!$C:$C,"Juros e Tarifas Bancárias")</f>
        <v>0</v>
      </c>
      <c r="CA47" s="39">
        <f>SUMIFS(Lançamentos!$G:$G,Lançamentos!$A:$A,CA$19,Lançamentos!$C:$C,"Juros e Tarifas Bancárias")</f>
        <v>0</v>
      </c>
      <c r="CB47" s="39">
        <f>SUMIFS(Lançamentos!$G:$G,Lançamentos!$A:$A,CB$19,Lançamentos!$C:$C,"Juros e Tarifas Bancárias")</f>
        <v>0</v>
      </c>
      <c r="CC47" s="39">
        <f>SUMIFS(Lançamentos!$G:$G,Lançamentos!$A:$A,CC$19,Lançamentos!$C:$C,"Juros e Tarifas Bancárias")</f>
        <v>0</v>
      </c>
      <c r="CD47" s="39">
        <f>SUMIFS(Lançamentos!$G:$G,Lançamentos!$A:$A,CD$19,Lançamentos!$C:$C,"Juros e Tarifas Bancárias")</f>
        <v>0</v>
      </c>
      <c r="CE47" s="39">
        <f>SUMIFS(Lançamentos!$G:$G,Lançamentos!$A:$A,CE$19,Lançamentos!$C:$C,"Juros e Tarifas Bancárias")</f>
        <v>0</v>
      </c>
      <c r="CF47" s="39">
        <f>SUMIFS(Lançamentos!$G:$G,Lançamentos!$A:$A,CF$19,Lançamentos!$C:$C,"Juros e Tarifas Bancárias")</f>
        <v>0</v>
      </c>
      <c r="CG47" s="39">
        <f>SUMIFS(Lançamentos!$G:$G,Lançamentos!$A:$A,CG$19,Lançamentos!$C:$C,"Juros e Tarifas Bancárias")</f>
        <v>0</v>
      </c>
      <c r="CH47" s="39">
        <f>SUMIFS(Lançamentos!$G:$G,Lançamentos!$A:$A,CH$19,Lançamentos!$C:$C,"Juros e Tarifas Bancárias")</f>
        <v>0</v>
      </c>
      <c r="CI47" s="39">
        <f>SUMIFS(Lançamentos!$G:$G,Lançamentos!$A:$A,CI$19,Lançamentos!$C:$C,"Juros e Tarifas Bancárias")</f>
        <v>0</v>
      </c>
      <c r="CJ47" s="39">
        <f>SUMIFS(Lançamentos!$G:$G,Lançamentos!$A:$A,CJ$19,Lançamentos!$C:$C,"Juros e Tarifas Bancárias")</f>
        <v>0</v>
      </c>
      <c r="CK47" s="39">
        <f>SUMIFS(Lançamentos!$G:$G,Lançamentos!$A:$A,CK$19,Lançamentos!$C:$C,"Juros e Tarifas Bancárias")</f>
        <v>0</v>
      </c>
      <c r="CL47" s="39">
        <f>SUMIFS(Lançamentos!$G:$G,Lançamentos!$A:$A,CL$19,Lançamentos!$C:$C,"Juros e Tarifas Bancárias")</f>
        <v>0</v>
      </c>
      <c r="CM47" s="39">
        <f>SUMIFS(Lançamentos!$G:$G,Lançamentos!$A:$A,CM$19,Lançamentos!$C:$C,"Juros e Tarifas Bancárias")</f>
        <v>0</v>
      </c>
      <c r="CN47" s="39">
        <f>SUMIFS(Lançamentos!$G:$G,Lançamentos!$A:$A,CN$19,Lançamentos!$C:$C,"Juros e Tarifas Bancárias")</f>
        <v>0</v>
      </c>
      <c r="CO47" s="39">
        <f>SUMIFS(Lançamentos!$G:$G,Lançamentos!$A:$A,CO$19,Lançamentos!$C:$C,"Juros e Tarifas Bancárias")</f>
        <v>0</v>
      </c>
      <c r="CP47" s="39">
        <f>SUMIFS(Lançamentos!$G:$G,Lançamentos!$A:$A,CP$19,Lançamentos!$C:$C,"Juros e Tarifas Bancárias")</f>
        <v>0</v>
      </c>
      <c r="CQ47" s="39">
        <f>SUMIFS(Lançamentos!$G:$G,Lançamentos!$A:$A,CQ$19,Lançamentos!$C:$C,"Juros e Tarifas Bancárias")</f>
        <v>0</v>
      </c>
      <c r="CR47" s="39">
        <f>SUMIFS(Lançamentos!$G:$G,Lançamentos!$A:$A,CR$19,Lançamentos!$C:$C,"Juros e Tarifas Bancárias")</f>
        <v>0</v>
      </c>
      <c r="CS47" s="39">
        <f>SUMIFS(Lançamentos!$G:$G,Lançamentos!$A:$A,CS$19,Lançamentos!$C:$C,"Juros e Tarifas Bancárias")</f>
        <v>0</v>
      </c>
      <c r="CT47" s="39">
        <f>SUMIFS(Lançamentos!$G:$G,Lançamentos!$A:$A,CT$19,Lançamentos!$C:$C,"Juros e Tarifas Bancárias")</f>
        <v>0</v>
      </c>
      <c r="CU47" s="39">
        <f>SUMIFS(Lançamentos!$G:$G,Lançamentos!$A:$A,CU$19,Lançamentos!$C:$C,"Juros e Tarifas Bancárias")</f>
        <v>0</v>
      </c>
      <c r="CV47" s="39">
        <f>SUMIFS(Lançamentos!$G:$G,Lançamentos!$A:$A,CV$19,Lançamentos!$C:$C,"Juros e Tarifas Bancárias")</f>
        <v>0</v>
      </c>
      <c r="CW47" s="39">
        <f>SUMIFS(Lançamentos!$G:$G,Lançamentos!$A:$A,CW$19,Lançamentos!$C:$C,"Juros e Tarifas Bancárias")</f>
        <v>0</v>
      </c>
      <c r="CX47" s="39">
        <f>SUMIFS(Lançamentos!$G:$G,Lançamentos!$A:$A,CX$19,Lançamentos!$C:$C,"Juros e Tarifas Bancárias")</f>
        <v>0</v>
      </c>
      <c r="CY47" s="39">
        <f>SUMIFS(Lançamentos!$G:$G,Lançamentos!$A:$A,CY$19,Lançamentos!$C:$C,"Juros e Tarifas Bancárias")</f>
        <v>0</v>
      </c>
      <c r="CZ47" s="39">
        <f>SUMIFS(Lançamentos!$G:$G,Lançamentos!$A:$A,CZ$19,Lançamentos!$C:$C,"Juros e Tarifas Bancárias")</f>
        <v>0</v>
      </c>
      <c r="DA47" s="39">
        <f>SUMIFS(Lançamentos!$G:$G,Lançamentos!$A:$A,DA$19,Lançamentos!$C:$C,"Juros e Tarifas Bancárias")</f>
        <v>0</v>
      </c>
      <c r="DB47" s="39">
        <f>SUMIFS(Lançamentos!$G:$G,Lançamentos!$A:$A,DB$19,Lançamentos!$C:$C,"Juros e Tarifas Bancárias")</f>
        <v>0</v>
      </c>
      <c r="DC47" s="39">
        <f>SUMIFS(Lançamentos!$G:$G,Lançamentos!$A:$A,DC$19,Lançamentos!$C:$C,"Juros e Tarifas Bancárias")</f>
        <v>0</v>
      </c>
      <c r="DD47" s="39">
        <f>SUMIFS(Lançamentos!$G:$G,Lançamentos!$A:$A,DD$19,Lançamentos!$C:$C,"Juros e Tarifas Bancárias")</f>
        <v>0</v>
      </c>
      <c r="DE47" s="39">
        <f>SUMIFS(Lançamentos!$G:$G,Lançamentos!$A:$A,DE$19,Lançamentos!$C:$C,"Juros e Tarifas Bancárias")</f>
        <v>0</v>
      </c>
      <c r="DF47" s="39">
        <f>SUMIFS(Lançamentos!$G:$G,Lançamentos!$A:$A,DF$19,Lançamentos!$C:$C,"Juros e Tarifas Bancárias")</f>
        <v>0</v>
      </c>
      <c r="DG47" s="39">
        <f>SUMIFS(Lançamentos!$G:$G,Lançamentos!$A:$A,DG$19,Lançamentos!$C:$C,"Juros e Tarifas Bancárias")</f>
        <v>0</v>
      </c>
      <c r="DH47" s="39">
        <f>SUMIFS(Lançamentos!$G:$G,Lançamentos!$A:$A,DH$19,Lançamentos!$C:$C,"Juros e Tarifas Bancárias")</f>
        <v>0</v>
      </c>
      <c r="DI47" s="39">
        <f>SUMIFS(Lançamentos!$G:$G,Lançamentos!$A:$A,DI$19,Lançamentos!$C:$C,"Juros e Tarifas Bancárias")</f>
        <v>0</v>
      </c>
      <c r="DJ47" s="39">
        <f>SUMIFS(Lançamentos!$G:$G,Lançamentos!$A:$A,DJ$19,Lançamentos!$C:$C,"Juros e Tarifas Bancárias")</f>
        <v>0</v>
      </c>
      <c r="DK47" s="39">
        <f>SUMIFS(Lançamentos!$G:$G,Lançamentos!$A:$A,DK$19,Lançamentos!$C:$C,"Juros e Tarifas Bancárias")</f>
        <v>0</v>
      </c>
      <c r="DL47" s="39">
        <f>SUMIFS(Lançamentos!$G:$G,Lançamentos!$A:$A,DL$19,Lançamentos!$C:$C,"Juros e Tarifas Bancárias")</f>
        <v>0</v>
      </c>
      <c r="DM47" s="39">
        <f>SUMIFS(Lançamentos!$G:$G,Lançamentos!$A:$A,DM$19,Lançamentos!$C:$C,"Juros e Tarifas Bancárias")</f>
        <v>0</v>
      </c>
      <c r="DN47" s="39">
        <f>SUMIFS(Lançamentos!$G:$G,Lançamentos!$A:$A,DN$19,Lançamentos!$C:$C,"Juros e Tarifas Bancárias")</f>
        <v>0</v>
      </c>
      <c r="DO47" s="39">
        <f>SUMIFS(Lançamentos!$G:$G,Lançamentos!$A:$A,DO$19,Lançamentos!$C:$C,"Juros e Tarifas Bancárias")</f>
        <v>0</v>
      </c>
      <c r="DP47" s="39">
        <f>SUMIFS(Lançamentos!$G:$G,Lançamentos!$A:$A,DP$19,Lançamentos!$C:$C,"Juros e Tarifas Bancárias")</f>
        <v>0</v>
      </c>
      <c r="DQ47" s="39">
        <f>SUMIFS(Lançamentos!$G:$G,Lançamentos!$A:$A,DQ$19,Lançamentos!$C:$C,"Juros e Tarifas Bancárias")</f>
        <v>0</v>
      </c>
      <c r="DR47" s="39">
        <f>SUMIFS(Lançamentos!$G:$G,Lançamentos!$A:$A,DR$19,Lançamentos!$C:$C,"Juros e Tarifas Bancárias")</f>
        <v>0</v>
      </c>
      <c r="DS47" s="39">
        <f>SUMIFS(Lançamentos!$G:$G,Lançamentos!$A:$A,DS$19,Lançamentos!$C:$C,"Juros e Tarifas Bancárias")</f>
        <v>0</v>
      </c>
      <c r="DT47" s="39">
        <f>SUMIFS(Lançamentos!$G:$G,Lançamentos!$A:$A,DT$19,Lançamentos!$C:$C,"Juros e Tarifas Bancárias")</f>
        <v>0</v>
      </c>
      <c r="DU47" s="39">
        <f>SUMIFS(Lançamentos!$G:$G,Lançamentos!$A:$A,DU$19,Lançamentos!$C:$C,"Juros e Tarifas Bancárias")</f>
        <v>0</v>
      </c>
      <c r="DV47" s="39">
        <f>SUMIFS(Lançamentos!$G:$G,Lançamentos!$A:$A,DV$19,Lançamentos!$C:$C,"Juros e Tarifas Bancárias")</f>
        <v>0</v>
      </c>
      <c r="DW47" s="39">
        <f>SUMIFS(Lançamentos!$G:$G,Lançamentos!$A:$A,DW$19,Lançamentos!$C:$C,"Juros e Tarifas Bancárias")</f>
        <v>0</v>
      </c>
      <c r="DX47" s="39">
        <f>SUMIFS(Lançamentos!$G:$G,Lançamentos!$A:$A,DX$19,Lançamentos!$C:$C,"Juros e Tarifas Bancárias")</f>
        <v>0</v>
      </c>
      <c r="DY47" s="39">
        <f>SUMIFS(Lançamentos!$G:$G,Lançamentos!$A:$A,DY$19,Lançamentos!$C:$C,"Juros e Tarifas Bancárias")</f>
        <v>0</v>
      </c>
      <c r="DZ47" s="39">
        <f>SUMIFS(Lançamentos!$G:$G,Lançamentos!$A:$A,DZ$19,Lançamentos!$C:$C,"Juros e Tarifas Bancárias")</f>
        <v>0</v>
      </c>
      <c r="EA47" s="39">
        <f>SUMIFS(Lançamentos!$G:$G,Lançamentos!$A:$A,EA$19,Lançamentos!$C:$C,"Juros e Tarifas Bancárias")</f>
        <v>0</v>
      </c>
      <c r="EB47" s="39">
        <f>SUMIFS(Lançamentos!$G:$G,Lançamentos!$A:$A,EB$19,Lançamentos!$C:$C,"Juros e Tarifas Bancárias")</f>
        <v>0</v>
      </c>
      <c r="EC47" s="39">
        <f>SUMIFS(Lançamentos!$G:$G,Lançamentos!$A:$A,EC$19,Lançamentos!$C:$C,"Juros e Tarifas Bancárias")</f>
        <v>0</v>
      </c>
      <c r="ED47" s="39">
        <f>SUMIFS(Lançamentos!$G:$G,Lançamentos!$A:$A,ED$19,Lançamentos!$C:$C,"Juros e Tarifas Bancárias")</f>
        <v>0</v>
      </c>
      <c r="EE47" s="39">
        <f>SUMIFS(Lançamentos!$G:$G,Lançamentos!$A:$A,EE$19,Lançamentos!$C:$C,"Juros e Tarifas Bancárias")</f>
        <v>0</v>
      </c>
      <c r="EF47" s="39">
        <f>SUMIFS(Lançamentos!$G:$G,Lançamentos!$A:$A,EF$19,Lançamentos!$C:$C,"Juros e Tarifas Bancárias")</f>
        <v>0</v>
      </c>
      <c r="EG47" s="39">
        <f>SUMIFS(Lançamentos!$G:$G,Lançamentos!$A:$A,EG$19,Lançamentos!$C:$C,"Juros e Tarifas Bancárias")</f>
        <v>0</v>
      </c>
      <c r="EH47" s="39">
        <f>SUMIFS(Lançamentos!$G:$G,Lançamentos!$A:$A,EH$19,Lançamentos!$C:$C,"Juros e Tarifas Bancárias")</f>
        <v>0</v>
      </c>
      <c r="EI47" s="39">
        <f>SUMIFS(Lançamentos!$G:$G,Lançamentos!$A:$A,EI$19,Lançamentos!$C:$C,"Juros e Tarifas Bancárias")</f>
        <v>0</v>
      </c>
      <c r="EJ47" s="39">
        <f>SUMIFS(Lançamentos!$G:$G,Lançamentos!$A:$A,EJ$19,Lançamentos!$C:$C,"Juros e Tarifas Bancárias")</f>
        <v>0</v>
      </c>
      <c r="EK47" s="39">
        <f>SUMIFS(Lançamentos!$G:$G,Lançamentos!$A:$A,EK$19,Lançamentos!$C:$C,"Juros e Tarifas Bancárias")</f>
        <v>0</v>
      </c>
      <c r="EL47" s="39">
        <f>SUMIFS(Lançamentos!$G:$G,Lançamentos!$A:$A,EL$19,Lançamentos!$C:$C,"Juros e Tarifas Bancárias")</f>
        <v>0</v>
      </c>
      <c r="EM47" s="39">
        <f>SUMIFS(Lançamentos!$G:$G,Lançamentos!$A:$A,EM$19,Lançamentos!$C:$C,"Juros e Tarifas Bancárias")</f>
        <v>0</v>
      </c>
      <c r="EN47" s="39">
        <f>SUMIFS(Lançamentos!$G:$G,Lançamentos!$A:$A,EN$19,Lançamentos!$C:$C,"Juros e Tarifas Bancárias")</f>
        <v>0</v>
      </c>
      <c r="EO47" s="39">
        <f>SUMIFS(Lançamentos!$G:$G,Lançamentos!$A:$A,EO$19,Lançamentos!$C:$C,"Juros e Tarifas Bancárias")</f>
        <v>0</v>
      </c>
      <c r="EP47" s="39">
        <f>SUMIFS(Lançamentos!$G:$G,Lançamentos!$A:$A,EP$19,Lançamentos!$C:$C,"Juros e Tarifas Bancárias")</f>
        <v>0</v>
      </c>
      <c r="EQ47" s="39">
        <f>SUMIFS(Lançamentos!$G:$G,Lançamentos!$A:$A,EQ$19,Lançamentos!$C:$C,"Juros e Tarifas Bancárias")</f>
        <v>0</v>
      </c>
      <c r="ER47" s="39">
        <f>SUMIFS(Lançamentos!$G:$G,Lançamentos!$A:$A,ER$19,Lançamentos!$C:$C,"Juros e Tarifas Bancárias")</f>
        <v>0</v>
      </c>
      <c r="ES47" s="39">
        <f>SUMIFS(Lançamentos!$G:$G,Lançamentos!$A:$A,ES$19,Lançamentos!$C:$C,"Juros e Tarifas Bancárias")</f>
        <v>0</v>
      </c>
      <c r="ET47" s="39">
        <f>SUMIFS(Lançamentos!$G:$G,Lançamentos!$A:$A,ET$19,Lançamentos!$C:$C,"Juros e Tarifas Bancárias")</f>
        <v>0</v>
      </c>
      <c r="EU47" s="39">
        <f>SUMIFS(Lançamentos!$G:$G,Lançamentos!$A:$A,EU$19,Lançamentos!$C:$C,"Juros e Tarifas Bancárias")</f>
        <v>0</v>
      </c>
      <c r="EV47" s="39">
        <f>SUMIFS(Lançamentos!$G:$G,Lançamentos!$A:$A,EV$19,Lançamentos!$C:$C,"Juros e Tarifas Bancárias")</f>
        <v>0</v>
      </c>
      <c r="EW47" s="39">
        <f>SUMIFS(Lançamentos!$G:$G,Lançamentos!$A:$A,EW$19,Lançamentos!$C:$C,"Juros e Tarifas Bancárias")</f>
        <v>0</v>
      </c>
      <c r="EX47" s="39">
        <f>SUMIFS(Lançamentos!$G:$G,Lançamentos!$A:$A,EX$19,Lançamentos!$C:$C,"Juros e Tarifas Bancárias")</f>
        <v>0</v>
      </c>
      <c r="EY47" s="39">
        <f>SUMIFS(Lançamentos!$G:$G,Lançamentos!$A:$A,EY$19,Lançamentos!$C:$C,"Juros e Tarifas Bancárias")</f>
        <v>0</v>
      </c>
      <c r="EZ47" s="39">
        <f>SUMIFS(Lançamentos!$G:$G,Lançamentos!$A:$A,EZ$19,Lançamentos!$C:$C,"Juros e Tarifas Bancárias")</f>
        <v>0</v>
      </c>
      <c r="FA47" s="39">
        <f>SUMIFS(Lançamentos!$G:$G,Lançamentos!$A:$A,FA$19,Lançamentos!$C:$C,"Juros e Tarifas Bancárias")</f>
        <v>0</v>
      </c>
      <c r="FB47" s="39">
        <f>SUMIFS(Lançamentos!$G:$G,Lançamentos!$A:$A,FB$19,Lançamentos!$C:$C,"Juros e Tarifas Bancárias")</f>
        <v>0</v>
      </c>
      <c r="FC47" s="39">
        <f>SUMIFS(Lançamentos!$G:$G,Lançamentos!$A:$A,FC$19,Lançamentos!$C:$C,"Juros e Tarifas Bancárias")</f>
        <v>0</v>
      </c>
      <c r="FD47" s="39">
        <f>SUMIFS(Lançamentos!$G:$G,Lançamentos!$A:$A,FD$19,Lançamentos!$C:$C,"Juros e Tarifas Bancárias")</f>
        <v>0</v>
      </c>
      <c r="FE47" s="39">
        <f>SUMIFS(Lançamentos!$G:$G,Lançamentos!$A:$A,FE$19,Lançamentos!$C:$C,"Juros e Tarifas Bancárias")</f>
        <v>0</v>
      </c>
      <c r="FF47" s="39">
        <f>SUMIFS(Lançamentos!$G:$G,Lançamentos!$A:$A,FF$19,Lançamentos!$C:$C,"Juros e Tarifas Bancárias")</f>
        <v>0</v>
      </c>
      <c r="FG47" s="39">
        <f>SUMIFS(Lançamentos!$G:$G,Lançamentos!$A:$A,FG$19,Lançamentos!$C:$C,"Juros e Tarifas Bancárias")</f>
        <v>0</v>
      </c>
      <c r="FH47" s="39">
        <f>SUMIFS(Lançamentos!$G:$G,Lançamentos!$A:$A,FH$19,Lançamentos!$C:$C,"Juros e Tarifas Bancárias")</f>
        <v>0</v>
      </c>
      <c r="FI47" s="39">
        <f>SUMIFS(Lançamentos!$G:$G,Lançamentos!$A:$A,FI$19,Lançamentos!$C:$C,"Juros e Tarifas Bancárias")</f>
        <v>0</v>
      </c>
      <c r="FJ47" s="39">
        <f>SUMIFS(Lançamentos!$G:$G,Lançamentos!$A:$A,FJ$19,Lançamentos!$C:$C,"Juros e Tarifas Bancárias")</f>
        <v>0</v>
      </c>
      <c r="FK47" s="39">
        <f>SUMIFS(Lançamentos!$G:$G,Lançamentos!$A:$A,FK$19,Lançamentos!$C:$C,"Juros e Tarifas Bancárias")</f>
        <v>0</v>
      </c>
      <c r="FL47" s="39">
        <f>SUMIFS(Lançamentos!$G:$G,Lançamentos!$A:$A,FL$19,Lançamentos!$C:$C,"Juros e Tarifas Bancárias")</f>
        <v>0</v>
      </c>
      <c r="FM47" s="39">
        <f>SUMIFS(Lançamentos!$G:$G,Lançamentos!$A:$A,FM$19,Lançamentos!$C:$C,"Juros e Tarifas Bancárias")</f>
        <v>0</v>
      </c>
      <c r="FN47" s="39">
        <f>SUMIFS(Lançamentos!$G:$G,Lançamentos!$A:$A,FN$19,Lançamentos!$C:$C,"Juros e Tarifas Bancárias")</f>
        <v>0</v>
      </c>
      <c r="FO47" s="39">
        <f>SUMIFS(Lançamentos!$G:$G,Lançamentos!$A:$A,FO$19,Lançamentos!$C:$C,"Juros e Tarifas Bancárias")</f>
        <v>0</v>
      </c>
      <c r="FP47" s="39">
        <f>SUMIFS(Lançamentos!$G:$G,Lançamentos!$A:$A,FP$19,Lançamentos!$C:$C,"Juros e Tarifas Bancárias")</f>
        <v>0</v>
      </c>
      <c r="FQ47" s="39">
        <f>SUMIFS(Lançamentos!$G:$G,Lançamentos!$A:$A,FQ$19,Lançamentos!$C:$C,"Juros e Tarifas Bancárias")</f>
        <v>0</v>
      </c>
      <c r="FR47" s="39">
        <f>SUMIFS(Lançamentos!$G:$G,Lançamentos!$A:$A,FR$19,Lançamentos!$C:$C,"Juros e Tarifas Bancárias")</f>
        <v>0</v>
      </c>
      <c r="FS47" s="39">
        <f>SUMIFS(Lançamentos!$G:$G,Lançamentos!$A:$A,FS$19,Lançamentos!$C:$C,"Juros e Tarifas Bancárias")</f>
        <v>0</v>
      </c>
      <c r="FT47" s="39">
        <f>SUMIFS(Lançamentos!$G:$G,Lançamentos!$A:$A,FT$19,Lançamentos!$C:$C,"Juros e Tarifas Bancárias")</f>
        <v>0</v>
      </c>
      <c r="FU47" s="39">
        <f>SUMIFS(Lançamentos!$G:$G,Lançamentos!$A:$A,FU$19,Lançamentos!$C:$C,"Juros e Tarifas Bancárias")</f>
        <v>0</v>
      </c>
      <c r="FV47" s="39">
        <f>SUMIFS(Lançamentos!$G:$G,Lançamentos!$A:$A,FV$19,Lançamentos!$C:$C,"Juros e Tarifas Bancárias")</f>
        <v>0</v>
      </c>
      <c r="FW47" s="39">
        <f>SUMIFS(Lançamentos!$G:$G,Lançamentos!$A:$A,FW$19,Lançamentos!$C:$C,"Juros e Tarifas Bancárias")</f>
        <v>0</v>
      </c>
      <c r="FX47" s="39">
        <f>SUMIFS(Lançamentos!$G:$G,Lançamentos!$A:$A,FX$19,Lançamentos!$C:$C,"Juros e Tarifas Bancárias")</f>
        <v>0</v>
      </c>
      <c r="FY47" s="39">
        <f>SUMIFS(Lançamentos!$G:$G,Lançamentos!$A:$A,FY$19,Lançamentos!$C:$C,"Juros e Tarifas Bancárias")</f>
        <v>0</v>
      </c>
      <c r="FZ47" s="39">
        <f>SUMIFS(Lançamentos!$G:$G,Lançamentos!$A:$A,FZ$19,Lançamentos!$C:$C,"Juros e Tarifas Bancárias")</f>
        <v>0</v>
      </c>
      <c r="GA47" s="39">
        <f>SUMIFS(Lançamentos!$G:$G,Lançamentos!$A:$A,GA$19,Lançamentos!$C:$C,"Juros e Tarifas Bancárias")</f>
        <v>0</v>
      </c>
      <c r="GB47" s="39">
        <f>SUMIFS(Lançamentos!$G:$G,Lançamentos!$A:$A,GB$19,Lançamentos!$C:$C,"Juros e Tarifas Bancárias")</f>
        <v>0</v>
      </c>
      <c r="GC47" s="39">
        <f>SUMIFS(Lançamentos!$G:$G,Lançamentos!$A:$A,GC$19,Lançamentos!$C:$C,"Juros e Tarifas Bancárias")</f>
        <v>0</v>
      </c>
      <c r="GD47" s="39">
        <f>SUMIFS(Lançamentos!$G:$G,Lançamentos!$A:$A,GD$19,Lançamentos!$C:$C,"Juros e Tarifas Bancárias")</f>
        <v>0</v>
      </c>
      <c r="GE47" s="39">
        <f>SUMIFS(Lançamentos!$G:$G,Lançamentos!$A:$A,GE$19,Lançamentos!$C:$C,"Juros e Tarifas Bancárias")</f>
        <v>0</v>
      </c>
      <c r="GF47" s="39">
        <f>SUMIFS(Lançamentos!$G:$G,Lançamentos!$A:$A,GF$19,Lançamentos!$C:$C,"Juros e Tarifas Bancárias")</f>
        <v>0</v>
      </c>
      <c r="GG47" s="39">
        <f>SUMIFS(Lançamentos!$G:$G,Lançamentos!$A:$A,GG$19,Lançamentos!$C:$C,"Juros e Tarifas Bancárias")</f>
        <v>0</v>
      </c>
      <c r="GH47" s="39">
        <f>SUMIFS(Lançamentos!$G:$G,Lançamentos!$A:$A,GH$19,Lançamentos!$C:$C,"Juros e Tarifas Bancárias")</f>
        <v>0</v>
      </c>
      <c r="GI47" s="39">
        <f>SUMIFS(Lançamentos!$G:$G,Lançamentos!$A:$A,GI$19,Lançamentos!$C:$C,"Juros e Tarifas Bancárias")</f>
        <v>0</v>
      </c>
      <c r="GJ47" s="39">
        <f>SUMIFS(Lançamentos!$G:$G,Lançamentos!$A:$A,GJ$19,Lançamentos!$C:$C,"Juros e Tarifas Bancárias")</f>
        <v>0</v>
      </c>
      <c r="GK47" s="39">
        <f>SUMIFS(Lançamentos!$G:$G,Lançamentos!$A:$A,GK$19,Lançamentos!$C:$C,"Juros e Tarifas Bancárias")</f>
        <v>0</v>
      </c>
      <c r="GL47" s="39">
        <f>SUMIFS(Lançamentos!$G:$G,Lançamentos!$A:$A,GL$19,Lançamentos!$C:$C,"Juros e Tarifas Bancárias")</f>
        <v>0</v>
      </c>
      <c r="GM47" s="39">
        <f>SUMIFS(Lançamentos!$G:$G,Lançamentos!$A:$A,GM$19,Lançamentos!$C:$C,"Juros e Tarifas Bancárias")</f>
        <v>0</v>
      </c>
      <c r="GN47" s="39">
        <f>SUMIFS(Lançamentos!$G:$G,Lançamentos!$A:$A,GN$19,Lançamentos!$C:$C,"Juros e Tarifas Bancárias")</f>
        <v>0</v>
      </c>
      <c r="GO47" s="39">
        <f>SUMIFS(Lançamentos!$G:$G,Lançamentos!$A:$A,GO$19,Lançamentos!$C:$C,"Juros e Tarifas Bancárias")</f>
        <v>0</v>
      </c>
      <c r="GP47" s="39">
        <f>SUMIFS(Lançamentos!$G:$G,Lançamentos!$A:$A,GP$19,Lançamentos!$C:$C,"Juros e Tarifas Bancárias")</f>
        <v>0</v>
      </c>
      <c r="GQ47" s="39">
        <f>SUMIFS(Lançamentos!$G:$G,Lançamentos!$A:$A,GQ$19,Lançamentos!$C:$C,"Juros e Tarifas Bancárias")</f>
        <v>0</v>
      </c>
      <c r="GR47" s="39">
        <f>SUMIFS(Lançamentos!$G:$G,Lançamentos!$A:$A,GR$19,Lançamentos!$C:$C,"Juros e Tarifas Bancárias")</f>
        <v>0</v>
      </c>
      <c r="GS47" s="39">
        <f>SUMIFS(Lançamentos!$G:$G,Lançamentos!$A:$A,GS$19,Lançamentos!$C:$C,"Juros e Tarifas Bancárias")</f>
        <v>0</v>
      </c>
      <c r="GT47" s="39">
        <f>SUMIFS(Lançamentos!$G:$G,Lançamentos!$A:$A,GT$19,Lançamentos!$C:$C,"Juros e Tarifas Bancárias")</f>
        <v>0</v>
      </c>
      <c r="GU47" s="39">
        <f>SUMIFS(Lançamentos!$G:$G,Lançamentos!$A:$A,GU$19,Lançamentos!$C:$C,"Juros e Tarifas Bancárias")</f>
        <v>0</v>
      </c>
      <c r="GV47" s="39">
        <f>SUMIFS(Lançamentos!$G:$G,Lançamentos!$A:$A,GV$19,Lançamentos!$C:$C,"Juros e Tarifas Bancárias")</f>
        <v>0</v>
      </c>
      <c r="GW47" s="39">
        <f>SUMIFS(Lançamentos!$G:$G,Lançamentos!$A:$A,GW$19,Lançamentos!$C:$C,"Juros e Tarifas Bancárias")</f>
        <v>0</v>
      </c>
      <c r="GX47" s="39">
        <f>SUMIFS(Lançamentos!$G:$G,Lançamentos!$A:$A,GX$19,Lançamentos!$C:$C,"Juros e Tarifas Bancárias")</f>
        <v>0</v>
      </c>
      <c r="GY47" s="39">
        <f>SUMIFS(Lançamentos!$G:$G,Lançamentos!$A:$A,GY$19,Lançamentos!$C:$C,"Juros e Tarifas Bancárias")</f>
        <v>0</v>
      </c>
      <c r="GZ47" s="39">
        <f>SUMIFS(Lançamentos!$G:$G,Lançamentos!$A:$A,GZ$19,Lançamentos!$C:$C,"Juros e Tarifas Bancárias")</f>
        <v>0</v>
      </c>
      <c r="HA47" s="39">
        <f>SUMIFS(Lançamentos!$G:$G,Lançamentos!$A:$A,HA$19,Lançamentos!$C:$C,"Juros e Tarifas Bancárias")</f>
        <v>0</v>
      </c>
      <c r="HB47" s="39">
        <f>SUMIFS(Lançamentos!$G:$G,Lançamentos!$A:$A,HB$19,Lançamentos!$C:$C,"Juros e Tarifas Bancárias")</f>
        <v>0</v>
      </c>
      <c r="HC47" s="39">
        <f>SUMIFS(Lançamentos!$G:$G,Lançamentos!$A:$A,HC$19,Lançamentos!$C:$C,"Juros e Tarifas Bancárias")</f>
        <v>0</v>
      </c>
      <c r="HD47" s="39">
        <f>SUMIFS(Lançamentos!$G:$G,Lançamentos!$A:$A,HD$19,Lançamentos!$C:$C,"Juros e Tarifas Bancárias")</f>
        <v>0</v>
      </c>
      <c r="HE47" s="39">
        <f>SUMIFS(Lançamentos!$G:$G,Lançamentos!$A:$A,HE$19,Lançamentos!$C:$C,"Juros e Tarifas Bancárias")</f>
        <v>0</v>
      </c>
      <c r="HF47" s="39">
        <f>SUMIFS(Lançamentos!$G:$G,Lançamentos!$A:$A,HF$19,Lançamentos!$C:$C,"Juros e Tarifas Bancárias")</f>
        <v>0</v>
      </c>
      <c r="HG47" s="39">
        <f>SUMIFS(Lançamentos!$G:$G,Lançamentos!$A:$A,HG$19,Lançamentos!$C:$C,"Juros e Tarifas Bancárias")</f>
        <v>0</v>
      </c>
      <c r="HH47" s="39">
        <f>SUMIFS(Lançamentos!$G:$G,Lançamentos!$A:$A,HH$19,Lançamentos!$C:$C,"Juros e Tarifas Bancárias")</f>
        <v>0</v>
      </c>
      <c r="HI47" s="39">
        <f>SUMIFS(Lançamentos!$G:$G,Lançamentos!$A:$A,HI$19,Lançamentos!$C:$C,"Juros e Tarifas Bancárias")</f>
        <v>0</v>
      </c>
      <c r="HJ47" s="39">
        <f>SUMIFS(Lançamentos!$G:$G,Lançamentos!$A:$A,HJ$19,Lançamentos!$C:$C,"Juros e Tarifas Bancárias")</f>
        <v>0</v>
      </c>
      <c r="HK47" s="39">
        <f>SUMIFS(Lançamentos!$G:$G,Lançamentos!$A:$A,HK$19,Lançamentos!$C:$C,"Juros e Tarifas Bancárias")</f>
        <v>0</v>
      </c>
      <c r="HL47" s="39">
        <f>SUMIFS(Lançamentos!$G:$G,Lançamentos!$A:$A,HL$19,Lançamentos!$C:$C,"Juros e Tarifas Bancárias")</f>
        <v>0</v>
      </c>
      <c r="HM47" s="39">
        <f>SUMIFS(Lançamentos!$G:$G,Lançamentos!$A:$A,HM$19,Lançamentos!$C:$C,"Juros e Tarifas Bancárias")</f>
        <v>0</v>
      </c>
      <c r="HN47" s="39">
        <f>SUMIFS(Lançamentos!$G:$G,Lançamentos!$A:$A,HN$19,Lançamentos!$C:$C,"Juros e Tarifas Bancárias")</f>
        <v>0</v>
      </c>
      <c r="HO47" s="39">
        <f>SUMIFS(Lançamentos!$G:$G,Lançamentos!$A:$A,HO$19,Lançamentos!$C:$C,"Juros e Tarifas Bancárias")</f>
        <v>0</v>
      </c>
      <c r="HP47" s="39">
        <f>SUMIFS(Lançamentos!$G:$G,Lançamentos!$A:$A,HP$19,Lançamentos!$C:$C,"Juros e Tarifas Bancárias")</f>
        <v>0</v>
      </c>
      <c r="HQ47" s="39">
        <f>SUMIFS(Lançamentos!$G:$G,Lançamentos!$A:$A,HQ$19,Lançamentos!$C:$C,"Juros e Tarifas Bancárias")</f>
        <v>0</v>
      </c>
      <c r="HR47" s="39">
        <f>SUMIFS(Lançamentos!$G:$G,Lançamentos!$A:$A,HR$19,Lançamentos!$C:$C,"Juros e Tarifas Bancárias")</f>
        <v>0</v>
      </c>
      <c r="HS47" s="39">
        <f>SUMIFS(Lançamentos!$G:$G,Lançamentos!$A:$A,HS$19,Lançamentos!$C:$C,"Juros e Tarifas Bancárias")</f>
        <v>0</v>
      </c>
      <c r="HT47" s="39">
        <f>SUMIFS(Lançamentos!$G:$G,Lançamentos!$A:$A,HT$19,Lançamentos!$C:$C,"Juros e Tarifas Bancárias")</f>
        <v>0</v>
      </c>
      <c r="HU47" s="39">
        <f>SUMIFS(Lançamentos!$G:$G,Lançamentos!$A:$A,HU$19,Lançamentos!$C:$C,"Juros e Tarifas Bancárias")</f>
        <v>0</v>
      </c>
      <c r="HV47" s="39">
        <f>SUMIFS(Lançamentos!$G:$G,Lançamentos!$A:$A,HV$19,Lançamentos!$C:$C,"Juros e Tarifas Bancárias")</f>
        <v>0</v>
      </c>
      <c r="HW47" s="39">
        <f>SUMIFS(Lançamentos!$G:$G,Lançamentos!$A:$A,HW$19,Lançamentos!$C:$C,"Juros e Tarifas Bancárias")</f>
        <v>0</v>
      </c>
      <c r="HX47" s="39">
        <f>SUMIFS(Lançamentos!$G:$G,Lançamentos!$A:$A,HX$19,Lançamentos!$C:$C,"Juros e Tarifas Bancárias")</f>
        <v>0</v>
      </c>
      <c r="HY47" s="39">
        <f>SUMIFS(Lançamentos!$G:$G,Lançamentos!$A:$A,HY$19,Lançamentos!$C:$C,"Juros e Tarifas Bancárias")</f>
        <v>0</v>
      </c>
      <c r="HZ47" s="39">
        <f>SUMIFS(Lançamentos!$G:$G,Lançamentos!$A:$A,HZ$19,Lançamentos!$C:$C,"Juros e Tarifas Bancárias")</f>
        <v>0</v>
      </c>
      <c r="IA47" s="39">
        <f>SUMIFS(Lançamentos!$G:$G,Lançamentos!$A:$A,IA$19,Lançamentos!$C:$C,"Juros e Tarifas Bancárias")</f>
        <v>0</v>
      </c>
      <c r="IB47" s="39">
        <f>SUMIFS(Lançamentos!$G:$G,Lançamentos!$A:$A,IB$19,Lançamentos!$C:$C,"Juros e Tarifas Bancárias")</f>
        <v>0</v>
      </c>
      <c r="IC47" s="39">
        <f>SUMIFS(Lançamentos!$G:$G,Lançamentos!$A:$A,IC$19,Lançamentos!$C:$C,"Juros e Tarifas Bancárias")</f>
        <v>0</v>
      </c>
      <c r="ID47" s="39">
        <f>SUMIFS(Lançamentos!$G:$G,Lançamentos!$A:$A,ID$19,Lançamentos!$C:$C,"Juros e Tarifas Bancárias")</f>
        <v>0</v>
      </c>
      <c r="IE47" s="39">
        <f>SUMIFS(Lançamentos!$G:$G,Lançamentos!$A:$A,IE$19,Lançamentos!$C:$C,"Juros e Tarifas Bancárias")</f>
        <v>0</v>
      </c>
      <c r="IF47" s="39">
        <f>SUMIFS(Lançamentos!$G:$G,Lançamentos!$A:$A,IF$19,Lançamentos!$C:$C,"Juros e Tarifas Bancárias")</f>
        <v>0</v>
      </c>
      <c r="IG47" s="39">
        <f>SUMIFS(Lançamentos!$G:$G,Lançamentos!$A:$A,IG$19,Lançamentos!$C:$C,"Juros e Tarifas Bancárias")</f>
        <v>0</v>
      </c>
      <c r="IH47" s="39">
        <f>SUMIFS(Lançamentos!$G:$G,Lançamentos!$A:$A,IH$19,Lançamentos!$C:$C,"Juros e Tarifas Bancárias")</f>
        <v>0</v>
      </c>
      <c r="II47" s="39">
        <f>SUMIFS(Lançamentos!$G:$G,Lançamentos!$A:$A,II$19,Lançamentos!$C:$C,"Juros e Tarifas Bancárias")</f>
        <v>0</v>
      </c>
      <c r="IJ47" s="39">
        <f>SUMIFS(Lançamentos!$G:$G,Lançamentos!$A:$A,IJ$19,Lançamentos!$C:$C,"Juros e Tarifas Bancárias")</f>
        <v>0</v>
      </c>
      <c r="IK47" s="39">
        <f>SUMIFS(Lançamentos!$G:$G,Lançamentos!$A:$A,IK$19,Lançamentos!$C:$C,"Juros e Tarifas Bancárias")</f>
        <v>0</v>
      </c>
      <c r="IL47" s="39">
        <f>SUMIFS(Lançamentos!$G:$G,Lançamentos!$A:$A,IL$19,Lançamentos!$C:$C,"Juros e Tarifas Bancárias")</f>
        <v>0</v>
      </c>
    </row>
    <row r="48" spans="1:246" x14ac:dyDescent="0.3">
      <c r="A48" t="s">
        <v>26</v>
      </c>
      <c r="B48" s="39">
        <f>SUMIFS(Lançamentos!$G:$G,Lançamentos!$A:$A,B$19,Lançamentos!$C:$C,"Empréstimos e Financiamentos")</f>
        <v>0</v>
      </c>
      <c r="C48" s="39">
        <f>SUMIFS(Lançamentos!$G:$G,Lançamentos!$A:$A,C$19,Lançamentos!$C:$C,"Empréstimos e Financiamentos")</f>
        <v>0</v>
      </c>
      <c r="D48" s="39">
        <f>SUMIFS(Lançamentos!$G:$G,Lançamentos!$A:$A,D$19,Lançamentos!$C:$C,"Empréstimos e Financiamentos")</f>
        <v>0</v>
      </c>
      <c r="E48" s="39">
        <f>SUMIFS(Lançamentos!$G:$G,Lançamentos!$A:$A,E$19,Lançamentos!$C:$C,"Empréstimos e Financiamentos")</f>
        <v>0</v>
      </c>
      <c r="F48" s="39">
        <f>SUMIFS(Lançamentos!$G:$G,Lançamentos!$A:$A,F$19,Lançamentos!$C:$C,"Empréstimos e Financiamentos")</f>
        <v>0</v>
      </c>
      <c r="G48" s="39">
        <f>SUMIFS(Lançamentos!$G:$G,Lançamentos!$A:$A,G$19,Lançamentos!$C:$C,"Empréstimos e Financiamentos")</f>
        <v>0</v>
      </c>
      <c r="H48" s="39">
        <f>SUMIFS(Lançamentos!$G:$G,Lançamentos!$A:$A,H$19,Lançamentos!$C:$C,"Empréstimos e Financiamentos")</f>
        <v>0</v>
      </c>
      <c r="I48" s="39">
        <f>SUMIFS(Lançamentos!$G:$G,Lançamentos!$A:$A,I$19,Lançamentos!$C:$C,"Empréstimos e Financiamentos")</f>
        <v>0</v>
      </c>
      <c r="J48" s="39">
        <f>SUMIFS(Lançamentos!$G:$G,Lançamentos!$A:$A,J$19,Lançamentos!$C:$C,"Empréstimos e Financiamentos")</f>
        <v>0</v>
      </c>
      <c r="K48" s="39">
        <f>SUMIFS(Lançamentos!$G:$G,Lançamentos!$A:$A,K$19,Lançamentos!$C:$C,"Empréstimos e Financiamentos")</f>
        <v>0</v>
      </c>
      <c r="L48" s="39">
        <f>SUMIFS(Lançamentos!$G:$G,Lançamentos!$A:$A,L$19,Lançamentos!$C:$C,"Empréstimos e Financiamentos")</f>
        <v>0</v>
      </c>
      <c r="M48" s="39">
        <f>SUMIFS(Lançamentos!$G:$G,Lançamentos!$A:$A,M$19,Lançamentos!$C:$C,"Empréstimos e Financiamentos")</f>
        <v>0</v>
      </c>
      <c r="N48" s="39">
        <f>SUMIFS(Lançamentos!$G:$G,Lançamentos!$A:$A,N$19,Lançamentos!$C:$C,"Empréstimos e Financiamentos")</f>
        <v>0</v>
      </c>
      <c r="O48" s="39">
        <f>SUMIFS(Lançamentos!$G:$G,Lançamentos!$A:$A,O$19,Lançamentos!$C:$C,"Empréstimos e Financiamentos")</f>
        <v>0</v>
      </c>
      <c r="P48" s="39">
        <f>SUMIFS(Lançamentos!$G:$G,Lançamentos!$A:$A,P$19,Lançamentos!$C:$C,"Empréstimos e Financiamentos")</f>
        <v>0</v>
      </c>
      <c r="Q48" s="39">
        <f>SUMIFS(Lançamentos!$G:$G,Lançamentos!$A:$A,Q$19,Lançamentos!$C:$C,"Empréstimos e Financiamentos")</f>
        <v>0</v>
      </c>
      <c r="R48" s="39">
        <f>SUMIFS(Lançamentos!$G:$G,Lançamentos!$A:$A,R$19,Lançamentos!$C:$C,"Empréstimos e Financiamentos")</f>
        <v>0</v>
      </c>
      <c r="S48" s="39">
        <f>SUMIFS(Lançamentos!$G:$G,Lançamentos!$A:$A,S$19,Lançamentos!$C:$C,"Empréstimos e Financiamentos")</f>
        <v>0</v>
      </c>
      <c r="T48" s="39">
        <f>SUMIFS(Lançamentos!$G:$G,Lançamentos!$A:$A,T$19,Lançamentos!$C:$C,"Empréstimos e Financiamentos")</f>
        <v>0</v>
      </c>
      <c r="U48" s="39">
        <f>SUMIFS(Lançamentos!$G:$G,Lançamentos!$A:$A,U$19,Lançamentos!$C:$C,"Empréstimos e Financiamentos")</f>
        <v>0</v>
      </c>
      <c r="V48" s="39">
        <f>SUMIFS(Lançamentos!$G:$G,Lançamentos!$A:$A,V$19,Lançamentos!$C:$C,"Empréstimos e Financiamentos")</f>
        <v>0</v>
      </c>
      <c r="W48" s="39">
        <f>SUMIFS(Lançamentos!$G:$G,Lançamentos!$A:$A,W$19,Lançamentos!$C:$C,"Empréstimos e Financiamentos")</f>
        <v>0</v>
      </c>
      <c r="X48" s="39">
        <f>SUMIFS(Lançamentos!$G:$G,Lançamentos!$A:$A,X$19,Lançamentos!$C:$C,"Empréstimos e Financiamentos")</f>
        <v>0</v>
      </c>
      <c r="Y48" s="39">
        <f>SUMIFS(Lançamentos!$G:$G,Lançamentos!$A:$A,Y$19,Lançamentos!$C:$C,"Empréstimos e Financiamentos")</f>
        <v>0</v>
      </c>
      <c r="Z48" s="39">
        <f>SUMIFS(Lançamentos!$G:$G,Lançamentos!$A:$A,Z$19,Lançamentos!$C:$C,"Empréstimos e Financiamentos")</f>
        <v>0</v>
      </c>
      <c r="AA48" s="39">
        <f>SUMIFS(Lançamentos!$G:$G,Lançamentos!$A:$A,AA$19,Lançamentos!$C:$C,"Empréstimos e Financiamentos")</f>
        <v>0</v>
      </c>
      <c r="AB48" s="39">
        <f>SUMIFS(Lançamentos!$G:$G,Lançamentos!$A:$A,AB$19,Lançamentos!$C:$C,"Empréstimos e Financiamentos")</f>
        <v>0</v>
      </c>
      <c r="AC48" s="39">
        <f>SUMIFS(Lançamentos!$G:$G,Lançamentos!$A:$A,AC$19,Lançamentos!$C:$C,"Empréstimos e Financiamentos")</f>
        <v>0</v>
      </c>
      <c r="AD48" s="39">
        <f>SUMIFS(Lançamentos!$G:$G,Lançamentos!$A:$A,AD$19,Lançamentos!$C:$C,"Empréstimos e Financiamentos")</f>
        <v>0</v>
      </c>
      <c r="AE48" s="39">
        <f>SUMIFS(Lançamentos!$G:$G,Lançamentos!$A:$A,AE$19,Lançamentos!$C:$C,"Empréstimos e Financiamentos")</f>
        <v>0</v>
      </c>
      <c r="AF48" s="39">
        <f>SUMIFS(Lançamentos!$G:$G,Lançamentos!$A:$A,AF$19,Lançamentos!$C:$C,"Empréstimos e Financiamentos")</f>
        <v>0</v>
      </c>
      <c r="AG48" s="39">
        <f>SUMIFS(Lançamentos!$G:$G,Lançamentos!$A:$A,AG$19,Lançamentos!$C:$C,"Empréstimos e Financiamentos")</f>
        <v>0</v>
      </c>
      <c r="AH48" s="39">
        <f>SUMIFS(Lançamentos!$G:$G,Lançamentos!$A:$A,AH$19,Lançamentos!$C:$C,"Empréstimos e Financiamentos")</f>
        <v>0</v>
      </c>
      <c r="AI48" s="39">
        <f>SUMIFS(Lançamentos!$G:$G,Lançamentos!$A:$A,AI$19,Lançamentos!$C:$C,"Empréstimos e Financiamentos")</f>
        <v>0</v>
      </c>
      <c r="AJ48" s="39">
        <f>SUMIFS(Lançamentos!$G:$G,Lançamentos!$A:$A,AJ$19,Lançamentos!$C:$C,"Empréstimos e Financiamentos")</f>
        <v>0</v>
      </c>
      <c r="AK48" s="39">
        <f>SUMIFS(Lançamentos!$G:$G,Lançamentos!$A:$A,AK$19,Lançamentos!$C:$C,"Empréstimos e Financiamentos")</f>
        <v>0</v>
      </c>
      <c r="AL48" s="39">
        <f>SUMIFS(Lançamentos!$G:$G,Lançamentos!$A:$A,AL$19,Lançamentos!$C:$C,"Empréstimos e Financiamentos")</f>
        <v>0</v>
      </c>
      <c r="AM48" s="39">
        <f>SUMIFS(Lançamentos!$G:$G,Lançamentos!$A:$A,AM$19,Lançamentos!$C:$C,"Empréstimos e Financiamentos")</f>
        <v>0</v>
      </c>
      <c r="AN48" s="39">
        <f>SUMIFS(Lançamentos!$G:$G,Lançamentos!$A:$A,AN$19,Lançamentos!$C:$C,"Empréstimos e Financiamentos")</f>
        <v>0</v>
      </c>
      <c r="AO48" s="39">
        <f>SUMIFS(Lançamentos!$G:$G,Lançamentos!$A:$A,AO$19,Lançamentos!$C:$C,"Empréstimos e Financiamentos")</f>
        <v>0</v>
      </c>
      <c r="AP48" s="39">
        <f>SUMIFS(Lançamentos!$G:$G,Lançamentos!$A:$A,AP$19,Lançamentos!$C:$C,"Empréstimos e Financiamentos")</f>
        <v>0</v>
      </c>
      <c r="AQ48" s="39">
        <f>SUMIFS(Lançamentos!$G:$G,Lançamentos!$A:$A,AQ$19,Lançamentos!$C:$C,"Empréstimos e Financiamentos")</f>
        <v>0</v>
      </c>
      <c r="AR48" s="39">
        <f>SUMIFS(Lançamentos!$G:$G,Lançamentos!$A:$A,AR$19,Lançamentos!$C:$C,"Empréstimos e Financiamentos")</f>
        <v>0</v>
      </c>
      <c r="AS48" s="39">
        <f>SUMIFS(Lançamentos!$G:$G,Lançamentos!$A:$A,AS$19,Lançamentos!$C:$C,"Empréstimos e Financiamentos")</f>
        <v>0</v>
      </c>
      <c r="AT48" s="39">
        <f>SUMIFS(Lançamentos!$G:$G,Lançamentos!$A:$A,AT$19,Lançamentos!$C:$C,"Empréstimos e Financiamentos")</f>
        <v>0</v>
      </c>
      <c r="AU48" s="39">
        <f>SUMIFS(Lançamentos!$G:$G,Lançamentos!$A:$A,AU$19,Lançamentos!$C:$C,"Empréstimos e Financiamentos")</f>
        <v>0</v>
      </c>
      <c r="AV48" s="39">
        <f>SUMIFS(Lançamentos!$G:$G,Lançamentos!$A:$A,AV$19,Lançamentos!$C:$C,"Empréstimos e Financiamentos")</f>
        <v>0</v>
      </c>
      <c r="AW48" s="39">
        <f>SUMIFS(Lançamentos!$G:$G,Lançamentos!$A:$A,AW$19,Lançamentos!$C:$C,"Empréstimos e Financiamentos")</f>
        <v>0</v>
      </c>
      <c r="AX48" s="39">
        <f>SUMIFS(Lançamentos!$G:$G,Lançamentos!$A:$A,AX$19,Lançamentos!$C:$C,"Empréstimos e Financiamentos")</f>
        <v>0</v>
      </c>
      <c r="AY48" s="39">
        <f>SUMIFS(Lançamentos!$G:$G,Lançamentos!$A:$A,AY$19,Lançamentos!$C:$C,"Empréstimos e Financiamentos")</f>
        <v>0</v>
      </c>
      <c r="AZ48" s="39">
        <f>SUMIFS(Lançamentos!$G:$G,Lançamentos!$A:$A,AZ$19,Lançamentos!$C:$C,"Empréstimos e Financiamentos")</f>
        <v>0</v>
      </c>
      <c r="BA48" s="39">
        <f>SUMIFS(Lançamentos!$G:$G,Lançamentos!$A:$A,BA$19,Lançamentos!$C:$C,"Empréstimos e Financiamentos")</f>
        <v>0</v>
      </c>
      <c r="BB48" s="39">
        <f>SUMIFS(Lançamentos!$G:$G,Lançamentos!$A:$A,BB$19,Lançamentos!$C:$C,"Empréstimos e Financiamentos")</f>
        <v>0</v>
      </c>
      <c r="BC48" s="39">
        <f>SUMIFS(Lançamentos!$G:$G,Lançamentos!$A:$A,BC$19,Lançamentos!$C:$C,"Empréstimos e Financiamentos")</f>
        <v>0</v>
      </c>
      <c r="BD48" s="39">
        <f>SUMIFS(Lançamentos!$G:$G,Lançamentos!$A:$A,BD$19,Lançamentos!$C:$C,"Empréstimos e Financiamentos")</f>
        <v>0</v>
      </c>
      <c r="BE48" s="39">
        <f>SUMIFS(Lançamentos!$G:$G,Lançamentos!$A:$A,BE$19,Lançamentos!$C:$C,"Empréstimos e Financiamentos")</f>
        <v>0</v>
      </c>
      <c r="BF48" s="39">
        <f>SUMIFS(Lançamentos!$G:$G,Lançamentos!$A:$A,BF$19,Lançamentos!$C:$C,"Empréstimos e Financiamentos")</f>
        <v>0</v>
      </c>
      <c r="BG48" s="39">
        <f>SUMIFS(Lançamentos!$G:$G,Lançamentos!$A:$A,BG$19,Lançamentos!$C:$C,"Empréstimos e Financiamentos")</f>
        <v>0</v>
      </c>
      <c r="BH48" s="39">
        <f>SUMIFS(Lançamentos!$G:$G,Lançamentos!$A:$A,BH$19,Lançamentos!$C:$C,"Empréstimos e Financiamentos")</f>
        <v>0</v>
      </c>
      <c r="BI48" s="39">
        <f>SUMIFS(Lançamentos!$G:$G,Lançamentos!$A:$A,BI$19,Lançamentos!$C:$C,"Empréstimos e Financiamentos")</f>
        <v>0</v>
      </c>
      <c r="BJ48" s="39">
        <f>SUMIFS(Lançamentos!$G:$G,Lançamentos!$A:$A,BJ$19,Lançamentos!$C:$C,"Empréstimos e Financiamentos")</f>
        <v>0</v>
      </c>
      <c r="BK48" s="39">
        <f>SUMIFS(Lançamentos!$G:$G,Lançamentos!$A:$A,BK$19,Lançamentos!$C:$C,"Empréstimos e Financiamentos")</f>
        <v>0</v>
      </c>
      <c r="BL48" s="39">
        <f>SUMIFS(Lançamentos!$G:$G,Lançamentos!$A:$A,BL$19,Lançamentos!$C:$C,"Empréstimos e Financiamentos")</f>
        <v>0</v>
      </c>
      <c r="BM48" s="39">
        <f>SUMIFS(Lançamentos!$G:$G,Lançamentos!$A:$A,BM$19,Lançamentos!$C:$C,"Empréstimos e Financiamentos")</f>
        <v>0</v>
      </c>
      <c r="BN48" s="39">
        <f>SUMIFS(Lançamentos!$G:$G,Lançamentos!$A:$A,BN$19,Lançamentos!$C:$C,"Empréstimos e Financiamentos")</f>
        <v>0</v>
      </c>
      <c r="BO48" s="39">
        <f>SUMIFS(Lançamentos!$G:$G,Lançamentos!$A:$A,BO$19,Lançamentos!$C:$C,"Empréstimos e Financiamentos")</f>
        <v>0</v>
      </c>
      <c r="BP48" s="39">
        <f>SUMIFS(Lançamentos!$G:$G,Lançamentos!$A:$A,BP$19,Lançamentos!$C:$C,"Empréstimos e Financiamentos")</f>
        <v>0</v>
      </c>
      <c r="BQ48" s="39">
        <f>SUMIFS(Lançamentos!$G:$G,Lançamentos!$A:$A,BQ$19,Lançamentos!$C:$C,"Empréstimos e Financiamentos")</f>
        <v>0</v>
      </c>
      <c r="BR48" s="39">
        <f>SUMIFS(Lançamentos!$G:$G,Lançamentos!$A:$A,BR$19,Lançamentos!$C:$C,"Empréstimos e Financiamentos")</f>
        <v>0</v>
      </c>
      <c r="BS48" s="39">
        <f>SUMIFS(Lançamentos!$G:$G,Lançamentos!$A:$A,BS$19,Lançamentos!$C:$C,"Empréstimos e Financiamentos")</f>
        <v>0</v>
      </c>
      <c r="BT48" s="39">
        <f>SUMIFS(Lançamentos!$G:$G,Lançamentos!$A:$A,BT$19,Lançamentos!$C:$C,"Empréstimos e Financiamentos")</f>
        <v>0</v>
      </c>
      <c r="BU48" s="39">
        <f>SUMIFS(Lançamentos!$G:$G,Lançamentos!$A:$A,BU$19,Lançamentos!$C:$C,"Empréstimos e Financiamentos")</f>
        <v>0</v>
      </c>
      <c r="BV48" s="39">
        <f>SUMIFS(Lançamentos!$G:$G,Lançamentos!$A:$A,BV$19,Lançamentos!$C:$C,"Empréstimos e Financiamentos")</f>
        <v>0</v>
      </c>
      <c r="BW48" s="39">
        <f>SUMIFS(Lançamentos!$G:$G,Lançamentos!$A:$A,BW$19,Lançamentos!$C:$C,"Empréstimos e Financiamentos")</f>
        <v>0</v>
      </c>
      <c r="BX48" s="39">
        <f>SUMIFS(Lançamentos!$G:$G,Lançamentos!$A:$A,BX$19,Lançamentos!$C:$C,"Empréstimos e Financiamentos")</f>
        <v>0</v>
      </c>
      <c r="BY48" s="39">
        <f>SUMIFS(Lançamentos!$G:$G,Lançamentos!$A:$A,BY$19,Lançamentos!$C:$C,"Empréstimos e Financiamentos")</f>
        <v>0</v>
      </c>
      <c r="BZ48" s="39">
        <f>SUMIFS(Lançamentos!$G:$G,Lançamentos!$A:$A,BZ$19,Lançamentos!$C:$C,"Empréstimos e Financiamentos")</f>
        <v>0</v>
      </c>
      <c r="CA48" s="39">
        <f>SUMIFS(Lançamentos!$G:$G,Lançamentos!$A:$A,CA$19,Lançamentos!$C:$C,"Empréstimos e Financiamentos")</f>
        <v>0</v>
      </c>
      <c r="CB48" s="39">
        <f>SUMIFS(Lançamentos!$G:$G,Lançamentos!$A:$A,CB$19,Lançamentos!$C:$C,"Empréstimos e Financiamentos")</f>
        <v>0</v>
      </c>
      <c r="CC48" s="39">
        <f>SUMIFS(Lançamentos!$G:$G,Lançamentos!$A:$A,CC$19,Lançamentos!$C:$C,"Empréstimos e Financiamentos")</f>
        <v>0</v>
      </c>
      <c r="CD48" s="39">
        <f>SUMIFS(Lançamentos!$G:$G,Lançamentos!$A:$A,CD$19,Lançamentos!$C:$C,"Empréstimos e Financiamentos")</f>
        <v>0</v>
      </c>
      <c r="CE48" s="39">
        <f>SUMIFS(Lançamentos!$G:$G,Lançamentos!$A:$A,CE$19,Lançamentos!$C:$C,"Empréstimos e Financiamentos")</f>
        <v>0</v>
      </c>
      <c r="CF48" s="39">
        <f>SUMIFS(Lançamentos!$G:$G,Lançamentos!$A:$A,CF$19,Lançamentos!$C:$C,"Empréstimos e Financiamentos")</f>
        <v>0</v>
      </c>
      <c r="CG48" s="39">
        <f>SUMIFS(Lançamentos!$G:$G,Lançamentos!$A:$A,CG$19,Lançamentos!$C:$C,"Empréstimos e Financiamentos")</f>
        <v>0</v>
      </c>
      <c r="CH48" s="39">
        <f>SUMIFS(Lançamentos!$G:$G,Lançamentos!$A:$A,CH$19,Lançamentos!$C:$C,"Empréstimos e Financiamentos")</f>
        <v>0</v>
      </c>
      <c r="CI48" s="39">
        <f>SUMIFS(Lançamentos!$G:$G,Lançamentos!$A:$A,CI$19,Lançamentos!$C:$C,"Empréstimos e Financiamentos")</f>
        <v>0</v>
      </c>
      <c r="CJ48" s="39">
        <f>SUMIFS(Lançamentos!$G:$G,Lançamentos!$A:$A,CJ$19,Lançamentos!$C:$C,"Empréstimos e Financiamentos")</f>
        <v>0</v>
      </c>
      <c r="CK48" s="39">
        <f>SUMIFS(Lançamentos!$G:$G,Lançamentos!$A:$A,CK$19,Lançamentos!$C:$C,"Empréstimos e Financiamentos")</f>
        <v>0</v>
      </c>
      <c r="CL48" s="39">
        <f>SUMIFS(Lançamentos!$G:$G,Lançamentos!$A:$A,CL$19,Lançamentos!$C:$C,"Empréstimos e Financiamentos")</f>
        <v>0</v>
      </c>
      <c r="CM48" s="39">
        <f>SUMIFS(Lançamentos!$G:$G,Lançamentos!$A:$A,CM$19,Lançamentos!$C:$C,"Empréstimos e Financiamentos")</f>
        <v>0</v>
      </c>
      <c r="CN48" s="39">
        <f>SUMIFS(Lançamentos!$G:$G,Lançamentos!$A:$A,CN$19,Lançamentos!$C:$C,"Empréstimos e Financiamentos")</f>
        <v>0</v>
      </c>
      <c r="CO48" s="39">
        <f>SUMIFS(Lançamentos!$G:$G,Lançamentos!$A:$A,CO$19,Lançamentos!$C:$C,"Empréstimos e Financiamentos")</f>
        <v>0</v>
      </c>
      <c r="CP48" s="39">
        <f>SUMIFS(Lançamentos!$G:$G,Lançamentos!$A:$A,CP$19,Lançamentos!$C:$C,"Empréstimos e Financiamentos")</f>
        <v>0</v>
      </c>
      <c r="CQ48" s="39">
        <f>SUMIFS(Lançamentos!$G:$G,Lançamentos!$A:$A,CQ$19,Lançamentos!$C:$C,"Empréstimos e Financiamentos")</f>
        <v>0</v>
      </c>
      <c r="CR48" s="39">
        <f>SUMIFS(Lançamentos!$G:$G,Lançamentos!$A:$A,CR$19,Lançamentos!$C:$C,"Empréstimos e Financiamentos")</f>
        <v>0</v>
      </c>
      <c r="CS48" s="39">
        <f>SUMIFS(Lançamentos!$G:$G,Lançamentos!$A:$A,CS$19,Lançamentos!$C:$C,"Empréstimos e Financiamentos")</f>
        <v>0</v>
      </c>
      <c r="CT48" s="39">
        <f>SUMIFS(Lançamentos!$G:$G,Lançamentos!$A:$A,CT$19,Lançamentos!$C:$C,"Empréstimos e Financiamentos")</f>
        <v>0</v>
      </c>
      <c r="CU48" s="39">
        <f>SUMIFS(Lançamentos!$G:$G,Lançamentos!$A:$A,CU$19,Lançamentos!$C:$C,"Empréstimos e Financiamentos")</f>
        <v>0</v>
      </c>
      <c r="CV48" s="39">
        <f>SUMIFS(Lançamentos!$G:$G,Lançamentos!$A:$A,CV$19,Lançamentos!$C:$C,"Empréstimos e Financiamentos")</f>
        <v>0</v>
      </c>
      <c r="CW48" s="39">
        <f>SUMIFS(Lançamentos!$G:$G,Lançamentos!$A:$A,CW$19,Lançamentos!$C:$C,"Empréstimos e Financiamentos")</f>
        <v>0</v>
      </c>
      <c r="CX48" s="39">
        <f>SUMIFS(Lançamentos!$G:$G,Lançamentos!$A:$A,CX$19,Lançamentos!$C:$C,"Empréstimos e Financiamentos")</f>
        <v>0</v>
      </c>
      <c r="CY48" s="39">
        <f>SUMIFS(Lançamentos!$G:$G,Lançamentos!$A:$A,CY$19,Lançamentos!$C:$C,"Empréstimos e Financiamentos")</f>
        <v>0</v>
      </c>
      <c r="CZ48" s="39">
        <f>SUMIFS(Lançamentos!$G:$G,Lançamentos!$A:$A,CZ$19,Lançamentos!$C:$C,"Empréstimos e Financiamentos")</f>
        <v>0</v>
      </c>
      <c r="DA48" s="39">
        <f>SUMIFS(Lançamentos!$G:$G,Lançamentos!$A:$A,DA$19,Lançamentos!$C:$C,"Empréstimos e Financiamentos")</f>
        <v>0</v>
      </c>
      <c r="DB48" s="39">
        <f>SUMIFS(Lançamentos!$G:$G,Lançamentos!$A:$A,DB$19,Lançamentos!$C:$C,"Empréstimos e Financiamentos")</f>
        <v>0</v>
      </c>
      <c r="DC48" s="39">
        <f>SUMIFS(Lançamentos!$G:$G,Lançamentos!$A:$A,DC$19,Lançamentos!$C:$C,"Empréstimos e Financiamentos")</f>
        <v>0</v>
      </c>
      <c r="DD48" s="39">
        <f>SUMIFS(Lançamentos!$G:$G,Lançamentos!$A:$A,DD$19,Lançamentos!$C:$C,"Empréstimos e Financiamentos")</f>
        <v>0</v>
      </c>
      <c r="DE48" s="39">
        <f>SUMIFS(Lançamentos!$G:$G,Lançamentos!$A:$A,DE$19,Lançamentos!$C:$C,"Empréstimos e Financiamentos")</f>
        <v>0</v>
      </c>
      <c r="DF48" s="39">
        <f>SUMIFS(Lançamentos!$G:$G,Lançamentos!$A:$A,DF$19,Lançamentos!$C:$C,"Empréstimos e Financiamentos")</f>
        <v>0</v>
      </c>
      <c r="DG48" s="39">
        <f>SUMIFS(Lançamentos!$G:$G,Lançamentos!$A:$A,DG$19,Lançamentos!$C:$C,"Empréstimos e Financiamentos")</f>
        <v>0</v>
      </c>
      <c r="DH48" s="39">
        <f>SUMIFS(Lançamentos!$G:$G,Lançamentos!$A:$A,DH$19,Lançamentos!$C:$C,"Empréstimos e Financiamentos")</f>
        <v>0</v>
      </c>
      <c r="DI48" s="39">
        <f>SUMIFS(Lançamentos!$G:$G,Lançamentos!$A:$A,DI$19,Lançamentos!$C:$C,"Empréstimos e Financiamentos")</f>
        <v>0</v>
      </c>
      <c r="DJ48" s="39">
        <f>SUMIFS(Lançamentos!$G:$G,Lançamentos!$A:$A,DJ$19,Lançamentos!$C:$C,"Empréstimos e Financiamentos")</f>
        <v>0</v>
      </c>
      <c r="DK48" s="39">
        <f>SUMIFS(Lançamentos!$G:$G,Lançamentos!$A:$A,DK$19,Lançamentos!$C:$C,"Empréstimos e Financiamentos")</f>
        <v>0</v>
      </c>
      <c r="DL48" s="39">
        <f>SUMIFS(Lançamentos!$G:$G,Lançamentos!$A:$A,DL$19,Lançamentos!$C:$C,"Empréstimos e Financiamentos")</f>
        <v>0</v>
      </c>
      <c r="DM48" s="39">
        <f>SUMIFS(Lançamentos!$G:$G,Lançamentos!$A:$A,DM$19,Lançamentos!$C:$C,"Empréstimos e Financiamentos")</f>
        <v>0</v>
      </c>
      <c r="DN48" s="39">
        <f>SUMIFS(Lançamentos!$G:$G,Lançamentos!$A:$A,DN$19,Lançamentos!$C:$C,"Empréstimos e Financiamentos")</f>
        <v>0</v>
      </c>
      <c r="DO48" s="39">
        <f>SUMIFS(Lançamentos!$G:$G,Lançamentos!$A:$A,DO$19,Lançamentos!$C:$C,"Empréstimos e Financiamentos")</f>
        <v>0</v>
      </c>
      <c r="DP48" s="39">
        <f>SUMIFS(Lançamentos!$G:$G,Lançamentos!$A:$A,DP$19,Lançamentos!$C:$C,"Empréstimos e Financiamentos")</f>
        <v>0</v>
      </c>
      <c r="DQ48" s="39">
        <f>SUMIFS(Lançamentos!$G:$G,Lançamentos!$A:$A,DQ$19,Lançamentos!$C:$C,"Empréstimos e Financiamentos")</f>
        <v>0</v>
      </c>
      <c r="DR48" s="39">
        <f>SUMIFS(Lançamentos!$G:$G,Lançamentos!$A:$A,DR$19,Lançamentos!$C:$C,"Empréstimos e Financiamentos")</f>
        <v>0</v>
      </c>
      <c r="DS48" s="39">
        <f>SUMIFS(Lançamentos!$G:$G,Lançamentos!$A:$A,DS$19,Lançamentos!$C:$C,"Empréstimos e Financiamentos")</f>
        <v>0</v>
      </c>
      <c r="DT48" s="39">
        <f>SUMIFS(Lançamentos!$G:$G,Lançamentos!$A:$A,DT$19,Lançamentos!$C:$C,"Empréstimos e Financiamentos")</f>
        <v>0</v>
      </c>
      <c r="DU48" s="39">
        <f>SUMIFS(Lançamentos!$G:$G,Lançamentos!$A:$A,DU$19,Lançamentos!$C:$C,"Empréstimos e Financiamentos")</f>
        <v>0</v>
      </c>
      <c r="DV48" s="39">
        <f>SUMIFS(Lançamentos!$G:$G,Lançamentos!$A:$A,DV$19,Lançamentos!$C:$C,"Empréstimos e Financiamentos")</f>
        <v>0</v>
      </c>
      <c r="DW48" s="39">
        <f>SUMIFS(Lançamentos!$G:$G,Lançamentos!$A:$A,DW$19,Lançamentos!$C:$C,"Empréstimos e Financiamentos")</f>
        <v>0</v>
      </c>
      <c r="DX48" s="39">
        <f>SUMIFS(Lançamentos!$G:$G,Lançamentos!$A:$A,DX$19,Lançamentos!$C:$C,"Empréstimos e Financiamentos")</f>
        <v>0</v>
      </c>
      <c r="DY48" s="39">
        <f>SUMIFS(Lançamentos!$G:$G,Lançamentos!$A:$A,DY$19,Lançamentos!$C:$C,"Empréstimos e Financiamentos")</f>
        <v>0</v>
      </c>
      <c r="DZ48" s="39">
        <f>SUMIFS(Lançamentos!$G:$G,Lançamentos!$A:$A,DZ$19,Lançamentos!$C:$C,"Empréstimos e Financiamentos")</f>
        <v>0</v>
      </c>
      <c r="EA48" s="39">
        <f>SUMIFS(Lançamentos!$G:$G,Lançamentos!$A:$A,EA$19,Lançamentos!$C:$C,"Empréstimos e Financiamentos")</f>
        <v>0</v>
      </c>
      <c r="EB48" s="39">
        <f>SUMIFS(Lançamentos!$G:$G,Lançamentos!$A:$A,EB$19,Lançamentos!$C:$C,"Empréstimos e Financiamentos")</f>
        <v>0</v>
      </c>
      <c r="EC48" s="39">
        <f>SUMIFS(Lançamentos!$G:$G,Lançamentos!$A:$A,EC$19,Lançamentos!$C:$C,"Empréstimos e Financiamentos")</f>
        <v>0</v>
      </c>
      <c r="ED48" s="39">
        <f>SUMIFS(Lançamentos!$G:$G,Lançamentos!$A:$A,ED$19,Lançamentos!$C:$C,"Empréstimos e Financiamentos")</f>
        <v>0</v>
      </c>
      <c r="EE48" s="39">
        <f>SUMIFS(Lançamentos!$G:$G,Lançamentos!$A:$A,EE$19,Lançamentos!$C:$C,"Empréstimos e Financiamentos")</f>
        <v>0</v>
      </c>
      <c r="EF48" s="39">
        <f>SUMIFS(Lançamentos!$G:$G,Lançamentos!$A:$A,EF$19,Lançamentos!$C:$C,"Empréstimos e Financiamentos")</f>
        <v>0</v>
      </c>
      <c r="EG48" s="39">
        <f>SUMIFS(Lançamentos!$G:$G,Lançamentos!$A:$A,EG$19,Lançamentos!$C:$C,"Empréstimos e Financiamentos")</f>
        <v>0</v>
      </c>
      <c r="EH48" s="39">
        <f>SUMIFS(Lançamentos!$G:$G,Lançamentos!$A:$A,EH$19,Lançamentos!$C:$C,"Empréstimos e Financiamentos")</f>
        <v>0</v>
      </c>
      <c r="EI48" s="39">
        <f>SUMIFS(Lançamentos!$G:$G,Lançamentos!$A:$A,EI$19,Lançamentos!$C:$C,"Empréstimos e Financiamentos")</f>
        <v>0</v>
      </c>
      <c r="EJ48" s="39">
        <f>SUMIFS(Lançamentos!$G:$G,Lançamentos!$A:$A,EJ$19,Lançamentos!$C:$C,"Empréstimos e Financiamentos")</f>
        <v>0</v>
      </c>
      <c r="EK48" s="39">
        <f>SUMIFS(Lançamentos!$G:$G,Lançamentos!$A:$A,EK$19,Lançamentos!$C:$C,"Empréstimos e Financiamentos")</f>
        <v>0</v>
      </c>
      <c r="EL48" s="39">
        <f>SUMIFS(Lançamentos!$G:$G,Lançamentos!$A:$A,EL$19,Lançamentos!$C:$C,"Empréstimos e Financiamentos")</f>
        <v>0</v>
      </c>
      <c r="EM48" s="39">
        <f>SUMIFS(Lançamentos!$G:$G,Lançamentos!$A:$A,EM$19,Lançamentos!$C:$C,"Empréstimos e Financiamentos")</f>
        <v>0</v>
      </c>
      <c r="EN48" s="39">
        <f>SUMIFS(Lançamentos!$G:$G,Lançamentos!$A:$A,EN$19,Lançamentos!$C:$C,"Empréstimos e Financiamentos")</f>
        <v>0</v>
      </c>
      <c r="EO48" s="39">
        <f>SUMIFS(Lançamentos!$G:$G,Lançamentos!$A:$A,EO$19,Lançamentos!$C:$C,"Empréstimos e Financiamentos")</f>
        <v>0</v>
      </c>
      <c r="EP48" s="39">
        <f>SUMIFS(Lançamentos!$G:$G,Lançamentos!$A:$A,EP$19,Lançamentos!$C:$C,"Empréstimos e Financiamentos")</f>
        <v>0</v>
      </c>
      <c r="EQ48" s="39">
        <f>SUMIFS(Lançamentos!$G:$G,Lançamentos!$A:$A,EQ$19,Lançamentos!$C:$C,"Empréstimos e Financiamentos")</f>
        <v>0</v>
      </c>
      <c r="ER48" s="39">
        <f>SUMIFS(Lançamentos!$G:$G,Lançamentos!$A:$A,ER$19,Lançamentos!$C:$C,"Empréstimos e Financiamentos")</f>
        <v>0</v>
      </c>
      <c r="ES48" s="39">
        <f>SUMIFS(Lançamentos!$G:$G,Lançamentos!$A:$A,ES$19,Lançamentos!$C:$C,"Empréstimos e Financiamentos")</f>
        <v>0</v>
      </c>
      <c r="ET48" s="39">
        <f>SUMIFS(Lançamentos!$G:$G,Lançamentos!$A:$A,ET$19,Lançamentos!$C:$C,"Empréstimos e Financiamentos")</f>
        <v>0</v>
      </c>
      <c r="EU48" s="39">
        <f>SUMIFS(Lançamentos!$G:$G,Lançamentos!$A:$A,EU$19,Lançamentos!$C:$C,"Empréstimos e Financiamentos")</f>
        <v>0</v>
      </c>
      <c r="EV48" s="39">
        <f>SUMIFS(Lançamentos!$G:$G,Lançamentos!$A:$A,EV$19,Lançamentos!$C:$C,"Empréstimos e Financiamentos")</f>
        <v>0</v>
      </c>
      <c r="EW48" s="39">
        <f>SUMIFS(Lançamentos!$G:$G,Lançamentos!$A:$A,EW$19,Lançamentos!$C:$C,"Empréstimos e Financiamentos")</f>
        <v>0</v>
      </c>
      <c r="EX48" s="39">
        <f>SUMIFS(Lançamentos!$G:$G,Lançamentos!$A:$A,EX$19,Lançamentos!$C:$C,"Empréstimos e Financiamentos")</f>
        <v>0</v>
      </c>
      <c r="EY48" s="39">
        <f>SUMIFS(Lançamentos!$G:$G,Lançamentos!$A:$A,EY$19,Lançamentos!$C:$C,"Empréstimos e Financiamentos")</f>
        <v>0</v>
      </c>
      <c r="EZ48" s="39">
        <f>SUMIFS(Lançamentos!$G:$G,Lançamentos!$A:$A,EZ$19,Lançamentos!$C:$C,"Empréstimos e Financiamentos")</f>
        <v>0</v>
      </c>
      <c r="FA48" s="39">
        <f>SUMIFS(Lançamentos!$G:$G,Lançamentos!$A:$A,FA$19,Lançamentos!$C:$C,"Empréstimos e Financiamentos")</f>
        <v>0</v>
      </c>
      <c r="FB48" s="39">
        <f>SUMIFS(Lançamentos!$G:$G,Lançamentos!$A:$A,FB$19,Lançamentos!$C:$C,"Empréstimos e Financiamentos")</f>
        <v>0</v>
      </c>
      <c r="FC48" s="39">
        <f>SUMIFS(Lançamentos!$G:$G,Lançamentos!$A:$A,FC$19,Lançamentos!$C:$C,"Empréstimos e Financiamentos")</f>
        <v>0</v>
      </c>
      <c r="FD48" s="39">
        <f>SUMIFS(Lançamentos!$G:$G,Lançamentos!$A:$A,FD$19,Lançamentos!$C:$C,"Empréstimos e Financiamentos")</f>
        <v>0</v>
      </c>
      <c r="FE48" s="39">
        <f>SUMIFS(Lançamentos!$G:$G,Lançamentos!$A:$A,FE$19,Lançamentos!$C:$C,"Empréstimos e Financiamentos")</f>
        <v>0</v>
      </c>
      <c r="FF48" s="39">
        <f>SUMIFS(Lançamentos!$G:$G,Lançamentos!$A:$A,FF$19,Lançamentos!$C:$C,"Empréstimos e Financiamentos")</f>
        <v>0</v>
      </c>
      <c r="FG48" s="39">
        <f>SUMIFS(Lançamentos!$G:$G,Lançamentos!$A:$A,FG$19,Lançamentos!$C:$C,"Empréstimos e Financiamentos")</f>
        <v>0</v>
      </c>
      <c r="FH48" s="39">
        <f>SUMIFS(Lançamentos!$G:$G,Lançamentos!$A:$A,FH$19,Lançamentos!$C:$C,"Empréstimos e Financiamentos")</f>
        <v>0</v>
      </c>
      <c r="FI48" s="39">
        <f>SUMIFS(Lançamentos!$G:$G,Lançamentos!$A:$A,FI$19,Lançamentos!$C:$C,"Empréstimos e Financiamentos")</f>
        <v>0</v>
      </c>
      <c r="FJ48" s="39">
        <f>SUMIFS(Lançamentos!$G:$G,Lançamentos!$A:$A,FJ$19,Lançamentos!$C:$C,"Empréstimos e Financiamentos")</f>
        <v>0</v>
      </c>
      <c r="FK48" s="39">
        <f>SUMIFS(Lançamentos!$G:$G,Lançamentos!$A:$A,FK$19,Lançamentos!$C:$C,"Empréstimos e Financiamentos")</f>
        <v>0</v>
      </c>
      <c r="FL48" s="39">
        <f>SUMIFS(Lançamentos!$G:$G,Lançamentos!$A:$A,FL$19,Lançamentos!$C:$C,"Empréstimos e Financiamentos")</f>
        <v>0</v>
      </c>
      <c r="FM48" s="39">
        <f>SUMIFS(Lançamentos!$G:$G,Lançamentos!$A:$A,FM$19,Lançamentos!$C:$C,"Empréstimos e Financiamentos")</f>
        <v>0</v>
      </c>
      <c r="FN48" s="39">
        <f>SUMIFS(Lançamentos!$G:$G,Lançamentos!$A:$A,FN$19,Lançamentos!$C:$C,"Empréstimos e Financiamentos")</f>
        <v>0</v>
      </c>
      <c r="FO48" s="39">
        <f>SUMIFS(Lançamentos!$G:$G,Lançamentos!$A:$A,FO$19,Lançamentos!$C:$C,"Empréstimos e Financiamentos")</f>
        <v>0</v>
      </c>
      <c r="FP48" s="39">
        <f>SUMIFS(Lançamentos!$G:$G,Lançamentos!$A:$A,FP$19,Lançamentos!$C:$C,"Empréstimos e Financiamentos")</f>
        <v>0</v>
      </c>
      <c r="FQ48" s="39">
        <f>SUMIFS(Lançamentos!$G:$G,Lançamentos!$A:$A,FQ$19,Lançamentos!$C:$C,"Empréstimos e Financiamentos")</f>
        <v>0</v>
      </c>
      <c r="FR48" s="39">
        <f>SUMIFS(Lançamentos!$G:$G,Lançamentos!$A:$A,FR$19,Lançamentos!$C:$C,"Empréstimos e Financiamentos")</f>
        <v>0</v>
      </c>
      <c r="FS48" s="39">
        <f>SUMIFS(Lançamentos!$G:$G,Lançamentos!$A:$A,FS$19,Lançamentos!$C:$C,"Empréstimos e Financiamentos")</f>
        <v>0</v>
      </c>
      <c r="FT48" s="39">
        <f>SUMIFS(Lançamentos!$G:$G,Lançamentos!$A:$A,FT$19,Lançamentos!$C:$C,"Empréstimos e Financiamentos")</f>
        <v>0</v>
      </c>
      <c r="FU48" s="39">
        <f>SUMIFS(Lançamentos!$G:$G,Lançamentos!$A:$A,FU$19,Lançamentos!$C:$C,"Empréstimos e Financiamentos")</f>
        <v>0</v>
      </c>
      <c r="FV48" s="39">
        <f>SUMIFS(Lançamentos!$G:$G,Lançamentos!$A:$A,FV$19,Lançamentos!$C:$C,"Empréstimos e Financiamentos")</f>
        <v>0</v>
      </c>
      <c r="FW48" s="39">
        <f>SUMIFS(Lançamentos!$G:$G,Lançamentos!$A:$A,FW$19,Lançamentos!$C:$C,"Empréstimos e Financiamentos")</f>
        <v>0</v>
      </c>
      <c r="FX48" s="39">
        <f>SUMIFS(Lançamentos!$G:$G,Lançamentos!$A:$A,FX$19,Lançamentos!$C:$C,"Empréstimos e Financiamentos")</f>
        <v>0</v>
      </c>
      <c r="FY48" s="39">
        <f>SUMIFS(Lançamentos!$G:$G,Lançamentos!$A:$A,FY$19,Lançamentos!$C:$C,"Empréstimos e Financiamentos")</f>
        <v>0</v>
      </c>
      <c r="FZ48" s="39">
        <f>SUMIFS(Lançamentos!$G:$G,Lançamentos!$A:$A,FZ$19,Lançamentos!$C:$C,"Empréstimos e Financiamentos")</f>
        <v>0</v>
      </c>
      <c r="GA48" s="39">
        <f>SUMIFS(Lançamentos!$G:$G,Lançamentos!$A:$A,GA$19,Lançamentos!$C:$C,"Empréstimos e Financiamentos")</f>
        <v>0</v>
      </c>
      <c r="GB48" s="39">
        <f>SUMIFS(Lançamentos!$G:$G,Lançamentos!$A:$A,GB$19,Lançamentos!$C:$C,"Empréstimos e Financiamentos")</f>
        <v>0</v>
      </c>
      <c r="GC48" s="39">
        <f>SUMIFS(Lançamentos!$G:$G,Lançamentos!$A:$A,GC$19,Lançamentos!$C:$C,"Empréstimos e Financiamentos")</f>
        <v>0</v>
      </c>
      <c r="GD48" s="39">
        <f>SUMIFS(Lançamentos!$G:$G,Lançamentos!$A:$A,GD$19,Lançamentos!$C:$C,"Empréstimos e Financiamentos")</f>
        <v>0</v>
      </c>
      <c r="GE48" s="39">
        <f>SUMIFS(Lançamentos!$G:$G,Lançamentos!$A:$A,GE$19,Lançamentos!$C:$C,"Empréstimos e Financiamentos")</f>
        <v>0</v>
      </c>
      <c r="GF48" s="39">
        <f>SUMIFS(Lançamentos!$G:$G,Lançamentos!$A:$A,GF$19,Lançamentos!$C:$C,"Empréstimos e Financiamentos")</f>
        <v>0</v>
      </c>
      <c r="GG48" s="39">
        <f>SUMIFS(Lançamentos!$G:$G,Lançamentos!$A:$A,GG$19,Lançamentos!$C:$C,"Empréstimos e Financiamentos")</f>
        <v>0</v>
      </c>
      <c r="GH48" s="39">
        <f>SUMIFS(Lançamentos!$G:$G,Lançamentos!$A:$A,GH$19,Lançamentos!$C:$C,"Empréstimos e Financiamentos")</f>
        <v>0</v>
      </c>
      <c r="GI48" s="39">
        <f>SUMIFS(Lançamentos!$G:$G,Lançamentos!$A:$A,GI$19,Lançamentos!$C:$C,"Empréstimos e Financiamentos")</f>
        <v>0</v>
      </c>
      <c r="GJ48" s="39">
        <f>SUMIFS(Lançamentos!$G:$G,Lançamentos!$A:$A,GJ$19,Lançamentos!$C:$C,"Empréstimos e Financiamentos")</f>
        <v>0</v>
      </c>
      <c r="GK48" s="39">
        <f>SUMIFS(Lançamentos!$G:$G,Lançamentos!$A:$A,GK$19,Lançamentos!$C:$C,"Empréstimos e Financiamentos")</f>
        <v>0</v>
      </c>
      <c r="GL48" s="39">
        <f>SUMIFS(Lançamentos!$G:$G,Lançamentos!$A:$A,GL$19,Lançamentos!$C:$C,"Empréstimos e Financiamentos")</f>
        <v>0</v>
      </c>
      <c r="GM48" s="39">
        <f>SUMIFS(Lançamentos!$G:$G,Lançamentos!$A:$A,GM$19,Lançamentos!$C:$C,"Empréstimos e Financiamentos")</f>
        <v>0</v>
      </c>
      <c r="GN48" s="39">
        <f>SUMIFS(Lançamentos!$G:$G,Lançamentos!$A:$A,GN$19,Lançamentos!$C:$C,"Empréstimos e Financiamentos")</f>
        <v>0</v>
      </c>
      <c r="GO48" s="39">
        <f>SUMIFS(Lançamentos!$G:$G,Lançamentos!$A:$A,GO$19,Lançamentos!$C:$C,"Empréstimos e Financiamentos")</f>
        <v>0</v>
      </c>
      <c r="GP48" s="39">
        <f>SUMIFS(Lançamentos!$G:$G,Lançamentos!$A:$A,GP$19,Lançamentos!$C:$C,"Empréstimos e Financiamentos")</f>
        <v>0</v>
      </c>
      <c r="GQ48" s="39">
        <f>SUMIFS(Lançamentos!$G:$G,Lançamentos!$A:$A,GQ$19,Lançamentos!$C:$C,"Empréstimos e Financiamentos")</f>
        <v>0</v>
      </c>
      <c r="GR48" s="39">
        <f>SUMIFS(Lançamentos!$G:$G,Lançamentos!$A:$A,GR$19,Lançamentos!$C:$C,"Empréstimos e Financiamentos")</f>
        <v>0</v>
      </c>
      <c r="GS48" s="39">
        <f>SUMIFS(Lançamentos!$G:$G,Lançamentos!$A:$A,GS$19,Lançamentos!$C:$C,"Empréstimos e Financiamentos")</f>
        <v>0</v>
      </c>
      <c r="GT48" s="39">
        <f>SUMIFS(Lançamentos!$G:$G,Lançamentos!$A:$A,GT$19,Lançamentos!$C:$C,"Empréstimos e Financiamentos")</f>
        <v>0</v>
      </c>
      <c r="GU48" s="39">
        <f>SUMIFS(Lançamentos!$G:$G,Lançamentos!$A:$A,GU$19,Lançamentos!$C:$C,"Empréstimos e Financiamentos")</f>
        <v>0</v>
      </c>
      <c r="GV48" s="39">
        <f>SUMIFS(Lançamentos!$G:$G,Lançamentos!$A:$A,GV$19,Lançamentos!$C:$C,"Empréstimos e Financiamentos")</f>
        <v>0</v>
      </c>
      <c r="GW48" s="39">
        <f>SUMIFS(Lançamentos!$G:$G,Lançamentos!$A:$A,GW$19,Lançamentos!$C:$C,"Empréstimos e Financiamentos")</f>
        <v>0</v>
      </c>
      <c r="GX48" s="39">
        <f>SUMIFS(Lançamentos!$G:$G,Lançamentos!$A:$A,GX$19,Lançamentos!$C:$C,"Empréstimos e Financiamentos")</f>
        <v>0</v>
      </c>
      <c r="GY48" s="39">
        <f>SUMIFS(Lançamentos!$G:$G,Lançamentos!$A:$A,GY$19,Lançamentos!$C:$C,"Empréstimos e Financiamentos")</f>
        <v>0</v>
      </c>
      <c r="GZ48" s="39">
        <f>SUMIFS(Lançamentos!$G:$G,Lançamentos!$A:$A,GZ$19,Lançamentos!$C:$C,"Empréstimos e Financiamentos")</f>
        <v>0</v>
      </c>
      <c r="HA48" s="39">
        <f>SUMIFS(Lançamentos!$G:$G,Lançamentos!$A:$A,HA$19,Lançamentos!$C:$C,"Empréstimos e Financiamentos")</f>
        <v>0</v>
      </c>
      <c r="HB48" s="39">
        <f>SUMIFS(Lançamentos!$G:$G,Lançamentos!$A:$A,HB$19,Lançamentos!$C:$C,"Empréstimos e Financiamentos")</f>
        <v>0</v>
      </c>
      <c r="HC48" s="39">
        <f>SUMIFS(Lançamentos!$G:$G,Lançamentos!$A:$A,HC$19,Lançamentos!$C:$C,"Empréstimos e Financiamentos")</f>
        <v>0</v>
      </c>
      <c r="HD48" s="39">
        <f>SUMIFS(Lançamentos!$G:$G,Lançamentos!$A:$A,HD$19,Lançamentos!$C:$C,"Empréstimos e Financiamentos")</f>
        <v>0</v>
      </c>
      <c r="HE48" s="39">
        <f>SUMIFS(Lançamentos!$G:$G,Lançamentos!$A:$A,HE$19,Lançamentos!$C:$C,"Empréstimos e Financiamentos")</f>
        <v>0</v>
      </c>
      <c r="HF48" s="39">
        <f>SUMIFS(Lançamentos!$G:$G,Lançamentos!$A:$A,HF$19,Lançamentos!$C:$C,"Empréstimos e Financiamentos")</f>
        <v>0</v>
      </c>
      <c r="HG48" s="39">
        <f>SUMIFS(Lançamentos!$G:$G,Lançamentos!$A:$A,HG$19,Lançamentos!$C:$C,"Empréstimos e Financiamentos")</f>
        <v>0</v>
      </c>
      <c r="HH48" s="39">
        <f>SUMIFS(Lançamentos!$G:$G,Lançamentos!$A:$A,HH$19,Lançamentos!$C:$C,"Empréstimos e Financiamentos")</f>
        <v>0</v>
      </c>
      <c r="HI48" s="39">
        <f>SUMIFS(Lançamentos!$G:$G,Lançamentos!$A:$A,HI$19,Lançamentos!$C:$C,"Empréstimos e Financiamentos")</f>
        <v>0</v>
      </c>
      <c r="HJ48" s="39">
        <f>SUMIFS(Lançamentos!$G:$G,Lançamentos!$A:$A,HJ$19,Lançamentos!$C:$C,"Empréstimos e Financiamentos")</f>
        <v>0</v>
      </c>
      <c r="HK48" s="39">
        <f>SUMIFS(Lançamentos!$G:$G,Lançamentos!$A:$A,HK$19,Lançamentos!$C:$C,"Empréstimos e Financiamentos")</f>
        <v>0</v>
      </c>
      <c r="HL48" s="39">
        <f>SUMIFS(Lançamentos!$G:$G,Lançamentos!$A:$A,HL$19,Lançamentos!$C:$C,"Empréstimos e Financiamentos")</f>
        <v>0</v>
      </c>
      <c r="HM48" s="39">
        <f>SUMIFS(Lançamentos!$G:$G,Lançamentos!$A:$A,HM$19,Lançamentos!$C:$C,"Empréstimos e Financiamentos")</f>
        <v>0</v>
      </c>
      <c r="HN48" s="39">
        <f>SUMIFS(Lançamentos!$G:$G,Lançamentos!$A:$A,HN$19,Lançamentos!$C:$C,"Empréstimos e Financiamentos")</f>
        <v>0</v>
      </c>
      <c r="HO48" s="39">
        <f>SUMIFS(Lançamentos!$G:$G,Lançamentos!$A:$A,HO$19,Lançamentos!$C:$C,"Empréstimos e Financiamentos")</f>
        <v>0</v>
      </c>
      <c r="HP48" s="39">
        <f>SUMIFS(Lançamentos!$G:$G,Lançamentos!$A:$A,HP$19,Lançamentos!$C:$C,"Empréstimos e Financiamentos")</f>
        <v>0</v>
      </c>
      <c r="HQ48" s="39">
        <f>SUMIFS(Lançamentos!$G:$G,Lançamentos!$A:$A,HQ$19,Lançamentos!$C:$C,"Empréstimos e Financiamentos")</f>
        <v>0</v>
      </c>
      <c r="HR48" s="39">
        <f>SUMIFS(Lançamentos!$G:$G,Lançamentos!$A:$A,HR$19,Lançamentos!$C:$C,"Empréstimos e Financiamentos")</f>
        <v>0</v>
      </c>
      <c r="HS48" s="39">
        <f>SUMIFS(Lançamentos!$G:$G,Lançamentos!$A:$A,HS$19,Lançamentos!$C:$C,"Empréstimos e Financiamentos")</f>
        <v>0</v>
      </c>
      <c r="HT48" s="39">
        <f>SUMIFS(Lançamentos!$G:$G,Lançamentos!$A:$A,HT$19,Lançamentos!$C:$C,"Empréstimos e Financiamentos")</f>
        <v>0</v>
      </c>
      <c r="HU48" s="39">
        <f>SUMIFS(Lançamentos!$G:$G,Lançamentos!$A:$A,HU$19,Lançamentos!$C:$C,"Empréstimos e Financiamentos")</f>
        <v>0</v>
      </c>
      <c r="HV48" s="39">
        <f>SUMIFS(Lançamentos!$G:$G,Lançamentos!$A:$A,HV$19,Lançamentos!$C:$C,"Empréstimos e Financiamentos")</f>
        <v>0</v>
      </c>
      <c r="HW48" s="39">
        <f>SUMIFS(Lançamentos!$G:$G,Lançamentos!$A:$A,HW$19,Lançamentos!$C:$C,"Empréstimos e Financiamentos")</f>
        <v>0</v>
      </c>
      <c r="HX48" s="39">
        <f>SUMIFS(Lançamentos!$G:$G,Lançamentos!$A:$A,HX$19,Lançamentos!$C:$C,"Empréstimos e Financiamentos")</f>
        <v>0</v>
      </c>
      <c r="HY48" s="39">
        <f>SUMIFS(Lançamentos!$G:$G,Lançamentos!$A:$A,HY$19,Lançamentos!$C:$C,"Empréstimos e Financiamentos")</f>
        <v>0</v>
      </c>
      <c r="HZ48" s="39">
        <f>SUMIFS(Lançamentos!$G:$G,Lançamentos!$A:$A,HZ$19,Lançamentos!$C:$C,"Empréstimos e Financiamentos")</f>
        <v>0</v>
      </c>
      <c r="IA48" s="39">
        <f>SUMIFS(Lançamentos!$G:$G,Lançamentos!$A:$A,IA$19,Lançamentos!$C:$C,"Empréstimos e Financiamentos")</f>
        <v>0</v>
      </c>
      <c r="IB48" s="39">
        <f>SUMIFS(Lançamentos!$G:$G,Lançamentos!$A:$A,IB$19,Lançamentos!$C:$C,"Empréstimos e Financiamentos")</f>
        <v>0</v>
      </c>
      <c r="IC48" s="39">
        <f>SUMIFS(Lançamentos!$G:$G,Lançamentos!$A:$A,IC$19,Lançamentos!$C:$C,"Empréstimos e Financiamentos")</f>
        <v>0</v>
      </c>
      <c r="ID48" s="39">
        <f>SUMIFS(Lançamentos!$G:$G,Lançamentos!$A:$A,ID$19,Lançamentos!$C:$C,"Empréstimos e Financiamentos")</f>
        <v>0</v>
      </c>
      <c r="IE48" s="39">
        <f>SUMIFS(Lançamentos!$G:$G,Lançamentos!$A:$A,IE$19,Lançamentos!$C:$C,"Empréstimos e Financiamentos")</f>
        <v>0</v>
      </c>
      <c r="IF48" s="39">
        <f>SUMIFS(Lançamentos!$G:$G,Lançamentos!$A:$A,IF$19,Lançamentos!$C:$C,"Empréstimos e Financiamentos")</f>
        <v>0</v>
      </c>
      <c r="IG48" s="39">
        <f>SUMIFS(Lançamentos!$G:$G,Lançamentos!$A:$A,IG$19,Lançamentos!$C:$C,"Empréstimos e Financiamentos")</f>
        <v>0</v>
      </c>
      <c r="IH48" s="39">
        <f>SUMIFS(Lançamentos!$G:$G,Lançamentos!$A:$A,IH$19,Lançamentos!$C:$C,"Empréstimos e Financiamentos")</f>
        <v>0</v>
      </c>
      <c r="II48" s="39">
        <f>SUMIFS(Lançamentos!$G:$G,Lançamentos!$A:$A,II$19,Lançamentos!$C:$C,"Empréstimos e Financiamentos")</f>
        <v>0</v>
      </c>
      <c r="IJ48" s="39">
        <f>SUMIFS(Lançamentos!$G:$G,Lançamentos!$A:$A,IJ$19,Lançamentos!$C:$C,"Empréstimos e Financiamentos")</f>
        <v>0</v>
      </c>
      <c r="IK48" s="39">
        <f>SUMIFS(Lançamentos!$G:$G,Lançamentos!$A:$A,IK$19,Lançamentos!$C:$C,"Empréstimos e Financiamentos")</f>
        <v>0</v>
      </c>
      <c r="IL48" s="39">
        <f>SUMIFS(Lançamentos!$G:$G,Lançamentos!$A:$A,IL$19,Lançamentos!$C:$C,"Empréstimos e Financiamentos")</f>
        <v>0</v>
      </c>
    </row>
    <row r="49" spans="1:246" x14ac:dyDescent="0.3">
      <c r="A49" t="s">
        <v>28</v>
      </c>
      <c r="B49" s="39">
        <f>SUMIFS(Lançamentos!$G:$G,Lançamentos!$A:$A,B$19,Lançamentos!$C:$C,"Impostos sobre Lucro")</f>
        <v>0</v>
      </c>
      <c r="C49" s="39">
        <f>SUMIFS(Lançamentos!$G:$G,Lançamentos!$A:$A,C$19,Lançamentos!$C:$C,"Impostos sobre Lucro")</f>
        <v>0</v>
      </c>
      <c r="D49" s="39">
        <f>SUMIFS(Lançamentos!$G:$G,Lançamentos!$A:$A,D$19,Lançamentos!$C:$C,"Impostos sobre Lucro")</f>
        <v>0</v>
      </c>
      <c r="E49" s="39">
        <f>SUMIFS(Lançamentos!$G:$G,Lançamentos!$A:$A,E$19,Lançamentos!$C:$C,"Impostos sobre Lucro")</f>
        <v>0</v>
      </c>
      <c r="F49" s="39">
        <f>SUMIFS(Lançamentos!$G:$G,Lançamentos!$A:$A,F$19,Lançamentos!$C:$C,"Impostos sobre Lucro")</f>
        <v>0</v>
      </c>
      <c r="G49" s="39">
        <f>SUMIFS(Lançamentos!$G:$G,Lançamentos!$A:$A,G$19,Lançamentos!$C:$C,"Impostos sobre Lucro")</f>
        <v>0</v>
      </c>
      <c r="H49" s="39">
        <f>SUMIFS(Lançamentos!$G:$G,Lançamentos!$A:$A,H$19,Lançamentos!$C:$C,"Impostos sobre Lucro")</f>
        <v>0</v>
      </c>
      <c r="I49" s="39">
        <f>SUMIFS(Lançamentos!$G:$G,Lançamentos!$A:$A,I$19,Lançamentos!$C:$C,"Impostos sobre Lucro")</f>
        <v>0</v>
      </c>
      <c r="J49" s="39">
        <f>SUMIFS(Lançamentos!$G:$G,Lançamentos!$A:$A,J$19,Lançamentos!$C:$C,"Impostos sobre Lucro")</f>
        <v>0</v>
      </c>
      <c r="K49" s="39">
        <f>SUMIFS(Lançamentos!$G:$G,Lançamentos!$A:$A,K$19,Lançamentos!$C:$C,"Impostos sobre Lucro")</f>
        <v>0</v>
      </c>
      <c r="L49" s="39">
        <f>SUMIFS(Lançamentos!$G:$G,Lançamentos!$A:$A,L$19,Lançamentos!$C:$C,"Impostos sobre Lucro")</f>
        <v>0</v>
      </c>
      <c r="M49" s="39">
        <f>SUMIFS(Lançamentos!$G:$G,Lançamentos!$A:$A,M$19,Lançamentos!$C:$C,"Impostos sobre Lucro")</f>
        <v>0</v>
      </c>
      <c r="N49" s="39">
        <f>SUMIFS(Lançamentos!$G:$G,Lançamentos!$A:$A,N$19,Lançamentos!$C:$C,"Impostos sobre Lucro")</f>
        <v>0</v>
      </c>
      <c r="O49" s="39">
        <f>SUMIFS(Lançamentos!$G:$G,Lançamentos!$A:$A,O$19,Lançamentos!$C:$C,"Impostos sobre Lucro")</f>
        <v>0</v>
      </c>
      <c r="P49" s="39">
        <f>SUMIFS(Lançamentos!$G:$G,Lançamentos!$A:$A,P$19,Lançamentos!$C:$C,"Impostos sobre Lucro")</f>
        <v>0</v>
      </c>
      <c r="Q49" s="39">
        <f>SUMIFS(Lançamentos!$G:$G,Lançamentos!$A:$A,Q$19,Lançamentos!$C:$C,"Impostos sobre Lucro")</f>
        <v>0</v>
      </c>
      <c r="R49" s="39">
        <f>SUMIFS(Lançamentos!$G:$G,Lançamentos!$A:$A,R$19,Lançamentos!$C:$C,"Impostos sobre Lucro")</f>
        <v>0</v>
      </c>
      <c r="S49" s="39">
        <f>SUMIFS(Lançamentos!$G:$G,Lançamentos!$A:$A,S$19,Lançamentos!$C:$C,"Impostos sobre Lucro")</f>
        <v>0</v>
      </c>
      <c r="T49" s="39">
        <f>SUMIFS(Lançamentos!$G:$G,Lançamentos!$A:$A,T$19,Lançamentos!$C:$C,"Impostos sobre Lucro")</f>
        <v>0</v>
      </c>
      <c r="U49" s="39">
        <f>SUMIFS(Lançamentos!$G:$G,Lançamentos!$A:$A,U$19,Lançamentos!$C:$C,"Impostos sobre Lucro")</f>
        <v>0</v>
      </c>
      <c r="V49" s="39">
        <f>SUMIFS(Lançamentos!$G:$G,Lançamentos!$A:$A,V$19,Lançamentos!$C:$C,"Impostos sobre Lucro")</f>
        <v>0</v>
      </c>
      <c r="W49" s="39">
        <f>SUMIFS(Lançamentos!$G:$G,Lançamentos!$A:$A,W$19,Lançamentos!$C:$C,"Impostos sobre Lucro")</f>
        <v>0</v>
      </c>
      <c r="X49" s="39">
        <f>SUMIFS(Lançamentos!$G:$G,Lançamentos!$A:$A,X$19,Lançamentos!$C:$C,"Impostos sobre Lucro")</f>
        <v>0</v>
      </c>
      <c r="Y49" s="39">
        <f>SUMIFS(Lançamentos!$G:$G,Lançamentos!$A:$A,Y$19,Lançamentos!$C:$C,"Impostos sobre Lucro")</f>
        <v>0</v>
      </c>
      <c r="Z49" s="39">
        <f>SUMIFS(Lançamentos!$G:$G,Lançamentos!$A:$A,Z$19,Lançamentos!$C:$C,"Impostos sobre Lucro")</f>
        <v>0</v>
      </c>
      <c r="AA49" s="39">
        <f>SUMIFS(Lançamentos!$G:$G,Lançamentos!$A:$A,AA$19,Lançamentos!$C:$C,"Impostos sobre Lucro")</f>
        <v>0</v>
      </c>
      <c r="AB49" s="39">
        <f>SUMIFS(Lançamentos!$G:$G,Lançamentos!$A:$A,AB$19,Lançamentos!$C:$C,"Impostos sobre Lucro")</f>
        <v>0</v>
      </c>
      <c r="AC49" s="39">
        <f>SUMIFS(Lançamentos!$G:$G,Lançamentos!$A:$A,AC$19,Lançamentos!$C:$C,"Impostos sobre Lucro")</f>
        <v>0</v>
      </c>
      <c r="AD49" s="39">
        <f>SUMIFS(Lançamentos!$G:$G,Lançamentos!$A:$A,AD$19,Lançamentos!$C:$C,"Impostos sobre Lucro")</f>
        <v>0</v>
      </c>
      <c r="AE49" s="39">
        <f>SUMIFS(Lançamentos!$G:$G,Lançamentos!$A:$A,AE$19,Lançamentos!$C:$C,"Impostos sobre Lucro")</f>
        <v>0</v>
      </c>
      <c r="AF49" s="39">
        <f>SUMIFS(Lançamentos!$G:$G,Lançamentos!$A:$A,AF$19,Lançamentos!$C:$C,"Impostos sobre Lucro")</f>
        <v>0</v>
      </c>
      <c r="AG49" s="39">
        <f>SUMIFS(Lançamentos!$G:$G,Lançamentos!$A:$A,AG$19,Lançamentos!$C:$C,"Impostos sobre Lucro")</f>
        <v>0</v>
      </c>
      <c r="AH49" s="39">
        <f>SUMIFS(Lançamentos!$G:$G,Lançamentos!$A:$A,AH$19,Lançamentos!$C:$C,"Impostos sobre Lucro")</f>
        <v>0</v>
      </c>
      <c r="AI49" s="39">
        <f>SUMIFS(Lançamentos!$G:$G,Lançamentos!$A:$A,AI$19,Lançamentos!$C:$C,"Impostos sobre Lucro")</f>
        <v>0</v>
      </c>
      <c r="AJ49" s="39">
        <f>SUMIFS(Lançamentos!$G:$G,Lançamentos!$A:$A,AJ$19,Lançamentos!$C:$C,"Impostos sobre Lucro")</f>
        <v>0</v>
      </c>
      <c r="AK49" s="39">
        <f>SUMIFS(Lançamentos!$G:$G,Lançamentos!$A:$A,AK$19,Lançamentos!$C:$C,"Impostos sobre Lucro")</f>
        <v>0</v>
      </c>
      <c r="AL49" s="39">
        <f>SUMIFS(Lançamentos!$G:$G,Lançamentos!$A:$A,AL$19,Lançamentos!$C:$C,"Impostos sobre Lucro")</f>
        <v>0</v>
      </c>
      <c r="AM49" s="39">
        <f>SUMIFS(Lançamentos!$G:$G,Lançamentos!$A:$A,AM$19,Lançamentos!$C:$C,"Impostos sobre Lucro")</f>
        <v>0</v>
      </c>
      <c r="AN49" s="39">
        <f>SUMIFS(Lançamentos!$G:$G,Lançamentos!$A:$A,AN$19,Lançamentos!$C:$C,"Impostos sobre Lucro")</f>
        <v>0</v>
      </c>
      <c r="AO49" s="39">
        <f>SUMIFS(Lançamentos!$G:$G,Lançamentos!$A:$A,AO$19,Lançamentos!$C:$C,"Impostos sobre Lucro")</f>
        <v>0</v>
      </c>
      <c r="AP49" s="39">
        <f>SUMIFS(Lançamentos!$G:$G,Lançamentos!$A:$A,AP$19,Lançamentos!$C:$C,"Impostos sobre Lucro")</f>
        <v>0</v>
      </c>
      <c r="AQ49" s="39">
        <f>SUMIFS(Lançamentos!$G:$G,Lançamentos!$A:$A,AQ$19,Lançamentos!$C:$C,"Impostos sobre Lucro")</f>
        <v>0</v>
      </c>
      <c r="AR49" s="39">
        <f>SUMIFS(Lançamentos!$G:$G,Lançamentos!$A:$A,AR$19,Lançamentos!$C:$C,"Impostos sobre Lucro")</f>
        <v>0</v>
      </c>
      <c r="AS49" s="39">
        <f>SUMIFS(Lançamentos!$G:$G,Lançamentos!$A:$A,AS$19,Lançamentos!$C:$C,"Impostos sobre Lucro")</f>
        <v>0</v>
      </c>
      <c r="AT49" s="39">
        <f>SUMIFS(Lançamentos!$G:$G,Lançamentos!$A:$A,AT$19,Lançamentos!$C:$C,"Impostos sobre Lucro")</f>
        <v>0</v>
      </c>
      <c r="AU49" s="39">
        <f>SUMIFS(Lançamentos!$G:$G,Lançamentos!$A:$A,AU$19,Lançamentos!$C:$C,"Impostos sobre Lucro")</f>
        <v>0</v>
      </c>
      <c r="AV49" s="39">
        <f>SUMIFS(Lançamentos!$G:$G,Lançamentos!$A:$A,AV$19,Lançamentos!$C:$C,"Impostos sobre Lucro")</f>
        <v>0</v>
      </c>
      <c r="AW49" s="39">
        <f>SUMIFS(Lançamentos!$G:$G,Lançamentos!$A:$A,AW$19,Lançamentos!$C:$C,"Impostos sobre Lucro")</f>
        <v>0</v>
      </c>
      <c r="AX49" s="39">
        <f>SUMIFS(Lançamentos!$G:$G,Lançamentos!$A:$A,AX$19,Lançamentos!$C:$C,"Impostos sobre Lucro")</f>
        <v>0</v>
      </c>
      <c r="AY49" s="39">
        <f>SUMIFS(Lançamentos!$G:$G,Lançamentos!$A:$A,AY$19,Lançamentos!$C:$C,"Impostos sobre Lucro")</f>
        <v>0</v>
      </c>
      <c r="AZ49" s="39">
        <f>SUMIFS(Lançamentos!$G:$G,Lançamentos!$A:$A,AZ$19,Lançamentos!$C:$C,"Impostos sobre Lucro")</f>
        <v>0</v>
      </c>
      <c r="BA49" s="39">
        <f>SUMIFS(Lançamentos!$G:$G,Lançamentos!$A:$A,BA$19,Lançamentos!$C:$C,"Impostos sobre Lucro")</f>
        <v>0</v>
      </c>
      <c r="BB49" s="39">
        <f>SUMIFS(Lançamentos!$G:$G,Lançamentos!$A:$A,BB$19,Lançamentos!$C:$C,"Impostos sobre Lucro")</f>
        <v>0</v>
      </c>
      <c r="BC49" s="39">
        <f>SUMIFS(Lançamentos!$G:$G,Lançamentos!$A:$A,BC$19,Lançamentos!$C:$C,"Impostos sobre Lucro")</f>
        <v>0</v>
      </c>
      <c r="BD49" s="39">
        <f>SUMIFS(Lançamentos!$G:$G,Lançamentos!$A:$A,BD$19,Lançamentos!$C:$C,"Impostos sobre Lucro")</f>
        <v>0</v>
      </c>
      <c r="BE49" s="39">
        <f>SUMIFS(Lançamentos!$G:$G,Lançamentos!$A:$A,BE$19,Lançamentos!$C:$C,"Impostos sobre Lucro")</f>
        <v>0</v>
      </c>
      <c r="BF49" s="39">
        <f>SUMIFS(Lançamentos!$G:$G,Lançamentos!$A:$A,BF$19,Lançamentos!$C:$C,"Impostos sobre Lucro")</f>
        <v>0</v>
      </c>
      <c r="BG49" s="39">
        <f>SUMIFS(Lançamentos!$G:$G,Lançamentos!$A:$A,BG$19,Lançamentos!$C:$C,"Impostos sobre Lucro")</f>
        <v>0</v>
      </c>
      <c r="BH49" s="39">
        <f>SUMIFS(Lançamentos!$G:$G,Lançamentos!$A:$A,BH$19,Lançamentos!$C:$C,"Impostos sobre Lucro")</f>
        <v>0</v>
      </c>
      <c r="BI49" s="39">
        <f>SUMIFS(Lançamentos!$G:$G,Lançamentos!$A:$A,BI$19,Lançamentos!$C:$C,"Impostos sobre Lucro")</f>
        <v>0</v>
      </c>
      <c r="BJ49" s="39">
        <f>SUMIFS(Lançamentos!$G:$G,Lançamentos!$A:$A,BJ$19,Lançamentos!$C:$C,"Impostos sobre Lucro")</f>
        <v>0</v>
      </c>
      <c r="BK49" s="39">
        <f>SUMIFS(Lançamentos!$G:$G,Lançamentos!$A:$A,BK$19,Lançamentos!$C:$C,"Impostos sobre Lucro")</f>
        <v>0</v>
      </c>
      <c r="BL49" s="39">
        <f>SUMIFS(Lançamentos!$G:$G,Lançamentos!$A:$A,BL$19,Lançamentos!$C:$C,"Impostos sobre Lucro")</f>
        <v>0</v>
      </c>
      <c r="BM49" s="39">
        <f>SUMIFS(Lançamentos!$G:$G,Lançamentos!$A:$A,BM$19,Lançamentos!$C:$C,"Impostos sobre Lucro")</f>
        <v>0</v>
      </c>
      <c r="BN49" s="39">
        <f>SUMIFS(Lançamentos!$G:$G,Lançamentos!$A:$A,BN$19,Lançamentos!$C:$C,"Impostos sobre Lucro")</f>
        <v>0</v>
      </c>
      <c r="BO49" s="39">
        <f>SUMIFS(Lançamentos!$G:$G,Lançamentos!$A:$A,BO$19,Lançamentos!$C:$C,"Impostos sobre Lucro")</f>
        <v>0</v>
      </c>
      <c r="BP49" s="39">
        <f>SUMIFS(Lançamentos!$G:$G,Lançamentos!$A:$A,BP$19,Lançamentos!$C:$C,"Impostos sobre Lucro")</f>
        <v>0</v>
      </c>
      <c r="BQ49" s="39">
        <f>SUMIFS(Lançamentos!$G:$G,Lançamentos!$A:$A,BQ$19,Lançamentos!$C:$C,"Impostos sobre Lucro")</f>
        <v>0</v>
      </c>
      <c r="BR49" s="39">
        <f>SUMIFS(Lançamentos!$G:$G,Lançamentos!$A:$A,BR$19,Lançamentos!$C:$C,"Impostos sobre Lucro")</f>
        <v>0</v>
      </c>
      <c r="BS49" s="39">
        <f>SUMIFS(Lançamentos!$G:$G,Lançamentos!$A:$A,BS$19,Lançamentos!$C:$C,"Impostos sobre Lucro")</f>
        <v>0</v>
      </c>
      <c r="BT49" s="39">
        <f>SUMIFS(Lançamentos!$G:$G,Lançamentos!$A:$A,BT$19,Lançamentos!$C:$C,"Impostos sobre Lucro")</f>
        <v>0</v>
      </c>
      <c r="BU49" s="39">
        <f>SUMIFS(Lançamentos!$G:$G,Lançamentos!$A:$A,BU$19,Lançamentos!$C:$C,"Impostos sobre Lucro")</f>
        <v>0</v>
      </c>
      <c r="BV49" s="39">
        <f>SUMIFS(Lançamentos!$G:$G,Lançamentos!$A:$A,BV$19,Lançamentos!$C:$C,"Impostos sobre Lucro")</f>
        <v>0</v>
      </c>
      <c r="BW49" s="39">
        <f>SUMIFS(Lançamentos!$G:$G,Lançamentos!$A:$A,BW$19,Lançamentos!$C:$C,"Impostos sobre Lucro")</f>
        <v>0</v>
      </c>
      <c r="BX49" s="39">
        <f>SUMIFS(Lançamentos!$G:$G,Lançamentos!$A:$A,BX$19,Lançamentos!$C:$C,"Impostos sobre Lucro")</f>
        <v>0</v>
      </c>
      <c r="BY49" s="39">
        <f>SUMIFS(Lançamentos!$G:$G,Lançamentos!$A:$A,BY$19,Lançamentos!$C:$C,"Impostos sobre Lucro")</f>
        <v>0</v>
      </c>
      <c r="BZ49" s="39">
        <f>SUMIFS(Lançamentos!$G:$G,Lançamentos!$A:$A,BZ$19,Lançamentos!$C:$C,"Impostos sobre Lucro")</f>
        <v>0</v>
      </c>
      <c r="CA49" s="39">
        <f>SUMIFS(Lançamentos!$G:$G,Lançamentos!$A:$A,CA$19,Lançamentos!$C:$C,"Impostos sobre Lucro")</f>
        <v>0</v>
      </c>
      <c r="CB49" s="39">
        <f>SUMIFS(Lançamentos!$G:$G,Lançamentos!$A:$A,CB$19,Lançamentos!$C:$C,"Impostos sobre Lucro")</f>
        <v>0</v>
      </c>
      <c r="CC49" s="39">
        <f>SUMIFS(Lançamentos!$G:$G,Lançamentos!$A:$A,CC$19,Lançamentos!$C:$C,"Impostos sobre Lucro")</f>
        <v>0</v>
      </c>
      <c r="CD49" s="39">
        <f>SUMIFS(Lançamentos!$G:$G,Lançamentos!$A:$A,CD$19,Lançamentos!$C:$C,"Impostos sobre Lucro")</f>
        <v>0</v>
      </c>
      <c r="CE49" s="39">
        <f>SUMIFS(Lançamentos!$G:$G,Lançamentos!$A:$A,CE$19,Lançamentos!$C:$C,"Impostos sobre Lucro")</f>
        <v>0</v>
      </c>
      <c r="CF49" s="39">
        <f>SUMIFS(Lançamentos!$G:$G,Lançamentos!$A:$A,CF$19,Lançamentos!$C:$C,"Impostos sobre Lucro")</f>
        <v>0</v>
      </c>
      <c r="CG49" s="39">
        <f>SUMIFS(Lançamentos!$G:$G,Lançamentos!$A:$A,CG$19,Lançamentos!$C:$C,"Impostos sobre Lucro")</f>
        <v>0</v>
      </c>
      <c r="CH49" s="39">
        <f>SUMIFS(Lançamentos!$G:$G,Lançamentos!$A:$A,CH$19,Lançamentos!$C:$C,"Impostos sobre Lucro")</f>
        <v>0</v>
      </c>
      <c r="CI49" s="39">
        <f>SUMIFS(Lançamentos!$G:$G,Lançamentos!$A:$A,CI$19,Lançamentos!$C:$C,"Impostos sobre Lucro")</f>
        <v>0</v>
      </c>
      <c r="CJ49" s="39">
        <f>SUMIFS(Lançamentos!$G:$G,Lançamentos!$A:$A,CJ$19,Lançamentos!$C:$C,"Impostos sobre Lucro")</f>
        <v>0</v>
      </c>
      <c r="CK49" s="39">
        <f>SUMIFS(Lançamentos!$G:$G,Lançamentos!$A:$A,CK$19,Lançamentos!$C:$C,"Impostos sobre Lucro")</f>
        <v>0</v>
      </c>
      <c r="CL49" s="39">
        <f>SUMIFS(Lançamentos!$G:$G,Lançamentos!$A:$A,CL$19,Lançamentos!$C:$C,"Impostos sobre Lucro")</f>
        <v>0</v>
      </c>
      <c r="CM49" s="39">
        <f>SUMIFS(Lançamentos!$G:$G,Lançamentos!$A:$A,CM$19,Lançamentos!$C:$C,"Impostos sobre Lucro")</f>
        <v>0</v>
      </c>
      <c r="CN49" s="39">
        <f>SUMIFS(Lançamentos!$G:$G,Lançamentos!$A:$A,CN$19,Lançamentos!$C:$C,"Impostos sobre Lucro")</f>
        <v>0</v>
      </c>
      <c r="CO49" s="39">
        <f>SUMIFS(Lançamentos!$G:$G,Lançamentos!$A:$A,CO$19,Lançamentos!$C:$C,"Impostos sobre Lucro")</f>
        <v>0</v>
      </c>
      <c r="CP49" s="39">
        <f>SUMIFS(Lançamentos!$G:$G,Lançamentos!$A:$A,CP$19,Lançamentos!$C:$C,"Impostos sobre Lucro")</f>
        <v>0</v>
      </c>
      <c r="CQ49" s="39">
        <f>SUMIFS(Lançamentos!$G:$G,Lançamentos!$A:$A,CQ$19,Lançamentos!$C:$C,"Impostos sobre Lucro")</f>
        <v>0</v>
      </c>
      <c r="CR49" s="39">
        <f>SUMIFS(Lançamentos!$G:$G,Lançamentos!$A:$A,CR$19,Lançamentos!$C:$C,"Impostos sobre Lucro")</f>
        <v>0</v>
      </c>
      <c r="CS49" s="39">
        <f>SUMIFS(Lançamentos!$G:$G,Lançamentos!$A:$A,CS$19,Lançamentos!$C:$C,"Impostos sobre Lucro")</f>
        <v>0</v>
      </c>
      <c r="CT49" s="39">
        <f>SUMIFS(Lançamentos!$G:$G,Lançamentos!$A:$A,CT$19,Lançamentos!$C:$C,"Impostos sobre Lucro")</f>
        <v>0</v>
      </c>
      <c r="CU49" s="39">
        <f>SUMIFS(Lançamentos!$G:$G,Lançamentos!$A:$A,CU$19,Lançamentos!$C:$C,"Impostos sobre Lucro")</f>
        <v>0</v>
      </c>
      <c r="CV49" s="39">
        <f>SUMIFS(Lançamentos!$G:$G,Lançamentos!$A:$A,CV$19,Lançamentos!$C:$C,"Impostos sobre Lucro")</f>
        <v>0</v>
      </c>
      <c r="CW49" s="39">
        <f>SUMIFS(Lançamentos!$G:$G,Lançamentos!$A:$A,CW$19,Lançamentos!$C:$C,"Impostos sobre Lucro")</f>
        <v>0</v>
      </c>
      <c r="CX49" s="39">
        <f>SUMIFS(Lançamentos!$G:$G,Lançamentos!$A:$A,CX$19,Lançamentos!$C:$C,"Impostos sobre Lucro")</f>
        <v>0</v>
      </c>
      <c r="CY49" s="39">
        <f>SUMIFS(Lançamentos!$G:$G,Lançamentos!$A:$A,CY$19,Lançamentos!$C:$C,"Impostos sobre Lucro")</f>
        <v>0</v>
      </c>
      <c r="CZ49" s="39">
        <f>SUMIFS(Lançamentos!$G:$G,Lançamentos!$A:$A,CZ$19,Lançamentos!$C:$C,"Impostos sobre Lucro")</f>
        <v>0</v>
      </c>
      <c r="DA49" s="39">
        <f>SUMIFS(Lançamentos!$G:$G,Lançamentos!$A:$A,DA$19,Lançamentos!$C:$C,"Impostos sobre Lucro")</f>
        <v>0</v>
      </c>
      <c r="DB49" s="39">
        <f>SUMIFS(Lançamentos!$G:$G,Lançamentos!$A:$A,DB$19,Lançamentos!$C:$C,"Impostos sobre Lucro")</f>
        <v>0</v>
      </c>
      <c r="DC49" s="39">
        <f>SUMIFS(Lançamentos!$G:$G,Lançamentos!$A:$A,DC$19,Lançamentos!$C:$C,"Impostos sobre Lucro")</f>
        <v>0</v>
      </c>
      <c r="DD49" s="39">
        <f>SUMIFS(Lançamentos!$G:$G,Lançamentos!$A:$A,DD$19,Lançamentos!$C:$C,"Impostos sobre Lucro")</f>
        <v>0</v>
      </c>
      <c r="DE49" s="39">
        <f>SUMIFS(Lançamentos!$G:$G,Lançamentos!$A:$A,DE$19,Lançamentos!$C:$C,"Impostos sobre Lucro")</f>
        <v>0</v>
      </c>
      <c r="DF49" s="39">
        <f>SUMIFS(Lançamentos!$G:$G,Lançamentos!$A:$A,DF$19,Lançamentos!$C:$C,"Impostos sobre Lucro")</f>
        <v>0</v>
      </c>
      <c r="DG49" s="39">
        <f>SUMIFS(Lançamentos!$G:$G,Lançamentos!$A:$A,DG$19,Lançamentos!$C:$C,"Impostos sobre Lucro")</f>
        <v>0</v>
      </c>
      <c r="DH49" s="39">
        <f>SUMIFS(Lançamentos!$G:$G,Lançamentos!$A:$A,DH$19,Lançamentos!$C:$C,"Impostos sobre Lucro")</f>
        <v>0</v>
      </c>
      <c r="DI49" s="39">
        <f>SUMIFS(Lançamentos!$G:$G,Lançamentos!$A:$A,DI$19,Lançamentos!$C:$C,"Impostos sobre Lucro")</f>
        <v>0</v>
      </c>
      <c r="DJ49" s="39">
        <f>SUMIFS(Lançamentos!$G:$G,Lançamentos!$A:$A,DJ$19,Lançamentos!$C:$C,"Impostos sobre Lucro")</f>
        <v>0</v>
      </c>
      <c r="DK49" s="39">
        <f>SUMIFS(Lançamentos!$G:$G,Lançamentos!$A:$A,DK$19,Lançamentos!$C:$C,"Impostos sobre Lucro")</f>
        <v>0</v>
      </c>
      <c r="DL49" s="39">
        <f>SUMIFS(Lançamentos!$G:$G,Lançamentos!$A:$A,DL$19,Lançamentos!$C:$C,"Impostos sobre Lucro")</f>
        <v>0</v>
      </c>
      <c r="DM49" s="39">
        <f>SUMIFS(Lançamentos!$G:$G,Lançamentos!$A:$A,DM$19,Lançamentos!$C:$C,"Impostos sobre Lucro")</f>
        <v>0</v>
      </c>
      <c r="DN49" s="39">
        <f>SUMIFS(Lançamentos!$G:$G,Lançamentos!$A:$A,DN$19,Lançamentos!$C:$C,"Impostos sobre Lucro")</f>
        <v>0</v>
      </c>
      <c r="DO49" s="39">
        <f>SUMIFS(Lançamentos!$G:$G,Lançamentos!$A:$A,DO$19,Lançamentos!$C:$C,"Impostos sobre Lucro")</f>
        <v>0</v>
      </c>
      <c r="DP49" s="39">
        <f>SUMIFS(Lançamentos!$G:$G,Lançamentos!$A:$A,DP$19,Lançamentos!$C:$C,"Impostos sobre Lucro")</f>
        <v>0</v>
      </c>
      <c r="DQ49" s="39">
        <f>SUMIFS(Lançamentos!$G:$G,Lançamentos!$A:$A,DQ$19,Lançamentos!$C:$C,"Impostos sobre Lucro")</f>
        <v>0</v>
      </c>
      <c r="DR49" s="39">
        <f>SUMIFS(Lançamentos!$G:$G,Lançamentos!$A:$A,DR$19,Lançamentos!$C:$C,"Impostos sobre Lucro")</f>
        <v>0</v>
      </c>
      <c r="DS49" s="39">
        <f>SUMIFS(Lançamentos!$G:$G,Lançamentos!$A:$A,DS$19,Lançamentos!$C:$C,"Impostos sobre Lucro")</f>
        <v>0</v>
      </c>
      <c r="DT49" s="39">
        <f>SUMIFS(Lançamentos!$G:$G,Lançamentos!$A:$A,DT$19,Lançamentos!$C:$C,"Impostos sobre Lucro")</f>
        <v>0</v>
      </c>
      <c r="DU49" s="39">
        <f>SUMIFS(Lançamentos!$G:$G,Lançamentos!$A:$A,DU$19,Lançamentos!$C:$C,"Impostos sobre Lucro")</f>
        <v>0</v>
      </c>
      <c r="DV49" s="39">
        <f>SUMIFS(Lançamentos!$G:$G,Lançamentos!$A:$A,DV$19,Lançamentos!$C:$C,"Impostos sobre Lucro")</f>
        <v>0</v>
      </c>
      <c r="DW49" s="39">
        <f>SUMIFS(Lançamentos!$G:$G,Lançamentos!$A:$A,DW$19,Lançamentos!$C:$C,"Impostos sobre Lucro")</f>
        <v>0</v>
      </c>
      <c r="DX49" s="39">
        <f>SUMIFS(Lançamentos!$G:$G,Lançamentos!$A:$A,DX$19,Lançamentos!$C:$C,"Impostos sobre Lucro")</f>
        <v>0</v>
      </c>
      <c r="DY49" s="39">
        <f>SUMIFS(Lançamentos!$G:$G,Lançamentos!$A:$A,DY$19,Lançamentos!$C:$C,"Impostos sobre Lucro")</f>
        <v>0</v>
      </c>
      <c r="DZ49" s="39">
        <f>SUMIFS(Lançamentos!$G:$G,Lançamentos!$A:$A,DZ$19,Lançamentos!$C:$C,"Impostos sobre Lucro")</f>
        <v>0</v>
      </c>
      <c r="EA49" s="39">
        <f>SUMIFS(Lançamentos!$G:$G,Lançamentos!$A:$A,EA$19,Lançamentos!$C:$C,"Impostos sobre Lucro")</f>
        <v>0</v>
      </c>
      <c r="EB49" s="39">
        <f>SUMIFS(Lançamentos!$G:$G,Lançamentos!$A:$A,EB$19,Lançamentos!$C:$C,"Impostos sobre Lucro")</f>
        <v>0</v>
      </c>
      <c r="EC49" s="39">
        <f>SUMIFS(Lançamentos!$G:$G,Lançamentos!$A:$A,EC$19,Lançamentos!$C:$C,"Impostos sobre Lucro")</f>
        <v>0</v>
      </c>
      <c r="ED49" s="39">
        <f>SUMIFS(Lançamentos!$G:$G,Lançamentos!$A:$A,ED$19,Lançamentos!$C:$C,"Impostos sobre Lucro")</f>
        <v>0</v>
      </c>
      <c r="EE49" s="39">
        <f>SUMIFS(Lançamentos!$G:$G,Lançamentos!$A:$A,EE$19,Lançamentos!$C:$C,"Impostos sobre Lucro")</f>
        <v>0</v>
      </c>
      <c r="EF49" s="39">
        <f>SUMIFS(Lançamentos!$G:$G,Lançamentos!$A:$A,EF$19,Lançamentos!$C:$C,"Impostos sobre Lucro")</f>
        <v>0</v>
      </c>
      <c r="EG49" s="39">
        <f>SUMIFS(Lançamentos!$G:$G,Lançamentos!$A:$A,EG$19,Lançamentos!$C:$C,"Impostos sobre Lucro")</f>
        <v>0</v>
      </c>
      <c r="EH49" s="39">
        <f>SUMIFS(Lançamentos!$G:$G,Lançamentos!$A:$A,EH$19,Lançamentos!$C:$C,"Impostos sobre Lucro")</f>
        <v>0</v>
      </c>
      <c r="EI49" s="39">
        <f>SUMIFS(Lançamentos!$G:$G,Lançamentos!$A:$A,EI$19,Lançamentos!$C:$C,"Impostos sobre Lucro")</f>
        <v>0</v>
      </c>
      <c r="EJ49" s="39">
        <f>SUMIFS(Lançamentos!$G:$G,Lançamentos!$A:$A,EJ$19,Lançamentos!$C:$C,"Impostos sobre Lucro")</f>
        <v>0</v>
      </c>
      <c r="EK49" s="39">
        <f>SUMIFS(Lançamentos!$G:$G,Lançamentos!$A:$A,EK$19,Lançamentos!$C:$C,"Impostos sobre Lucro")</f>
        <v>0</v>
      </c>
      <c r="EL49" s="39">
        <f>SUMIFS(Lançamentos!$G:$G,Lançamentos!$A:$A,EL$19,Lançamentos!$C:$C,"Impostos sobre Lucro")</f>
        <v>0</v>
      </c>
      <c r="EM49" s="39">
        <f>SUMIFS(Lançamentos!$G:$G,Lançamentos!$A:$A,EM$19,Lançamentos!$C:$C,"Impostos sobre Lucro")</f>
        <v>0</v>
      </c>
      <c r="EN49" s="39">
        <f>SUMIFS(Lançamentos!$G:$G,Lançamentos!$A:$A,EN$19,Lançamentos!$C:$C,"Impostos sobre Lucro")</f>
        <v>0</v>
      </c>
      <c r="EO49" s="39">
        <f>SUMIFS(Lançamentos!$G:$G,Lançamentos!$A:$A,EO$19,Lançamentos!$C:$C,"Impostos sobre Lucro")</f>
        <v>0</v>
      </c>
      <c r="EP49" s="39">
        <f>SUMIFS(Lançamentos!$G:$G,Lançamentos!$A:$A,EP$19,Lançamentos!$C:$C,"Impostos sobre Lucro")</f>
        <v>0</v>
      </c>
      <c r="EQ49" s="39">
        <f>SUMIFS(Lançamentos!$G:$G,Lançamentos!$A:$A,EQ$19,Lançamentos!$C:$C,"Impostos sobre Lucro")</f>
        <v>0</v>
      </c>
      <c r="ER49" s="39">
        <f>SUMIFS(Lançamentos!$G:$G,Lançamentos!$A:$A,ER$19,Lançamentos!$C:$C,"Impostos sobre Lucro")</f>
        <v>0</v>
      </c>
      <c r="ES49" s="39">
        <f>SUMIFS(Lançamentos!$G:$G,Lançamentos!$A:$A,ES$19,Lançamentos!$C:$C,"Impostos sobre Lucro")</f>
        <v>0</v>
      </c>
      <c r="ET49" s="39">
        <f>SUMIFS(Lançamentos!$G:$G,Lançamentos!$A:$A,ET$19,Lançamentos!$C:$C,"Impostos sobre Lucro")</f>
        <v>0</v>
      </c>
      <c r="EU49" s="39">
        <f>SUMIFS(Lançamentos!$G:$G,Lançamentos!$A:$A,EU$19,Lançamentos!$C:$C,"Impostos sobre Lucro")</f>
        <v>0</v>
      </c>
      <c r="EV49" s="39">
        <f>SUMIFS(Lançamentos!$G:$G,Lançamentos!$A:$A,EV$19,Lançamentos!$C:$C,"Impostos sobre Lucro")</f>
        <v>0</v>
      </c>
      <c r="EW49" s="39">
        <f>SUMIFS(Lançamentos!$G:$G,Lançamentos!$A:$A,EW$19,Lançamentos!$C:$C,"Impostos sobre Lucro")</f>
        <v>0</v>
      </c>
      <c r="EX49" s="39">
        <f>SUMIFS(Lançamentos!$G:$G,Lançamentos!$A:$A,EX$19,Lançamentos!$C:$C,"Impostos sobre Lucro")</f>
        <v>0</v>
      </c>
      <c r="EY49" s="39">
        <f>SUMIFS(Lançamentos!$G:$G,Lançamentos!$A:$A,EY$19,Lançamentos!$C:$C,"Impostos sobre Lucro")</f>
        <v>0</v>
      </c>
      <c r="EZ49" s="39">
        <f>SUMIFS(Lançamentos!$G:$G,Lançamentos!$A:$A,EZ$19,Lançamentos!$C:$C,"Impostos sobre Lucro")</f>
        <v>0</v>
      </c>
      <c r="FA49" s="39">
        <f>SUMIFS(Lançamentos!$G:$G,Lançamentos!$A:$A,FA$19,Lançamentos!$C:$C,"Impostos sobre Lucro")</f>
        <v>0</v>
      </c>
      <c r="FB49" s="39">
        <f>SUMIFS(Lançamentos!$G:$G,Lançamentos!$A:$A,FB$19,Lançamentos!$C:$C,"Impostos sobre Lucro")</f>
        <v>0</v>
      </c>
      <c r="FC49" s="39">
        <f>SUMIFS(Lançamentos!$G:$G,Lançamentos!$A:$A,FC$19,Lançamentos!$C:$C,"Impostos sobre Lucro")</f>
        <v>0</v>
      </c>
      <c r="FD49" s="39">
        <f>SUMIFS(Lançamentos!$G:$G,Lançamentos!$A:$A,FD$19,Lançamentos!$C:$C,"Impostos sobre Lucro")</f>
        <v>0</v>
      </c>
      <c r="FE49" s="39">
        <f>SUMIFS(Lançamentos!$G:$G,Lançamentos!$A:$A,FE$19,Lançamentos!$C:$C,"Impostos sobre Lucro")</f>
        <v>0</v>
      </c>
      <c r="FF49" s="39">
        <f>SUMIFS(Lançamentos!$G:$G,Lançamentos!$A:$A,FF$19,Lançamentos!$C:$C,"Impostos sobre Lucro")</f>
        <v>0</v>
      </c>
      <c r="FG49" s="39">
        <f>SUMIFS(Lançamentos!$G:$G,Lançamentos!$A:$A,FG$19,Lançamentos!$C:$C,"Impostos sobre Lucro")</f>
        <v>0</v>
      </c>
      <c r="FH49" s="39">
        <f>SUMIFS(Lançamentos!$G:$G,Lançamentos!$A:$A,FH$19,Lançamentos!$C:$C,"Impostos sobre Lucro")</f>
        <v>0</v>
      </c>
      <c r="FI49" s="39">
        <f>SUMIFS(Lançamentos!$G:$G,Lançamentos!$A:$A,FI$19,Lançamentos!$C:$C,"Impostos sobre Lucro")</f>
        <v>0</v>
      </c>
      <c r="FJ49" s="39">
        <f>SUMIFS(Lançamentos!$G:$G,Lançamentos!$A:$A,FJ$19,Lançamentos!$C:$C,"Impostos sobre Lucro")</f>
        <v>0</v>
      </c>
      <c r="FK49" s="39">
        <f>SUMIFS(Lançamentos!$G:$G,Lançamentos!$A:$A,FK$19,Lançamentos!$C:$C,"Impostos sobre Lucro")</f>
        <v>0</v>
      </c>
      <c r="FL49" s="39">
        <f>SUMIFS(Lançamentos!$G:$G,Lançamentos!$A:$A,FL$19,Lançamentos!$C:$C,"Impostos sobre Lucro")</f>
        <v>0</v>
      </c>
      <c r="FM49" s="39">
        <f>SUMIFS(Lançamentos!$G:$G,Lançamentos!$A:$A,FM$19,Lançamentos!$C:$C,"Impostos sobre Lucro")</f>
        <v>0</v>
      </c>
      <c r="FN49" s="39">
        <f>SUMIFS(Lançamentos!$G:$G,Lançamentos!$A:$A,FN$19,Lançamentos!$C:$C,"Impostos sobre Lucro")</f>
        <v>0</v>
      </c>
      <c r="FO49" s="39">
        <f>SUMIFS(Lançamentos!$G:$G,Lançamentos!$A:$A,FO$19,Lançamentos!$C:$C,"Impostos sobre Lucro")</f>
        <v>0</v>
      </c>
      <c r="FP49" s="39">
        <f>SUMIFS(Lançamentos!$G:$G,Lançamentos!$A:$A,FP$19,Lançamentos!$C:$C,"Impostos sobre Lucro")</f>
        <v>0</v>
      </c>
      <c r="FQ49" s="39">
        <f>SUMIFS(Lançamentos!$G:$G,Lançamentos!$A:$A,FQ$19,Lançamentos!$C:$C,"Impostos sobre Lucro")</f>
        <v>0</v>
      </c>
      <c r="FR49" s="39">
        <f>SUMIFS(Lançamentos!$G:$G,Lançamentos!$A:$A,FR$19,Lançamentos!$C:$C,"Impostos sobre Lucro")</f>
        <v>0</v>
      </c>
      <c r="FS49" s="39">
        <f>SUMIFS(Lançamentos!$G:$G,Lançamentos!$A:$A,FS$19,Lançamentos!$C:$C,"Impostos sobre Lucro")</f>
        <v>0</v>
      </c>
      <c r="FT49" s="39">
        <f>SUMIFS(Lançamentos!$G:$G,Lançamentos!$A:$A,FT$19,Lançamentos!$C:$C,"Impostos sobre Lucro")</f>
        <v>0</v>
      </c>
      <c r="FU49" s="39">
        <f>SUMIFS(Lançamentos!$G:$G,Lançamentos!$A:$A,FU$19,Lançamentos!$C:$C,"Impostos sobre Lucro")</f>
        <v>0</v>
      </c>
      <c r="FV49" s="39">
        <f>SUMIFS(Lançamentos!$G:$G,Lançamentos!$A:$A,FV$19,Lançamentos!$C:$C,"Impostos sobre Lucro")</f>
        <v>0</v>
      </c>
      <c r="FW49" s="39">
        <f>SUMIFS(Lançamentos!$G:$G,Lançamentos!$A:$A,FW$19,Lançamentos!$C:$C,"Impostos sobre Lucro")</f>
        <v>0</v>
      </c>
      <c r="FX49" s="39">
        <f>SUMIFS(Lançamentos!$G:$G,Lançamentos!$A:$A,FX$19,Lançamentos!$C:$C,"Impostos sobre Lucro")</f>
        <v>0</v>
      </c>
      <c r="FY49" s="39">
        <f>SUMIFS(Lançamentos!$G:$G,Lançamentos!$A:$A,FY$19,Lançamentos!$C:$C,"Impostos sobre Lucro")</f>
        <v>0</v>
      </c>
      <c r="FZ49" s="39">
        <f>SUMIFS(Lançamentos!$G:$G,Lançamentos!$A:$A,FZ$19,Lançamentos!$C:$C,"Impostos sobre Lucro")</f>
        <v>0</v>
      </c>
      <c r="GA49" s="39">
        <f>SUMIFS(Lançamentos!$G:$G,Lançamentos!$A:$A,GA$19,Lançamentos!$C:$C,"Impostos sobre Lucro")</f>
        <v>0</v>
      </c>
      <c r="GB49" s="39">
        <f>SUMIFS(Lançamentos!$G:$G,Lançamentos!$A:$A,GB$19,Lançamentos!$C:$C,"Impostos sobre Lucro")</f>
        <v>0</v>
      </c>
      <c r="GC49" s="39">
        <f>SUMIFS(Lançamentos!$G:$G,Lançamentos!$A:$A,GC$19,Lançamentos!$C:$C,"Impostos sobre Lucro")</f>
        <v>0</v>
      </c>
      <c r="GD49" s="39">
        <f>SUMIFS(Lançamentos!$G:$G,Lançamentos!$A:$A,GD$19,Lançamentos!$C:$C,"Impostos sobre Lucro")</f>
        <v>0</v>
      </c>
      <c r="GE49" s="39">
        <f>SUMIFS(Lançamentos!$G:$G,Lançamentos!$A:$A,GE$19,Lançamentos!$C:$C,"Impostos sobre Lucro")</f>
        <v>0</v>
      </c>
      <c r="GF49" s="39">
        <f>SUMIFS(Lançamentos!$G:$G,Lançamentos!$A:$A,GF$19,Lançamentos!$C:$C,"Impostos sobre Lucro")</f>
        <v>0</v>
      </c>
      <c r="GG49" s="39">
        <f>SUMIFS(Lançamentos!$G:$G,Lançamentos!$A:$A,GG$19,Lançamentos!$C:$C,"Impostos sobre Lucro")</f>
        <v>0</v>
      </c>
      <c r="GH49" s="39">
        <f>SUMIFS(Lançamentos!$G:$G,Lançamentos!$A:$A,GH$19,Lançamentos!$C:$C,"Impostos sobre Lucro")</f>
        <v>0</v>
      </c>
      <c r="GI49" s="39">
        <f>SUMIFS(Lançamentos!$G:$G,Lançamentos!$A:$A,GI$19,Lançamentos!$C:$C,"Impostos sobre Lucro")</f>
        <v>0</v>
      </c>
      <c r="GJ49" s="39">
        <f>SUMIFS(Lançamentos!$G:$G,Lançamentos!$A:$A,GJ$19,Lançamentos!$C:$C,"Impostos sobre Lucro")</f>
        <v>0</v>
      </c>
      <c r="GK49" s="39">
        <f>SUMIFS(Lançamentos!$G:$G,Lançamentos!$A:$A,GK$19,Lançamentos!$C:$C,"Impostos sobre Lucro")</f>
        <v>0</v>
      </c>
      <c r="GL49" s="39">
        <f>SUMIFS(Lançamentos!$G:$G,Lançamentos!$A:$A,GL$19,Lançamentos!$C:$C,"Impostos sobre Lucro")</f>
        <v>0</v>
      </c>
      <c r="GM49" s="39">
        <f>SUMIFS(Lançamentos!$G:$G,Lançamentos!$A:$A,GM$19,Lançamentos!$C:$C,"Impostos sobre Lucro")</f>
        <v>0</v>
      </c>
      <c r="GN49" s="39">
        <f>SUMIFS(Lançamentos!$G:$G,Lançamentos!$A:$A,GN$19,Lançamentos!$C:$C,"Impostos sobre Lucro")</f>
        <v>0</v>
      </c>
      <c r="GO49" s="39">
        <f>SUMIFS(Lançamentos!$G:$G,Lançamentos!$A:$A,GO$19,Lançamentos!$C:$C,"Impostos sobre Lucro")</f>
        <v>0</v>
      </c>
      <c r="GP49" s="39">
        <f>SUMIFS(Lançamentos!$G:$G,Lançamentos!$A:$A,GP$19,Lançamentos!$C:$C,"Impostos sobre Lucro")</f>
        <v>0</v>
      </c>
      <c r="GQ49" s="39">
        <f>SUMIFS(Lançamentos!$G:$G,Lançamentos!$A:$A,GQ$19,Lançamentos!$C:$C,"Impostos sobre Lucro")</f>
        <v>0</v>
      </c>
      <c r="GR49" s="39">
        <f>SUMIFS(Lançamentos!$G:$G,Lançamentos!$A:$A,GR$19,Lançamentos!$C:$C,"Impostos sobre Lucro")</f>
        <v>0</v>
      </c>
      <c r="GS49" s="39">
        <f>SUMIFS(Lançamentos!$G:$G,Lançamentos!$A:$A,GS$19,Lançamentos!$C:$C,"Impostos sobre Lucro")</f>
        <v>0</v>
      </c>
      <c r="GT49" s="39">
        <f>SUMIFS(Lançamentos!$G:$G,Lançamentos!$A:$A,GT$19,Lançamentos!$C:$C,"Impostos sobre Lucro")</f>
        <v>0</v>
      </c>
      <c r="GU49" s="39">
        <f>SUMIFS(Lançamentos!$G:$G,Lançamentos!$A:$A,GU$19,Lançamentos!$C:$C,"Impostos sobre Lucro")</f>
        <v>0</v>
      </c>
      <c r="GV49" s="39">
        <f>SUMIFS(Lançamentos!$G:$G,Lançamentos!$A:$A,GV$19,Lançamentos!$C:$C,"Impostos sobre Lucro")</f>
        <v>0</v>
      </c>
      <c r="GW49" s="39">
        <f>SUMIFS(Lançamentos!$G:$G,Lançamentos!$A:$A,GW$19,Lançamentos!$C:$C,"Impostos sobre Lucro")</f>
        <v>0</v>
      </c>
      <c r="GX49" s="39">
        <f>SUMIFS(Lançamentos!$G:$G,Lançamentos!$A:$A,GX$19,Lançamentos!$C:$C,"Impostos sobre Lucro")</f>
        <v>0</v>
      </c>
      <c r="GY49" s="39">
        <f>SUMIFS(Lançamentos!$G:$G,Lançamentos!$A:$A,GY$19,Lançamentos!$C:$C,"Impostos sobre Lucro")</f>
        <v>0</v>
      </c>
      <c r="GZ49" s="39">
        <f>SUMIFS(Lançamentos!$G:$G,Lançamentos!$A:$A,GZ$19,Lançamentos!$C:$C,"Impostos sobre Lucro")</f>
        <v>0</v>
      </c>
      <c r="HA49" s="39">
        <f>SUMIFS(Lançamentos!$G:$G,Lançamentos!$A:$A,HA$19,Lançamentos!$C:$C,"Impostos sobre Lucro")</f>
        <v>0</v>
      </c>
      <c r="HB49" s="39">
        <f>SUMIFS(Lançamentos!$G:$G,Lançamentos!$A:$A,HB$19,Lançamentos!$C:$C,"Impostos sobre Lucro")</f>
        <v>0</v>
      </c>
      <c r="HC49" s="39">
        <f>SUMIFS(Lançamentos!$G:$G,Lançamentos!$A:$A,HC$19,Lançamentos!$C:$C,"Impostos sobre Lucro")</f>
        <v>0</v>
      </c>
      <c r="HD49" s="39">
        <f>SUMIFS(Lançamentos!$G:$G,Lançamentos!$A:$A,HD$19,Lançamentos!$C:$C,"Impostos sobre Lucro")</f>
        <v>0</v>
      </c>
      <c r="HE49" s="39">
        <f>SUMIFS(Lançamentos!$G:$G,Lançamentos!$A:$A,HE$19,Lançamentos!$C:$C,"Impostos sobre Lucro")</f>
        <v>0</v>
      </c>
      <c r="HF49" s="39">
        <f>SUMIFS(Lançamentos!$G:$G,Lançamentos!$A:$A,HF$19,Lançamentos!$C:$C,"Impostos sobre Lucro")</f>
        <v>0</v>
      </c>
      <c r="HG49" s="39">
        <f>SUMIFS(Lançamentos!$G:$G,Lançamentos!$A:$A,HG$19,Lançamentos!$C:$C,"Impostos sobre Lucro")</f>
        <v>0</v>
      </c>
      <c r="HH49" s="39">
        <f>SUMIFS(Lançamentos!$G:$G,Lançamentos!$A:$A,HH$19,Lançamentos!$C:$C,"Impostos sobre Lucro")</f>
        <v>0</v>
      </c>
      <c r="HI49" s="39">
        <f>SUMIFS(Lançamentos!$G:$G,Lançamentos!$A:$A,HI$19,Lançamentos!$C:$C,"Impostos sobre Lucro")</f>
        <v>0</v>
      </c>
      <c r="HJ49" s="39">
        <f>SUMIFS(Lançamentos!$G:$G,Lançamentos!$A:$A,HJ$19,Lançamentos!$C:$C,"Impostos sobre Lucro")</f>
        <v>0</v>
      </c>
      <c r="HK49" s="39">
        <f>SUMIFS(Lançamentos!$G:$G,Lançamentos!$A:$A,HK$19,Lançamentos!$C:$C,"Impostos sobre Lucro")</f>
        <v>0</v>
      </c>
      <c r="HL49" s="39">
        <f>SUMIFS(Lançamentos!$G:$G,Lançamentos!$A:$A,HL$19,Lançamentos!$C:$C,"Impostos sobre Lucro")</f>
        <v>0</v>
      </c>
      <c r="HM49" s="39">
        <f>SUMIFS(Lançamentos!$G:$G,Lançamentos!$A:$A,HM$19,Lançamentos!$C:$C,"Impostos sobre Lucro")</f>
        <v>0</v>
      </c>
      <c r="HN49" s="39">
        <f>SUMIFS(Lançamentos!$G:$G,Lançamentos!$A:$A,HN$19,Lançamentos!$C:$C,"Impostos sobre Lucro")</f>
        <v>0</v>
      </c>
      <c r="HO49" s="39">
        <f>SUMIFS(Lançamentos!$G:$G,Lançamentos!$A:$A,HO$19,Lançamentos!$C:$C,"Impostos sobre Lucro")</f>
        <v>0</v>
      </c>
      <c r="HP49" s="39">
        <f>SUMIFS(Lançamentos!$G:$G,Lançamentos!$A:$A,HP$19,Lançamentos!$C:$C,"Impostos sobre Lucro")</f>
        <v>0</v>
      </c>
      <c r="HQ49" s="39">
        <f>SUMIFS(Lançamentos!$G:$G,Lançamentos!$A:$A,HQ$19,Lançamentos!$C:$C,"Impostos sobre Lucro")</f>
        <v>0</v>
      </c>
      <c r="HR49" s="39">
        <f>SUMIFS(Lançamentos!$G:$G,Lançamentos!$A:$A,HR$19,Lançamentos!$C:$C,"Impostos sobre Lucro")</f>
        <v>0</v>
      </c>
      <c r="HS49" s="39">
        <f>SUMIFS(Lançamentos!$G:$G,Lançamentos!$A:$A,HS$19,Lançamentos!$C:$C,"Impostos sobre Lucro")</f>
        <v>0</v>
      </c>
      <c r="HT49" s="39">
        <f>SUMIFS(Lançamentos!$G:$G,Lançamentos!$A:$A,HT$19,Lançamentos!$C:$C,"Impostos sobre Lucro")</f>
        <v>0</v>
      </c>
      <c r="HU49" s="39">
        <f>SUMIFS(Lançamentos!$G:$G,Lançamentos!$A:$A,HU$19,Lançamentos!$C:$C,"Impostos sobre Lucro")</f>
        <v>0</v>
      </c>
      <c r="HV49" s="39">
        <f>SUMIFS(Lançamentos!$G:$G,Lançamentos!$A:$A,HV$19,Lançamentos!$C:$C,"Impostos sobre Lucro")</f>
        <v>0</v>
      </c>
      <c r="HW49" s="39">
        <f>SUMIFS(Lançamentos!$G:$G,Lançamentos!$A:$A,HW$19,Lançamentos!$C:$C,"Impostos sobre Lucro")</f>
        <v>0</v>
      </c>
      <c r="HX49" s="39">
        <f>SUMIFS(Lançamentos!$G:$G,Lançamentos!$A:$A,HX$19,Lançamentos!$C:$C,"Impostos sobre Lucro")</f>
        <v>0</v>
      </c>
      <c r="HY49" s="39">
        <f>SUMIFS(Lançamentos!$G:$G,Lançamentos!$A:$A,HY$19,Lançamentos!$C:$C,"Impostos sobre Lucro")</f>
        <v>0</v>
      </c>
      <c r="HZ49" s="39">
        <f>SUMIFS(Lançamentos!$G:$G,Lançamentos!$A:$A,HZ$19,Lançamentos!$C:$C,"Impostos sobre Lucro")</f>
        <v>0</v>
      </c>
      <c r="IA49" s="39">
        <f>SUMIFS(Lançamentos!$G:$G,Lançamentos!$A:$A,IA$19,Lançamentos!$C:$C,"Impostos sobre Lucro")</f>
        <v>0</v>
      </c>
      <c r="IB49" s="39">
        <f>SUMIFS(Lançamentos!$G:$G,Lançamentos!$A:$A,IB$19,Lançamentos!$C:$C,"Impostos sobre Lucro")</f>
        <v>0</v>
      </c>
      <c r="IC49" s="39">
        <f>SUMIFS(Lançamentos!$G:$G,Lançamentos!$A:$A,IC$19,Lançamentos!$C:$C,"Impostos sobre Lucro")</f>
        <v>0</v>
      </c>
      <c r="ID49" s="39">
        <f>SUMIFS(Lançamentos!$G:$G,Lançamentos!$A:$A,ID$19,Lançamentos!$C:$C,"Impostos sobre Lucro")</f>
        <v>0</v>
      </c>
      <c r="IE49" s="39">
        <f>SUMIFS(Lançamentos!$G:$G,Lançamentos!$A:$A,IE$19,Lançamentos!$C:$C,"Impostos sobre Lucro")</f>
        <v>0</v>
      </c>
      <c r="IF49" s="39">
        <f>SUMIFS(Lançamentos!$G:$G,Lançamentos!$A:$A,IF$19,Lançamentos!$C:$C,"Impostos sobre Lucro")</f>
        <v>0</v>
      </c>
      <c r="IG49" s="39">
        <f>SUMIFS(Lançamentos!$G:$G,Lançamentos!$A:$A,IG$19,Lançamentos!$C:$C,"Impostos sobre Lucro")</f>
        <v>0</v>
      </c>
      <c r="IH49" s="39">
        <f>SUMIFS(Lançamentos!$G:$G,Lançamentos!$A:$A,IH$19,Lançamentos!$C:$C,"Impostos sobre Lucro")</f>
        <v>0</v>
      </c>
      <c r="II49" s="39">
        <f>SUMIFS(Lançamentos!$G:$G,Lançamentos!$A:$A,II$19,Lançamentos!$C:$C,"Impostos sobre Lucro")</f>
        <v>0</v>
      </c>
      <c r="IJ49" s="39">
        <f>SUMIFS(Lançamentos!$G:$G,Lançamentos!$A:$A,IJ$19,Lançamentos!$C:$C,"Impostos sobre Lucro")</f>
        <v>0</v>
      </c>
      <c r="IK49" s="39">
        <f>SUMIFS(Lançamentos!$G:$G,Lançamentos!$A:$A,IK$19,Lançamentos!$C:$C,"Impostos sobre Lucro")</f>
        <v>0</v>
      </c>
      <c r="IL49" s="39">
        <f>SUMIFS(Lançamentos!$G:$G,Lançamentos!$A:$A,IL$19,Lançamentos!$C:$C,"Impostos sobre Lucro")</f>
        <v>0</v>
      </c>
    </row>
    <row r="50" spans="1:246" x14ac:dyDescent="0.3">
      <c r="A50" t="s">
        <v>95</v>
      </c>
      <c r="B50" s="39">
        <f>SUMIFS(Lançamentos!$G:$G,Lançamentos!$A:$A,B$19,Lançamentos!$C:$C,"Frete sobre Vendas")</f>
        <v>0</v>
      </c>
      <c r="C50" s="39">
        <f>SUMIFS(Lançamentos!$G:$G,Lançamentos!$A:$A,C$19,Lançamentos!$C:$C,"Frete sobre Vendas")</f>
        <v>0</v>
      </c>
      <c r="D50" s="39">
        <f>SUMIFS(Lançamentos!$G:$G,Lançamentos!$A:$A,D$19,Lançamentos!$C:$C,"Frete sobre Vendas")</f>
        <v>0</v>
      </c>
      <c r="E50" s="39">
        <f>SUMIFS(Lançamentos!$G:$G,Lançamentos!$A:$A,E$19,Lançamentos!$C:$C,"Frete sobre Vendas")</f>
        <v>0</v>
      </c>
      <c r="F50" s="39">
        <f>SUMIFS(Lançamentos!$G:$G,Lançamentos!$A:$A,F$19,Lançamentos!$C:$C,"Frete sobre Vendas")</f>
        <v>0</v>
      </c>
      <c r="G50" s="39">
        <f>SUMIFS(Lançamentos!$G:$G,Lançamentos!$A:$A,G$19,Lançamentos!$C:$C,"Frete sobre Vendas")</f>
        <v>0</v>
      </c>
      <c r="H50" s="39">
        <f>SUMIFS(Lançamentos!$G:$G,Lançamentos!$A:$A,H$19,Lançamentos!$C:$C,"Frete sobre Vendas")</f>
        <v>0</v>
      </c>
      <c r="I50" s="39">
        <f>SUMIFS(Lançamentos!$G:$G,Lançamentos!$A:$A,I$19,Lançamentos!$C:$C,"Frete sobre Vendas")</f>
        <v>0</v>
      </c>
      <c r="J50" s="39">
        <f>SUMIFS(Lançamentos!$G:$G,Lançamentos!$A:$A,J$19,Lançamentos!$C:$C,"Frete sobre Vendas")</f>
        <v>0</v>
      </c>
      <c r="K50" s="39">
        <f>SUMIFS(Lançamentos!$G:$G,Lançamentos!$A:$A,K$19,Lançamentos!$C:$C,"Frete sobre Vendas")</f>
        <v>0</v>
      </c>
      <c r="L50" s="39">
        <f>SUMIFS(Lançamentos!$G:$G,Lançamentos!$A:$A,L$19,Lançamentos!$C:$C,"Frete sobre Vendas")</f>
        <v>0</v>
      </c>
      <c r="M50" s="39">
        <f>SUMIFS(Lançamentos!$G:$G,Lançamentos!$A:$A,M$19,Lançamentos!$C:$C,"Frete sobre Vendas")</f>
        <v>0</v>
      </c>
      <c r="N50" s="39">
        <f>SUMIFS(Lançamentos!$G:$G,Lançamentos!$A:$A,N$19,Lançamentos!$C:$C,"Frete sobre Vendas")</f>
        <v>0</v>
      </c>
      <c r="O50" s="39">
        <f>SUMIFS(Lançamentos!$G:$G,Lançamentos!$A:$A,O$19,Lançamentos!$C:$C,"Frete sobre Vendas")</f>
        <v>0</v>
      </c>
      <c r="P50" s="39">
        <f>SUMIFS(Lançamentos!$G:$G,Lançamentos!$A:$A,P$19,Lançamentos!$C:$C,"Frete sobre Vendas")</f>
        <v>0</v>
      </c>
      <c r="Q50" s="39">
        <f>SUMIFS(Lançamentos!$G:$G,Lançamentos!$A:$A,Q$19,Lançamentos!$C:$C,"Frete sobre Vendas")</f>
        <v>0</v>
      </c>
      <c r="R50" s="39">
        <f>SUMIFS(Lançamentos!$G:$G,Lançamentos!$A:$A,R$19,Lançamentos!$C:$C,"Frete sobre Vendas")</f>
        <v>0</v>
      </c>
      <c r="S50" s="39">
        <f>SUMIFS(Lançamentos!$G:$G,Lançamentos!$A:$A,S$19,Lançamentos!$C:$C,"Frete sobre Vendas")</f>
        <v>0</v>
      </c>
      <c r="T50" s="39">
        <f>SUMIFS(Lançamentos!$G:$G,Lançamentos!$A:$A,T$19,Lançamentos!$C:$C,"Frete sobre Vendas")</f>
        <v>0</v>
      </c>
      <c r="U50" s="39">
        <f>SUMIFS(Lançamentos!$G:$G,Lançamentos!$A:$A,U$19,Lançamentos!$C:$C,"Frete sobre Vendas")</f>
        <v>0</v>
      </c>
      <c r="V50" s="39">
        <f>SUMIFS(Lançamentos!$G:$G,Lançamentos!$A:$A,V$19,Lançamentos!$C:$C,"Frete sobre Vendas")</f>
        <v>0</v>
      </c>
      <c r="W50" s="39">
        <f>SUMIFS(Lançamentos!$G:$G,Lançamentos!$A:$A,W$19,Lançamentos!$C:$C,"Frete sobre Vendas")</f>
        <v>0</v>
      </c>
      <c r="X50" s="39">
        <f>SUMIFS(Lançamentos!$G:$G,Lançamentos!$A:$A,X$19,Lançamentos!$C:$C,"Frete sobre Vendas")</f>
        <v>0</v>
      </c>
      <c r="Y50" s="39">
        <f>SUMIFS(Lançamentos!$G:$G,Lançamentos!$A:$A,Y$19,Lançamentos!$C:$C,"Frete sobre Vendas")</f>
        <v>0</v>
      </c>
      <c r="Z50" s="39">
        <f>SUMIFS(Lançamentos!$G:$G,Lançamentos!$A:$A,Z$19,Lançamentos!$C:$C,"Frete sobre Vendas")</f>
        <v>0</v>
      </c>
      <c r="AA50" s="39">
        <f>SUMIFS(Lançamentos!$G:$G,Lançamentos!$A:$A,AA$19,Lançamentos!$C:$C,"Frete sobre Vendas")</f>
        <v>0</v>
      </c>
      <c r="AB50" s="39">
        <f>SUMIFS(Lançamentos!$G:$G,Lançamentos!$A:$A,AB$19,Lançamentos!$C:$C,"Frete sobre Vendas")</f>
        <v>0</v>
      </c>
      <c r="AC50" s="39">
        <f>SUMIFS(Lançamentos!$G:$G,Lançamentos!$A:$A,AC$19,Lançamentos!$C:$C,"Frete sobre Vendas")</f>
        <v>0</v>
      </c>
      <c r="AD50" s="39">
        <f>SUMIFS(Lançamentos!$G:$G,Lançamentos!$A:$A,AD$19,Lançamentos!$C:$C,"Frete sobre Vendas")</f>
        <v>0</v>
      </c>
      <c r="AE50" s="39">
        <f>SUMIFS(Lançamentos!$G:$G,Lançamentos!$A:$A,AE$19,Lançamentos!$C:$C,"Frete sobre Vendas")</f>
        <v>0</v>
      </c>
      <c r="AF50" s="39">
        <f>SUMIFS(Lançamentos!$G:$G,Lançamentos!$A:$A,AF$19,Lançamentos!$C:$C,"Frete sobre Vendas")</f>
        <v>0</v>
      </c>
      <c r="AG50" s="39">
        <f>SUMIFS(Lançamentos!$G:$G,Lançamentos!$A:$A,AG$19,Lançamentos!$C:$C,"Frete sobre Vendas")</f>
        <v>0</v>
      </c>
      <c r="AH50" s="39">
        <f>SUMIFS(Lançamentos!$G:$G,Lançamentos!$A:$A,AH$19,Lançamentos!$C:$C,"Frete sobre Vendas")</f>
        <v>0</v>
      </c>
      <c r="AI50" s="39">
        <f>SUMIFS(Lançamentos!$G:$G,Lançamentos!$A:$A,AI$19,Lançamentos!$C:$C,"Frete sobre Vendas")</f>
        <v>0</v>
      </c>
      <c r="AJ50" s="39">
        <f>SUMIFS(Lançamentos!$G:$G,Lançamentos!$A:$A,AJ$19,Lançamentos!$C:$C,"Frete sobre Vendas")</f>
        <v>0</v>
      </c>
      <c r="AK50" s="39">
        <f>SUMIFS(Lançamentos!$G:$G,Lançamentos!$A:$A,AK$19,Lançamentos!$C:$C,"Frete sobre Vendas")</f>
        <v>0</v>
      </c>
      <c r="AL50" s="39">
        <f>SUMIFS(Lançamentos!$G:$G,Lançamentos!$A:$A,AL$19,Lançamentos!$C:$C,"Frete sobre Vendas")</f>
        <v>0</v>
      </c>
      <c r="AM50" s="39">
        <f>SUMIFS(Lançamentos!$G:$G,Lançamentos!$A:$A,AM$19,Lançamentos!$C:$C,"Frete sobre Vendas")</f>
        <v>0</v>
      </c>
      <c r="AN50" s="39">
        <f>SUMIFS(Lançamentos!$G:$G,Lançamentos!$A:$A,AN$19,Lançamentos!$C:$C,"Frete sobre Vendas")</f>
        <v>0</v>
      </c>
      <c r="AO50" s="39">
        <f>SUMIFS(Lançamentos!$G:$G,Lançamentos!$A:$A,AO$19,Lançamentos!$C:$C,"Frete sobre Vendas")</f>
        <v>0</v>
      </c>
      <c r="AP50" s="39">
        <f>SUMIFS(Lançamentos!$G:$G,Lançamentos!$A:$A,AP$19,Lançamentos!$C:$C,"Frete sobre Vendas")</f>
        <v>0</v>
      </c>
      <c r="AQ50" s="39">
        <f>SUMIFS(Lançamentos!$G:$G,Lançamentos!$A:$A,AQ$19,Lançamentos!$C:$C,"Frete sobre Vendas")</f>
        <v>0</v>
      </c>
      <c r="AR50" s="39">
        <f>SUMIFS(Lançamentos!$G:$G,Lançamentos!$A:$A,AR$19,Lançamentos!$C:$C,"Frete sobre Vendas")</f>
        <v>0</v>
      </c>
      <c r="AS50" s="39">
        <f>SUMIFS(Lançamentos!$G:$G,Lançamentos!$A:$A,AS$19,Lançamentos!$C:$C,"Frete sobre Vendas")</f>
        <v>0</v>
      </c>
      <c r="AT50" s="39">
        <f>SUMIFS(Lançamentos!$G:$G,Lançamentos!$A:$A,AT$19,Lançamentos!$C:$C,"Frete sobre Vendas")</f>
        <v>0</v>
      </c>
      <c r="AU50" s="39">
        <f>SUMIFS(Lançamentos!$G:$G,Lançamentos!$A:$A,AU$19,Lançamentos!$C:$C,"Frete sobre Vendas")</f>
        <v>0</v>
      </c>
      <c r="AV50" s="39">
        <f>SUMIFS(Lançamentos!$G:$G,Lançamentos!$A:$A,AV$19,Lançamentos!$C:$C,"Frete sobre Vendas")</f>
        <v>0</v>
      </c>
      <c r="AW50" s="39">
        <f>SUMIFS(Lançamentos!$G:$G,Lançamentos!$A:$A,AW$19,Lançamentos!$C:$C,"Frete sobre Vendas")</f>
        <v>0</v>
      </c>
      <c r="AX50" s="39">
        <f>SUMIFS(Lançamentos!$G:$G,Lançamentos!$A:$A,AX$19,Lançamentos!$C:$C,"Frete sobre Vendas")</f>
        <v>0</v>
      </c>
      <c r="AY50" s="39">
        <f>SUMIFS(Lançamentos!$G:$G,Lançamentos!$A:$A,AY$19,Lançamentos!$C:$C,"Frete sobre Vendas")</f>
        <v>0</v>
      </c>
      <c r="AZ50" s="39">
        <f>SUMIFS(Lançamentos!$G:$G,Lançamentos!$A:$A,AZ$19,Lançamentos!$C:$C,"Frete sobre Vendas")</f>
        <v>0</v>
      </c>
      <c r="BA50" s="39">
        <f>SUMIFS(Lançamentos!$G:$G,Lançamentos!$A:$A,BA$19,Lançamentos!$C:$C,"Frete sobre Vendas")</f>
        <v>0</v>
      </c>
      <c r="BB50" s="39">
        <f>SUMIFS(Lançamentos!$G:$G,Lançamentos!$A:$A,BB$19,Lançamentos!$C:$C,"Frete sobre Vendas")</f>
        <v>0</v>
      </c>
      <c r="BC50" s="39">
        <f>SUMIFS(Lançamentos!$G:$G,Lançamentos!$A:$A,BC$19,Lançamentos!$C:$C,"Frete sobre Vendas")</f>
        <v>0</v>
      </c>
      <c r="BD50" s="39">
        <f>SUMIFS(Lançamentos!$G:$G,Lançamentos!$A:$A,BD$19,Lançamentos!$C:$C,"Frete sobre Vendas")</f>
        <v>0</v>
      </c>
      <c r="BE50" s="39">
        <f>SUMIFS(Lançamentos!$G:$G,Lançamentos!$A:$A,BE$19,Lançamentos!$C:$C,"Frete sobre Vendas")</f>
        <v>0</v>
      </c>
      <c r="BF50" s="39">
        <f>SUMIFS(Lançamentos!$G:$G,Lançamentos!$A:$A,BF$19,Lançamentos!$C:$C,"Frete sobre Vendas")</f>
        <v>0</v>
      </c>
      <c r="BG50" s="39">
        <f>SUMIFS(Lançamentos!$G:$G,Lançamentos!$A:$A,BG$19,Lançamentos!$C:$C,"Frete sobre Vendas")</f>
        <v>0</v>
      </c>
      <c r="BH50" s="39">
        <f>SUMIFS(Lançamentos!$G:$G,Lançamentos!$A:$A,BH$19,Lançamentos!$C:$C,"Frete sobre Vendas")</f>
        <v>0</v>
      </c>
      <c r="BI50" s="39">
        <f>SUMIFS(Lançamentos!$G:$G,Lançamentos!$A:$A,BI$19,Lançamentos!$C:$C,"Frete sobre Vendas")</f>
        <v>0</v>
      </c>
      <c r="BJ50" s="39">
        <f>SUMIFS(Lançamentos!$G:$G,Lançamentos!$A:$A,BJ$19,Lançamentos!$C:$C,"Frete sobre Vendas")</f>
        <v>0</v>
      </c>
      <c r="BK50" s="39">
        <f>SUMIFS(Lançamentos!$G:$G,Lançamentos!$A:$A,BK$19,Lançamentos!$C:$C,"Frete sobre Vendas")</f>
        <v>0</v>
      </c>
      <c r="BL50" s="39">
        <f>SUMIFS(Lançamentos!$G:$G,Lançamentos!$A:$A,BL$19,Lançamentos!$C:$C,"Frete sobre Vendas")</f>
        <v>0</v>
      </c>
      <c r="BM50" s="39">
        <f>SUMIFS(Lançamentos!$G:$G,Lançamentos!$A:$A,BM$19,Lançamentos!$C:$C,"Frete sobre Vendas")</f>
        <v>0</v>
      </c>
      <c r="BN50" s="39">
        <f>SUMIFS(Lançamentos!$G:$G,Lançamentos!$A:$A,BN$19,Lançamentos!$C:$C,"Frete sobre Vendas")</f>
        <v>0</v>
      </c>
      <c r="BO50" s="39">
        <f>SUMIFS(Lançamentos!$G:$G,Lançamentos!$A:$A,BO$19,Lançamentos!$C:$C,"Frete sobre Vendas")</f>
        <v>0</v>
      </c>
      <c r="BP50" s="39">
        <f>SUMIFS(Lançamentos!$G:$G,Lançamentos!$A:$A,BP$19,Lançamentos!$C:$C,"Frete sobre Vendas")</f>
        <v>0</v>
      </c>
      <c r="BQ50" s="39">
        <f>SUMIFS(Lançamentos!$G:$G,Lançamentos!$A:$A,BQ$19,Lançamentos!$C:$C,"Frete sobre Vendas")</f>
        <v>0</v>
      </c>
      <c r="BR50" s="39">
        <f>SUMIFS(Lançamentos!$G:$G,Lançamentos!$A:$A,BR$19,Lançamentos!$C:$C,"Frete sobre Vendas")</f>
        <v>0</v>
      </c>
      <c r="BS50" s="39">
        <f>SUMIFS(Lançamentos!$G:$G,Lançamentos!$A:$A,BS$19,Lançamentos!$C:$C,"Frete sobre Vendas")</f>
        <v>0</v>
      </c>
      <c r="BT50" s="39">
        <f>SUMIFS(Lançamentos!$G:$G,Lançamentos!$A:$A,BT$19,Lançamentos!$C:$C,"Frete sobre Vendas")</f>
        <v>0</v>
      </c>
      <c r="BU50" s="39">
        <f>SUMIFS(Lançamentos!$G:$G,Lançamentos!$A:$A,BU$19,Lançamentos!$C:$C,"Frete sobre Vendas")</f>
        <v>0</v>
      </c>
      <c r="BV50" s="39">
        <f>SUMIFS(Lançamentos!$G:$G,Lançamentos!$A:$A,BV$19,Lançamentos!$C:$C,"Frete sobre Vendas")</f>
        <v>0</v>
      </c>
      <c r="BW50" s="39">
        <f>SUMIFS(Lançamentos!$G:$G,Lançamentos!$A:$A,BW$19,Lançamentos!$C:$C,"Frete sobre Vendas")</f>
        <v>0</v>
      </c>
      <c r="BX50" s="39">
        <f>SUMIFS(Lançamentos!$G:$G,Lançamentos!$A:$A,BX$19,Lançamentos!$C:$C,"Frete sobre Vendas")</f>
        <v>0</v>
      </c>
      <c r="BY50" s="39">
        <f>SUMIFS(Lançamentos!$G:$G,Lançamentos!$A:$A,BY$19,Lançamentos!$C:$C,"Frete sobre Vendas")</f>
        <v>0</v>
      </c>
      <c r="BZ50" s="39">
        <f>SUMIFS(Lançamentos!$G:$G,Lançamentos!$A:$A,BZ$19,Lançamentos!$C:$C,"Frete sobre Vendas")</f>
        <v>0</v>
      </c>
      <c r="CA50" s="39">
        <f>SUMIFS(Lançamentos!$G:$G,Lançamentos!$A:$A,CA$19,Lançamentos!$C:$C,"Frete sobre Vendas")</f>
        <v>0</v>
      </c>
      <c r="CB50" s="39">
        <f>SUMIFS(Lançamentos!$G:$G,Lançamentos!$A:$A,CB$19,Lançamentos!$C:$C,"Frete sobre Vendas")</f>
        <v>0</v>
      </c>
      <c r="CC50" s="39">
        <f>SUMIFS(Lançamentos!$G:$G,Lançamentos!$A:$A,CC$19,Lançamentos!$C:$C,"Frete sobre Vendas")</f>
        <v>0</v>
      </c>
      <c r="CD50" s="39">
        <f>SUMIFS(Lançamentos!$G:$G,Lançamentos!$A:$A,CD$19,Lançamentos!$C:$C,"Frete sobre Vendas")</f>
        <v>0</v>
      </c>
      <c r="CE50" s="39">
        <f>SUMIFS(Lançamentos!$G:$G,Lançamentos!$A:$A,CE$19,Lançamentos!$C:$C,"Frete sobre Vendas")</f>
        <v>0</v>
      </c>
      <c r="CF50" s="39">
        <f>SUMIFS(Lançamentos!$G:$G,Lançamentos!$A:$A,CF$19,Lançamentos!$C:$C,"Frete sobre Vendas")</f>
        <v>0</v>
      </c>
      <c r="CG50" s="39">
        <f>SUMIFS(Lançamentos!$G:$G,Lançamentos!$A:$A,CG$19,Lançamentos!$C:$C,"Frete sobre Vendas")</f>
        <v>0</v>
      </c>
      <c r="CH50" s="39">
        <f>SUMIFS(Lançamentos!$G:$G,Lançamentos!$A:$A,CH$19,Lançamentos!$C:$C,"Frete sobre Vendas")</f>
        <v>0</v>
      </c>
      <c r="CI50" s="39">
        <f>SUMIFS(Lançamentos!$G:$G,Lançamentos!$A:$A,CI$19,Lançamentos!$C:$C,"Frete sobre Vendas")</f>
        <v>0</v>
      </c>
      <c r="CJ50" s="39">
        <f>SUMIFS(Lançamentos!$G:$G,Lançamentos!$A:$A,CJ$19,Lançamentos!$C:$C,"Frete sobre Vendas")</f>
        <v>0</v>
      </c>
      <c r="CK50" s="39">
        <f>SUMIFS(Lançamentos!$G:$G,Lançamentos!$A:$A,CK$19,Lançamentos!$C:$C,"Frete sobre Vendas")</f>
        <v>0</v>
      </c>
      <c r="CL50" s="39">
        <f>SUMIFS(Lançamentos!$G:$G,Lançamentos!$A:$A,CL$19,Lançamentos!$C:$C,"Frete sobre Vendas")</f>
        <v>0</v>
      </c>
      <c r="CM50" s="39">
        <f>SUMIFS(Lançamentos!$G:$G,Lançamentos!$A:$A,CM$19,Lançamentos!$C:$C,"Frete sobre Vendas")</f>
        <v>0</v>
      </c>
      <c r="CN50" s="39">
        <f>SUMIFS(Lançamentos!$G:$G,Lançamentos!$A:$A,CN$19,Lançamentos!$C:$C,"Frete sobre Vendas")</f>
        <v>0</v>
      </c>
      <c r="CO50" s="39">
        <f>SUMIFS(Lançamentos!$G:$G,Lançamentos!$A:$A,CO$19,Lançamentos!$C:$C,"Frete sobre Vendas")</f>
        <v>0</v>
      </c>
      <c r="CP50" s="39">
        <f>SUMIFS(Lançamentos!$G:$G,Lançamentos!$A:$A,CP$19,Lançamentos!$C:$C,"Frete sobre Vendas")</f>
        <v>0</v>
      </c>
      <c r="CQ50" s="39">
        <f>SUMIFS(Lançamentos!$G:$G,Lançamentos!$A:$A,CQ$19,Lançamentos!$C:$C,"Frete sobre Vendas")</f>
        <v>0</v>
      </c>
      <c r="CR50" s="39">
        <f>SUMIFS(Lançamentos!$G:$G,Lançamentos!$A:$A,CR$19,Lançamentos!$C:$C,"Frete sobre Vendas")</f>
        <v>0</v>
      </c>
      <c r="CS50" s="39">
        <f>SUMIFS(Lançamentos!$G:$G,Lançamentos!$A:$A,CS$19,Lançamentos!$C:$C,"Frete sobre Vendas")</f>
        <v>0</v>
      </c>
      <c r="CT50" s="39">
        <f>SUMIFS(Lançamentos!$G:$G,Lançamentos!$A:$A,CT$19,Lançamentos!$C:$C,"Frete sobre Vendas")</f>
        <v>0</v>
      </c>
      <c r="CU50" s="39">
        <f>SUMIFS(Lançamentos!$G:$G,Lançamentos!$A:$A,CU$19,Lançamentos!$C:$C,"Frete sobre Vendas")</f>
        <v>0</v>
      </c>
      <c r="CV50" s="39">
        <f>SUMIFS(Lançamentos!$G:$G,Lançamentos!$A:$A,CV$19,Lançamentos!$C:$C,"Frete sobre Vendas")</f>
        <v>0</v>
      </c>
      <c r="CW50" s="39">
        <f>SUMIFS(Lançamentos!$G:$G,Lançamentos!$A:$A,CW$19,Lançamentos!$C:$C,"Frete sobre Vendas")</f>
        <v>0</v>
      </c>
      <c r="CX50" s="39">
        <f>SUMIFS(Lançamentos!$G:$G,Lançamentos!$A:$A,CX$19,Lançamentos!$C:$C,"Frete sobre Vendas")</f>
        <v>0</v>
      </c>
      <c r="CY50" s="39">
        <f>SUMIFS(Lançamentos!$G:$G,Lançamentos!$A:$A,CY$19,Lançamentos!$C:$C,"Frete sobre Vendas")</f>
        <v>0</v>
      </c>
      <c r="CZ50" s="39">
        <f>SUMIFS(Lançamentos!$G:$G,Lançamentos!$A:$A,CZ$19,Lançamentos!$C:$C,"Frete sobre Vendas")</f>
        <v>0</v>
      </c>
      <c r="DA50" s="39">
        <f>SUMIFS(Lançamentos!$G:$G,Lançamentos!$A:$A,DA$19,Lançamentos!$C:$C,"Frete sobre Vendas")</f>
        <v>0</v>
      </c>
      <c r="DB50" s="39">
        <f>SUMIFS(Lançamentos!$G:$G,Lançamentos!$A:$A,DB$19,Lançamentos!$C:$C,"Frete sobre Vendas")</f>
        <v>0</v>
      </c>
      <c r="DC50" s="39">
        <f>SUMIFS(Lançamentos!$G:$G,Lançamentos!$A:$A,DC$19,Lançamentos!$C:$C,"Frete sobre Vendas")</f>
        <v>0</v>
      </c>
      <c r="DD50" s="39">
        <f>SUMIFS(Lançamentos!$G:$G,Lançamentos!$A:$A,DD$19,Lançamentos!$C:$C,"Frete sobre Vendas")</f>
        <v>0</v>
      </c>
      <c r="DE50" s="39">
        <f>SUMIFS(Lançamentos!$G:$G,Lançamentos!$A:$A,DE$19,Lançamentos!$C:$C,"Frete sobre Vendas")</f>
        <v>0</v>
      </c>
      <c r="DF50" s="39">
        <f>SUMIFS(Lançamentos!$G:$G,Lançamentos!$A:$A,DF$19,Lançamentos!$C:$C,"Frete sobre Vendas")</f>
        <v>0</v>
      </c>
      <c r="DG50" s="39">
        <f>SUMIFS(Lançamentos!$G:$G,Lançamentos!$A:$A,DG$19,Lançamentos!$C:$C,"Frete sobre Vendas")</f>
        <v>0</v>
      </c>
      <c r="DH50" s="39">
        <f>SUMIFS(Lançamentos!$G:$G,Lançamentos!$A:$A,DH$19,Lançamentos!$C:$C,"Frete sobre Vendas")</f>
        <v>0</v>
      </c>
      <c r="DI50" s="39">
        <f>SUMIFS(Lançamentos!$G:$G,Lançamentos!$A:$A,DI$19,Lançamentos!$C:$C,"Frete sobre Vendas")</f>
        <v>0</v>
      </c>
      <c r="DJ50" s="39">
        <f>SUMIFS(Lançamentos!$G:$G,Lançamentos!$A:$A,DJ$19,Lançamentos!$C:$C,"Frete sobre Vendas")</f>
        <v>0</v>
      </c>
      <c r="DK50" s="39">
        <f>SUMIFS(Lançamentos!$G:$G,Lançamentos!$A:$A,DK$19,Lançamentos!$C:$C,"Frete sobre Vendas")</f>
        <v>0</v>
      </c>
      <c r="DL50" s="39">
        <f>SUMIFS(Lançamentos!$G:$G,Lançamentos!$A:$A,DL$19,Lançamentos!$C:$C,"Frete sobre Vendas")</f>
        <v>0</v>
      </c>
      <c r="DM50" s="39">
        <f>SUMIFS(Lançamentos!$G:$G,Lançamentos!$A:$A,DM$19,Lançamentos!$C:$C,"Frete sobre Vendas")</f>
        <v>0</v>
      </c>
      <c r="DN50" s="39">
        <f>SUMIFS(Lançamentos!$G:$G,Lançamentos!$A:$A,DN$19,Lançamentos!$C:$C,"Frete sobre Vendas")</f>
        <v>0</v>
      </c>
      <c r="DO50" s="39">
        <f>SUMIFS(Lançamentos!$G:$G,Lançamentos!$A:$A,DO$19,Lançamentos!$C:$C,"Frete sobre Vendas")</f>
        <v>0</v>
      </c>
      <c r="DP50" s="39">
        <f>SUMIFS(Lançamentos!$G:$G,Lançamentos!$A:$A,DP$19,Lançamentos!$C:$C,"Frete sobre Vendas")</f>
        <v>0</v>
      </c>
      <c r="DQ50" s="39">
        <f>SUMIFS(Lançamentos!$G:$G,Lançamentos!$A:$A,DQ$19,Lançamentos!$C:$C,"Frete sobre Vendas")</f>
        <v>0</v>
      </c>
      <c r="DR50" s="39">
        <f>SUMIFS(Lançamentos!$G:$G,Lançamentos!$A:$A,DR$19,Lançamentos!$C:$C,"Frete sobre Vendas")</f>
        <v>0</v>
      </c>
      <c r="DS50" s="39">
        <f>SUMIFS(Lançamentos!$G:$G,Lançamentos!$A:$A,DS$19,Lançamentos!$C:$C,"Frete sobre Vendas")</f>
        <v>0</v>
      </c>
      <c r="DT50" s="39">
        <f>SUMIFS(Lançamentos!$G:$G,Lançamentos!$A:$A,DT$19,Lançamentos!$C:$C,"Frete sobre Vendas")</f>
        <v>0</v>
      </c>
      <c r="DU50" s="39">
        <f>SUMIFS(Lançamentos!$G:$G,Lançamentos!$A:$A,DU$19,Lançamentos!$C:$C,"Frete sobre Vendas")</f>
        <v>0</v>
      </c>
      <c r="DV50" s="39">
        <f>SUMIFS(Lançamentos!$G:$G,Lançamentos!$A:$A,DV$19,Lançamentos!$C:$C,"Frete sobre Vendas")</f>
        <v>0</v>
      </c>
      <c r="DW50" s="39">
        <f>SUMIFS(Lançamentos!$G:$G,Lançamentos!$A:$A,DW$19,Lançamentos!$C:$C,"Frete sobre Vendas")</f>
        <v>0</v>
      </c>
      <c r="DX50" s="39">
        <f>SUMIFS(Lançamentos!$G:$G,Lançamentos!$A:$A,DX$19,Lançamentos!$C:$C,"Frete sobre Vendas")</f>
        <v>0</v>
      </c>
      <c r="DY50" s="39">
        <f>SUMIFS(Lançamentos!$G:$G,Lançamentos!$A:$A,DY$19,Lançamentos!$C:$C,"Frete sobre Vendas")</f>
        <v>0</v>
      </c>
      <c r="DZ50" s="39">
        <f>SUMIFS(Lançamentos!$G:$G,Lançamentos!$A:$A,DZ$19,Lançamentos!$C:$C,"Frete sobre Vendas")</f>
        <v>0</v>
      </c>
      <c r="EA50" s="39">
        <f>SUMIFS(Lançamentos!$G:$G,Lançamentos!$A:$A,EA$19,Lançamentos!$C:$C,"Frete sobre Vendas")</f>
        <v>0</v>
      </c>
      <c r="EB50" s="39">
        <f>SUMIFS(Lançamentos!$G:$G,Lançamentos!$A:$A,EB$19,Lançamentos!$C:$C,"Frete sobre Vendas")</f>
        <v>0</v>
      </c>
      <c r="EC50" s="39">
        <f>SUMIFS(Lançamentos!$G:$G,Lançamentos!$A:$A,EC$19,Lançamentos!$C:$C,"Frete sobre Vendas")</f>
        <v>0</v>
      </c>
      <c r="ED50" s="39">
        <f>SUMIFS(Lançamentos!$G:$G,Lançamentos!$A:$A,ED$19,Lançamentos!$C:$C,"Frete sobre Vendas")</f>
        <v>0</v>
      </c>
      <c r="EE50" s="39">
        <f>SUMIFS(Lançamentos!$G:$G,Lançamentos!$A:$A,EE$19,Lançamentos!$C:$C,"Frete sobre Vendas")</f>
        <v>0</v>
      </c>
      <c r="EF50" s="39">
        <f>SUMIFS(Lançamentos!$G:$G,Lançamentos!$A:$A,EF$19,Lançamentos!$C:$C,"Frete sobre Vendas")</f>
        <v>0</v>
      </c>
      <c r="EG50" s="39">
        <f>SUMIFS(Lançamentos!$G:$G,Lançamentos!$A:$A,EG$19,Lançamentos!$C:$C,"Frete sobre Vendas")</f>
        <v>0</v>
      </c>
      <c r="EH50" s="39">
        <f>SUMIFS(Lançamentos!$G:$G,Lançamentos!$A:$A,EH$19,Lançamentos!$C:$C,"Frete sobre Vendas")</f>
        <v>0</v>
      </c>
      <c r="EI50" s="39">
        <f>SUMIFS(Lançamentos!$G:$G,Lançamentos!$A:$A,EI$19,Lançamentos!$C:$C,"Frete sobre Vendas")</f>
        <v>0</v>
      </c>
      <c r="EJ50" s="39">
        <f>SUMIFS(Lançamentos!$G:$G,Lançamentos!$A:$A,EJ$19,Lançamentos!$C:$C,"Frete sobre Vendas")</f>
        <v>0</v>
      </c>
      <c r="EK50" s="39">
        <f>SUMIFS(Lançamentos!$G:$G,Lançamentos!$A:$A,EK$19,Lançamentos!$C:$C,"Frete sobre Vendas")</f>
        <v>0</v>
      </c>
      <c r="EL50" s="39">
        <f>SUMIFS(Lançamentos!$G:$G,Lançamentos!$A:$A,EL$19,Lançamentos!$C:$C,"Frete sobre Vendas")</f>
        <v>0</v>
      </c>
      <c r="EM50" s="39">
        <f>SUMIFS(Lançamentos!$G:$G,Lançamentos!$A:$A,EM$19,Lançamentos!$C:$C,"Frete sobre Vendas")</f>
        <v>0</v>
      </c>
      <c r="EN50" s="39">
        <f>SUMIFS(Lançamentos!$G:$G,Lançamentos!$A:$A,EN$19,Lançamentos!$C:$C,"Frete sobre Vendas")</f>
        <v>0</v>
      </c>
      <c r="EO50" s="39">
        <f>SUMIFS(Lançamentos!$G:$G,Lançamentos!$A:$A,EO$19,Lançamentos!$C:$C,"Frete sobre Vendas")</f>
        <v>0</v>
      </c>
      <c r="EP50" s="39">
        <f>SUMIFS(Lançamentos!$G:$G,Lançamentos!$A:$A,EP$19,Lançamentos!$C:$C,"Frete sobre Vendas")</f>
        <v>0</v>
      </c>
      <c r="EQ50" s="39">
        <f>SUMIFS(Lançamentos!$G:$G,Lançamentos!$A:$A,EQ$19,Lançamentos!$C:$C,"Frete sobre Vendas")</f>
        <v>0</v>
      </c>
      <c r="ER50" s="39">
        <f>SUMIFS(Lançamentos!$G:$G,Lançamentos!$A:$A,ER$19,Lançamentos!$C:$C,"Frete sobre Vendas")</f>
        <v>0</v>
      </c>
      <c r="ES50" s="39">
        <f>SUMIFS(Lançamentos!$G:$G,Lançamentos!$A:$A,ES$19,Lançamentos!$C:$C,"Frete sobre Vendas")</f>
        <v>0</v>
      </c>
      <c r="ET50" s="39">
        <f>SUMIFS(Lançamentos!$G:$G,Lançamentos!$A:$A,ET$19,Lançamentos!$C:$C,"Frete sobre Vendas")</f>
        <v>0</v>
      </c>
      <c r="EU50" s="39">
        <f>SUMIFS(Lançamentos!$G:$G,Lançamentos!$A:$A,EU$19,Lançamentos!$C:$C,"Frete sobre Vendas")</f>
        <v>0</v>
      </c>
      <c r="EV50" s="39">
        <f>SUMIFS(Lançamentos!$G:$G,Lançamentos!$A:$A,EV$19,Lançamentos!$C:$C,"Frete sobre Vendas")</f>
        <v>0</v>
      </c>
      <c r="EW50" s="39">
        <f>SUMIFS(Lançamentos!$G:$G,Lançamentos!$A:$A,EW$19,Lançamentos!$C:$C,"Frete sobre Vendas")</f>
        <v>0</v>
      </c>
      <c r="EX50" s="39">
        <f>SUMIFS(Lançamentos!$G:$G,Lançamentos!$A:$A,EX$19,Lançamentos!$C:$C,"Frete sobre Vendas")</f>
        <v>0</v>
      </c>
      <c r="EY50" s="39">
        <f>SUMIFS(Lançamentos!$G:$G,Lançamentos!$A:$A,EY$19,Lançamentos!$C:$C,"Frete sobre Vendas")</f>
        <v>0</v>
      </c>
      <c r="EZ50" s="39">
        <f>SUMIFS(Lançamentos!$G:$G,Lançamentos!$A:$A,EZ$19,Lançamentos!$C:$C,"Frete sobre Vendas")</f>
        <v>0</v>
      </c>
      <c r="FA50" s="39">
        <f>SUMIFS(Lançamentos!$G:$G,Lançamentos!$A:$A,FA$19,Lançamentos!$C:$C,"Frete sobre Vendas")</f>
        <v>0</v>
      </c>
      <c r="FB50" s="39">
        <f>SUMIFS(Lançamentos!$G:$G,Lançamentos!$A:$A,FB$19,Lançamentos!$C:$C,"Frete sobre Vendas")</f>
        <v>0</v>
      </c>
      <c r="FC50" s="39">
        <f>SUMIFS(Lançamentos!$G:$G,Lançamentos!$A:$A,FC$19,Lançamentos!$C:$C,"Frete sobre Vendas")</f>
        <v>0</v>
      </c>
      <c r="FD50" s="39">
        <f>SUMIFS(Lançamentos!$G:$G,Lançamentos!$A:$A,FD$19,Lançamentos!$C:$C,"Frete sobre Vendas")</f>
        <v>0</v>
      </c>
      <c r="FE50" s="39">
        <f>SUMIFS(Lançamentos!$G:$G,Lançamentos!$A:$A,FE$19,Lançamentos!$C:$C,"Frete sobre Vendas")</f>
        <v>0</v>
      </c>
      <c r="FF50" s="39">
        <f>SUMIFS(Lançamentos!$G:$G,Lançamentos!$A:$A,FF$19,Lançamentos!$C:$C,"Frete sobre Vendas")</f>
        <v>0</v>
      </c>
      <c r="FG50" s="39">
        <f>SUMIFS(Lançamentos!$G:$G,Lançamentos!$A:$A,FG$19,Lançamentos!$C:$C,"Frete sobre Vendas")</f>
        <v>0</v>
      </c>
      <c r="FH50" s="39">
        <f>SUMIFS(Lançamentos!$G:$G,Lançamentos!$A:$A,FH$19,Lançamentos!$C:$C,"Frete sobre Vendas")</f>
        <v>0</v>
      </c>
      <c r="FI50" s="39">
        <f>SUMIFS(Lançamentos!$G:$G,Lançamentos!$A:$A,FI$19,Lançamentos!$C:$C,"Frete sobre Vendas")</f>
        <v>0</v>
      </c>
      <c r="FJ50" s="39">
        <f>SUMIFS(Lançamentos!$G:$G,Lançamentos!$A:$A,FJ$19,Lançamentos!$C:$C,"Frete sobre Vendas")</f>
        <v>0</v>
      </c>
      <c r="FK50" s="39">
        <f>SUMIFS(Lançamentos!$G:$G,Lançamentos!$A:$A,FK$19,Lançamentos!$C:$C,"Frete sobre Vendas")</f>
        <v>0</v>
      </c>
      <c r="FL50" s="39">
        <f>SUMIFS(Lançamentos!$G:$G,Lançamentos!$A:$A,FL$19,Lançamentos!$C:$C,"Frete sobre Vendas")</f>
        <v>0</v>
      </c>
      <c r="FM50" s="39">
        <f>SUMIFS(Lançamentos!$G:$G,Lançamentos!$A:$A,FM$19,Lançamentos!$C:$C,"Frete sobre Vendas")</f>
        <v>0</v>
      </c>
      <c r="FN50" s="39">
        <f>SUMIFS(Lançamentos!$G:$G,Lançamentos!$A:$A,FN$19,Lançamentos!$C:$C,"Frete sobre Vendas")</f>
        <v>0</v>
      </c>
      <c r="FO50" s="39">
        <f>SUMIFS(Lançamentos!$G:$G,Lançamentos!$A:$A,FO$19,Lançamentos!$C:$C,"Frete sobre Vendas")</f>
        <v>0</v>
      </c>
      <c r="FP50" s="39">
        <f>SUMIFS(Lançamentos!$G:$G,Lançamentos!$A:$A,FP$19,Lançamentos!$C:$C,"Frete sobre Vendas")</f>
        <v>0</v>
      </c>
      <c r="FQ50" s="39">
        <f>SUMIFS(Lançamentos!$G:$G,Lançamentos!$A:$A,FQ$19,Lançamentos!$C:$C,"Frete sobre Vendas")</f>
        <v>0</v>
      </c>
      <c r="FR50" s="39">
        <f>SUMIFS(Lançamentos!$G:$G,Lançamentos!$A:$A,FR$19,Lançamentos!$C:$C,"Frete sobre Vendas")</f>
        <v>0</v>
      </c>
      <c r="FS50" s="39">
        <f>SUMIFS(Lançamentos!$G:$G,Lançamentos!$A:$A,FS$19,Lançamentos!$C:$C,"Frete sobre Vendas")</f>
        <v>0</v>
      </c>
      <c r="FT50" s="39">
        <f>SUMIFS(Lançamentos!$G:$G,Lançamentos!$A:$A,FT$19,Lançamentos!$C:$C,"Frete sobre Vendas")</f>
        <v>0</v>
      </c>
      <c r="FU50" s="39">
        <f>SUMIFS(Lançamentos!$G:$G,Lançamentos!$A:$A,FU$19,Lançamentos!$C:$C,"Frete sobre Vendas")</f>
        <v>0</v>
      </c>
      <c r="FV50" s="39">
        <f>SUMIFS(Lançamentos!$G:$G,Lançamentos!$A:$A,FV$19,Lançamentos!$C:$C,"Frete sobre Vendas")</f>
        <v>0</v>
      </c>
      <c r="FW50" s="39">
        <f>SUMIFS(Lançamentos!$G:$G,Lançamentos!$A:$A,FW$19,Lançamentos!$C:$C,"Frete sobre Vendas")</f>
        <v>0</v>
      </c>
      <c r="FX50" s="39">
        <f>SUMIFS(Lançamentos!$G:$G,Lançamentos!$A:$A,FX$19,Lançamentos!$C:$C,"Frete sobre Vendas")</f>
        <v>0</v>
      </c>
      <c r="FY50" s="39">
        <f>SUMIFS(Lançamentos!$G:$G,Lançamentos!$A:$A,FY$19,Lançamentos!$C:$C,"Frete sobre Vendas")</f>
        <v>0</v>
      </c>
      <c r="FZ50" s="39">
        <f>SUMIFS(Lançamentos!$G:$G,Lançamentos!$A:$A,FZ$19,Lançamentos!$C:$C,"Frete sobre Vendas")</f>
        <v>0</v>
      </c>
      <c r="GA50" s="39">
        <f>SUMIFS(Lançamentos!$G:$G,Lançamentos!$A:$A,GA$19,Lançamentos!$C:$C,"Frete sobre Vendas")</f>
        <v>0</v>
      </c>
      <c r="GB50" s="39">
        <f>SUMIFS(Lançamentos!$G:$G,Lançamentos!$A:$A,GB$19,Lançamentos!$C:$C,"Frete sobre Vendas")</f>
        <v>0</v>
      </c>
      <c r="GC50" s="39">
        <f>SUMIFS(Lançamentos!$G:$G,Lançamentos!$A:$A,GC$19,Lançamentos!$C:$C,"Frete sobre Vendas")</f>
        <v>0</v>
      </c>
      <c r="GD50" s="39">
        <f>SUMIFS(Lançamentos!$G:$G,Lançamentos!$A:$A,GD$19,Lançamentos!$C:$C,"Frete sobre Vendas")</f>
        <v>0</v>
      </c>
      <c r="GE50" s="39">
        <f>SUMIFS(Lançamentos!$G:$G,Lançamentos!$A:$A,GE$19,Lançamentos!$C:$C,"Frete sobre Vendas")</f>
        <v>0</v>
      </c>
      <c r="GF50" s="39">
        <f>SUMIFS(Lançamentos!$G:$G,Lançamentos!$A:$A,GF$19,Lançamentos!$C:$C,"Frete sobre Vendas")</f>
        <v>0</v>
      </c>
      <c r="GG50" s="39">
        <f>SUMIFS(Lançamentos!$G:$G,Lançamentos!$A:$A,GG$19,Lançamentos!$C:$C,"Frete sobre Vendas")</f>
        <v>0</v>
      </c>
      <c r="GH50" s="39">
        <f>SUMIFS(Lançamentos!$G:$G,Lançamentos!$A:$A,GH$19,Lançamentos!$C:$C,"Frete sobre Vendas")</f>
        <v>0</v>
      </c>
      <c r="GI50" s="39">
        <f>SUMIFS(Lançamentos!$G:$G,Lançamentos!$A:$A,GI$19,Lançamentos!$C:$C,"Frete sobre Vendas")</f>
        <v>0</v>
      </c>
      <c r="GJ50" s="39">
        <f>SUMIFS(Lançamentos!$G:$G,Lançamentos!$A:$A,GJ$19,Lançamentos!$C:$C,"Frete sobre Vendas")</f>
        <v>0</v>
      </c>
      <c r="GK50" s="39">
        <f>SUMIFS(Lançamentos!$G:$G,Lançamentos!$A:$A,GK$19,Lançamentos!$C:$C,"Frete sobre Vendas")</f>
        <v>0</v>
      </c>
      <c r="GL50" s="39">
        <f>SUMIFS(Lançamentos!$G:$G,Lançamentos!$A:$A,GL$19,Lançamentos!$C:$C,"Frete sobre Vendas")</f>
        <v>0</v>
      </c>
      <c r="GM50" s="39">
        <f>SUMIFS(Lançamentos!$G:$G,Lançamentos!$A:$A,GM$19,Lançamentos!$C:$C,"Frete sobre Vendas")</f>
        <v>0</v>
      </c>
      <c r="GN50" s="39">
        <f>SUMIFS(Lançamentos!$G:$G,Lançamentos!$A:$A,GN$19,Lançamentos!$C:$C,"Frete sobre Vendas")</f>
        <v>0</v>
      </c>
      <c r="GO50" s="39">
        <f>SUMIFS(Lançamentos!$G:$G,Lançamentos!$A:$A,GO$19,Lançamentos!$C:$C,"Frete sobre Vendas")</f>
        <v>0</v>
      </c>
      <c r="GP50" s="39">
        <f>SUMIFS(Lançamentos!$G:$G,Lançamentos!$A:$A,GP$19,Lançamentos!$C:$C,"Frete sobre Vendas")</f>
        <v>0</v>
      </c>
      <c r="GQ50" s="39">
        <f>SUMIFS(Lançamentos!$G:$G,Lançamentos!$A:$A,GQ$19,Lançamentos!$C:$C,"Frete sobre Vendas")</f>
        <v>0</v>
      </c>
      <c r="GR50" s="39">
        <f>SUMIFS(Lançamentos!$G:$G,Lançamentos!$A:$A,GR$19,Lançamentos!$C:$C,"Frete sobre Vendas")</f>
        <v>0</v>
      </c>
      <c r="GS50" s="39">
        <f>SUMIFS(Lançamentos!$G:$G,Lançamentos!$A:$A,GS$19,Lançamentos!$C:$C,"Frete sobre Vendas")</f>
        <v>0</v>
      </c>
      <c r="GT50" s="39">
        <f>SUMIFS(Lançamentos!$G:$G,Lançamentos!$A:$A,GT$19,Lançamentos!$C:$C,"Frete sobre Vendas")</f>
        <v>0</v>
      </c>
      <c r="GU50" s="39">
        <f>SUMIFS(Lançamentos!$G:$G,Lançamentos!$A:$A,GU$19,Lançamentos!$C:$C,"Frete sobre Vendas")</f>
        <v>0</v>
      </c>
      <c r="GV50" s="39">
        <f>SUMIFS(Lançamentos!$G:$G,Lançamentos!$A:$A,GV$19,Lançamentos!$C:$C,"Frete sobre Vendas")</f>
        <v>0</v>
      </c>
      <c r="GW50" s="39">
        <f>SUMIFS(Lançamentos!$G:$G,Lançamentos!$A:$A,GW$19,Lançamentos!$C:$C,"Frete sobre Vendas")</f>
        <v>0</v>
      </c>
      <c r="GX50" s="39">
        <f>SUMIFS(Lançamentos!$G:$G,Lançamentos!$A:$A,GX$19,Lançamentos!$C:$C,"Frete sobre Vendas")</f>
        <v>0</v>
      </c>
      <c r="GY50" s="39">
        <f>SUMIFS(Lançamentos!$G:$G,Lançamentos!$A:$A,GY$19,Lançamentos!$C:$C,"Frete sobre Vendas")</f>
        <v>0</v>
      </c>
      <c r="GZ50" s="39">
        <f>SUMIFS(Lançamentos!$G:$G,Lançamentos!$A:$A,GZ$19,Lançamentos!$C:$C,"Frete sobre Vendas")</f>
        <v>0</v>
      </c>
      <c r="HA50" s="39">
        <f>SUMIFS(Lançamentos!$G:$G,Lançamentos!$A:$A,HA$19,Lançamentos!$C:$C,"Frete sobre Vendas")</f>
        <v>0</v>
      </c>
      <c r="HB50" s="39">
        <f>SUMIFS(Lançamentos!$G:$G,Lançamentos!$A:$A,HB$19,Lançamentos!$C:$C,"Frete sobre Vendas")</f>
        <v>0</v>
      </c>
      <c r="HC50" s="39">
        <f>SUMIFS(Lançamentos!$G:$G,Lançamentos!$A:$A,HC$19,Lançamentos!$C:$C,"Frete sobre Vendas")</f>
        <v>0</v>
      </c>
      <c r="HD50" s="39">
        <f>SUMIFS(Lançamentos!$G:$G,Lançamentos!$A:$A,HD$19,Lançamentos!$C:$C,"Frete sobre Vendas")</f>
        <v>0</v>
      </c>
      <c r="HE50" s="39">
        <f>SUMIFS(Lançamentos!$G:$G,Lançamentos!$A:$A,HE$19,Lançamentos!$C:$C,"Frete sobre Vendas")</f>
        <v>0</v>
      </c>
      <c r="HF50" s="39">
        <f>SUMIFS(Lançamentos!$G:$G,Lançamentos!$A:$A,HF$19,Lançamentos!$C:$C,"Frete sobre Vendas")</f>
        <v>0</v>
      </c>
      <c r="HG50" s="39">
        <f>SUMIFS(Lançamentos!$G:$G,Lançamentos!$A:$A,HG$19,Lançamentos!$C:$C,"Frete sobre Vendas")</f>
        <v>0</v>
      </c>
      <c r="HH50" s="39">
        <f>SUMIFS(Lançamentos!$G:$G,Lançamentos!$A:$A,HH$19,Lançamentos!$C:$C,"Frete sobre Vendas")</f>
        <v>0</v>
      </c>
      <c r="HI50" s="39">
        <f>SUMIFS(Lançamentos!$G:$G,Lançamentos!$A:$A,HI$19,Lançamentos!$C:$C,"Frete sobre Vendas")</f>
        <v>0</v>
      </c>
      <c r="HJ50" s="39">
        <f>SUMIFS(Lançamentos!$G:$G,Lançamentos!$A:$A,HJ$19,Lançamentos!$C:$C,"Frete sobre Vendas")</f>
        <v>0</v>
      </c>
      <c r="HK50" s="39">
        <f>SUMIFS(Lançamentos!$G:$G,Lançamentos!$A:$A,HK$19,Lançamentos!$C:$C,"Frete sobre Vendas")</f>
        <v>0</v>
      </c>
      <c r="HL50" s="39">
        <f>SUMIFS(Lançamentos!$G:$G,Lançamentos!$A:$A,HL$19,Lançamentos!$C:$C,"Frete sobre Vendas")</f>
        <v>0</v>
      </c>
      <c r="HM50" s="39">
        <f>SUMIFS(Lançamentos!$G:$G,Lançamentos!$A:$A,HM$19,Lançamentos!$C:$C,"Frete sobre Vendas")</f>
        <v>0</v>
      </c>
      <c r="HN50" s="39">
        <f>SUMIFS(Lançamentos!$G:$G,Lançamentos!$A:$A,HN$19,Lançamentos!$C:$C,"Frete sobre Vendas")</f>
        <v>0</v>
      </c>
      <c r="HO50" s="39">
        <f>SUMIFS(Lançamentos!$G:$G,Lançamentos!$A:$A,HO$19,Lançamentos!$C:$C,"Frete sobre Vendas")</f>
        <v>0</v>
      </c>
      <c r="HP50" s="39">
        <f>SUMIFS(Lançamentos!$G:$G,Lançamentos!$A:$A,HP$19,Lançamentos!$C:$C,"Frete sobre Vendas")</f>
        <v>0</v>
      </c>
      <c r="HQ50" s="39">
        <f>SUMIFS(Lançamentos!$G:$G,Lançamentos!$A:$A,HQ$19,Lançamentos!$C:$C,"Frete sobre Vendas")</f>
        <v>0</v>
      </c>
      <c r="HR50" s="39">
        <f>SUMIFS(Lançamentos!$G:$G,Lançamentos!$A:$A,HR$19,Lançamentos!$C:$C,"Frete sobre Vendas")</f>
        <v>0</v>
      </c>
      <c r="HS50" s="39">
        <f>SUMIFS(Lançamentos!$G:$G,Lançamentos!$A:$A,HS$19,Lançamentos!$C:$C,"Frete sobre Vendas")</f>
        <v>0</v>
      </c>
      <c r="HT50" s="39">
        <f>SUMIFS(Lançamentos!$G:$G,Lançamentos!$A:$A,HT$19,Lançamentos!$C:$C,"Frete sobre Vendas")</f>
        <v>0</v>
      </c>
      <c r="HU50" s="39">
        <f>SUMIFS(Lançamentos!$G:$G,Lançamentos!$A:$A,HU$19,Lançamentos!$C:$C,"Frete sobre Vendas")</f>
        <v>0</v>
      </c>
      <c r="HV50" s="39">
        <f>SUMIFS(Lançamentos!$G:$G,Lançamentos!$A:$A,HV$19,Lançamentos!$C:$C,"Frete sobre Vendas")</f>
        <v>0</v>
      </c>
      <c r="HW50" s="39">
        <f>SUMIFS(Lançamentos!$G:$G,Lançamentos!$A:$A,HW$19,Lançamentos!$C:$C,"Frete sobre Vendas")</f>
        <v>0</v>
      </c>
      <c r="HX50" s="39">
        <f>SUMIFS(Lançamentos!$G:$G,Lançamentos!$A:$A,HX$19,Lançamentos!$C:$C,"Frete sobre Vendas")</f>
        <v>0</v>
      </c>
      <c r="HY50" s="39">
        <f>SUMIFS(Lançamentos!$G:$G,Lançamentos!$A:$A,HY$19,Lançamentos!$C:$C,"Frete sobre Vendas")</f>
        <v>0</v>
      </c>
      <c r="HZ50" s="39">
        <f>SUMIFS(Lançamentos!$G:$G,Lançamentos!$A:$A,HZ$19,Lançamentos!$C:$C,"Frete sobre Vendas")</f>
        <v>0</v>
      </c>
      <c r="IA50" s="39">
        <f>SUMIFS(Lançamentos!$G:$G,Lançamentos!$A:$A,IA$19,Lançamentos!$C:$C,"Frete sobre Vendas")</f>
        <v>0</v>
      </c>
      <c r="IB50" s="39">
        <f>SUMIFS(Lançamentos!$G:$G,Lançamentos!$A:$A,IB$19,Lançamentos!$C:$C,"Frete sobre Vendas")</f>
        <v>0</v>
      </c>
      <c r="IC50" s="39">
        <f>SUMIFS(Lançamentos!$G:$G,Lançamentos!$A:$A,IC$19,Lançamentos!$C:$C,"Frete sobre Vendas")</f>
        <v>0</v>
      </c>
      <c r="ID50" s="39">
        <f>SUMIFS(Lançamentos!$G:$G,Lançamentos!$A:$A,ID$19,Lançamentos!$C:$C,"Frete sobre Vendas")</f>
        <v>0</v>
      </c>
      <c r="IE50" s="39">
        <f>SUMIFS(Lançamentos!$G:$G,Lançamentos!$A:$A,IE$19,Lançamentos!$C:$C,"Frete sobre Vendas")</f>
        <v>0</v>
      </c>
      <c r="IF50" s="39">
        <f>SUMIFS(Lançamentos!$G:$G,Lançamentos!$A:$A,IF$19,Lançamentos!$C:$C,"Frete sobre Vendas")</f>
        <v>0</v>
      </c>
      <c r="IG50" s="39">
        <f>SUMIFS(Lançamentos!$G:$G,Lançamentos!$A:$A,IG$19,Lançamentos!$C:$C,"Frete sobre Vendas")</f>
        <v>0</v>
      </c>
      <c r="IH50" s="39">
        <f>SUMIFS(Lançamentos!$G:$G,Lançamentos!$A:$A,IH$19,Lançamentos!$C:$C,"Frete sobre Vendas")</f>
        <v>0</v>
      </c>
      <c r="II50" s="39">
        <f>SUMIFS(Lançamentos!$G:$G,Lançamentos!$A:$A,II$19,Lançamentos!$C:$C,"Frete sobre Vendas")</f>
        <v>0</v>
      </c>
      <c r="IJ50" s="39">
        <f>SUMIFS(Lançamentos!$G:$G,Lançamentos!$A:$A,IJ$19,Lançamentos!$C:$C,"Frete sobre Vendas")</f>
        <v>0</v>
      </c>
      <c r="IK50" s="39">
        <f>SUMIFS(Lançamentos!$G:$G,Lançamentos!$A:$A,IK$19,Lançamentos!$C:$C,"Frete sobre Vendas")</f>
        <v>0</v>
      </c>
      <c r="IL50" s="39">
        <f>SUMIFS(Lançamentos!$G:$G,Lançamentos!$A:$A,IL$19,Lançamentos!$C:$C,"Frete sobre Vendas")</f>
        <v>0</v>
      </c>
    </row>
    <row r="51" spans="1:246" x14ac:dyDescent="0.3">
      <c r="A51" t="s">
        <v>96</v>
      </c>
      <c r="B51" s="39">
        <f>SUMIFS(Lançamentos!$G:$G,Lançamentos!$A:$A,B$19,Lançamentos!$C:$C,"Embalagens")</f>
        <v>0</v>
      </c>
      <c r="C51" s="39">
        <f>SUMIFS(Lançamentos!$G:$G,Lançamentos!$A:$A,C$19,Lançamentos!$C:$C,"Embalagens")</f>
        <v>0</v>
      </c>
      <c r="D51" s="39">
        <f>SUMIFS(Lançamentos!$G:$G,Lançamentos!$A:$A,D$19,Lançamentos!$C:$C,"Embalagens")</f>
        <v>0</v>
      </c>
      <c r="E51" s="39">
        <f>SUMIFS(Lançamentos!$G:$G,Lançamentos!$A:$A,E$19,Lançamentos!$C:$C,"Embalagens")</f>
        <v>0</v>
      </c>
      <c r="F51" s="39">
        <f>SUMIFS(Lançamentos!$G:$G,Lançamentos!$A:$A,F$19,Lançamentos!$C:$C,"Embalagens")</f>
        <v>0</v>
      </c>
      <c r="G51" s="39">
        <f>SUMIFS(Lançamentos!$G:$G,Lançamentos!$A:$A,G$19,Lançamentos!$C:$C,"Embalagens")</f>
        <v>0</v>
      </c>
      <c r="H51" s="39">
        <f>SUMIFS(Lançamentos!$G:$G,Lançamentos!$A:$A,H$19,Lançamentos!$C:$C,"Embalagens")</f>
        <v>0</v>
      </c>
      <c r="I51" s="39">
        <f>SUMIFS(Lançamentos!$G:$G,Lançamentos!$A:$A,I$19,Lançamentos!$C:$C,"Embalagens")</f>
        <v>0</v>
      </c>
      <c r="J51" s="39">
        <f>SUMIFS(Lançamentos!$G:$G,Lançamentos!$A:$A,J$19,Lançamentos!$C:$C,"Embalagens")</f>
        <v>0</v>
      </c>
      <c r="K51" s="39">
        <f>SUMIFS(Lançamentos!$G:$G,Lançamentos!$A:$A,K$19,Lançamentos!$C:$C,"Embalagens")</f>
        <v>0</v>
      </c>
      <c r="L51" s="39">
        <f>SUMIFS(Lançamentos!$G:$G,Lançamentos!$A:$A,L$19,Lançamentos!$C:$C,"Embalagens")</f>
        <v>0</v>
      </c>
      <c r="M51" s="39">
        <f>SUMIFS(Lançamentos!$G:$G,Lançamentos!$A:$A,M$19,Lançamentos!$C:$C,"Embalagens")</f>
        <v>0</v>
      </c>
      <c r="N51" s="39">
        <f>SUMIFS(Lançamentos!$G:$G,Lançamentos!$A:$A,N$19,Lançamentos!$C:$C,"Embalagens")</f>
        <v>0</v>
      </c>
      <c r="O51" s="39">
        <f>SUMIFS(Lançamentos!$G:$G,Lançamentos!$A:$A,O$19,Lançamentos!$C:$C,"Embalagens")</f>
        <v>0</v>
      </c>
      <c r="P51" s="39">
        <f>SUMIFS(Lançamentos!$G:$G,Lançamentos!$A:$A,P$19,Lançamentos!$C:$C,"Embalagens")</f>
        <v>0</v>
      </c>
      <c r="Q51" s="39">
        <f>SUMIFS(Lançamentos!$G:$G,Lançamentos!$A:$A,Q$19,Lançamentos!$C:$C,"Embalagens")</f>
        <v>0</v>
      </c>
      <c r="R51" s="39">
        <f>SUMIFS(Lançamentos!$G:$G,Lançamentos!$A:$A,R$19,Lançamentos!$C:$C,"Embalagens")</f>
        <v>0</v>
      </c>
      <c r="S51" s="39">
        <f>SUMIFS(Lançamentos!$G:$G,Lançamentos!$A:$A,S$19,Lançamentos!$C:$C,"Embalagens")</f>
        <v>0</v>
      </c>
      <c r="T51" s="39">
        <f>SUMIFS(Lançamentos!$G:$G,Lançamentos!$A:$A,T$19,Lançamentos!$C:$C,"Embalagens")</f>
        <v>0</v>
      </c>
      <c r="U51" s="39">
        <f>SUMIFS(Lançamentos!$G:$G,Lançamentos!$A:$A,U$19,Lançamentos!$C:$C,"Embalagens")</f>
        <v>0</v>
      </c>
      <c r="V51" s="39">
        <f>SUMIFS(Lançamentos!$G:$G,Lançamentos!$A:$A,V$19,Lançamentos!$C:$C,"Embalagens")</f>
        <v>0</v>
      </c>
      <c r="W51" s="39">
        <f>SUMIFS(Lançamentos!$G:$G,Lançamentos!$A:$A,W$19,Lançamentos!$C:$C,"Embalagens")</f>
        <v>0</v>
      </c>
      <c r="X51" s="39">
        <f>SUMIFS(Lançamentos!$G:$G,Lançamentos!$A:$A,X$19,Lançamentos!$C:$C,"Embalagens")</f>
        <v>0</v>
      </c>
      <c r="Y51" s="39">
        <f>SUMIFS(Lançamentos!$G:$G,Lançamentos!$A:$A,Y$19,Lançamentos!$C:$C,"Embalagens")</f>
        <v>0</v>
      </c>
      <c r="Z51" s="39">
        <f>SUMIFS(Lançamentos!$G:$G,Lançamentos!$A:$A,Z$19,Lançamentos!$C:$C,"Embalagens")</f>
        <v>0</v>
      </c>
      <c r="AA51" s="39">
        <f>SUMIFS(Lançamentos!$G:$G,Lançamentos!$A:$A,AA$19,Lançamentos!$C:$C,"Embalagens")</f>
        <v>0</v>
      </c>
      <c r="AB51" s="39">
        <f>SUMIFS(Lançamentos!$G:$G,Lançamentos!$A:$A,AB$19,Lançamentos!$C:$C,"Embalagens")</f>
        <v>0</v>
      </c>
      <c r="AC51" s="39">
        <f>SUMIFS(Lançamentos!$G:$G,Lançamentos!$A:$A,AC$19,Lançamentos!$C:$C,"Embalagens")</f>
        <v>0</v>
      </c>
      <c r="AD51" s="39">
        <f>SUMIFS(Lançamentos!$G:$G,Lançamentos!$A:$A,AD$19,Lançamentos!$C:$C,"Embalagens")</f>
        <v>0</v>
      </c>
      <c r="AE51" s="39">
        <f>SUMIFS(Lançamentos!$G:$G,Lançamentos!$A:$A,AE$19,Lançamentos!$C:$C,"Embalagens")</f>
        <v>0</v>
      </c>
      <c r="AF51" s="39">
        <f>SUMIFS(Lançamentos!$G:$G,Lançamentos!$A:$A,AF$19,Lançamentos!$C:$C,"Embalagens")</f>
        <v>0</v>
      </c>
      <c r="AG51" s="39">
        <f>SUMIFS(Lançamentos!$G:$G,Lançamentos!$A:$A,AG$19,Lançamentos!$C:$C,"Embalagens")</f>
        <v>0</v>
      </c>
      <c r="AH51" s="39">
        <f>SUMIFS(Lançamentos!$G:$G,Lançamentos!$A:$A,AH$19,Lançamentos!$C:$C,"Embalagens")</f>
        <v>0</v>
      </c>
      <c r="AI51" s="39">
        <f>SUMIFS(Lançamentos!$G:$G,Lançamentos!$A:$A,AI$19,Lançamentos!$C:$C,"Embalagens")</f>
        <v>0</v>
      </c>
      <c r="AJ51" s="39">
        <f>SUMIFS(Lançamentos!$G:$G,Lançamentos!$A:$A,AJ$19,Lançamentos!$C:$C,"Embalagens")</f>
        <v>0</v>
      </c>
      <c r="AK51" s="39">
        <f>SUMIFS(Lançamentos!$G:$G,Lançamentos!$A:$A,AK$19,Lançamentos!$C:$C,"Embalagens")</f>
        <v>0</v>
      </c>
      <c r="AL51" s="39">
        <f>SUMIFS(Lançamentos!$G:$G,Lançamentos!$A:$A,AL$19,Lançamentos!$C:$C,"Embalagens")</f>
        <v>0</v>
      </c>
      <c r="AM51" s="39">
        <f>SUMIFS(Lançamentos!$G:$G,Lançamentos!$A:$A,AM$19,Lançamentos!$C:$C,"Embalagens")</f>
        <v>0</v>
      </c>
      <c r="AN51" s="39">
        <f>SUMIFS(Lançamentos!$G:$G,Lançamentos!$A:$A,AN$19,Lançamentos!$C:$C,"Embalagens")</f>
        <v>0</v>
      </c>
      <c r="AO51" s="39">
        <f>SUMIFS(Lançamentos!$G:$G,Lançamentos!$A:$A,AO$19,Lançamentos!$C:$C,"Embalagens")</f>
        <v>0</v>
      </c>
      <c r="AP51" s="39">
        <f>SUMIFS(Lançamentos!$G:$G,Lançamentos!$A:$A,AP$19,Lançamentos!$C:$C,"Embalagens")</f>
        <v>0</v>
      </c>
      <c r="AQ51" s="39">
        <f>SUMIFS(Lançamentos!$G:$G,Lançamentos!$A:$A,AQ$19,Lançamentos!$C:$C,"Embalagens")</f>
        <v>0</v>
      </c>
      <c r="AR51" s="39">
        <f>SUMIFS(Lançamentos!$G:$G,Lançamentos!$A:$A,AR$19,Lançamentos!$C:$C,"Embalagens")</f>
        <v>0</v>
      </c>
      <c r="AS51" s="39">
        <f>SUMIFS(Lançamentos!$G:$G,Lançamentos!$A:$A,AS$19,Lançamentos!$C:$C,"Embalagens")</f>
        <v>0</v>
      </c>
      <c r="AT51" s="39">
        <f>SUMIFS(Lançamentos!$G:$G,Lançamentos!$A:$A,AT$19,Lançamentos!$C:$C,"Embalagens")</f>
        <v>0</v>
      </c>
      <c r="AU51" s="39">
        <f>SUMIFS(Lançamentos!$G:$G,Lançamentos!$A:$A,AU$19,Lançamentos!$C:$C,"Embalagens")</f>
        <v>0</v>
      </c>
      <c r="AV51" s="39">
        <f>SUMIFS(Lançamentos!$G:$G,Lançamentos!$A:$A,AV$19,Lançamentos!$C:$C,"Embalagens")</f>
        <v>0</v>
      </c>
      <c r="AW51" s="39">
        <f>SUMIFS(Lançamentos!$G:$G,Lançamentos!$A:$A,AW$19,Lançamentos!$C:$C,"Embalagens")</f>
        <v>0</v>
      </c>
      <c r="AX51" s="39">
        <f>SUMIFS(Lançamentos!$G:$G,Lançamentos!$A:$A,AX$19,Lançamentos!$C:$C,"Embalagens")</f>
        <v>0</v>
      </c>
      <c r="AY51" s="39">
        <f>SUMIFS(Lançamentos!$G:$G,Lançamentos!$A:$A,AY$19,Lançamentos!$C:$C,"Embalagens")</f>
        <v>0</v>
      </c>
      <c r="AZ51" s="39">
        <f>SUMIFS(Lançamentos!$G:$G,Lançamentos!$A:$A,AZ$19,Lançamentos!$C:$C,"Embalagens")</f>
        <v>0</v>
      </c>
      <c r="BA51" s="39">
        <f>SUMIFS(Lançamentos!$G:$G,Lançamentos!$A:$A,BA$19,Lançamentos!$C:$C,"Embalagens")</f>
        <v>0</v>
      </c>
      <c r="BB51" s="39">
        <f>SUMIFS(Lançamentos!$G:$G,Lançamentos!$A:$A,BB$19,Lançamentos!$C:$C,"Embalagens")</f>
        <v>0</v>
      </c>
      <c r="BC51" s="39">
        <f>SUMIFS(Lançamentos!$G:$G,Lançamentos!$A:$A,BC$19,Lançamentos!$C:$C,"Embalagens")</f>
        <v>0</v>
      </c>
      <c r="BD51" s="39">
        <f>SUMIFS(Lançamentos!$G:$G,Lançamentos!$A:$A,BD$19,Lançamentos!$C:$C,"Embalagens")</f>
        <v>0</v>
      </c>
      <c r="BE51" s="39">
        <f>SUMIFS(Lançamentos!$G:$G,Lançamentos!$A:$A,BE$19,Lançamentos!$C:$C,"Embalagens")</f>
        <v>0</v>
      </c>
      <c r="BF51" s="39">
        <f>SUMIFS(Lançamentos!$G:$G,Lançamentos!$A:$A,BF$19,Lançamentos!$C:$C,"Embalagens")</f>
        <v>0</v>
      </c>
      <c r="BG51" s="39">
        <f>SUMIFS(Lançamentos!$G:$G,Lançamentos!$A:$A,BG$19,Lançamentos!$C:$C,"Embalagens")</f>
        <v>0</v>
      </c>
      <c r="BH51" s="39">
        <f>SUMIFS(Lançamentos!$G:$G,Lançamentos!$A:$A,BH$19,Lançamentos!$C:$C,"Embalagens")</f>
        <v>0</v>
      </c>
      <c r="BI51" s="39">
        <f>SUMIFS(Lançamentos!$G:$G,Lançamentos!$A:$A,BI$19,Lançamentos!$C:$C,"Embalagens")</f>
        <v>0</v>
      </c>
      <c r="BJ51" s="39">
        <f>SUMIFS(Lançamentos!$G:$G,Lançamentos!$A:$A,BJ$19,Lançamentos!$C:$C,"Embalagens")</f>
        <v>0</v>
      </c>
      <c r="BK51" s="39">
        <f>SUMIFS(Lançamentos!$G:$G,Lançamentos!$A:$A,BK$19,Lançamentos!$C:$C,"Embalagens")</f>
        <v>0</v>
      </c>
      <c r="BL51" s="39">
        <f>SUMIFS(Lançamentos!$G:$G,Lançamentos!$A:$A,BL$19,Lançamentos!$C:$C,"Embalagens")</f>
        <v>0</v>
      </c>
      <c r="BM51" s="39">
        <f>SUMIFS(Lançamentos!$G:$G,Lançamentos!$A:$A,BM$19,Lançamentos!$C:$C,"Embalagens")</f>
        <v>0</v>
      </c>
      <c r="BN51" s="39">
        <f>SUMIFS(Lançamentos!$G:$G,Lançamentos!$A:$A,BN$19,Lançamentos!$C:$C,"Embalagens")</f>
        <v>0</v>
      </c>
      <c r="BO51" s="39">
        <f>SUMIFS(Lançamentos!$G:$G,Lançamentos!$A:$A,BO$19,Lançamentos!$C:$C,"Embalagens")</f>
        <v>0</v>
      </c>
      <c r="BP51" s="39">
        <f>SUMIFS(Lançamentos!$G:$G,Lançamentos!$A:$A,BP$19,Lançamentos!$C:$C,"Embalagens")</f>
        <v>0</v>
      </c>
      <c r="BQ51" s="39">
        <f>SUMIFS(Lançamentos!$G:$G,Lançamentos!$A:$A,BQ$19,Lançamentos!$C:$C,"Embalagens")</f>
        <v>0</v>
      </c>
      <c r="BR51" s="39">
        <f>SUMIFS(Lançamentos!$G:$G,Lançamentos!$A:$A,BR$19,Lançamentos!$C:$C,"Embalagens")</f>
        <v>0</v>
      </c>
      <c r="BS51" s="39">
        <f>SUMIFS(Lançamentos!$G:$G,Lançamentos!$A:$A,BS$19,Lançamentos!$C:$C,"Embalagens")</f>
        <v>0</v>
      </c>
      <c r="BT51" s="39">
        <f>SUMIFS(Lançamentos!$G:$G,Lançamentos!$A:$A,BT$19,Lançamentos!$C:$C,"Embalagens")</f>
        <v>0</v>
      </c>
      <c r="BU51" s="39">
        <f>SUMIFS(Lançamentos!$G:$G,Lançamentos!$A:$A,BU$19,Lançamentos!$C:$C,"Embalagens")</f>
        <v>0</v>
      </c>
      <c r="BV51" s="39">
        <f>SUMIFS(Lançamentos!$G:$G,Lançamentos!$A:$A,BV$19,Lançamentos!$C:$C,"Embalagens")</f>
        <v>0</v>
      </c>
      <c r="BW51" s="39">
        <f>SUMIFS(Lançamentos!$G:$G,Lançamentos!$A:$A,BW$19,Lançamentos!$C:$C,"Embalagens")</f>
        <v>0</v>
      </c>
      <c r="BX51" s="39">
        <f>SUMIFS(Lançamentos!$G:$G,Lançamentos!$A:$A,BX$19,Lançamentos!$C:$C,"Embalagens")</f>
        <v>0</v>
      </c>
      <c r="BY51" s="39">
        <f>SUMIFS(Lançamentos!$G:$G,Lançamentos!$A:$A,BY$19,Lançamentos!$C:$C,"Embalagens")</f>
        <v>0</v>
      </c>
      <c r="BZ51" s="39">
        <f>SUMIFS(Lançamentos!$G:$G,Lançamentos!$A:$A,BZ$19,Lançamentos!$C:$C,"Embalagens")</f>
        <v>0</v>
      </c>
      <c r="CA51" s="39">
        <f>SUMIFS(Lançamentos!$G:$G,Lançamentos!$A:$A,CA$19,Lançamentos!$C:$C,"Embalagens")</f>
        <v>0</v>
      </c>
      <c r="CB51" s="39">
        <f>SUMIFS(Lançamentos!$G:$G,Lançamentos!$A:$A,CB$19,Lançamentos!$C:$C,"Embalagens")</f>
        <v>0</v>
      </c>
      <c r="CC51" s="39">
        <f>SUMIFS(Lançamentos!$G:$G,Lançamentos!$A:$A,CC$19,Lançamentos!$C:$C,"Embalagens")</f>
        <v>0</v>
      </c>
      <c r="CD51" s="39">
        <f>SUMIFS(Lançamentos!$G:$G,Lançamentos!$A:$A,CD$19,Lançamentos!$C:$C,"Embalagens")</f>
        <v>0</v>
      </c>
      <c r="CE51" s="39">
        <f>SUMIFS(Lançamentos!$G:$G,Lançamentos!$A:$A,CE$19,Lançamentos!$C:$C,"Embalagens")</f>
        <v>0</v>
      </c>
      <c r="CF51" s="39">
        <f>SUMIFS(Lançamentos!$G:$G,Lançamentos!$A:$A,CF$19,Lançamentos!$C:$C,"Embalagens")</f>
        <v>0</v>
      </c>
      <c r="CG51" s="39">
        <f>SUMIFS(Lançamentos!$G:$G,Lançamentos!$A:$A,CG$19,Lançamentos!$C:$C,"Embalagens")</f>
        <v>0</v>
      </c>
      <c r="CH51" s="39">
        <f>SUMIFS(Lançamentos!$G:$G,Lançamentos!$A:$A,CH$19,Lançamentos!$C:$C,"Embalagens")</f>
        <v>0</v>
      </c>
      <c r="CI51" s="39">
        <f>SUMIFS(Lançamentos!$G:$G,Lançamentos!$A:$A,CI$19,Lançamentos!$C:$C,"Embalagens")</f>
        <v>0</v>
      </c>
      <c r="CJ51" s="39">
        <f>SUMIFS(Lançamentos!$G:$G,Lançamentos!$A:$A,CJ$19,Lançamentos!$C:$C,"Embalagens")</f>
        <v>0</v>
      </c>
      <c r="CK51" s="39">
        <f>SUMIFS(Lançamentos!$G:$G,Lançamentos!$A:$A,CK$19,Lançamentos!$C:$C,"Embalagens")</f>
        <v>0</v>
      </c>
      <c r="CL51" s="39">
        <f>SUMIFS(Lançamentos!$G:$G,Lançamentos!$A:$A,CL$19,Lançamentos!$C:$C,"Embalagens")</f>
        <v>0</v>
      </c>
      <c r="CM51" s="39">
        <f>SUMIFS(Lançamentos!$G:$G,Lançamentos!$A:$A,CM$19,Lançamentos!$C:$C,"Embalagens")</f>
        <v>0</v>
      </c>
      <c r="CN51" s="39">
        <f>SUMIFS(Lançamentos!$G:$G,Lançamentos!$A:$A,CN$19,Lançamentos!$C:$C,"Embalagens")</f>
        <v>0</v>
      </c>
      <c r="CO51" s="39">
        <f>SUMIFS(Lançamentos!$G:$G,Lançamentos!$A:$A,CO$19,Lançamentos!$C:$C,"Embalagens")</f>
        <v>0</v>
      </c>
      <c r="CP51" s="39">
        <f>SUMIFS(Lançamentos!$G:$G,Lançamentos!$A:$A,CP$19,Lançamentos!$C:$C,"Embalagens")</f>
        <v>0</v>
      </c>
      <c r="CQ51" s="39">
        <f>SUMIFS(Lançamentos!$G:$G,Lançamentos!$A:$A,CQ$19,Lançamentos!$C:$C,"Embalagens")</f>
        <v>0</v>
      </c>
      <c r="CR51" s="39">
        <f>SUMIFS(Lançamentos!$G:$G,Lançamentos!$A:$A,CR$19,Lançamentos!$C:$C,"Embalagens")</f>
        <v>0</v>
      </c>
      <c r="CS51" s="39">
        <f>SUMIFS(Lançamentos!$G:$G,Lançamentos!$A:$A,CS$19,Lançamentos!$C:$C,"Embalagens")</f>
        <v>0</v>
      </c>
      <c r="CT51" s="39">
        <f>SUMIFS(Lançamentos!$G:$G,Lançamentos!$A:$A,CT$19,Lançamentos!$C:$C,"Embalagens")</f>
        <v>0</v>
      </c>
      <c r="CU51" s="39">
        <f>SUMIFS(Lançamentos!$G:$G,Lançamentos!$A:$A,CU$19,Lançamentos!$C:$C,"Embalagens")</f>
        <v>0</v>
      </c>
      <c r="CV51" s="39">
        <f>SUMIFS(Lançamentos!$G:$G,Lançamentos!$A:$A,CV$19,Lançamentos!$C:$C,"Embalagens")</f>
        <v>0</v>
      </c>
      <c r="CW51" s="39">
        <f>SUMIFS(Lançamentos!$G:$G,Lançamentos!$A:$A,CW$19,Lançamentos!$C:$C,"Embalagens")</f>
        <v>0</v>
      </c>
      <c r="CX51" s="39">
        <f>SUMIFS(Lançamentos!$G:$G,Lançamentos!$A:$A,CX$19,Lançamentos!$C:$C,"Embalagens")</f>
        <v>0</v>
      </c>
      <c r="CY51" s="39">
        <f>SUMIFS(Lançamentos!$G:$G,Lançamentos!$A:$A,CY$19,Lançamentos!$C:$C,"Embalagens")</f>
        <v>0</v>
      </c>
      <c r="CZ51" s="39">
        <f>SUMIFS(Lançamentos!$G:$G,Lançamentos!$A:$A,CZ$19,Lançamentos!$C:$C,"Embalagens")</f>
        <v>0</v>
      </c>
      <c r="DA51" s="39">
        <f>SUMIFS(Lançamentos!$G:$G,Lançamentos!$A:$A,DA$19,Lançamentos!$C:$C,"Embalagens")</f>
        <v>0</v>
      </c>
      <c r="DB51" s="39">
        <f>SUMIFS(Lançamentos!$G:$G,Lançamentos!$A:$A,DB$19,Lançamentos!$C:$C,"Embalagens")</f>
        <v>0</v>
      </c>
      <c r="DC51" s="39">
        <f>SUMIFS(Lançamentos!$G:$G,Lançamentos!$A:$A,DC$19,Lançamentos!$C:$C,"Embalagens")</f>
        <v>0</v>
      </c>
      <c r="DD51" s="39">
        <f>SUMIFS(Lançamentos!$G:$G,Lançamentos!$A:$A,DD$19,Lançamentos!$C:$C,"Embalagens")</f>
        <v>0</v>
      </c>
      <c r="DE51" s="39">
        <f>SUMIFS(Lançamentos!$G:$G,Lançamentos!$A:$A,DE$19,Lançamentos!$C:$C,"Embalagens")</f>
        <v>0</v>
      </c>
      <c r="DF51" s="39">
        <f>SUMIFS(Lançamentos!$G:$G,Lançamentos!$A:$A,DF$19,Lançamentos!$C:$C,"Embalagens")</f>
        <v>0</v>
      </c>
      <c r="DG51" s="39">
        <f>SUMIFS(Lançamentos!$G:$G,Lançamentos!$A:$A,DG$19,Lançamentos!$C:$C,"Embalagens")</f>
        <v>0</v>
      </c>
      <c r="DH51" s="39">
        <f>SUMIFS(Lançamentos!$G:$G,Lançamentos!$A:$A,DH$19,Lançamentos!$C:$C,"Embalagens")</f>
        <v>0</v>
      </c>
      <c r="DI51" s="39">
        <f>SUMIFS(Lançamentos!$G:$G,Lançamentos!$A:$A,DI$19,Lançamentos!$C:$C,"Embalagens")</f>
        <v>0</v>
      </c>
      <c r="DJ51" s="39">
        <f>SUMIFS(Lançamentos!$G:$G,Lançamentos!$A:$A,DJ$19,Lançamentos!$C:$C,"Embalagens")</f>
        <v>0</v>
      </c>
      <c r="DK51" s="39">
        <f>SUMIFS(Lançamentos!$G:$G,Lançamentos!$A:$A,DK$19,Lançamentos!$C:$C,"Embalagens")</f>
        <v>0</v>
      </c>
      <c r="DL51" s="39">
        <f>SUMIFS(Lançamentos!$G:$G,Lançamentos!$A:$A,DL$19,Lançamentos!$C:$C,"Embalagens")</f>
        <v>0</v>
      </c>
      <c r="DM51" s="39">
        <f>SUMIFS(Lançamentos!$G:$G,Lançamentos!$A:$A,DM$19,Lançamentos!$C:$C,"Embalagens")</f>
        <v>0</v>
      </c>
      <c r="DN51" s="39">
        <f>SUMIFS(Lançamentos!$G:$G,Lançamentos!$A:$A,DN$19,Lançamentos!$C:$C,"Embalagens")</f>
        <v>0</v>
      </c>
      <c r="DO51" s="39">
        <f>SUMIFS(Lançamentos!$G:$G,Lançamentos!$A:$A,DO$19,Lançamentos!$C:$C,"Embalagens")</f>
        <v>0</v>
      </c>
      <c r="DP51" s="39">
        <f>SUMIFS(Lançamentos!$G:$G,Lançamentos!$A:$A,DP$19,Lançamentos!$C:$C,"Embalagens")</f>
        <v>0</v>
      </c>
      <c r="DQ51" s="39">
        <f>SUMIFS(Lançamentos!$G:$G,Lançamentos!$A:$A,DQ$19,Lançamentos!$C:$C,"Embalagens")</f>
        <v>0</v>
      </c>
      <c r="DR51" s="39">
        <f>SUMIFS(Lançamentos!$G:$G,Lançamentos!$A:$A,DR$19,Lançamentos!$C:$C,"Embalagens")</f>
        <v>0</v>
      </c>
      <c r="DS51" s="39">
        <f>SUMIFS(Lançamentos!$G:$G,Lançamentos!$A:$A,DS$19,Lançamentos!$C:$C,"Embalagens")</f>
        <v>0</v>
      </c>
      <c r="DT51" s="39">
        <f>SUMIFS(Lançamentos!$G:$G,Lançamentos!$A:$A,DT$19,Lançamentos!$C:$C,"Embalagens")</f>
        <v>0</v>
      </c>
      <c r="DU51" s="39">
        <f>SUMIFS(Lançamentos!$G:$G,Lançamentos!$A:$A,DU$19,Lançamentos!$C:$C,"Embalagens")</f>
        <v>0</v>
      </c>
      <c r="DV51" s="39">
        <f>SUMIFS(Lançamentos!$G:$G,Lançamentos!$A:$A,DV$19,Lançamentos!$C:$C,"Embalagens")</f>
        <v>0</v>
      </c>
      <c r="DW51" s="39">
        <f>SUMIFS(Lançamentos!$G:$G,Lançamentos!$A:$A,DW$19,Lançamentos!$C:$C,"Embalagens")</f>
        <v>0</v>
      </c>
      <c r="DX51" s="39">
        <f>SUMIFS(Lançamentos!$G:$G,Lançamentos!$A:$A,DX$19,Lançamentos!$C:$C,"Embalagens")</f>
        <v>0</v>
      </c>
      <c r="DY51" s="39">
        <f>SUMIFS(Lançamentos!$G:$G,Lançamentos!$A:$A,DY$19,Lançamentos!$C:$C,"Embalagens")</f>
        <v>0</v>
      </c>
      <c r="DZ51" s="39">
        <f>SUMIFS(Lançamentos!$G:$G,Lançamentos!$A:$A,DZ$19,Lançamentos!$C:$C,"Embalagens")</f>
        <v>0</v>
      </c>
      <c r="EA51" s="39">
        <f>SUMIFS(Lançamentos!$G:$G,Lançamentos!$A:$A,EA$19,Lançamentos!$C:$C,"Embalagens")</f>
        <v>0</v>
      </c>
      <c r="EB51" s="39">
        <f>SUMIFS(Lançamentos!$G:$G,Lançamentos!$A:$A,EB$19,Lançamentos!$C:$C,"Embalagens")</f>
        <v>0</v>
      </c>
      <c r="EC51" s="39">
        <f>SUMIFS(Lançamentos!$G:$G,Lançamentos!$A:$A,EC$19,Lançamentos!$C:$C,"Embalagens")</f>
        <v>0</v>
      </c>
      <c r="ED51" s="39">
        <f>SUMIFS(Lançamentos!$G:$G,Lançamentos!$A:$A,ED$19,Lançamentos!$C:$C,"Embalagens")</f>
        <v>0</v>
      </c>
      <c r="EE51" s="39">
        <f>SUMIFS(Lançamentos!$G:$G,Lançamentos!$A:$A,EE$19,Lançamentos!$C:$C,"Embalagens")</f>
        <v>0</v>
      </c>
      <c r="EF51" s="39">
        <f>SUMIFS(Lançamentos!$G:$G,Lançamentos!$A:$A,EF$19,Lançamentos!$C:$C,"Embalagens")</f>
        <v>0</v>
      </c>
      <c r="EG51" s="39">
        <f>SUMIFS(Lançamentos!$G:$G,Lançamentos!$A:$A,EG$19,Lançamentos!$C:$C,"Embalagens")</f>
        <v>0</v>
      </c>
      <c r="EH51" s="39">
        <f>SUMIFS(Lançamentos!$G:$G,Lançamentos!$A:$A,EH$19,Lançamentos!$C:$C,"Embalagens")</f>
        <v>0</v>
      </c>
      <c r="EI51" s="39">
        <f>SUMIFS(Lançamentos!$G:$G,Lançamentos!$A:$A,EI$19,Lançamentos!$C:$C,"Embalagens")</f>
        <v>0</v>
      </c>
      <c r="EJ51" s="39">
        <f>SUMIFS(Lançamentos!$G:$G,Lançamentos!$A:$A,EJ$19,Lançamentos!$C:$C,"Embalagens")</f>
        <v>0</v>
      </c>
      <c r="EK51" s="39">
        <f>SUMIFS(Lançamentos!$G:$G,Lançamentos!$A:$A,EK$19,Lançamentos!$C:$C,"Embalagens")</f>
        <v>0</v>
      </c>
      <c r="EL51" s="39">
        <f>SUMIFS(Lançamentos!$G:$G,Lançamentos!$A:$A,EL$19,Lançamentos!$C:$C,"Embalagens")</f>
        <v>0</v>
      </c>
      <c r="EM51" s="39">
        <f>SUMIFS(Lançamentos!$G:$G,Lançamentos!$A:$A,EM$19,Lançamentos!$C:$C,"Embalagens")</f>
        <v>0</v>
      </c>
      <c r="EN51" s="39">
        <f>SUMIFS(Lançamentos!$G:$G,Lançamentos!$A:$A,EN$19,Lançamentos!$C:$C,"Embalagens")</f>
        <v>0</v>
      </c>
      <c r="EO51" s="39">
        <f>SUMIFS(Lançamentos!$G:$G,Lançamentos!$A:$A,EO$19,Lançamentos!$C:$C,"Embalagens")</f>
        <v>0</v>
      </c>
      <c r="EP51" s="39">
        <f>SUMIFS(Lançamentos!$G:$G,Lançamentos!$A:$A,EP$19,Lançamentos!$C:$C,"Embalagens")</f>
        <v>0</v>
      </c>
      <c r="EQ51" s="39">
        <f>SUMIFS(Lançamentos!$G:$G,Lançamentos!$A:$A,EQ$19,Lançamentos!$C:$C,"Embalagens")</f>
        <v>0</v>
      </c>
      <c r="ER51" s="39">
        <f>SUMIFS(Lançamentos!$G:$G,Lançamentos!$A:$A,ER$19,Lançamentos!$C:$C,"Embalagens")</f>
        <v>0</v>
      </c>
      <c r="ES51" s="39">
        <f>SUMIFS(Lançamentos!$G:$G,Lançamentos!$A:$A,ES$19,Lançamentos!$C:$C,"Embalagens")</f>
        <v>0</v>
      </c>
      <c r="ET51" s="39">
        <f>SUMIFS(Lançamentos!$G:$G,Lançamentos!$A:$A,ET$19,Lançamentos!$C:$C,"Embalagens")</f>
        <v>0</v>
      </c>
      <c r="EU51" s="39">
        <f>SUMIFS(Lançamentos!$G:$G,Lançamentos!$A:$A,EU$19,Lançamentos!$C:$C,"Embalagens")</f>
        <v>0</v>
      </c>
      <c r="EV51" s="39">
        <f>SUMIFS(Lançamentos!$G:$G,Lançamentos!$A:$A,EV$19,Lançamentos!$C:$C,"Embalagens")</f>
        <v>0</v>
      </c>
      <c r="EW51" s="39">
        <f>SUMIFS(Lançamentos!$G:$G,Lançamentos!$A:$A,EW$19,Lançamentos!$C:$C,"Embalagens")</f>
        <v>0</v>
      </c>
      <c r="EX51" s="39">
        <f>SUMIFS(Lançamentos!$G:$G,Lançamentos!$A:$A,EX$19,Lançamentos!$C:$C,"Embalagens")</f>
        <v>0</v>
      </c>
      <c r="EY51" s="39">
        <f>SUMIFS(Lançamentos!$G:$G,Lançamentos!$A:$A,EY$19,Lançamentos!$C:$C,"Embalagens")</f>
        <v>0</v>
      </c>
      <c r="EZ51" s="39">
        <f>SUMIFS(Lançamentos!$G:$G,Lançamentos!$A:$A,EZ$19,Lançamentos!$C:$C,"Embalagens")</f>
        <v>0</v>
      </c>
      <c r="FA51" s="39">
        <f>SUMIFS(Lançamentos!$G:$G,Lançamentos!$A:$A,FA$19,Lançamentos!$C:$C,"Embalagens")</f>
        <v>0</v>
      </c>
      <c r="FB51" s="39">
        <f>SUMIFS(Lançamentos!$G:$G,Lançamentos!$A:$A,FB$19,Lançamentos!$C:$C,"Embalagens")</f>
        <v>0</v>
      </c>
      <c r="FC51" s="39">
        <f>SUMIFS(Lançamentos!$G:$G,Lançamentos!$A:$A,FC$19,Lançamentos!$C:$C,"Embalagens")</f>
        <v>0</v>
      </c>
      <c r="FD51" s="39">
        <f>SUMIFS(Lançamentos!$G:$G,Lançamentos!$A:$A,FD$19,Lançamentos!$C:$C,"Embalagens")</f>
        <v>0</v>
      </c>
      <c r="FE51" s="39">
        <f>SUMIFS(Lançamentos!$G:$G,Lançamentos!$A:$A,FE$19,Lançamentos!$C:$C,"Embalagens")</f>
        <v>0</v>
      </c>
      <c r="FF51" s="39">
        <f>SUMIFS(Lançamentos!$G:$G,Lançamentos!$A:$A,FF$19,Lançamentos!$C:$C,"Embalagens")</f>
        <v>0</v>
      </c>
      <c r="FG51" s="39">
        <f>SUMIFS(Lançamentos!$G:$G,Lançamentos!$A:$A,FG$19,Lançamentos!$C:$C,"Embalagens")</f>
        <v>0</v>
      </c>
      <c r="FH51" s="39">
        <f>SUMIFS(Lançamentos!$G:$G,Lançamentos!$A:$A,FH$19,Lançamentos!$C:$C,"Embalagens")</f>
        <v>0</v>
      </c>
      <c r="FI51" s="39">
        <f>SUMIFS(Lançamentos!$G:$G,Lançamentos!$A:$A,FI$19,Lançamentos!$C:$C,"Embalagens")</f>
        <v>0</v>
      </c>
      <c r="FJ51" s="39">
        <f>SUMIFS(Lançamentos!$G:$G,Lançamentos!$A:$A,FJ$19,Lançamentos!$C:$C,"Embalagens")</f>
        <v>0</v>
      </c>
      <c r="FK51" s="39">
        <f>SUMIFS(Lançamentos!$G:$G,Lançamentos!$A:$A,FK$19,Lançamentos!$C:$C,"Embalagens")</f>
        <v>0</v>
      </c>
      <c r="FL51" s="39">
        <f>SUMIFS(Lançamentos!$G:$G,Lançamentos!$A:$A,FL$19,Lançamentos!$C:$C,"Embalagens")</f>
        <v>0</v>
      </c>
      <c r="FM51" s="39">
        <f>SUMIFS(Lançamentos!$G:$G,Lançamentos!$A:$A,FM$19,Lançamentos!$C:$C,"Embalagens")</f>
        <v>0</v>
      </c>
      <c r="FN51" s="39">
        <f>SUMIFS(Lançamentos!$G:$G,Lançamentos!$A:$A,FN$19,Lançamentos!$C:$C,"Embalagens")</f>
        <v>0</v>
      </c>
      <c r="FO51" s="39">
        <f>SUMIFS(Lançamentos!$G:$G,Lançamentos!$A:$A,FO$19,Lançamentos!$C:$C,"Embalagens")</f>
        <v>0</v>
      </c>
      <c r="FP51" s="39">
        <f>SUMIFS(Lançamentos!$G:$G,Lançamentos!$A:$A,FP$19,Lançamentos!$C:$C,"Embalagens")</f>
        <v>0</v>
      </c>
      <c r="FQ51" s="39">
        <f>SUMIFS(Lançamentos!$G:$G,Lançamentos!$A:$A,FQ$19,Lançamentos!$C:$C,"Embalagens")</f>
        <v>0</v>
      </c>
      <c r="FR51" s="39">
        <f>SUMIFS(Lançamentos!$G:$G,Lançamentos!$A:$A,FR$19,Lançamentos!$C:$C,"Embalagens")</f>
        <v>0</v>
      </c>
      <c r="FS51" s="39">
        <f>SUMIFS(Lançamentos!$G:$G,Lançamentos!$A:$A,FS$19,Lançamentos!$C:$C,"Embalagens")</f>
        <v>0</v>
      </c>
      <c r="FT51" s="39">
        <f>SUMIFS(Lançamentos!$G:$G,Lançamentos!$A:$A,FT$19,Lançamentos!$C:$C,"Embalagens")</f>
        <v>0</v>
      </c>
      <c r="FU51" s="39">
        <f>SUMIFS(Lançamentos!$G:$G,Lançamentos!$A:$A,FU$19,Lançamentos!$C:$C,"Embalagens")</f>
        <v>0</v>
      </c>
      <c r="FV51" s="39">
        <f>SUMIFS(Lançamentos!$G:$G,Lançamentos!$A:$A,FV$19,Lançamentos!$C:$C,"Embalagens")</f>
        <v>0</v>
      </c>
      <c r="FW51" s="39">
        <f>SUMIFS(Lançamentos!$G:$G,Lançamentos!$A:$A,FW$19,Lançamentos!$C:$C,"Embalagens")</f>
        <v>0</v>
      </c>
      <c r="FX51" s="39">
        <f>SUMIFS(Lançamentos!$G:$G,Lançamentos!$A:$A,FX$19,Lançamentos!$C:$C,"Embalagens")</f>
        <v>0</v>
      </c>
      <c r="FY51" s="39">
        <f>SUMIFS(Lançamentos!$G:$G,Lançamentos!$A:$A,FY$19,Lançamentos!$C:$C,"Embalagens")</f>
        <v>0</v>
      </c>
      <c r="FZ51" s="39">
        <f>SUMIFS(Lançamentos!$G:$G,Lançamentos!$A:$A,FZ$19,Lançamentos!$C:$C,"Embalagens")</f>
        <v>0</v>
      </c>
      <c r="GA51" s="39">
        <f>SUMIFS(Lançamentos!$G:$G,Lançamentos!$A:$A,GA$19,Lançamentos!$C:$C,"Embalagens")</f>
        <v>0</v>
      </c>
      <c r="GB51" s="39">
        <f>SUMIFS(Lançamentos!$G:$G,Lançamentos!$A:$A,GB$19,Lançamentos!$C:$C,"Embalagens")</f>
        <v>0</v>
      </c>
      <c r="GC51" s="39">
        <f>SUMIFS(Lançamentos!$G:$G,Lançamentos!$A:$A,GC$19,Lançamentos!$C:$C,"Embalagens")</f>
        <v>0</v>
      </c>
      <c r="GD51" s="39">
        <f>SUMIFS(Lançamentos!$G:$G,Lançamentos!$A:$A,GD$19,Lançamentos!$C:$C,"Embalagens")</f>
        <v>0</v>
      </c>
      <c r="GE51" s="39">
        <f>SUMIFS(Lançamentos!$G:$G,Lançamentos!$A:$A,GE$19,Lançamentos!$C:$C,"Embalagens")</f>
        <v>0</v>
      </c>
      <c r="GF51" s="39">
        <f>SUMIFS(Lançamentos!$G:$G,Lançamentos!$A:$A,GF$19,Lançamentos!$C:$C,"Embalagens")</f>
        <v>0</v>
      </c>
      <c r="GG51" s="39">
        <f>SUMIFS(Lançamentos!$G:$G,Lançamentos!$A:$A,GG$19,Lançamentos!$C:$C,"Embalagens")</f>
        <v>0</v>
      </c>
      <c r="GH51" s="39">
        <f>SUMIFS(Lançamentos!$G:$G,Lançamentos!$A:$A,GH$19,Lançamentos!$C:$C,"Embalagens")</f>
        <v>0</v>
      </c>
      <c r="GI51" s="39">
        <f>SUMIFS(Lançamentos!$G:$G,Lançamentos!$A:$A,GI$19,Lançamentos!$C:$C,"Embalagens")</f>
        <v>0</v>
      </c>
      <c r="GJ51" s="39">
        <f>SUMIFS(Lançamentos!$G:$G,Lançamentos!$A:$A,GJ$19,Lançamentos!$C:$C,"Embalagens")</f>
        <v>0</v>
      </c>
      <c r="GK51" s="39">
        <f>SUMIFS(Lançamentos!$G:$G,Lançamentos!$A:$A,GK$19,Lançamentos!$C:$C,"Embalagens")</f>
        <v>0</v>
      </c>
      <c r="GL51" s="39">
        <f>SUMIFS(Lançamentos!$G:$G,Lançamentos!$A:$A,GL$19,Lançamentos!$C:$C,"Embalagens")</f>
        <v>0</v>
      </c>
      <c r="GM51" s="39">
        <f>SUMIFS(Lançamentos!$G:$G,Lançamentos!$A:$A,GM$19,Lançamentos!$C:$C,"Embalagens")</f>
        <v>0</v>
      </c>
      <c r="GN51" s="39">
        <f>SUMIFS(Lançamentos!$G:$G,Lançamentos!$A:$A,GN$19,Lançamentos!$C:$C,"Embalagens")</f>
        <v>0</v>
      </c>
      <c r="GO51" s="39">
        <f>SUMIFS(Lançamentos!$G:$G,Lançamentos!$A:$A,GO$19,Lançamentos!$C:$C,"Embalagens")</f>
        <v>0</v>
      </c>
      <c r="GP51" s="39">
        <f>SUMIFS(Lançamentos!$G:$G,Lançamentos!$A:$A,GP$19,Lançamentos!$C:$C,"Embalagens")</f>
        <v>0</v>
      </c>
      <c r="GQ51" s="39">
        <f>SUMIFS(Lançamentos!$G:$G,Lançamentos!$A:$A,GQ$19,Lançamentos!$C:$C,"Embalagens")</f>
        <v>0</v>
      </c>
      <c r="GR51" s="39">
        <f>SUMIFS(Lançamentos!$G:$G,Lançamentos!$A:$A,GR$19,Lançamentos!$C:$C,"Embalagens")</f>
        <v>0</v>
      </c>
      <c r="GS51" s="39">
        <f>SUMIFS(Lançamentos!$G:$G,Lançamentos!$A:$A,GS$19,Lançamentos!$C:$C,"Embalagens")</f>
        <v>0</v>
      </c>
      <c r="GT51" s="39">
        <f>SUMIFS(Lançamentos!$G:$G,Lançamentos!$A:$A,GT$19,Lançamentos!$C:$C,"Embalagens")</f>
        <v>0</v>
      </c>
      <c r="GU51" s="39">
        <f>SUMIFS(Lançamentos!$G:$G,Lançamentos!$A:$A,GU$19,Lançamentos!$C:$C,"Embalagens")</f>
        <v>0</v>
      </c>
      <c r="GV51" s="39">
        <f>SUMIFS(Lançamentos!$G:$G,Lançamentos!$A:$A,GV$19,Lançamentos!$C:$C,"Embalagens")</f>
        <v>0</v>
      </c>
      <c r="GW51" s="39">
        <f>SUMIFS(Lançamentos!$G:$G,Lançamentos!$A:$A,GW$19,Lançamentos!$C:$C,"Embalagens")</f>
        <v>0</v>
      </c>
      <c r="GX51" s="39">
        <f>SUMIFS(Lançamentos!$G:$G,Lançamentos!$A:$A,GX$19,Lançamentos!$C:$C,"Embalagens")</f>
        <v>0</v>
      </c>
      <c r="GY51" s="39">
        <f>SUMIFS(Lançamentos!$G:$G,Lançamentos!$A:$A,GY$19,Lançamentos!$C:$C,"Embalagens")</f>
        <v>0</v>
      </c>
      <c r="GZ51" s="39">
        <f>SUMIFS(Lançamentos!$G:$G,Lançamentos!$A:$A,GZ$19,Lançamentos!$C:$C,"Embalagens")</f>
        <v>0</v>
      </c>
      <c r="HA51" s="39">
        <f>SUMIFS(Lançamentos!$G:$G,Lançamentos!$A:$A,HA$19,Lançamentos!$C:$C,"Embalagens")</f>
        <v>0</v>
      </c>
      <c r="HB51" s="39">
        <f>SUMIFS(Lançamentos!$G:$G,Lançamentos!$A:$A,HB$19,Lançamentos!$C:$C,"Embalagens")</f>
        <v>0</v>
      </c>
      <c r="HC51" s="39">
        <f>SUMIFS(Lançamentos!$G:$G,Lançamentos!$A:$A,HC$19,Lançamentos!$C:$C,"Embalagens")</f>
        <v>0</v>
      </c>
      <c r="HD51" s="39">
        <f>SUMIFS(Lançamentos!$G:$G,Lançamentos!$A:$A,HD$19,Lançamentos!$C:$C,"Embalagens")</f>
        <v>0</v>
      </c>
      <c r="HE51" s="39">
        <f>SUMIFS(Lançamentos!$G:$G,Lançamentos!$A:$A,HE$19,Lançamentos!$C:$C,"Embalagens")</f>
        <v>0</v>
      </c>
      <c r="HF51" s="39">
        <f>SUMIFS(Lançamentos!$G:$G,Lançamentos!$A:$A,HF$19,Lançamentos!$C:$C,"Embalagens")</f>
        <v>0</v>
      </c>
      <c r="HG51" s="39">
        <f>SUMIFS(Lançamentos!$G:$G,Lançamentos!$A:$A,HG$19,Lançamentos!$C:$C,"Embalagens")</f>
        <v>0</v>
      </c>
      <c r="HH51" s="39">
        <f>SUMIFS(Lançamentos!$G:$G,Lançamentos!$A:$A,HH$19,Lançamentos!$C:$C,"Embalagens")</f>
        <v>0</v>
      </c>
      <c r="HI51" s="39">
        <f>SUMIFS(Lançamentos!$G:$G,Lançamentos!$A:$A,HI$19,Lançamentos!$C:$C,"Embalagens")</f>
        <v>0</v>
      </c>
      <c r="HJ51" s="39">
        <f>SUMIFS(Lançamentos!$G:$G,Lançamentos!$A:$A,HJ$19,Lançamentos!$C:$C,"Embalagens")</f>
        <v>0</v>
      </c>
      <c r="HK51" s="39">
        <f>SUMIFS(Lançamentos!$G:$G,Lançamentos!$A:$A,HK$19,Lançamentos!$C:$C,"Embalagens")</f>
        <v>0</v>
      </c>
      <c r="HL51" s="39">
        <f>SUMIFS(Lançamentos!$G:$G,Lançamentos!$A:$A,HL$19,Lançamentos!$C:$C,"Embalagens")</f>
        <v>0</v>
      </c>
      <c r="HM51" s="39">
        <f>SUMIFS(Lançamentos!$G:$G,Lançamentos!$A:$A,HM$19,Lançamentos!$C:$C,"Embalagens")</f>
        <v>0</v>
      </c>
      <c r="HN51" s="39">
        <f>SUMIFS(Lançamentos!$G:$G,Lançamentos!$A:$A,HN$19,Lançamentos!$C:$C,"Embalagens")</f>
        <v>0</v>
      </c>
      <c r="HO51" s="39">
        <f>SUMIFS(Lançamentos!$G:$G,Lançamentos!$A:$A,HO$19,Lançamentos!$C:$C,"Embalagens")</f>
        <v>0</v>
      </c>
      <c r="HP51" s="39">
        <f>SUMIFS(Lançamentos!$G:$G,Lançamentos!$A:$A,HP$19,Lançamentos!$C:$C,"Embalagens")</f>
        <v>0</v>
      </c>
      <c r="HQ51" s="39">
        <f>SUMIFS(Lançamentos!$G:$G,Lançamentos!$A:$A,HQ$19,Lançamentos!$C:$C,"Embalagens")</f>
        <v>0</v>
      </c>
      <c r="HR51" s="39">
        <f>SUMIFS(Lançamentos!$G:$G,Lançamentos!$A:$A,HR$19,Lançamentos!$C:$C,"Embalagens")</f>
        <v>0</v>
      </c>
      <c r="HS51" s="39">
        <f>SUMIFS(Lançamentos!$G:$G,Lançamentos!$A:$A,HS$19,Lançamentos!$C:$C,"Embalagens")</f>
        <v>0</v>
      </c>
      <c r="HT51" s="39">
        <f>SUMIFS(Lançamentos!$G:$G,Lançamentos!$A:$A,HT$19,Lançamentos!$C:$C,"Embalagens")</f>
        <v>0</v>
      </c>
      <c r="HU51" s="39">
        <f>SUMIFS(Lançamentos!$G:$G,Lançamentos!$A:$A,HU$19,Lançamentos!$C:$C,"Embalagens")</f>
        <v>0</v>
      </c>
      <c r="HV51" s="39">
        <f>SUMIFS(Lançamentos!$G:$G,Lançamentos!$A:$A,HV$19,Lançamentos!$C:$C,"Embalagens")</f>
        <v>0</v>
      </c>
      <c r="HW51" s="39">
        <f>SUMIFS(Lançamentos!$G:$G,Lançamentos!$A:$A,HW$19,Lançamentos!$C:$C,"Embalagens")</f>
        <v>0</v>
      </c>
      <c r="HX51" s="39">
        <f>SUMIFS(Lançamentos!$G:$G,Lançamentos!$A:$A,HX$19,Lançamentos!$C:$C,"Embalagens")</f>
        <v>0</v>
      </c>
      <c r="HY51" s="39">
        <f>SUMIFS(Lançamentos!$G:$G,Lançamentos!$A:$A,HY$19,Lançamentos!$C:$C,"Embalagens")</f>
        <v>0</v>
      </c>
      <c r="HZ51" s="39">
        <f>SUMIFS(Lançamentos!$G:$G,Lançamentos!$A:$A,HZ$19,Lançamentos!$C:$C,"Embalagens")</f>
        <v>0</v>
      </c>
      <c r="IA51" s="39">
        <f>SUMIFS(Lançamentos!$G:$G,Lançamentos!$A:$A,IA$19,Lançamentos!$C:$C,"Embalagens")</f>
        <v>0</v>
      </c>
      <c r="IB51" s="39">
        <f>SUMIFS(Lançamentos!$G:$G,Lançamentos!$A:$A,IB$19,Lançamentos!$C:$C,"Embalagens")</f>
        <v>0</v>
      </c>
      <c r="IC51" s="39">
        <f>SUMIFS(Lançamentos!$G:$G,Lançamentos!$A:$A,IC$19,Lançamentos!$C:$C,"Embalagens")</f>
        <v>0</v>
      </c>
      <c r="ID51" s="39">
        <f>SUMIFS(Lançamentos!$G:$G,Lançamentos!$A:$A,ID$19,Lançamentos!$C:$C,"Embalagens")</f>
        <v>0</v>
      </c>
      <c r="IE51" s="39">
        <f>SUMIFS(Lançamentos!$G:$G,Lançamentos!$A:$A,IE$19,Lançamentos!$C:$C,"Embalagens")</f>
        <v>0</v>
      </c>
      <c r="IF51" s="39">
        <f>SUMIFS(Lançamentos!$G:$G,Lançamentos!$A:$A,IF$19,Lançamentos!$C:$C,"Embalagens")</f>
        <v>0</v>
      </c>
      <c r="IG51" s="39">
        <f>SUMIFS(Lançamentos!$G:$G,Lançamentos!$A:$A,IG$19,Lançamentos!$C:$C,"Embalagens")</f>
        <v>0</v>
      </c>
      <c r="IH51" s="39">
        <f>SUMIFS(Lançamentos!$G:$G,Lançamentos!$A:$A,IH$19,Lançamentos!$C:$C,"Embalagens")</f>
        <v>0</v>
      </c>
      <c r="II51" s="39">
        <f>SUMIFS(Lançamentos!$G:$G,Lançamentos!$A:$A,II$19,Lançamentos!$C:$C,"Embalagens")</f>
        <v>0</v>
      </c>
      <c r="IJ51" s="39">
        <f>SUMIFS(Lançamentos!$G:$G,Lançamentos!$A:$A,IJ$19,Lançamentos!$C:$C,"Embalagens")</f>
        <v>0</v>
      </c>
      <c r="IK51" s="39">
        <f>SUMIFS(Lançamentos!$G:$G,Lançamentos!$A:$A,IK$19,Lançamentos!$C:$C,"Embalagens")</f>
        <v>0</v>
      </c>
      <c r="IL51" s="39">
        <f>SUMIFS(Lançamentos!$G:$G,Lançamentos!$A:$A,IL$19,Lançamentos!$C:$C,"Embalagens")</f>
        <v>0</v>
      </c>
    </row>
    <row r="52" spans="1:246" x14ac:dyDescent="0.3">
      <c r="A52" t="s">
        <v>97</v>
      </c>
      <c r="B52" s="39">
        <f>SUMIFS(Lançamentos!$G:$G,Lançamentos!$A:$A,B$19,Lançamentos!$C:$C,"Combustível")</f>
        <v>0</v>
      </c>
      <c r="C52" s="39">
        <f>SUMIFS(Lançamentos!$G:$G,Lançamentos!$A:$A,C$19,Lançamentos!$C:$C,"Combustível")</f>
        <v>0</v>
      </c>
      <c r="D52" s="39">
        <f>SUMIFS(Lançamentos!$G:$G,Lançamentos!$A:$A,D$19,Lançamentos!$C:$C,"Combustível")</f>
        <v>0</v>
      </c>
      <c r="E52" s="39">
        <f>SUMIFS(Lançamentos!$G:$G,Lançamentos!$A:$A,E$19,Lançamentos!$C:$C,"Combustível")</f>
        <v>0</v>
      </c>
      <c r="F52" s="39">
        <f>SUMIFS(Lançamentos!$G:$G,Lançamentos!$A:$A,F$19,Lançamentos!$C:$C,"Combustível")</f>
        <v>0</v>
      </c>
      <c r="G52" s="39">
        <f>SUMIFS(Lançamentos!$G:$G,Lançamentos!$A:$A,G$19,Lançamentos!$C:$C,"Combustível")</f>
        <v>0</v>
      </c>
      <c r="H52" s="39">
        <f>SUMIFS(Lançamentos!$G:$G,Lançamentos!$A:$A,H$19,Lançamentos!$C:$C,"Combustível")</f>
        <v>0</v>
      </c>
      <c r="I52" s="39">
        <f>SUMIFS(Lançamentos!$G:$G,Lançamentos!$A:$A,I$19,Lançamentos!$C:$C,"Combustível")</f>
        <v>0</v>
      </c>
      <c r="J52" s="39">
        <f>SUMIFS(Lançamentos!$G:$G,Lançamentos!$A:$A,J$19,Lançamentos!$C:$C,"Combustível")</f>
        <v>0</v>
      </c>
      <c r="K52" s="39">
        <f>SUMIFS(Lançamentos!$G:$G,Lançamentos!$A:$A,K$19,Lançamentos!$C:$C,"Combustível")</f>
        <v>0</v>
      </c>
      <c r="L52" s="39">
        <f>SUMIFS(Lançamentos!$G:$G,Lançamentos!$A:$A,L$19,Lançamentos!$C:$C,"Combustível")</f>
        <v>0</v>
      </c>
      <c r="M52" s="39">
        <f>SUMIFS(Lançamentos!$G:$G,Lançamentos!$A:$A,M$19,Lançamentos!$C:$C,"Combustível")</f>
        <v>0</v>
      </c>
      <c r="N52" s="39">
        <f>SUMIFS(Lançamentos!$G:$G,Lançamentos!$A:$A,N$19,Lançamentos!$C:$C,"Combustível")</f>
        <v>0</v>
      </c>
      <c r="O52" s="39">
        <f>SUMIFS(Lançamentos!$G:$G,Lançamentos!$A:$A,O$19,Lançamentos!$C:$C,"Combustível")</f>
        <v>0</v>
      </c>
      <c r="P52" s="39">
        <f>SUMIFS(Lançamentos!$G:$G,Lançamentos!$A:$A,P$19,Lançamentos!$C:$C,"Combustível")</f>
        <v>0</v>
      </c>
      <c r="Q52" s="39">
        <f>SUMIFS(Lançamentos!$G:$G,Lançamentos!$A:$A,Q$19,Lançamentos!$C:$C,"Combustível")</f>
        <v>0</v>
      </c>
      <c r="R52" s="39">
        <f>SUMIFS(Lançamentos!$G:$G,Lançamentos!$A:$A,R$19,Lançamentos!$C:$C,"Combustível")</f>
        <v>0</v>
      </c>
      <c r="S52" s="39">
        <f>SUMIFS(Lançamentos!$G:$G,Lançamentos!$A:$A,S$19,Lançamentos!$C:$C,"Combustível")</f>
        <v>0</v>
      </c>
      <c r="T52" s="39">
        <f>SUMIFS(Lançamentos!$G:$G,Lançamentos!$A:$A,T$19,Lançamentos!$C:$C,"Combustível")</f>
        <v>0</v>
      </c>
      <c r="U52" s="39">
        <f>SUMIFS(Lançamentos!$G:$G,Lançamentos!$A:$A,U$19,Lançamentos!$C:$C,"Combustível")</f>
        <v>0</v>
      </c>
      <c r="V52" s="39">
        <f>SUMIFS(Lançamentos!$G:$G,Lançamentos!$A:$A,V$19,Lançamentos!$C:$C,"Combustível")</f>
        <v>0</v>
      </c>
      <c r="W52" s="39">
        <f>SUMIFS(Lançamentos!$G:$G,Lançamentos!$A:$A,W$19,Lançamentos!$C:$C,"Combustível")</f>
        <v>0</v>
      </c>
      <c r="X52" s="39">
        <f>SUMIFS(Lançamentos!$G:$G,Lançamentos!$A:$A,X$19,Lançamentos!$C:$C,"Combustível")</f>
        <v>0</v>
      </c>
      <c r="Y52" s="39">
        <f>SUMIFS(Lançamentos!$G:$G,Lançamentos!$A:$A,Y$19,Lançamentos!$C:$C,"Combustível")</f>
        <v>0</v>
      </c>
      <c r="Z52" s="39">
        <f>SUMIFS(Lançamentos!$G:$G,Lançamentos!$A:$A,Z$19,Lançamentos!$C:$C,"Combustível")</f>
        <v>0</v>
      </c>
      <c r="AA52" s="39">
        <f>SUMIFS(Lançamentos!$G:$G,Lançamentos!$A:$A,AA$19,Lançamentos!$C:$C,"Combustível")</f>
        <v>0</v>
      </c>
      <c r="AB52" s="39">
        <f>SUMIFS(Lançamentos!$G:$G,Lançamentos!$A:$A,AB$19,Lançamentos!$C:$C,"Combustível")</f>
        <v>0</v>
      </c>
      <c r="AC52" s="39">
        <f>SUMIFS(Lançamentos!$G:$G,Lançamentos!$A:$A,AC$19,Lançamentos!$C:$C,"Combustível")</f>
        <v>0</v>
      </c>
      <c r="AD52" s="39">
        <f>SUMIFS(Lançamentos!$G:$G,Lançamentos!$A:$A,AD$19,Lançamentos!$C:$C,"Combustível")</f>
        <v>0</v>
      </c>
      <c r="AE52" s="39">
        <f>SUMIFS(Lançamentos!$G:$G,Lançamentos!$A:$A,AE$19,Lançamentos!$C:$C,"Combustível")</f>
        <v>0</v>
      </c>
      <c r="AF52" s="39">
        <f>SUMIFS(Lançamentos!$G:$G,Lançamentos!$A:$A,AF$19,Lançamentos!$C:$C,"Combustível")</f>
        <v>0</v>
      </c>
      <c r="AG52" s="39">
        <f>SUMIFS(Lançamentos!$G:$G,Lançamentos!$A:$A,AG$19,Lançamentos!$C:$C,"Combustível")</f>
        <v>0</v>
      </c>
      <c r="AH52" s="39">
        <f>SUMIFS(Lançamentos!$G:$G,Lançamentos!$A:$A,AH$19,Lançamentos!$C:$C,"Combustível")</f>
        <v>0</v>
      </c>
      <c r="AI52" s="39">
        <f>SUMIFS(Lançamentos!$G:$G,Lançamentos!$A:$A,AI$19,Lançamentos!$C:$C,"Combustível")</f>
        <v>0</v>
      </c>
      <c r="AJ52" s="39">
        <f>SUMIFS(Lançamentos!$G:$G,Lançamentos!$A:$A,AJ$19,Lançamentos!$C:$C,"Combustível")</f>
        <v>0</v>
      </c>
      <c r="AK52" s="39">
        <f>SUMIFS(Lançamentos!$G:$G,Lançamentos!$A:$A,AK$19,Lançamentos!$C:$C,"Combustível")</f>
        <v>0</v>
      </c>
      <c r="AL52" s="39">
        <f>SUMIFS(Lançamentos!$G:$G,Lançamentos!$A:$A,AL$19,Lançamentos!$C:$C,"Combustível")</f>
        <v>0</v>
      </c>
      <c r="AM52" s="39">
        <f>SUMIFS(Lançamentos!$G:$G,Lançamentos!$A:$A,AM$19,Lançamentos!$C:$C,"Combustível")</f>
        <v>0</v>
      </c>
      <c r="AN52" s="39">
        <f>SUMIFS(Lançamentos!$G:$G,Lançamentos!$A:$A,AN$19,Lançamentos!$C:$C,"Combustível")</f>
        <v>0</v>
      </c>
      <c r="AO52" s="39">
        <f>SUMIFS(Lançamentos!$G:$G,Lançamentos!$A:$A,AO$19,Lançamentos!$C:$C,"Combustível")</f>
        <v>0</v>
      </c>
      <c r="AP52" s="39">
        <f>SUMIFS(Lançamentos!$G:$G,Lançamentos!$A:$A,AP$19,Lançamentos!$C:$C,"Combustível")</f>
        <v>0</v>
      </c>
      <c r="AQ52" s="39">
        <f>SUMIFS(Lançamentos!$G:$G,Lançamentos!$A:$A,AQ$19,Lançamentos!$C:$C,"Combustível")</f>
        <v>0</v>
      </c>
      <c r="AR52" s="39">
        <f>SUMIFS(Lançamentos!$G:$G,Lançamentos!$A:$A,AR$19,Lançamentos!$C:$C,"Combustível")</f>
        <v>0</v>
      </c>
      <c r="AS52" s="39">
        <f>SUMIFS(Lançamentos!$G:$G,Lançamentos!$A:$A,AS$19,Lançamentos!$C:$C,"Combustível")</f>
        <v>0</v>
      </c>
      <c r="AT52" s="39">
        <f>SUMIFS(Lançamentos!$G:$G,Lançamentos!$A:$A,AT$19,Lançamentos!$C:$C,"Combustível")</f>
        <v>0</v>
      </c>
      <c r="AU52" s="39">
        <f>SUMIFS(Lançamentos!$G:$G,Lançamentos!$A:$A,AU$19,Lançamentos!$C:$C,"Combustível")</f>
        <v>0</v>
      </c>
      <c r="AV52" s="39">
        <f>SUMIFS(Lançamentos!$G:$G,Lançamentos!$A:$A,AV$19,Lançamentos!$C:$C,"Combustível")</f>
        <v>0</v>
      </c>
      <c r="AW52" s="39">
        <f>SUMIFS(Lançamentos!$G:$G,Lançamentos!$A:$A,AW$19,Lançamentos!$C:$C,"Combustível")</f>
        <v>0</v>
      </c>
      <c r="AX52" s="39">
        <f>SUMIFS(Lançamentos!$G:$G,Lançamentos!$A:$A,AX$19,Lançamentos!$C:$C,"Combustível")</f>
        <v>0</v>
      </c>
      <c r="AY52" s="39">
        <f>SUMIFS(Lançamentos!$G:$G,Lançamentos!$A:$A,AY$19,Lançamentos!$C:$C,"Combustível")</f>
        <v>0</v>
      </c>
      <c r="AZ52" s="39">
        <f>SUMIFS(Lançamentos!$G:$G,Lançamentos!$A:$A,AZ$19,Lançamentos!$C:$C,"Combustível")</f>
        <v>0</v>
      </c>
      <c r="BA52" s="39">
        <f>SUMIFS(Lançamentos!$G:$G,Lançamentos!$A:$A,BA$19,Lançamentos!$C:$C,"Combustível")</f>
        <v>0</v>
      </c>
      <c r="BB52" s="39">
        <f>SUMIFS(Lançamentos!$G:$G,Lançamentos!$A:$A,BB$19,Lançamentos!$C:$C,"Combustível")</f>
        <v>0</v>
      </c>
      <c r="BC52" s="39">
        <f>SUMIFS(Lançamentos!$G:$G,Lançamentos!$A:$A,BC$19,Lançamentos!$C:$C,"Combustível")</f>
        <v>0</v>
      </c>
      <c r="BD52" s="39">
        <f>SUMIFS(Lançamentos!$G:$G,Lançamentos!$A:$A,BD$19,Lançamentos!$C:$C,"Combustível")</f>
        <v>0</v>
      </c>
      <c r="BE52" s="39">
        <f>SUMIFS(Lançamentos!$G:$G,Lançamentos!$A:$A,BE$19,Lançamentos!$C:$C,"Combustível")</f>
        <v>0</v>
      </c>
      <c r="BF52" s="39">
        <f>SUMIFS(Lançamentos!$G:$G,Lançamentos!$A:$A,BF$19,Lançamentos!$C:$C,"Combustível")</f>
        <v>0</v>
      </c>
      <c r="BG52" s="39">
        <f>SUMIFS(Lançamentos!$G:$G,Lançamentos!$A:$A,BG$19,Lançamentos!$C:$C,"Combustível")</f>
        <v>0</v>
      </c>
      <c r="BH52" s="39">
        <f>SUMIFS(Lançamentos!$G:$G,Lançamentos!$A:$A,BH$19,Lançamentos!$C:$C,"Combustível")</f>
        <v>0</v>
      </c>
      <c r="BI52" s="39">
        <f>SUMIFS(Lançamentos!$G:$G,Lançamentos!$A:$A,BI$19,Lançamentos!$C:$C,"Combustível")</f>
        <v>0</v>
      </c>
      <c r="BJ52" s="39">
        <f>SUMIFS(Lançamentos!$G:$G,Lançamentos!$A:$A,BJ$19,Lançamentos!$C:$C,"Combustível")</f>
        <v>0</v>
      </c>
      <c r="BK52" s="39">
        <f>SUMIFS(Lançamentos!$G:$G,Lançamentos!$A:$A,BK$19,Lançamentos!$C:$C,"Combustível")</f>
        <v>0</v>
      </c>
      <c r="BL52" s="39">
        <f>SUMIFS(Lançamentos!$G:$G,Lançamentos!$A:$A,BL$19,Lançamentos!$C:$C,"Combustível")</f>
        <v>0</v>
      </c>
      <c r="BM52" s="39">
        <f>SUMIFS(Lançamentos!$G:$G,Lançamentos!$A:$A,BM$19,Lançamentos!$C:$C,"Combustível")</f>
        <v>0</v>
      </c>
      <c r="BN52" s="39">
        <f>SUMIFS(Lançamentos!$G:$G,Lançamentos!$A:$A,BN$19,Lançamentos!$C:$C,"Combustível")</f>
        <v>0</v>
      </c>
      <c r="BO52" s="39">
        <f>SUMIFS(Lançamentos!$G:$G,Lançamentos!$A:$A,BO$19,Lançamentos!$C:$C,"Combustível")</f>
        <v>0</v>
      </c>
      <c r="BP52" s="39">
        <f>SUMIFS(Lançamentos!$G:$G,Lançamentos!$A:$A,BP$19,Lançamentos!$C:$C,"Combustível")</f>
        <v>0</v>
      </c>
      <c r="BQ52" s="39">
        <f>SUMIFS(Lançamentos!$G:$G,Lançamentos!$A:$A,BQ$19,Lançamentos!$C:$C,"Combustível")</f>
        <v>0</v>
      </c>
      <c r="BR52" s="39">
        <f>SUMIFS(Lançamentos!$G:$G,Lançamentos!$A:$A,BR$19,Lançamentos!$C:$C,"Combustível")</f>
        <v>0</v>
      </c>
      <c r="BS52" s="39">
        <f>SUMIFS(Lançamentos!$G:$G,Lançamentos!$A:$A,BS$19,Lançamentos!$C:$C,"Combustível")</f>
        <v>0</v>
      </c>
      <c r="BT52" s="39">
        <f>SUMIFS(Lançamentos!$G:$G,Lançamentos!$A:$A,BT$19,Lançamentos!$C:$C,"Combustível")</f>
        <v>0</v>
      </c>
      <c r="BU52" s="39">
        <f>SUMIFS(Lançamentos!$G:$G,Lançamentos!$A:$A,BU$19,Lançamentos!$C:$C,"Combustível")</f>
        <v>0</v>
      </c>
      <c r="BV52" s="39">
        <f>SUMIFS(Lançamentos!$G:$G,Lançamentos!$A:$A,BV$19,Lançamentos!$C:$C,"Combustível")</f>
        <v>0</v>
      </c>
      <c r="BW52" s="39">
        <f>SUMIFS(Lançamentos!$G:$G,Lançamentos!$A:$A,BW$19,Lançamentos!$C:$C,"Combustível")</f>
        <v>0</v>
      </c>
      <c r="BX52" s="39">
        <f>SUMIFS(Lançamentos!$G:$G,Lançamentos!$A:$A,BX$19,Lançamentos!$C:$C,"Combustível")</f>
        <v>0</v>
      </c>
      <c r="BY52" s="39">
        <f>SUMIFS(Lançamentos!$G:$G,Lançamentos!$A:$A,BY$19,Lançamentos!$C:$C,"Combustível")</f>
        <v>0</v>
      </c>
      <c r="BZ52" s="39">
        <f>SUMIFS(Lançamentos!$G:$G,Lançamentos!$A:$A,BZ$19,Lançamentos!$C:$C,"Combustível")</f>
        <v>0</v>
      </c>
      <c r="CA52" s="39">
        <f>SUMIFS(Lançamentos!$G:$G,Lançamentos!$A:$A,CA$19,Lançamentos!$C:$C,"Combustível")</f>
        <v>0</v>
      </c>
      <c r="CB52" s="39">
        <f>SUMIFS(Lançamentos!$G:$G,Lançamentos!$A:$A,CB$19,Lançamentos!$C:$C,"Combustível")</f>
        <v>0</v>
      </c>
      <c r="CC52" s="39">
        <f>SUMIFS(Lançamentos!$G:$G,Lançamentos!$A:$A,CC$19,Lançamentos!$C:$C,"Combustível")</f>
        <v>0</v>
      </c>
      <c r="CD52" s="39">
        <f>SUMIFS(Lançamentos!$G:$G,Lançamentos!$A:$A,CD$19,Lançamentos!$C:$C,"Combustível")</f>
        <v>0</v>
      </c>
      <c r="CE52" s="39">
        <f>SUMIFS(Lançamentos!$G:$G,Lançamentos!$A:$A,CE$19,Lançamentos!$C:$C,"Combustível")</f>
        <v>0</v>
      </c>
      <c r="CF52" s="39">
        <f>SUMIFS(Lançamentos!$G:$G,Lançamentos!$A:$A,CF$19,Lançamentos!$C:$C,"Combustível")</f>
        <v>0</v>
      </c>
      <c r="CG52" s="39">
        <f>SUMIFS(Lançamentos!$G:$G,Lançamentos!$A:$A,CG$19,Lançamentos!$C:$C,"Combustível")</f>
        <v>0</v>
      </c>
      <c r="CH52" s="39">
        <f>SUMIFS(Lançamentos!$G:$G,Lançamentos!$A:$A,CH$19,Lançamentos!$C:$C,"Combustível")</f>
        <v>0</v>
      </c>
      <c r="CI52" s="39">
        <f>SUMIFS(Lançamentos!$G:$G,Lançamentos!$A:$A,CI$19,Lançamentos!$C:$C,"Combustível")</f>
        <v>0</v>
      </c>
      <c r="CJ52" s="39">
        <f>SUMIFS(Lançamentos!$G:$G,Lançamentos!$A:$A,CJ$19,Lançamentos!$C:$C,"Combustível")</f>
        <v>0</v>
      </c>
      <c r="CK52" s="39">
        <f>SUMIFS(Lançamentos!$G:$G,Lançamentos!$A:$A,CK$19,Lançamentos!$C:$C,"Combustível")</f>
        <v>0</v>
      </c>
      <c r="CL52" s="39">
        <f>SUMIFS(Lançamentos!$G:$G,Lançamentos!$A:$A,CL$19,Lançamentos!$C:$C,"Combustível")</f>
        <v>0</v>
      </c>
      <c r="CM52" s="39">
        <f>SUMIFS(Lançamentos!$G:$G,Lançamentos!$A:$A,CM$19,Lançamentos!$C:$C,"Combustível")</f>
        <v>0</v>
      </c>
      <c r="CN52" s="39">
        <f>SUMIFS(Lançamentos!$G:$G,Lançamentos!$A:$A,CN$19,Lançamentos!$C:$C,"Combustível")</f>
        <v>0</v>
      </c>
      <c r="CO52" s="39">
        <f>SUMIFS(Lançamentos!$G:$G,Lançamentos!$A:$A,CO$19,Lançamentos!$C:$C,"Combustível")</f>
        <v>0</v>
      </c>
      <c r="CP52" s="39">
        <f>SUMIFS(Lançamentos!$G:$G,Lançamentos!$A:$A,CP$19,Lançamentos!$C:$C,"Combustível")</f>
        <v>0</v>
      </c>
      <c r="CQ52" s="39">
        <f>SUMIFS(Lançamentos!$G:$G,Lançamentos!$A:$A,CQ$19,Lançamentos!$C:$C,"Combustível")</f>
        <v>0</v>
      </c>
      <c r="CR52" s="39">
        <f>SUMIFS(Lançamentos!$G:$G,Lançamentos!$A:$A,CR$19,Lançamentos!$C:$C,"Combustível")</f>
        <v>0</v>
      </c>
      <c r="CS52" s="39">
        <f>SUMIFS(Lançamentos!$G:$G,Lançamentos!$A:$A,CS$19,Lançamentos!$C:$C,"Combustível")</f>
        <v>0</v>
      </c>
      <c r="CT52" s="39">
        <f>SUMIFS(Lançamentos!$G:$G,Lançamentos!$A:$A,CT$19,Lançamentos!$C:$C,"Combustível")</f>
        <v>0</v>
      </c>
      <c r="CU52" s="39">
        <f>SUMIFS(Lançamentos!$G:$G,Lançamentos!$A:$A,CU$19,Lançamentos!$C:$C,"Combustível")</f>
        <v>0</v>
      </c>
      <c r="CV52" s="39">
        <f>SUMIFS(Lançamentos!$G:$G,Lançamentos!$A:$A,CV$19,Lançamentos!$C:$C,"Combustível")</f>
        <v>0</v>
      </c>
      <c r="CW52" s="39">
        <f>SUMIFS(Lançamentos!$G:$G,Lançamentos!$A:$A,CW$19,Lançamentos!$C:$C,"Combustível")</f>
        <v>0</v>
      </c>
      <c r="CX52" s="39">
        <f>SUMIFS(Lançamentos!$G:$G,Lançamentos!$A:$A,CX$19,Lançamentos!$C:$C,"Combustível")</f>
        <v>0</v>
      </c>
      <c r="CY52" s="39">
        <f>SUMIFS(Lançamentos!$G:$G,Lançamentos!$A:$A,CY$19,Lançamentos!$C:$C,"Combustível")</f>
        <v>0</v>
      </c>
      <c r="CZ52" s="39">
        <f>SUMIFS(Lançamentos!$G:$G,Lançamentos!$A:$A,CZ$19,Lançamentos!$C:$C,"Combustível")</f>
        <v>0</v>
      </c>
      <c r="DA52" s="39">
        <f>SUMIFS(Lançamentos!$G:$G,Lançamentos!$A:$A,DA$19,Lançamentos!$C:$C,"Combustível")</f>
        <v>0</v>
      </c>
      <c r="DB52" s="39">
        <f>SUMIFS(Lançamentos!$G:$G,Lançamentos!$A:$A,DB$19,Lançamentos!$C:$C,"Combustível")</f>
        <v>0</v>
      </c>
      <c r="DC52" s="39">
        <f>SUMIFS(Lançamentos!$G:$G,Lançamentos!$A:$A,DC$19,Lançamentos!$C:$C,"Combustível")</f>
        <v>0</v>
      </c>
      <c r="DD52" s="39">
        <f>SUMIFS(Lançamentos!$G:$G,Lançamentos!$A:$A,DD$19,Lançamentos!$C:$C,"Combustível")</f>
        <v>0</v>
      </c>
      <c r="DE52" s="39">
        <f>SUMIFS(Lançamentos!$G:$G,Lançamentos!$A:$A,DE$19,Lançamentos!$C:$C,"Combustível")</f>
        <v>0</v>
      </c>
      <c r="DF52" s="39">
        <f>SUMIFS(Lançamentos!$G:$G,Lançamentos!$A:$A,DF$19,Lançamentos!$C:$C,"Combustível")</f>
        <v>0</v>
      </c>
      <c r="DG52" s="39">
        <f>SUMIFS(Lançamentos!$G:$G,Lançamentos!$A:$A,DG$19,Lançamentos!$C:$C,"Combustível")</f>
        <v>0</v>
      </c>
      <c r="DH52" s="39">
        <f>SUMIFS(Lançamentos!$G:$G,Lançamentos!$A:$A,DH$19,Lançamentos!$C:$C,"Combustível")</f>
        <v>0</v>
      </c>
      <c r="DI52" s="39">
        <f>SUMIFS(Lançamentos!$G:$G,Lançamentos!$A:$A,DI$19,Lançamentos!$C:$C,"Combustível")</f>
        <v>0</v>
      </c>
      <c r="DJ52" s="39">
        <f>SUMIFS(Lançamentos!$G:$G,Lançamentos!$A:$A,DJ$19,Lançamentos!$C:$C,"Combustível")</f>
        <v>0</v>
      </c>
      <c r="DK52" s="39">
        <f>SUMIFS(Lançamentos!$G:$G,Lançamentos!$A:$A,DK$19,Lançamentos!$C:$C,"Combustível")</f>
        <v>0</v>
      </c>
      <c r="DL52" s="39">
        <f>SUMIFS(Lançamentos!$G:$G,Lançamentos!$A:$A,DL$19,Lançamentos!$C:$C,"Combustível")</f>
        <v>0</v>
      </c>
      <c r="DM52" s="39">
        <f>SUMIFS(Lançamentos!$G:$G,Lançamentos!$A:$A,DM$19,Lançamentos!$C:$C,"Combustível")</f>
        <v>0</v>
      </c>
      <c r="DN52" s="39">
        <f>SUMIFS(Lançamentos!$G:$G,Lançamentos!$A:$A,DN$19,Lançamentos!$C:$C,"Combustível")</f>
        <v>0</v>
      </c>
      <c r="DO52" s="39">
        <f>SUMIFS(Lançamentos!$G:$G,Lançamentos!$A:$A,DO$19,Lançamentos!$C:$C,"Combustível")</f>
        <v>0</v>
      </c>
      <c r="DP52" s="39">
        <f>SUMIFS(Lançamentos!$G:$G,Lançamentos!$A:$A,DP$19,Lançamentos!$C:$C,"Combustível")</f>
        <v>0</v>
      </c>
      <c r="DQ52" s="39">
        <f>SUMIFS(Lançamentos!$G:$G,Lançamentos!$A:$A,DQ$19,Lançamentos!$C:$C,"Combustível")</f>
        <v>0</v>
      </c>
      <c r="DR52" s="39">
        <f>SUMIFS(Lançamentos!$G:$G,Lançamentos!$A:$A,DR$19,Lançamentos!$C:$C,"Combustível")</f>
        <v>0</v>
      </c>
      <c r="DS52" s="39">
        <f>SUMIFS(Lançamentos!$G:$G,Lançamentos!$A:$A,DS$19,Lançamentos!$C:$C,"Combustível")</f>
        <v>0</v>
      </c>
      <c r="DT52" s="39">
        <f>SUMIFS(Lançamentos!$G:$G,Lançamentos!$A:$A,DT$19,Lançamentos!$C:$C,"Combustível")</f>
        <v>0</v>
      </c>
      <c r="DU52" s="39">
        <f>SUMIFS(Lançamentos!$G:$G,Lançamentos!$A:$A,DU$19,Lançamentos!$C:$C,"Combustível")</f>
        <v>0</v>
      </c>
      <c r="DV52" s="39">
        <f>SUMIFS(Lançamentos!$G:$G,Lançamentos!$A:$A,DV$19,Lançamentos!$C:$C,"Combustível")</f>
        <v>0</v>
      </c>
      <c r="DW52" s="39">
        <f>SUMIFS(Lançamentos!$G:$G,Lançamentos!$A:$A,DW$19,Lançamentos!$C:$C,"Combustível")</f>
        <v>0</v>
      </c>
      <c r="DX52" s="39">
        <f>SUMIFS(Lançamentos!$G:$G,Lançamentos!$A:$A,DX$19,Lançamentos!$C:$C,"Combustível")</f>
        <v>0</v>
      </c>
      <c r="DY52" s="39">
        <f>SUMIFS(Lançamentos!$G:$G,Lançamentos!$A:$A,DY$19,Lançamentos!$C:$C,"Combustível")</f>
        <v>0</v>
      </c>
      <c r="DZ52" s="39">
        <f>SUMIFS(Lançamentos!$G:$G,Lançamentos!$A:$A,DZ$19,Lançamentos!$C:$C,"Combustível")</f>
        <v>0</v>
      </c>
      <c r="EA52" s="39">
        <f>SUMIFS(Lançamentos!$G:$G,Lançamentos!$A:$A,EA$19,Lançamentos!$C:$C,"Combustível")</f>
        <v>0</v>
      </c>
      <c r="EB52" s="39">
        <f>SUMIFS(Lançamentos!$G:$G,Lançamentos!$A:$A,EB$19,Lançamentos!$C:$C,"Combustível")</f>
        <v>0</v>
      </c>
      <c r="EC52" s="39">
        <f>SUMIFS(Lançamentos!$G:$G,Lançamentos!$A:$A,EC$19,Lançamentos!$C:$C,"Combustível")</f>
        <v>0</v>
      </c>
      <c r="ED52" s="39">
        <f>SUMIFS(Lançamentos!$G:$G,Lançamentos!$A:$A,ED$19,Lançamentos!$C:$C,"Combustível")</f>
        <v>0</v>
      </c>
      <c r="EE52" s="39">
        <f>SUMIFS(Lançamentos!$G:$G,Lançamentos!$A:$A,EE$19,Lançamentos!$C:$C,"Combustível")</f>
        <v>0</v>
      </c>
      <c r="EF52" s="39">
        <f>SUMIFS(Lançamentos!$G:$G,Lançamentos!$A:$A,EF$19,Lançamentos!$C:$C,"Combustível")</f>
        <v>0</v>
      </c>
      <c r="EG52" s="39">
        <f>SUMIFS(Lançamentos!$G:$G,Lançamentos!$A:$A,EG$19,Lançamentos!$C:$C,"Combustível")</f>
        <v>0</v>
      </c>
      <c r="EH52" s="39">
        <f>SUMIFS(Lançamentos!$G:$G,Lançamentos!$A:$A,EH$19,Lançamentos!$C:$C,"Combustível")</f>
        <v>0</v>
      </c>
      <c r="EI52" s="39">
        <f>SUMIFS(Lançamentos!$G:$G,Lançamentos!$A:$A,EI$19,Lançamentos!$C:$C,"Combustível")</f>
        <v>0</v>
      </c>
      <c r="EJ52" s="39">
        <f>SUMIFS(Lançamentos!$G:$G,Lançamentos!$A:$A,EJ$19,Lançamentos!$C:$C,"Combustível")</f>
        <v>0</v>
      </c>
      <c r="EK52" s="39">
        <f>SUMIFS(Lançamentos!$G:$G,Lançamentos!$A:$A,EK$19,Lançamentos!$C:$C,"Combustível")</f>
        <v>0</v>
      </c>
      <c r="EL52" s="39">
        <f>SUMIFS(Lançamentos!$G:$G,Lançamentos!$A:$A,EL$19,Lançamentos!$C:$C,"Combustível")</f>
        <v>0</v>
      </c>
      <c r="EM52" s="39">
        <f>SUMIFS(Lançamentos!$G:$G,Lançamentos!$A:$A,EM$19,Lançamentos!$C:$C,"Combustível")</f>
        <v>0</v>
      </c>
      <c r="EN52" s="39">
        <f>SUMIFS(Lançamentos!$G:$G,Lançamentos!$A:$A,EN$19,Lançamentos!$C:$C,"Combustível")</f>
        <v>0</v>
      </c>
      <c r="EO52" s="39">
        <f>SUMIFS(Lançamentos!$G:$G,Lançamentos!$A:$A,EO$19,Lançamentos!$C:$C,"Combustível")</f>
        <v>0</v>
      </c>
      <c r="EP52" s="39">
        <f>SUMIFS(Lançamentos!$G:$G,Lançamentos!$A:$A,EP$19,Lançamentos!$C:$C,"Combustível")</f>
        <v>0</v>
      </c>
      <c r="EQ52" s="39">
        <f>SUMIFS(Lançamentos!$G:$G,Lançamentos!$A:$A,EQ$19,Lançamentos!$C:$C,"Combustível")</f>
        <v>0</v>
      </c>
      <c r="ER52" s="39">
        <f>SUMIFS(Lançamentos!$G:$G,Lançamentos!$A:$A,ER$19,Lançamentos!$C:$C,"Combustível")</f>
        <v>0</v>
      </c>
      <c r="ES52" s="39">
        <f>SUMIFS(Lançamentos!$G:$G,Lançamentos!$A:$A,ES$19,Lançamentos!$C:$C,"Combustível")</f>
        <v>0</v>
      </c>
      <c r="ET52" s="39">
        <f>SUMIFS(Lançamentos!$G:$G,Lançamentos!$A:$A,ET$19,Lançamentos!$C:$C,"Combustível")</f>
        <v>0</v>
      </c>
      <c r="EU52" s="39">
        <f>SUMIFS(Lançamentos!$G:$G,Lançamentos!$A:$A,EU$19,Lançamentos!$C:$C,"Combustível")</f>
        <v>0</v>
      </c>
      <c r="EV52" s="39">
        <f>SUMIFS(Lançamentos!$G:$G,Lançamentos!$A:$A,EV$19,Lançamentos!$C:$C,"Combustível")</f>
        <v>0</v>
      </c>
      <c r="EW52" s="39">
        <f>SUMIFS(Lançamentos!$G:$G,Lançamentos!$A:$A,EW$19,Lançamentos!$C:$C,"Combustível")</f>
        <v>0</v>
      </c>
      <c r="EX52" s="39">
        <f>SUMIFS(Lançamentos!$G:$G,Lançamentos!$A:$A,EX$19,Lançamentos!$C:$C,"Combustível")</f>
        <v>0</v>
      </c>
      <c r="EY52" s="39">
        <f>SUMIFS(Lançamentos!$G:$G,Lançamentos!$A:$A,EY$19,Lançamentos!$C:$C,"Combustível")</f>
        <v>0</v>
      </c>
      <c r="EZ52" s="39">
        <f>SUMIFS(Lançamentos!$G:$G,Lançamentos!$A:$A,EZ$19,Lançamentos!$C:$C,"Combustível")</f>
        <v>0</v>
      </c>
      <c r="FA52" s="39">
        <f>SUMIFS(Lançamentos!$G:$G,Lançamentos!$A:$A,FA$19,Lançamentos!$C:$C,"Combustível")</f>
        <v>0</v>
      </c>
      <c r="FB52" s="39">
        <f>SUMIFS(Lançamentos!$G:$G,Lançamentos!$A:$A,FB$19,Lançamentos!$C:$C,"Combustível")</f>
        <v>0</v>
      </c>
      <c r="FC52" s="39">
        <f>SUMIFS(Lançamentos!$G:$G,Lançamentos!$A:$A,FC$19,Lançamentos!$C:$C,"Combustível")</f>
        <v>0</v>
      </c>
      <c r="FD52" s="39">
        <f>SUMIFS(Lançamentos!$G:$G,Lançamentos!$A:$A,FD$19,Lançamentos!$C:$C,"Combustível")</f>
        <v>0</v>
      </c>
      <c r="FE52" s="39">
        <f>SUMIFS(Lançamentos!$G:$G,Lançamentos!$A:$A,FE$19,Lançamentos!$C:$C,"Combustível")</f>
        <v>0</v>
      </c>
      <c r="FF52" s="39">
        <f>SUMIFS(Lançamentos!$G:$G,Lançamentos!$A:$A,FF$19,Lançamentos!$C:$C,"Combustível")</f>
        <v>0</v>
      </c>
      <c r="FG52" s="39">
        <f>SUMIFS(Lançamentos!$G:$G,Lançamentos!$A:$A,FG$19,Lançamentos!$C:$C,"Combustível")</f>
        <v>0</v>
      </c>
      <c r="FH52" s="39">
        <f>SUMIFS(Lançamentos!$G:$G,Lançamentos!$A:$A,FH$19,Lançamentos!$C:$C,"Combustível")</f>
        <v>0</v>
      </c>
      <c r="FI52" s="39">
        <f>SUMIFS(Lançamentos!$G:$G,Lançamentos!$A:$A,FI$19,Lançamentos!$C:$C,"Combustível")</f>
        <v>0</v>
      </c>
      <c r="FJ52" s="39">
        <f>SUMIFS(Lançamentos!$G:$G,Lançamentos!$A:$A,FJ$19,Lançamentos!$C:$C,"Combustível")</f>
        <v>0</v>
      </c>
      <c r="FK52" s="39">
        <f>SUMIFS(Lançamentos!$G:$G,Lançamentos!$A:$A,FK$19,Lançamentos!$C:$C,"Combustível")</f>
        <v>0</v>
      </c>
      <c r="FL52" s="39">
        <f>SUMIFS(Lançamentos!$G:$G,Lançamentos!$A:$A,FL$19,Lançamentos!$C:$C,"Combustível")</f>
        <v>0</v>
      </c>
      <c r="FM52" s="39">
        <f>SUMIFS(Lançamentos!$G:$G,Lançamentos!$A:$A,FM$19,Lançamentos!$C:$C,"Combustível")</f>
        <v>0</v>
      </c>
      <c r="FN52" s="39">
        <f>SUMIFS(Lançamentos!$G:$G,Lançamentos!$A:$A,FN$19,Lançamentos!$C:$C,"Combustível")</f>
        <v>0</v>
      </c>
      <c r="FO52" s="39">
        <f>SUMIFS(Lançamentos!$G:$G,Lançamentos!$A:$A,FO$19,Lançamentos!$C:$C,"Combustível")</f>
        <v>0</v>
      </c>
      <c r="FP52" s="39">
        <f>SUMIFS(Lançamentos!$G:$G,Lançamentos!$A:$A,FP$19,Lançamentos!$C:$C,"Combustível")</f>
        <v>0</v>
      </c>
      <c r="FQ52" s="39">
        <f>SUMIFS(Lançamentos!$G:$G,Lançamentos!$A:$A,FQ$19,Lançamentos!$C:$C,"Combustível")</f>
        <v>0</v>
      </c>
      <c r="FR52" s="39">
        <f>SUMIFS(Lançamentos!$G:$G,Lançamentos!$A:$A,FR$19,Lançamentos!$C:$C,"Combustível")</f>
        <v>0</v>
      </c>
      <c r="FS52" s="39">
        <f>SUMIFS(Lançamentos!$G:$G,Lançamentos!$A:$A,FS$19,Lançamentos!$C:$C,"Combustível")</f>
        <v>0</v>
      </c>
      <c r="FT52" s="39">
        <f>SUMIFS(Lançamentos!$G:$G,Lançamentos!$A:$A,FT$19,Lançamentos!$C:$C,"Combustível")</f>
        <v>0</v>
      </c>
      <c r="FU52" s="39">
        <f>SUMIFS(Lançamentos!$G:$G,Lançamentos!$A:$A,FU$19,Lançamentos!$C:$C,"Combustível")</f>
        <v>0</v>
      </c>
      <c r="FV52" s="39">
        <f>SUMIFS(Lançamentos!$G:$G,Lançamentos!$A:$A,FV$19,Lançamentos!$C:$C,"Combustível")</f>
        <v>0</v>
      </c>
      <c r="FW52" s="39">
        <f>SUMIFS(Lançamentos!$G:$G,Lançamentos!$A:$A,FW$19,Lançamentos!$C:$C,"Combustível")</f>
        <v>0</v>
      </c>
      <c r="FX52" s="39">
        <f>SUMIFS(Lançamentos!$G:$G,Lançamentos!$A:$A,FX$19,Lançamentos!$C:$C,"Combustível")</f>
        <v>0</v>
      </c>
      <c r="FY52" s="39">
        <f>SUMIFS(Lançamentos!$G:$G,Lançamentos!$A:$A,FY$19,Lançamentos!$C:$C,"Combustível")</f>
        <v>0</v>
      </c>
      <c r="FZ52" s="39">
        <f>SUMIFS(Lançamentos!$G:$G,Lançamentos!$A:$A,FZ$19,Lançamentos!$C:$C,"Combustível")</f>
        <v>0</v>
      </c>
      <c r="GA52" s="39">
        <f>SUMIFS(Lançamentos!$G:$G,Lançamentos!$A:$A,GA$19,Lançamentos!$C:$C,"Combustível")</f>
        <v>0</v>
      </c>
      <c r="GB52" s="39">
        <f>SUMIFS(Lançamentos!$G:$G,Lançamentos!$A:$A,GB$19,Lançamentos!$C:$C,"Combustível")</f>
        <v>0</v>
      </c>
      <c r="GC52" s="39">
        <f>SUMIFS(Lançamentos!$G:$G,Lançamentos!$A:$A,GC$19,Lançamentos!$C:$C,"Combustível")</f>
        <v>0</v>
      </c>
      <c r="GD52" s="39">
        <f>SUMIFS(Lançamentos!$G:$G,Lançamentos!$A:$A,GD$19,Lançamentos!$C:$C,"Combustível")</f>
        <v>0</v>
      </c>
      <c r="GE52" s="39">
        <f>SUMIFS(Lançamentos!$G:$G,Lançamentos!$A:$A,GE$19,Lançamentos!$C:$C,"Combustível")</f>
        <v>0</v>
      </c>
      <c r="GF52" s="39">
        <f>SUMIFS(Lançamentos!$G:$G,Lançamentos!$A:$A,GF$19,Lançamentos!$C:$C,"Combustível")</f>
        <v>0</v>
      </c>
      <c r="GG52" s="39">
        <f>SUMIFS(Lançamentos!$G:$G,Lançamentos!$A:$A,GG$19,Lançamentos!$C:$C,"Combustível")</f>
        <v>0</v>
      </c>
      <c r="GH52" s="39">
        <f>SUMIFS(Lançamentos!$G:$G,Lançamentos!$A:$A,GH$19,Lançamentos!$C:$C,"Combustível")</f>
        <v>0</v>
      </c>
      <c r="GI52" s="39">
        <f>SUMIFS(Lançamentos!$G:$G,Lançamentos!$A:$A,GI$19,Lançamentos!$C:$C,"Combustível")</f>
        <v>0</v>
      </c>
      <c r="GJ52" s="39">
        <f>SUMIFS(Lançamentos!$G:$G,Lançamentos!$A:$A,GJ$19,Lançamentos!$C:$C,"Combustível")</f>
        <v>0</v>
      </c>
      <c r="GK52" s="39">
        <f>SUMIFS(Lançamentos!$G:$G,Lançamentos!$A:$A,GK$19,Lançamentos!$C:$C,"Combustível")</f>
        <v>0</v>
      </c>
      <c r="GL52" s="39">
        <f>SUMIFS(Lançamentos!$G:$G,Lançamentos!$A:$A,GL$19,Lançamentos!$C:$C,"Combustível")</f>
        <v>0</v>
      </c>
      <c r="GM52" s="39">
        <f>SUMIFS(Lançamentos!$G:$G,Lançamentos!$A:$A,GM$19,Lançamentos!$C:$C,"Combustível")</f>
        <v>0</v>
      </c>
      <c r="GN52" s="39">
        <f>SUMIFS(Lançamentos!$G:$G,Lançamentos!$A:$A,GN$19,Lançamentos!$C:$C,"Combustível")</f>
        <v>0</v>
      </c>
      <c r="GO52" s="39">
        <f>SUMIFS(Lançamentos!$G:$G,Lançamentos!$A:$A,GO$19,Lançamentos!$C:$C,"Combustível")</f>
        <v>0</v>
      </c>
      <c r="GP52" s="39">
        <f>SUMIFS(Lançamentos!$G:$G,Lançamentos!$A:$A,GP$19,Lançamentos!$C:$C,"Combustível")</f>
        <v>0</v>
      </c>
      <c r="GQ52" s="39">
        <f>SUMIFS(Lançamentos!$G:$G,Lançamentos!$A:$A,GQ$19,Lançamentos!$C:$C,"Combustível")</f>
        <v>0</v>
      </c>
      <c r="GR52" s="39">
        <f>SUMIFS(Lançamentos!$G:$G,Lançamentos!$A:$A,GR$19,Lançamentos!$C:$C,"Combustível")</f>
        <v>0</v>
      </c>
      <c r="GS52" s="39">
        <f>SUMIFS(Lançamentos!$G:$G,Lançamentos!$A:$A,GS$19,Lançamentos!$C:$C,"Combustível")</f>
        <v>0</v>
      </c>
      <c r="GT52" s="39">
        <f>SUMIFS(Lançamentos!$G:$G,Lançamentos!$A:$A,GT$19,Lançamentos!$C:$C,"Combustível")</f>
        <v>0</v>
      </c>
      <c r="GU52" s="39">
        <f>SUMIFS(Lançamentos!$G:$G,Lançamentos!$A:$A,GU$19,Lançamentos!$C:$C,"Combustível")</f>
        <v>0</v>
      </c>
      <c r="GV52" s="39">
        <f>SUMIFS(Lançamentos!$G:$G,Lançamentos!$A:$A,GV$19,Lançamentos!$C:$C,"Combustível")</f>
        <v>0</v>
      </c>
      <c r="GW52" s="39">
        <f>SUMIFS(Lançamentos!$G:$G,Lançamentos!$A:$A,GW$19,Lançamentos!$C:$C,"Combustível")</f>
        <v>0</v>
      </c>
      <c r="GX52" s="39">
        <f>SUMIFS(Lançamentos!$G:$G,Lançamentos!$A:$A,GX$19,Lançamentos!$C:$C,"Combustível")</f>
        <v>0</v>
      </c>
      <c r="GY52" s="39">
        <f>SUMIFS(Lançamentos!$G:$G,Lançamentos!$A:$A,GY$19,Lançamentos!$C:$C,"Combustível")</f>
        <v>0</v>
      </c>
      <c r="GZ52" s="39">
        <f>SUMIFS(Lançamentos!$G:$G,Lançamentos!$A:$A,GZ$19,Lançamentos!$C:$C,"Combustível")</f>
        <v>0</v>
      </c>
      <c r="HA52" s="39">
        <f>SUMIFS(Lançamentos!$G:$G,Lançamentos!$A:$A,HA$19,Lançamentos!$C:$C,"Combustível")</f>
        <v>0</v>
      </c>
      <c r="HB52" s="39">
        <f>SUMIFS(Lançamentos!$G:$G,Lançamentos!$A:$A,HB$19,Lançamentos!$C:$C,"Combustível")</f>
        <v>0</v>
      </c>
      <c r="HC52" s="39">
        <f>SUMIFS(Lançamentos!$G:$G,Lançamentos!$A:$A,HC$19,Lançamentos!$C:$C,"Combustível")</f>
        <v>0</v>
      </c>
      <c r="HD52" s="39">
        <f>SUMIFS(Lançamentos!$G:$G,Lançamentos!$A:$A,HD$19,Lançamentos!$C:$C,"Combustível")</f>
        <v>0</v>
      </c>
      <c r="HE52" s="39">
        <f>SUMIFS(Lançamentos!$G:$G,Lançamentos!$A:$A,HE$19,Lançamentos!$C:$C,"Combustível")</f>
        <v>0</v>
      </c>
      <c r="HF52" s="39">
        <f>SUMIFS(Lançamentos!$G:$G,Lançamentos!$A:$A,HF$19,Lançamentos!$C:$C,"Combustível")</f>
        <v>0</v>
      </c>
      <c r="HG52" s="39">
        <f>SUMIFS(Lançamentos!$G:$G,Lançamentos!$A:$A,HG$19,Lançamentos!$C:$C,"Combustível")</f>
        <v>0</v>
      </c>
      <c r="HH52" s="39">
        <f>SUMIFS(Lançamentos!$G:$G,Lançamentos!$A:$A,HH$19,Lançamentos!$C:$C,"Combustível")</f>
        <v>0</v>
      </c>
      <c r="HI52" s="39">
        <f>SUMIFS(Lançamentos!$G:$G,Lançamentos!$A:$A,HI$19,Lançamentos!$C:$C,"Combustível")</f>
        <v>0</v>
      </c>
      <c r="HJ52" s="39">
        <f>SUMIFS(Lançamentos!$G:$G,Lançamentos!$A:$A,HJ$19,Lançamentos!$C:$C,"Combustível")</f>
        <v>0</v>
      </c>
      <c r="HK52" s="39">
        <f>SUMIFS(Lançamentos!$G:$G,Lançamentos!$A:$A,HK$19,Lançamentos!$C:$C,"Combustível")</f>
        <v>0</v>
      </c>
      <c r="HL52" s="39">
        <f>SUMIFS(Lançamentos!$G:$G,Lançamentos!$A:$A,HL$19,Lançamentos!$C:$C,"Combustível")</f>
        <v>0</v>
      </c>
      <c r="HM52" s="39">
        <f>SUMIFS(Lançamentos!$G:$G,Lançamentos!$A:$A,HM$19,Lançamentos!$C:$C,"Combustível")</f>
        <v>0</v>
      </c>
      <c r="HN52" s="39">
        <f>SUMIFS(Lançamentos!$G:$G,Lançamentos!$A:$A,HN$19,Lançamentos!$C:$C,"Combustível")</f>
        <v>0</v>
      </c>
      <c r="HO52" s="39">
        <f>SUMIFS(Lançamentos!$G:$G,Lançamentos!$A:$A,HO$19,Lançamentos!$C:$C,"Combustível")</f>
        <v>0</v>
      </c>
      <c r="HP52" s="39">
        <f>SUMIFS(Lançamentos!$G:$G,Lançamentos!$A:$A,HP$19,Lançamentos!$C:$C,"Combustível")</f>
        <v>0</v>
      </c>
      <c r="HQ52" s="39">
        <f>SUMIFS(Lançamentos!$G:$G,Lançamentos!$A:$A,HQ$19,Lançamentos!$C:$C,"Combustível")</f>
        <v>0</v>
      </c>
      <c r="HR52" s="39">
        <f>SUMIFS(Lançamentos!$G:$G,Lançamentos!$A:$A,HR$19,Lançamentos!$C:$C,"Combustível")</f>
        <v>0</v>
      </c>
      <c r="HS52" s="39">
        <f>SUMIFS(Lançamentos!$G:$G,Lançamentos!$A:$A,HS$19,Lançamentos!$C:$C,"Combustível")</f>
        <v>0</v>
      </c>
      <c r="HT52" s="39">
        <f>SUMIFS(Lançamentos!$G:$G,Lançamentos!$A:$A,HT$19,Lançamentos!$C:$C,"Combustível")</f>
        <v>0</v>
      </c>
      <c r="HU52" s="39">
        <f>SUMIFS(Lançamentos!$G:$G,Lançamentos!$A:$A,HU$19,Lançamentos!$C:$C,"Combustível")</f>
        <v>0</v>
      </c>
      <c r="HV52" s="39">
        <f>SUMIFS(Lançamentos!$G:$G,Lançamentos!$A:$A,HV$19,Lançamentos!$C:$C,"Combustível")</f>
        <v>0</v>
      </c>
      <c r="HW52" s="39">
        <f>SUMIFS(Lançamentos!$G:$G,Lançamentos!$A:$A,HW$19,Lançamentos!$C:$C,"Combustível")</f>
        <v>0</v>
      </c>
      <c r="HX52" s="39">
        <f>SUMIFS(Lançamentos!$G:$G,Lançamentos!$A:$A,HX$19,Lançamentos!$C:$C,"Combustível")</f>
        <v>0</v>
      </c>
      <c r="HY52" s="39">
        <f>SUMIFS(Lançamentos!$G:$G,Lançamentos!$A:$A,HY$19,Lançamentos!$C:$C,"Combustível")</f>
        <v>0</v>
      </c>
      <c r="HZ52" s="39">
        <f>SUMIFS(Lançamentos!$G:$G,Lançamentos!$A:$A,HZ$19,Lançamentos!$C:$C,"Combustível")</f>
        <v>0</v>
      </c>
      <c r="IA52" s="39">
        <f>SUMIFS(Lançamentos!$G:$G,Lançamentos!$A:$A,IA$19,Lançamentos!$C:$C,"Combustível")</f>
        <v>0</v>
      </c>
      <c r="IB52" s="39">
        <f>SUMIFS(Lançamentos!$G:$G,Lançamentos!$A:$A,IB$19,Lançamentos!$C:$C,"Combustível")</f>
        <v>0</v>
      </c>
      <c r="IC52" s="39">
        <f>SUMIFS(Lançamentos!$G:$G,Lançamentos!$A:$A,IC$19,Lançamentos!$C:$C,"Combustível")</f>
        <v>0</v>
      </c>
      <c r="ID52" s="39">
        <f>SUMIFS(Lançamentos!$G:$G,Lançamentos!$A:$A,ID$19,Lançamentos!$C:$C,"Combustível")</f>
        <v>0</v>
      </c>
      <c r="IE52" s="39">
        <f>SUMIFS(Lançamentos!$G:$G,Lançamentos!$A:$A,IE$19,Lançamentos!$C:$C,"Combustível")</f>
        <v>0</v>
      </c>
      <c r="IF52" s="39">
        <f>SUMIFS(Lançamentos!$G:$G,Lançamentos!$A:$A,IF$19,Lançamentos!$C:$C,"Combustível")</f>
        <v>0</v>
      </c>
      <c r="IG52" s="39">
        <f>SUMIFS(Lançamentos!$G:$G,Lançamentos!$A:$A,IG$19,Lançamentos!$C:$C,"Combustível")</f>
        <v>0</v>
      </c>
      <c r="IH52" s="39">
        <f>SUMIFS(Lançamentos!$G:$G,Lançamentos!$A:$A,IH$19,Lançamentos!$C:$C,"Combustível")</f>
        <v>0</v>
      </c>
      <c r="II52" s="39">
        <f>SUMIFS(Lançamentos!$G:$G,Lançamentos!$A:$A,II$19,Lançamentos!$C:$C,"Combustível")</f>
        <v>0</v>
      </c>
      <c r="IJ52" s="39">
        <f>SUMIFS(Lançamentos!$G:$G,Lançamentos!$A:$A,IJ$19,Lançamentos!$C:$C,"Combustível")</f>
        <v>0</v>
      </c>
      <c r="IK52" s="39">
        <f>SUMIFS(Lançamentos!$G:$G,Lançamentos!$A:$A,IK$19,Lançamentos!$C:$C,"Combustível")</f>
        <v>0</v>
      </c>
      <c r="IL52" s="39">
        <f>SUMIFS(Lançamentos!$G:$G,Lançamentos!$A:$A,IL$19,Lançamentos!$C:$C,"Combustível")</f>
        <v>0</v>
      </c>
    </row>
    <row r="53" spans="1:246" x14ac:dyDescent="0.3">
      <c r="A53" t="s">
        <v>98</v>
      </c>
      <c r="B53" s="39">
        <f>SUMIFS(Lançamentos!$G:$G,Lançamentos!$A:$A,B$19,Lançamentos!$C:$C,"Pró-labore")</f>
        <v>0</v>
      </c>
      <c r="C53" s="39">
        <f>SUMIFS(Lançamentos!$G:$G,Lançamentos!$A:$A,C$19,Lançamentos!$C:$C,"Pró-labore")</f>
        <v>0</v>
      </c>
      <c r="D53" s="39">
        <f>SUMIFS(Lançamentos!$G:$G,Lançamentos!$A:$A,D$19,Lançamentos!$C:$C,"Pró-labore")</f>
        <v>0</v>
      </c>
      <c r="E53" s="39">
        <f>SUMIFS(Lançamentos!$G:$G,Lançamentos!$A:$A,E$19,Lançamentos!$C:$C,"Pró-labore")</f>
        <v>0</v>
      </c>
      <c r="F53" s="39">
        <f>SUMIFS(Lançamentos!$G:$G,Lançamentos!$A:$A,F$19,Lançamentos!$C:$C,"Pró-labore")</f>
        <v>0</v>
      </c>
      <c r="G53" s="39">
        <f>SUMIFS(Lançamentos!$G:$G,Lançamentos!$A:$A,G$19,Lançamentos!$C:$C,"Pró-labore")</f>
        <v>0</v>
      </c>
      <c r="H53" s="39">
        <f>SUMIFS(Lançamentos!$G:$G,Lançamentos!$A:$A,H$19,Lançamentos!$C:$C,"Pró-labore")</f>
        <v>0</v>
      </c>
      <c r="I53" s="39">
        <f>SUMIFS(Lançamentos!$G:$G,Lançamentos!$A:$A,I$19,Lançamentos!$C:$C,"Pró-labore")</f>
        <v>0</v>
      </c>
      <c r="J53" s="39">
        <f>SUMIFS(Lançamentos!$G:$G,Lançamentos!$A:$A,J$19,Lançamentos!$C:$C,"Pró-labore")</f>
        <v>0</v>
      </c>
      <c r="K53" s="39">
        <f>SUMIFS(Lançamentos!$G:$G,Lançamentos!$A:$A,K$19,Lançamentos!$C:$C,"Pró-labore")</f>
        <v>0</v>
      </c>
      <c r="L53" s="39">
        <f>SUMIFS(Lançamentos!$G:$G,Lançamentos!$A:$A,L$19,Lançamentos!$C:$C,"Pró-labore")</f>
        <v>0</v>
      </c>
      <c r="M53" s="39">
        <f>SUMIFS(Lançamentos!$G:$G,Lançamentos!$A:$A,M$19,Lançamentos!$C:$C,"Pró-labore")</f>
        <v>0</v>
      </c>
      <c r="N53" s="39">
        <f>SUMIFS(Lançamentos!$G:$G,Lançamentos!$A:$A,N$19,Lançamentos!$C:$C,"Pró-labore")</f>
        <v>0</v>
      </c>
      <c r="O53" s="39">
        <f>SUMIFS(Lançamentos!$G:$G,Lançamentos!$A:$A,O$19,Lançamentos!$C:$C,"Pró-labore")</f>
        <v>0</v>
      </c>
      <c r="P53" s="39">
        <f>SUMIFS(Lançamentos!$G:$G,Lançamentos!$A:$A,P$19,Lançamentos!$C:$C,"Pró-labore")</f>
        <v>0</v>
      </c>
      <c r="Q53" s="39">
        <f>SUMIFS(Lançamentos!$G:$G,Lançamentos!$A:$A,Q$19,Lançamentos!$C:$C,"Pró-labore")</f>
        <v>0</v>
      </c>
      <c r="R53" s="39">
        <f>SUMIFS(Lançamentos!$G:$G,Lançamentos!$A:$A,R$19,Lançamentos!$C:$C,"Pró-labore")</f>
        <v>0</v>
      </c>
      <c r="S53" s="39">
        <f>SUMIFS(Lançamentos!$G:$G,Lançamentos!$A:$A,S$19,Lançamentos!$C:$C,"Pró-labore")</f>
        <v>0</v>
      </c>
      <c r="T53" s="39">
        <f>SUMIFS(Lançamentos!$G:$G,Lançamentos!$A:$A,T$19,Lançamentos!$C:$C,"Pró-labore")</f>
        <v>0</v>
      </c>
      <c r="U53" s="39">
        <f>SUMIFS(Lançamentos!$G:$G,Lançamentos!$A:$A,U$19,Lançamentos!$C:$C,"Pró-labore")</f>
        <v>0</v>
      </c>
      <c r="V53" s="39">
        <f>SUMIFS(Lançamentos!$G:$G,Lançamentos!$A:$A,V$19,Lançamentos!$C:$C,"Pró-labore")</f>
        <v>0</v>
      </c>
      <c r="W53" s="39">
        <f>SUMIFS(Lançamentos!$G:$G,Lançamentos!$A:$A,W$19,Lançamentos!$C:$C,"Pró-labore")</f>
        <v>0</v>
      </c>
      <c r="X53" s="39">
        <f>SUMIFS(Lançamentos!$G:$G,Lançamentos!$A:$A,X$19,Lançamentos!$C:$C,"Pró-labore")</f>
        <v>0</v>
      </c>
      <c r="Y53" s="39">
        <f>SUMIFS(Lançamentos!$G:$G,Lançamentos!$A:$A,Y$19,Lançamentos!$C:$C,"Pró-labore")</f>
        <v>0</v>
      </c>
      <c r="Z53" s="39">
        <f>SUMIFS(Lançamentos!$G:$G,Lançamentos!$A:$A,Z$19,Lançamentos!$C:$C,"Pró-labore")</f>
        <v>0</v>
      </c>
      <c r="AA53" s="39">
        <f>SUMIFS(Lançamentos!$G:$G,Lançamentos!$A:$A,AA$19,Lançamentos!$C:$C,"Pró-labore")</f>
        <v>0</v>
      </c>
      <c r="AB53" s="39">
        <f>SUMIFS(Lançamentos!$G:$G,Lançamentos!$A:$A,AB$19,Lançamentos!$C:$C,"Pró-labore")</f>
        <v>0</v>
      </c>
      <c r="AC53" s="39">
        <f>SUMIFS(Lançamentos!$G:$G,Lançamentos!$A:$A,AC$19,Lançamentos!$C:$C,"Pró-labore")</f>
        <v>0</v>
      </c>
      <c r="AD53" s="39">
        <f>SUMIFS(Lançamentos!$G:$G,Lançamentos!$A:$A,AD$19,Lançamentos!$C:$C,"Pró-labore")</f>
        <v>0</v>
      </c>
      <c r="AE53" s="39">
        <f>SUMIFS(Lançamentos!$G:$G,Lançamentos!$A:$A,AE$19,Lançamentos!$C:$C,"Pró-labore")</f>
        <v>0</v>
      </c>
      <c r="AF53" s="39">
        <f>SUMIFS(Lançamentos!$G:$G,Lançamentos!$A:$A,AF$19,Lançamentos!$C:$C,"Pró-labore")</f>
        <v>0</v>
      </c>
      <c r="AG53" s="39">
        <f>SUMIFS(Lançamentos!$G:$G,Lançamentos!$A:$A,AG$19,Lançamentos!$C:$C,"Pró-labore")</f>
        <v>0</v>
      </c>
      <c r="AH53" s="39">
        <f>SUMIFS(Lançamentos!$G:$G,Lançamentos!$A:$A,AH$19,Lançamentos!$C:$C,"Pró-labore")</f>
        <v>0</v>
      </c>
      <c r="AI53" s="39">
        <f>SUMIFS(Lançamentos!$G:$G,Lançamentos!$A:$A,AI$19,Lançamentos!$C:$C,"Pró-labore")</f>
        <v>0</v>
      </c>
      <c r="AJ53" s="39">
        <f>SUMIFS(Lançamentos!$G:$G,Lançamentos!$A:$A,AJ$19,Lançamentos!$C:$C,"Pró-labore")</f>
        <v>0</v>
      </c>
      <c r="AK53" s="39">
        <f>SUMIFS(Lançamentos!$G:$G,Lançamentos!$A:$A,AK$19,Lançamentos!$C:$C,"Pró-labore")</f>
        <v>0</v>
      </c>
      <c r="AL53" s="39">
        <f>SUMIFS(Lançamentos!$G:$G,Lançamentos!$A:$A,AL$19,Lançamentos!$C:$C,"Pró-labore")</f>
        <v>0</v>
      </c>
      <c r="AM53" s="39">
        <f>SUMIFS(Lançamentos!$G:$G,Lançamentos!$A:$A,AM$19,Lançamentos!$C:$C,"Pró-labore")</f>
        <v>0</v>
      </c>
      <c r="AN53" s="39">
        <f>SUMIFS(Lançamentos!$G:$G,Lançamentos!$A:$A,AN$19,Lançamentos!$C:$C,"Pró-labore")</f>
        <v>0</v>
      </c>
      <c r="AO53" s="39">
        <f>SUMIFS(Lançamentos!$G:$G,Lançamentos!$A:$A,AO$19,Lançamentos!$C:$C,"Pró-labore")</f>
        <v>0</v>
      </c>
      <c r="AP53" s="39">
        <f>SUMIFS(Lançamentos!$G:$G,Lançamentos!$A:$A,AP$19,Lançamentos!$C:$C,"Pró-labore")</f>
        <v>0</v>
      </c>
      <c r="AQ53" s="39">
        <f>SUMIFS(Lançamentos!$G:$G,Lançamentos!$A:$A,AQ$19,Lançamentos!$C:$C,"Pró-labore")</f>
        <v>0</v>
      </c>
      <c r="AR53" s="39">
        <f>SUMIFS(Lançamentos!$G:$G,Lançamentos!$A:$A,AR$19,Lançamentos!$C:$C,"Pró-labore")</f>
        <v>0</v>
      </c>
      <c r="AS53" s="39">
        <f>SUMIFS(Lançamentos!$G:$G,Lançamentos!$A:$A,AS$19,Lançamentos!$C:$C,"Pró-labore")</f>
        <v>0</v>
      </c>
      <c r="AT53" s="39">
        <f>SUMIFS(Lançamentos!$G:$G,Lançamentos!$A:$A,AT$19,Lançamentos!$C:$C,"Pró-labore")</f>
        <v>0</v>
      </c>
      <c r="AU53" s="39">
        <f>SUMIFS(Lançamentos!$G:$G,Lançamentos!$A:$A,AU$19,Lançamentos!$C:$C,"Pró-labore")</f>
        <v>0</v>
      </c>
      <c r="AV53" s="39">
        <f>SUMIFS(Lançamentos!$G:$G,Lançamentos!$A:$A,AV$19,Lançamentos!$C:$C,"Pró-labore")</f>
        <v>0</v>
      </c>
      <c r="AW53" s="39">
        <f>SUMIFS(Lançamentos!$G:$G,Lançamentos!$A:$A,AW$19,Lançamentos!$C:$C,"Pró-labore")</f>
        <v>0</v>
      </c>
      <c r="AX53" s="39">
        <f>SUMIFS(Lançamentos!$G:$G,Lançamentos!$A:$A,AX$19,Lançamentos!$C:$C,"Pró-labore")</f>
        <v>0</v>
      </c>
      <c r="AY53" s="39">
        <f>SUMIFS(Lançamentos!$G:$G,Lançamentos!$A:$A,AY$19,Lançamentos!$C:$C,"Pró-labore")</f>
        <v>0</v>
      </c>
      <c r="AZ53" s="39">
        <f>SUMIFS(Lançamentos!$G:$G,Lançamentos!$A:$A,AZ$19,Lançamentos!$C:$C,"Pró-labore")</f>
        <v>0</v>
      </c>
      <c r="BA53" s="39">
        <f>SUMIFS(Lançamentos!$G:$G,Lançamentos!$A:$A,BA$19,Lançamentos!$C:$C,"Pró-labore")</f>
        <v>0</v>
      </c>
      <c r="BB53" s="39">
        <f>SUMIFS(Lançamentos!$G:$G,Lançamentos!$A:$A,BB$19,Lançamentos!$C:$C,"Pró-labore")</f>
        <v>0</v>
      </c>
      <c r="BC53" s="39">
        <f>SUMIFS(Lançamentos!$G:$G,Lançamentos!$A:$A,BC$19,Lançamentos!$C:$C,"Pró-labore")</f>
        <v>0</v>
      </c>
      <c r="BD53" s="39">
        <f>SUMIFS(Lançamentos!$G:$G,Lançamentos!$A:$A,BD$19,Lançamentos!$C:$C,"Pró-labore")</f>
        <v>0</v>
      </c>
      <c r="BE53" s="39">
        <f>SUMIFS(Lançamentos!$G:$G,Lançamentos!$A:$A,BE$19,Lançamentos!$C:$C,"Pró-labore")</f>
        <v>0</v>
      </c>
      <c r="BF53" s="39">
        <f>SUMIFS(Lançamentos!$G:$G,Lançamentos!$A:$A,BF$19,Lançamentos!$C:$C,"Pró-labore")</f>
        <v>0</v>
      </c>
      <c r="BG53" s="39">
        <f>SUMIFS(Lançamentos!$G:$G,Lançamentos!$A:$A,BG$19,Lançamentos!$C:$C,"Pró-labore")</f>
        <v>0</v>
      </c>
      <c r="BH53" s="39">
        <f>SUMIFS(Lançamentos!$G:$G,Lançamentos!$A:$A,BH$19,Lançamentos!$C:$C,"Pró-labore")</f>
        <v>0</v>
      </c>
      <c r="BI53" s="39">
        <f>SUMIFS(Lançamentos!$G:$G,Lançamentos!$A:$A,BI$19,Lançamentos!$C:$C,"Pró-labore")</f>
        <v>0</v>
      </c>
      <c r="BJ53" s="39">
        <f>SUMIFS(Lançamentos!$G:$G,Lançamentos!$A:$A,BJ$19,Lançamentos!$C:$C,"Pró-labore")</f>
        <v>0</v>
      </c>
      <c r="BK53" s="39">
        <f>SUMIFS(Lançamentos!$G:$G,Lançamentos!$A:$A,BK$19,Lançamentos!$C:$C,"Pró-labore")</f>
        <v>0</v>
      </c>
      <c r="BL53" s="39">
        <f>SUMIFS(Lançamentos!$G:$G,Lançamentos!$A:$A,BL$19,Lançamentos!$C:$C,"Pró-labore")</f>
        <v>0</v>
      </c>
      <c r="BM53" s="39">
        <f>SUMIFS(Lançamentos!$G:$G,Lançamentos!$A:$A,BM$19,Lançamentos!$C:$C,"Pró-labore")</f>
        <v>0</v>
      </c>
      <c r="BN53" s="39">
        <f>SUMIFS(Lançamentos!$G:$G,Lançamentos!$A:$A,BN$19,Lançamentos!$C:$C,"Pró-labore")</f>
        <v>0</v>
      </c>
      <c r="BO53" s="39">
        <f>SUMIFS(Lançamentos!$G:$G,Lançamentos!$A:$A,BO$19,Lançamentos!$C:$C,"Pró-labore")</f>
        <v>0</v>
      </c>
      <c r="BP53" s="39">
        <f>SUMIFS(Lançamentos!$G:$G,Lançamentos!$A:$A,BP$19,Lançamentos!$C:$C,"Pró-labore")</f>
        <v>0</v>
      </c>
      <c r="BQ53" s="39">
        <f>SUMIFS(Lançamentos!$G:$G,Lançamentos!$A:$A,BQ$19,Lançamentos!$C:$C,"Pró-labore")</f>
        <v>0</v>
      </c>
      <c r="BR53" s="39">
        <f>SUMIFS(Lançamentos!$G:$G,Lançamentos!$A:$A,BR$19,Lançamentos!$C:$C,"Pró-labore")</f>
        <v>0</v>
      </c>
      <c r="BS53" s="39">
        <f>SUMIFS(Lançamentos!$G:$G,Lançamentos!$A:$A,BS$19,Lançamentos!$C:$C,"Pró-labore")</f>
        <v>0</v>
      </c>
      <c r="BT53" s="39">
        <f>SUMIFS(Lançamentos!$G:$G,Lançamentos!$A:$A,BT$19,Lançamentos!$C:$C,"Pró-labore")</f>
        <v>0</v>
      </c>
      <c r="BU53" s="39">
        <f>SUMIFS(Lançamentos!$G:$G,Lançamentos!$A:$A,BU$19,Lançamentos!$C:$C,"Pró-labore")</f>
        <v>0</v>
      </c>
      <c r="BV53" s="39">
        <f>SUMIFS(Lançamentos!$G:$G,Lançamentos!$A:$A,BV$19,Lançamentos!$C:$C,"Pró-labore")</f>
        <v>0</v>
      </c>
      <c r="BW53" s="39">
        <f>SUMIFS(Lançamentos!$G:$G,Lançamentos!$A:$A,BW$19,Lançamentos!$C:$C,"Pró-labore")</f>
        <v>0</v>
      </c>
      <c r="BX53" s="39">
        <f>SUMIFS(Lançamentos!$G:$G,Lançamentos!$A:$A,BX$19,Lançamentos!$C:$C,"Pró-labore")</f>
        <v>0</v>
      </c>
      <c r="BY53" s="39">
        <f>SUMIFS(Lançamentos!$G:$G,Lançamentos!$A:$A,BY$19,Lançamentos!$C:$C,"Pró-labore")</f>
        <v>0</v>
      </c>
      <c r="BZ53" s="39">
        <f>SUMIFS(Lançamentos!$G:$G,Lançamentos!$A:$A,BZ$19,Lançamentos!$C:$C,"Pró-labore")</f>
        <v>0</v>
      </c>
      <c r="CA53" s="39">
        <f>SUMIFS(Lançamentos!$G:$G,Lançamentos!$A:$A,CA$19,Lançamentos!$C:$C,"Pró-labore")</f>
        <v>0</v>
      </c>
      <c r="CB53" s="39">
        <f>SUMIFS(Lançamentos!$G:$G,Lançamentos!$A:$A,CB$19,Lançamentos!$C:$C,"Pró-labore")</f>
        <v>0</v>
      </c>
      <c r="CC53" s="39">
        <f>SUMIFS(Lançamentos!$G:$G,Lançamentos!$A:$A,CC$19,Lançamentos!$C:$C,"Pró-labore")</f>
        <v>0</v>
      </c>
      <c r="CD53" s="39">
        <f>SUMIFS(Lançamentos!$G:$G,Lançamentos!$A:$A,CD$19,Lançamentos!$C:$C,"Pró-labore")</f>
        <v>0</v>
      </c>
      <c r="CE53" s="39">
        <f>SUMIFS(Lançamentos!$G:$G,Lançamentos!$A:$A,CE$19,Lançamentos!$C:$C,"Pró-labore")</f>
        <v>0</v>
      </c>
      <c r="CF53" s="39">
        <f>SUMIFS(Lançamentos!$G:$G,Lançamentos!$A:$A,CF$19,Lançamentos!$C:$C,"Pró-labore")</f>
        <v>0</v>
      </c>
      <c r="CG53" s="39">
        <f>SUMIFS(Lançamentos!$G:$G,Lançamentos!$A:$A,CG$19,Lançamentos!$C:$C,"Pró-labore")</f>
        <v>0</v>
      </c>
      <c r="CH53" s="39">
        <f>SUMIFS(Lançamentos!$G:$G,Lançamentos!$A:$A,CH$19,Lançamentos!$C:$C,"Pró-labore")</f>
        <v>0</v>
      </c>
      <c r="CI53" s="39">
        <f>SUMIFS(Lançamentos!$G:$G,Lançamentos!$A:$A,CI$19,Lançamentos!$C:$C,"Pró-labore")</f>
        <v>0</v>
      </c>
      <c r="CJ53" s="39">
        <f>SUMIFS(Lançamentos!$G:$G,Lançamentos!$A:$A,CJ$19,Lançamentos!$C:$C,"Pró-labore")</f>
        <v>0</v>
      </c>
      <c r="CK53" s="39">
        <f>SUMIFS(Lançamentos!$G:$G,Lançamentos!$A:$A,CK$19,Lançamentos!$C:$C,"Pró-labore")</f>
        <v>0</v>
      </c>
      <c r="CL53" s="39">
        <f>SUMIFS(Lançamentos!$G:$G,Lançamentos!$A:$A,CL$19,Lançamentos!$C:$C,"Pró-labore")</f>
        <v>0</v>
      </c>
      <c r="CM53" s="39">
        <f>SUMIFS(Lançamentos!$G:$G,Lançamentos!$A:$A,CM$19,Lançamentos!$C:$C,"Pró-labore")</f>
        <v>0</v>
      </c>
      <c r="CN53" s="39">
        <f>SUMIFS(Lançamentos!$G:$G,Lançamentos!$A:$A,CN$19,Lançamentos!$C:$C,"Pró-labore")</f>
        <v>0</v>
      </c>
      <c r="CO53" s="39">
        <f>SUMIFS(Lançamentos!$G:$G,Lançamentos!$A:$A,CO$19,Lançamentos!$C:$C,"Pró-labore")</f>
        <v>0</v>
      </c>
      <c r="CP53" s="39">
        <f>SUMIFS(Lançamentos!$G:$G,Lançamentos!$A:$A,CP$19,Lançamentos!$C:$C,"Pró-labore")</f>
        <v>0</v>
      </c>
      <c r="CQ53" s="39">
        <f>SUMIFS(Lançamentos!$G:$G,Lançamentos!$A:$A,CQ$19,Lançamentos!$C:$C,"Pró-labore")</f>
        <v>0</v>
      </c>
      <c r="CR53" s="39">
        <f>SUMIFS(Lançamentos!$G:$G,Lançamentos!$A:$A,CR$19,Lançamentos!$C:$C,"Pró-labore")</f>
        <v>0</v>
      </c>
      <c r="CS53" s="39">
        <f>SUMIFS(Lançamentos!$G:$G,Lançamentos!$A:$A,CS$19,Lançamentos!$C:$C,"Pró-labore")</f>
        <v>0</v>
      </c>
      <c r="CT53" s="39">
        <f>SUMIFS(Lançamentos!$G:$G,Lançamentos!$A:$A,CT$19,Lançamentos!$C:$C,"Pró-labore")</f>
        <v>0</v>
      </c>
      <c r="CU53" s="39">
        <f>SUMIFS(Lançamentos!$G:$G,Lançamentos!$A:$A,CU$19,Lançamentos!$C:$C,"Pró-labore")</f>
        <v>0</v>
      </c>
      <c r="CV53" s="39">
        <f>SUMIFS(Lançamentos!$G:$G,Lançamentos!$A:$A,CV$19,Lançamentos!$C:$C,"Pró-labore")</f>
        <v>0</v>
      </c>
      <c r="CW53" s="39">
        <f>SUMIFS(Lançamentos!$G:$G,Lançamentos!$A:$A,CW$19,Lançamentos!$C:$C,"Pró-labore")</f>
        <v>0</v>
      </c>
      <c r="CX53" s="39">
        <f>SUMIFS(Lançamentos!$G:$G,Lançamentos!$A:$A,CX$19,Lançamentos!$C:$C,"Pró-labore")</f>
        <v>0</v>
      </c>
      <c r="CY53" s="39">
        <f>SUMIFS(Lançamentos!$G:$G,Lançamentos!$A:$A,CY$19,Lançamentos!$C:$C,"Pró-labore")</f>
        <v>0</v>
      </c>
      <c r="CZ53" s="39">
        <f>SUMIFS(Lançamentos!$G:$G,Lançamentos!$A:$A,CZ$19,Lançamentos!$C:$C,"Pró-labore")</f>
        <v>0</v>
      </c>
      <c r="DA53" s="39">
        <f>SUMIFS(Lançamentos!$G:$G,Lançamentos!$A:$A,DA$19,Lançamentos!$C:$C,"Pró-labore")</f>
        <v>0</v>
      </c>
      <c r="DB53" s="39">
        <f>SUMIFS(Lançamentos!$G:$G,Lançamentos!$A:$A,DB$19,Lançamentos!$C:$C,"Pró-labore")</f>
        <v>0</v>
      </c>
      <c r="DC53" s="39">
        <f>SUMIFS(Lançamentos!$G:$G,Lançamentos!$A:$A,DC$19,Lançamentos!$C:$C,"Pró-labore")</f>
        <v>0</v>
      </c>
      <c r="DD53" s="39">
        <f>SUMIFS(Lançamentos!$G:$G,Lançamentos!$A:$A,DD$19,Lançamentos!$C:$C,"Pró-labore")</f>
        <v>0</v>
      </c>
      <c r="DE53" s="39">
        <f>SUMIFS(Lançamentos!$G:$G,Lançamentos!$A:$A,DE$19,Lançamentos!$C:$C,"Pró-labore")</f>
        <v>0</v>
      </c>
      <c r="DF53" s="39">
        <f>SUMIFS(Lançamentos!$G:$G,Lançamentos!$A:$A,DF$19,Lançamentos!$C:$C,"Pró-labore")</f>
        <v>0</v>
      </c>
      <c r="DG53" s="39">
        <f>SUMIFS(Lançamentos!$G:$G,Lançamentos!$A:$A,DG$19,Lançamentos!$C:$C,"Pró-labore")</f>
        <v>0</v>
      </c>
      <c r="DH53" s="39">
        <f>SUMIFS(Lançamentos!$G:$G,Lançamentos!$A:$A,DH$19,Lançamentos!$C:$C,"Pró-labore")</f>
        <v>0</v>
      </c>
      <c r="DI53" s="39">
        <f>SUMIFS(Lançamentos!$G:$G,Lançamentos!$A:$A,DI$19,Lançamentos!$C:$C,"Pró-labore")</f>
        <v>0</v>
      </c>
      <c r="DJ53" s="39">
        <f>SUMIFS(Lançamentos!$G:$G,Lançamentos!$A:$A,DJ$19,Lançamentos!$C:$C,"Pró-labore")</f>
        <v>0</v>
      </c>
      <c r="DK53" s="39">
        <f>SUMIFS(Lançamentos!$G:$G,Lançamentos!$A:$A,DK$19,Lançamentos!$C:$C,"Pró-labore")</f>
        <v>0</v>
      </c>
      <c r="DL53" s="39">
        <f>SUMIFS(Lançamentos!$G:$G,Lançamentos!$A:$A,DL$19,Lançamentos!$C:$C,"Pró-labore")</f>
        <v>0</v>
      </c>
      <c r="DM53" s="39">
        <f>SUMIFS(Lançamentos!$G:$G,Lançamentos!$A:$A,DM$19,Lançamentos!$C:$C,"Pró-labore")</f>
        <v>0</v>
      </c>
      <c r="DN53" s="39">
        <f>SUMIFS(Lançamentos!$G:$G,Lançamentos!$A:$A,DN$19,Lançamentos!$C:$C,"Pró-labore")</f>
        <v>0</v>
      </c>
      <c r="DO53" s="39">
        <f>SUMIFS(Lançamentos!$G:$G,Lançamentos!$A:$A,DO$19,Lançamentos!$C:$C,"Pró-labore")</f>
        <v>0</v>
      </c>
      <c r="DP53" s="39">
        <f>SUMIFS(Lançamentos!$G:$G,Lançamentos!$A:$A,DP$19,Lançamentos!$C:$C,"Pró-labore")</f>
        <v>0</v>
      </c>
      <c r="DQ53" s="39">
        <f>SUMIFS(Lançamentos!$G:$G,Lançamentos!$A:$A,DQ$19,Lançamentos!$C:$C,"Pró-labore")</f>
        <v>0</v>
      </c>
      <c r="DR53" s="39">
        <f>SUMIFS(Lançamentos!$G:$G,Lançamentos!$A:$A,DR$19,Lançamentos!$C:$C,"Pró-labore")</f>
        <v>0</v>
      </c>
      <c r="DS53" s="39">
        <f>SUMIFS(Lançamentos!$G:$G,Lançamentos!$A:$A,DS$19,Lançamentos!$C:$C,"Pró-labore")</f>
        <v>0</v>
      </c>
      <c r="DT53" s="39">
        <f>SUMIFS(Lançamentos!$G:$G,Lançamentos!$A:$A,DT$19,Lançamentos!$C:$C,"Pró-labore")</f>
        <v>0</v>
      </c>
      <c r="DU53" s="39">
        <f>SUMIFS(Lançamentos!$G:$G,Lançamentos!$A:$A,DU$19,Lançamentos!$C:$C,"Pró-labore")</f>
        <v>0</v>
      </c>
      <c r="DV53" s="39">
        <f>SUMIFS(Lançamentos!$G:$G,Lançamentos!$A:$A,DV$19,Lançamentos!$C:$C,"Pró-labore")</f>
        <v>0</v>
      </c>
      <c r="DW53" s="39">
        <f>SUMIFS(Lançamentos!$G:$G,Lançamentos!$A:$A,DW$19,Lançamentos!$C:$C,"Pró-labore")</f>
        <v>0</v>
      </c>
      <c r="DX53" s="39">
        <f>SUMIFS(Lançamentos!$G:$G,Lançamentos!$A:$A,DX$19,Lançamentos!$C:$C,"Pró-labore")</f>
        <v>0</v>
      </c>
      <c r="DY53" s="39">
        <f>SUMIFS(Lançamentos!$G:$G,Lançamentos!$A:$A,DY$19,Lançamentos!$C:$C,"Pró-labore")</f>
        <v>0</v>
      </c>
      <c r="DZ53" s="39">
        <f>SUMIFS(Lançamentos!$G:$G,Lançamentos!$A:$A,DZ$19,Lançamentos!$C:$C,"Pró-labore")</f>
        <v>0</v>
      </c>
      <c r="EA53" s="39">
        <f>SUMIFS(Lançamentos!$G:$G,Lançamentos!$A:$A,EA$19,Lançamentos!$C:$C,"Pró-labore")</f>
        <v>0</v>
      </c>
      <c r="EB53" s="39">
        <f>SUMIFS(Lançamentos!$G:$G,Lançamentos!$A:$A,EB$19,Lançamentos!$C:$C,"Pró-labore")</f>
        <v>0</v>
      </c>
      <c r="EC53" s="39">
        <f>SUMIFS(Lançamentos!$G:$G,Lançamentos!$A:$A,EC$19,Lançamentos!$C:$C,"Pró-labore")</f>
        <v>0</v>
      </c>
      <c r="ED53" s="39">
        <f>SUMIFS(Lançamentos!$G:$G,Lançamentos!$A:$A,ED$19,Lançamentos!$C:$C,"Pró-labore")</f>
        <v>0</v>
      </c>
      <c r="EE53" s="39">
        <f>SUMIFS(Lançamentos!$G:$G,Lançamentos!$A:$A,EE$19,Lançamentos!$C:$C,"Pró-labore")</f>
        <v>0</v>
      </c>
      <c r="EF53" s="39">
        <f>SUMIFS(Lançamentos!$G:$G,Lançamentos!$A:$A,EF$19,Lançamentos!$C:$C,"Pró-labore")</f>
        <v>0</v>
      </c>
      <c r="EG53" s="39">
        <f>SUMIFS(Lançamentos!$G:$G,Lançamentos!$A:$A,EG$19,Lançamentos!$C:$C,"Pró-labore")</f>
        <v>0</v>
      </c>
      <c r="EH53" s="39">
        <f>SUMIFS(Lançamentos!$G:$G,Lançamentos!$A:$A,EH$19,Lançamentos!$C:$C,"Pró-labore")</f>
        <v>0</v>
      </c>
      <c r="EI53" s="39">
        <f>SUMIFS(Lançamentos!$G:$G,Lançamentos!$A:$A,EI$19,Lançamentos!$C:$C,"Pró-labore")</f>
        <v>0</v>
      </c>
      <c r="EJ53" s="39">
        <f>SUMIFS(Lançamentos!$G:$G,Lançamentos!$A:$A,EJ$19,Lançamentos!$C:$C,"Pró-labore")</f>
        <v>0</v>
      </c>
      <c r="EK53" s="39">
        <f>SUMIFS(Lançamentos!$G:$G,Lançamentos!$A:$A,EK$19,Lançamentos!$C:$C,"Pró-labore")</f>
        <v>0</v>
      </c>
      <c r="EL53" s="39">
        <f>SUMIFS(Lançamentos!$G:$G,Lançamentos!$A:$A,EL$19,Lançamentos!$C:$C,"Pró-labore")</f>
        <v>0</v>
      </c>
      <c r="EM53" s="39">
        <f>SUMIFS(Lançamentos!$G:$G,Lançamentos!$A:$A,EM$19,Lançamentos!$C:$C,"Pró-labore")</f>
        <v>0</v>
      </c>
      <c r="EN53" s="39">
        <f>SUMIFS(Lançamentos!$G:$G,Lançamentos!$A:$A,EN$19,Lançamentos!$C:$C,"Pró-labore")</f>
        <v>0</v>
      </c>
      <c r="EO53" s="39">
        <f>SUMIFS(Lançamentos!$G:$G,Lançamentos!$A:$A,EO$19,Lançamentos!$C:$C,"Pró-labore")</f>
        <v>0</v>
      </c>
      <c r="EP53" s="39">
        <f>SUMIFS(Lançamentos!$G:$G,Lançamentos!$A:$A,EP$19,Lançamentos!$C:$C,"Pró-labore")</f>
        <v>0</v>
      </c>
      <c r="EQ53" s="39">
        <f>SUMIFS(Lançamentos!$G:$G,Lançamentos!$A:$A,EQ$19,Lançamentos!$C:$C,"Pró-labore")</f>
        <v>0</v>
      </c>
      <c r="ER53" s="39">
        <f>SUMIFS(Lançamentos!$G:$G,Lançamentos!$A:$A,ER$19,Lançamentos!$C:$C,"Pró-labore")</f>
        <v>0</v>
      </c>
      <c r="ES53" s="39">
        <f>SUMIFS(Lançamentos!$G:$G,Lançamentos!$A:$A,ES$19,Lançamentos!$C:$C,"Pró-labore")</f>
        <v>0</v>
      </c>
      <c r="ET53" s="39">
        <f>SUMIFS(Lançamentos!$G:$G,Lançamentos!$A:$A,ET$19,Lançamentos!$C:$C,"Pró-labore")</f>
        <v>0</v>
      </c>
      <c r="EU53" s="39">
        <f>SUMIFS(Lançamentos!$G:$G,Lançamentos!$A:$A,EU$19,Lançamentos!$C:$C,"Pró-labore")</f>
        <v>0</v>
      </c>
      <c r="EV53" s="39">
        <f>SUMIFS(Lançamentos!$G:$G,Lançamentos!$A:$A,EV$19,Lançamentos!$C:$C,"Pró-labore")</f>
        <v>0</v>
      </c>
      <c r="EW53" s="39">
        <f>SUMIFS(Lançamentos!$G:$G,Lançamentos!$A:$A,EW$19,Lançamentos!$C:$C,"Pró-labore")</f>
        <v>0</v>
      </c>
      <c r="EX53" s="39">
        <f>SUMIFS(Lançamentos!$G:$G,Lançamentos!$A:$A,EX$19,Lançamentos!$C:$C,"Pró-labore")</f>
        <v>0</v>
      </c>
      <c r="EY53" s="39">
        <f>SUMIFS(Lançamentos!$G:$G,Lançamentos!$A:$A,EY$19,Lançamentos!$C:$C,"Pró-labore")</f>
        <v>0</v>
      </c>
      <c r="EZ53" s="39">
        <f>SUMIFS(Lançamentos!$G:$G,Lançamentos!$A:$A,EZ$19,Lançamentos!$C:$C,"Pró-labore")</f>
        <v>0</v>
      </c>
      <c r="FA53" s="39">
        <f>SUMIFS(Lançamentos!$G:$G,Lançamentos!$A:$A,FA$19,Lançamentos!$C:$C,"Pró-labore")</f>
        <v>0</v>
      </c>
      <c r="FB53" s="39">
        <f>SUMIFS(Lançamentos!$G:$G,Lançamentos!$A:$A,FB$19,Lançamentos!$C:$C,"Pró-labore")</f>
        <v>0</v>
      </c>
      <c r="FC53" s="39">
        <f>SUMIFS(Lançamentos!$G:$G,Lançamentos!$A:$A,FC$19,Lançamentos!$C:$C,"Pró-labore")</f>
        <v>0</v>
      </c>
      <c r="FD53" s="39">
        <f>SUMIFS(Lançamentos!$G:$G,Lançamentos!$A:$A,FD$19,Lançamentos!$C:$C,"Pró-labore")</f>
        <v>0</v>
      </c>
      <c r="FE53" s="39">
        <f>SUMIFS(Lançamentos!$G:$G,Lançamentos!$A:$A,FE$19,Lançamentos!$C:$C,"Pró-labore")</f>
        <v>0</v>
      </c>
      <c r="FF53" s="39">
        <f>SUMIFS(Lançamentos!$G:$G,Lançamentos!$A:$A,FF$19,Lançamentos!$C:$C,"Pró-labore")</f>
        <v>0</v>
      </c>
      <c r="FG53" s="39">
        <f>SUMIFS(Lançamentos!$G:$G,Lançamentos!$A:$A,FG$19,Lançamentos!$C:$C,"Pró-labore")</f>
        <v>0</v>
      </c>
      <c r="FH53" s="39">
        <f>SUMIFS(Lançamentos!$G:$G,Lançamentos!$A:$A,FH$19,Lançamentos!$C:$C,"Pró-labore")</f>
        <v>0</v>
      </c>
      <c r="FI53" s="39">
        <f>SUMIFS(Lançamentos!$G:$G,Lançamentos!$A:$A,FI$19,Lançamentos!$C:$C,"Pró-labore")</f>
        <v>0</v>
      </c>
      <c r="FJ53" s="39">
        <f>SUMIFS(Lançamentos!$G:$G,Lançamentos!$A:$A,FJ$19,Lançamentos!$C:$C,"Pró-labore")</f>
        <v>0</v>
      </c>
      <c r="FK53" s="39">
        <f>SUMIFS(Lançamentos!$G:$G,Lançamentos!$A:$A,FK$19,Lançamentos!$C:$C,"Pró-labore")</f>
        <v>0</v>
      </c>
      <c r="FL53" s="39">
        <f>SUMIFS(Lançamentos!$G:$G,Lançamentos!$A:$A,FL$19,Lançamentos!$C:$C,"Pró-labore")</f>
        <v>0</v>
      </c>
      <c r="FM53" s="39">
        <f>SUMIFS(Lançamentos!$G:$G,Lançamentos!$A:$A,FM$19,Lançamentos!$C:$C,"Pró-labore")</f>
        <v>0</v>
      </c>
      <c r="FN53" s="39">
        <f>SUMIFS(Lançamentos!$G:$G,Lançamentos!$A:$A,FN$19,Lançamentos!$C:$C,"Pró-labore")</f>
        <v>0</v>
      </c>
      <c r="FO53" s="39">
        <f>SUMIFS(Lançamentos!$G:$G,Lançamentos!$A:$A,FO$19,Lançamentos!$C:$C,"Pró-labore")</f>
        <v>0</v>
      </c>
      <c r="FP53" s="39">
        <f>SUMIFS(Lançamentos!$G:$G,Lançamentos!$A:$A,FP$19,Lançamentos!$C:$C,"Pró-labore")</f>
        <v>0</v>
      </c>
      <c r="FQ53" s="39">
        <f>SUMIFS(Lançamentos!$G:$G,Lançamentos!$A:$A,FQ$19,Lançamentos!$C:$C,"Pró-labore")</f>
        <v>0</v>
      </c>
      <c r="FR53" s="39">
        <f>SUMIFS(Lançamentos!$G:$G,Lançamentos!$A:$A,FR$19,Lançamentos!$C:$C,"Pró-labore")</f>
        <v>0</v>
      </c>
      <c r="FS53" s="39">
        <f>SUMIFS(Lançamentos!$G:$G,Lançamentos!$A:$A,FS$19,Lançamentos!$C:$C,"Pró-labore")</f>
        <v>0</v>
      </c>
      <c r="FT53" s="39">
        <f>SUMIFS(Lançamentos!$G:$G,Lançamentos!$A:$A,FT$19,Lançamentos!$C:$C,"Pró-labore")</f>
        <v>0</v>
      </c>
      <c r="FU53" s="39">
        <f>SUMIFS(Lançamentos!$G:$G,Lançamentos!$A:$A,FU$19,Lançamentos!$C:$C,"Pró-labore")</f>
        <v>0</v>
      </c>
      <c r="FV53" s="39">
        <f>SUMIFS(Lançamentos!$G:$G,Lançamentos!$A:$A,FV$19,Lançamentos!$C:$C,"Pró-labore")</f>
        <v>0</v>
      </c>
      <c r="FW53" s="39">
        <f>SUMIFS(Lançamentos!$G:$G,Lançamentos!$A:$A,FW$19,Lançamentos!$C:$C,"Pró-labore")</f>
        <v>0</v>
      </c>
      <c r="FX53" s="39">
        <f>SUMIFS(Lançamentos!$G:$G,Lançamentos!$A:$A,FX$19,Lançamentos!$C:$C,"Pró-labore")</f>
        <v>0</v>
      </c>
      <c r="FY53" s="39">
        <f>SUMIFS(Lançamentos!$G:$G,Lançamentos!$A:$A,FY$19,Lançamentos!$C:$C,"Pró-labore")</f>
        <v>0</v>
      </c>
      <c r="FZ53" s="39">
        <f>SUMIFS(Lançamentos!$G:$G,Lançamentos!$A:$A,FZ$19,Lançamentos!$C:$C,"Pró-labore")</f>
        <v>0</v>
      </c>
      <c r="GA53" s="39">
        <f>SUMIFS(Lançamentos!$G:$G,Lançamentos!$A:$A,GA$19,Lançamentos!$C:$C,"Pró-labore")</f>
        <v>0</v>
      </c>
      <c r="GB53" s="39">
        <f>SUMIFS(Lançamentos!$G:$G,Lançamentos!$A:$A,GB$19,Lançamentos!$C:$C,"Pró-labore")</f>
        <v>0</v>
      </c>
      <c r="GC53" s="39">
        <f>SUMIFS(Lançamentos!$G:$G,Lançamentos!$A:$A,GC$19,Lançamentos!$C:$C,"Pró-labore")</f>
        <v>0</v>
      </c>
      <c r="GD53" s="39">
        <f>SUMIFS(Lançamentos!$G:$G,Lançamentos!$A:$A,GD$19,Lançamentos!$C:$C,"Pró-labore")</f>
        <v>0</v>
      </c>
      <c r="GE53" s="39">
        <f>SUMIFS(Lançamentos!$G:$G,Lançamentos!$A:$A,GE$19,Lançamentos!$C:$C,"Pró-labore")</f>
        <v>0</v>
      </c>
      <c r="GF53" s="39">
        <f>SUMIFS(Lançamentos!$G:$G,Lançamentos!$A:$A,GF$19,Lançamentos!$C:$C,"Pró-labore")</f>
        <v>0</v>
      </c>
      <c r="GG53" s="39">
        <f>SUMIFS(Lançamentos!$G:$G,Lançamentos!$A:$A,GG$19,Lançamentos!$C:$C,"Pró-labore")</f>
        <v>0</v>
      </c>
      <c r="GH53" s="39">
        <f>SUMIFS(Lançamentos!$G:$G,Lançamentos!$A:$A,GH$19,Lançamentos!$C:$C,"Pró-labore")</f>
        <v>0</v>
      </c>
      <c r="GI53" s="39">
        <f>SUMIFS(Lançamentos!$G:$G,Lançamentos!$A:$A,GI$19,Lançamentos!$C:$C,"Pró-labore")</f>
        <v>0</v>
      </c>
      <c r="GJ53" s="39">
        <f>SUMIFS(Lançamentos!$G:$G,Lançamentos!$A:$A,GJ$19,Lançamentos!$C:$C,"Pró-labore")</f>
        <v>0</v>
      </c>
      <c r="GK53" s="39">
        <f>SUMIFS(Lançamentos!$G:$G,Lançamentos!$A:$A,GK$19,Lançamentos!$C:$C,"Pró-labore")</f>
        <v>0</v>
      </c>
      <c r="GL53" s="39">
        <f>SUMIFS(Lançamentos!$G:$G,Lançamentos!$A:$A,GL$19,Lançamentos!$C:$C,"Pró-labore")</f>
        <v>0</v>
      </c>
      <c r="GM53" s="39">
        <f>SUMIFS(Lançamentos!$G:$G,Lançamentos!$A:$A,GM$19,Lançamentos!$C:$C,"Pró-labore")</f>
        <v>0</v>
      </c>
      <c r="GN53" s="39">
        <f>SUMIFS(Lançamentos!$G:$G,Lançamentos!$A:$A,GN$19,Lançamentos!$C:$C,"Pró-labore")</f>
        <v>0</v>
      </c>
      <c r="GO53" s="39">
        <f>SUMIFS(Lançamentos!$G:$G,Lançamentos!$A:$A,GO$19,Lançamentos!$C:$C,"Pró-labore")</f>
        <v>0</v>
      </c>
      <c r="GP53" s="39">
        <f>SUMIFS(Lançamentos!$G:$G,Lançamentos!$A:$A,GP$19,Lançamentos!$C:$C,"Pró-labore")</f>
        <v>0</v>
      </c>
      <c r="GQ53" s="39">
        <f>SUMIFS(Lançamentos!$G:$G,Lançamentos!$A:$A,GQ$19,Lançamentos!$C:$C,"Pró-labore")</f>
        <v>0</v>
      </c>
      <c r="GR53" s="39">
        <f>SUMIFS(Lançamentos!$G:$G,Lançamentos!$A:$A,GR$19,Lançamentos!$C:$C,"Pró-labore")</f>
        <v>0</v>
      </c>
      <c r="GS53" s="39">
        <f>SUMIFS(Lançamentos!$G:$G,Lançamentos!$A:$A,GS$19,Lançamentos!$C:$C,"Pró-labore")</f>
        <v>0</v>
      </c>
      <c r="GT53" s="39">
        <f>SUMIFS(Lançamentos!$G:$G,Lançamentos!$A:$A,GT$19,Lançamentos!$C:$C,"Pró-labore")</f>
        <v>0</v>
      </c>
      <c r="GU53" s="39">
        <f>SUMIFS(Lançamentos!$G:$G,Lançamentos!$A:$A,GU$19,Lançamentos!$C:$C,"Pró-labore")</f>
        <v>0</v>
      </c>
      <c r="GV53" s="39">
        <f>SUMIFS(Lançamentos!$G:$G,Lançamentos!$A:$A,GV$19,Lançamentos!$C:$C,"Pró-labore")</f>
        <v>0</v>
      </c>
      <c r="GW53" s="39">
        <f>SUMIFS(Lançamentos!$G:$G,Lançamentos!$A:$A,GW$19,Lançamentos!$C:$C,"Pró-labore")</f>
        <v>0</v>
      </c>
      <c r="GX53" s="39">
        <f>SUMIFS(Lançamentos!$G:$G,Lançamentos!$A:$A,GX$19,Lançamentos!$C:$C,"Pró-labore")</f>
        <v>0</v>
      </c>
      <c r="GY53" s="39">
        <f>SUMIFS(Lançamentos!$G:$G,Lançamentos!$A:$A,GY$19,Lançamentos!$C:$C,"Pró-labore")</f>
        <v>0</v>
      </c>
      <c r="GZ53" s="39">
        <f>SUMIFS(Lançamentos!$G:$G,Lançamentos!$A:$A,GZ$19,Lançamentos!$C:$C,"Pró-labore")</f>
        <v>0</v>
      </c>
      <c r="HA53" s="39">
        <f>SUMIFS(Lançamentos!$G:$G,Lançamentos!$A:$A,HA$19,Lançamentos!$C:$C,"Pró-labore")</f>
        <v>0</v>
      </c>
      <c r="HB53" s="39">
        <f>SUMIFS(Lançamentos!$G:$G,Lançamentos!$A:$A,HB$19,Lançamentos!$C:$C,"Pró-labore")</f>
        <v>0</v>
      </c>
      <c r="HC53" s="39">
        <f>SUMIFS(Lançamentos!$G:$G,Lançamentos!$A:$A,HC$19,Lançamentos!$C:$C,"Pró-labore")</f>
        <v>0</v>
      </c>
      <c r="HD53" s="39">
        <f>SUMIFS(Lançamentos!$G:$G,Lançamentos!$A:$A,HD$19,Lançamentos!$C:$C,"Pró-labore")</f>
        <v>0</v>
      </c>
      <c r="HE53" s="39">
        <f>SUMIFS(Lançamentos!$G:$G,Lançamentos!$A:$A,HE$19,Lançamentos!$C:$C,"Pró-labore")</f>
        <v>0</v>
      </c>
      <c r="HF53" s="39">
        <f>SUMIFS(Lançamentos!$G:$G,Lançamentos!$A:$A,HF$19,Lançamentos!$C:$C,"Pró-labore")</f>
        <v>0</v>
      </c>
      <c r="HG53" s="39">
        <f>SUMIFS(Lançamentos!$G:$G,Lançamentos!$A:$A,HG$19,Lançamentos!$C:$C,"Pró-labore")</f>
        <v>0</v>
      </c>
      <c r="HH53" s="39">
        <f>SUMIFS(Lançamentos!$G:$G,Lançamentos!$A:$A,HH$19,Lançamentos!$C:$C,"Pró-labore")</f>
        <v>0</v>
      </c>
      <c r="HI53" s="39">
        <f>SUMIFS(Lançamentos!$G:$G,Lançamentos!$A:$A,HI$19,Lançamentos!$C:$C,"Pró-labore")</f>
        <v>0</v>
      </c>
      <c r="HJ53" s="39">
        <f>SUMIFS(Lançamentos!$G:$G,Lançamentos!$A:$A,HJ$19,Lançamentos!$C:$C,"Pró-labore")</f>
        <v>0</v>
      </c>
      <c r="HK53" s="39">
        <f>SUMIFS(Lançamentos!$G:$G,Lançamentos!$A:$A,HK$19,Lançamentos!$C:$C,"Pró-labore")</f>
        <v>0</v>
      </c>
      <c r="HL53" s="39">
        <f>SUMIFS(Lançamentos!$G:$G,Lançamentos!$A:$A,HL$19,Lançamentos!$C:$C,"Pró-labore")</f>
        <v>0</v>
      </c>
      <c r="HM53" s="39">
        <f>SUMIFS(Lançamentos!$G:$G,Lançamentos!$A:$A,HM$19,Lançamentos!$C:$C,"Pró-labore")</f>
        <v>0</v>
      </c>
      <c r="HN53" s="39">
        <f>SUMIFS(Lançamentos!$G:$G,Lançamentos!$A:$A,HN$19,Lançamentos!$C:$C,"Pró-labore")</f>
        <v>0</v>
      </c>
      <c r="HO53" s="39">
        <f>SUMIFS(Lançamentos!$G:$G,Lançamentos!$A:$A,HO$19,Lançamentos!$C:$C,"Pró-labore")</f>
        <v>0</v>
      </c>
      <c r="HP53" s="39">
        <f>SUMIFS(Lançamentos!$G:$G,Lançamentos!$A:$A,HP$19,Lançamentos!$C:$C,"Pró-labore")</f>
        <v>0</v>
      </c>
      <c r="HQ53" s="39">
        <f>SUMIFS(Lançamentos!$G:$G,Lançamentos!$A:$A,HQ$19,Lançamentos!$C:$C,"Pró-labore")</f>
        <v>0</v>
      </c>
      <c r="HR53" s="39">
        <f>SUMIFS(Lançamentos!$G:$G,Lançamentos!$A:$A,HR$19,Lançamentos!$C:$C,"Pró-labore")</f>
        <v>0</v>
      </c>
      <c r="HS53" s="39">
        <f>SUMIFS(Lançamentos!$G:$G,Lançamentos!$A:$A,HS$19,Lançamentos!$C:$C,"Pró-labore")</f>
        <v>0</v>
      </c>
      <c r="HT53" s="39">
        <f>SUMIFS(Lançamentos!$G:$G,Lançamentos!$A:$A,HT$19,Lançamentos!$C:$C,"Pró-labore")</f>
        <v>0</v>
      </c>
      <c r="HU53" s="39">
        <f>SUMIFS(Lançamentos!$G:$G,Lançamentos!$A:$A,HU$19,Lançamentos!$C:$C,"Pró-labore")</f>
        <v>0</v>
      </c>
      <c r="HV53" s="39">
        <f>SUMIFS(Lançamentos!$G:$G,Lançamentos!$A:$A,HV$19,Lançamentos!$C:$C,"Pró-labore")</f>
        <v>0</v>
      </c>
      <c r="HW53" s="39">
        <f>SUMIFS(Lançamentos!$G:$G,Lançamentos!$A:$A,HW$19,Lançamentos!$C:$C,"Pró-labore")</f>
        <v>0</v>
      </c>
      <c r="HX53" s="39">
        <f>SUMIFS(Lançamentos!$G:$G,Lançamentos!$A:$A,HX$19,Lançamentos!$C:$C,"Pró-labore")</f>
        <v>0</v>
      </c>
      <c r="HY53" s="39">
        <f>SUMIFS(Lançamentos!$G:$G,Lançamentos!$A:$A,HY$19,Lançamentos!$C:$C,"Pró-labore")</f>
        <v>0</v>
      </c>
      <c r="HZ53" s="39">
        <f>SUMIFS(Lançamentos!$G:$G,Lançamentos!$A:$A,HZ$19,Lançamentos!$C:$C,"Pró-labore")</f>
        <v>0</v>
      </c>
      <c r="IA53" s="39">
        <f>SUMIFS(Lançamentos!$G:$G,Lançamentos!$A:$A,IA$19,Lançamentos!$C:$C,"Pró-labore")</f>
        <v>0</v>
      </c>
      <c r="IB53" s="39">
        <f>SUMIFS(Lançamentos!$G:$G,Lançamentos!$A:$A,IB$19,Lançamentos!$C:$C,"Pró-labore")</f>
        <v>0</v>
      </c>
      <c r="IC53" s="39">
        <f>SUMIFS(Lançamentos!$G:$G,Lançamentos!$A:$A,IC$19,Lançamentos!$C:$C,"Pró-labore")</f>
        <v>0</v>
      </c>
      <c r="ID53" s="39">
        <f>SUMIFS(Lançamentos!$G:$G,Lançamentos!$A:$A,ID$19,Lançamentos!$C:$C,"Pró-labore")</f>
        <v>0</v>
      </c>
      <c r="IE53" s="39">
        <f>SUMIFS(Lançamentos!$G:$G,Lançamentos!$A:$A,IE$19,Lançamentos!$C:$C,"Pró-labore")</f>
        <v>0</v>
      </c>
      <c r="IF53" s="39">
        <f>SUMIFS(Lançamentos!$G:$G,Lançamentos!$A:$A,IF$19,Lançamentos!$C:$C,"Pró-labore")</f>
        <v>0</v>
      </c>
      <c r="IG53" s="39">
        <f>SUMIFS(Lançamentos!$G:$G,Lançamentos!$A:$A,IG$19,Lançamentos!$C:$C,"Pró-labore")</f>
        <v>0</v>
      </c>
      <c r="IH53" s="39">
        <f>SUMIFS(Lançamentos!$G:$G,Lançamentos!$A:$A,IH$19,Lançamentos!$C:$C,"Pró-labore")</f>
        <v>0</v>
      </c>
      <c r="II53" s="39">
        <f>SUMIFS(Lançamentos!$G:$G,Lançamentos!$A:$A,II$19,Lançamentos!$C:$C,"Pró-labore")</f>
        <v>0</v>
      </c>
      <c r="IJ53" s="39">
        <f>SUMIFS(Lançamentos!$G:$G,Lançamentos!$A:$A,IJ$19,Lançamentos!$C:$C,"Pró-labore")</f>
        <v>0</v>
      </c>
      <c r="IK53" s="39">
        <f>SUMIFS(Lançamentos!$G:$G,Lançamentos!$A:$A,IK$19,Lançamentos!$C:$C,"Pró-labore")</f>
        <v>0</v>
      </c>
      <c r="IL53" s="39">
        <f>SUMIFS(Lançamentos!$G:$G,Lançamentos!$A:$A,IL$19,Lançamentos!$C:$C,"Pró-labore")</f>
        <v>0</v>
      </c>
    </row>
    <row r="54" spans="1:246" x14ac:dyDescent="0.3">
      <c r="A54" t="s">
        <v>99</v>
      </c>
      <c r="B54" s="39">
        <f>SUMIFS(Lançamentos!$G:$G,Lançamentos!$A:$A,B$19,Lançamentos!$C:$C,"Benefícios (VR/VT/Plano)")</f>
        <v>0</v>
      </c>
      <c r="C54" s="39">
        <f>SUMIFS(Lançamentos!$G:$G,Lançamentos!$A:$A,C$19,Lançamentos!$C:$C,"Benefícios (VR/VT/Plano)")</f>
        <v>0</v>
      </c>
      <c r="D54" s="39">
        <f>SUMIFS(Lançamentos!$G:$G,Lançamentos!$A:$A,D$19,Lançamentos!$C:$C,"Benefícios (VR/VT/Plano)")</f>
        <v>0</v>
      </c>
      <c r="E54" s="39">
        <f>SUMIFS(Lançamentos!$G:$G,Lançamentos!$A:$A,E$19,Lançamentos!$C:$C,"Benefícios (VR/VT/Plano)")</f>
        <v>0</v>
      </c>
      <c r="F54" s="39">
        <f>SUMIFS(Lançamentos!$G:$G,Lançamentos!$A:$A,F$19,Lançamentos!$C:$C,"Benefícios (VR/VT/Plano)")</f>
        <v>0</v>
      </c>
      <c r="G54" s="39">
        <f>SUMIFS(Lançamentos!$G:$G,Lançamentos!$A:$A,G$19,Lançamentos!$C:$C,"Benefícios (VR/VT/Plano)")</f>
        <v>0</v>
      </c>
      <c r="H54" s="39">
        <f>SUMIFS(Lançamentos!$G:$G,Lançamentos!$A:$A,H$19,Lançamentos!$C:$C,"Benefícios (VR/VT/Plano)")</f>
        <v>0</v>
      </c>
      <c r="I54" s="39">
        <f>SUMIFS(Lançamentos!$G:$G,Lançamentos!$A:$A,I$19,Lançamentos!$C:$C,"Benefícios (VR/VT/Plano)")</f>
        <v>0</v>
      </c>
      <c r="J54" s="39">
        <f>SUMIFS(Lançamentos!$G:$G,Lançamentos!$A:$A,J$19,Lançamentos!$C:$C,"Benefícios (VR/VT/Plano)")</f>
        <v>0</v>
      </c>
      <c r="K54" s="39">
        <f>SUMIFS(Lançamentos!$G:$G,Lançamentos!$A:$A,K$19,Lançamentos!$C:$C,"Benefícios (VR/VT/Plano)")</f>
        <v>0</v>
      </c>
      <c r="L54" s="39">
        <f>SUMIFS(Lançamentos!$G:$G,Lançamentos!$A:$A,L$19,Lançamentos!$C:$C,"Benefícios (VR/VT/Plano)")</f>
        <v>0</v>
      </c>
      <c r="M54" s="39">
        <f>SUMIFS(Lançamentos!$G:$G,Lançamentos!$A:$A,M$19,Lançamentos!$C:$C,"Benefícios (VR/VT/Plano)")</f>
        <v>0</v>
      </c>
      <c r="N54" s="39">
        <f>SUMIFS(Lançamentos!$G:$G,Lançamentos!$A:$A,N$19,Lançamentos!$C:$C,"Benefícios (VR/VT/Plano)")</f>
        <v>0</v>
      </c>
      <c r="O54" s="39">
        <f>SUMIFS(Lançamentos!$G:$G,Lançamentos!$A:$A,O$19,Lançamentos!$C:$C,"Benefícios (VR/VT/Plano)")</f>
        <v>0</v>
      </c>
      <c r="P54" s="39">
        <f>SUMIFS(Lançamentos!$G:$G,Lançamentos!$A:$A,P$19,Lançamentos!$C:$C,"Benefícios (VR/VT/Plano)")</f>
        <v>0</v>
      </c>
      <c r="Q54" s="39">
        <f>SUMIFS(Lançamentos!$G:$G,Lançamentos!$A:$A,Q$19,Lançamentos!$C:$C,"Benefícios (VR/VT/Plano)")</f>
        <v>0</v>
      </c>
      <c r="R54" s="39">
        <f>SUMIFS(Lançamentos!$G:$G,Lançamentos!$A:$A,R$19,Lançamentos!$C:$C,"Benefícios (VR/VT/Plano)")</f>
        <v>0</v>
      </c>
      <c r="S54" s="39">
        <f>SUMIFS(Lançamentos!$G:$G,Lançamentos!$A:$A,S$19,Lançamentos!$C:$C,"Benefícios (VR/VT/Plano)")</f>
        <v>0</v>
      </c>
      <c r="T54" s="39">
        <f>SUMIFS(Lançamentos!$G:$G,Lançamentos!$A:$A,T$19,Lançamentos!$C:$C,"Benefícios (VR/VT/Plano)")</f>
        <v>0</v>
      </c>
      <c r="U54" s="39">
        <f>SUMIFS(Lançamentos!$G:$G,Lançamentos!$A:$A,U$19,Lançamentos!$C:$C,"Benefícios (VR/VT/Plano)")</f>
        <v>0</v>
      </c>
      <c r="V54" s="39">
        <f>SUMIFS(Lançamentos!$G:$G,Lançamentos!$A:$A,V$19,Lançamentos!$C:$C,"Benefícios (VR/VT/Plano)")</f>
        <v>0</v>
      </c>
      <c r="W54" s="39">
        <f>SUMIFS(Lançamentos!$G:$G,Lançamentos!$A:$A,W$19,Lançamentos!$C:$C,"Benefícios (VR/VT/Plano)")</f>
        <v>0</v>
      </c>
      <c r="X54" s="39">
        <f>SUMIFS(Lançamentos!$G:$G,Lançamentos!$A:$A,X$19,Lançamentos!$C:$C,"Benefícios (VR/VT/Plano)")</f>
        <v>0</v>
      </c>
      <c r="Y54" s="39">
        <f>SUMIFS(Lançamentos!$G:$G,Lançamentos!$A:$A,Y$19,Lançamentos!$C:$C,"Benefícios (VR/VT/Plano)")</f>
        <v>0</v>
      </c>
      <c r="Z54" s="39">
        <f>SUMIFS(Lançamentos!$G:$G,Lançamentos!$A:$A,Z$19,Lançamentos!$C:$C,"Benefícios (VR/VT/Plano)")</f>
        <v>0</v>
      </c>
      <c r="AA54" s="39">
        <f>SUMIFS(Lançamentos!$G:$G,Lançamentos!$A:$A,AA$19,Lançamentos!$C:$C,"Benefícios (VR/VT/Plano)")</f>
        <v>0</v>
      </c>
      <c r="AB54" s="39">
        <f>SUMIFS(Lançamentos!$G:$G,Lançamentos!$A:$A,AB$19,Lançamentos!$C:$C,"Benefícios (VR/VT/Plano)")</f>
        <v>0</v>
      </c>
      <c r="AC54" s="39">
        <f>SUMIFS(Lançamentos!$G:$G,Lançamentos!$A:$A,AC$19,Lançamentos!$C:$C,"Benefícios (VR/VT/Plano)")</f>
        <v>0</v>
      </c>
      <c r="AD54" s="39">
        <f>SUMIFS(Lançamentos!$G:$G,Lançamentos!$A:$A,AD$19,Lançamentos!$C:$C,"Benefícios (VR/VT/Plano)")</f>
        <v>0</v>
      </c>
      <c r="AE54" s="39">
        <f>SUMIFS(Lançamentos!$G:$G,Lançamentos!$A:$A,AE$19,Lançamentos!$C:$C,"Benefícios (VR/VT/Plano)")</f>
        <v>0</v>
      </c>
      <c r="AF54" s="39">
        <f>SUMIFS(Lançamentos!$G:$G,Lançamentos!$A:$A,AF$19,Lançamentos!$C:$C,"Benefícios (VR/VT/Plano)")</f>
        <v>0</v>
      </c>
      <c r="AG54" s="39">
        <f>SUMIFS(Lançamentos!$G:$G,Lançamentos!$A:$A,AG$19,Lançamentos!$C:$C,"Benefícios (VR/VT/Plano)")</f>
        <v>0</v>
      </c>
      <c r="AH54" s="39">
        <f>SUMIFS(Lançamentos!$G:$G,Lançamentos!$A:$A,AH$19,Lançamentos!$C:$C,"Benefícios (VR/VT/Plano)")</f>
        <v>0</v>
      </c>
      <c r="AI54" s="39">
        <f>SUMIFS(Lançamentos!$G:$G,Lançamentos!$A:$A,AI$19,Lançamentos!$C:$C,"Benefícios (VR/VT/Plano)")</f>
        <v>0</v>
      </c>
      <c r="AJ54" s="39">
        <f>SUMIFS(Lançamentos!$G:$G,Lançamentos!$A:$A,AJ$19,Lançamentos!$C:$C,"Benefícios (VR/VT/Plano)")</f>
        <v>0</v>
      </c>
      <c r="AK54" s="39">
        <f>SUMIFS(Lançamentos!$G:$G,Lançamentos!$A:$A,AK$19,Lançamentos!$C:$C,"Benefícios (VR/VT/Plano)")</f>
        <v>0</v>
      </c>
      <c r="AL54" s="39">
        <f>SUMIFS(Lançamentos!$G:$G,Lançamentos!$A:$A,AL$19,Lançamentos!$C:$C,"Benefícios (VR/VT/Plano)")</f>
        <v>0</v>
      </c>
      <c r="AM54" s="39">
        <f>SUMIFS(Lançamentos!$G:$G,Lançamentos!$A:$A,AM$19,Lançamentos!$C:$C,"Benefícios (VR/VT/Plano)")</f>
        <v>0</v>
      </c>
      <c r="AN54" s="39">
        <f>SUMIFS(Lançamentos!$G:$G,Lançamentos!$A:$A,AN$19,Lançamentos!$C:$C,"Benefícios (VR/VT/Plano)")</f>
        <v>0</v>
      </c>
      <c r="AO54" s="39">
        <f>SUMIFS(Lançamentos!$G:$G,Lançamentos!$A:$A,AO$19,Lançamentos!$C:$C,"Benefícios (VR/VT/Plano)")</f>
        <v>0</v>
      </c>
      <c r="AP54" s="39">
        <f>SUMIFS(Lançamentos!$G:$G,Lançamentos!$A:$A,AP$19,Lançamentos!$C:$C,"Benefícios (VR/VT/Plano)")</f>
        <v>0</v>
      </c>
      <c r="AQ54" s="39">
        <f>SUMIFS(Lançamentos!$G:$G,Lançamentos!$A:$A,AQ$19,Lançamentos!$C:$C,"Benefícios (VR/VT/Plano)")</f>
        <v>0</v>
      </c>
      <c r="AR54" s="39">
        <f>SUMIFS(Lançamentos!$G:$G,Lançamentos!$A:$A,AR$19,Lançamentos!$C:$C,"Benefícios (VR/VT/Plano)")</f>
        <v>0</v>
      </c>
      <c r="AS54" s="39">
        <f>SUMIFS(Lançamentos!$G:$G,Lançamentos!$A:$A,AS$19,Lançamentos!$C:$C,"Benefícios (VR/VT/Plano)")</f>
        <v>0</v>
      </c>
      <c r="AT54" s="39">
        <f>SUMIFS(Lançamentos!$G:$G,Lançamentos!$A:$A,AT$19,Lançamentos!$C:$C,"Benefícios (VR/VT/Plano)")</f>
        <v>0</v>
      </c>
      <c r="AU54" s="39">
        <f>SUMIFS(Lançamentos!$G:$G,Lançamentos!$A:$A,AU$19,Lançamentos!$C:$C,"Benefícios (VR/VT/Plano)")</f>
        <v>0</v>
      </c>
      <c r="AV54" s="39">
        <f>SUMIFS(Lançamentos!$G:$G,Lançamentos!$A:$A,AV$19,Lançamentos!$C:$C,"Benefícios (VR/VT/Plano)")</f>
        <v>0</v>
      </c>
      <c r="AW54" s="39">
        <f>SUMIFS(Lançamentos!$G:$G,Lançamentos!$A:$A,AW$19,Lançamentos!$C:$C,"Benefícios (VR/VT/Plano)")</f>
        <v>0</v>
      </c>
      <c r="AX54" s="39">
        <f>SUMIFS(Lançamentos!$G:$G,Lançamentos!$A:$A,AX$19,Lançamentos!$C:$C,"Benefícios (VR/VT/Plano)")</f>
        <v>0</v>
      </c>
      <c r="AY54" s="39">
        <f>SUMIFS(Lançamentos!$G:$G,Lançamentos!$A:$A,AY$19,Lançamentos!$C:$C,"Benefícios (VR/VT/Plano)")</f>
        <v>0</v>
      </c>
      <c r="AZ54" s="39">
        <f>SUMIFS(Lançamentos!$G:$G,Lançamentos!$A:$A,AZ$19,Lançamentos!$C:$C,"Benefícios (VR/VT/Plano)")</f>
        <v>0</v>
      </c>
      <c r="BA54" s="39">
        <f>SUMIFS(Lançamentos!$G:$G,Lançamentos!$A:$A,BA$19,Lançamentos!$C:$C,"Benefícios (VR/VT/Plano)")</f>
        <v>0</v>
      </c>
      <c r="BB54" s="39">
        <f>SUMIFS(Lançamentos!$G:$G,Lançamentos!$A:$A,BB$19,Lançamentos!$C:$C,"Benefícios (VR/VT/Plano)")</f>
        <v>0</v>
      </c>
      <c r="BC54" s="39">
        <f>SUMIFS(Lançamentos!$G:$G,Lançamentos!$A:$A,BC$19,Lançamentos!$C:$C,"Benefícios (VR/VT/Plano)")</f>
        <v>0</v>
      </c>
      <c r="BD54" s="39">
        <f>SUMIFS(Lançamentos!$G:$G,Lançamentos!$A:$A,BD$19,Lançamentos!$C:$C,"Benefícios (VR/VT/Plano)")</f>
        <v>0</v>
      </c>
      <c r="BE54" s="39">
        <f>SUMIFS(Lançamentos!$G:$G,Lançamentos!$A:$A,BE$19,Lançamentos!$C:$C,"Benefícios (VR/VT/Plano)")</f>
        <v>0</v>
      </c>
      <c r="BF54" s="39">
        <f>SUMIFS(Lançamentos!$G:$G,Lançamentos!$A:$A,BF$19,Lançamentos!$C:$C,"Benefícios (VR/VT/Plano)")</f>
        <v>0</v>
      </c>
      <c r="BG54" s="39">
        <f>SUMIFS(Lançamentos!$G:$G,Lançamentos!$A:$A,BG$19,Lançamentos!$C:$C,"Benefícios (VR/VT/Plano)")</f>
        <v>0</v>
      </c>
      <c r="BH54" s="39">
        <f>SUMIFS(Lançamentos!$G:$G,Lançamentos!$A:$A,BH$19,Lançamentos!$C:$C,"Benefícios (VR/VT/Plano)")</f>
        <v>0</v>
      </c>
      <c r="BI54" s="39">
        <f>SUMIFS(Lançamentos!$G:$G,Lançamentos!$A:$A,BI$19,Lançamentos!$C:$C,"Benefícios (VR/VT/Plano)")</f>
        <v>0</v>
      </c>
      <c r="BJ54" s="39">
        <f>SUMIFS(Lançamentos!$G:$G,Lançamentos!$A:$A,BJ$19,Lançamentos!$C:$C,"Benefícios (VR/VT/Plano)")</f>
        <v>0</v>
      </c>
      <c r="BK54" s="39">
        <f>SUMIFS(Lançamentos!$G:$G,Lançamentos!$A:$A,BK$19,Lançamentos!$C:$C,"Benefícios (VR/VT/Plano)")</f>
        <v>0</v>
      </c>
      <c r="BL54" s="39">
        <f>SUMIFS(Lançamentos!$G:$G,Lançamentos!$A:$A,BL$19,Lançamentos!$C:$C,"Benefícios (VR/VT/Plano)")</f>
        <v>0</v>
      </c>
      <c r="BM54" s="39">
        <f>SUMIFS(Lançamentos!$G:$G,Lançamentos!$A:$A,BM$19,Lançamentos!$C:$C,"Benefícios (VR/VT/Plano)")</f>
        <v>0</v>
      </c>
      <c r="BN54" s="39">
        <f>SUMIFS(Lançamentos!$G:$G,Lançamentos!$A:$A,BN$19,Lançamentos!$C:$C,"Benefícios (VR/VT/Plano)")</f>
        <v>0</v>
      </c>
      <c r="BO54" s="39">
        <f>SUMIFS(Lançamentos!$G:$G,Lançamentos!$A:$A,BO$19,Lançamentos!$C:$C,"Benefícios (VR/VT/Plano)")</f>
        <v>0</v>
      </c>
      <c r="BP54" s="39">
        <f>SUMIFS(Lançamentos!$G:$G,Lançamentos!$A:$A,BP$19,Lançamentos!$C:$C,"Benefícios (VR/VT/Plano)")</f>
        <v>0</v>
      </c>
      <c r="BQ54" s="39">
        <f>SUMIFS(Lançamentos!$G:$G,Lançamentos!$A:$A,BQ$19,Lançamentos!$C:$C,"Benefícios (VR/VT/Plano)")</f>
        <v>0</v>
      </c>
      <c r="BR54" s="39">
        <f>SUMIFS(Lançamentos!$G:$G,Lançamentos!$A:$A,BR$19,Lançamentos!$C:$C,"Benefícios (VR/VT/Plano)")</f>
        <v>0</v>
      </c>
      <c r="BS54" s="39">
        <f>SUMIFS(Lançamentos!$G:$G,Lançamentos!$A:$A,BS$19,Lançamentos!$C:$C,"Benefícios (VR/VT/Plano)")</f>
        <v>0</v>
      </c>
      <c r="BT54" s="39">
        <f>SUMIFS(Lançamentos!$G:$G,Lançamentos!$A:$A,BT$19,Lançamentos!$C:$C,"Benefícios (VR/VT/Plano)")</f>
        <v>0</v>
      </c>
      <c r="BU54" s="39">
        <f>SUMIFS(Lançamentos!$G:$G,Lançamentos!$A:$A,BU$19,Lançamentos!$C:$C,"Benefícios (VR/VT/Plano)")</f>
        <v>0</v>
      </c>
      <c r="BV54" s="39">
        <f>SUMIFS(Lançamentos!$G:$G,Lançamentos!$A:$A,BV$19,Lançamentos!$C:$C,"Benefícios (VR/VT/Plano)")</f>
        <v>0</v>
      </c>
      <c r="BW54" s="39">
        <f>SUMIFS(Lançamentos!$G:$G,Lançamentos!$A:$A,BW$19,Lançamentos!$C:$C,"Benefícios (VR/VT/Plano)")</f>
        <v>0</v>
      </c>
      <c r="BX54" s="39">
        <f>SUMIFS(Lançamentos!$G:$G,Lançamentos!$A:$A,BX$19,Lançamentos!$C:$C,"Benefícios (VR/VT/Plano)")</f>
        <v>0</v>
      </c>
      <c r="BY54" s="39">
        <f>SUMIFS(Lançamentos!$G:$G,Lançamentos!$A:$A,BY$19,Lançamentos!$C:$C,"Benefícios (VR/VT/Plano)")</f>
        <v>0</v>
      </c>
      <c r="BZ54" s="39">
        <f>SUMIFS(Lançamentos!$G:$G,Lançamentos!$A:$A,BZ$19,Lançamentos!$C:$C,"Benefícios (VR/VT/Plano)")</f>
        <v>0</v>
      </c>
      <c r="CA54" s="39">
        <f>SUMIFS(Lançamentos!$G:$G,Lançamentos!$A:$A,CA$19,Lançamentos!$C:$C,"Benefícios (VR/VT/Plano)")</f>
        <v>0</v>
      </c>
      <c r="CB54" s="39">
        <f>SUMIFS(Lançamentos!$G:$G,Lançamentos!$A:$A,CB$19,Lançamentos!$C:$C,"Benefícios (VR/VT/Plano)")</f>
        <v>0</v>
      </c>
      <c r="CC54" s="39">
        <f>SUMIFS(Lançamentos!$G:$G,Lançamentos!$A:$A,CC$19,Lançamentos!$C:$C,"Benefícios (VR/VT/Plano)")</f>
        <v>0</v>
      </c>
      <c r="CD54" s="39">
        <f>SUMIFS(Lançamentos!$G:$G,Lançamentos!$A:$A,CD$19,Lançamentos!$C:$C,"Benefícios (VR/VT/Plano)")</f>
        <v>0</v>
      </c>
      <c r="CE54" s="39">
        <f>SUMIFS(Lançamentos!$G:$G,Lançamentos!$A:$A,CE$19,Lançamentos!$C:$C,"Benefícios (VR/VT/Plano)")</f>
        <v>0</v>
      </c>
      <c r="CF54" s="39">
        <f>SUMIFS(Lançamentos!$G:$G,Lançamentos!$A:$A,CF$19,Lançamentos!$C:$C,"Benefícios (VR/VT/Plano)")</f>
        <v>0</v>
      </c>
      <c r="CG54" s="39">
        <f>SUMIFS(Lançamentos!$G:$G,Lançamentos!$A:$A,CG$19,Lançamentos!$C:$C,"Benefícios (VR/VT/Plano)")</f>
        <v>0</v>
      </c>
      <c r="CH54" s="39">
        <f>SUMIFS(Lançamentos!$G:$G,Lançamentos!$A:$A,CH$19,Lançamentos!$C:$C,"Benefícios (VR/VT/Plano)")</f>
        <v>0</v>
      </c>
      <c r="CI54" s="39">
        <f>SUMIFS(Lançamentos!$G:$G,Lançamentos!$A:$A,CI$19,Lançamentos!$C:$C,"Benefícios (VR/VT/Plano)")</f>
        <v>0</v>
      </c>
      <c r="CJ54" s="39">
        <f>SUMIFS(Lançamentos!$G:$G,Lançamentos!$A:$A,CJ$19,Lançamentos!$C:$C,"Benefícios (VR/VT/Plano)")</f>
        <v>0</v>
      </c>
      <c r="CK54" s="39">
        <f>SUMIFS(Lançamentos!$G:$G,Lançamentos!$A:$A,CK$19,Lançamentos!$C:$C,"Benefícios (VR/VT/Plano)")</f>
        <v>0</v>
      </c>
      <c r="CL54" s="39">
        <f>SUMIFS(Lançamentos!$G:$G,Lançamentos!$A:$A,CL$19,Lançamentos!$C:$C,"Benefícios (VR/VT/Plano)")</f>
        <v>0</v>
      </c>
      <c r="CM54" s="39">
        <f>SUMIFS(Lançamentos!$G:$G,Lançamentos!$A:$A,CM$19,Lançamentos!$C:$C,"Benefícios (VR/VT/Plano)")</f>
        <v>0</v>
      </c>
      <c r="CN54" s="39">
        <f>SUMIFS(Lançamentos!$G:$G,Lançamentos!$A:$A,CN$19,Lançamentos!$C:$C,"Benefícios (VR/VT/Plano)")</f>
        <v>0</v>
      </c>
      <c r="CO54" s="39">
        <f>SUMIFS(Lançamentos!$G:$G,Lançamentos!$A:$A,CO$19,Lançamentos!$C:$C,"Benefícios (VR/VT/Plano)")</f>
        <v>0</v>
      </c>
      <c r="CP54" s="39">
        <f>SUMIFS(Lançamentos!$G:$G,Lançamentos!$A:$A,CP$19,Lançamentos!$C:$C,"Benefícios (VR/VT/Plano)")</f>
        <v>0</v>
      </c>
      <c r="CQ54" s="39">
        <f>SUMIFS(Lançamentos!$G:$G,Lançamentos!$A:$A,CQ$19,Lançamentos!$C:$C,"Benefícios (VR/VT/Plano)")</f>
        <v>0</v>
      </c>
      <c r="CR54" s="39">
        <f>SUMIFS(Lançamentos!$G:$G,Lançamentos!$A:$A,CR$19,Lançamentos!$C:$C,"Benefícios (VR/VT/Plano)")</f>
        <v>0</v>
      </c>
      <c r="CS54" s="39">
        <f>SUMIFS(Lançamentos!$G:$G,Lançamentos!$A:$A,CS$19,Lançamentos!$C:$C,"Benefícios (VR/VT/Plano)")</f>
        <v>0</v>
      </c>
      <c r="CT54" s="39">
        <f>SUMIFS(Lançamentos!$G:$G,Lançamentos!$A:$A,CT$19,Lançamentos!$C:$C,"Benefícios (VR/VT/Plano)")</f>
        <v>0</v>
      </c>
      <c r="CU54" s="39">
        <f>SUMIFS(Lançamentos!$G:$G,Lançamentos!$A:$A,CU$19,Lançamentos!$C:$C,"Benefícios (VR/VT/Plano)")</f>
        <v>0</v>
      </c>
      <c r="CV54" s="39">
        <f>SUMIFS(Lançamentos!$G:$G,Lançamentos!$A:$A,CV$19,Lançamentos!$C:$C,"Benefícios (VR/VT/Plano)")</f>
        <v>0</v>
      </c>
      <c r="CW54" s="39">
        <f>SUMIFS(Lançamentos!$G:$G,Lançamentos!$A:$A,CW$19,Lançamentos!$C:$C,"Benefícios (VR/VT/Plano)")</f>
        <v>0</v>
      </c>
      <c r="CX54" s="39">
        <f>SUMIFS(Lançamentos!$G:$G,Lançamentos!$A:$A,CX$19,Lançamentos!$C:$C,"Benefícios (VR/VT/Plano)")</f>
        <v>0</v>
      </c>
      <c r="CY54" s="39">
        <f>SUMIFS(Lançamentos!$G:$G,Lançamentos!$A:$A,CY$19,Lançamentos!$C:$C,"Benefícios (VR/VT/Plano)")</f>
        <v>0</v>
      </c>
      <c r="CZ54" s="39">
        <f>SUMIFS(Lançamentos!$G:$G,Lançamentos!$A:$A,CZ$19,Lançamentos!$C:$C,"Benefícios (VR/VT/Plano)")</f>
        <v>0</v>
      </c>
      <c r="DA54" s="39">
        <f>SUMIFS(Lançamentos!$G:$G,Lançamentos!$A:$A,DA$19,Lançamentos!$C:$C,"Benefícios (VR/VT/Plano)")</f>
        <v>0</v>
      </c>
      <c r="DB54" s="39">
        <f>SUMIFS(Lançamentos!$G:$G,Lançamentos!$A:$A,DB$19,Lançamentos!$C:$C,"Benefícios (VR/VT/Plano)")</f>
        <v>0</v>
      </c>
      <c r="DC54" s="39">
        <f>SUMIFS(Lançamentos!$G:$G,Lançamentos!$A:$A,DC$19,Lançamentos!$C:$C,"Benefícios (VR/VT/Plano)")</f>
        <v>0</v>
      </c>
      <c r="DD54" s="39">
        <f>SUMIFS(Lançamentos!$G:$G,Lançamentos!$A:$A,DD$19,Lançamentos!$C:$C,"Benefícios (VR/VT/Plano)")</f>
        <v>0</v>
      </c>
      <c r="DE54" s="39">
        <f>SUMIFS(Lançamentos!$G:$G,Lançamentos!$A:$A,DE$19,Lançamentos!$C:$C,"Benefícios (VR/VT/Plano)")</f>
        <v>0</v>
      </c>
      <c r="DF54" s="39">
        <f>SUMIFS(Lançamentos!$G:$G,Lançamentos!$A:$A,DF$19,Lançamentos!$C:$C,"Benefícios (VR/VT/Plano)")</f>
        <v>0</v>
      </c>
      <c r="DG54" s="39">
        <f>SUMIFS(Lançamentos!$G:$G,Lançamentos!$A:$A,DG$19,Lançamentos!$C:$C,"Benefícios (VR/VT/Plano)")</f>
        <v>0</v>
      </c>
      <c r="DH54" s="39">
        <f>SUMIFS(Lançamentos!$G:$G,Lançamentos!$A:$A,DH$19,Lançamentos!$C:$C,"Benefícios (VR/VT/Plano)")</f>
        <v>0</v>
      </c>
      <c r="DI54" s="39">
        <f>SUMIFS(Lançamentos!$G:$G,Lançamentos!$A:$A,DI$19,Lançamentos!$C:$C,"Benefícios (VR/VT/Plano)")</f>
        <v>0</v>
      </c>
      <c r="DJ54" s="39">
        <f>SUMIFS(Lançamentos!$G:$G,Lançamentos!$A:$A,DJ$19,Lançamentos!$C:$C,"Benefícios (VR/VT/Plano)")</f>
        <v>0</v>
      </c>
      <c r="DK54" s="39">
        <f>SUMIFS(Lançamentos!$G:$G,Lançamentos!$A:$A,DK$19,Lançamentos!$C:$C,"Benefícios (VR/VT/Plano)")</f>
        <v>0</v>
      </c>
      <c r="DL54" s="39">
        <f>SUMIFS(Lançamentos!$G:$G,Lançamentos!$A:$A,DL$19,Lançamentos!$C:$C,"Benefícios (VR/VT/Plano)")</f>
        <v>0</v>
      </c>
      <c r="DM54" s="39">
        <f>SUMIFS(Lançamentos!$G:$G,Lançamentos!$A:$A,DM$19,Lançamentos!$C:$C,"Benefícios (VR/VT/Plano)")</f>
        <v>0</v>
      </c>
      <c r="DN54" s="39">
        <f>SUMIFS(Lançamentos!$G:$G,Lançamentos!$A:$A,DN$19,Lançamentos!$C:$C,"Benefícios (VR/VT/Plano)")</f>
        <v>0</v>
      </c>
      <c r="DO54" s="39">
        <f>SUMIFS(Lançamentos!$G:$G,Lançamentos!$A:$A,DO$19,Lançamentos!$C:$C,"Benefícios (VR/VT/Plano)")</f>
        <v>0</v>
      </c>
      <c r="DP54" s="39">
        <f>SUMIFS(Lançamentos!$G:$G,Lançamentos!$A:$A,DP$19,Lançamentos!$C:$C,"Benefícios (VR/VT/Plano)")</f>
        <v>0</v>
      </c>
      <c r="DQ54" s="39">
        <f>SUMIFS(Lançamentos!$G:$G,Lançamentos!$A:$A,DQ$19,Lançamentos!$C:$C,"Benefícios (VR/VT/Plano)")</f>
        <v>0</v>
      </c>
      <c r="DR54" s="39">
        <f>SUMIFS(Lançamentos!$G:$G,Lançamentos!$A:$A,DR$19,Lançamentos!$C:$C,"Benefícios (VR/VT/Plano)")</f>
        <v>0</v>
      </c>
      <c r="DS54" s="39">
        <f>SUMIFS(Lançamentos!$G:$G,Lançamentos!$A:$A,DS$19,Lançamentos!$C:$C,"Benefícios (VR/VT/Plano)")</f>
        <v>0</v>
      </c>
      <c r="DT54" s="39">
        <f>SUMIFS(Lançamentos!$G:$G,Lançamentos!$A:$A,DT$19,Lançamentos!$C:$C,"Benefícios (VR/VT/Plano)")</f>
        <v>0</v>
      </c>
      <c r="DU54" s="39">
        <f>SUMIFS(Lançamentos!$G:$G,Lançamentos!$A:$A,DU$19,Lançamentos!$C:$C,"Benefícios (VR/VT/Plano)")</f>
        <v>0</v>
      </c>
      <c r="DV54" s="39">
        <f>SUMIFS(Lançamentos!$G:$G,Lançamentos!$A:$A,DV$19,Lançamentos!$C:$C,"Benefícios (VR/VT/Plano)")</f>
        <v>0</v>
      </c>
      <c r="DW54" s="39">
        <f>SUMIFS(Lançamentos!$G:$G,Lançamentos!$A:$A,DW$19,Lançamentos!$C:$C,"Benefícios (VR/VT/Plano)")</f>
        <v>0</v>
      </c>
      <c r="DX54" s="39">
        <f>SUMIFS(Lançamentos!$G:$G,Lançamentos!$A:$A,DX$19,Lançamentos!$C:$C,"Benefícios (VR/VT/Plano)")</f>
        <v>0</v>
      </c>
      <c r="DY54" s="39">
        <f>SUMIFS(Lançamentos!$G:$G,Lançamentos!$A:$A,DY$19,Lançamentos!$C:$C,"Benefícios (VR/VT/Plano)")</f>
        <v>0</v>
      </c>
      <c r="DZ54" s="39">
        <f>SUMIFS(Lançamentos!$G:$G,Lançamentos!$A:$A,DZ$19,Lançamentos!$C:$C,"Benefícios (VR/VT/Plano)")</f>
        <v>0</v>
      </c>
      <c r="EA54" s="39">
        <f>SUMIFS(Lançamentos!$G:$G,Lançamentos!$A:$A,EA$19,Lançamentos!$C:$C,"Benefícios (VR/VT/Plano)")</f>
        <v>0</v>
      </c>
      <c r="EB54" s="39">
        <f>SUMIFS(Lançamentos!$G:$G,Lançamentos!$A:$A,EB$19,Lançamentos!$C:$C,"Benefícios (VR/VT/Plano)")</f>
        <v>0</v>
      </c>
      <c r="EC54" s="39">
        <f>SUMIFS(Lançamentos!$G:$G,Lançamentos!$A:$A,EC$19,Lançamentos!$C:$C,"Benefícios (VR/VT/Plano)")</f>
        <v>0</v>
      </c>
      <c r="ED54" s="39">
        <f>SUMIFS(Lançamentos!$G:$G,Lançamentos!$A:$A,ED$19,Lançamentos!$C:$C,"Benefícios (VR/VT/Plano)")</f>
        <v>0</v>
      </c>
      <c r="EE54" s="39">
        <f>SUMIFS(Lançamentos!$G:$G,Lançamentos!$A:$A,EE$19,Lançamentos!$C:$C,"Benefícios (VR/VT/Plano)")</f>
        <v>0</v>
      </c>
      <c r="EF54" s="39">
        <f>SUMIFS(Lançamentos!$G:$G,Lançamentos!$A:$A,EF$19,Lançamentos!$C:$C,"Benefícios (VR/VT/Plano)")</f>
        <v>0</v>
      </c>
      <c r="EG54" s="39">
        <f>SUMIFS(Lançamentos!$G:$G,Lançamentos!$A:$A,EG$19,Lançamentos!$C:$C,"Benefícios (VR/VT/Plano)")</f>
        <v>0</v>
      </c>
      <c r="EH54" s="39">
        <f>SUMIFS(Lançamentos!$G:$G,Lançamentos!$A:$A,EH$19,Lançamentos!$C:$C,"Benefícios (VR/VT/Plano)")</f>
        <v>0</v>
      </c>
      <c r="EI54" s="39">
        <f>SUMIFS(Lançamentos!$G:$G,Lançamentos!$A:$A,EI$19,Lançamentos!$C:$C,"Benefícios (VR/VT/Plano)")</f>
        <v>0</v>
      </c>
      <c r="EJ54" s="39">
        <f>SUMIFS(Lançamentos!$G:$G,Lançamentos!$A:$A,EJ$19,Lançamentos!$C:$C,"Benefícios (VR/VT/Plano)")</f>
        <v>0</v>
      </c>
      <c r="EK54" s="39">
        <f>SUMIFS(Lançamentos!$G:$G,Lançamentos!$A:$A,EK$19,Lançamentos!$C:$C,"Benefícios (VR/VT/Plano)")</f>
        <v>0</v>
      </c>
      <c r="EL54" s="39">
        <f>SUMIFS(Lançamentos!$G:$G,Lançamentos!$A:$A,EL$19,Lançamentos!$C:$C,"Benefícios (VR/VT/Plano)")</f>
        <v>0</v>
      </c>
      <c r="EM54" s="39">
        <f>SUMIFS(Lançamentos!$G:$G,Lançamentos!$A:$A,EM$19,Lançamentos!$C:$C,"Benefícios (VR/VT/Plano)")</f>
        <v>0</v>
      </c>
      <c r="EN54" s="39">
        <f>SUMIFS(Lançamentos!$G:$G,Lançamentos!$A:$A,EN$19,Lançamentos!$C:$C,"Benefícios (VR/VT/Plano)")</f>
        <v>0</v>
      </c>
      <c r="EO54" s="39">
        <f>SUMIFS(Lançamentos!$G:$G,Lançamentos!$A:$A,EO$19,Lançamentos!$C:$C,"Benefícios (VR/VT/Plano)")</f>
        <v>0</v>
      </c>
      <c r="EP54" s="39">
        <f>SUMIFS(Lançamentos!$G:$G,Lançamentos!$A:$A,EP$19,Lançamentos!$C:$C,"Benefícios (VR/VT/Plano)")</f>
        <v>0</v>
      </c>
      <c r="EQ54" s="39">
        <f>SUMIFS(Lançamentos!$G:$G,Lançamentos!$A:$A,EQ$19,Lançamentos!$C:$C,"Benefícios (VR/VT/Plano)")</f>
        <v>0</v>
      </c>
      <c r="ER54" s="39">
        <f>SUMIFS(Lançamentos!$G:$G,Lançamentos!$A:$A,ER$19,Lançamentos!$C:$C,"Benefícios (VR/VT/Plano)")</f>
        <v>0</v>
      </c>
      <c r="ES54" s="39">
        <f>SUMIFS(Lançamentos!$G:$G,Lançamentos!$A:$A,ES$19,Lançamentos!$C:$C,"Benefícios (VR/VT/Plano)")</f>
        <v>0</v>
      </c>
      <c r="ET54" s="39">
        <f>SUMIFS(Lançamentos!$G:$G,Lançamentos!$A:$A,ET$19,Lançamentos!$C:$C,"Benefícios (VR/VT/Plano)")</f>
        <v>0</v>
      </c>
      <c r="EU54" s="39">
        <f>SUMIFS(Lançamentos!$G:$G,Lançamentos!$A:$A,EU$19,Lançamentos!$C:$C,"Benefícios (VR/VT/Plano)")</f>
        <v>0</v>
      </c>
      <c r="EV54" s="39">
        <f>SUMIFS(Lançamentos!$G:$G,Lançamentos!$A:$A,EV$19,Lançamentos!$C:$C,"Benefícios (VR/VT/Plano)")</f>
        <v>0</v>
      </c>
      <c r="EW54" s="39">
        <f>SUMIFS(Lançamentos!$G:$G,Lançamentos!$A:$A,EW$19,Lançamentos!$C:$C,"Benefícios (VR/VT/Plano)")</f>
        <v>0</v>
      </c>
      <c r="EX54" s="39">
        <f>SUMIFS(Lançamentos!$G:$G,Lançamentos!$A:$A,EX$19,Lançamentos!$C:$C,"Benefícios (VR/VT/Plano)")</f>
        <v>0</v>
      </c>
      <c r="EY54" s="39">
        <f>SUMIFS(Lançamentos!$G:$G,Lançamentos!$A:$A,EY$19,Lançamentos!$C:$C,"Benefícios (VR/VT/Plano)")</f>
        <v>0</v>
      </c>
      <c r="EZ54" s="39">
        <f>SUMIFS(Lançamentos!$G:$G,Lançamentos!$A:$A,EZ$19,Lançamentos!$C:$C,"Benefícios (VR/VT/Plano)")</f>
        <v>0</v>
      </c>
      <c r="FA54" s="39">
        <f>SUMIFS(Lançamentos!$G:$G,Lançamentos!$A:$A,FA$19,Lançamentos!$C:$C,"Benefícios (VR/VT/Plano)")</f>
        <v>0</v>
      </c>
      <c r="FB54" s="39">
        <f>SUMIFS(Lançamentos!$G:$G,Lançamentos!$A:$A,FB$19,Lançamentos!$C:$C,"Benefícios (VR/VT/Plano)")</f>
        <v>0</v>
      </c>
      <c r="FC54" s="39">
        <f>SUMIFS(Lançamentos!$G:$G,Lançamentos!$A:$A,FC$19,Lançamentos!$C:$C,"Benefícios (VR/VT/Plano)")</f>
        <v>0</v>
      </c>
      <c r="FD54" s="39">
        <f>SUMIFS(Lançamentos!$G:$G,Lançamentos!$A:$A,FD$19,Lançamentos!$C:$C,"Benefícios (VR/VT/Plano)")</f>
        <v>0</v>
      </c>
      <c r="FE54" s="39">
        <f>SUMIFS(Lançamentos!$G:$G,Lançamentos!$A:$A,FE$19,Lançamentos!$C:$C,"Benefícios (VR/VT/Plano)")</f>
        <v>0</v>
      </c>
      <c r="FF54" s="39">
        <f>SUMIFS(Lançamentos!$G:$G,Lançamentos!$A:$A,FF$19,Lançamentos!$C:$C,"Benefícios (VR/VT/Plano)")</f>
        <v>0</v>
      </c>
      <c r="FG54" s="39">
        <f>SUMIFS(Lançamentos!$G:$G,Lançamentos!$A:$A,FG$19,Lançamentos!$C:$C,"Benefícios (VR/VT/Plano)")</f>
        <v>0</v>
      </c>
      <c r="FH54" s="39">
        <f>SUMIFS(Lançamentos!$G:$G,Lançamentos!$A:$A,FH$19,Lançamentos!$C:$C,"Benefícios (VR/VT/Plano)")</f>
        <v>0</v>
      </c>
      <c r="FI54" s="39">
        <f>SUMIFS(Lançamentos!$G:$G,Lançamentos!$A:$A,FI$19,Lançamentos!$C:$C,"Benefícios (VR/VT/Plano)")</f>
        <v>0</v>
      </c>
      <c r="FJ54" s="39">
        <f>SUMIFS(Lançamentos!$G:$G,Lançamentos!$A:$A,FJ$19,Lançamentos!$C:$C,"Benefícios (VR/VT/Plano)")</f>
        <v>0</v>
      </c>
      <c r="FK54" s="39">
        <f>SUMIFS(Lançamentos!$G:$G,Lançamentos!$A:$A,FK$19,Lançamentos!$C:$C,"Benefícios (VR/VT/Plano)")</f>
        <v>0</v>
      </c>
      <c r="FL54" s="39">
        <f>SUMIFS(Lançamentos!$G:$G,Lançamentos!$A:$A,FL$19,Lançamentos!$C:$C,"Benefícios (VR/VT/Plano)")</f>
        <v>0</v>
      </c>
      <c r="FM54" s="39">
        <f>SUMIFS(Lançamentos!$G:$G,Lançamentos!$A:$A,FM$19,Lançamentos!$C:$C,"Benefícios (VR/VT/Plano)")</f>
        <v>0</v>
      </c>
      <c r="FN54" s="39">
        <f>SUMIFS(Lançamentos!$G:$G,Lançamentos!$A:$A,FN$19,Lançamentos!$C:$C,"Benefícios (VR/VT/Plano)")</f>
        <v>0</v>
      </c>
      <c r="FO54" s="39">
        <f>SUMIFS(Lançamentos!$G:$G,Lançamentos!$A:$A,FO$19,Lançamentos!$C:$C,"Benefícios (VR/VT/Plano)")</f>
        <v>0</v>
      </c>
      <c r="FP54" s="39">
        <f>SUMIFS(Lançamentos!$G:$G,Lançamentos!$A:$A,FP$19,Lançamentos!$C:$C,"Benefícios (VR/VT/Plano)")</f>
        <v>0</v>
      </c>
      <c r="FQ54" s="39">
        <f>SUMIFS(Lançamentos!$G:$G,Lançamentos!$A:$A,FQ$19,Lançamentos!$C:$C,"Benefícios (VR/VT/Plano)")</f>
        <v>0</v>
      </c>
      <c r="FR54" s="39">
        <f>SUMIFS(Lançamentos!$G:$G,Lançamentos!$A:$A,FR$19,Lançamentos!$C:$C,"Benefícios (VR/VT/Plano)")</f>
        <v>0</v>
      </c>
      <c r="FS54" s="39">
        <f>SUMIFS(Lançamentos!$G:$G,Lançamentos!$A:$A,FS$19,Lançamentos!$C:$C,"Benefícios (VR/VT/Plano)")</f>
        <v>0</v>
      </c>
      <c r="FT54" s="39">
        <f>SUMIFS(Lançamentos!$G:$G,Lançamentos!$A:$A,FT$19,Lançamentos!$C:$C,"Benefícios (VR/VT/Plano)")</f>
        <v>0</v>
      </c>
      <c r="FU54" s="39">
        <f>SUMIFS(Lançamentos!$G:$G,Lançamentos!$A:$A,FU$19,Lançamentos!$C:$C,"Benefícios (VR/VT/Plano)")</f>
        <v>0</v>
      </c>
      <c r="FV54" s="39">
        <f>SUMIFS(Lançamentos!$G:$G,Lançamentos!$A:$A,FV$19,Lançamentos!$C:$C,"Benefícios (VR/VT/Plano)")</f>
        <v>0</v>
      </c>
      <c r="FW54" s="39">
        <f>SUMIFS(Lançamentos!$G:$G,Lançamentos!$A:$A,FW$19,Lançamentos!$C:$C,"Benefícios (VR/VT/Plano)")</f>
        <v>0</v>
      </c>
      <c r="FX54" s="39">
        <f>SUMIFS(Lançamentos!$G:$G,Lançamentos!$A:$A,FX$19,Lançamentos!$C:$C,"Benefícios (VR/VT/Plano)")</f>
        <v>0</v>
      </c>
      <c r="FY54" s="39">
        <f>SUMIFS(Lançamentos!$G:$G,Lançamentos!$A:$A,FY$19,Lançamentos!$C:$C,"Benefícios (VR/VT/Plano)")</f>
        <v>0</v>
      </c>
      <c r="FZ54" s="39">
        <f>SUMIFS(Lançamentos!$G:$G,Lançamentos!$A:$A,FZ$19,Lançamentos!$C:$C,"Benefícios (VR/VT/Plano)")</f>
        <v>0</v>
      </c>
      <c r="GA54" s="39">
        <f>SUMIFS(Lançamentos!$G:$G,Lançamentos!$A:$A,GA$19,Lançamentos!$C:$C,"Benefícios (VR/VT/Plano)")</f>
        <v>0</v>
      </c>
      <c r="GB54" s="39">
        <f>SUMIFS(Lançamentos!$G:$G,Lançamentos!$A:$A,GB$19,Lançamentos!$C:$C,"Benefícios (VR/VT/Plano)")</f>
        <v>0</v>
      </c>
      <c r="GC54" s="39">
        <f>SUMIFS(Lançamentos!$G:$G,Lançamentos!$A:$A,GC$19,Lançamentos!$C:$C,"Benefícios (VR/VT/Plano)")</f>
        <v>0</v>
      </c>
      <c r="GD54" s="39">
        <f>SUMIFS(Lançamentos!$G:$G,Lançamentos!$A:$A,GD$19,Lançamentos!$C:$C,"Benefícios (VR/VT/Plano)")</f>
        <v>0</v>
      </c>
      <c r="GE54" s="39">
        <f>SUMIFS(Lançamentos!$G:$G,Lançamentos!$A:$A,GE$19,Lançamentos!$C:$C,"Benefícios (VR/VT/Plano)")</f>
        <v>0</v>
      </c>
      <c r="GF54" s="39">
        <f>SUMIFS(Lançamentos!$G:$G,Lançamentos!$A:$A,GF$19,Lançamentos!$C:$C,"Benefícios (VR/VT/Plano)")</f>
        <v>0</v>
      </c>
      <c r="GG54" s="39">
        <f>SUMIFS(Lançamentos!$G:$G,Lançamentos!$A:$A,GG$19,Lançamentos!$C:$C,"Benefícios (VR/VT/Plano)")</f>
        <v>0</v>
      </c>
      <c r="GH54" s="39">
        <f>SUMIFS(Lançamentos!$G:$G,Lançamentos!$A:$A,GH$19,Lançamentos!$C:$C,"Benefícios (VR/VT/Plano)")</f>
        <v>0</v>
      </c>
      <c r="GI54" s="39">
        <f>SUMIFS(Lançamentos!$G:$G,Lançamentos!$A:$A,GI$19,Lançamentos!$C:$C,"Benefícios (VR/VT/Plano)")</f>
        <v>0</v>
      </c>
      <c r="GJ54" s="39">
        <f>SUMIFS(Lançamentos!$G:$G,Lançamentos!$A:$A,GJ$19,Lançamentos!$C:$C,"Benefícios (VR/VT/Plano)")</f>
        <v>0</v>
      </c>
      <c r="GK54" s="39">
        <f>SUMIFS(Lançamentos!$G:$G,Lançamentos!$A:$A,GK$19,Lançamentos!$C:$C,"Benefícios (VR/VT/Plano)")</f>
        <v>0</v>
      </c>
      <c r="GL54" s="39">
        <f>SUMIFS(Lançamentos!$G:$G,Lançamentos!$A:$A,GL$19,Lançamentos!$C:$C,"Benefícios (VR/VT/Plano)")</f>
        <v>0</v>
      </c>
      <c r="GM54" s="39">
        <f>SUMIFS(Lançamentos!$G:$G,Lançamentos!$A:$A,GM$19,Lançamentos!$C:$C,"Benefícios (VR/VT/Plano)")</f>
        <v>0</v>
      </c>
      <c r="GN54" s="39">
        <f>SUMIFS(Lançamentos!$G:$G,Lançamentos!$A:$A,GN$19,Lançamentos!$C:$C,"Benefícios (VR/VT/Plano)")</f>
        <v>0</v>
      </c>
      <c r="GO54" s="39">
        <f>SUMIFS(Lançamentos!$G:$G,Lançamentos!$A:$A,GO$19,Lançamentos!$C:$C,"Benefícios (VR/VT/Plano)")</f>
        <v>0</v>
      </c>
      <c r="GP54" s="39">
        <f>SUMIFS(Lançamentos!$G:$G,Lançamentos!$A:$A,GP$19,Lançamentos!$C:$C,"Benefícios (VR/VT/Plano)")</f>
        <v>0</v>
      </c>
      <c r="GQ54" s="39">
        <f>SUMIFS(Lançamentos!$G:$G,Lançamentos!$A:$A,GQ$19,Lançamentos!$C:$C,"Benefícios (VR/VT/Plano)")</f>
        <v>0</v>
      </c>
      <c r="GR54" s="39">
        <f>SUMIFS(Lançamentos!$G:$G,Lançamentos!$A:$A,GR$19,Lançamentos!$C:$C,"Benefícios (VR/VT/Plano)")</f>
        <v>0</v>
      </c>
      <c r="GS54" s="39">
        <f>SUMIFS(Lançamentos!$G:$G,Lançamentos!$A:$A,GS$19,Lançamentos!$C:$C,"Benefícios (VR/VT/Plano)")</f>
        <v>0</v>
      </c>
      <c r="GT54" s="39">
        <f>SUMIFS(Lançamentos!$G:$G,Lançamentos!$A:$A,GT$19,Lançamentos!$C:$C,"Benefícios (VR/VT/Plano)")</f>
        <v>0</v>
      </c>
      <c r="GU54" s="39">
        <f>SUMIFS(Lançamentos!$G:$G,Lançamentos!$A:$A,GU$19,Lançamentos!$C:$C,"Benefícios (VR/VT/Plano)")</f>
        <v>0</v>
      </c>
      <c r="GV54" s="39">
        <f>SUMIFS(Lançamentos!$G:$G,Lançamentos!$A:$A,GV$19,Lançamentos!$C:$C,"Benefícios (VR/VT/Plano)")</f>
        <v>0</v>
      </c>
      <c r="GW54" s="39">
        <f>SUMIFS(Lançamentos!$G:$G,Lançamentos!$A:$A,GW$19,Lançamentos!$C:$C,"Benefícios (VR/VT/Plano)")</f>
        <v>0</v>
      </c>
      <c r="GX54" s="39">
        <f>SUMIFS(Lançamentos!$G:$G,Lançamentos!$A:$A,GX$19,Lançamentos!$C:$C,"Benefícios (VR/VT/Plano)")</f>
        <v>0</v>
      </c>
      <c r="GY54" s="39">
        <f>SUMIFS(Lançamentos!$G:$G,Lançamentos!$A:$A,GY$19,Lançamentos!$C:$C,"Benefícios (VR/VT/Plano)")</f>
        <v>0</v>
      </c>
      <c r="GZ54" s="39">
        <f>SUMIFS(Lançamentos!$G:$G,Lançamentos!$A:$A,GZ$19,Lançamentos!$C:$C,"Benefícios (VR/VT/Plano)")</f>
        <v>0</v>
      </c>
      <c r="HA54" s="39">
        <f>SUMIFS(Lançamentos!$G:$G,Lançamentos!$A:$A,HA$19,Lançamentos!$C:$C,"Benefícios (VR/VT/Plano)")</f>
        <v>0</v>
      </c>
      <c r="HB54" s="39">
        <f>SUMIFS(Lançamentos!$G:$G,Lançamentos!$A:$A,HB$19,Lançamentos!$C:$C,"Benefícios (VR/VT/Plano)")</f>
        <v>0</v>
      </c>
      <c r="HC54" s="39">
        <f>SUMIFS(Lançamentos!$G:$G,Lançamentos!$A:$A,HC$19,Lançamentos!$C:$C,"Benefícios (VR/VT/Plano)")</f>
        <v>0</v>
      </c>
      <c r="HD54" s="39">
        <f>SUMIFS(Lançamentos!$G:$G,Lançamentos!$A:$A,HD$19,Lançamentos!$C:$C,"Benefícios (VR/VT/Plano)")</f>
        <v>0</v>
      </c>
      <c r="HE54" s="39">
        <f>SUMIFS(Lançamentos!$G:$G,Lançamentos!$A:$A,HE$19,Lançamentos!$C:$C,"Benefícios (VR/VT/Plano)")</f>
        <v>0</v>
      </c>
      <c r="HF54" s="39">
        <f>SUMIFS(Lançamentos!$G:$G,Lançamentos!$A:$A,HF$19,Lançamentos!$C:$C,"Benefícios (VR/VT/Plano)")</f>
        <v>0</v>
      </c>
      <c r="HG54" s="39">
        <f>SUMIFS(Lançamentos!$G:$G,Lançamentos!$A:$A,HG$19,Lançamentos!$C:$C,"Benefícios (VR/VT/Plano)")</f>
        <v>0</v>
      </c>
      <c r="HH54" s="39">
        <f>SUMIFS(Lançamentos!$G:$G,Lançamentos!$A:$A,HH$19,Lançamentos!$C:$C,"Benefícios (VR/VT/Plano)")</f>
        <v>0</v>
      </c>
      <c r="HI54" s="39">
        <f>SUMIFS(Lançamentos!$G:$G,Lançamentos!$A:$A,HI$19,Lançamentos!$C:$C,"Benefícios (VR/VT/Plano)")</f>
        <v>0</v>
      </c>
      <c r="HJ54" s="39">
        <f>SUMIFS(Lançamentos!$G:$G,Lançamentos!$A:$A,HJ$19,Lançamentos!$C:$C,"Benefícios (VR/VT/Plano)")</f>
        <v>0</v>
      </c>
      <c r="HK54" s="39">
        <f>SUMIFS(Lançamentos!$G:$G,Lançamentos!$A:$A,HK$19,Lançamentos!$C:$C,"Benefícios (VR/VT/Plano)")</f>
        <v>0</v>
      </c>
      <c r="HL54" s="39">
        <f>SUMIFS(Lançamentos!$G:$G,Lançamentos!$A:$A,HL$19,Lançamentos!$C:$C,"Benefícios (VR/VT/Plano)")</f>
        <v>0</v>
      </c>
      <c r="HM54" s="39">
        <f>SUMIFS(Lançamentos!$G:$G,Lançamentos!$A:$A,HM$19,Lançamentos!$C:$C,"Benefícios (VR/VT/Plano)")</f>
        <v>0</v>
      </c>
      <c r="HN54" s="39">
        <f>SUMIFS(Lançamentos!$G:$G,Lançamentos!$A:$A,HN$19,Lançamentos!$C:$C,"Benefícios (VR/VT/Plano)")</f>
        <v>0</v>
      </c>
      <c r="HO54" s="39">
        <f>SUMIFS(Lançamentos!$G:$G,Lançamentos!$A:$A,HO$19,Lançamentos!$C:$C,"Benefícios (VR/VT/Plano)")</f>
        <v>0</v>
      </c>
      <c r="HP54" s="39">
        <f>SUMIFS(Lançamentos!$G:$G,Lançamentos!$A:$A,HP$19,Lançamentos!$C:$C,"Benefícios (VR/VT/Plano)")</f>
        <v>0</v>
      </c>
      <c r="HQ54" s="39">
        <f>SUMIFS(Lançamentos!$G:$G,Lançamentos!$A:$A,HQ$19,Lançamentos!$C:$C,"Benefícios (VR/VT/Plano)")</f>
        <v>0</v>
      </c>
      <c r="HR54" s="39">
        <f>SUMIFS(Lançamentos!$G:$G,Lançamentos!$A:$A,HR$19,Lançamentos!$C:$C,"Benefícios (VR/VT/Plano)")</f>
        <v>0</v>
      </c>
      <c r="HS54" s="39">
        <f>SUMIFS(Lançamentos!$G:$G,Lançamentos!$A:$A,HS$19,Lançamentos!$C:$C,"Benefícios (VR/VT/Plano)")</f>
        <v>0</v>
      </c>
      <c r="HT54" s="39">
        <f>SUMIFS(Lançamentos!$G:$G,Lançamentos!$A:$A,HT$19,Lançamentos!$C:$C,"Benefícios (VR/VT/Plano)")</f>
        <v>0</v>
      </c>
      <c r="HU54" s="39">
        <f>SUMIFS(Lançamentos!$G:$G,Lançamentos!$A:$A,HU$19,Lançamentos!$C:$C,"Benefícios (VR/VT/Plano)")</f>
        <v>0</v>
      </c>
      <c r="HV54" s="39">
        <f>SUMIFS(Lançamentos!$G:$G,Lançamentos!$A:$A,HV$19,Lançamentos!$C:$C,"Benefícios (VR/VT/Plano)")</f>
        <v>0</v>
      </c>
      <c r="HW54" s="39">
        <f>SUMIFS(Lançamentos!$G:$G,Lançamentos!$A:$A,HW$19,Lançamentos!$C:$C,"Benefícios (VR/VT/Plano)")</f>
        <v>0</v>
      </c>
      <c r="HX54" s="39">
        <f>SUMIFS(Lançamentos!$G:$G,Lançamentos!$A:$A,HX$19,Lançamentos!$C:$C,"Benefícios (VR/VT/Plano)")</f>
        <v>0</v>
      </c>
      <c r="HY54" s="39">
        <f>SUMIFS(Lançamentos!$G:$G,Lançamentos!$A:$A,HY$19,Lançamentos!$C:$C,"Benefícios (VR/VT/Plano)")</f>
        <v>0</v>
      </c>
      <c r="HZ54" s="39">
        <f>SUMIFS(Lançamentos!$G:$G,Lançamentos!$A:$A,HZ$19,Lançamentos!$C:$C,"Benefícios (VR/VT/Plano)")</f>
        <v>0</v>
      </c>
      <c r="IA54" s="39">
        <f>SUMIFS(Lançamentos!$G:$G,Lançamentos!$A:$A,IA$19,Lançamentos!$C:$C,"Benefícios (VR/VT/Plano)")</f>
        <v>0</v>
      </c>
      <c r="IB54" s="39">
        <f>SUMIFS(Lançamentos!$G:$G,Lançamentos!$A:$A,IB$19,Lançamentos!$C:$C,"Benefícios (VR/VT/Plano)")</f>
        <v>0</v>
      </c>
      <c r="IC54" s="39">
        <f>SUMIFS(Lançamentos!$G:$G,Lançamentos!$A:$A,IC$19,Lançamentos!$C:$C,"Benefícios (VR/VT/Plano)")</f>
        <v>0</v>
      </c>
      <c r="ID54" s="39">
        <f>SUMIFS(Lançamentos!$G:$G,Lançamentos!$A:$A,ID$19,Lançamentos!$C:$C,"Benefícios (VR/VT/Plano)")</f>
        <v>0</v>
      </c>
      <c r="IE54" s="39">
        <f>SUMIFS(Lançamentos!$G:$G,Lançamentos!$A:$A,IE$19,Lançamentos!$C:$C,"Benefícios (VR/VT/Plano)")</f>
        <v>0</v>
      </c>
      <c r="IF54" s="39">
        <f>SUMIFS(Lançamentos!$G:$G,Lançamentos!$A:$A,IF$19,Lançamentos!$C:$C,"Benefícios (VR/VT/Plano)")</f>
        <v>0</v>
      </c>
      <c r="IG54" s="39">
        <f>SUMIFS(Lançamentos!$G:$G,Lançamentos!$A:$A,IG$19,Lançamentos!$C:$C,"Benefícios (VR/VT/Plano)")</f>
        <v>0</v>
      </c>
      <c r="IH54" s="39">
        <f>SUMIFS(Lançamentos!$G:$G,Lançamentos!$A:$A,IH$19,Lançamentos!$C:$C,"Benefícios (VR/VT/Plano)")</f>
        <v>0</v>
      </c>
      <c r="II54" s="39">
        <f>SUMIFS(Lançamentos!$G:$G,Lançamentos!$A:$A,II$19,Lançamentos!$C:$C,"Benefícios (VR/VT/Plano)")</f>
        <v>0</v>
      </c>
      <c r="IJ54" s="39">
        <f>SUMIFS(Lançamentos!$G:$G,Lançamentos!$A:$A,IJ$19,Lançamentos!$C:$C,"Benefícios (VR/VT/Plano)")</f>
        <v>0</v>
      </c>
      <c r="IK54" s="39">
        <f>SUMIFS(Lançamentos!$G:$G,Lançamentos!$A:$A,IK$19,Lançamentos!$C:$C,"Benefícios (VR/VT/Plano)")</f>
        <v>0</v>
      </c>
      <c r="IL54" s="39">
        <f>SUMIFS(Lançamentos!$G:$G,Lançamentos!$A:$A,IL$19,Lançamentos!$C:$C,"Benefícios (VR/VT/Plano)")</f>
        <v>0</v>
      </c>
    </row>
    <row r="55" spans="1:246" x14ac:dyDescent="0.3">
      <c r="A55" t="s">
        <v>100</v>
      </c>
      <c r="B55" s="39">
        <f>SUMIFS(Lançamentos!$G:$G,Lançamentos!$A:$A,B$19,Lançamentos!$C:$C,"Software e Assinaturas")</f>
        <v>0</v>
      </c>
      <c r="C55" s="39">
        <f>SUMIFS(Lançamentos!$G:$G,Lançamentos!$A:$A,C$19,Lançamentos!$C:$C,"Software e Assinaturas")</f>
        <v>0</v>
      </c>
      <c r="D55" s="39">
        <f>SUMIFS(Lançamentos!$G:$G,Lançamentos!$A:$A,D$19,Lançamentos!$C:$C,"Software e Assinaturas")</f>
        <v>0</v>
      </c>
      <c r="E55" s="39">
        <f>SUMIFS(Lançamentos!$G:$G,Lançamentos!$A:$A,E$19,Lançamentos!$C:$C,"Software e Assinaturas")</f>
        <v>0</v>
      </c>
      <c r="F55" s="39">
        <f>SUMIFS(Lançamentos!$G:$G,Lançamentos!$A:$A,F$19,Lançamentos!$C:$C,"Software e Assinaturas")</f>
        <v>0</v>
      </c>
      <c r="G55" s="39">
        <f>SUMIFS(Lançamentos!$G:$G,Lançamentos!$A:$A,G$19,Lançamentos!$C:$C,"Software e Assinaturas")</f>
        <v>0</v>
      </c>
      <c r="H55" s="39">
        <f>SUMIFS(Lançamentos!$G:$G,Lançamentos!$A:$A,H$19,Lançamentos!$C:$C,"Software e Assinaturas")</f>
        <v>0</v>
      </c>
      <c r="I55" s="39">
        <f>SUMIFS(Lançamentos!$G:$G,Lançamentos!$A:$A,I$19,Lançamentos!$C:$C,"Software e Assinaturas")</f>
        <v>0</v>
      </c>
      <c r="J55" s="39">
        <f>SUMIFS(Lançamentos!$G:$G,Lançamentos!$A:$A,J$19,Lançamentos!$C:$C,"Software e Assinaturas")</f>
        <v>0</v>
      </c>
      <c r="K55" s="39">
        <f>SUMIFS(Lançamentos!$G:$G,Lançamentos!$A:$A,K$19,Lançamentos!$C:$C,"Software e Assinaturas")</f>
        <v>0</v>
      </c>
      <c r="L55" s="39">
        <f>SUMIFS(Lançamentos!$G:$G,Lançamentos!$A:$A,L$19,Lançamentos!$C:$C,"Software e Assinaturas")</f>
        <v>0</v>
      </c>
      <c r="M55" s="39">
        <f>SUMIFS(Lançamentos!$G:$G,Lançamentos!$A:$A,M$19,Lançamentos!$C:$C,"Software e Assinaturas")</f>
        <v>0</v>
      </c>
      <c r="N55" s="39">
        <f>SUMIFS(Lançamentos!$G:$G,Lançamentos!$A:$A,N$19,Lançamentos!$C:$C,"Software e Assinaturas")</f>
        <v>0</v>
      </c>
      <c r="O55" s="39">
        <f>SUMIFS(Lançamentos!$G:$G,Lançamentos!$A:$A,O$19,Lançamentos!$C:$C,"Software e Assinaturas")</f>
        <v>0</v>
      </c>
      <c r="P55" s="39">
        <f>SUMIFS(Lançamentos!$G:$G,Lançamentos!$A:$A,P$19,Lançamentos!$C:$C,"Software e Assinaturas")</f>
        <v>0</v>
      </c>
      <c r="Q55" s="39">
        <f>SUMIFS(Lançamentos!$G:$G,Lançamentos!$A:$A,Q$19,Lançamentos!$C:$C,"Software e Assinaturas")</f>
        <v>0</v>
      </c>
      <c r="R55" s="39">
        <f>SUMIFS(Lançamentos!$G:$G,Lançamentos!$A:$A,R$19,Lançamentos!$C:$C,"Software e Assinaturas")</f>
        <v>0</v>
      </c>
      <c r="S55" s="39">
        <f>SUMIFS(Lançamentos!$G:$G,Lançamentos!$A:$A,S$19,Lançamentos!$C:$C,"Software e Assinaturas")</f>
        <v>0</v>
      </c>
      <c r="T55" s="39">
        <f>SUMIFS(Lançamentos!$G:$G,Lançamentos!$A:$A,T$19,Lançamentos!$C:$C,"Software e Assinaturas")</f>
        <v>0</v>
      </c>
      <c r="U55" s="39">
        <f>SUMIFS(Lançamentos!$G:$G,Lançamentos!$A:$A,U$19,Lançamentos!$C:$C,"Software e Assinaturas")</f>
        <v>0</v>
      </c>
      <c r="V55" s="39">
        <f>SUMIFS(Lançamentos!$G:$G,Lançamentos!$A:$A,V$19,Lançamentos!$C:$C,"Software e Assinaturas")</f>
        <v>0</v>
      </c>
      <c r="W55" s="39">
        <f>SUMIFS(Lançamentos!$G:$G,Lançamentos!$A:$A,W$19,Lançamentos!$C:$C,"Software e Assinaturas")</f>
        <v>0</v>
      </c>
      <c r="X55" s="39">
        <f>SUMIFS(Lançamentos!$G:$G,Lançamentos!$A:$A,X$19,Lançamentos!$C:$C,"Software e Assinaturas")</f>
        <v>0</v>
      </c>
      <c r="Y55" s="39">
        <f>SUMIFS(Lançamentos!$G:$G,Lançamentos!$A:$A,Y$19,Lançamentos!$C:$C,"Software e Assinaturas")</f>
        <v>0</v>
      </c>
      <c r="Z55" s="39">
        <f>SUMIFS(Lançamentos!$G:$G,Lançamentos!$A:$A,Z$19,Lançamentos!$C:$C,"Software e Assinaturas")</f>
        <v>0</v>
      </c>
      <c r="AA55" s="39">
        <f>SUMIFS(Lançamentos!$G:$G,Lançamentos!$A:$A,AA$19,Lançamentos!$C:$C,"Software e Assinaturas")</f>
        <v>0</v>
      </c>
      <c r="AB55" s="39">
        <f>SUMIFS(Lançamentos!$G:$G,Lançamentos!$A:$A,AB$19,Lançamentos!$C:$C,"Software e Assinaturas")</f>
        <v>0</v>
      </c>
      <c r="AC55" s="39">
        <f>SUMIFS(Lançamentos!$G:$G,Lançamentos!$A:$A,AC$19,Lançamentos!$C:$C,"Software e Assinaturas")</f>
        <v>0</v>
      </c>
      <c r="AD55" s="39">
        <f>SUMIFS(Lançamentos!$G:$G,Lançamentos!$A:$A,AD$19,Lançamentos!$C:$C,"Software e Assinaturas")</f>
        <v>0</v>
      </c>
      <c r="AE55" s="39">
        <f>SUMIFS(Lançamentos!$G:$G,Lançamentos!$A:$A,AE$19,Lançamentos!$C:$C,"Software e Assinaturas")</f>
        <v>0</v>
      </c>
      <c r="AF55" s="39">
        <f>SUMIFS(Lançamentos!$G:$G,Lançamentos!$A:$A,AF$19,Lançamentos!$C:$C,"Software e Assinaturas")</f>
        <v>0</v>
      </c>
      <c r="AG55" s="39">
        <f>SUMIFS(Lançamentos!$G:$G,Lançamentos!$A:$A,AG$19,Lançamentos!$C:$C,"Software e Assinaturas")</f>
        <v>0</v>
      </c>
      <c r="AH55" s="39">
        <f>SUMIFS(Lançamentos!$G:$G,Lançamentos!$A:$A,AH$19,Lançamentos!$C:$C,"Software e Assinaturas")</f>
        <v>0</v>
      </c>
      <c r="AI55" s="39">
        <f>SUMIFS(Lançamentos!$G:$G,Lançamentos!$A:$A,AI$19,Lançamentos!$C:$C,"Software e Assinaturas")</f>
        <v>0</v>
      </c>
      <c r="AJ55" s="39">
        <f>SUMIFS(Lançamentos!$G:$G,Lançamentos!$A:$A,AJ$19,Lançamentos!$C:$C,"Software e Assinaturas")</f>
        <v>0</v>
      </c>
      <c r="AK55" s="39">
        <f>SUMIFS(Lançamentos!$G:$G,Lançamentos!$A:$A,AK$19,Lançamentos!$C:$C,"Software e Assinaturas")</f>
        <v>0</v>
      </c>
      <c r="AL55" s="39">
        <f>SUMIFS(Lançamentos!$G:$G,Lançamentos!$A:$A,AL$19,Lançamentos!$C:$C,"Software e Assinaturas")</f>
        <v>0</v>
      </c>
      <c r="AM55" s="39">
        <f>SUMIFS(Lançamentos!$G:$G,Lançamentos!$A:$A,AM$19,Lançamentos!$C:$C,"Software e Assinaturas")</f>
        <v>0</v>
      </c>
      <c r="AN55" s="39">
        <f>SUMIFS(Lançamentos!$G:$G,Lançamentos!$A:$A,AN$19,Lançamentos!$C:$C,"Software e Assinaturas")</f>
        <v>0</v>
      </c>
      <c r="AO55" s="39">
        <f>SUMIFS(Lançamentos!$G:$G,Lançamentos!$A:$A,AO$19,Lançamentos!$C:$C,"Software e Assinaturas")</f>
        <v>0</v>
      </c>
      <c r="AP55" s="39">
        <f>SUMIFS(Lançamentos!$G:$G,Lançamentos!$A:$A,AP$19,Lançamentos!$C:$C,"Software e Assinaturas")</f>
        <v>0</v>
      </c>
      <c r="AQ55" s="39">
        <f>SUMIFS(Lançamentos!$G:$G,Lançamentos!$A:$A,AQ$19,Lançamentos!$C:$C,"Software e Assinaturas")</f>
        <v>0</v>
      </c>
      <c r="AR55" s="39">
        <f>SUMIFS(Lançamentos!$G:$G,Lançamentos!$A:$A,AR$19,Lançamentos!$C:$C,"Software e Assinaturas")</f>
        <v>0</v>
      </c>
      <c r="AS55" s="39">
        <f>SUMIFS(Lançamentos!$G:$G,Lançamentos!$A:$A,AS$19,Lançamentos!$C:$C,"Software e Assinaturas")</f>
        <v>0</v>
      </c>
      <c r="AT55" s="39">
        <f>SUMIFS(Lançamentos!$G:$G,Lançamentos!$A:$A,AT$19,Lançamentos!$C:$C,"Software e Assinaturas")</f>
        <v>0</v>
      </c>
      <c r="AU55" s="39">
        <f>SUMIFS(Lançamentos!$G:$G,Lançamentos!$A:$A,AU$19,Lançamentos!$C:$C,"Software e Assinaturas")</f>
        <v>0</v>
      </c>
      <c r="AV55" s="39">
        <f>SUMIFS(Lançamentos!$G:$G,Lançamentos!$A:$A,AV$19,Lançamentos!$C:$C,"Software e Assinaturas")</f>
        <v>0</v>
      </c>
      <c r="AW55" s="39">
        <f>SUMIFS(Lançamentos!$G:$G,Lançamentos!$A:$A,AW$19,Lançamentos!$C:$C,"Software e Assinaturas")</f>
        <v>0</v>
      </c>
      <c r="AX55" s="39">
        <f>SUMIFS(Lançamentos!$G:$G,Lançamentos!$A:$A,AX$19,Lançamentos!$C:$C,"Software e Assinaturas")</f>
        <v>0</v>
      </c>
      <c r="AY55" s="39">
        <f>SUMIFS(Lançamentos!$G:$G,Lançamentos!$A:$A,AY$19,Lançamentos!$C:$C,"Software e Assinaturas")</f>
        <v>0</v>
      </c>
      <c r="AZ55" s="39">
        <f>SUMIFS(Lançamentos!$G:$G,Lançamentos!$A:$A,AZ$19,Lançamentos!$C:$C,"Software e Assinaturas")</f>
        <v>0</v>
      </c>
      <c r="BA55" s="39">
        <f>SUMIFS(Lançamentos!$G:$G,Lançamentos!$A:$A,BA$19,Lançamentos!$C:$C,"Software e Assinaturas")</f>
        <v>0</v>
      </c>
      <c r="BB55" s="39">
        <f>SUMIFS(Lançamentos!$G:$G,Lançamentos!$A:$A,BB$19,Lançamentos!$C:$C,"Software e Assinaturas")</f>
        <v>0</v>
      </c>
      <c r="BC55" s="39">
        <f>SUMIFS(Lançamentos!$G:$G,Lançamentos!$A:$A,BC$19,Lançamentos!$C:$C,"Software e Assinaturas")</f>
        <v>0</v>
      </c>
      <c r="BD55" s="39">
        <f>SUMIFS(Lançamentos!$G:$G,Lançamentos!$A:$A,BD$19,Lançamentos!$C:$C,"Software e Assinaturas")</f>
        <v>0</v>
      </c>
      <c r="BE55" s="39">
        <f>SUMIFS(Lançamentos!$G:$G,Lançamentos!$A:$A,BE$19,Lançamentos!$C:$C,"Software e Assinaturas")</f>
        <v>0</v>
      </c>
      <c r="BF55" s="39">
        <f>SUMIFS(Lançamentos!$G:$G,Lançamentos!$A:$A,BF$19,Lançamentos!$C:$C,"Software e Assinaturas")</f>
        <v>0</v>
      </c>
      <c r="BG55" s="39">
        <f>SUMIFS(Lançamentos!$G:$G,Lançamentos!$A:$A,BG$19,Lançamentos!$C:$C,"Software e Assinaturas")</f>
        <v>0</v>
      </c>
      <c r="BH55" s="39">
        <f>SUMIFS(Lançamentos!$G:$G,Lançamentos!$A:$A,BH$19,Lançamentos!$C:$C,"Software e Assinaturas")</f>
        <v>0</v>
      </c>
      <c r="BI55" s="39">
        <f>SUMIFS(Lançamentos!$G:$G,Lançamentos!$A:$A,BI$19,Lançamentos!$C:$C,"Software e Assinaturas")</f>
        <v>0</v>
      </c>
      <c r="BJ55" s="39">
        <f>SUMIFS(Lançamentos!$G:$G,Lançamentos!$A:$A,BJ$19,Lançamentos!$C:$C,"Software e Assinaturas")</f>
        <v>0</v>
      </c>
      <c r="BK55" s="39">
        <f>SUMIFS(Lançamentos!$G:$G,Lançamentos!$A:$A,BK$19,Lançamentos!$C:$C,"Software e Assinaturas")</f>
        <v>0</v>
      </c>
      <c r="BL55" s="39">
        <f>SUMIFS(Lançamentos!$G:$G,Lançamentos!$A:$A,BL$19,Lançamentos!$C:$C,"Software e Assinaturas")</f>
        <v>0</v>
      </c>
      <c r="BM55" s="39">
        <f>SUMIFS(Lançamentos!$G:$G,Lançamentos!$A:$A,BM$19,Lançamentos!$C:$C,"Software e Assinaturas")</f>
        <v>0</v>
      </c>
      <c r="BN55" s="39">
        <f>SUMIFS(Lançamentos!$G:$G,Lançamentos!$A:$A,BN$19,Lançamentos!$C:$C,"Software e Assinaturas")</f>
        <v>0</v>
      </c>
      <c r="BO55" s="39">
        <f>SUMIFS(Lançamentos!$G:$G,Lançamentos!$A:$A,BO$19,Lançamentos!$C:$C,"Software e Assinaturas")</f>
        <v>0</v>
      </c>
      <c r="BP55" s="39">
        <f>SUMIFS(Lançamentos!$G:$G,Lançamentos!$A:$A,BP$19,Lançamentos!$C:$C,"Software e Assinaturas")</f>
        <v>0</v>
      </c>
      <c r="BQ55" s="39">
        <f>SUMIFS(Lançamentos!$G:$G,Lançamentos!$A:$A,BQ$19,Lançamentos!$C:$C,"Software e Assinaturas")</f>
        <v>0</v>
      </c>
      <c r="BR55" s="39">
        <f>SUMIFS(Lançamentos!$G:$G,Lançamentos!$A:$A,BR$19,Lançamentos!$C:$C,"Software e Assinaturas")</f>
        <v>0</v>
      </c>
      <c r="BS55" s="39">
        <f>SUMIFS(Lançamentos!$G:$G,Lançamentos!$A:$A,BS$19,Lançamentos!$C:$C,"Software e Assinaturas")</f>
        <v>0</v>
      </c>
      <c r="BT55" s="39">
        <f>SUMIFS(Lançamentos!$G:$G,Lançamentos!$A:$A,BT$19,Lançamentos!$C:$C,"Software e Assinaturas")</f>
        <v>0</v>
      </c>
      <c r="BU55" s="39">
        <f>SUMIFS(Lançamentos!$G:$G,Lançamentos!$A:$A,BU$19,Lançamentos!$C:$C,"Software e Assinaturas")</f>
        <v>0</v>
      </c>
      <c r="BV55" s="39">
        <f>SUMIFS(Lançamentos!$G:$G,Lançamentos!$A:$A,BV$19,Lançamentos!$C:$C,"Software e Assinaturas")</f>
        <v>0</v>
      </c>
      <c r="BW55" s="39">
        <f>SUMIFS(Lançamentos!$G:$G,Lançamentos!$A:$A,BW$19,Lançamentos!$C:$C,"Software e Assinaturas")</f>
        <v>0</v>
      </c>
      <c r="BX55" s="39">
        <f>SUMIFS(Lançamentos!$G:$G,Lançamentos!$A:$A,BX$19,Lançamentos!$C:$C,"Software e Assinaturas")</f>
        <v>0</v>
      </c>
      <c r="BY55" s="39">
        <f>SUMIFS(Lançamentos!$G:$G,Lançamentos!$A:$A,BY$19,Lançamentos!$C:$C,"Software e Assinaturas")</f>
        <v>0</v>
      </c>
      <c r="BZ55" s="39">
        <f>SUMIFS(Lançamentos!$G:$G,Lançamentos!$A:$A,BZ$19,Lançamentos!$C:$C,"Software e Assinaturas")</f>
        <v>0</v>
      </c>
      <c r="CA55" s="39">
        <f>SUMIFS(Lançamentos!$G:$G,Lançamentos!$A:$A,CA$19,Lançamentos!$C:$C,"Software e Assinaturas")</f>
        <v>0</v>
      </c>
      <c r="CB55" s="39">
        <f>SUMIFS(Lançamentos!$G:$G,Lançamentos!$A:$A,CB$19,Lançamentos!$C:$C,"Software e Assinaturas")</f>
        <v>0</v>
      </c>
      <c r="CC55" s="39">
        <f>SUMIFS(Lançamentos!$G:$G,Lançamentos!$A:$A,CC$19,Lançamentos!$C:$C,"Software e Assinaturas")</f>
        <v>0</v>
      </c>
      <c r="CD55" s="39">
        <f>SUMIFS(Lançamentos!$G:$G,Lançamentos!$A:$A,CD$19,Lançamentos!$C:$C,"Software e Assinaturas")</f>
        <v>0</v>
      </c>
      <c r="CE55" s="39">
        <f>SUMIFS(Lançamentos!$G:$G,Lançamentos!$A:$A,CE$19,Lançamentos!$C:$C,"Software e Assinaturas")</f>
        <v>0</v>
      </c>
      <c r="CF55" s="39">
        <f>SUMIFS(Lançamentos!$G:$G,Lançamentos!$A:$A,CF$19,Lançamentos!$C:$C,"Software e Assinaturas")</f>
        <v>0</v>
      </c>
      <c r="CG55" s="39">
        <f>SUMIFS(Lançamentos!$G:$G,Lançamentos!$A:$A,CG$19,Lançamentos!$C:$C,"Software e Assinaturas")</f>
        <v>0</v>
      </c>
      <c r="CH55" s="39">
        <f>SUMIFS(Lançamentos!$G:$G,Lançamentos!$A:$A,CH$19,Lançamentos!$C:$C,"Software e Assinaturas")</f>
        <v>0</v>
      </c>
      <c r="CI55" s="39">
        <f>SUMIFS(Lançamentos!$G:$G,Lançamentos!$A:$A,CI$19,Lançamentos!$C:$C,"Software e Assinaturas")</f>
        <v>0</v>
      </c>
      <c r="CJ55" s="39">
        <f>SUMIFS(Lançamentos!$G:$G,Lançamentos!$A:$A,CJ$19,Lançamentos!$C:$C,"Software e Assinaturas")</f>
        <v>0</v>
      </c>
      <c r="CK55" s="39">
        <f>SUMIFS(Lançamentos!$G:$G,Lançamentos!$A:$A,CK$19,Lançamentos!$C:$C,"Software e Assinaturas")</f>
        <v>0</v>
      </c>
      <c r="CL55" s="39">
        <f>SUMIFS(Lançamentos!$G:$G,Lançamentos!$A:$A,CL$19,Lançamentos!$C:$C,"Software e Assinaturas")</f>
        <v>0</v>
      </c>
      <c r="CM55" s="39">
        <f>SUMIFS(Lançamentos!$G:$G,Lançamentos!$A:$A,CM$19,Lançamentos!$C:$C,"Software e Assinaturas")</f>
        <v>0</v>
      </c>
      <c r="CN55" s="39">
        <f>SUMIFS(Lançamentos!$G:$G,Lançamentos!$A:$A,CN$19,Lançamentos!$C:$C,"Software e Assinaturas")</f>
        <v>0</v>
      </c>
      <c r="CO55" s="39">
        <f>SUMIFS(Lançamentos!$G:$G,Lançamentos!$A:$A,CO$19,Lançamentos!$C:$C,"Software e Assinaturas")</f>
        <v>0</v>
      </c>
      <c r="CP55" s="39">
        <f>SUMIFS(Lançamentos!$G:$G,Lançamentos!$A:$A,CP$19,Lançamentos!$C:$C,"Software e Assinaturas")</f>
        <v>0</v>
      </c>
      <c r="CQ55" s="39">
        <f>SUMIFS(Lançamentos!$G:$G,Lançamentos!$A:$A,CQ$19,Lançamentos!$C:$C,"Software e Assinaturas")</f>
        <v>0</v>
      </c>
      <c r="CR55" s="39">
        <f>SUMIFS(Lançamentos!$G:$G,Lançamentos!$A:$A,CR$19,Lançamentos!$C:$C,"Software e Assinaturas")</f>
        <v>0</v>
      </c>
      <c r="CS55" s="39">
        <f>SUMIFS(Lançamentos!$G:$G,Lançamentos!$A:$A,CS$19,Lançamentos!$C:$C,"Software e Assinaturas")</f>
        <v>0</v>
      </c>
      <c r="CT55" s="39">
        <f>SUMIFS(Lançamentos!$G:$G,Lançamentos!$A:$A,CT$19,Lançamentos!$C:$C,"Software e Assinaturas")</f>
        <v>0</v>
      </c>
      <c r="CU55" s="39">
        <f>SUMIFS(Lançamentos!$G:$G,Lançamentos!$A:$A,CU$19,Lançamentos!$C:$C,"Software e Assinaturas")</f>
        <v>0</v>
      </c>
      <c r="CV55" s="39">
        <f>SUMIFS(Lançamentos!$G:$G,Lançamentos!$A:$A,CV$19,Lançamentos!$C:$C,"Software e Assinaturas")</f>
        <v>0</v>
      </c>
      <c r="CW55" s="39">
        <f>SUMIFS(Lançamentos!$G:$G,Lançamentos!$A:$A,CW$19,Lançamentos!$C:$C,"Software e Assinaturas")</f>
        <v>0</v>
      </c>
      <c r="CX55" s="39">
        <f>SUMIFS(Lançamentos!$G:$G,Lançamentos!$A:$A,CX$19,Lançamentos!$C:$C,"Software e Assinaturas")</f>
        <v>0</v>
      </c>
      <c r="CY55" s="39">
        <f>SUMIFS(Lançamentos!$G:$G,Lançamentos!$A:$A,CY$19,Lançamentos!$C:$C,"Software e Assinaturas")</f>
        <v>0</v>
      </c>
      <c r="CZ55" s="39">
        <f>SUMIFS(Lançamentos!$G:$G,Lançamentos!$A:$A,CZ$19,Lançamentos!$C:$C,"Software e Assinaturas")</f>
        <v>0</v>
      </c>
      <c r="DA55" s="39">
        <f>SUMIFS(Lançamentos!$G:$G,Lançamentos!$A:$A,DA$19,Lançamentos!$C:$C,"Software e Assinaturas")</f>
        <v>0</v>
      </c>
      <c r="DB55" s="39">
        <f>SUMIFS(Lançamentos!$G:$G,Lançamentos!$A:$A,DB$19,Lançamentos!$C:$C,"Software e Assinaturas")</f>
        <v>0</v>
      </c>
      <c r="DC55" s="39">
        <f>SUMIFS(Lançamentos!$G:$G,Lançamentos!$A:$A,DC$19,Lançamentos!$C:$C,"Software e Assinaturas")</f>
        <v>0</v>
      </c>
      <c r="DD55" s="39">
        <f>SUMIFS(Lançamentos!$G:$G,Lançamentos!$A:$A,DD$19,Lançamentos!$C:$C,"Software e Assinaturas")</f>
        <v>0</v>
      </c>
      <c r="DE55" s="39">
        <f>SUMIFS(Lançamentos!$G:$G,Lançamentos!$A:$A,DE$19,Lançamentos!$C:$C,"Software e Assinaturas")</f>
        <v>0</v>
      </c>
      <c r="DF55" s="39">
        <f>SUMIFS(Lançamentos!$G:$G,Lançamentos!$A:$A,DF$19,Lançamentos!$C:$C,"Software e Assinaturas")</f>
        <v>0</v>
      </c>
      <c r="DG55" s="39">
        <f>SUMIFS(Lançamentos!$G:$G,Lançamentos!$A:$A,DG$19,Lançamentos!$C:$C,"Software e Assinaturas")</f>
        <v>0</v>
      </c>
      <c r="DH55" s="39">
        <f>SUMIFS(Lançamentos!$G:$G,Lançamentos!$A:$A,DH$19,Lançamentos!$C:$C,"Software e Assinaturas")</f>
        <v>0</v>
      </c>
      <c r="DI55" s="39">
        <f>SUMIFS(Lançamentos!$G:$G,Lançamentos!$A:$A,DI$19,Lançamentos!$C:$C,"Software e Assinaturas")</f>
        <v>0</v>
      </c>
      <c r="DJ55" s="39">
        <f>SUMIFS(Lançamentos!$G:$G,Lançamentos!$A:$A,DJ$19,Lançamentos!$C:$C,"Software e Assinaturas")</f>
        <v>0</v>
      </c>
      <c r="DK55" s="39">
        <f>SUMIFS(Lançamentos!$G:$G,Lançamentos!$A:$A,DK$19,Lançamentos!$C:$C,"Software e Assinaturas")</f>
        <v>0</v>
      </c>
      <c r="DL55" s="39">
        <f>SUMIFS(Lançamentos!$G:$G,Lançamentos!$A:$A,DL$19,Lançamentos!$C:$C,"Software e Assinaturas")</f>
        <v>0</v>
      </c>
      <c r="DM55" s="39">
        <f>SUMIFS(Lançamentos!$G:$G,Lançamentos!$A:$A,DM$19,Lançamentos!$C:$C,"Software e Assinaturas")</f>
        <v>0</v>
      </c>
      <c r="DN55" s="39">
        <f>SUMIFS(Lançamentos!$G:$G,Lançamentos!$A:$A,DN$19,Lançamentos!$C:$C,"Software e Assinaturas")</f>
        <v>0</v>
      </c>
      <c r="DO55" s="39">
        <f>SUMIFS(Lançamentos!$G:$G,Lançamentos!$A:$A,DO$19,Lançamentos!$C:$C,"Software e Assinaturas")</f>
        <v>0</v>
      </c>
      <c r="DP55" s="39">
        <f>SUMIFS(Lançamentos!$G:$G,Lançamentos!$A:$A,DP$19,Lançamentos!$C:$C,"Software e Assinaturas")</f>
        <v>0</v>
      </c>
      <c r="DQ55" s="39">
        <f>SUMIFS(Lançamentos!$G:$G,Lançamentos!$A:$A,DQ$19,Lançamentos!$C:$C,"Software e Assinaturas")</f>
        <v>0</v>
      </c>
      <c r="DR55" s="39">
        <f>SUMIFS(Lançamentos!$G:$G,Lançamentos!$A:$A,DR$19,Lançamentos!$C:$C,"Software e Assinaturas")</f>
        <v>0</v>
      </c>
      <c r="DS55" s="39">
        <f>SUMIFS(Lançamentos!$G:$G,Lançamentos!$A:$A,DS$19,Lançamentos!$C:$C,"Software e Assinaturas")</f>
        <v>0</v>
      </c>
      <c r="DT55" s="39">
        <f>SUMIFS(Lançamentos!$G:$G,Lançamentos!$A:$A,DT$19,Lançamentos!$C:$C,"Software e Assinaturas")</f>
        <v>0</v>
      </c>
      <c r="DU55" s="39">
        <f>SUMIFS(Lançamentos!$G:$G,Lançamentos!$A:$A,DU$19,Lançamentos!$C:$C,"Software e Assinaturas")</f>
        <v>0</v>
      </c>
      <c r="DV55" s="39">
        <f>SUMIFS(Lançamentos!$G:$G,Lançamentos!$A:$A,DV$19,Lançamentos!$C:$C,"Software e Assinaturas")</f>
        <v>0</v>
      </c>
      <c r="DW55" s="39">
        <f>SUMIFS(Lançamentos!$G:$G,Lançamentos!$A:$A,DW$19,Lançamentos!$C:$C,"Software e Assinaturas")</f>
        <v>0</v>
      </c>
      <c r="DX55" s="39">
        <f>SUMIFS(Lançamentos!$G:$G,Lançamentos!$A:$A,DX$19,Lançamentos!$C:$C,"Software e Assinaturas")</f>
        <v>0</v>
      </c>
      <c r="DY55" s="39">
        <f>SUMIFS(Lançamentos!$G:$G,Lançamentos!$A:$A,DY$19,Lançamentos!$C:$C,"Software e Assinaturas")</f>
        <v>0</v>
      </c>
      <c r="DZ55" s="39">
        <f>SUMIFS(Lançamentos!$G:$G,Lançamentos!$A:$A,DZ$19,Lançamentos!$C:$C,"Software e Assinaturas")</f>
        <v>0</v>
      </c>
      <c r="EA55" s="39">
        <f>SUMIFS(Lançamentos!$G:$G,Lançamentos!$A:$A,EA$19,Lançamentos!$C:$C,"Software e Assinaturas")</f>
        <v>0</v>
      </c>
      <c r="EB55" s="39">
        <f>SUMIFS(Lançamentos!$G:$G,Lançamentos!$A:$A,EB$19,Lançamentos!$C:$C,"Software e Assinaturas")</f>
        <v>0</v>
      </c>
      <c r="EC55" s="39">
        <f>SUMIFS(Lançamentos!$G:$G,Lançamentos!$A:$A,EC$19,Lançamentos!$C:$C,"Software e Assinaturas")</f>
        <v>0</v>
      </c>
      <c r="ED55" s="39">
        <f>SUMIFS(Lançamentos!$G:$G,Lançamentos!$A:$A,ED$19,Lançamentos!$C:$C,"Software e Assinaturas")</f>
        <v>0</v>
      </c>
      <c r="EE55" s="39">
        <f>SUMIFS(Lançamentos!$G:$G,Lançamentos!$A:$A,EE$19,Lançamentos!$C:$C,"Software e Assinaturas")</f>
        <v>0</v>
      </c>
      <c r="EF55" s="39">
        <f>SUMIFS(Lançamentos!$G:$G,Lançamentos!$A:$A,EF$19,Lançamentos!$C:$C,"Software e Assinaturas")</f>
        <v>0</v>
      </c>
      <c r="EG55" s="39">
        <f>SUMIFS(Lançamentos!$G:$G,Lançamentos!$A:$A,EG$19,Lançamentos!$C:$C,"Software e Assinaturas")</f>
        <v>0</v>
      </c>
      <c r="EH55" s="39">
        <f>SUMIFS(Lançamentos!$G:$G,Lançamentos!$A:$A,EH$19,Lançamentos!$C:$C,"Software e Assinaturas")</f>
        <v>0</v>
      </c>
      <c r="EI55" s="39">
        <f>SUMIFS(Lançamentos!$G:$G,Lançamentos!$A:$A,EI$19,Lançamentos!$C:$C,"Software e Assinaturas")</f>
        <v>0</v>
      </c>
      <c r="EJ55" s="39">
        <f>SUMIFS(Lançamentos!$G:$G,Lançamentos!$A:$A,EJ$19,Lançamentos!$C:$C,"Software e Assinaturas")</f>
        <v>0</v>
      </c>
      <c r="EK55" s="39">
        <f>SUMIFS(Lançamentos!$G:$G,Lançamentos!$A:$A,EK$19,Lançamentos!$C:$C,"Software e Assinaturas")</f>
        <v>0</v>
      </c>
      <c r="EL55" s="39">
        <f>SUMIFS(Lançamentos!$G:$G,Lançamentos!$A:$A,EL$19,Lançamentos!$C:$C,"Software e Assinaturas")</f>
        <v>0</v>
      </c>
      <c r="EM55" s="39">
        <f>SUMIFS(Lançamentos!$G:$G,Lançamentos!$A:$A,EM$19,Lançamentos!$C:$C,"Software e Assinaturas")</f>
        <v>0</v>
      </c>
      <c r="EN55" s="39">
        <f>SUMIFS(Lançamentos!$G:$G,Lançamentos!$A:$A,EN$19,Lançamentos!$C:$C,"Software e Assinaturas")</f>
        <v>0</v>
      </c>
      <c r="EO55" s="39">
        <f>SUMIFS(Lançamentos!$G:$G,Lançamentos!$A:$A,EO$19,Lançamentos!$C:$C,"Software e Assinaturas")</f>
        <v>0</v>
      </c>
      <c r="EP55" s="39">
        <f>SUMIFS(Lançamentos!$G:$G,Lançamentos!$A:$A,EP$19,Lançamentos!$C:$C,"Software e Assinaturas")</f>
        <v>0</v>
      </c>
      <c r="EQ55" s="39">
        <f>SUMIFS(Lançamentos!$G:$G,Lançamentos!$A:$A,EQ$19,Lançamentos!$C:$C,"Software e Assinaturas")</f>
        <v>0</v>
      </c>
      <c r="ER55" s="39">
        <f>SUMIFS(Lançamentos!$G:$G,Lançamentos!$A:$A,ER$19,Lançamentos!$C:$C,"Software e Assinaturas")</f>
        <v>0</v>
      </c>
      <c r="ES55" s="39">
        <f>SUMIFS(Lançamentos!$G:$G,Lançamentos!$A:$A,ES$19,Lançamentos!$C:$C,"Software e Assinaturas")</f>
        <v>0</v>
      </c>
      <c r="ET55" s="39">
        <f>SUMIFS(Lançamentos!$G:$G,Lançamentos!$A:$A,ET$19,Lançamentos!$C:$C,"Software e Assinaturas")</f>
        <v>0</v>
      </c>
      <c r="EU55" s="39">
        <f>SUMIFS(Lançamentos!$G:$G,Lançamentos!$A:$A,EU$19,Lançamentos!$C:$C,"Software e Assinaturas")</f>
        <v>0</v>
      </c>
      <c r="EV55" s="39">
        <f>SUMIFS(Lançamentos!$G:$G,Lançamentos!$A:$A,EV$19,Lançamentos!$C:$C,"Software e Assinaturas")</f>
        <v>0</v>
      </c>
      <c r="EW55" s="39">
        <f>SUMIFS(Lançamentos!$G:$G,Lançamentos!$A:$A,EW$19,Lançamentos!$C:$C,"Software e Assinaturas")</f>
        <v>0</v>
      </c>
      <c r="EX55" s="39">
        <f>SUMIFS(Lançamentos!$G:$G,Lançamentos!$A:$A,EX$19,Lançamentos!$C:$C,"Software e Assinaturas")</f>
        <v>0</v>
      </c>
      <c r="EY55" s="39">
        <f>SUMIFS(Lançamentos!$G:$G,Lançamentos!$A:$A,EY$19,Lançamentos!$C:$C,"Software e Assinaturas")</f>
        <v>0</v>
      </c>
      <c r="EZ55" s="39">
        <f>SUMIFS(Lançamentos!$G:$G,Lançamentos!$A:$A,EZ$19,Lançamentos!$C:$C,"Software e Assinaturas")</f>
        <v>0</v>
      </c>
      <c r="FA55" s="39">
        <f>SUMIFS(Lançamentos!$G:$G,Lançamentos!$A:$A,FA$19,Lançamentos!$C:$C,"Software e Assinaturas")</f>
        <v>0</v>
      </c>
      <c r="FB55" s="39">
        <f>SUMIFS(Lançamentos!$G:$G,Lançamentos!$A:$A,FB$19,Lançamentos!$C:$C,"Software e Assinaturas")</f>
        <v>0</v>
      </c>
      <c r="FC55" s="39">
        <f>SUMIFS(Lançamentos!$G:$G,Lançamentos!$A:$A,FC$19,Lançamentos!$C:$C,"Software e Assinaturas")</f>
        <v>0</v>
      </c>
      <c r="FD55" s="39">
        <f>SUMIFS(Lançamentos!$G:$G,Lançamentos!$A:$A,FD$19,Lançamentos!$C:$C,"Software e Assinaturas")</f>
        <v>0</v>
      </c>
      <c r="FE55" s="39">
        <f>SUMIFS(Lançamentos!$G:$G,Lançamentos!$A:$A,FE$19,Lançamentos!$C:$C,"Software e Assinaturas")</f>
        <v>0</v>
      </c>
      <c r="FF55" s="39">
        <f>SUMIFS(Lançamentos!$G:$G,Lançamentos!$A:$A,FF$19,Lançamentos!$C:$C,"Software e Assinaturas")</f>
        <v>0</v>
      </c>
      <c r="FG55" s="39">
        <f>SUMIFS(Lançamentos!$G:$G,Lançamentos!$A:$A,FG$19,Lançamentos!$C:$C,"Software e Assinaturas")</f>
        <v>0</v>
      </c>
      <c r="FH55" s="39">
        <f>SUMIFS(Lançamentos!$G:$G,Lançamentos!$A:$A,FH$19,Lançamentos!$C:$C,"Software e Assinaturas")</f>
        <v>0</v>
      </c>
      <c r="FI55" s="39">
        <f>SUMIFS(Lançamentos!$G:$G,Lançamentos!$A:$A,FI$19,Lançamentos!$C:$C,"Software e Assinaturas")</f>
        <v>0</v>
      </c>
      <c r="FJ55" s="39">
        <f>SUMIFS(Lançamentos!$G:$G,Lançamentos!$A:$A,FJ$19,Lançamentos!$C:$C,"Software e Assinaturas")</f>
        <v>0</v>
      </c>
      <c r="FK55" s="39">
        <f>SUMIFS(Lançamentos!$G:$G,Lançamentos!$A:$A,FK$19,Lançamentos!$C:$C,"Software e Assinaturas")</f>
        <v>0</v>
      </c>
      <c r="FL55" s="39">
        <f>SUMIFS(Lançamentos!$G:$G,Lançamentos!$A:$A,FL$19,Lançamentos!$C:$C,"Software e Assinaturas")</f>
        <v>0</v>
      </c>
      <c r="FM55" s="39">
        <f>SUMIFS(Lançamentos!$G:$G,Lançamentos!$A:$A,FM$19,Lançamentos!$C:$C,"Software e Assinaturas")</f>
        <v>0</v>
      </c>
      <c r="FN55" s="39">
        <f>SUMIFS(Lançamentos!$G:$G,Lançamentos!$A:$A,FN$19,Lançamentos!$C:$C,"Software e Assinaturas")</f>
        <v>0</v>
      </c>
      <c r="FO55" s="39">
        <f>SUMIFS(Lançamentos!$G:$G,Lançamentos!$A:$A,FO$19,Lançamentos!$C:$C,"Software e Assinaturas")</f>
        <v>0</v>
      </c>
      <c r="FP55" s="39">
        <f>SUMIFS(Lançamentos!$G:$G,Lançamentos!$A:$A,FP$19,Lançamentos!$C:$C,"Software e Assinaturas")</f>
        <v>0</v>
      </c>
      <c r="FQ55" s="39">
        <f>SUMIFS(Lançamentos!$G:$G,Lançamentos!$A:$A,FQ$19,Lançamentos!$C:$C,"Software e Assinaturas")</f>
        <v>0</v>
      </c>
      <c r="FR55" s="39">
        <f>SUMIFS(Lançamentos!$G:$G,Lançamentos!$A:$A,FR$19,Lançamentos!$C:$C,"Software e Assinaturas")</f>
        <v>0</v>
      </c>
      <c r="FS55" s="39">
        <f>SUMIFS(Lançamentos!$G:$G,Lançamentos!$A:$A,FS$19,Lançamentos!$C:$C,"Software e Assinaturas")</f>
        <v>0</v>
      </c>
      <c r="FT55" s="39">
        <f>SUMIFS(Lançamentos!$G:$G,Lançamentos!$A:$A,FT$19,Lançamentos!$C:$C,"Software e Assinaturas")</f>
        <v>0</v>
      </c>
      <c r="FU55" s="39">
        <f>SUMIFS(Lançamentos!$G:$G,Lançamentos!$A:$A,FU$19,Lançamentos!$C:$C,"Software e Assinaturas")</f>
        <v>0</v>
      </c>
      <c r="FV55" s="39">
        <f>SUMIFS(Lançamentos!$G:$G,Lançamentos!$A:$A,FV$19,Lançamentos!$C:$C,"Software e Assinaturas")</f>
        <v>0</v>
      </c>
      <c r="FW55" s="39">
        <f>SUMIFS(Lançamentos!$G:$G,Lançamentos!$A:$A,FW$19,Lançamentos!$C:$C,"Software e Assinaturas")</f>
        <v>0</v>
      </c>
      <c r="FX55" s="39">
        <f>SUMIFS(Lançamentos!$G:$G,Lançamentos!$A:$A,FX$19,Lançamentos!$C:$C,"Software e Assinaturas")</f>
        <v>0</v>
      </c>
      <c r="FY55" s="39">
        <f>SUMIFS(Lançamentos!$G:$G,Lançamentos!$A:$A,FY$19,Lançamentos!$C:$C,"Software e Assinaturas")</f>
        <v>0</v>
      </c>
      <c r="FZ55" s="39">
        <f>SUMIFS(Lançamentos!$G:$G,Lançamentos!$A:$A,FZ$19,Lançamentos!$C:$C,"Software e Assinaturas")</f>
        <v>0</v>
      </c>
      <c r="GA55" s="39">
        <f>SUMIFS(Lançamentos!$G:$G,Lançamentos!$A:$A,GA$19,Lançamentos!$C:$C,"Software e Assinaturas")</f>
        <v>0</v>
      </c>
      <c r="GB55" s="39">
        <f>SUMIFS(Lançamentos!$G:$G,Lançamentos!$A:$A,GB$19,Lançamentos!$C:$C,"Software e Assinaturas")</f>
        <v>0</v>
      </c>
      <c r="GC55" s="39">
        <f>SUMIFS(Lançamentos!$G:$G,Lançamentos!$A:$A,GC$19,Lançamentos!$C:$C,"Software e Assinaturas")</f>
        <v>0</v>
      </c>
      <c r="GD55" s="39">
        <f>SUMIFS(Lançamentos!$G:$G,Lançamentos!$A:$A,GD$19,Lançamentos!$C:$C,"Software e Assinaturas")</f>
        <v>0</v>
      </c>
      <c r="GE55" s="39">
        <f>SUMIFS(Lançamentos!$G:$G,Lançamentos!$A:$A,GE$19,Lançamentos!$C:$C,"Software e Assinaturas")</f>
        <v>0</v>
      </c>
      <c r="GF55" s="39">
        <f>SUMIFS(Lançamentos!$G:$G,Lançamentos!$A:$A,GF$19,Lançamentos!$C:$C,"Software e Assinaturas")</f>
        <v>0</v>
      </c>
      <c r="GG55" s="39">
        <f>SUMIFS(Lançamentos!$G:$G,Lançamentos!$A:$A,GG$19,Lançamentos!$C:$C,"Software e Assinaturas")</f>
        <v>0</v>
      </c>
      <c r="GH55" s="39">
        <f>SUMIFS(Lançamentos!$G:$G,Lançamentos!$A:$A,GH$19,Lançamentos!$C:$C,"Software e Assinaturas")</f>
        <v>0</v>
      </c>
      <c r="GI55" s="39">
        <f>SUMIFS(Lançamentos!$G:$G,Lançamentos!$A:$A,GI$19,Lançamentos!$C:$C,"Software e Assinaturas")</f>
        <v>0</v>
      </c>
      <c r="GJ55" s="39">
        <f>SUMIFS(Lançamentos!$G:$G,Lançamentos!$A:$A,GJ$19,Lançamentos!$C:$C,"Software e Assinaturas")</f>
        <v>0</v>
      </c>
      <c r="GK55" s="39">
        <f>SUMIFS(Lançamentos!$G:$G,Lançamentos!$A:$A,GK$19,Lançamentos!$C:$C,"Software e Assinaturas")</f>
        <v>0</v>
      </c>
      <c r="GL55" s="39">
        <f>SUMIFS(Lançamentos!$G:$G,Lançamentos!$A:$A,GL$19,Lançamentos!$C:$C,"Software e Assinaturas")</f>
        <v>0</v>
      </c>
      <c r="GM55" s="39">
        <f>SUMIFS(Lançamentos!$G:$G,Lançamentos!$A:$A,GM$19,Lançamentos!$C:$C,"Software e Assinaturas")</f>
        <v>0</v>
      </c>
      <c r="GN55" s="39">
        <f>SUMIFS(Lançamentos!$G:$G,Lançamentos!$A:$A,GN$19,Lançamentos!$C:$C,"Software e Assinaturas")</f>
        <v>0</v>
      </c>
      <c r="GO55" s="39">
        <f>SUMIFS(Lançamentos!$G:$G,Lançamentos!$A:$A,GO$19,Lançamentos!$C:$C,"Software e Assinaturas")</f>
        <v>0</v>
      </c>
      <c r="GP55" s="39">
        <f>SUMIFS(Lançamentos!$G:$G,Lançamentos!$A:$A,GP$19,Lançamentos!$C:$C,"Software e Assinaturas")</f>
        <v>0</v>
      </c>
      <c r="GQ55" s="39">
        <f>SUMIFS(Lançamentos!$G:$G,Lançamentos!$A:$A,GQ$19,Lançamentos!$C:$C,"Software e Assinaturas")</f>
        <v>0</v>
      </c>
      <c r="GR55" s="39">
        <f>SUMIFS(Lançamentos!$G:$G,Lançamentos!$A:$A,GR$19,Lançamentos!$C:$C,"Software e Assinaturas")</f>
        <v>0</v>
      </c>
      <c r="GS55" s="39">
        <f>SUMIFS(Lançamentos!$G:$G,Lançamentos!$A:$A,GS$19,Lançamentos!$C:$C,"Software e Assinaturas")</f>
        <v>0</v>
      </c>
      <c r="GT55" s="39">
        <f>SUMIFS(Lançamentos!$G:$G,Lançamentos!$A:$A,GT$19,Lançamentos!$C:$C,"Software e Assinaturas")</f>
        <v>0</v>
      </c>
      <c r="GU55" s="39">
        <f>SUMIFS(Lançamentos!$G:$G,Lançamentos!$A:$A,GU$19,Lançamentos!$C:$C,"Software e Assinaturas")</f>
        <v>0</v>
      </c>
      <c r="GV55" s="39">
        <f>SUMIFS(Lançamentos!$G:$G,Lançamentos!$A:$A,GV$19,Lançamentos!$C:$C,"Software e Assinaturas")</f>
        <v>0</v>
      </c>
      <c r="GW55" s="39">
        <f>SUMIFS(Lançamentos!$G:$G,Lançamentos!$A:$A,GW$19,Lançamentos!$C:$C,"Software e Assinaturas")</f>
        <v>0</v>
      </c>
      <c r="GX55" s="39">
        <f>SUMIFS(Lançamentos!$G:$G,Lançamentos!$A:$A,GX$19,Lançamentos!$C:$C,"Software e Assinaturas")</f>
        <v>0</v>
      </c>
      <c r="GY55" s="39">
        <f>SUMIFS(Lançamentos!$G:$G,Lançamentos!$A:$A,GY$19,Lançamentos!$C:$C,"Software e Assinaturas")</f>
        <v>0</v>
      </c>
      <c r="GZ55" s="39">
        <f>SUMIFS(Lançamentos!$G:$G,Lançamentos!$A:$A,GZ$19,Lançamentos!$C:$C,"Software e Assinaturas")</f>
        <v>0</v>
      </c>
      <c r="HA55" s="39">
        <f>SUMIFS(Lançamentos!$G:$G,Lançamentos!$A:$A,HA$19,Lançamentos!$C:$C,"Software e Assinaturas")</f>
        <v>0</v>
      </c>
      <c r="HB55" s="39">
        <f>SUMIFS(Lançamentos!$G:$G,Lançamentos!$A:$A,HB$19,Lançamentos!$C:$C,"Software e Assinaturas")</f>
        <v>0</v>
      </c>
      <c r="HC55" s="39">
        <f>SUMIFS(Lançamentos!$G:$G,Lançamentos!$A:$A,HC$19,Lançamentos!$C:$C,"Software e Assinaturas")</f>
        <v>0</v>
      </c>
      <c r="HD55" s="39">
        <f>SUMIFS(Lançamentos!$G:$G,Lançamentos!$A:$A,HD$19,Lançamentos!$C:$C,"Software e Assinaturas")</f>
        <v>0</v>
      </c>
      <c r="HE55" s="39">
        <f>SUMIFS(Lançamentos!$G:$G,Lançamentos!$A:$A,HE$19,Lançamentos!$C:$C,"Software e Assinaturas")</f>
        <v>0</v>
      </c>
      <c r="HF55" s="39">
        <f>SUMIFS(Lançamentos!$G:$G,Lançamentos!$A:$A,HF$19,Lançamentos!$C:$C,"Software e Assinaturas")</f>
        <v>0</v>
      </c>
      <c r="HG55" s="39">
        <f>SUMIFS(Lançamentos!$G:$G,Lançamentos!$A:$A,HG$19,Lançamentos!$C:$C,"Software e Assinaturas")</f>
        <v>0</v>
      </c>
      <c r="HH55" s="39">
        <f>SUMIFS(Lançamentos!$G:$G,Lançamentos!$A:$A,HH$19,Lançamentos!$C:$C,"Software e Assinaturas")</f>
        <v>0</v>
      </c>
      <c r="HI55" s="39">
        <f>SUMIFS(Lançamentos!$G:$G,Lançamentos!$A:$A,HI$19,Lançamentos!$C:$C,"Software e Assinaturas")</f>
        <v>0</v>
      </c>
      <c r="HJ55" s="39">
        <f>SUMIFS(Lançamentos!$G:$G,Lançamentos!$A:$A,HJ$19,Lançamentos!$C:$C,"Software e Assinaturas")</f>
        <v>0</v>
      </c>
      <c r="HK55" s="39">
        <f>SUMIFS(Lançamentos!$G:$G,Lançamentos!$A:$A,HK$19,Lançamentos!$C:$C,"Software e Assinaturas")</f>
        <v>0</v>
      </c>
      <c r="HL55" s="39">
        <f>SUMIFS(Lançamentos!$G:$G,Lançamentos!$A:$A,HL$19,Lançamentos!$C:$C,"Software e Assinaturas")</f>
        <v>0</v>
      </c>
      <c r="HM55" s="39">
        <f>SUMIFS(Lançamentos!$G:$G,Lançamentos!$A:$A,HM$19,Lançamentos!$C:$C,"Software e Assinaturas")</f>
        <v>0</v>
      </c>
      <c r="HN55" s="39">
        <f>SUMIFS(Lançamentos!$G:$G,Lançamentos!$A:$A,HN$19,Lançamentos!$C:$C,"Software e Assinaturas")</f>
        <v>0</v>
      </c>
      <c r="HO55" s="39">
        <f>SUMIFS(Lançamentos!$G:$G,Lançamentos!$A:$A,HO$19,Lançamentos!$C:$C,"Software e Assinaturas")</f>
        <v>0</v>
      </c>
      <c r="HP55" s="39">
        <f>SUMIFS(Lançamentos!$G:$G,Lançamentos!$A:$A,HP$19,Lançamentos!$C:$C,"Software e Assinaturas")</f>
        <v>0</v>
      </c>
      <c r="HQ55" s="39">
        <f>SUMIFS(Lançamentos!$G:$G,Lançamentos!$A:$A,HQ$19,Lançamentos!$C:$C,"Software e Assinaturas")</f>
        <v>0</v>
      </c>
      <c r="HR55" s="39">
        <f>SUMIFS(Lançamentos!$G:$G,Lançamentos!$A:$A,HR$19,Lançamentos!$C:$C,"Software e Assinaturas")</f>
        <v>0</v>
      </c>
      <c r="HS55" s="39">
        <f>SUMIFS(Lançamentos!$G:$G,Lançamentos!$A:$A,HS$19,Lançamentos!$C:$C,"Software e Assinaturas")</f>
        <v>0</v>
      </c>
      <c r="HT55" s="39">
        <f>SUMIFS(Lançamentos!$G:$G,Lançamentos!$A:$A,HT$19,Lançamentos!$C:$C,"Software e Assinaturas")</f>
        <v>0</v>
      </c>
      <c r="HU55" s="39">
        <f>SUMIFS(Lançamentos!$G:$G,Lançamentos!$A:$A,HU$19,Lançamentos!$C:$C,"Software e Assinaturas")</f>
        <v>0</v>
      </c>
      <c r="HV55" s="39">
        <f>SUMIFS(Lançamentos!$G:$G,Lançamentos!$A:$A,HV$19,Lançamentos!$C:$C,"Software e Assinaturas")</f>
        <v>0</v>
      </c>
      <c r="HW55" s="39">
        <f>SUMIFS(Lançamentos!$G:$G,Lançamentos!$A:$A,HW$19,Lançamentos!$C:$C,"Software e Assinaturas")</f>
        <v>0</v>
      </c>
      <c r="HX55" s="39">
        <f>SUMIFS(Lançamentos!$G:$G,Lançamentos!$A:$A,HX$19,Lançamentos!$C:$C,"Software e Assinaturas")</f>
        <v>0</v>
      </c>
      <c r="HY55" s="39">
        <f>SUMIFS(Lançamentos!$G:$G,Lançamentos!$A:$A,HY$19,Lançamentos!$C:$C,"Software e Assinaturas")</f>
        <v>0</v>
      </c>
      <c r="HZ55" s="39">
        <f>SUMIFS(Lançamentos!$G:$G,Lançamentos!$A:$A,HZ$19,Lançamentos!$C:$C,"Software e Assinaturas")</f>
        <v>0</v>
      </c>
      <c r="IA55" s="39">
        <f>SUMIFS(Lançamentos!$G:$G,Lançamentos!$A:$A,IA$19,Lançamentos!$C:$C,"Software e Assinaturas")</f>
        <v>0</v>
      </c>
      <c r="IB55" s="39">
        <f>SUMIFS(Lançamentos!$G:$G,Lançamentos!$A:$A,IB$19,Lançamentos!$C:$C,"Software e Assinaturas")</f>
        <v>0</v>
      </c>
      <c r="IC55" s="39">
        <f>SUMIFS(Lançamentos!$G:$G,Lançamentos!$A:$A,IC$19,Lançamentos!$C:$C,"Software e Assinaturas")</f>
        <v>0</v>
      </c>
      <c r="ID55" s="39">
        <f>SUMIFS(Lançamentos!$G:$G,Lançamentos!$A:$A,ID$19,Lançamentos!$C:$C,"Software e Assinaturas")</f>
        <v>0</v>
      </c>
      <c r="IE55" s="39">
        <f>SUMIFS(Lançamentos!$G:$G,Lançamentos!$A:$A,IE$19,Lançamentos!$C:$C,"Software e Assinaturas")</f>
        <v>0</v>
      </c>
      <c r="IF55" s="39">
        <f>SUMIFS(Lançamentos!$G:$G,Lançamentos!$A:$A,IF$19,Lançamentos!$C:$C,"Software e Assinaturas")</f>
        <v>0</v>
      </c>
      <c r="IG55" s="39">
        <f>SUMIFS(Lançamentos!$G:$G,Lançamentos!$A:$A,IG$19,Lançamentos!$C:$C,"Software e Assinaturas")</f>
        <v>0</v>
      </c>
      <c r="IH55" s="39">
        <f>SUMIFS(Lançamentos!$G:$G,Lançamentos!$A:$A,IH$19,Lançamentos!$C:$C,"Software e Assinaturas")</f>
        <v>0</v>
      </c>
      <c r="II55" s="39">
        <f>SUMIFS(Lançamentos!$G:$G,Lançamentos!$A:$A,II$19,Lançamentos!$C:$C,"Software e Assinaturas")</f>
        <v>0</v>
      </c>
      <c r="IJ55" s="39">
        <f>SUMIFS(Lançamentos!$G:$G,Lançamentos!$A:$A,IJ$19,Lançamentos!$C:$C,"Software e Assinaturas")</f>
        <v>0</v>
      </c>
      <c r="IK55" s="39">
        <f>SUMIFS(Lançamentos!$G:$G,Lançamentos!$A:$A,IK$19,Lançamentos!$C:$C,"Software e Assinaturas")</f>
        <v>0</v>
      </c>
      <c r="IL55" s="39">
        <f>SUMIFS(Lançamentos!$G:$G,Lançamentos!$A:$A,IL$19,Lançamentos!$C:$C,"Software e Assinaturas")</f>
        <v>0</v>
      </c>
    </row>
    <row r="56" spans="1:246" x14ac:dyDescent="0.3">
      <c r="A56" t="s">
        <v>101</v>
      </c>
      <c r="B56" s="39">
        <f>SUMIFS(Lançamentos!$G:$G,Lançamentos!$A:$A,B$19,Lançamentos!$C:$C,"Telefone e Celular")</f>
        <v>0</v>
      </c>
      <c r="C56" s="39">
        <f>SUMIFS(Lançamentos!$G:$G,Lançamentos!$A:$A,C$19,Lançamentos!$C:$C,"Telefone e Celular")</f>
        <v>0</v>
      </c>
      <c r="D56" s="39">
        <f>SUMIFS(Lançamentos!$G:$G,Lançamentos!$A:$A,D$19,Lançamentos!$C:$C,"Telefone e Celular")</f>
        <v>0</v>
      </c>
      <c r="E56" s="39">
        <f>SUMIFS(Lançamentos!$G:$G,Lançamentos!$A:$A,E$19,Lançamentos!$C:$C,"Telefone e Celular")</f>
        <v>0</v>
      </c>
      <c r="F56" s="39">
        <f>SUMIFS(Lançamentos!$G:$G,Lançamentos!$A:$A,F$19,Lançamentos!$C:$C,"Telefone e Celular")</f>
        <v>0</v>
      </c>
      <c r="G56" s="39">
        <f>SUMIFS(Lançamentos!$G:$G,Lançamentos!$A:$A,G$19,Lançamentos!$C:$C,"Telefone e Celular")</f>
        <v>0</v>
      </c>
      <c r="H56" s="39">
        <f>SUMIFS(Lançamentos!$G:$G,Lançamentos!$A:$A,H$19,Lançamentos!$C:$C,"Telefone e Celular")</f>
        <v>0</v>
      </c>
      <c r="I56" s="39">
        <f>SUMIFS(Lançamentos!$G:$G,Lançamentos!$A:$A,I$19,Lançamentos!$C:$C,"Telefone e Celular")</f>
        <v>0</v>
      </c>
      <c r="J56" s="39">
        <f>SUMIFS(Lançamentos!$G:$G,Lançamentos!$A:$A,J$19,Lançamentos!$C:$C,"Telefone e Celular")</f>
        <v>0</v>
      </c>
      <c r="K56" s="39">
        <f>SUMIFS(Lançamentos!$G:$G,Lançamentos!$A:$A,K$19,Lançamentos!$C:$C,"Telefone e Celular")</f>
        <v>0</v>
      </c>
      <c r="L56" s="39">
        <f>SUMIFS(Lançamentos!$G:$G,Lançamentos!$A:$A,L$19,Lançamentos!$C:$C,"Telefone e Celular")</f>
        <v>0</v>
      </c>
      <c r="M56" s="39">
        <f>SUMIFS(Lançamentos!$G:$G,Lançamentos!$A:$A,M$19,Lançamentos!$C:$C,"Telefone e Celular")</f>
        <v>0</v>
      </c>
      <c r="N56" s="39">
        <f>SUMIFS(Lançamentos!$G:$G,Lançamentos!$A:$A,N$19,Lançamentos!$C:$C,"Telefone e Celular")</f>
        <v>0</v>
      </c>
      <c r="O56" s="39">
        <f>SUMIFS(Lançamentos!$G:$G,Lançamentos!$A:$A,O$19,Lançamentos!$C:$C,"Telefone e Celular")</f>
        <v>0</v>
      </c>
      <c r="P56" s="39">
        <f>SUMIFS(Lançamentos!$G:$G,Lançamentos!$A:$A,P$19,Lançamentos!$C:$C,"Telefone e Celular")</f>
        <v>0</v>
      </c>
      <c r="Q56" s="39">
        <f>SUMIFS(Lançamentos!$G:$G,Lançamentos!$A:$A,Q$19,Lançamentos!$C:$C,"Telefone e Celular")</f>
        <v>0</v>
      </c>
      <c r="R56" s="39">
        <f>SUMIFS(Lançamentos!$G:$G,Lançamentos!$A:$A,R$19,Lançamentos!$C:$C,"Telefone e Celular")</f>
        <v>0</v>
      </c>
      <c r="S56" s="39">
        <f>SUMIFS(Lançamentos!$G:$G,Lançamentos!$A:$A,S$19,Lançamentos!$C:$C,"Telefone e Celular")</f>
        <v>0</v>
      </c>
      <c r="T56" s="39">
        <f>SUMIFS(Lançamentos!$G:$G,Lançamentos!$A:$A,T$19,Lançamentos!$C:$C,"Telefone e Celular")</f>
        <v>0</v>
      </c>
      <c r="U56" s="39">
        <f>SUMIFS(Lançamentos!$G:$G,Lançamentos!$A:$A,U$19,Lançamentos!$C:$C,"Telefone e Celular")</f>
        <v>0</v>
      </c>
      <c r="V56" s="39">
        <f>SUMIFS(Lançamentos!$G:$G,Lançamentos!$A:$A,V$19,Lançamentos!$C:$C,"Telefone e Celular")</f>
        <v>0</v>
      </c>
      <c r="W56" s="39">
        <f>SUMIFS(Lançamentos!$G:$G,Lançamentos!$A:$A,W$19,Lançamentos!$C:$C,"Telefone e Celular")</f>
        <v>0</v>
      </c>
      <c r="X56" s="39">
        <f>SUMIFS(Lançamentos!$G:$G,Lançamentos!$A:$A,X$19,Lançamentos!$C:$C,"Telefone e Celular")</f>
        <v>0</v>
      </c>
      <c r="Y56" s="39">
        <f>SUMIFS(Lançamentos!$G:$G,Lançamentos!$A:$A,Y$19,Lançamentos!$C:$C,"Telefone e Celular")</f>
        <v>0</v>
      </c>
      <c r="Z56" s="39">
        <f>SUMIFS(Lançamentos!$G:$G,Lançamentos!$A:$A,Z$19,Lançamentos!$C:$C,"Telefone e Celular")</f>
        <v>0</v>
      </c>
      <c r="AA56" s="39">
        <f>SUMIFS(Lançamentos!$G:$G,Lançamentos!$A:$A,AA$19,Lançamentos!$C:$C,"Telefone e Celular")</f>
        <v>0</v>
      </c>
      <c r="AB56" s="39">
        <f>SUMIFS(Lançamentos!$G:$G,Lançamentos!$A:$A,AB$19,Lançamentos!$C:$C,"Telefone e Celular")</f>
        <v>0</v>
      </c>
      <c r="AC56" s="39">
        <f>SUMIFS(Lançamentos!$G:$G,Lançamentos!$A:$A,AC$19,Lançamentos!$C:$C,"Telefone e Celular")</f>
        <v>0</v>
      </c>
      <c r="AD56" s="39">
        <f>SUMIFS(Lançamentos!$G:$G,Lançamentos!$A:$A,AD$19,Lançamentos!$C:$C,"Telefone e Celular")</f>
        <v>0</v>
      </c>
      <c r="AE56" s="39">
        <f>SUMIFS(Lançamentos!$G:$G,Lançamentos!$A:$A,AE$19,Lançamentos!$C:$C,"Telefone e Celular")</f>
        <v>0</v>
      </c>
      <c r="AF56" s="39">
        <f>SUMIFS(Lançamentos!$G:$G,Lançamentos!$A:$A,AF$19,Lançamentos!$C:$C,"Telefone e Celular")</f>
        <v>0</v>
      </c>
      <c r="AG56" s="39">
        <f>SUMIFS(Lançamentos!$G:$G,Lançamentos!$A:$A,AG$19,Lançamentos!$C:$C,"Telefone e Celular")</f>
        <v>0</v>
      </c>
      <c r="AH56" s="39">
        <f>SUMIFS(Lançamentos!$G:$G,Lançamentos!$A:$A,AH$19,Lançamentos!$C:$C,"Telefone e Celular")</f>
        <v>0</v>
      </c>
      <c r="AI56" s="39">
        <f>SUMIFS(Lançamentos!$G:$G,Lançamentos!$A:$A,AI$19,Lançamentos!$C:$C,"Telefone e Celular")</f>
        <v>0</v>
      </c>
      <c r="AJ56" s="39">
        <f>SUMIFS(Lançamentos!$G:$G,Lançamentos!$A:$A,AJ$19,Lançamentos!$C:$C,"Telefone e Celular")</f>
        <v>0</v>
      </c>
      <c r="AK56" s="39">
        <f>SUMIFS(Lançamentos!$G:$G,Lançamentos!$A:$A,AK$19,Lançamentos!$C:$C,"Telefone e Celular")</f>
        <v>0</v>
      </c>
      <c r="AL56" s="39">
        <f>SUMIFS(Lançamentos!$G:$G,Lançamentos!$A:$A,AL$19,Lançamentos!$C:$C,"Telefone e Celular")</f>
        <v>0</v>
      </c>
      <c r="AM56" s="39">
        <f>SUMIFS(Lançamentos!$G:$G,Lançamentos!$A:$A,AM$19,Lançamentos!$C:$C,"Telefone e Celular")</f>
        <v>0</v>
      </c>
      <c r="AN56" s="39">
        <f>SUMIFS(Lançamentos!$G:$G,Lançamentos!$A:$A,AN$19,Lançamentos!$C:$C,"Telefone e Celular")</f>
        <v>0</v>
      </c>
      <c r="AO56" s="39">
        <f>SUMIFS(Lançamentos!$G:$G,Lançamentos!$A:$A,AO$19,Lançamentos!$C:$C,"Telefone e Celular")</f>
        <v>0</v>
      </c>
      <c r="AP56" s="39">
        <f>SUMIFS(Lançamentos!$G:$G,Lançamentos!$A:$A,AP$19,Lançamentos!$C:$C,"Telefone e Celular")</f>
        <v>0</v>
      </c>
      <c r="AQ56" s="39">
        <f>SUMIFS(Lançamentos!$G:$G,Lançamentos!$A:$A,AQ$19,Lançamentos!$C:$C,"Telefone e Celular")</f>
        <v>0</v>
      </c>
      <c r="AR56" s="39">
        <f>SUMIFS(Lançamentos!$G:$G,Lançamentos!$A:$A,AR$19,Lançamentos!$C:$C,"Telefone e Celular")</f>
        <v>0</v>
      </c>
      <c r="AS56" s="39">
        <f>SUMIFS(Lançamentos!$G:$G,Lançamentos!$A:$A,AS$19,Lançamentos!$C:$C,"Telefone e Celular")</f>
        <v>0</v>
      </c>
      <c r="AT56" s="39">
        <f>SUMIFS(Lançamentos!$G:$G,Lançamentos!$A:$A,AT$19,Lançamentos!$C:$C,"Telefone e Celular")</f>
        <v>0</v>
      </c>
      <c r="AU56" s="39">
        <f>SUMIFS(Lançamentos!$G:$G,Lançamentos!$A:$A,AU$19,Lançamentos!$C:$C,"Telefone e Celular")</f>
        <v>0</v>
      </c>
      <c r="AV56" s="39">
        <f>SUMIFS(Lançamentos!$G:$G,Lançamentos!$A:$A,AV$19,Lançamentos!$C:$C,"Telefone e Celular")</f>
        <v>0</v>
      </c>
      <c r="AW56" s="39">
        <f>SUMIFS(Lançamentos!$G:$G,Lançamentos!$A:$A,AW$19,Lançamentos!$C:$C,"Telefone e Celular")</f>
        <v>0</v>
      </c>
      <c r="AX56" s="39">
        <f>SUMIFS(Lançamentos!$G:$G,Lançamentos!$A:$A,AX$19,Lançamentos!$C:$C,"Telefone e Celular")</f>
        <v>0</v>
      </c>
      <c r="AY56" s="39">
        <f>SUMIFS(Lançamentos!$G:$G,Lançamentos!$A:$A,AY$19,Lançamentos!$C:$C,"Telefone e Celular")</f>
        <v>0</v>
      </c>
      <c r="AZ56" s="39">
        <f>SUMIFS(Lançamentos!$G:$G,Lançamentos!$A:$A,AZ$19,Lançamentos!$C:$C,"Telefone e Celular")</f>
        <v>0</v>
      </c>
      <c r="BA56" s="39">
        <f>SUMIFS(Lançamentos!$G:$G,Lançamentos!$A:$A,BA$19,Lançamentos!$C:$C,"Telefone e Celular")</f>
        <v>0</v>
      </c>
      <c r="BB56" s="39">
        <f>SUMIFS(Lançamentos!$G:$G,Lançamentos!$A:$A,BB$19,Lançamentos!$C:$C,"Telefone e Celular")</f>
        <v>0</v>
      </c>
      <c r="BC56" s="39">
        <f>SUMIFS(Lançamentos!$G:$G,Lançamentos!$A:$A,BC$19,Lançamentos!$C:$C,"Telefone e Celular")</f>
        <v>0</v>
      </c>
      <c r="BD56" s="39">
        <f>SUMIFS(Lançamentos!$G:$G,Lançamentos!$A:$A,BD$19,Lançamentos!$C:$C,"Telefone e Celular")</f>
        <v>0</v>
      </c>
      <c r="BE56" s="39">
        <f>SUMIFS(Lançamentos!$G:$G,Lançamentos!$A:$A,BE$19,Lançamentos!$C:$C,"Telefone e Celular")</f>
        <v>0</v>
      </c>
      <c r="BF56" s="39">
        <f>SUMIFS(Lançamentos!$G:$G,Lançamentos!$A:$A,BF$19,Lançamentos!$C:$C,"Telefone e Celular")</f>
        <v>0</v>
      </c>
      <c r="BG56" s="39">
        <f>SUMIFS(Lançamentos!$G:$G,Lançamentos!$A:$A,BG$19,Lançamentos!$C:$C,"Telefone e Celular")</f>
        <v>0</v>
      </c>
      <c r="BH56" s="39">
        <f>SUMIFS(Lançamentos!$G:$G,Lançamentos!$A:$A,BH$19,Lançamentos!$C:$C,"Telefone e Celular")</f>
        <v>0</v>
      </c>
      <c r="BI56" s="39">
        <f>SUMIFS(Lançamentos!$G:$G,Lançamentos!$A:$A,BI$19,Lançamentos!$C:$C,"Telefone e Celular")</f>
        <v>0</v>
      </c>
      <c r="BJ56" s="39">
        <f>SUMIFS(Lançamentos!$G:$G,Lançamentos!$A:$A,BJ$19,Lançamentos!$C:$C,"Telefone e Celular")</f>
        <v>0</v>
      </c>
      <c r="BK56" s="39">
        <f>SUMIFS(Lançamentos!$G:$G,Lançamentos!$A:$A,BK$19,Lançamentos!$C:$C,"Telefone e Celular")</f>
        <v>0</v>
      </c>
      <c r="BL56" s="39">
        <f>SUMIFS(Lançamentos!$G:$G,Lançamentos!$A:$A,BL$19,Lançamentos!$C:$C,"Telefone e Celular")</f>
        <v>0</v>
      </c>
      <c r="BM56" s="39">
        <f>SUMIFS(Lançamentos!$G:$G,Lançamentos!$A:$A,BM$19,Lançamentos!$C:$C,"Telefone e Celular")</f>
        <v>0</v>
      </c>
      <c r="BN56" s="39">
        <f>SUMIFS(Lançamentos!$G:$G,Lançamentos!$A:$A,BN$19,Lançamentos!$C:$C,"Telefone e Celular")</f>
        <v>0</v>
      </c>
      <c r="BO56" s="39">
        <f>SUMIFS(Lançamentos!$G:$G,Lançamentos!$A:$A,BO$19,Lançamentos!$C:$C,"Telefone e Celular")</f>
        <v>0</v>
      </c>
      <c r="BP56" s="39">
        <f>SUMIFS(Lançamentos!$G:$G,Lançamentos!$A:$A,BP$19,Lançamentos!$C:$C,"Telefone e Celular")</f>
        <v>0</v>
      </c>
      <c r="BQ56" s="39">
        <f>SUMIFS(Lançamentos!$G:$G,Lançamentos!$A:$A,BQ$19,Lançamentos!$C:$C,"Telefone e Celular")</f>
        <v>0</v>
      </c>
      <c r="BR56" s="39">
        <f>SUMIFS(Lançamentos!$G:$G,Lançamentos!$A:$A,BR$19,Lançamentos!$C:$C,"Telefone e Celular")</f>
        <v>0</v>
      </c>
      <c r="BS56" s="39">
        <f>SUMIFS(Lançamentos!$G:$G,Lançamentos!$A:$A,BS$19,Lançamentos!$C:$C,"Telefone e Celular")</f>
        <v>0</v>
      </c>
      <c r="BT56" s="39">
        <f>SUMIFS(Lançamentos!$G:$G,Lançamentos!$A:$A,BT$19,Lançamentos!$C:$C,"Telefone e Celular")</f>
        <v>0</v>
      </c>
      <c r="BU56" s="39">
        <f>SUMIFS(Lançamentos!$G:$G,Lançamentos!$A:$A,BU$19,Lançamentos!$C:$C,"Telefone e Celular")</f>
        <v>0</v>
      </c>
      <c r="BV56" s="39">
        <f>SUMIFS(Lançamentos!$G:$G,Lançamentos!$A:$A,BV$19,Lançamentos!$C:$C,"Telefone e Celular")</f>
        <v>0</v>
      </c>
      <c r="BW56" s="39">
        <f>SUMIFS(Lançamentos!$G:$G,Lançamentos!$A:$A,BW$19,Lançamentos!$C:$C,"Telefone e Celular")</f>
        <v>0</v>
      </c>
      <c r="BX56" s="39">
        <f>SUMIFS(Lançamentos!$G:$G,Lançamentos!$A:$A,BX$19,Lançamentos!$C:$C,"Telefone e Celular")</f>
        <v>0</v>
      </c>
      <c r="BY56" s="39">
        <f>SUMIFS(Lançamentos!$G:$G,Lançamentos!$A:$A,BY$19,Lançamentos!$C:$C,"Telefone e Celular")</f>
        <v>0</v>
      </c>
      <c r="BZ56" s="39">
        <f>SUMIFS(Lançamentos!$G:$G,Lançamentos!$A:$A,BZ$19,Lançamentos!$C:$C,"Telefone e Celular")</f>
        <v>0</v>
      </c>
      <c r="CA56" s="39">
        <f>SUMIFS(Lançamentos!$G:$G,Lançamentos!$A:$A,CA$19,Lançamentos!$C:$C,"Telefone e Celular")</f>
        <v>0</v>
      </c>
      <c r="CB56" s="39">
        <f>SUMIFS(Lançamentos!$G:$G,Lançamentos!$A:$A,CB$19,Lançamentos!$C:$C,"Telefone e Celular")</f>
        <v>0</v>
      </c>
      <c r="CC56" s="39">
        <f>SUMIFS(Lançamentos!$G:$G,Lançamentos!$A:$A,CC$19,Lançamentos!$C:$C,"Telefone e Celular")</f>
        <v>0</v>
      </c>
      <c r="CD56" s="39">
        <f>SUMIFS(Lançamentos!$G:$G,Lançamentos!$A:$A,CD$19,Lançamentos!$C:$C,"Telefone e Celular")</f>
        <v>0</v>
      </c>
      <c r="CE56" s="39">
        <f>SUMIFS(Lançamentos!$G:$G,Lançamentos!$A:$A,CE$19,Lançamentos!$C:$C,"Telefone e Celular")</f>
        <v>0</v>
      </c>
      <c r="CF56" s="39">
        <f>SUMIFS(Lançamentos!$G:$G,Lançamentos!$A:$A,CF$19,Lançamentos!$C:$C,"Telefone e Celular")</f>
        <v>0</v>
      </c>
      <c r="CG56" s="39">
        <f>SUMIFS(Lançamentos!$G:$G,Lançamentos!$A:$A,CG$19,Lançamentos!$C:$C,"Telefone e Celular")</f>
        <v>0</v>
      </c>
      <c r="CH56" s="39">
        <f>SUMIFS(Lançamentos!$G:$G,Lançamentos!$A:$A,CH$19,Lançamentos!$C:$C,"Telefone e Celular")</f>
        <v>0</v>
      </c>
      <c r="CI56" s="39">
        <f>SUMIFS(Lançamentos!$G:$G,Lançamentos!$A:$A,CI$19,Lançamentos!$C:$C,"Telefone e Celular")</f>
        <v>0</v>
      </c>
      <c r="CJ56" s="39">
        <f>SUMIFS(Lançamentos!$G:$G,Lançamentos!$A:$A,CJ$19,Lançamentos!$C:$C,"Telefone e Celular")</f>
        <v>0</v>
      </c>
      <c r="CK56" s="39">
        <f>SUMIFS(Lançamentos!$G:$G,Lançamentos!$A:$A,CK$19,Lançamentos!$C:$C,"Telefone e Celular")</f>
        <v>0</v>
      </c>
      <c r="CL56" s="39">
        <f>SUMIFS(Lançamentos!$G:$G,Lançamentos!$A:$A,CL$19,Lançamentos!$C:$C,"Telefone e Celular")</f>
        <v>0</v>
      </c>
      <c r="CM56" s="39">
        <f>SUMIFS(Lançamentos!$G:$G,Lançamentos!$A:$A,CM$19,Lançamentos!$C:$C,"Telefone e Celular")</f>
        <v>0</v>
      </c>
      <c r="CN56" s="39">
        <f>SUMIFS(Lançamentos!$G:$G,Lançamentos!$A:$A,CN$19,Lançamentos!$C:$C,"Telefone e Celular")</f>
        <v>0</v>
      </c>
      <c r="CO56" s="39">
        <f>SUMIFS(Lançamentos!$G:$G,Lançamentos!$A:$A,CO$19,Lançamentos!$C:$C,"Telefone e Celular")</f>
        <v>0</v>
      </c>
      <c r="CP56" s="39">
        <f>SUMIFS(Lançamentos!$G:$G,Lançamentos!$A:$A,CP$19,Lançamentos!$C:$C,"Telefone e Celular")</f>
        <v>0</v>
      </c>
      <c r="CQ56" s="39">
        <f>SUMIFS(Lançamentos!$G:$G,Lançamentos!$A:$A,CQ$19,Lançamentos!$C:$C,"Telefone e Celular")</f>
        <v>0</v>
      </c>
      <c r="CR56" s="39">
        <f>SUMIFS(Lançamentos!$G:$G,Lançamentos!$A:$A,CR$19,Lançamentos!$C:$C,"Telefone e Celular")</f>
        <v>0</v>
      </c>
      <c r="CS56" s="39">
        <f>SUMIFS(Lançamentos!$G:$G,Lançamentos!$A:$A,CS$19,Lançamentos!$C:$C,"Telefone e Celular")</f>
        <v>0</v>
      </c>
      <c r="CT56" s="39">
        <f>SUMIFS(Lançamentos!$G:$G,Lançamentos!$A:$A,CT$19,Lançamentos!$C:$C,"Telefone e Celular")</f>
        <v>0</v>
      </c>
      <c r="CU56" s="39">
        <f>SUMIFS(Lançamentos!$G:$G,Lançamentos!$A:$A,CU$19,Lançamentos!$C:$C,"Telefone e Celular")</f>
        <v>0</v>
      </c>
      <c r="CV56" s="39">
        <f>SUMIFS(Lançamentos!$G:$G,Lançamentos!$A:$A,CV$19,Lançamentos!$C:$C,"Telefone e Celular")</f>
        <v>0</v>
      </c>
      <c r="CW56" s="39">
        <f>SUMIFS(Lançamentos!$G:$G,Lançamentos!$A:$A,CW$19,Lançamentos!$C:$C,"Telefone e Celular")</f>
        <v>0</v>
      </c>
      <c r="CX56" s="39">
        <f>SUMIFS(Lançamentos!$G:$G,Lançamentos!$A:$A,CX$19,Lançamentos!$C:$C,"Telefone e Celular")</f>
        <v>0</v>
      </c>
      <c r="CY56" s="39">
        <f>SUMIFS(Lançamentos!$G:$G,Lançamentos!$A:$A,CY$19,Lançamentos!$C:$C,"Telefone e Celular")</f>
        <v>0</v>
      </c>
      <c r="CZ56" s="39">
        <f>SUMIFS(Lançamentos!$G:$G,Lançamentos!$A:$A,CZ$19,Lançamentos!$C:$C,"Telefone e Celular")</f>
        <v>0</v>
      </c>
      <c r="DA56" s="39">
        <f>SUMIFS(Lançamentos!$G:$G,Lançamentos!$A:$A,DA$19,Lançamentos!$C:$C,"Telefone e Celular")</f>
        <v>0</v>
      </c>
      <c r="DB56" s="39">
        <f>SUMIFS(Lançamentos!$G:$G,Lançamentos!$A:$A,DB$19,Lançamentos!$C:$C,"Telefone e Celular")</f>
        <v>0</v>
      </c>
      <c r="DC56" s="39">
        <f>SUMIFS(Lançamentos!$G:$G,Lançamentos!$A:$A,DC$19,Lançamentos!$C:$C,"Telefone e Celular")</f>
        <v>0</v>
      </c>
      <c r="DD56" s="39">
        <f>SUMIFS(Lançamentos!$G:$G,Lançamentos!$A:$A,DD$19,Lançamentos!$C:$C,"Telefone e Celular")</f>
        <v>0</v>
      </c>
      <c r="DE56" s="39">
        <f>SUMIFS(Lançamentos!$G:$G,Lançamentos!$A:$A,DE$19,Lançamentos!$C:$C,"Telefone e Celular")</f>
        <v>0</v>
      </c>
      <c r="DF56" s="39">
        <f>SUMIFS(Lançamentos!$G:$G,Lançamentos!$A:$A,DF$19,Lançamentos!$C:$C,"Telefone e Celular")</f>
        <v>0</v>
      </c>
      <c r="DG56" s="39">
        <f>SUMIFS(Lançamentos!$G:$G,Lançamentos!$A:$A,DG$19,Lançamentos!$C:$C,"Telefone e Celular")</f>
        <v>0</v>
      </c>
      <c r="DH56" s="39">
        <f>SUMIFS(Lançamentos!$G:$G,Lançamentos!$A:$A,DH$19,Lançamentos!$C:$C,"Telefone e Celular")</f>
        <v>0</v>
      </c>
      <c r="DI56" s="39">
        <f>SUMIFS(Lançamentos!$G:$G,Lançamentos!$A:$A,DI$19,Lançamentos!$C:$C,"Telefone e Celular")</f>
        <v>0</v>
      </c>
      <c r="DJ56" s="39">
        <f>SUMIFS(Lançamentos!$G:$G,Lançamentos!$A:$A,DJ$19,Lançamentos!$C:$C,"Telefone e Celular")</f>
        <v>0</v>
      </c>
      <c r="DK56" s="39">
        <f>SUMIFS(Lançamentos!$G:$G,Lançamentos!$A:$A,DK$19,Lançamentos!$C:$C,"Telefone e Celular")</f>
        <v>0</v>
      </c>
      <c r="DL56" s="39">
        <f>SUMIFS(Lançamentos!$G:$G,Lançamentos!$A:$A,DL$19,Lançamentos!$C:$C,"Telefone e Celular")</f>
        <v>0</v>
      </c>
      <c r="DM56" s="39">
        <f>SUMIFS(Lançamentos!$G:$G,Lançamentos!$A:$A,DM$19,Lançamentos!$C:$C,"Telefone e Celular")</f>
        <v>0</v>
      </c>
      <c r="DN56" s="39">
        <f>SUMIFS(Lançamentos!$G:$G,Lançamentos!$A:$A,DN$19,Lançamentos!$C:$C,"Telefone e Celular")</f>
        <v>0</v>
      </c>
      <c r="DO56" s="39">
        <f>SUMIFS(Lançamentos!$G:$G,Lançamentos!$A:$A,DO$19,Lançamentos!$C:$C,"Telefone e Celular")</f>
        <v>0</v>
      </c>
      <c r="DP56" s="39">
        <f>SUMIFS(Lançamentos!$G:$G,Lançamentos!$A:$A,DP$19,Lançamentos!$C:$C,"Telefone e Celular")</f>
        <v>0</v>
      </c>
      <c r="DQ56" s="39">
        <f>SUMIFS(Lançamentos!$G:$G,Lançamentos!$A:$A,DQ$19,Lançamentos!$C:$C,"Telefone e Celular")</f>
        <v>0</v>
      </c>
      <c r="DR56" s="39">
        <f>SUMIFS(Lançamentos!$G:$G,Lançamentos!$A:$A,DR$19,Lançamentos!$C:$C,"Telefone e Celular")</f>
        <v>0</v>
      </c>
      <c r="DS56" s="39">
        <f>SUMIFS(Lançamentos!$G:$G,Lançamentos!$A:$A,DS$19,Lançamentos!$C:$C,"Telefone e Celular")</f>
        <v>0</v>
      </c>
      <c r="DT56" s="39">
        <f>SUMIFS(Lançamentos!$G:$G,Lançamentos!$A:$A,DT$19,Lançamentos!$C:$C,"Telefone e Celular")</f>
        <v>0</v>
      </c>
      <c r="DU56" s="39">
        <f>SUMIFS(Lançamentos!$G:$G,Lançamentos!$A:$A,DU$19,Lançamentos!$C:$C,"Telefone e Celular")</f>
        <v>0</v>
      </c>
      <c r="DV56" s="39">
        <f>SUMIFS(Lançamentos!$G:$G,Lançamentos!$A:$A,DV$19,Lançamentos!$C:$C,"Telefone e Celular")</f>
        <v>0</v>
      </c>
      <c r="DW56" s="39">
        <f>SUMIFS(Lançamentos!$G:$G,Lançamentos!$A:$A,DW$19,Lançamentos!$C:$C,"Telefone e Celular")</f>
        <v>0</v>
      </c>
      <c r="DX56" s="39">
        <f>SUMIFS(Lançamentos!$G:$G,Lançamentos!$A:$A,DX$19,Lançamentos!$C:$C,"Telefone e Celular")</f>
        <v>0</v>
      </c>
      <c r="DY56" s="39">
        <f>SUMIFS(Lançamentos!$G:$G,Lançamentos!$A:$A,DY$19,Lançamentos!$C:$C,"Telefone e Celular")</f>
        <v>0</v>
      </c>
      <c r="DZ56" s="39">
        <f>SUMIFS(Lançamentos!$G:$G,Lançamentos!$A:$A,DZ$19,Lançamentos!$C:$C,"Telefone e Celular")</f>
        <v>0</v>
      </c>
      <c r="EA56" s="39">
        <f>SUMIFS(Lançamentos!$G:$G,Lançamentos!$A:$A,EA$19,Lançamentos!$C:$C,"Telefone e Celular")</f>
        <v>0</v>
      </c>
      <c r="EB56" s="39">
        <f>SUMIFS(Lançamentos!$G:$G,Lançamentos!$A:$A,EB$19,Lançamentos!$C:$C,"Telefone e Celular")</f>
        <v>0</v>
      </c>
      <c r="EC56" s="39">
        <f>SUMIFS(Lançamentos!$G:$G,Lançamentos!$A:$A,EC$19,Lançamentos!$C:$C,"Telefone e Celular")</f>
        <v>0</v>
      </c>
      <c r="ED56" s="39">
        <f>SUMIFS(Lançamentos!$G:$G,Lançamentos!$A:$A,ED$19,Lançamentos!$C:$C,"Telefone e Celular")</f>
        <v>0</v>
      </c>
      <c r="EE56" s="39">
        <f>SUMIFS(Lançamentos!$G:$G,Lançamentos!$A:$A,EE$19,Lançamentos!$C:$C,"Telefone e Celular")</f>
        <v>0</v>
      </c>
      <c r="EF56" s="39">
        <f>SUMIFS(Lançamentos!$G:$G,Lançamentos!$A:$A,EF$19,Lançamentos!$C:$C,"Telefone e Celular")</f>
        <v>0</v>
      </c>
      <c r="EG56" s="39">
        <f>SUMIFS(Lançamentos!$G:$G,Lançamentos!$A:$A,EG$19,Lançamentos!$C:$C,"Telefone e Celular")</f>
        <v>0</v>
      </c>
      <c r="EH56" s="39">
        <f>SUMIFS(Lançamentos!$G:$G,Lançamentos!$A:$A,EH$19,Lançamentos!$C:$C,"Telefone e Celular")</f>
        <v>0</v>
      </c>
      <c r="EI56" s="39">
        <f>SUMIFS(Lançamentos!$G:$G,Lançamentos!$A:$A,EI$19,Lançamentos!$C:$C,"Telefone e Celular")</f>
        <v>0</v>
      </c>
      <c r="EJ56" s="39">
        <f>SUMIFS(Lançamentos!$G:$G,Lançamentos!$A:$A,EJ$19,Lançamentos!$C:$C,"Telefone e Celular")</f>
        <v>0</v>
      </c>
      <c r="EK56" s="39">
        <f>SUMIFS(Lançamentos!$G:$G,Lançamentos!$A:$A,EK$19,Lançamentos!$C:$C,"Telefone e Celular")</f>
        <v>0</v>
      </c>
      <c r="EL56" s="39">
        <f>SUMIFS(Lançamentos!$G:$G,Lançamentos!$A:$A,EL$19,Lançamentos!$C:$C,"Telefone e Celular")</f>
        <v>0</v>
      </c>
      <c r="EM56" s="39">
        <f>SUMIFS(Lançamentos!$G:$G,Lançamentos!$A:$A,EM$19,Lançamentos!$C:$C,"Telefone e Celular")</f>
        <v>0</v>
      </c>
      <c r="EN56" s="39">
        <f>SUMIFS(Lançamentos!$G:$G,Lançamentos!$A:$A,EN$19,Lançamentos!$C:$C,"Telefone e Celular")</f>
        <v>0</v>
      </c>
      <c r="EO56" s="39">
        <f>SUMIFS(Lançamentos!$G:$G,Lançamentos!$A:$A,EO$19,Lançamentos!$C:$C,"Telefone e Celular")</f>
        <v>0</v>
      </c>
      <c r="EP56" s="39">
        <f>SUMIFS(Lançamentos!$G:$G,Lançamentos!$A:$A,EP$19,Lançamentos!$C:$C,"Telefone e Celular")</f>
        <v>0</v>
      </c>
      <c r="EQ56" s="39">
        <f>SUMIFS(Lançamentos!$G:$G,Lançamentos!$A:$A,EQ$19,Lançamentos!$C:$C,"Telefone e Celular")</f>
        <v>0</v>
      </c>
      <c r="ER56" s="39">
        <f>SUMIFS(Lançamentos!$G:$G,Lançamentos!$A:$A,ER$19,Lançamentos!$C:$C,"Telefone e Celular")</f>
        <v>0</v>
      </c>
      <c r="ES56" s="39">
        <f>SUMIFS(Lançamentos!$G:$G,Lançamentos!$A:$A,ES$19,Lançamentos!$C:$C,"Telefone e Celular")</f>
        <v>0</v>
      </c>
      <c r="ET56" s="39">
        <f>SUMIFS(Lançamentos!$G:$G,Lançamentos!$A:$A,ET$19,Lançamentos!$C:$C,"Telefone e Celular")</f>
        <v>0</v>
      </c>
      <c r="EU56" s="39">
        <f>SUMIFS(Lançamentos!$G:$G,Lançamentos!$A:$A,EU$19,Lançamentos!$C:$C,"Telefone e Celular")</f>
        <v>0</v>
      </c>
      <c r="EV56" s="39">
        <f>SUMIFS(Lançamentos!$G:$G,Lançamentos!$A:$A,EV$19,Lançamentos!$C:$C,"Telefone e Celular")</f>
        <v>0</v>
      </c>
      <c r="EW56" s="39">
        <f>SUMIFS(Lançamentos!$G:$G,Lançamentos!$A:$A,EW$19,Lançamentos!$C:$C,"Telefone e Celular")</f>
        <v>0</v>
      </c>
      <c r="EX56" s="39">
        <f>SUMIFS(Lançamentos!$G:$G,Lançamentos!$A:$A,EX$19,Lançamentos!$C:$C,"Telefone e Celular")</f>
        <v>0</v>
      </c>
      <c r="EY56" s="39">
        <f>SUMIFS(Lançamentos!$G:$G,Lançamentos!$A:$A,EY$19,Lançamentos!$C:$C,"Telefone e Celular")</f>
        <v>0</v>
      </c>
      <c r="EZ56" s="39">
        <f>SUMIFS(Lançamentos!$G:$G,Lançamentos!$A:$A,EZ$19,Lançamentos!$C:$C,"Telefone e Celular")</f>
        <v>0</v>
      </c>
      <c r="FA56" s="39">
        <f>SUMIFS(Lançamentos!$G:$G,Lançamentos!$A:$A,FA$19,Lançamentos!$C:$C,"Telefone e Celular")</f>
        <v>0</v>
      </c>
      <c r="FB56" s="39">
        <f>SUMIFS(Lançamentos!$G:$G,Lançamentos!$A:$A,FB$19,Lançamentos!$C:$C,"Telefone e Celular")</f>
        <v>0</v>
      </c>
      <c r="FC56" s="39">
        <f>SUMIFS(Lançamentos!$G:$G,Lançamentos!$A:$A,FC$19,Lançamentos!$C:$C,"Telefone e Celular")</f>
        <v>0</v>
      </c>
      <c r="FD56" s="39">
        <f>SUMIFS(Lançamentos!$G:$G,Lançamentos!$A:$A,FD$19,Lançamentos!$C:$C,"Telefone e Celular")</f>
        <v>0</v>
      </c>
      <c r="FE56" s="39">
        <f>SUMIFS(Lançamentos!$G:$G,Lançamentos!$A:$A,FE$19,Lançamentos!$C:$C,"Telefone e Celular")</f>
        <v>0</v>
      </c>
      <c r="FF56" s="39">
        <f>SUMIFS(Lançamentos!$G:$G,Lançamentos!$A:$A,FF$19,Lançamentos!$C:$C,"Telefone e Celular")</f>
        <v>0</v>
      </c>
      <c r="FG56" s="39">
        <f>SUMIFS(Lançamentos!$G:$G,Lançamentos!$A:$A,FG$19,Lançamentos!$C:$C,"Telefone e Celular")</f>
        <v>0</v>
      </c>
      <c r="FH56" s="39">
        <f>SUMIFS(Lançamentos!$G:$G,Lançamentos!$A:$A,FH$19,Lançamentos!$C:$C,"Telefone e Celular")</f>
        <v>0</v>
      </c>
      <c r="FI56" s="39">
        <f>SUMIFS(Lançamentos!$G:$G,Lançamentos!$A:$A,FI$19,Lançamentos!$C:$C,"Telefone e Celular")</f>
        <v>0</v>
      </c>
      <c r="FJ56" s="39">
        <f>SUMIFS(Lançamentos!$G:$G,Lançamentos!$A:$A,FJ$19,Lançamentos!$C:$C,"Telefone e Celular")</f>
        <v>0</v>
      </c>
      <c r="FK56" s="39">
        <f>SUMIFS(Lançamentos!$G:$G,Lançamentos!$A:$A,FK$19,Lançamentos!$C:$C,"Telefone e Celular")</f>
        <v>0</v>
      </c>
      <c r="FL56" s="39">
        <f>SUMIFS(Lançamentos!$G:$G,Lançamentos!$A:$A,FL$19,Lançamentos!$C:$C,"Telefone e Celular")</f>
        <v>0</v>
      </c>
      <c r="FM56" s="39">
        <f>SUMIFS(Lançamentos!$G:$G,Lançamentos!$A:$A,FM$19,Lançamentos!$C:$C,"Telefone e Celular")</f>
        <v>0</v>
      </c>
      <c r="FN56" s="39">
        <f>SUMIFS(Lançamentos!$G:$G,Lançamentos!$A:$A,FN$19,Lançamentos!$C:$C,"Telefone e Celular")</f>
        <v>0</v>
      </c>
      <c r="FO56" s="39">
        <f>SUMIFS(Lançamentos!$G:$G,Lançamentos!$A:$A,FO$19,Lançamentos!$C:$C,"Telefone e Celular")</f>
        <v>0</v>
      </c>
      <c r="FP56" s="39">
        <f>SUMIFS(Lançamentos!$G:$G,Lançamentos!$A:$A,FP$19,Lançamentos!$C:$C,"Telefone e Celular")</f>
        <v>0</v>
      </c>
      <c r="FQ56" s="39">
        <f>SUMIFS(Lançamentos!$G:$G,Lançamentos!$A:$A,FQ$19,Lançamentos!$C:$C,"Telefone e Celular")</f>
        <v>0</v>
      </c>
      <c r="FR56" s="39">
        <f>SUMIFS(Lançamentos!$G:$G,Lançamentos!$A:$A,FR$19,Lançamentos!$C:$C,"Telefone e Celular")</f>
        <v>0</v>
      </c>
      <c r="FS56" s="39">
        <f>SUMIFS(Lançamentos!$G:$G,Lançamentos!$A:$A,FS$19,Lançamentos!$C:$C,"Telefone e Celular")</f>
        <v>0</v>
      </c>
      <c r="FT56" s="39">
        <f>SUMIFS(Lançamentos!$G:$G,Lançamentos!$A:$A,FT$19,Lançamentos!$C:$C,"Telefone e Celular")</f>
        <v>0</v>
      </c>
      <c r="FU56" s="39">
        <f>SUMIFS(Lançamentos!$G:$G,Lançamentos!$A:$A,FU$19,Lançamentos!$C:$C,"Telefone e Celular")</f>
        <v>0</v>
      </c>
      <c r="FV56" s="39">
        <f>SUMIFS(Lançamentos!$G:$G,Lançamentos!$A:$A,FV$19,Lançamentos!$C:$C,"Telefone e Celular")</f>
        <v>0</v>
      </c>
      <c r="FW56" s="39">
        <f>SUMIFS(Lançamentos!$G:$G,Lançamentos!$A:$A,FW$19,Lançamentos!$C:$C,"Telefone e Celular")</f>
        <v>0</v>
      </c>
      <c r="FX56" s="39">
        <f>SUMIFS(Lançamentos!$G:$G,Lançamentos!$A:$A,FX$19,Lançamentos!$C:$C,"Telefone e Celular")</f>
        <v>0</v>
      </c>
      <c r="FY56" s="39">
        <f>SUMIFS(Lançamentos!$G:$G,Lançamentos!$A:$A,FY$19,Lançamentos!$C:$C,"Telefone e Celular")</f>
        <v>0</v>
      </c>
      <c r="FZ56" s="39">
        <f>SUMIFS(Lançamentos!$G:$G,Lançamentos!$A:$A,FZ$19,Lançamentos!$C:$C,"Telefone e Celular")</f>
        <v>0</v>
      </c>
      <c r="GA56" s="39">
        <f>SUMIFS(Lançamentos!$G:$G,Lançamentos!$A:$A,GA$19,Lançamentos!$C:$C,"Telefone e Celular")</f>
        <v>0</v>
      </c>
      <c r="GB56" s="39">
        <f>SUMIFS(Lançamentos!$G:$G,Lançamentos!$A:$A,GB$19,Lançamentos!$C:$C,"Telefone e Celular")</f>
        <v>0</v>
      </c>
      <c r="GC56" s="39">
        <f>SUMIFS(Lançamentos!$G:$G,Lançamentos!$A:$A,GC$19,Lançamentos!$C:$C,"Telefone e Celular")</f>
        <v>0</v>
      </c>
      <c r="GD56" s="39">
        <f>SUMIFS(Lançamentos!$G:$G,Lançamentos!$A:$A,GD$19,Lançamentos!$C:$C,"Telefone e Celular")</f>
        <v>0</v>
      </c>
      <c r="GE56" s="39">
        <f>SUMIFS(Lançamentos!$G:$G,Lançamentos!$A:$A,GE$19,Lançamentos!$C:$C,"Telefone e Celular")</f>
        <v>0</v>
      </c>
      <c r="GF56" s="39">
        <f>SUMIFS(Lançamentos!$G:$G,Lançamentos!$A:$A,GF$19,Lançamentos!$C:$C,"Telefone e Celular")</f>
        <v>0</v>
      </c>
      <c r="GG56" s="39">
        <f>SUMIFS(Lançamentos!$G:$G,Lançamentos!$A:$A,GG$19,Lançamentos!$C:$C,"Telefone e Celular")</f>
        <v>0</v>
      </c>
      <c r="GH56" s="39">
        <f>SUMIFS(Lançamentos!$G:$G,Lançamentos!$A:$A,GH$19,Lançamentos!$C:$C,"Telefone e Celular")</f>
        <v>0</v>
      </c>
      <c r="GI56" s="39">
        <f>SUMIFS(Lançamentos!$G:$G,Lançamentos!$A:$A,GI$19,Lançamentos!$C:$C,"Telefone e Celular")</f>
        <v>0</v>
      </c>
      <c r="GJ56" s="39">
        <f>SUMIFS(Lançamentos!$G:$G,Lançamentos!$A:$A,GJ$19,Lançamentos!$C:$C,"Telefone e Celular")</f>
        <v>0</v>
      </c>
      <c r="GK56" s="39">
        <f>SUMIFS(Lançamentos!$G:$G,Lançamentos!$A:$A,GK$19,Lançamentos!$C:$C,"Telefone e Celular")</f>
        <v>0</v>
      </c>
      <c r="GL56" s="39">
        <f>SUMIFS(Lançamentos!$G:$G,Lançamentos!$A:$A,GL$19,Lançamentos!$C:$C,"Telefone e Celular")</f>
        <v>0</v>
      </c>
      <c r="GM56" s="39">
        <f>SUMIFS(Lançamentos!$G:$G,Lançamentos!$A:$A,GM$19,Lançamentos!$C:$C,"Telefone e Celular")</f>
        <v>0</v>
      </c>
      <c r="GN56" s="39">
        <f>SUMIFS(Lançamentos!$G:$G,Lançamentos!$A:$A,GN$19,Lançamentos!$C:$C,"Telefone e Celular")</f>
        <v>0</v>
      </c>
      <c r="GO56" s="39">
        <f>SUMIFS(Lançamentos!$G:$G,Lançamentos!$A:$A,GO$19,Lançamentos!$C:$C,"Telefone e Celular")</f>
        <v>0</v>
      </c>
      <c r="GP56" s="39">
        <f>SUMIFS(Lançamentos!$G:$G,Lançamentos!$A:$A,GP$19,Lançamentos!$C:$C,"Telefone e Celular")</f>
        <v>0</v>
      </c>
      <c r="GQ56" s="39">
        <f>SUMIFS(Lançamentos!$G:$G,Lançamentos!$A:$A,GQ$19,Lançamentos!$C:$C,"Telefone e Celular")</f>
        <v>0</v>
      </c>
      <c r="GR56" s="39">
        <f>SUMIFS(Lançamentos!$G:$G,Lançamentos!$A:$A,GR$19,Lançamentos!$C:$C,"Telefone e Celular")</f>
        <v>0</v>
      </c>
      <c r="GS56" s="39">
        <f>SUMIFS(Lançamentos!$G:$G,Lançamentos!$A:$A,GS$19,Lançamentos!$C:$C,"Telefone e Celular")</f>
        <v>0</v>
      </c>
      <c r="GT56" s="39">
        <f>SUMIFS(Lançamentos!$G:$G,Lançamentos!$A:$A,GT$19,Lançamentos!$C:$C,"Telefone e Celular")</f>
        <v>0</v>
      </c>
      <c r="GU56" s="39">
        <f>SUMIFS(Lançamentos!$G:$G,Lançamentos!$A:$A,GU$19,Lançamentos!$C:$C,"Telefone e Celular")</f>
        <v>0</v>
      </c>
      <c r="GV56" s="39">
        <f>SUMIFS(Lançamentos!$G:$G,Lançamentos!$A:$A,GV$19,Lançamentos!$C:$C,"Telefone e Celular")</f>
        <v>0</v>
      </c>
      <c r="GW56" s="39">
        <f>SUMIFS(Lançamentos!$G:$G,Lançamentos!$A:$A,GW$19,Lançamentos!$C:$C,"Telefone e Celular")</f>
        <v>0</v>
      </c>
      <c r="GX56" s="39">
        <f>SUMIFS(Lançamentos!$G:$G,Lançamentos!$A:$A,GX$19,Lançamentos!$C:$C,"Telefone e Celular")</f>
        <v>0</v>
      </c>
      <c r="GY56" s="39">
        <f>SUMIFS(Lançamentos!$G:$G,Lançamentos!$A:$A,GY$19,Lançamentos!$C:$C,"Telefone e Celular")</f>
        <v>0</v>
      </c>
      <c r="GZ56" s="39">
        <f>SUMIFS(Lançamentos!$G:$G,Lançamentos!$A:$A,GZ$19,Lançamentos!$C:$C,"Telefone e Celular")</f>
        <v>0</v>
      </c>
      <c r="HA56" s="39">
        <f>SUMIFS(Lançamentos!$G:$G,Lançamentos!$A:$A,HA$19,Lançamentos!$C:$C,"Telefone e Celular")</f>
        <v>0</v>
      </c>
      <c r="HB56" s="39">
        <f>SUMIFS(Lançamentos!$G:$G,Lançamentos!$A:$A,HB$19,Lançamentos!$C:$C,"Telefone e Celular")</f>
        <v>0</v>
      </c>
      <c r="HC56" s="39">
        <f>SUMIFS(Lançamentos!$G:$G,Lançamentos!$A:$A,HC$19,Lançamentos!$C:$C,"Telefone e Celular")</f>
        <v>0</v>
      </c>
      <c r="HD56" s="39">
        <f>SUMIFS(Lançamentos!$G:$G,Lançamentos!$A:$A,HD$19,Lançamentos!$C:$C,"Telefone e Celular")</f>
        <v>0</v>
      </c>
      <c r="HE56" s="39">
        <f>SUMIFS(Lançamentos!$G:$G,Lançamentos!$A:$A,HE$19,Lançamentos!$C:$C,"Telefone e Celular")</f>
        <v>0</v>
      </c>
      <c r="HF56" s="39">
        <f>SUMIFS(Lançamentos!$G:$G,Lançamentos!$A:$A,HF$19,Lançamentos!$C:$C,"Telefone e Celular")</f>
        <v>0</v>
      </c>
      <c r="HG56" s="39">
        <f>SUMIFS(Lançamentos!$G:$G,Lançamentos!$A:$A,HG$19,Lançamentos!$C:$C,"Telefone e Celular")</f>
        <v>0</v>
      </c>
      <c r="HH56" s="39">
        <f>SUMIFS(Lançamentos!$G:$G,Lançamentos!$A:$A,HH$19,Lançamentos!$C:$C,"Telefone e Celular")</f>
        <v>0</v>
      </c>
      <c r="HI56" s="39">
        <f>SUMIFS(Lançamentos!$G:$G,Lançamentos!$A:$A,HI$19,Lançamentos!$C:$C,"Telefone e Celular")</f>
        <v>0</v>
      </c>
      <c r="HJ56" s="39">
        <f>SUMIFS(Lançamentos!$G:$G,Lançamentos!$A:$A,HJ$19,Lançamentos!$C:$C,"Telefone e Celular")</f>
        <v>0</v>
      </c>
      <c r="HK56" s="39">
        <f>SUMIFS(Lançamentos!$G:$G,Lançamentos!$A:$A,HK$19,Lançamentos!$C:$C,"Telefone e Celular")</f>
        <v>0</v>
      </c>
      <c r="HL56" s="39">
        <f>SUMIFS(Lançamentos!$G:$G,Lançamentos!$A:$A,HL$19,Lançamentos!$C:$C,"Telefone e Celular")</f>
        <v>0</v>
      </c>
      <c r="HM56" s="39">
        <f>SUMIFS(Lançamentos!$G:$G,Lançamentos!$A:$A,HM$19,Lançamentos!$C:$C,"Telefone e Celular")</f>
        <v>0</v>
      </c>
      <c r="HN56" s="39">
        <f>SUMIFS(Lançamentos!$G:$G,Lançamentos!$A:$A,HN$19,Lançamentos!$C:$C,"Telefone e Celular")</f>
        <v>0</v>
      </c>
      <c r="HO56" s="39">
        <f>SUMIFS(Lançamentos!$G:$G,Lançamentos!$A:$A,HO$19,Lançamentos!$C:$C,"Telefone e Celular")</f>
        <v>0</v>
      </c>
      <c r="HP56" s="39">
        <f>SUMIFS(Lançamentos!$G:$G,Lançamentos!$A:$A,HP$19,Lançamentos!$C:$C,"Telefone e Celular")</f>
        <v>0</v>
      </c>
      <c r="HQ56" s="39">
        <f>SUMIFS(Lançamentos!$G:$G,Lançamentos!$A:$A,HQ$19,Lançamentos!$C:$C,"Telefone e Celular")</f>
        <v>0</v>
      </c>
      <c r="HR56" s="39">
        <f>SUMIFS(Lançamentos!$G:$G,Lançamentos!$A:$A,HR$19,Lançamentos!$C:$C,"Telefone e Celular")</f>
        <v>0</v>
      </c>
      <c r="HS56" s="39">
        <f>SUMIFS(Lançamentos!$G:$G,Lançamentos!$A:$A,HS$19,Lançamentos!$C:$C,"Telefone e Celular")</f>
        <v>0</v>
      </c>
      <c r="HT56" s="39">
        <f>SUMIFS(Lançamentos!$G:$G,Lançamentos!$A:$A,HT$19,Lançamentos!$C:$C,"Telefone e Celular")</f>
        <v>0</v>
      </c>
      <c r="HU56" s="39">
        <f>SUMIFS(Lançamentos!$G:$G,Lançamentos!$A:$A,HU$19,Lançamentos!$C:$C,"Telefone e Celular")</f>
        <v>0</v>
      </c>
      <c r="HV56" s="39">
        <f>SUMIFS(Lançamentos!$G:$G,Lançamentos!$A:$A,HV$19,Lançamentos!$C:$C,"Telefone e Celular")</f>
        <v>0</v>
      </c>
      <c r="HW56" s="39">
        <f>SUMIFS(Lançamentos!$G:$G,Lançamentos!$A:$A,HW$19,Lançamentos!$C:$C,"Telefone e Celular")</f>
        <v>0</v>
      </c>
      <c r="HX56" s="39">
        <f>SUMIFS(Lançamentos!$G:$G,Lançamentos!$A:$A,HX$19,Lançamentos!$C:$C,"Telefone e Celular")</f>
        <v>0</v>
      </c>
      <c r="HY56" s="39">
        <f>SUMIFS(Lançamentos!$G:$G,Lançamentos!$A:$A,HY$19,Lançamentos!$C:$C,"Telefone e Celular")</f>
        <v>0</v>
      </c>
      <c r="HZ56" s="39">
        <f>SUMIFS(Lançamentos!$G:$G,Lançamentos!$A:$A,HZ$19,Lançamentos!$C:$C,"Telefone e Celular")</f>
        <v>0</v>
      </c>
      <c r="IA56" s="39">
        <f>SUMIFS(Lançamentos!$G:$G,Lançamentos!$A:$A,IA$19,Lançamentos!$C:$C,"Telefone e Celular")</f>
        <v>0</v>
      </c>
      <c r="IB56" s="39">
        <f>SUMIFS(Lançamentos!$G:$G,Lançamentos!$A:$A,IB$19,Lançamentos!$C:$C,"Telefone e Celular")</f>
        <v>0</v>
      </c>
      <c r="IC56" s="39">
        <f>SUMIFS(Lançamentos!$G:$G,Lançamentos!$A:$A,IC$19,Lançamentos!$C:$C,"Telefone e Celular")</f>
        <v>0</v>
      </c>
      <c r="ID56" s="39">
        <f>SUMIFS(Lançamentos!$G:$G,Lançamentos!$A:$A,ID$19,Lançamentos!$C:$C,"Telefone e Celular")</f>
        <v>0</v>
      </c>
      <c r="IE56" s="39">
        <f>SUMIFS(Lançamentos!$G:$G,Lançamentos!$A:$A,IE$19,Lançamentos!$C:$C,"Telefone e Celular")</f>
        <v>0</v>
      </c>
      <c r="IF56" s="39">
        <f>SUMIFS(Lançamentos!$G:$G,Lançamentos!$A:$A,IF$19,Lançamentos!$C:$C,"Telefone e Celular")</f>
        <v>0</v>
      </c>
      <c r="IG56" s="39">
        <f>SUMIFS(Lançamentos!$G:$G,Lançamentos!$A:$A,IG$19,Lançamentos!$C:$C,"Telefone e Celular")</f>
        <v>0</v>
      </c>
      <c r="IH56" s="39">
        <f>SUMIFS(Lançamentos!$G:$G,Lançamentos!$A:$A,IH$19,Lançamentos!$C:$C,"Telefone e Celular")</f>
        <v>0</v>
      </c>
      <c r="II56" s="39">
        <f>SUMIFS(Lançamentos!$G:$G,Lançamentos!$A:$A,II$19,Lançamentos!$C:$C,"Telefone e Celular")</f>
        <v>0</v>
      </c>
      <c r="IJ56" s="39">
        <f>SUMIFS(Lançamentos!$G:$G,Lançamentos!$A:$A,IJ$19,Lançamentos!$C:$C,"Telefone e Celular")</f>
        <v>0</v>
      </c>
      <c r="IK56" s="39">
        <f>SUMIFS(Lançamentos!$G:$G,Lançamentos!$A:$A,IK$19,Lançamentos!$C:$C,"Telefone e Celular")</f>
        <v>0</v>
      </c>
      <c r="IL56" s="39">
        <f>SUMIFS(Lançamentos!$G:$G,Lançamentos!$A:$A,IL$19,Lançamentos!$C:$C,"Telefone e Celular")</f>
        <v>0</v>
      </c>
    </row>
    <row r="57" spans="1:246" x14ac:dyDescent="0.3">
      <c r="A57" t="s">
        <v>102</v>
      </c>
      <c r="B57" s="39">
        <f>SUMIFS(Lançamentos!$G:$G,Lançamentos!$A:$A,B$19,Lançamentos!$C:$C,"Limpeza e Conservação")</f>
        <v>0</v>
      </c>
      <c r="C57" s="39">
        <f>SUMIFS(Lançamentos!$G:$G,Lançamentos!$A:$A,C$19,Lançamentos!$C:$C,"Limpeza e Conservação")</f>
        <v>0</v>
      </c>
      <c r="D57" s="39">
        <f>SUMIFS(Lançamentos!$G:$G,Lançamentos!$A:$A,D$19,Lançamentos!$C:$C,"Limpeza e Conservação")</f>
        <v>0</v>
      </c>
      <c r="E57" s="39">
        <f>SUMIFS(Lançamentos!$G:$G,Lançamentos!$A:$A,E$19,Lançamentos!$C:$C,"Limpeza e Conservação")</f>
        <v>0</v>
      </c>
      <c r="F57" s="39">
        <f>SUMIFS(Lançamentos!$G:$G,Lançamentos!$A:$A,F$19,Lançamentos!$C:$C,"Limpeza e Conservação")</f>
        <v>0</v>
      </c>
      <c r="G57" s="39">
        <f>SUMIFS(Lançamentos!$G:$G,Lançamentos!$A:$A,G$19,Lançamentos!$C:$C,"Limpeza e Conservação")</f>
        <v>0</v>
      </c>
      <c r="H57" s="39">
        <f>SUMIFS(Lançamentos!$G:$G,Lançamentos!$A:$A,H$19,Lançamentos!$C:$C,"Limpeza e Conservação")</f>
        <v>0</v>
      </c>
      <c r="I57" s="39">
        <f>SUMIFS(Lançamentos!$G:$G,Lançamentos!$A:$A,I$19,Lançamentos!$C:$C,"Limpeza e Conservação")</f>
        <v>0</v>
      </c>
      <c r="J57" s="39">
        <f>SUMIFS(Lançamentos!$G:$G,Lançamentos!$A:$A,J$19,Lançamentos!$C:$C,"Limpeza e Conservação")</f>
        <v>0</v>
      </c>
      <c r="K57" s="39">
        <f>SUMIFS(Lançamentos!$G:$G,Lançamentos!$A:$A,K$19,Lançamentos!$C:$C,"Limpeza e Conservação")</f>
        <v>0</v>
      </c>
      <c r="L57" s="39">
        <f>SUMIFS(Lançamentos!$G:$G,Lançamentos!$A:$A,L$19,Lançamentos!$C:$C,"Limpeza e Conservação")</f>
        <v>0</v>
      </c>
      <c r="M57" s="39">
        <f>SUMIFS(Lançamentos!$G:$G,Lançamentos!$A:$A,M$19,Lançamentos!$C:$C,"Limpeza e Conservação")</f>
        <v>0</v>
      </c>
      <c r="N57" s="39">
        <f>SUMIFS(Lançamentos!$G:$G,Lançamentos!$A:$A,N$19,Lançamentos!$C:$C,"Limpeza e Conservação")</f>
        <v>0</v>
      </c>
      <c r="O57" s="39">
        <f>SUMIFS(Lançamentos!$G:$G,Lançamentos!$A:$A,O$19,Lançamentos!$C:$C,"Limpeza e Conservação")</f>
        <v>0</v>
      </c>
      <c r="P57" s="39">
        <f>SUMIFS(Lançamentos!$G:$G,Lançamentos!$A:$A,P$19,Lançamentos!$C:$C,"Limpeza e Conservação")</f>
        <v>0</v>
      </c>
      <c r="Q57" s="39">
        <f>SUMIFS(Lançamentos!$G:$G,Lançamentos!$A:$A,Q$19,Lançamentos!$C:$C,"Limpeza e Conservação")</f>
        <v>0</v>
      </c>
      <c r="R57" s="39">
        <f>SUMIFS(Lançamentos!$G:$G,Lançamentos!$A:$A,R$19,Lançamentos!$C:$C,"Limpeza e Conservação")</f>
        <v>0</v>
      </c>
      <c r="S57" s="39">
        <f>SUMIFS(Lançamentos!$G:$G,Lançamentos!$A:$A,S$19,Lançamentos!$C:$C,"Limpeza e Conservação")</f>
        <v>0</v>
      </c>
      <c r="T57" s="39">
        <f>SUMIFS(Lançamentos!$G:$G,Lançamentos!$A:$A,T$19,Lançamentos!$C:$C,"Limpeza e Conservação")</f>
        <v>0</v>
      </c>
      <c r="U57" s="39">
        <f>SUMIFS(Lançamentos!$G:$G,Lançamentos!$A:$A,U$19,Lançamentos!$C:$C,"Limpeza e Conservação")</f>
        <v>0</v>
      </c>
      <c r="V57" s="39">
        <f>SUMIFS(Lançamentos!$G:$G,Lançamentos!$A:$A,V$19,Lançamentos!$C:$C,"Limpeza e Conservação")</f>
        <v>0</v>
      </c>
      <c r="W57" s="39">
        <f>SUMIFS(Lançamentos!$G:$G,Lançamentos!$A:$A,W$19,Lançamentos!$C:$C,"Limpeza e Conservação")</f>
        <v>0</v>
      </c>
      <c r="X57" s="39">
        <f>SUMIFS(Lançamentos!$G:$G,Lançamentos!$A:$A,X$19,Lançamentos!$C:$C,"Limpeza e Conservação")</f>
        <v>0</v>
      </c>
      <c r="Y57" s="39">
        <f>SUMIFS(Lançamentos!$G:$G,Lançamentos!$A:$A,Y$19,Lançamentos!$C:$C,"Limpeza e Conservação")</f>
        <v>0</v>
      </c>
      <c r="Z57" s="39">
        <f>SUMIFS(Lançamentos!$G:$G,Lançamentos!$A:$A,Z$19,Lançamentos!$C:$C,"Limpeza e Conservação")</f>
        <v>0</v>
      </c>
      <c r="AA57" s="39">
        <f>SUMIFS(Lançamentos!$G:$G,Lançamentos!$A:$A,AA$19,Lançamentos!$C:$C,"Limpeza e Conservação")</f>
        <v>0</v>
      </c>
      <c r="AB57" s="39">
        <f>SUMIFS(Lançamentos!$G:$G,Lançamentos!$A:$A,AB$19,Lançamentos!$C:$C,"Limpeza e Conservação")</f>
        <v>0</v>
      </c>
      <c r="AC57" s="39">
        <f>SUMIFS(Lançamentos!$G:$G,Lançamentos!$A:$A,AC$19,Lançamentos!$C:$C,"Limpeza e Conservação")</f>
        <v>0</v>
      </c>
      <c r="AD57" s="39">
        <f>SUMIFS(Lançamentos!$G:$G,Lançamentos!$A:$A,AD$19,Lançamentos!$C:$C,"Limpeza e Conservação")</f>
        <v>0</v>
      </c>
      <c r="AE57" s="39">
        <f>SUMIFS(Lançamentos!$G:$G,Lançamentos!$A:$A,AE$19,Lançamentos!$C:$C,"Limpeza e Conservação")</f>
        <v>0</v>
      </c>
      <c r="AF57" s="39">
        <f>SUMIFS(Lançamentos!$G:$G,Lançamentos!$A:$A,AF$19,Lançamentos!$C:$C,"Limpeza e Conservação")</f>
        <v>0</v>
      </c>
      <c r="AG57" s="39">
        <f>SUMIFS(Lançamentos!$G:$G,Lançamentos!$A:$A,AG$19,Lançamentos!$C:$C,"Limpeza e Conservação")</f>
        <v>0</v>
      </c>
      <c r="AH57" s="39">
        <f>SUMIFS(Lançamentos!$G:$G,Lançamentos!$A:$A,AH$19,Lançamentos!$C:$C,"Limpeza e Conservação")</f>
        <v>0</v>
      </c>
      <c r="AI57" s="39">
        <f>SUMIFS(Lançamentos!$G:$G,Lançamentos!$A:$A,AI$19,Lançamentos!$C:$C,"Limpeza e Conservação")</f>
        <v>0</v>
      </c>
      <c r="AJ57" s="39">
        <f>SUMIFS(Lançamentos!$G:$G,Lançamentos!$A:$A,AJ$19,Lançamentos!$C:$C,"Limpeza e Conservação")</f>
        <v>0</v>
      </c>
      <c r="AK57" s="39">
        <f>SUMIFS(Lançamentos!$G:$G,Lançamentos!$A:$A,AK$19,Lançamentos!$C:$C,"Limpeza e Conservação")</f>
        <v>0</v>
      </c>
      <c r="AL57" s="39">
        <f>SUMIFS(Lançamentos!$G:$G,Lançamentos!$A:$A,AL$19,Lançamentos!$C:$C,"Limpeza e Conservação")</f>
        <v>0</v>
      </c>
      <c r="AM57" s="39">
        <f>SUMIFS(Lançamentos!$G:$G,Lançamentos!$A:$A,AM$19,Lançamentos!$C:$C,"Limpeza e Conservação")</f>
        <v>0</v>
      </c>
      <c r="AN57" s="39">
        <f>SUMIFS(Lançamentos!$G:$G,Lançamentos!$A:$A,AN$19,Lançamentos!$C:$C,"Limpeza e Conservação")</f>
        <v>0</v>
      </c>
      <c r="AO57" s="39">
        <f>SUMIFS(Lançamentos!$G:$G,Lançamentos!$A:$A,AO$19,Lançamentos!$C:$C,"Limpeza e Conservação")</f>
        <v>0</v>
      </c>
      <c r="AP57" s="39">
        <f>SUMIFS(Lançamentos!$G:$G,Lançamentos!$A:$A,AP$19,Lançamentos!$C:$C,"Limpeza e Conservação")</f>
        <v>0</v>
      </c>
      <c r="AQ57" s="39">
        <f>SUMIFS(Lançamentos!$G:$G,Lançamentos!$A:$A,AQ$19,Lançamentos!$C:$C,"Limpeza e Conservação")</f>
        <v>0</v>
      </c>
      <c r="AR57" s="39">
        <f>SUMIFS(Lançamentos!$G:$G,Lançamentos!$A:$A,AR$19,Lançamentos!$C:$C,"Limpeza e Conservação")</f>
        <v>0</v>
      </c>
      <c r="AS57" s="39">
        <f>SUMIFS(Lançamentos!$G:$G,Lançamentos!$A:$A,AS$19,Lançamentos!$C:$C,"Limpeza e Conservação")</f>
        <v>0</v>
      </c>
      <c r="AT57" s="39">
        <f>SUMIFS(Lançamentos!$G:$G,Lançamentos!$A:$A,AT$19,Lançamentos!$C:$C,"Limpeza e Conservação")</f>
        <v>0</v>
      </c>
      <c r="AU57" s="39">
        <f>SUMIFS(Lançamentos!$G:$G,Lançamentos!$A:$A,AU$19,Lançamentos!$C:$C,"Limpeza e Conservação")</f>
        <v>0</v>
      </c>
      <c r="AV57" s="39">
        <f>SUMIFS(Lançamentos!$G:$G,Lançamentos!$A:$A,AV$19,Lançamentos!$C:$C,"Limpeza e Conservação")</f>
        <v>0</v>
      </c>
      <c r="AW57" s="39">
        <f>SUMIFS(Lançamentos!$G:$G,Lançamentos!$A:$A,AW$19,Lançamentos!$C:$C,"Limpeza e Conservação")</f>
        <v>0</v>
      </c>
      <c r="AX57" s="39">
        <f>SUMIFS(Lançamentos!$G:$G,Lançamentos!$A:$A,AX$19,Lançamentos!$C:$C,"Limpeza e Conservação")</f>
        <v>0</v>
      </c>
      <c r="AY57" s="39">
        <f>SUMIFS(Lançamentos!$G:$G,Lançamentos!$A:$A,AY$19,Lançamentos!$C:$C,"Limpeza e Conservação")</f>
        <v>0</v>
      </c>
      <c r="AZ57" s="39">
        <f>SUMIFS(Lançamentos!$G:$G,Lançamentos!$A:$A,AZ$19,Lançamentos!$C:$C,"Limpeza e Conservação")</f>
        <v>0</v>
      </c>
      <c r="BA57" s="39">
        <f>SUMIFS(Lançamentos!$G:$G,Lançamentos!$A:$A,BA$19,Lançamentos!$C:$C,"Limpeza e Conservação")</f>
        <v>0</v>
      </c>
      <c r="BB57" s="39">
        <f>SUMIFS(Lançamentos!$G:$G,Lançamentos!$A:$A,BB$19,Lançamentos!$C:$C,"Limpeza e Conservação")</f>
        <v>0</v>
      </c>
      <c r="BC57" s="39">
        <f>SUMIFS(Lançamentos!$G:$G,Lançamentos!$A:$A,BC$19,Lançamentos!$C:$C,"Limpeza e Conservação")</f>
        <v>0</v>
      </c>
      <c r="BD57" s="39">
        <f>SUMIFS(Lançamentos!$G:$G,Lançamentos!$A:$A,BD$19,Lançamentos!$C:$C,"Limpeza e Conservação")</f>
        <v>0</v>
      </c>
      <c r="BE57" s="39">
        <f>SUMIFS(Lançamentos!$G:$G,Lançamentos!$A:$A,BE$19,Lançamentos!$C:$C,"Limpeza e Conservação")</f>
        <v>0</v>
      </c>
      <c r="BF57" s="39">
        <f>SUMIFS(Lançamentos!$G:$G,Lançamentos!$A:$A,BF$19,Lançamentos!$C:$C,"Limpeza e Conservação")</f>
        <v>0</v>
      </c>
      <c r="BG57" s="39">
        <f>SUMIFS(Lançamentos!$G:$G,Lançamentos!$A:$A,BG$19,Lançamentos!$C:$C,"Limpeza e Conservação")</f>
        <v>0</v>
      </c>
      <c r="BH57" s="39">
        <f>SUMIFS(Lançamentos!$G:$G,Lançamentos!$A:$A,BH$19,Lançamentos!$C:$C,"Limpeza e Conservação")</f>
        <v>0</v>
      </c>
      <c r="BI57" s="39">
        <f>SUMIFS(Lançamentos!$G:$G,Lançamentos!$A:$A,BI$19,Lançamentos!$C:$C,"Limpeza e Conservação")</f>
        <v>0</v>
      </c>
      <c r="BJ57" s="39">
        <f>SUMIFS(Lançamentos!$G:$G,Lançamentos!$A:$A,BJ$19,Lançamentos!$C:$C,"Limpeza e Conservação")</f>
        <v>0</v>
      </c>
      <c r="BK57" s="39">
        <f>SUMIFS(Lançamentos!$G:$G,Lançamentos!$A:$A,BK$19,Lançamentos!$C:$C,"Limpeza e Conservação")</f>
        <v>0</v>
      </c>
      <c r="BL57" s="39">
        <f>SUMIFS(Lançamentos!$G:$G,Lançamentos!$A:$A,BL$19,Lançamentos!$C:$C,"Limpeza e Conservação")</f>
        <v>0</v>
      </c>
      <c r="BM57" s="39">
        <f>SUMIFS(Lançamentos!$G:$G,Lançamentos!$A:$A,BM$19,Lançamentos!$C:$C,"Limpeza e Conservação")</f>
        <v>0</v>
      </c>
      <c r="BN57" s="39">
        <f>SUMIFS(Lançamentos!$G:$G,Lançamentos!$A:$A,BN$19,Lançamentos!$C:$C,"Limpeza e Conservação")</f>
        <v>0</v>
      </c>
      <c r="BO57" s="39">
        <f>SUMIFS(Lançamentos!$G:$G,Lançamentos!$A:$A,BO$19,Lançamentos!$C:$C,"Limpeza e Conservação")</f>
        <v>0</v>
      </c>
      <c r="BP57" s="39">
        <f>SUMIFS(Lançamentos!$G:$G,Lançamentos!$A:$A,BP$19,Lançamentos!$C:$C,"Limpeza e Conservação")</f>
        <v>0</v>
      </c>
      <c r="BQ57" s="39">
        <f>SUMIFS(Lançamentos!$G:$G,Lançamentos!$A:$A,BQ$19,Lançamentos!$C:$C,"Limpeza e Conservação")</f>
        <v>0</v>
      </c>
      <c r="BR57" s="39">
        <f>SUMIFS(Lançamentos!$G:$G,Lançamentos!$A:$A,BR$19,Lançamentos!$C:$C,"Limpeza e Conservação")</f>
        <v>0</v>
      </c>
      <c r="BS57" s="39">
        <f>SUMIFS(Lançamentos!$G:$G,Lançamentos!$A:$A,BS$19,Lançamentos!$C:$C,"Limpeza e Conservação")</f>
        <v>0</v>
      </c>
      <c r="BT57" s="39">
        <f>SUMIFS(Lançamentos!$G:$G,Lançamentos!$A:$A,BT$19,Lançamentos!$C:$C,"Limpeza e Conservação")</f>
        <v>0</v>
      </c>
      <c r="BU57" s="39">
        <f>SUMIFS(Lançamentos!$G:$G,Lançamentos!$A:$A,BU$19,Lançamentos!$C:$C,"Limpeza e Conservação")</f>
        <v>0</v>
      </c>
      <c r="BV57" s="39">
        <f>SUMIFS(Lançamentos!$G:$G,Lançamentos!$A:$A,BV$19,Lançamentos!$C:$C,"Limpeza e Conservação")</f>
        <v>0</v>
      </c>
      <c r="BW57" s="39">
        <f>SUMIFS(Lançamentos!$G:$G,Lançamentos!$A:$A,BW$19,Lançamentos!$C:$C,"Limpeza e Conservação")</f>
        <v>0</v>
      </c>
      <c r="BX57" s="39">
        <f>SUMIFS(Lançamentos!$G:$G,Lançamentos!$A:$A,BX$19,Lançamentos!$C:$C,"Limpeza e Conservação")</f>
        <v>0</v>
      </c>
      <c r="BY57" s="39">
        <f>SUMIFS(Lançamentos!$G:$G,Lançamentos!$A:$A,BY$19,Lançamentos!$C:$C,"Limpeza e Conservação")</f>
        <v>0</v>
      </c>
      <c r="BZ57" s="39">
        <f>SUMIFS(Lançamentos!$G:$G,Lançamentos!$A:$A,BZ$19,Lançamentos!$C:$C,"Limpeza e Conservação")</f>
        <v>0</v>
      </c>
      <c r="CA57" s="39">
        <f>SUMIFS(Lançamentos!$G:$G,Lançamentos!$A:$A,CA$19,Lançamentos!$C:$C,"Limpeza e Conservação")</f>
        <v>0</v>
      </c>
      <c r="CB57" s="39">
        <f>SUMIFS(Lançamentos!$G:$G,Lançamentos!$A:$A,CB$19,Lançamentos!$C:$C,"Limpeza e Conservação")</f>
        <v>0</v>
      </c>
      <c r="CC57" s="39">
        <f>SUMIFS(Lançamentos!$G:$G,Lançamentos!$A:$A,CC$19,Lançamentos!$C:$C,"Limpeza e Conservação")</f>
        <v>0</v>
      </c>
      <c r="CD57" s="39">
        <f>SUMIFS(Lançamentos!$G:$G,Lançamentos!$A:$A,CD$19,Lançamentos!$C:$C,"Limpeza e Conservação")</f>
        <v>0</v>
      </c>
      <c r="CE57" s="39">
        <f>SUMIFS(Lançamentos!$G:$G,Lançamentos!$A:$A,CE$19,Lançamentos!$C:$C,"Limpeza e Conservação")</f>
        <v>0</v>
      </c>
      <c r="CF57" s="39">
        <f>SUMIFS(Lançamentos!$G:$G,Lançamentos!$A:$A,CF$19,Lançamentos!$C:$C,"Limpeza e Conservação")</f>
        <v>0</v>
      </c>
      <c r="CG57" s="39">
        <f>SUMIFS(Lançamentos!$G:$G,Lançamentos!$A:$A,CG$19,Lançamentos!$C:$C,"Limpeza e Conservação")</f>
        <v>0</v>
      </c>
      <c r="CH57" s="39">
        <f>SUMIFS(Lançamentos!$G:$G,Lançamentos!$A:$A,CH$19,Lançamentos!$C:$C,"Limpeza e Conservação")</f>
        <v>0</v>
      </c>
      <c r="CI57" s="39">
        <f>SUMIFS(Lançamentos!$G:$G,Lançamentos!$A:$A,CI$19,Lançamentos!$C:$C,"Limpeza e Conservação")</f>
        <v>0</v>
      </c>
      <c r="CJ57" s="39">
        <f>SUMIFS(Lançamentos!$G:$G,Lançamentos!$A:$A,CJ$19,Lançamentos!$C:$C,"Limpeza e Conservação")</f>
        <v>0</v>
      </c>
      <c r="CK57" s="39">
        <f>SUMIFS(Lançamentos!$G:$G,Lançamentos!$A:$A,CK$19,Lançamentos!$C:$C,"Limpeza e Conservação")</f>
        <v>0</v>
      </c>
      <c r="CL57" s="39">
        <f>SUMIFS(Lançamentos!$G:$G,Lançamentos!$A:$A,CL$19,Lançamentos!$C:$C,"Limpeza e Conservação")</f>
        <v>0</v>
      </c>
      <c r="CM57" s="39">
        <f>SUMIFS(Lançamentos!$G:$G,Lançamentos!$A:$A,CM$19,Lançamentos!$C:$C,"Limpeza e Conservação")</f>
        <v>0</v>
      </c>
      <c r="CN57" s="39">
        <f>SUMIFS(Lançamentos!$G:$G,Lançamentos!$A:$A,CN$19,Lançamentos!$C:$C,"Limpeza e Conservação")</f>
        <v>0</v>
      </c>
      <c r="CO57" s="39">
        <f>SUMIFS(Lançamentos!$G:$G,Lançamentos!$A:$A,CO$19,Lançamentos!$C:$C,"Limpeza e Conservação")</f>
        <v>0</v>
      </c>
      <c r="CP57" s="39">
        <f>SUMIFS(Lançamentos!$G:$G,Lançamentos!$A:$A,CP$19,Lançamentos!$C:$C,"Limpeza e Conservação")</f>
        <v>0</v>
      </c>
      <c r="CQ57" s="39">
        <f>SUMIFS(Lançamentos!$G:$G,Lançamentos!$A:$A,CQ$19,Lançamentos!$C:$C,"Limpeza e Conservação")</f>
        <v>0</v>
      </c>
      <c r="CR57" s="39">
        <f>SUMIFS(Lançamentos!$G:$G,Lançamentos!$A:$A,CR$19,Lançamentos!$C:$C,"Limpeza e Conservação")</f>
        <v>0</v>
      </c>
      <c r="CS57" s="39">
        <f>SUMIFS(Lançamentos!$G:$G,Lançamentos!$A:$A,CS$19,Lançamentos!$C:$C,"Limpeza e Conservação")</f>
        <v>0</v>
      </c>
      <c r="CT57" s="39">
        <f>SUMIFS(Lançamentos!$G:$G,Lançamentos!$A:$A,CT$19,Lançamentos!$C:$C,"Limpeza e Conservação")</f>
        <v>0</v>
      </c>
      <c r="CU57" s="39">
        <f>SUMIFS(Lançamentos!$G:$G,Lançamentos!$A:$A,CU$19,Lançamentos!$C:$C,"Limpeza e Conservação")</f>
        <v>0</v>
      </c>
      <c r="CV57" s="39">
        <f>SUMIFS(Lançamentos!$G:$G,Lançamentos!$A:$A,CV$19,Lançamentos!$C:$C,"Limpeza e Conservação")</f>
        <v>0</v>
      </c>
      <c r="CW57" s="39">
        <f>SUMIFS(Lançamentos!$G:$G,Lançamentos!$A:$A,CW$19,Lançamentos!$C:$C,"Limpeza e Conservação")</f>
        <v>0</v>
      </c>
      <c r="CX57" s="39">
        <f>SUMIFS(Lançamentos!$G:$G,Lançamentos!$A:$A,CX$19,Lançamentos!$C:$C,"Limpeza e Conservação")</f>
        <v>0</v>
      </c>
      <c r="CY57" s="39">
        <f>SUMIFS(Lançamentos!$G:$G,Lançamentos!$A:$A,CY$19,Lançamentos!$C:$C,"Limpeza e Conservação")</f>
        <v>0</v>
      </c>
      <c r="CZ57" s="39">
        <f>SUMIFS(Lançamentos!$G:$G,Lançamentos!$A:$A,CZ$19,Lançamentos!$C:$C,"Limpeza e Conservação")</f>
        <v>0</v>
      </c>
      <c r="DA57" s="39">
        <f>SUMIFS(Lançamentos!$G:$G,Lançamentos!$A:$A,DA$19,Lançamentos!$C:$C,"Limpeza e Conservação")</f>
        <v>0</v>
      </c>
      <c r="DB57" s="39">
        <f>SUMIFS(Lançamentos!$G:$G,Lançamentos!$A:$A,DB$19,Lançamentos!$C:$C,"Limpeza e Conservação")</f>
        <v>0</v>
      </c>
      <c r="DC57" s="39">
        <f>SUMIFS(Lançamentos!$G:$G,Lançamentos!$A:$A,DC$19,Lançamentos!$C:$C,"Limpeza e Conservação")</f>
        <v>0</v>
      </c>
      <c r="DD57" s="39">
        <f>SUMIFS(Lançamentos!$G:$G,Lançamentos!$A:$A,DD$19,Lançamentos!$C:$C,"Limpeza e Conservação")</f>
        <v>0</v>
      </c>
      <c r="DE57" s="39">
        <f>SUMIFS(Lançamentos!$G:$G,Lançamentos!$A:$A,DE$19,Lançamentos!$C:$C,"Limpeza e Conservação")</f>
        <v>0</v>
      </c>
      <c r="DF57" s="39">
        <f>SUMIFS(Lançamentos!$G:$G,Lançamentos!$A:$A,DF$19,Lançamentos!$C:$C,"Limpeza e Conservação")</f>
        <v>0</v>
      </c>
      <c r="DG57" s="39">
        <f>SUMIFS(Lançamentos!$G:$G,Lançamentos!$A:$A,DG$19,Lançamentos!$C:$C,"Limpeza e Conservação")</f>
        <v>0</v>
      </c>
      <c r="DH57" s="39">
        <f>SUMIFS(Lançamentos!$G:$G,Lançamentos!$A:$A,DH$19,Lançamentos!$C:$C,"Limpeza e Conservação")</f>
        <v>0</v>
      </c>
      <c r="DI57" s="39">
        <f>SUMIFS(Lançamentos!$G:$G,Lançamentos!$A:$A,DI$19,Lançamentos!$C:$C,"Limpeza e Conservação")</f>
        <v>0</v>
      </c>
      <c r="DJ57" s="39">
        <f>SUMIFS(Lançamentos!$G:$G,Lançamentos!$A:$A,DJ$19,Lançamentos!$C:$C,"Limpeza e Conservação")</f>
        <v>0</v>
      </c>
      <c r="DK57" s="39">
        <f>SUMIFS(Lançamentos!$G:$G,Lançamentos!$A:$A,DK$19,Lançamentos!$C:$C,"Limpeza e Conservação")</f>
        <v>0</v>
      </c>
      <c r="DL57" s="39">
        <f>SUMIFS(Lançamentos!$G:$G,Lançamentos!$A:$A,DL$19,Lançamentos!$C:$C,"Limpeza e Conservação")</f>
        <v>0</v>
      </c>
      <c r="DM57" s="39">
        <f>SUMIFS(Lançamentos!$G:$G,Lançamentos!$A:$A,DM$19,Lançamentos!$C:$C,"Limpeza e Conservação")</f>
        <v>0</v>
      </c>
      <c r="DN57" s="39">
        <f>SUMIFS(Lançamentos!$G:$G,Lançamentos!$A:$A,DN$19,Lançamentos!$C:$C,"Limpeza e Conservação")</f>
        <v>0</v>
      </c>
      <c r="DO57" s="39">
        <f>SUMIFS(Lançamentos!$G:$G,Lançamentos!$A:$A,DO$19,Lançamentos!$C:$C,"Limpeza e Conservação")</f>
        <v>0</v>
      </c>
      <c r="DP57" s="39">
        <f>SUMIFS(Lançamentos!$G:$G,Lançamentos!$A:$A,DP$19,Lançamentos!$C:$C,"Limpeza e Conservação")</f>
        <v>0</v>
      </c>
      <c r="DQ57" s="39">
        <f>SUMIFS(Lançamentos!$G:$G,Lançamentos!$A:$A,DQ$19,Lançamentos!$C:$C,"Limpeza e Conservação")</f>
        <v>0</v>
      </c>
      <c r="DR57" s="39">
        <f>SUMIFS(Lançamentos!$G:$G,Lançamentos!$A:$A,DR$19,Lançamentos!$C:$C,"Limpeza e Conservação")</f>
        <v>0</v>
      </c>
      <c r="DS57" s="39">
        <f>SUMIFS(Lançamentos!$G:$G,Lançamentos!$A:$A,DS$19,Lançamentos!$C:$C,"Limpeza e Conservação")</f>
        <v>0</v>
      </c>
      <c r="DT57" s="39">
        <f>SUMIFS(Lançamentos!$G:$G,Lançamentos!$A:$A,DT$19,Lançamentos!$C:$C,"Limpeza e Conservação")</f>
        <v>0</v>
      </c>
      <c r="DU57" s="39">
        <f>SUMIFS(Lançamentos!$G:$G,Lançamentos!$A:$A,DU$19,Lançamentos!$C:$C,"Limpeza e Conservação")</f>
        <v>0</v>
      </c>
      <c r="DV57" s="39">
        <f>SUMIFS(Lançamentos!$G:$G,Lançamentos!$A:$A,DV$19,Lançamentos!$C:$C,"Limpeza e Conservação")</f>
        <v>0</v>
      </c>
      <c r="DW57" s="39">
        <f>SUMIFS(Lançamentos!$G:$G,Lançamentos!$A:$A,DW$19,Lançamentos!$C:$C,"Limpeza e Conservação")</f>
        <v>0</v>
      </c>
      <c r="DX57" s="39">
        <f>SUMIFS(Lançamentos!$G:$G,Lançamentos!$A:$A,DX$19,Lançamentos!$C:$C,"Limpeza e Conservação")</f>
        <v>0</v>
      </c>
      <c r="DY57" s="39">
        <f>SUMIFS(Lançamentos!$G:$G,Lançamentos!$A:$A,DY$19,Lançamentos!$C:$C,"Limpeza e Conservação")</f>
        <v>0</v>
      </c>
      <c r="DZ57" s="39">
        <f>SUMIFS(Lançamentos!$G:$G,Lançamentos!$A:$A,DZ$19,Lançamentos!$C:$C,"Limpeza e Conservação")</f>
        <v>0</v>
      </c>
      <c r="EA57" s="39">
        <f>SUMIFS(Lançamentos!$G:$G,Lançamentos!$A:$A,EA$19,Lançamentos!$C:$C,"Limpeza e Conservação")</f>
        <v>0</v>
      </c>
      <c r="EB57" s="39">
        <f>SUMIFS(Lançamentos!$G:$G,Lançamentos!$A:$A,EB$19,Lançamentos!$C:$C,"Limpeza e Conservação")</f>
        <v>0</v>
      </c>
      <c r="EC57" s="39">
        <f>SUMIFS(Lançamentos!$G:$G,Lançamentos!$A:$A,EC$19,Lançamentos!$C:$C,"Limpeza e Conservação")</f>
        <v>0</v>
      </c>
      <c r="ED57" s="39">
        <f>SUMIFS(Lançamentos!$G:$G,Lançamentos!$A:$A,ED$19,Lançamentos!$C:$C,"Limpeza e Conservação")</f>
        <v>0</v>
      </c>
      <c r="EE57" s="39">
        <f>SUMIFS(Lançamentos!$G:$G,Lançamentos!$A:$A,EE$19,Lançamentos!$C:$C,"Limpeza e Conservação")</f>
        <v>0</v>
      </c>
      <c r="EF57" s="39">
        <f>SUMIFS(Lançamentos!$G:$G,Lançamentos!$A:$A,EF$19,Lançamentos!$C:$C,"Limpeza e Conservação")</f>
        <v>0</v>
      </c>
      <c r="EG57" s="39">
        <f>SUMIFS(Lançamentos!$G:$G,Lançamentos!$A:$A,EG$19,Lançamentos!$C:$C,"Limpeza e Conservação")</f>
        <v>0</v>
      </c>
      <c r="EH57" s="39">
        <f>SUMIFS(Lançamentos!$G:$G,Lançamentos!$A:$A,EH$19,Lançamentos!$C:$C,"Limpeza e Conservação")</f>
        <v>0</v>
      </c>
      <c r="EI57" s="39">
        <f>SUMIFS(Lançamentos!$G:$G,Lançamentos!$A:$A,EI$19,Lançamentos!$C:$C,"Limpeza e Conservação")</f>
        <v>0</v>
      </c>
      <c r="EJ57" s="39">
        <f>SUMIFS(Lançamentos!$G:$G,Lançamentos!$A:$A,EJ$19,Lançamentos!$C:$C,"Limpeza e Conservação")</f>
        <v>0</v>
      </c>
      <c r="EK57" s="39">
        <f>SUMIFS(Lançamentos!$G:$G,Lançamentos!$A:$A,EK$19,Lançamentos!$C:$C,"Limpeza e Conservação")</f>
        <v>0</v>
      </c>
      <c r="EL57" s="39">
        <f>SUMIFS(Lançamentos!$G:$G,Lançamentos!$A:$A,EL$19,Lançamentos!$C:$C,"Limpeza e Conservação")</f>
        <v>0</v>
      </c>
      <c r="EM57" s="39">
        <f>SUMIFS(Lançamentos!$G:$G,Lançamentos!$A:$A,EM$19,Lançamentos!$C:$C,"Limpeza e Conservação")</f>
        <v>0</v>
      </c>
      <c r="EN57" s="39">
        <f>SUMIFS(Lançamentos!$G:$G,Lançamentos!$A:$A,EN$19,Lançamentos!$C:$C,"Limpeza e Conservação")</f>
        <v>0</v>
      </c>
      <c r="EO57" s="39">
        <f>SUMIFS(Lançamentos!$G:$G,Lançamentos!$A:$A,EO$19,Lançamentos!$C:$C,"Limpeza e Conservação")</f>
        <v>0</v>
      </c>
      <c r="EP57" s="39">
        <f>SUMIFS(Lançamentos!$G:$G,Lançamentos!$A:$A,EP$19,Lançamentos!$C:$C,"Limpeza e Conservação")</f>
        <v>0</v>
      </c>
      <c r="EQ57" s="39">
        <f>SUMIFS(Lançamentos!$G:$G,Lançamentos!$A:$A,EQ$19,Lançamentos!$C:$C,"Limpeza e Conservação")</f>
        <v>0</v>
      </c>
      <c r="ER57" s="39">
        <f>SUMIFS(Lançamentos!$G:$G,Lançamentos!$A:$A,ER$19,Lançamentos!$C:$C,"Limpeza e Conservação")</f>
        <v>0</v>
      </c>
      <c r="ES57" s="39">
        <f>SUMIFS(Lançamentos!$G:$G,Lançamentos!$A:$A,ES$19,Lançamentos!$C:$C,"Limpeza e Conservação")</f>
        <v>0</v>
      </c>
      <c r="ET57" s="39">
        <f>SUMIFS(Lançamentos!$G:$G,Lançamentos!$A:$A,ET$19,Lançamentos!$C:$C,"Limpeza e Conservação")</f>
        <v>0</v>
      </c>
      <c r="EU57" s="39">
        <f>SUMIFS(Lançamentos!$G:$G,Lançamentos!$A:$A,EU$19,Lançamentos!$C:$C,"Limpeza e Conservação")</f>
        <v>0</v>
      </c>
      <c r="EV57" s="39">
        <f>SUMIFS(Lançamentos!$G:$G,Lançamentos!$A:$A,EV$19,Lançamentos!$C:$C,"Limpeza e Conservação")</f>
        <v>0</v>
      </c>
      <c r="EW57" s="39">
        <f>SUMIFS(Lançamentos!$G:$G,Lançamentos!$A:$A,EW$19,Lançamentos!$C:$C,"Limpeza e Conservação")</f>
        <v>0</v>
      </c>
      <c r="EX57" s="39">
        <f>SUMIFS(Lançamentos!$G:$G,Lançamentos!$A:$A,EX$19,Lançamentos!$C:$C,"Limpeza e Conservação")</f>
        <v>0</v>
      </c>
      <c r="EY57" s="39">
        <f>SUMIFS(Lançamentos!$G:$G,Lançamentos!$A:$A,EY$19,Lançamentos!$C:$C,"Limpeza e Conservação")</f>
        <v>0</v>
      </c>
      <c r="EZ57" s="39">
        <f>SUMIFS(Lançamentos!$G:$G,Lançamentos!$A:$A,EZ$19,Lançamentos!$C:$C,"Limpeza e Conservação")</f>
        <v>0</v>
      </c>
      <c r="FA57" s="39">
        <f>SUMIFS(Lançamentos!$G:$G,Lançamentos!$A:$A,FA$19,Lançamentos!$C:$C,"Limpeza e Conservação")</f>
        <v>0</v>
      </c>
      <c r="FB57" s="39">
        <f>SUMIFS(Lançamentos!$G:$G,Lançamentos!$A:$A,FB$19,Lançamentos!$C:$C,"Limpeza e Conservação")</f>
        <v>0</v>
      </c>
      <c r="FC57" s="39">
        <f>SUMIFS(Lançamentos!$G:$G,Lançamentos!$A:$A,FC$19,Lançamentos!$C:$C,"Limpeza e Conservação")</f>
        <v>0</v>
      </c>
      <c r="FD57" s="39">
        <f>SUMIFS(Lançamentos!$G:$G,Lançamentos!$A:$A,FD$19,Lançamentos!$C:$C,"Limpeza e Conservação")</f>
        <v>0</v>
      </c>
      <c r="FE57" s="39">
        <f>SUMIFS(Lançamentos!$G:$G,Lançamentos!$A:$A,FE$19,Lançamentos!$C:$C,"Limpeza e Conservação")</f>
        <v>0</v>
      </c>
      <c r="FF57" s="39">
        <f>SUMIFS(Lançamentos!$G:$G,Lançamentos!$A:$A,FF$19,Lançamentos!$C:$C,"Limpeza e Conservação")</f>
        <v>0</v>
      </c>
      <c r="FG57" s="39">
        <f>SUMIFS(Lançamentos!$G:$G,Lançamentos!$A:$A,FG$19,Lançamentos!$C:$C,"Limpeza e Conservação")</f>
        <v>0</v>
      </c>
      <c r="FH57" s="39">
        <f>SUMIFS(Lançamentos!$G:$G,Lançamentos!$A:$A,FH$19,Lançamentos!$C:$C,"Limpeza e Conservação")</f>
        <v>0</v>
      </c>
      <c r="FI57" s="39">
        <f>SUMIFS(Lançamentos!$G:$G,Lançamentos!$A:$A,FI$19,Lançamentos!$C:$C,"Limpeza e Conservação")</f>
        <v>0</v>
      </c>
      <c r="FJ57" s="39">
        <f>SUMIFS(Lançamentos!$G:$G,Lançamentos!$A:$A,FJ$19,Lançamentos!$C:$C,"Limpeza e Conservação")</f>
        <v>0</v>
      </c>
      <c r="FK57" s="39">
        <f>SUMIFS(Lançamentos!$G:$G,Lançamentos!$A:$A,FK$19,Lançamentos!$C:$C,"Limpeza e Conservação")</f>
        <v>0</v>
      </c>
      <c r="FL57" s="39">
        <f>SUMIFS(Lançamentos!$G:$G,Lançamentos!$A:$A,FL$19,Lançamentos!$C:$C,"Limpeza e Conservação")</f>
        <v>0</v>
      </c>
      <c r="FM57" s="39">
        <f>SUMIFS(Lançamentos!$G:$G,Lançamentos!$A:$A,FM$19,Lançamentos!$C:$C,"Limpeza e Conservação")</f>
        <v>0</v>
      </c>
      <c r="FN57" s="39">
        <f>SUMIFS(Lançamentos!$G:$G,Lançamentos!$A:$A,FN$19,Lançamentos!$C:$C,"Limpeza e Conservação")</f>
        <v>0</v>
      </c>
      <c r="FO57" s="39">
        <f>SUMIFS(Lançamentos!$G:$G,Lançamentos!$A:$A,FO$19,Lançamentos!$C:$C,"Limpeza e Conservação")</f>
        <v>0</v>
      </c>
      <c r="FP57" s="39">
        <f>SUMIFS(Lançamentos!$G:$G,Lançamentos!$A:$A,FP$19,Lançamentos!$C:$C,"Limpeza e Conservação")</f>
        <v>0</v>
      </c>
      <c r="FQ57" s="39">
        <f>SUMIFS(Lançamentos!$G:$G,Lançamentos!$A:$A,FQ$19,Lançamentos!$C:$C,"Limpeza e Conservação")</f>
        <v>0</v>
      </c>
      <c r="FR57" s="39">
        <f>SUMIFS(Lançamentos!$G:$G,Lançamentos!$A:$A,FR$19,Lançamentos!$C:$C,"Limpeza e Conservação")</f>
        <v>0</v>
      </c>
      <c r="FS57" s="39">
        <f>SUMIFS(Lançamentos!$G:$G,Lançamentos!$A:$A,FS$19,Lançamentos!$C:$C,"Limpeza e Conservação")</f>
        <v>0</v>
      </c>
      <c r="FT57" s="39">
        <f>SUMIFS(Lançamentos!$G:$G,Lançamentos!$A:$A,FT$19,Lançamentos!$C:$C,"Limpeza e Conservação")</f>
        <v>0</v>
      </c>
      <c r="FU57" s="39">
        <f>SUMIFS(Lançamentos!$G:$G,Lançamentos!$A:$A,FU$19,Lançamentos!$C:$C,"Limpeza e Conservação")</f>
        <v>0</v>
      </c>
      <c r="FV57" s="39">
        <f>SUMIFS(Lançamentos!$G:$G,Lançamentos!$A:$A,FV$19,Lançamentos!$C:$C,"Limpeza e Conservação")</f>
        <v>0</v>
      </c>
      <c r="FW57" s="39">
        <f>SUMIFS(Lançamentos!$G:$G,Lançamentos!$A:$A,FW$19,Lançamentos!$C:$C,"Limpeza e Conservação")</f>
        <v>0</v>
      </c>
      <c r="FX57" s="39">
        <f>SUMIFS(Lançamentos!$G:$G,Lançamentos!$A:$A,FX$19,Lançamentos!$C:$C,"Limpeza e Conservação")</f>
        <v>0</v>
      </c>
      <c r="FY57" s="39">
        <f>SUMIFS(Lançamentos!$G:$G,Lançamentos!$A:$A,FY$19,Lançamentos!$C:$C,"Limpeza e Conservação")</f>
        <v>0</v>
      </c>
      <c r="FZ57" s="39">
        <f>SUMIFS(Lançamentos!$G:$G,Lançamentos!$A:$A,FZ$19,Lançamentos!$C:$C,"Limpeza e Conservação")</f>
        <v>0</v>
      </c>
      <c r="GA57" s="39">
        <f>SUMIFS(Lançamentos!$G:$G,Lançamentos!$A:$A,GA$19,Lançamentos!$C:$C,"Limpeza e Conservação")</f>
        <v>0</v>
      </c>
      <c r="GB57" s="39">
        <f>SUMIFS(Lançamentos!$G:$G,Lançamentos!$A:$A,GB$19,Lançamentos!$C:$C,"Limpeza e Conservação")</f>
        <v>0</v>
      </c>
      <c r="GC57" s="39">
        <f>SUMIFS(Lançamentos!$G:$G,Lançamentos!$A:$A,GC$19,Lançamentos!$C:$C,"Limpeza e Conservação")</f>
        <v>0</v>
      </c>
      <c r="GD57" s="39">
        <f>SUMIFS(Lançamentos!$G:$G,Lançamentos!$A:$A,GD$19,Lançamentos!$C:$C,"Limpeza e Conservação")</f>
        <v>0</v>
      </c>
      <c r="GE57" s="39">
        <f>SUMIFS(Lançamentos!$G:$G,Lançamentos!$A:$A,GE$19,Lançamentos!$C:$C,"Limpeza e Conservação")</f>
        <v>0</v>
      </c>
      <c r="GF57" s="39">
        <f>SUMIFS(Lançamentos!$G:$G,Lançamentos!$A:$A,GF$19,Lançamentos!$C:$C,"Limpeza e Conservação")</f>
        <v>0</v>
      </c>
      <c r="GG57" s="39">
        <f>SUMIFS(Lançamentos!$G:$G,Lançamentos!$A:$A,GG$19,Lançamentos!$C:$C,"Limpeza e Conservação")</f>
        <v>0</v>
      </c>
      <c r="GH57" s="39">
        <f>SUMIFS(Lançamentos!$G:$G,Lançamentos!$A:$A,GH$19,Lançamentos!$C:$C,"Limpeza e Conservação")</f>
        <v>0</v>
      </c>
      <c r="GI57" s="39">
        <f>SUMIFS(Lançamentos!$G:$G,Lançamentos!$A:$A,GI$19,Lançamentos!$C:$C,"Limpeza e Conservação")</f>
        <v>0</v>
      </c>
      <c r="GJ57" s="39">
        <f>SUMIFS(Lançamentos!$G:$G,Lançamentos!$A:$A,GJ$19,Lançamentos!$C:$C,"Limpeza e Conservação")</f>
        <v>0</v>
      </c>
      <c r="GK57" s="39">
        <f>SUMIFS(Lançamentos!$G:$G,Lançamentos!$A:$A,GK$19,Lançamentos!$C:$C,"Limpeza e Conservação")</f>
        <v>0</v>
      </c>
      <c r="GL57" s="39">
        <f>SUMIFS(Lançamentos!$G:$G,Lançamentos!$A:$A,GL$19,Lançamentos!$C:$C,"Limpeza e Conservação")</f>
        <v>0</v>
      </c>
      <c r="GM57" s="39">
        <f>SUMIFS(Lançamentos!$G:$G,Lançamentos!$A:$A,GM$19,Lançamentos!$C:$C,"Limpeza e Conservação")</f>
        <v>0</v>
      </c>
      <c r="GN57" s="39">
        <f>SUMIFS(Lançamentos!$G:$G,Lançamentos!$A:$A,GN$19,Lançamentos!$C:$C,"Limpeza e Conservação")</f>
        <v>0</v>
      </c>
      <c r="GO57" s="39">
        <f>SUMIFS(Lançamentos!$G:$G,Lançamentos!$A:$A,GO$19,Lançamentos!$C:$C,"Limpeza e Conservação")</f>
        <v>0</v>
      </c>
      <c r="GP57" s="39">
        <f>SUMIFS(Lançamentos!$G:$G,Lançamentos!$A:$A,GP$19,Lançamentos!$C:$C,"Limpeza e Conservação")</f>
        <v>0</v>
      </c>
      <c r="GQ57" s="39">
        <f>SUMIFS(Lançamentos!$G:$G,Lançamentos!$A:$A,GQ$19,Lançamentos!$C:$C,"Limpeza e Conservação")</f>
        <v>0</v>
      </c>
      <c r="GR57" s="39">
        <f>SUMIFS(Lançamentos!$G:$G,Lançamentos!$A:$A,GR$19,Lançamentos!$C:$C,"Limpeza e Conservação")</f>
        <v>0</v>
      </c>
      <c r="GS57" s="39">
        <f>SUMIFS(Lançamentos!$G:$G,Lançamentos!$A:$A,GS$19,Lançamentos!$C:$C,"Limpeza e Conservação")</f>
        <v>0</v>
      </c>
      <c r="GT57" s="39">
        <f>SUMIFS(Lançamentos!$G:$G,Lançamentos!$A:$A,GT$19,Lançamentos!$C:$C,"Limpeza e Conservação")</f>
        <v>0</v>
      </c>
      <c r="GU57" s="39">
        <f>SUMIFS(Lançamentos!$G:$G,Lançamentos!$A:$A,GU$19,Lançamentos!$C:$C,"Limpeza e Conservação")</f>
        <v>0</v>
      </c>
      <c r="GV57" s="39">
        <f>SUMIFS(Lançamentos!$G:$G,Lançamentos!$A:$A,GV$19,Lançamentos!$C:$C,"Limpeza e Conservação")</f>
        <v>0</v>
      </c>
      <c r="GW57" s="39">
        <f>SUMIFS(Lançamentos!$G:$G,Lançamentos!$A:$A,GW$19,Lançamentos!$C:$C,"Limpeza e Conservação")</f>
        <v>0</v>
      </c>
      <c r="GX57" s="39">
        <f>SUMIFS(Lançamentos!$G:$G,Lançamentos!$A:$A,GX$19,Lançamentos!$C:$C,"Limpeza e Conservação")</f>
        <v>0</v>
      </c>
      <c r="GY57" s="39">
        <f>SUMIFS(Lançamentos!$G:$G,Lançamentos!$A:$A,GY$19,Lançamentos!$C:$C,"Limpeza e Conservação")</f>
        <v>0</v>
      </c>
      <c r="GZ57" s="39">
        <f>SUMIFS(Lançamentos!$G:$G,Lançamentos!$A:$A,GZ$19,Lançamentos!$C:$C,"Limpeza e Conservação")</f>
        <v>0</v>
      </c>
      <c r="HA57" s="39">
        <f>SUMIFS(Lançamentos!$G:$G,Lançamentos!$A:$A,HA$19,Lançamentos!$C:$C,"Limpeza e Conservação")</f>
        <v>0</v>
      </c>
      <c r="HB57" s="39">
        <f>SUMIFS(Lançamentos!$G:$G,Lançamentos!$A:$A,HB$19,Lançamentos!$C:$C,"Limpeza e Conservação")</f>
        <v>0</v>
      </c>
      <c r="HC57" s="39">
        <f>SUMIFS(Lançamentos!$G:$G,Lançamentos!$A:$A,HC$19,Lançamentos!$C:$C,"Limpeza e Conservação")</f>
        <v>0</v>
      </c>
      <c r="HD57" s="39">
        <f>SUMIFS(Lançamentos!$G:$G,Lançamentos!$A:$A,HD$19,Lançamentos!$C:$C,"Limpeza e Conservação")</f>
        <v>0</v>
      </c>
      <c r="HE57" s="39">
        <f>SUMIFS(Lançamentos!$G:$G,Lançamentos!$A:$A,HE$19,Lançamentos!$C:$C,"Limpeza e Conservação")</f>
        <v>0</v>
      </c>
      <c r="HF57" s="39">
        <f>SUMIFS(Lançamentos!$G:$G,Lançamentos!$A:$A,HF$19,Lançamentos!$C:$C,"Limpeza e Conservação")</f>
        <v>0</v>
      </c>
      <c r="HG57" s="39">
        <f>SUMIFS(Lançamentos!$G:$G,Lançamentos!$A:$A,HG$19,Lançamentos!$C:$C,"Limpeza e Conservação")</f>
        <v>0</v>
      </c>
      <c r="HH57" s="39">
        <f>SUMIFS(Lançamentos!$G:$G,Lançamentos!$A:$A,HH$19,Lançamentos!$C:$C,"Limpeza e Conservação")</f>
        <v>0</v>
      </c>
      <c r="HI57" s="39">
        <f>SUMIFS(Lançamentos!$G:$G,Lançamentos!$A:$A,HI$19,Lançamentos!$C:$C,"Limpeza e Conservação")</f>
        <v>0</v>
      </c>
      <c r="HJ57" s="39">
        <f>SUMIFS(Lançamentos!$G:$G,Lançamentos!$A:$A,HJ$19,Lançamentos!$C:$C,"Limpeza e Conservação")</f>
        <v>0</v>
      </c>
      <c r="HK57" s="39">
        <f>SUMIFS(Lançamentos!$G:$G,Lançamentos!$A:$A,HK$19,Lançamentos!$C:$C,"Limpeza e Conservação")</f>
        <v>0</v>
      </c>
      <c r="HL57" s="39">
        <f>SUMIFS(Lançamentos!$G:$G,Lançamentos!$A:$A,HL$19,Lançamentos!$C:$C,"Limpeza e Conservação")</f>
        <v>0</v>
      </c>
      <c r="HM57" s="39">
        <f>SUMIFS(Lançamentos!$G:$G,Lançamentos!$A:$A,HM$19,Lançamentos!$C:$C,"Limpeza e Conservação")</f>
        <v>0</v>
      </c>
      <c r="HN57" s="39">
        <f>SUMIFS(Lançamentos!$G:$G,Lançamentos!$A:$A,HN$19,Lançamentos!$C:$C,"Limpeza e Conservação")</f>
        <v>0</v>
      </c>
      <c r="HO57" s="39">
        <f>SUMIFS(Lançamentos!$G:$G,Lançamentos!$A:$A,HO$19,Lançamentos!$C:$C,"Limpeza e Conservação")</f>
        <v>0</v>
      </c>
      <c r="HP57" s="39">
        <f>SUMIFS(Lançamentos!$G:$G,Lançamentos!$A:$A,HP$19,Lançamentos!$C:$C,"Limpeza e Conservação")</f>
        <v>0</v>
      </c>
      <c r="HQ57" s="39">
        <f>SUMIFS(Lançamentos!$G:$G,Lançamentos!$A:$A,HQ$19,Lançamentos!$C:$C,"Limpeza e Conservação")</f>
        <v>0</v>
      </c>
      <c r="HR57" s="39">
        <f>SUMIFS(Lançamentos!$G:$G,Lançamentos!$A:$A,HR$19,Lançamentos!$C:$C,"Limpeza e Conservação")</f>
        <v>0</v>
      </c>
      <c r="HS57" s="39">
        <f>SUMIFS(Lançamentos!$G:$G,Lançamentos!$A:$A,HS$19,Lançamentos!$C:$C,"Limpeza e Conservação")</f>
        <v>0</v>
      </c>
      <c r="HT57" s="39">
        <f>SUMIFS(Lançamentos!$G:$G,Lançamentos!$A:$A,HT$19,Lançamentos!$C:$C,"Limpeza e Conservação")</f>
        <v>0</v>
      </c>
      <c r="HU57" s="39">
        <f>SUMIFS(Lançamentos!$G:$G,Lançamentos!$A:$A,HU$19,Lançamentos!$C:$C,"Limpeza e Conservação")</f>
        <v>0</v>
      </c>
      <c r="HV57" s="39">
        <f>SUMIFS(Lançamentos!$G:$G,Lançamentos!$A:$A,HV$19,Lançamentos!$C:$C,"Limpeza e Conservação")</f>
        <v>0</v>
      </c>
      <c r="HW57" s="39">
        <f>SUMIFS(Lançamentos!$G:$G,Lançamentos!$A:$A,HW$19,Lançamentos!$C:$C,"Limpeza e Conservação")</f>
        <v>0</v>
      </c>
      <c r="HX57" s="39">
        <f>SUMIFS(Lançamentos!$G:$G,Lançamentos!$A:$A,HX$19,Lançamentos!$C:$C,"Limpeza e Conservação")</f>
        <v>0</v>
      </c>
      <c r="HY57" s="39">
        <f>SUMIFS(Lançamentos!$G:$G,Lançamentos!$A:$A,HY$19,Lançamentos!$C:$C,"Limpeza e Conservação")</f>
        <v>0</v>
      </c>
      <c r="HZ57" s="39">
        <f>SUMIFS(Lançamentos!$G:$G,Lançamentos!$A:$A,HZ$19,Lançamentos!$C:$C,"Limpeza e Conservação")</f>
        <v>0</v>
      </c>
      <c r="IA57" s="39">
        <f>SUMIFS(Lançamentos!$G:$G,Lançamentos!$A:$A,IA$19,Lançamentos!$C:$C,"Limpeza e Conservação")</f>
        <v>0</v>
      </c>
      <c r="IB57" s="39">
        <f>SUMIFS(Lançamentos!$G:$G,Lançamentos!$A:$A,IB$19,Lançamentos!$C:$C,"Limpeza e Conservação")</f>
        <v>0</v>
      </c>
      <c r="IC57" s="39">
        <f>SUMIFS(Lançamentos!$G:$G,Lançamentos!$A:$A,IC$19,Lançamentos!$C:$C,"Limpeza e Conservação")</f>
        <v>0</v>
      </c>
      <c r="ID57" s="39">
        <f>SUMIFS(Lançamentos!$G:$G,Lançamentos!$A:$A,ID$19,Lançamentos!$C:$C,"Limpeza e Conservação")</f>
        <v>0</v>
      </c>
      <c r="IE57" s="39">
        <f>SUMIFS(Lançamentos!$G:$G,Lançamentos!$A:$A,IE$19,Lançamentos!$C:$C,"Limpeza e Conservação")</f>
        <v>0</v>
      </c>
      <c r="IF57" s="39">
        <f>SUMIFS(Lançamentos!$G:$G,Lançamentos!$A:$A,IF$19,Lançamentos!$C:$C,"Limpeza e Conservação")</f>
        <v>0</v>
      </c>
      <c r="IG57" s="39">
        <f>SUMIFS(Lançamentos!$G:$G,Lançamentos!$A:$A,IG$19,Lançamentos!$C:$C,"Limpeza e Conservação")</f>
        <v>0</v>
      </c>
      <c r="IH57" s="39">
        <f>SUMIFS(Lançamentos!$G:$G,Lançamentos!$A:$A,IH$19,Lançamentos!$C:$C,"Limpeza e Conservação")</f>
        <v>0</v>
      </c>
      <c r="II57" s="39">
        <f>SUMIFS(Lançamentos!$G:$G,Lançamentos!$A:$A,II$19,Lançamentos!$C:$C,"Limpeza e Conservação")</f>
        <v>0</v>
      </c>
      <c r="IJ57" s="39">
        <f>SUMIFS(Lançamentos!$G:$G,Lançamentos!$A:$A,IJ$19,Lançamentos!$C:$C,"Limpeza e Conservação")</f>
        <v>0</v>
      </c>
      <c r="IK57" s="39">
        <f>SUMIFS(Lançamentos!$G:$G,Lançamentos!$A:$A,IK$19,Lançamentos!$C:$C,"Limpeza e Conservação")</f>
        <v>0</v>
      </c>
      <c r="IL57" s="39">
        <f>SUMIFS(Lançamentos!$G:$G,Lançamentos!$A:$A,IL$19,Lançamentos!$C:$C,"Limpeza e Conservação")</f>
        <v>0</v>
      </c>
    </row>
    <row r="58" spans="1:246" x14ac:dyDescent="0.3">
      <c r="A58" t="s">
        <v>103</v>
      </c>
      <c r="B58" s="39">
        <f>SUMIFS(Lançamentos!$G:$G,Lançamentos!$A:$A,B$19,Lançamentos!$C:$C,"Seguros")</f>
        <v>0</v>
      </c>
      <c r="C58" s="39">
        <f>SUMIFS(Lançamentos!$G:$G,Lançamentos!$A:$A,C$19,Lançamentos!$C:$C,"Seguros")</f>
        <v>0</v>
      </c>
      <c r="D58" s="39">
        <f>SUMIFS(Lançamentos!$G:$G,Lançamentos!$A:$A,D$19,Lançamentos!$C:$C,"Seguros")</f>
        <v>0</v>
      </c>
      <c r="E58" s="39">
        <f>SUMIFS(Lançamentos!$G:$G,Lançamentos!$A:$A,E$19,Lançamentos!$C:$C,"Seguros")</f>
        <v>0</v>
      </c>
      <c r="F58" s="39">
        <f>SUMIFS(Lançamentos!$G:$G,Lançamentos!$A:$A,F$19,Lançamentos!$C:$C,"Seguros")</f>
        <v>0</v>
      </c>
      <c r="G58" s="39">
        <f>SUMIFS(Lançamentos!$G:$G,Lançamentos!$A:$A,G$19,Lançamentos!$C:$C,"Seguros")</f>
        <v>0</v>
      </c>
      <c r="H58" s="39">
        <f>SUMIFS(Lançamentos!$G:$G,Lançamentos!$A:$A,H$19,Lançamentos!$C:$C,"Seguros")</f>
        <v>0</v>
      </c>
      <c r="I58" s="39">
        <f>SUMIFS(Lançamentos!$G:$G,Lançamentos!$A:$A,I$19,Lançamentos!$C:$C,"Seguros")</f>
        <v>0</v>
      </c>
      <c r="J58" s="39">
        <f>SUMIFS(Lançamentos!$G:$G,Lançamentos!$A:$A,J$19,Lançamentos!$C:$C,"Seguros")</f>
        <v>0</v>
      </c>
      <c r="K58" s="39">
        <f>SUMIFS(Lançamentos!$G:$G,Lançamentos!$A:$A,K$19,Lançamentos!$C:$C,"Seguros")</f>
        <v>0</v>
      </c>
      <c r="L58" s="39">
        <f>SUMIFS(Lançamentos!$G:$G,Lançamentos!$A:$A,L$19,Lançamentos!$C:$C,"Seguros")</f>
        <v>0</v>
      </c>
      <c r="M58" s="39">
        <f>SUMIFS(Lançamentos!$G:$G,Lançamentos!$A:$A,M$19,Lançamentos!$C:$C,"Seguros")</f>
        <v>0</v>
      </c>
      <c r="N58" s="39">
        <f>SUMIFS(Lançamentos!$G:$G,Lançamentos!$A:$A,N$19,Lançamentos!$C:$C,"Seguros")</f>
        <v>0</v>
      </c>
      <c r="O58" s="39">
        <f>SUMIFS(Lançamentos!$G:$G,Lançamentos!$A:$A,O$19,Lançamentos!$C:$C,"Seguros")</f>
        <v>0</v>
      </c>
      <c r="P58" s="39">
        <f>SUMIFS(Lançamentos!$G:$G,Lançamentos!$A:$A,P$19,Lançamentos!$C:$C,"Seguros")</f>
        <v>0</v>
      </c>
      <c r="Q58" s="39">
        <f>SUMIFS(Lançamentos!$G:$G,Lançamentos!$A:$A,Q$19,Lançamentos!$C:$C,"Seguros")</f>
        <v>0</v>
      </c>
      <c r="R58" s="39">
        <f>SUMIFS(Lançamentos!$G:$G,Lançamentos!$A:$A,R$19,Lançamentos!$C:$C,"Seguros")</f>
        <v>0</v>
      </c>
      <c r="S58" s="39">
        <f>SUMIFS(Lançamentos!$G:$G,Lançamentos!$A:$A,S$19,Lançamentos!$C:$C,"Seguros")</f>
        <v>0</v>
      </c>
      <c r="T58" s="39">
        <f>SUMIFS(Lançamentos!$G:$G,Lançamentos!$A:$A,T$19,Lançamentos!$C:$C,"Seguros")</f>
        <v>0</v>
      </c>
      <c r="U58" s="39">
        <f>SUMIFS(Lançamentos!$G:$G,Lançamentos!$A:$A,U$19,Lançamentos!$C:$C,"Seguros")</f>
        <v>0</v>
      </c>
      <c r="V58" s="39">
        <f>SUMIFS(Lançamentos!$G:$G,Lançamentos!$A:$A,V$19,Lançamentos!$C:$C,"Seguros")</f>
        <v>0</v>
      </c>
      <c r="W58" s="39">
        <f>SUMIFS(Lançamentos!$G:$G,Lançamentos!$A:$A,W$19,Lançamentos!$C:$C,"Seguros")</f>
        <v>0</v>
      </c>
      <c r="X58" s="39">
        <f>SUMIFS(Lançamentos!$G:$G,Lançamentos!$A:$A,X$19,Lançamentos!$C:$C,"Seguros")</f>
        <v>0</v>
      </c>
      <c r="Y58" s="39">
        <f>SUMIFS(Lançamentos!$G:$G,Lançamentos!$A:$A,Y$19,Lançamentos!$C:$C,"Seguros")</f>
        <v>0</v>
      </c>
      <c r="Z58" s="39">
        <f>SUMIFS(Lançamentos!$G:$G,Lançamentos!$A:$A,Z$19,Lançamentos!$C:$C,"Seguros")</f>
        <v>0</v>
      </c>
      <c r="AA58" s="39">
        <f>SUMIFS(Lançamentos!$G:$G,Lançamentos!$A:$A,AA$19,Lançamentos!$C:$C,"Seguros")</f>
        <v>0</v>
      </c>
      <c r="AB58" s="39">
        <f>SUMIFS(Lançamentos!$G:$G,Lançamentos!$A:$A,AB$19,Lançamentos!$C:$C,"Seguros")</f>
        <v>0</v>
      </c>
      <c r="AC58" s="39">
        <f>SUMIFS(Lançamentos!$G:$G,Lançamentos!$A:$A,AC$19,Lançamentos!$C:$C,"Seguros")</f>
        <v>0</v>
      </c>
      <c r="AD58" s="39">
        <f>SUMIFS(Lançamentos!$G:$G,Lançamentos!$A:$A,AD$19,Lançamentos!$C:$C,"Seguros")</f>
        <v>0</v>
      </c>
      <c r="AE58" s="39">
        <f>SUMIFS(Lançamentos!$G:$G,Lançamentos!$A:$A,AE$19,Lançamentos!$C:$C,"Seguros")</f>
        <v>0</v>
      </c>
      <c r="AF58" s="39">
        <f>SUMIFS(Lançamentos!$G:$G,Lançamentos!$A:$A,AF$19,Lançamentos!$C:$C,"Seguros")</f>
        <v>0</v>
      </c>
      <c r="AG58" s="39">
        <f>SUMIFS(Lançamentos!$G:$G,Lançamentos!$A:$A,AG$19,Lançamentos!$C:$C,"Seguros")</f>
        <v>0</v>
      </c>
      <c r="AH58" s="39">
        <f>SUMIFS(Lançamentos!$G:$G,Lançamentos!$A:$A,AH$19,Lançamentos!$C:$C,"Seguros")</f>
        <v>0</v>
      </c>
      <c r="AI58" s="39">
        <f>SUMIFS(Lançamentos!$G:$G,Lançamentos!$A:$A,AI$19,Lançamentos!$C:$C,"Seguros")</f>
        <v>0</v>
      </c>
      <c r="AJ58" s="39">
        <f>SUMIFS(Lançamentos!$G:$G,Lançamentos!$A:$A,AJ$19,Lançamentos!$C:$C,"Seguros")</f>
        <v>0</v>
      </c>
      <c r="AK58" s="39">
        <f>SUMIFS(Lançamentos!$G:$G,Lançamentos!$A:$A,AK$19,Lançamentos!$C:$C,"Seguros")</f>
        <v>0</v>
      </c>
      <c r="AL58" s="39">
        <f>SUMIFS(Lançamentos!$G:$G,Lançamentos!$A:$A,AL$19,Lançamentos!$C:$C,"Seguros")</f>
        <v>0</v>
      </c>
      <c r="AM58" s="39">
        <f>SUMIFS(Lançamentos!$G:$G,Lançamentos!$A:$A,AM$19,Lançamentos!$C:$C,"Seguros")</f>
        <v>0</v>
      </c>
      <c r="AN58" s="39">
        <f>SUMIFS(Lançamentos!$G:$G,Lançamentos!$A:$A,AN$19,Lançamentos!$C:$C,"Seguros")</f>
        <v>0</v>
      </c>
      <c r="AO58" s="39">
        <f>SUMIFS(Lançamentos!$G:$G,Lançamentos!$A:$A,AO$19,Lançamentos!$C:$C,"Seguros")</f>
        <v>0</v>
      </c>
      <c r="AP58" s="39">
        <f>SUMIFS(Lançamentos!$G:$G,Lançamentos!$A:$A,AP$19,Lançamentos!$C:$C,"Seguros")</f>
        <v>0</v>
      </c>
      <c r="AQ58" s="39">
        <f>SUMIFS(Lançamentos!$G:$G,Lançamentos!$A:$A,AQ$19,Lançamentos!$C:$C,"Seguros")</f>
        <v>0</v>
      </c>
      <c r="AR58" s="39">
        <f>SUMIFS(Lançamentos!$G:$G,Lançamentos!$A:$A,AR$19,Lançamentos!$C:$C,"Seguros")</f>
        <v>0</v>
      </c>
      <c r="AS58" s="39">
        <f>SUMIFS(Lançamentos!$G:$G,Lançamentos!$A:$A,AS$19,Lançamentos!$C:$C,"Seguros")</f>
        <v>0</v>
      </c>
      <c r="AT58" s="39">
        <f>SUMIFS(Lançamentos!$G:$G,Lançamentos!$A:$A,AT$19,Lançamentos!$C:$C,"Seguros")</f>
        <v>0</v>
      </c>
      <c r="AU58" s="39">
        <f>SUMIFS(Lançamentos!$G:$G,Lançamentos!$A:$A,AU$19,Lançamentos!$C:$C,"Seguros")</f>
        <v>0</v>
      </c>
      <c r="AV58" s="39">
        <f>SUMIFS(Lançamentos!$G:$G,Lançamentos!$A:$A,AV$19,Lançamentos!$C:$C,"Seguros")</f>
        <v>0</v>
      </c>
      <c r="AW58" s="39">
        <f>SUMIFS(Lançamentos!$G:$G,Lançamentos!$A:$A,AW$19,Lançamentos!$C:$C,"Seguros")</f>
        <v>0</v>
      </c>
      <c r="AX58" s="39">
        <f>SUMIFS(Lançamentos!$G:$G,Lançamentos!$A:$A,AX$19,Lançamentos!$C:$C,"Seguros")</f>
        <v>0</v>
      </c>
      <c r="AY58" s="39">
        <f>SUMIFS(Lançamentos!$G:$G,Lançamentos!$A:$A,AY$19,Lançamentos!$C:$C,"Seguros")</f>
        <v>0</v>
      </c>
      <c r="AZ58" s="39">
        <f>SUMIFS(Lançamentos!$G:$G,Lançamentos!$A:$A,AZ$19,Lançamentos!$C:$C,"Seguros")</f>
        <v>0</v>
      </c>
      <c r="BA58" s="39">
        <f>SUMIFS(Lançamentos!$G:$G,Lançamentos!$A:$A,BA$19,Lançamentos!$C:$C,"Seguros")</f>
        <v>0</v>
      </c>
      <c r="BB58" s="39">
        <f>SUMIFS(Lançamentos!$G:$G,Lançamentos!$A:$A,BB$19,Lançamentos!$C:$C,"Seguros")</f>
        <v>0</v>
      </c>
      <c r="BC58" s="39">
        <f>SUMIFS(Lançamentos!$G:$G,Lançamentos!$A:$A,BC$19,Lançamentos!$C:$C,"Seguros")</f>
        <v>0</v>
      </c>
      <c r="BD58" s="39">
        <f>SUMIFS(Lançamentos!$G:$G,Lançamentos!$A:$A,BD$19,Lançamentos!$C:$C,"Seguros")</f>
        <v>0</v>
      </c>
      <c r="BE58" s="39">
        <f>SUMIFS(Lançamentos!$G:$G,Lançamentos!$A:$A,BE$19,Lançamentos!$C:$C,"Seguros")</f>
        <v>0</v>
      </c>
      <c r="BF58" s="39">
        <f>SUMIFS(Lançamentos!$G:$G,Lançamentos!$A:$A,BF$19,Lançamentos!$C:$C,"Seguros")</f>
        <v>0</v>
      </c>
      <c r="BG58" s="39">
        <f>SUMIFS(Lançamentos!$G:$G,Lançamentos!$A:$A,BG$19,Lançamentos!$C:$C,"Seguros")</f>
        <v>0</v>
      </c>
      <c r="BH58" s="39">
        <f>SUMIFS(Lançamentos!$G:$G,Lançamentos!$A:$A,BH$19,Lançamentos!$C:$C,"Seguros")</f>
        <v>0</v>
      </c>
      <c r="BI58" s="39">
        <f>SUMIFS(Lançamentos!$G:$G,Lançamentos!$A:$A,BI$19,Lançamentos!$C:$C,"Seguros")</f>
        <v>0</v>
      </c>
      <c r="BJ58" s="39">
        <f>SUMIFS(Lançamentos!$G:$G,Lançamentos!$A:$A,BJ$19,Lançamentos!$C:$C,"Seguros")</f>
        <v>0</v>
      </c>
      <c r="BK58" s="39">
        <f>SUMIFS(Lançamentos!$G:$G,Lançamentos!$A:$A,BK$19,Lançamentos!$C:$C,"Seguros")</f>
        <v>0</v>
      </c>
      <c r="BL58" s="39">
        <f>SUMIFS(Lançamentos!$G:$G,Lançamentos!$A:$A,BL$19,Lançamentos!$C:$C,"Seguros")</f>
        <v>0</v>
      </c>
      <c r="BM58" s="39">
        <f>SUMIFS(Lançamentos!$G:$G,Lançamentos!$A:$A,BM$19,Lançamentos!$C:$C,"Seguros")</f>
        <v>0</v>
      </c>
      <c r="BN58" s="39">
        <f>SUMIFS(Lançamentos!$G:$G,Lançamentos!$A:$A,BN$19,Lançamentos!$C:$C,"Seguros")</f>
        <v>0</v>
      </c>
      <c r="BO58" s="39">
        <f>SUMIFS(Lançamentos!$G:$G,Lançamentos!$A:$A,BO$19,Lançamentos!$C:$C,"Seguros")</f>
        <v>0</v>
      </c>
      <c r="BP58" s="39">
        <f>SUMIFS(Lançamentos!$G:$G,Lançamentos!$A:$A,BP$19,Lançamentos!$C:$C,"Seguros")</f>
        <v>0</v>
      </c>
      <c r="BQ58" s="39">
        <f>SUMIFS(Lançamentos!$G:$G,Lançamentos!$A:$A,BQ$19,Lançamentos!$C:$C,"Seguros")</f>
        <v>0</v>
      </c>
      <c r="BR58" s="39">
        <f>SUMIFS(Lançamentos!$G:$G,Lançamentos!$A:$A,BR$19,Lançamentos!$C:$C,"Seguros")</f>
        <v>0</v>
      </c>
      <c r="BS58" s="39">
        <f>SUMIFS(Lançamentos!$G:$G,Lançamentos!$A:$A,BS$19,Lançamentos!$C:$C,"Seguros")</f>
        <v>0</v>
      </c>
      <c r="BT58" s="39">
        <f>SUMIFS(Lançamentos!$G:$G,Lançamentos!$A:$A,BT$19,Lançamentos!$C:$C,"Seguros")</f>
        <v>0</v>
      </c>
      <c r="BU58" s="39">
        <f>SUMIFS(Lançamentos!$G:$G,Lançamentos!$A:$A,BU$19,Lançamentos!$C:$C,"Seguros")</f>
        <v>0</v>
      </c>
      <c r="BV58" s="39">
        <f>SUMIFS(Lançamentos!$G:$G,Lançamentos!$A:$A,BV$19,Lançamentos!$C:$C,"Seguros")</f>
        <v>0</v>
      </c>
      <c r="BW58" s="39">
        <f>SUMIFS(Lançamentos!$G:$G,Lançamentos!$A:$A,BW$19,Lançamentos!$C:$C,"Seguros")</f>
        <v>0</v>
      </c>
      <c r="BX58" s="39">
        <f>SUMIFS(Lançamentos!$G:$G,Lançamentos!$A:$A,BX$19,Lançamentos!$C:$C,"Seguros")</f>
        <v>0</v>
      </c>
      <c r="BY58" s="39">
        <f>SUMIFS(Lançamentos!$G:$G,Lançamentos!$A:$A,BY$19,Lançamentos!$C:$C,"Seguros")</f>
        <v>0</v>
      </c>
      <c r="BZ58" s="39">
        <f>SUMIFS(Lançamentos!$G:$G,Lançamentos!$A:$A,BZ$19,Lançamentos!$C:$C,"Seguros")</f>
        <v>0</v>
      </c>
      <c r="CA58" s="39">
        <f>SUMIFS(Lançamentos!$G:$G,Lançamentos!$A:$A,CA$19,Lançamentos!$C:$C,"Seguros")</f>
        <v>0</v>
      </c>
      <c r="CB58" s="39">
        <f>SUMIFS(Lançamentos!$G:$G,Lançamentos!$A:$A,CB$19,Lançamentos!$C:$C,"Seguros")</f>
        <v>0</v>
      </c>
      <c r="CC58" s="39">
        <f>SUMIFS(Lançamentos!$G:$G,Lançamentos!$A:$A,CC$19,Lançamentos!$C:$C,"Seguros")</f>
        <v>0</v>
      </c>
      <c r="CD58" s="39">
        <f>SUMIFS(Lançamentos!$G:$G,Lançamentos!$A:$A,CD$19,Lançamentos!$C:$C,"Seguros")</f>
        <v>0</v>
      </c>
      <c r="CE58" s="39">
        <f>SUMIFS(Lançamentos!$G:$G,Lançamentos!$A:$A,CE$19,Lançamentos!$C:$C,"Seguros")</f>
        <v>0</v>
      </c>
      <c r="CF58" s="39">
        <f>SUMIFS(Lançamentos!$G:$G,Lançamentos!$A:$A,CF$19,Lançamentos!$C:$C,"Seguros")</f>
        <v>0</v>
      </c>
      <c r="CG58" s="39">
        <f>SUMIFS(Lançamentos!$G:$G,Lançamentos!$A:$A,CG$19,Lançamentos!$C:$C,"Seguros")</f>
        <v>0</v>
      </c>
      <c r="CH58" s="39">
        <f>SUMIFS(Lançamentos!$G:$G,Lançamentos!$A:$A,CH$19,Lançamentos!$C:$C,"Seguros")</f>
        <v>0</v>
      </c>
      <c r="CI58" s="39">
        <f>SUMIFS(Lançamentos!$G:$G,Lançamentos!$A:$A,CI$19,Lançamentos!$C:$C,"Seguros")</f>
        <v>0</v>
      </c>
      <c r="CJ58" s="39">
        <f>SUMIFS(Lançamentos!$G:$G,Lançamentos!$A:$A,CJ$19,Lançamentos!$C:$C,"Seguros")</f>
        <v>0</v>
      </c>
      <c r="CK58" s="39">
        <f>SUMIFS(Lançamentos!$G:$G,Lançamentos!$A:$A,CK$19,Lançamentos!$C:$C,"Seguros")</f>
        <v>0</v>
      </c>
      <c r="CL58" s="39">
        <f>SUMIFS(Lançamentos!$G:$G,Lançamentos!$A:$A,CL$19,Lançamentos!$C:$C,"Seguros")</f>
        <v>0</v>
      </c>
      <c r="CM58" s="39">
        <f>SUMIFS(Lançamentos!$G:$G,Lançamentos!$A:$A,CM$19,Lançamentos!$C:$C,"Seguros")</f>
        <v>0</v>
      </c>
      <c r="CN58" s="39">
        <f>SUMIFS(Lançamentos!$G:$G,Lançamentos!$A:$A,CN$19,Lançamentos!$C:$C,"Seguros")</f>
        <v>0</v>
      </c>
      <c r="CO58" s="39">
        <f>SUMIFS(Lançamentos!$G:$G,Lançamentos!$A:$A,CO$19,Lançamentos!$C:$C,"Seguros")</f>
        <v>0</v>
      </c>
      <c r="CP58" s="39">
        <f>SUMIFS(Lançamentos!$G:$G,Lançamentos!$A:$A,CP$19,Lançamentos!$C:$C,"Seguros")</f>
        <v>0</v>
      </c>
      <c r="CQ58" s="39">
        <f>SUMIFS(Lançamentos!$G:$G,Lançamentos!$A:$A,CQ$19,Lançamentos!$C:$C,"Seguros")</f>
        <v>0</v>
      </c>
      <c r="CR58" s="39">
        <f>SUMIFS(Lançamentos!$G:$G,Lançamentos!$A:$A,CR$19,Lançamentos!$C:$C,"Seguros")</f>
        <v>0</v>
      </c>
      <c r="CS58" s="39">
        <f>SUMIFS(Lançamentos!$G:$G,Lançamentos!$A:$A,CS$19,Lançamentos!$C:$C,"Seguros")</f>
        <v>0</v>
      </c>
      <c r="CT58" s="39">
        <f>SUMIFS(Lançamentos!$G:$G,Lançamentos!$A:$A,CT$19,Lançamentos!$C:$C,"Seguros")</f>
        <v>0</v>
      </c>
      <c r="CU58" s="39">
        <f>SUMIFS(Lançamentos!$G:$G,Lançamentos!$A:$A,CU$19,Lançamentos!$C:$C,"Seguros")</f>
        <v>0</v>
      </c>
      <c r="CV58" s="39">
        <f>SUMIFS(Lançamentos!$G:$G,Lançamentos!$A:$A,CV$19,Lançamentos!$C:$C,"Seguros")</f>
        <v>0</v>
      </c>
      <c r="CW58" s="39">
        <f>SUMIFS(Lançamentos!$G:$G,Lançamentos!$A:$A,CW$19,Lançamentos!$C:$C,"Seguros")</f>
        <v>0</v>
      </c>
      <c r="CX58" s="39">
        <f>SUMIFS(Lançamentos!$G:$G,Lançamentos!$A:$A,CX$19,Lançamentos!$C:$C,"Seguros")</f>
        <v>0</v>
      </c>
      <c r="CY58" s="39">
        <f>SUMIFS(Lançamentos!$G:$G,Lançamentos!$A:$A,CY$19,Lançamentos!$C:$C,"Seguros")</f>
        <v>0</v>
      </c>
      <c r="CZ58" s="39">
        <f>SUMIFS(Lançamentos!$G:$G,Lançamentos!$A:$A,CZ$19,Lançamentos!$C:$C,"Seguros")</f>
        <v>0</v>
      </c>
      <c r="DA58" s="39">
        <f>SUMIFS(Lançamentos!$G:$G,Lançamentos!$A:$A,DA$19,Lançamentos!$C:$C,"Seguros")</f>
        <v>0</v>
      </c>
      <c r="DB58" s="39">
        <f>SUMIFS(Lançamentos!$G:$G,Lançamentos!$A:$A,DB$19,Lançamentos!$C:$C,"Seguros")</f>
        <v>0</v>
      </c>
      <c r="DC58" s="39">
        <f>SUMIFS(Lançamentos!$G:$G,Lançamentos!$A:$A,DC$19,Lançamentos!$C:$C,"Seguros")</f>
        <v>0</v>
      </c>
      <c r="DD58" s="39">
        <f>SUMIFS(Lançamentos!$G:$G,Lançamentos!$A:$A,DD$19,Lançamentos!$C:$C,"Seguros")</f>
        <v>0</v>
      </c>
      <c r="DE58" s="39">
        <f>SUMIFS(Lançamentos!$G:$G,Lançamentos!$A:$A,DE$19,Lançamentos!$C:$C,"Seguros")</f>
        <v>0</v>
      </c>
      <c r="DF58" s="39">
        <f>SUMIFS(Lançamentos!$G:$G,Lançamentos!$A:$A,DF$19,Lançamentos!$C:$C,"Seguros")</f>
        <v>0</v>
      </c>
      <c r="DG58" s="39">
        <f>SUMIFS(Lançamentos!$G:$G,Lançamentos!$A:$A,DG$19,Lançamentos!$C:$C,"Seguros")</f>
        <v>0</v>
      </c>
      <c r="DH58" s="39">
        <f>SUMIFS(Lançamentos!$G:$G,Lançamentos!$A:$A,DH$19,Lançamentos!$C:$C,"Seguros")</f>
        <v>0</v>
      </c>
      <c r="DI58" s="39">
        <f>SUMIFS(Lançamentos!$G:$G,Lançamentos!$A:$A,DI$19,Lançamentos!$C:$C,"Seguros")</f>
        <v>0</v>
      </c>
      <c r="DJ58" s="39">
        <f>SUMIFS(Lançamentos!$G:$G,Lançamentos!$A:$A,DJ$19,Lançamentos!$C:$C,"Seguros")</f>
        <v>0</v>
      </c>
      <c r="DK58" s="39">
        <f>SUMIFS(Lançamentos!$G:$G,Lançamentos!$A:$A,DK$19,Lançamentos!$C:$C,"Seguros")</f>
        <v>0</v>
      </c>
      <c r="DL58" s="39">
        <f>SUMIFS(Lançamentos!$G:$G,Lançamentos!$A:$A,DL$19,Lançamentos!$C:$C,"Seguros")</f>
        <v>0</v>
      </c>
      <c r="DM58" s="39">
        <f>SUMIFS(Lançamentos!$G:$G,Lançamentos!$A:$A,DM$19,Lançamentos!$C:$C,"Seguros")</f>
        <v>0</v>
      </c>
      <c r="DN58" s="39">
        <f>SUMIFS(Lançamentos!$G:$G,Lançamentos!$A:$A,DN$19,Lançamentos!$C:$C,"Seguros")</f>
        <v>0</v>
      </c>
      <c r="DO58" s="39">
        <f>SUMIFS(Lançamentos!$G:$G,Lançamentos!$A:$A,DO$19,Lançamentos!$C:$C,"Seguros")</f>
        <v>0</v>
      </c>
      <c r="DP58" s="39">
        <f>SUMIFS(Lançamentos!$G:$G,Lançamentos!$A:$A,DP$19,Lançamentos!$C:$C,"Seguros")</f>
        <v>0</v>
      </c>
      <c r="DQ58" s="39">
        <f>SUMIFS(Lançamentos!$G:$G,Lançamentos!$A:$A,DQ$19,Lançamentos!$C:$C,"Seguros")</f>
        <v>0</v>
      </c>
      <c r="DR58" s="39">
        <f>SUMIFS(Lançamentos!$G:$G,Lançamentos!$A:$A,DR$19,Lançamentos!$C:$C,"Seguros")</f>
        <v>0</v>
      </c>
      <c r="DS58" s="39">
        <f>SUMIFS(Lançamentos!$G:$G,Lançamentos!$A:$A,DS$19,Lançamentos!$C:$C,"Seguros")</f>
        <v>0</v>
      </c>
      <c r="DT58" s="39">
        <f>SUMIFS(Lançamentos!$G:$G,Lançamentos!$A:$A,DT$19,Lançamentos!$C:$C,"Seguros")</f>
        <v>0</v>
      </c>
      <c r="DU58" s="39">
        <f>SUMIFS(Lançamentos!$G:$G,Lançamentos!$A:$A,DU$19,Lançamentos!$C:$C,"Seguros")</f>
        <v>0</v>
      </c>
      <c r="DV58" s="39">
        <f>SUMIFS(Lançamentos!$G:$G,Lançamentos!$A:$A,DV$19,Lançamentos!$C:$C,"Seguros")</f>
        <v>0</v>
      </c>
      <c r="DW58" s="39">
        <f>SUMIFS(Lançamentos!$G:$G,Lançamentos!$A:$A,DW$19,Lançamentos!$C:$C,"Seguros")</f>
        <v>0</v>
      </c>
      <c r="DX58" s="39">
        <f>SUMIFS(Lançamentos!$G:$G,Lançamentos!$A:$A,DX$19,Lançamentos!$C:$C,"Seguros")</f>
        <v>0</v>
      </c>
      <c r="DY58" s="39">
        <f>SUMIFS(Lançamentos!$G:$G,Lançamentos!$A:$A,DY$19,Lançamentos!$C:$C,"Seguros")</f>
        <v>0</v>
      </c>
      <c r="DZ58" s="39">
        <f>SUMIFS(Lançamentos!$G:$G,Lançamentos!$A:$A,DZ$19,Lançamentos!$C:$C,"Seguros")</f>
        <v>0</v>
      </c>
      <c r="EA58" s="39">
        <f>SUMIFS(Lançamentos!$G:$G,Lançamentos!$A:$A,EA$19,Lançamentos!$C:$C,"Seguros")</f>
        <v>0</v>
      </c>
      <c r="EB58" s="39">
        <f>SUMIFS(Lançamentos!$G:$G,Lançamentos!$A:$A,EB$19,Lançamentos!$C:$C,"Seguros")</f>
        <v>0</v>
      </c>
      <c r="EC58" s="39">
        <f>SUMIFS(Lançamentos!$G:$G,Lançamentos!$A:$A,EC$19,Lançamentos!$C:$C,"Seguros")</f>
        <v>0</v>
      </c>
      <c r="ED58" s="39">
        <f>SUMIFS(Lançamentos!$G:$G,Lançamentos!$A:$A,ED$19,Lançamentos!$C:$C,"Seguros")</f>
        <v>0</v>
      </c>
      <c r="EE58" s="39">
        <f>SUMIFS(Lançamentos!$G:$G,Lançamentos!$A:$A,EE$19,Lançamentos!$C:$C,"Seguros")</f>
        <v>0</v>
      </c>
      <c r="EF58" s="39">
        <f>SUMIFS(Lançamentos!$G:$G,Lançamentos!$A:$A,EF$19,Lançamentos!$C:$C,"Seguros")</f>
        <v>0</v>
      </c>
      <c r="EG58" s="39">
        <f>SUMIFS(Lançamentos!$G:$G,Lançamentos!$A:$A,EG$19,Lançamentos!$C:$C,"Seguros")</f>
        <v>0</v>
      </c>
      <c r="EH58" s="39">
        <f>SUMIFS(Lançamentos!$G:$G,Lançamentos!$A:$A,EH$19,Lançamentos!$C:$C,"Seguros")</f>
        <v>0</v>
      </c>
      <c r="EI58" s="39">
        <f>SUMIFS(Lançamentos!$G:$G,Lançamentos!$A:$A,EI$19,Lançamentos!$C:$C,"Seguros")</f>
        <v>0</v>
      </c>
      <c r="EJ58" s="39">
        <f>SUMIFS(Lançamentos!$G:$G,Lançamentos!$A:$A,EJ$19,Lançamentos!$C:$C,"Seguros")</f>
        <v>0</v>
      </c>
      <c r="EK58" s="39">
        <f>SUMIFS(Lançamentos!$G:$G,Lançamentos!$A:$A,EK$19,Lançamentos!$C:$C,"Seguros")</f>
        <v>0</v>
      </c>
      <c r="EL58" s="39">
        <f>SUMIFS(Lançamentos!$G:$G,Lançamentos!$A:$A,EL$19,Lançamentos!$C:$C,"Seguros")</f>
        <v>0</v>
      </c>
      <c r="EM58" s="39">
        <f>SUMIFS(Lançamentos!$G:$G,Lançamentos!$A:$A,EM$19,Lançamentos!$C:$C,"Seguros")</f>
        <v>0</v>
      </c>
      <c r="EN58" s="39">
        <f>SUMIFS(Lançamentos!$G:$G,Lançamentos!$A:$A,EN$19,Lançamentos!$C:$C,"Seguros")</f>
        <v>0</v>
      </c>
      <c r="EO58" s="39">
        <f>SUMIFS(Lançamentos!$G:$G,Lançamentos!$A:$A,EO$19,Lançamentos!$C:$C,"Seguros")</f>
        <v>0</v>
      </c>
      <c r="EP58" s="39">
        <f>SUMIFS(Lançamentos!$G:$G,Lançamentos!$A:$A,EP$19,Lançamentos!$C:$C,"Seguros")</f>
        <v>0</v>
      </c>
      <c r="EQ58" s="39">
        <f>SUMIFS(Lançamentos!$G:$G,Lançamentos!$A:$A,EQ$19,Lançamentos!$C:$C,"Seguros")</f>
        <v>0</v>
      </c>
      <c r="ER58" s="39">
        <f>SUMIFS(Lançamentos!$G:$G,Lançamentos!$A:$A,ER$19,Lançamentos!$C:$C,"Seguros")</f>
        <v>0</v>
      </c>
      <c r="ES58" s="39">
        <f>SUMIFS(Lançamentos!$G:$G,Lançamentos!$A:$A,ES$19,Lançamentos!$C:$C,"Seguros")</f>
        <v>0</v>
      </c>
      <c r="ET58" s="39">
        <f>SUMIFS(Lançamentos!$G:$G,Lançamentos!$A:$A,ET$19,Lançamentos!$C:$C,"Seguros")</f>
        <v>0</v>
      </c>
      <c r="EU58" s="39">
        <f>SUMIFS(Lançamentos!$G:$G,Lançamentos!$A:$A,EU$19,Lançamentos!$C:$C,"Seguros")</f>
        <v>0</v>
      </c>
      <c r="EV58" s="39">
        <f>SUMIFS(Lançamentos!$G:$G,Lançamentos!$A:$A,EV$19,Lançamentos!$C:$C,"Seguros")</f>
        <v>0</v>
      </c>
      <c r="EW58" s="39">
        <f>SUMIFS(Lançamentos!$G:$G,Lançamentos!$A:$A,EW$19,Lançamentos!$C:$C,"Seguros")</f>
        <v>0</v>
      </c>
      <c r="EX58" s="39">
        <f>SUMIFS(Lançamentos!$G:$G,Lançamentos!$A:$A,EX$19,Lançamentos!$C:$C,"Seguros")</f>
        <v>0</v>
      </c>
      <c r="EY58" s="39">
        <f>SUMIFS(Lançamentos!$G:$G,Lançamentos!$A:$A,EY$19,Lançamentos!$C:$C,"Seguros")</f>
        <v>0</v>
      </c>
      <c r="EZ58" s="39">
        <f>SUMIFS(Lançamentos!$G:$G,Lançamentos!$A:$A,EZ$19,Lançamentos!$C:$C,"Seguros")</f>
        <v>0</v>
      </c>
      <c r="FA58" s="39">
        <f>SUMIFS(Lançamentos!$G:$G,Lançamentos!$A:$A,FA$19,Lançamentos!$C:$C,"Seguros")</f>
        <v>0</v>
      </c>
      <c r="FB58" s="39">
        <f>SUMIFS(Lançamentos!$G:$G,Lançamentos!$A:$A,FB$19,Lançamentos!$C:$C,"Seguros")</f>
        <v>0</v>
      </c>
      <c r="FC58" s="39">
        <f>SUMIFS(Lançamentos!$G:$G,Lançamentos!$A:$A,FC$19,Lançamentos!$C:$C,"Seguros")</f>
        <v>0</v>
      </c>
      <c r="FD58" s="39">
        <f>SUMIFS(Lançamentos!$G:$G,Lançamentos!$A:$A,FD$19,Lançamentos!$C:$C,"Seguros")</f>
        <v>0</v>
      </c>
      <c r="FE58" s="39">
        <f>SUMIFS(Lançamentos!$G:$G,Lançamentos!$A:$A,FE$19,Lançamentos!$C:$C,"Seguros")</f>
        <v>0</v>
      </c>
      <c r="FF58" s="39">
        <f>SUMIFS(Lançamentos!$G:$G,Lançamentos!$A:$A,FF$19,Lançamentos!$C:$C,"Seguros")</f>
        <v>0</v>
      </c>
      <c r="FG58" s="39">
        <f>SUMIFS(Lançamentos!$G:$G,Lançamentos!$A:$A,FG$19,Lançamentos!$C:$C,"Seguros")</f>
        <v>0</v>
      </c>
      <c r="FH58" s="39">
        <f>SUMIFS(Lançamentos!$G:$G,Lançamentos!$A:$A,FH$19,Lançamentos!$C:$C,"Seguros")</f>
        <v>0</v>
      </c>
      <c r="FI58" s="39">
        <f>SUMIFS(Lançamentos!$G:$G,Lançamentos!$A:$A,FI$19,Lançamentos!$C:$C,"Seguros")</f>
        <v>0</v>
      </c>
      <c r="FJ58" s="39">
        <f>SUMIFS(Lançamentos!$G:$G,Lançamentos!$A:$A,FJ$19,Lançamentos!$C:$C,"Seguros")</f>
        <v>0</v>
      </c>
      <c r="FK58" s="39">
        <f>SUMIFS(Lançamentos!$G:$G,Lançamentos!$A:$A,FK$19,Lançamentos!$C:$C,"Seguros")</f>
        <v>0</v>
      </c>
      <c r="FL58" s="39">
        <f>SUMIFS(Lançamentos!$G:$G,Lançamentos!$A:$A,FL$19,Lançamentos!$C:$C,"Seguros")</f>
        <v>0</v>
      </c>
      <c r="FM58" s="39">
        <f>SUMIFS(Lançamentos!$G:$G,Lançamentos!$A:$A,FM$19,Lançamentos!$C:$C,"Seguros")</f>
        <v>0</v>
      </c>
      <c r="FN58" s="39">
        <f>SUMIFS(Lançamentos!$G:$G,Lançamentos!$A:$A,FN$19,Lançamentos!$C:$C,"Seguros")</f>
        <v>0</v>
      </c>
      <c r="FO58" s="39">
        <f>SUMIFS(Lançamentos!$G:$G,Lançamentos!$A:$A,FO$19,Lançamentos!$C:$C,"Seguros")</f>
        <v>0</v>
      </c>
      <c r="FP58" s="39">
        <f>SUMIFS(Lançamentos!$G:$G,Lançamentos!$A:$A,FP$19,Lançamentos!$C:$C,"Seguros")</f>
        <v>0</v>
      </c>
      <c r="FQ58" s="39">
        <f>SUMIFS(Lançamentos!$G:$G,Lançamentos!$A:$A,FQ$19,Lançamentos!$C:$C,"Seguros")</f>
        <v>0</v>
      </c>
      <c r="FR58" s="39">
        <f>SUMIFS(Lançamentos!$G:$G,Lançamentos!$A:$A,FR$19,Lançamentos!$C:$C,"Seguros")</f>
        <v>0</v>
      </c>
      <c r="FS58" s="39">
        <f>SUMIFS(Lançamentos!$G:$G,Lançamentos!$A:$A,FS$19,Lançamentos!$C:$C,"Seguros")</f>
        <v>0</v>
      </c>
      <c r="FT58" s="39">
        <f>SUMIFS(Lançamentos!$G:$G,Lançamentos!$A:$A,FT$19,Lançamentos!$C:$C,"Seguros")</f>
        <v>0</v>
      </c>
      <c r="FU58" s="39">
        <f>SUMIFS(Lançamentos!$G:$G,Lançamentos!$A:$A,FU$19,Lançamentos!$C:$C,"Seguros")</f>
        <v>0</v>
      </c>
      <c r="FV58" s="39">
        <f>SUMIFS(Lançamentos!$G:$G,Lançamentos!$A:$A,FV$19,Lançamentos!$C:$C,"Seguros")</f>
        <v>0</v>
      </c>
      <c r="FW58" s="39">
        <f>SUMIFS(Lançamentos!$G:$G,Lançamentos!$A:$A,FW$19,Lançamentos!$C:$C,"Seguros")</f>
        <v>0</v>
      </c>
      <c r="FX58" s="39">
        <f>SUMIFS(Lançamentos!$G:$G,Lançamentos!$A:$A,FX$19,Lançamentos!$C:$C,"Seguros")</f>
        <v>0</v>
      </c>
      <c r="FY58" s="39">
        <f>SUMIFS(Lançamentos!$G:$G,Lançamentos!$A:$A,FY$19,Lançamentos!$C:$C,"Seguros")</f>
        <v>0</v>
      </c>
      <c r="FZ58" s="39">
        <f>SUMIFS(Lançamentos!$G:$G,Lançamentos!$A:$A,FZ$19,Lançamentos!$C:$C,"Seguros")</f>
        <v>0</v>
      </c>
      <c r="GA58" s="39">
        <f>SUMIFS(Lançamentos!$G:$G,Lançamentos!$A:$A,GA$19,Lançamentos!$C:$C,"Seguros")</f>
        <v>0</v>
      </c>
      <c r="GB58" s="39">
        <f>SUMIFS(Lançamentos!$G:$G,Lançamentos!$A:$A,GB$19,Lançamentos!$C:$C,"Seguros")</f>
        <v>0</v>
      </c>
      <c r="GC58" s="39">
        <f>SUMIFS(Lançamentos!$G:$G,Lançamentos!$A:$A,GC$19,Lançamentos!$C:$C,"Seguros")</f>
        <v>0</v>
      </c>
      <c r="GD58" s="39">
        <f>SUMIFS(Lançamentos!$G:$G,Lançamentos!$A:$A,GD$19,Lançamentos!$C:$C,"Seguros")</f>
        <v>0</v>
      </c>
      <c r="GE58" s="39">
        <f>SUMIFS(Lançamentos!$G:$G,Lançamentos!$A:$A,GE$19,Lançamentos!$C:$C,"Seguros")</f>
        <v>0</v>
      </c>
      <c r="GF58" s="39">
        <f>SUMIFS(Lançamentos!$G:$G,Lançamentos!$A:$A,GF$19,Lançamentos!$C:$C,"Seguros")</f>
        <v>0</v>
      </c>
      <c r="GG58" s="39">
        <f>SUMIFS(Lançamentos!$G:$G,Lançamentos!$A:$A,GG$19,Lançamentos!$C:$C,"Seguros")</f>
        <v>0</v>
      </c>
      <c r="GH58" s="39">
        <f>SUMIFS(Lançamentos!$G:$G,Lançamentos!$A:$A,GH$19,Lançamentos!$C:$C,"Seguros")</f>
        <v>0</v>
      </c>
      <c r="GI58" s="39">
        <f>SUMIFS(Lançamentos!$G:$G,Lançamentos!$A:$A,GI$19,Lançamentos!$C:$C,"Seguros")</f>
        <v>0</v>
      </c>
      <c r="GJ58" s="39">
        <f>SUMIFS(Lançamentos!$G:$G,Lançamentos!$A:$A,GJ$19,Lançamentos!$C:$C,"Seguros")</f>
        <v>0</v>
      </c>
      <c r="GK58" s="39">
        <f>SUMIFS(Lançamentos!$G:$G,Lançamentos!$A:$A,GK$19,Lançamentos!$C:$C,"Seguros")</f>
        <v>0</v>
      </c>
      <c r="GL58" s="39">
        <f>SUMIFS(Lançamentos!$G:$G,Lançamentos!$A:$A,GL$19,Lançamentos!$C:$C,"Seguros")</f>
        <v>0</v>
      </c>
      <c r="GM58" s="39">
        <f>SUMIFS(Lançamentos!$G:$G,Lançamentos!$A:$A,GM$19,Lançamentos!$C:$C,"Seguros")</f>
        <v>0</v>
      </c>
      <c r="GN58" s="39">
        <f>SUMIFS(Lançamentos!$G:$G,Lançamentos!$A:$A,GN$19,Lançamentos!$C:$C,"Seguros")</f>
        <v>0</v>
      </c>
      <c r="GO58" s="39">
        <f>SUMIFS(Lançamentos!$G:$G,Lançamentos!$A:$A,GO$19,Lançamentos!$C:$C,"Seguros")</f>
        <v>0</v>
      </c>
      <c r="GP58" s="39">
        <f>SUMIFS(Lançamentos!$G:$G,Lançamentos!$A:$A,GP$19,Lançamentos!$C:$C,"Seguros")</f>
        <v>0</v>
      </c>
      <c r="GQ58" s="39">
        <f>SUMIFS(Lançamentos!$G:$G,Lançamentos!$A:$A,GQ$19,Lançamentos!$C:$C,"Seguros")</f>
        <v>0</v>
      </c>
      <c r="GR58" s="39">
        <f>SUMIFS(Lançamentos!$G:$G,Lançamentos!$A:$A,GR$19,Lançamentos!$C:$C,"Seguros")</f>
        <v>0</v>
      </c>
      <c r="GS58" s="39">
        <f>SUMIFS(Lançamentos!$G:$G,Lançamentos!$A:$A,GS$19,Lançamentos!$C:$C,"Seguros")</f>
        <v>0</v>
      </c>
      <c r="GT58" s="39">
        <f>SUMIFS(Lançamentos!$G:$G,Lançamentos!$A:$A,GT$19,Lançamentos!$C:$C,"Seguros")</f>
        <v>0</v>
      </c>
      <c r="GU58" s="39">
        <f>SUMIFS(Lançamentos!$G:$G,Lançamentos!$A:$A,GU$19,Lançamentos!$C:$C,"Seguros")</f>
        <v>0</v>
      </c>
      <c r="GV58" s="39">
        <f>SUMIFS(Lançamentos!$G:$G,Lançamentos!$A:$A,GV$19,Lançamentos!$C:$C,"Seguros")</f>
        <v>0</v>
      </c>
      <c r="GW58" s="39">
        <f>SUMIFS(Lançamentos!$G:$G,Lançamentos!$A:$A,GW$19,Lançamentos!$C:$C,"Seguros")</f>
        <v>0</v>
      </c>
      <c r="GX58" s="39">
        <f>SUMIFS(Lançamentos!$G:$G,Lançamentos!$A:$A,GX$19,Lançamentos!$C:$C,"Seguros")</f>
        <v>0</v>
      </c>
      <c r="GY58" s="39">
        <f>SUMIFS(Lançamentos!$G:$G,Lançamentos!$A:$A,GY$19,Lançamentos!$C:$C,"Seguros")</f>
        <v>0</v>
      </c>
      <c r="GZ58" s="39">
        <f>SUMIFS(Lançamentos!$G:$G,Lançamentos!$A:$A,GZ$19,Lançamentos!$C:$C,"Seguros")</f>
        <v>0</v>
      </c>
      <c r="HA58" s="39">
        <f>SUMIFS(Lançamentos!$G:$G,Lançamentos!$A:$A,HA$19,Lançamentos!$C:$C,"Seguros")</f>
        <v>0</v>
      </c>
      <c r="HB58" s="39">
        <f>SUMIFS(Lançamentos!$G:$G,Lançamentos!$A:$A,HB$19,Lançamentos!$C:$C,"Seguros")</f>
        <v>0</v>
      </c>
      <c r="HC58" s="39">
        <f>SUMIFS(Lançamentos!$G:$G,Lançamentos!$A:$A,HC$19,Lançamentos!$C:$C,"Seguros")</f>
        <v>0</v>
      </c>
      <c r="HD58" s="39">
        <f>SUMIFS(Lançamentos!$G:$G,Lançamentos!$A:$A,HD$19,Lançamentos!$C:$C,"Seguros")</f>
        <v>0</v>
      </c>
      <c r="HE58" s="39">
        <f>SUMIFS(Lançamentos!$G:$G,Lançamentos!$A:$A,HE$19,Lançamentos!$C:$C,"Seguros")</f>
        <v>0</v>
      </c>
      <c r="HF58" s="39">
        <f>SUMIFS(Lançamentos!$G:$G,Lançamentos!$A:$A,HF$19,Lançamentos!$C:$C,"Seguros")</f>
        <v>0</v>
      </c>
      <c r="HG58" s="39">
        <f>SUMIFS(Lançamentos!$G:$G,Lançamentos!$A:$A,HG$19,Lançamentos!$C:$C,"Seguros")</f>
        <v>0</v>
      </c>
      <c r="HH58" s="39">
        <f>SUMIFS(Lançamentos!$G:$G,Lançamentos!$A:$A,HH$19,Lançamentos!$C:$C,"Seguros")</f>
        <v>0</v>
      </c>
      <c r="HI58" s="39">
        <f>SUMIFS(Lançamentos!$G:$G,Lançamentos!$A:$A,HI$19,Lançamentos!$C:$C,"Seguros")</f>
        <v>0</v>
      </c>
      <c r="HJ58" s="39">
        <f>SUMIFS(Lançamentos!$G:$G,Lançamentos!$A:$A,HJ$19,Lançamentos!$C:$C,"Seguros")</f>
        <v>0</v>
      </c>
      <c r="HK58" s="39">
        <f>SUMIFS(Lançamentos!$G:$G,Lançamentos!$A:$A,HK$19,Lançamentos!$C:$C,"Seguros")</f>
        <v>0</v>
      </c>
      <c r="HL58" s="39">
        <f>SUMIFS(Lançamentos!$G:$G,Lançamentos!$A:$A,HL$19,Lançamentos!$C:$C,"Seguros")</f>
        <v>0</v>
      </c>
      <c r="HM58" s="39">
        <f>SUMIFS(Lançamentos!$G:$G,Lançamentos!$A:$A,HM$19,Lançamentos!$C:$C,"Seguros")</f>
        <v>0</v>
      </c>
      <c r="HN58" s="39">
        <f>SUMIFS(Lançamentos!$G:$G,Lançamentos!$A:$A,HN$19,Lançamentos!$C:$C,"Seguros")</f>
        <v>0</v>
      </c>
      <c r="HO58" s="39">
        <f>SUMIFS(Lançamentos!$G:$G,Lançamentos!$A:$A,HO$19,Lançamentos!$C:$C,"Seguros")</f>
        <v>0</v>
      </c>
      <c r="HP58" s="39">
        <f>SUMIFS(Lançamentos!$G:$G,Lançamentos!$A:$A,HP$19,Lançamentos!$C:$C,"Seguros")</f>
        <v>0</v>
      </c>
      <c r="HQ58" s="39">
        <f>SUMIFS(Lançamentos!$G:$G,Lançamentos!$A:$A,HQ$19,Lançamentos!$C:$C,"Seguros")</f>
        <v>0</v>
      </c>
      <c r="HR58" s="39">
        <f>SUMIFS(Lançamentos!$G:$G,Lançamentos!$A:$A,HR$19,Lançamentos!$C:$C,"Seguros")</f>
        <v>0</v>
      </c>
      <c r="HS58" s="39">
        <f>SUMIFS(Lançamentos!$G:$G,Lançamentos!$A:$A,HS$19,Lançamentos!$C:$C,"Seguros")</f>
        <v>0</v>
      </c>
      <c r="HT58" s="39">
        <f>SUMIFS(Lançamentos!$G:$G,Lançamentos!$A:$A,HT$19,Lançamentos!$C:$C,"Seguros")</f>
        <v>0</v>
      </c>
      <c r="HU58" s="39">
        <f>SUMIFS(Lançamentos!$G:$G,Lançamentos!$A:$A,HU$19,Lançamentos!$C:$C,"Seguros")</f>
        <v>0</v>
      </c>
      <c r="HV58" s="39">
        <f>SUMIFS(Lançamentos!$G:$G,Lançamentos!$A:$A,HV$19,Lançamentos!$C:$C,"Seguros")</f>
        <v>0</v>
      </c>
      <c r="HW58" s="39">
        <f>SUMIFS(Lançamentos!$G:$G,Lançamentos!$A:$A,HW$19,Lançamentos!$C:$C,"Seguros")</f>
        <v>0</v>
      </c>
      <c r="HX58" s="39">
        <f>SUMIFS(Lançamentos!$G:$G,Lançamentos!$A:$A,HX$19,Lançamentos!$C:$C,"Seguros")</f>
        <v>0</v>
      </c>
      <c r="HY58" s="39">
        <f>SUMIFS(Lançamentos!$G:$G,Lançamentos!$A:$A,HY$19,Lançamentos!$C:$C,"Seguros")</f>
        <v>0</v>
      </c>
      <c r="HZ58" s="39">
        <f>SUMIFS(Lançamentos!$G:$G,Lançamentos!$A:$A,HZ$19,Lançamentos!$C:$C,"Seguros")</f>
        <v>0</v>
      </c>
      <c r="IA58" s="39">
        <f>SUMIFS(Lançamentos!$G:$G,Lançamentos!$A:$A,IA$19,Lançamentos!$C:$C,"Seguros")</f>
        <v>0</v>
      </c>
      <c r="IB58" s="39">
        <f>SUMIFS(Lançamentos!$G:$G,Lançamentos!$A:$A,IB$19,Lançamentos!$C:$C,"Seguros")</f>
        <v>0</v>
      </c>
      <c r="IC58" s="39">
        <f>SUMIFS(Lançamentos!$G:$G,Lançamentos!$A:$A,IC$19,Lançamentos!$C:$C,"Seguros")</f>
        <v>0</v>
      </c>
      <c r="ID58" s="39">
        <f>SUMIFS(Lançamentos!$G:$G,Lançamentos!$A:$A,ID$19,Lançamentos!$C:$C,"Seguros")</f>
        <v>0</v>
      </c>
      <c r="IE58" s="39">
        <f>SUMIFS(Lançamentos!$G:$G,Lançamentos!$A:$A,IE$19,Lançamentos!$C:$C,"Seguros")</f>
        <v>0</v>
      </c>
      <c r="IF58" s="39">
        <f>SUMIFS(Lançamentos!$G:$G,Lançamentos!$A:$A,IF$19,Lançamentos!$C:$C,"Seguros")</f>
        <v>0</v>
      </c>
      <c r="IG58" s="39">
        <f>SUMIFS(Lançamentos!$G:$G,Lançamentos!$A:$A,IG$19,Lançamentos!$C:$C,"Seguros")</f>
        <v>0</v>
      </c>
      <c r="IH58" s="39">
        <f>SUMIFS(Lançamentos!$G:$G,Lançamentos!$A:$A,IH$19,Lançamentos!$C:$C,"Seguros")</f>
        <v>0</v>
      </c>
      <c r="II58" s="39">
        <f>SUMIFS(Lançamentos!$G:$G,Lançamentos!$A:$A,II$19,Lançamentos!$C:$C,"Seguros")</f>
        <v>0</v>
      </c>
      <c r="IJ58" s="39">
        <f>SUMIFS(Lançamentos!$G:$G,Lançamentos!$A:$A,IJ$19,Lançamentos!$C:$C,"Seguros")</f>
        <v>0</v>
      </c>
      <c r="IK58" s="39">
        <f>SUMIFS(Lançamentos!$G:$G,Lançamentos!$A:$A,IK$19,Lançamentos!$C:$C,"Seguros")</f>
        <v>0</v>
      </c>
      <c r="IL58" s="39">
        <f>SUMIFS(Lançamentos!$G:$G,Lançamentos!$A:$A,IL$19,Lançamentos!$C:$C,"Seguros")</f>
        <v>0</v>
      </c>
    </row>
    <row r="59" spans="1:246" x14ac:dyDescent="0.3">
      <c r="A59" t="s">
        <v>104</v>
      </c>
      <c r="B59" s="39">
        <f>SUMIFS(Lançamentos!$G:$G,Lançamentos!$A:$A,B$19,Lançamentos!$C:$C,"Treinamento e Capacitação")</f>
        <v>0</v>
      </c>
      <c r="C59" s="39">
        <f>SUMIFS(Lançamentos!$G:$G,Lançamentos!$A:$A,C$19,Lançamentos!$C:$C,"Treinamento e Capacitação")</f>
        <v>0</v>
      </c>
      <c r="D59" s="39">
        <f>SUMIFS(Lançamentos!$G:$G,Lançamentos!$A:$A,D$19,Lançamentos!$C:$C,"Treinamento e Capacitação")</f>
        <v>0</v>
      </c>
      <c r="E59" s="39">
        <f>SUMIFS(Lançamentos!$G:$G,Lançamentos!$A:$A,E$19,Lançamentos!$C:$C,"Treinamento e Capacitação")</f>
        <v>0</v>
      </c>
      <c r="F59" s="39">
        <f>SUMIFS(Lançamentos!$G:$G,Lançamentos!$A:$A,F$19,Lançamentos!$C:$C,"Treinamento e Capacitação")</f>
        <v>0</v>
      </c>
      <c r="G59" s="39">
        <f>SUMIFS(Lançamentos!$G:$G,Lançamentos!$A:$A,G$19,Lançamentos!$C:$C,"Treinamento e Capacitação")</f>
        <v>0</v>
      </c>
      <c r="H59" s="39">
        <f>SUMIFS(Lançamentos!$G:$G,Lançamentos!$A:$A,H$19,Lançamentos!$C:$C,"Treinamento e Capacitação")</f>
        <v>0</v>
      </c>
      <c r="I59" s="39">
        <f>SUMIFS(Lançamentos!$G:$G,Lançamentos!$A:$A,I$19,Lançamentos!$C:$C,"Treinamento e Capacitação")</f>
        <v>0</v>
      </c>
      <c r="J59" s="39">
        <f>SUMIFS(Lançamentos!$G:$G,Lançamentos!$A:$A,J$19,Lançamentos!$C:$C,"Treinamento e Capacitação")</f>
        <v>0</v>
      </c>
      <c r="K59" s="39">
        <f>SUMIFS(Lançamentos!$G:$G,Lançamentos!$A:$A,K$19,Lançamentos!$C:$C,"Treinamento e Capacitação")</f>
        <v>0</v>
      </c>
      <c r="L59" s="39">
        <f>SUMIFS(Lançamentos!$G:$G,Lançamentos!$A:$A,L$19,Lançamentos!$C:$C,"Treinamento e Capacitação")</f>
        <v>0</v>
      </c>
      <c r="M59" s="39">
        <f>SUMIFS(Lançamentos!$G:$G,Lançamentos!$A:$A,M$19,Lançamentos!$C:$C,"Treinamento e Capacitação")</f>
        <v>0</v>
      </c>
      <c r="N59" s="39">
        <f>SUMIFS(Lançamentos!$G:$G,Lançamentos!$A:$A,N$19,Lançamentos!$C:$C,"Treinamento e Capacitação")</f>
        <v>0</v>
      </c>
      <c r="O59" s="39">
        <f>SUMIFS(Lançamentos!$G:$G,Lançamentos!$A:$A,O$19,Lançamentos!$C:$C,"Treinamento e Capacitação")</f>
        <v>0</v>
      </c>
      <c r="P59" s="39">
        <f>SUMIFS(Lançamentos!$G:$G,Lançamentos!$A:$A,P$19,Lançamentos!$C:$C,"Treinamento e Capacitação")</f>
        <v>0</v>
      </c>
      <c r="Q59" s="39">
        <f>SUMIFS(Lançamentos!$G:$G,Lançamentos!$A:$A,Q$19,Lançamentos!$C:$C,"Treinamento e Capacitação")</f>
        <v>0</v>
      </c>
      <c r="R59" s="39">
        <f>SUMIFS(Lançamentos!$G:$G,Lançamentos!$A:$A,R$19,Lançamentos!$C:$C,"Treinamento e Capacitação")</f>
        <v>0</v>
      </c>
      <c r="S59" s="39">
        <f>SUMIFS(Lançamentos!$G:$G,Lançamentos!$A:$A,S$19,Lançamentos!$C:$C,"Treinamento e Capacitação")</f>
        <v>0</v>
      </c>
      <c r="T59" s="39">
        <f>SUMIFS(Lançamentos!$G:$G,Lançamentos!$A:$A,T$19,Lançamentos!$C:$C,"Treinamento e Capacitação")</f>
        <v>0</v>
      </c>
      <c r="U59" s="39">
        <f>SUMIFS(Lançamentos!$G:$G,Lançamentos!$A:$A,U$19,Lançamentos!$C:$C,"Treinamento e Capacitação")</f>
        <v>0</v>
      </c>
      <c r="V59" s="39">
        <f>SUMIFS(Lançamentos!$G:$G,Lançamentos!$A:$A,V$19,Lançamentos!$C:$C,"Treinamento e Capacitação")</f>
        <v>0</v>
      </c>
      <c r="W59" s="39">
        <f>SUMIFS(Lançamentos!$G:$G,Lançamentos!$A:$A,W$19,Lançamentos!$C:$C,"Treinamento e Capacitação")</f>
        <v>0</v>
      </c>
      <c r="X59" s="39">
        <f>SUMIFS(Lançamentos!$G:$G,Lançamentos!$A:$A,X$19,Lançamentos!$C:$C,"Treinamento e Capacitação")</f>
        <v>0</v>
      </c>
      <c r="Y59" s="39">
        <f>SUMIFS(Lançamentos!$G:$G,Lançamentos!$A:$A,Y$19,Lançamentos!$C:$C,"Treinamento e Capacitação")</f>
        <v>0</v>
      </c>
      <c r="Z59" s="39">
        <f>SUMIFS(Lançamentos!$G:$G,Lançamentos!$A:$A,Z$19,Lançamentos!$C:$C,"Treinamento e Capacitação")</f>
        <v>0</v>
      </c>
      <c r="AA59" s="39">
        <f>SUMIFS(Lançamentos!$G:$G,Lançamentos!$A:$A,AA$19,Lançamentos!$C:$C,"Treinamento e Capacitação")</f>
        <v>0</v>
      </c>
      <c r="AB59" s="39">
        <f>SUMIFS(Lançamentos!$G:$G,Lançamentos!$A:$A,AB$19,Lançamentos!$C:$C,"Treinamento e Capacitação")</f>
        <v>0</v>
      </c>
      <c r="AC59" s="39">
        <f>SUMIFS(Lançamentos!$G:$G,Lançamentos!$A:$A,AC$19,Lançamentos!$C:$C,"Treinamento e Capacitação")</f>
        <v>0</v>
      </c>
      <c r="AD59" s="39">
        <f>SUMIFS(Lançamentos!$G:$G,Lançamentos!$A:$A,AD$19,Lançamentos!$C:$C,"Treinamento e Capacitação")</f>
        <v>0</v>
      </c>
      <c r="AE59" s="39">
        <f>SUMIFS(Lançamentos!$G:$G,Lançamentos!$A:$A,AE$19,Lançamentos!$C:$C,"Treinamento e Capacitação")</f>
        <v>0</v>
      </c>
      <c r="AF59" s="39">
        <f>SUMIFS(Lançamentos!$G:$G,Lançamentos!$A:$A,AF$19,Lançamentos!$C:$C,"Treinamento e Capacitação")</f>
        <v>0</v>
      </c>
      <c r="AG59" s="39">
        <f>SUMIFS(Lançamentos!$G:$G,Lançamentos!$A:$A,AG$19,Lançamentos!$C:$C,"Treinamento e Capacitação")</f>
        <v>0</v>
      </c>
      <c r="AH59" s="39">
        <f>SUMIFS(Lançamentos!$G:$G,Lançamentos!$A:$A,AH$19,Lançamentos!$C:$C,"Treinamento e Capacitação")</f>
        <v>0</v>
      </c>
      <c r="AI59" s="39">
        <f>SUMIFS(Lançamentos!$G:$G,Lançamentos!$A:$A,AI$19,Lançamentos!$C:$C,"Treinamento e Capacitação")</f>
        <v>0</v>
      </c>
      <c r="AJ59" s="39">
        <f>SUMIFS(Lançamentos!$G:$G,Lançamentos!$A:$A,AJ$19,Lançamentos!$C:$C,"Treinamento e Capacitação")</f>
        <v>0</v>
      </c>
      <c r="AK59" s="39">
        <f>SUMIFS(Lançamentos!$G:$G,Lançamentos!$A:$A,AK$19,Lançamentos!$C:$C,"Treinamento e Capacitação")</f>
        <v>0</v>
      </c>
      <c r="AL59" s="39">
        <f>SUMIFS(Lançamentos!$G:$G,Lançamentos!$A:$A,AL$19,Lançamentos!$C:$C,"Treinamento e Capacitação")</f>
        <v>0</v>
      </c>
      <c r="AM59" s="39">
        <f>SUMIFS(Lançamentos!$G:$G,Lançamentos!$A:$A,AM$19,Lançamentos!$C:$C,"Treinamento e Capacitação")</f>
        <v>0</v>
      </c>
      <c r="AN59" s="39">
        <f>SUMIFS(Lançamentos!$G:$G,Lançamentos!$A:$A,AN$19,Lançamentos!$C:$C,"Treinamento e Capacitação")</f>
        <v>0</v>
      </c>
      <c r="AO59" s="39">
        <f>SUMIFS(Lançamentos!$G:$G,Lançamentos!$A:$A,AO$19,Lançamentos!$C:$C,"Treinamento e Capacitação")</f>
        <v>0</v>
      </c>
      <c r="AP59" s="39">
        <f>SUMIFS(Lançamentos!$G:$G,Lançamentos!$A:$A,AP$19,Lançamentos!$C:$C,"Treinamento e Capacitação")</f>
        <v>0</v>
      </c>
      <c r="AQ59" s="39">
        <f>SUMIFS(Lançamentos!$G:$G,Lançamentos!$A:$A,AQ$19,Lançamentos!$C:$C,"Treinamento e Capacitação")</f>
        <v>0</v>
      </c>
      <c r="AR59" s="39">
        <f>SUMIFS(Lançamentos!$G:$G,Lançamentos!$A:$A,AR$19,Lançamentos!$C:$C,"Treinamento e Capacitação")</f>
        <v>0</v>
      </c>
      <c r="AS59" s="39">
        <f>SUMIFS(Lançamentos!$G:$G,Lançamentos!$A:$A,AS$19,Lançamentos!$C:$C,"Treinamento e Capacitação")</f>
        <v>0</v>
      </c>
      <c r="AT59" s="39">
        <f>SUMIFS(Lançamentos!$G:$G,Lançamentos!$A:$A,AT$19,Lançamentos!$C:$C,"Treinamento e Capacitação")</f>
        <v>0</v>
      </c>
      <c r="AU59" s="39">
        <f>SUMIFS(Lançamentos!$G:$G,Lançamentos!$A:$A,AU$19,Lançamentos!$C:$C,"Treinamento e Capacitação")</f>
        <v>0</v>
      </c>
      <c r="AV59" s="39">
        <f>SUMIFS(Lançamentos!$G:$G,Lançamentos!$A:$A,AV$19,Lançamentos!$C:$C,"Treinamento e Capacitação")</f>
        <v>0</v>
      </c>
      <c r="AW59" s="39">
        <f>SUMIFS(Lançamentos!$G:$G,Lançamentos!$A:$A,AW$19,Lançamentos!$C:$C,"Treinamento e Capacitação")</f>
        <v>0</v>
      </c>
      <c r="AX59" s="39">
        <f>SUMIFS(Lançamentos!$G:$G,Lançamentos!$A:$A,AX$19,Lançamentos!$C:$C,"Treinamento e Capacitação")</f>
        <v>0</v>
      </c>
      <c r="AY59" s="39">
        <f>SUMIFS(Lançamentos!$G:$G,Lançamentos!$A:$A,AY$19,Lançamentos!$C:$C,"Treinamento e Capacitação")</f>
        <v>0</v>
      </c>
      <c r="AZ59" s="39">
        <f>SUMIFS(Lançamentos!$G:$G,Lançamentos!$A:$A,AZ$19,Lançamentos!$C:$C,"Treinamento e Capacitação")</f>
        <v>0</v>
      </c>
      <c r="BA59" s="39">
        <f>SUMIFS(Lançamentos!$G:$G,Lançamentos!$A:$A,BA$19,Lançamentos!$C:$C,"Treinamento e Capacitação")</f>
        <v>0</v>
      </c>
      <c r="BB59" s="39">
        <f>SUMIFS(Lançamentos!$G:$G,Lançamentos!$A:$A,BB$19,Lançamentos!$C:$C,"Treinamento e Capacitação")</f>
        <v>0</v>
      </c>
      <c r="BC59" s="39">
        <f>SUMIFS(Lançamentos!$G:$G,Lançamentos!$A:$A,BC$19,Lançamentos!$C:$C,"Treinamento e Capacitação")</f>
        <v>0</v>
      </c>
      <c r="BD59" s="39">
        <f>SUMIFS(Lançamentos!$G:$G,Lançamentos!$A:$A,BD$19,Lançamentos!$C:$C,"Treinamento e Capacitação")</f>
        <v>0</v>
      </c>
      <c r="BE59" s="39">
        <f>SUMIFS(Lançamentos!$G:$G,Lançamentos!$A:$A,BE$19,Lançamentos!$C:$C,"Treinamento e Capacitação")</f>
        <v>0</v>
      </c>
      <c r="BF59" s="39">
        <f>SUMIFS(Lançamentos!$G:$G,Lançamentos!$A:$A,BF$19,Lançamentos!$C:$C,"Treinamento e Capacitação")</f>
        <v>0</v>
      </c>
      <c r="BG59" s="39">
        <f>SUMIFS(Lançamentos!$G:$G,Lançamentos!$A:$A,BG$19,Lançamentos!$C:$C,"Treinamento e Capacitação")</f>
        <v>0</v>
      </c>
      <c r="BH59" s="39">
        <f>SUMIFS(Lançamentos!$G:$G,Lançamentos!$A:$A,BH$19,Lançamentos!$C:$C,"Treinamento e Capacitação")</f>
        <v>0</v>
      </c>
      <c r="BI59" s="39">
        <f>SUMIFS(Lançamentos!$G:$G,Lançamentos!$A:$A,BI$19,Lançamentos!$C:$C,"Treinamento e Capacitação")</f>
        <v>0</v>
      </c>
      <c r="BJ59" s="39">
        <f>SUMIFS(Lançamentos!$G:$G,Lançamentos!$A:$A,BJ$19,Lançamentos!$C:$C,"Treinamento e Capacitação")</f>
        <v>0</v>
      </c>
      <c r="BK59" s="39">
        <f>SUMIFS(Lançamentos!$G:$G,Lançamentos!$A:$A,BK$19,Lançamentos!$C:$C,"Treinamento e Capacitação")</f>
        <v>0</v>
      </c>
      <c r="BL59" s="39">
        <f>SUMIFS(Lançamentos!$G:$G,Lançamentos!$A:$A,BL$19,Lançamentos!$C:$C,"Treinamento e Capacitação")</f>
        <v>0</v>
      </c>
      <c r="BM59" s="39">
        <f>SUMIFS(Lançamentos!$G:$G,Lançamentos!$A:$A,BM$19,Lançamentos!$C:$C,"Treinamento e Capacitação")</f>
        <v>0</v>
      </c>
      <c r="BN59" s="39">
        <f>SUMIFS(Lançamentos!$G:$G,Lançamentos!$A:$A,BN$19,Lançamentos!$C:$C,"Treinamento e Capacitação")</f>
        <v>0</v>
      </c>
      <c r="BO59" s="39">
        <f>SUMIFS(Lançamentos!$G:$G,Lançamentos!$A:$A,BO$19,Lançamentos!$C:$C,"Treinamento e Capacitação")</f>
        <v>0</v>
      </c>
      <c r="BP59" s="39">
        <f>SUMIFS(Lançamentos!$G:$G,Lançamentos!$A:$A,BP$19,Lançamentos!$C:$C,"Treinamento e Capacitação")</f>
        <v>0</v>
      </c>
      <c r="BQ59" s="39">
        <f>SUMIFS(Lançamentos!$G:$G,Lançamentos!$A:$A,BQ$19,Lançamentos!$C:$C,"Treinamento e Capacitação")</f>
        <v>0</v>
      </c>
      <c r="BR59" s="39">
        <f>SUMIFS(Lançamentos!$G:$G,Lançamentos!$A:$A,BR$19,Lançamentos!$C:$C,"Treinamento e Capacitação")</f>
        <v>0</v>
      </c>
      <c r="BS59" s="39">
        <f>SUMIFS(Lançamentos!$G:$G,Lançamentos!$A:$A,BS$19,Lançamentos!$C:$C,"Treinamento e Capacitação")</f>
        <v>0</v>
      </c>
      <c r="BT59" s="39">
        <f>SUMIFS(Lançamentos!$G:$G,Lançamentos!$A:$A,BT$19,Lançamentos!$C:$C,"Treinamento e Capacitação")</f>
        <v>0</v>
      </c>
      <c r="BU59" s="39">
        <f>SUMIFS(Lançamentos!$G:$G,Lançamentos!$A:$A,BU$19,Lançamentos!$C:$C,"Treinamento e Capacitação")</f>
        <v>0</v>
      </c>
      <c r="BV59" s="39">
        <f>SUMIFS(Lançamentos!$G:$G,Lançamentos!$A:$A,BV$19,Lançamentos!$C:$C,"Treinamento e Capacitação")</f>
        <v>0</v>
      </c>
      <c r="BW59" s="39">
        <f>SUMIFS(Lançamentos!$G:$G,Lançamentos!$A:$A,BW$19,Lançamentos!$C:$C,"Treinamento e Capacitação")</f>
        <v>0</v>
      </c>
      <c r="BX59" s="39">
        <f>SUMIFS(Lançamentos!$G:$G,Lançamentos!$A:$A,BX$19,Lançamentos!$C:$C,"Treinamento e Capacitação")</f>
        <v>0</v>
      </c>
      <c r="BY59" s="39">
        <f>SUMIFS(Lançamentos!$G:$G,Lançamentos!$A:$A,BY$19,Lançamentos!$C:$C,"Treinamento e Capacitação")</f>
        <v>0</v>
      </c>
      <c r="BZ59" s="39">
        <f>SUMIFS(Lançamentos!$G:$G,Lançamentos!$A:$A,BZ$19,Lançamentos!$C:$C,"Treinamento e Capacitação")</f>
        <v>0</v>
      </c>
      <c r="CA59" s="39">
        <f>SUMIFS(Lançamentos!$G:$G,Lançamentos!$A:$A,CA$19,Lançamentos!$C:$C,"Treinamento e Capacitação")</f>
        <v>0</v>
      </c>
      <c r="CB59" s="39">
        <f>SUMIFS(Lançamentos!$G:$G,Lançamentos!$A:$A,CB$19,Lançamentos!$C:$C,"Treinamento e Capacitação")</f>
        <v>0</v>
      </c>
      <c r="CC59" s="39">
        <f>SUMIFS(Lançamentos!$G:$G,Lançamentos!$A:$A,CC$19,Lançamentos!$C:$C,"Treinamento e Capacitação")</f>
        <v>0</v>
      </c>
      <c r="CD59" s="39">
        <f>SUMIFS(Lançamentos!$G:$G,Lançamentos!$A:$A,CD$19,Lançamentos!$C:$C,"Treinamento e Capacitação")</f>
        <v>0</v>
      </c>
      <c r="CE59" s="39">
        <f>SUMIFS(Lançamentos!$G:$G,Lançamentos!$A:$A,CE$19,Lançamentos!$C:$C,"Treinamento e Capacitação")</f>
        <v>0</v>
      </c>
      <c r="CF59" s="39">
        <f>SUMIFS(Lançamentos!$G:$G,Lançamentos!$A:$A,CF$19,Lançamentos!$C:$C,"Treinamento e Capacitação")</f>
        <v>0</v>
      </c>
      <c r="CG59" s="39">
        <f>SUMIFS(Lançamentos!$G:$G,Lançamentos!$A:$A,CG$19,Lançamentos!$C:$C,"Treinamento e Capacitação")</f>
        <v>0</v>
      </c>
      <c r="CH59" s="39">
        <f>SUMIFS(Lançamentos!$G:$G,Lançamentos!$A:$A,CH$19,Lançamentos!$C:$C,"Treinamento e Capacitação")</f>
        <v>0</v>
      </c>
      <c r="CI59" s="39">
        <f>SUMIFS(Lançamentos!$G:$G,Lançamentos!$A:$A,CI$19,Lançamentos!$C:$C,"Treinamento e Capacitação")</f>
        <v>0</v>
      </c>
      <c r="CJ59" s="39">
        <f>SUMIFS(Lançamentos!$G:$G,Lançamentos!$A:$A,CJ$19,Lançamentos!$C:$C,"Treinamento e Capacitação")</f>
        <v>0</v>
      </c>
      <c r="CK59" s="39">
        <f>SUMIFS(Lançamentos!$G:$G,Lançamentos!$A:$A,CK$19,Lançamentos!$C:$C,"Treinamento e Capacitação")</f>
        <v>0</v>
      </c>
      <c r="CL59" s="39">
        <f>SUMIFS(Lançamentos!$G:$G,Lançamentos!$A:$A,CL$19,Lançamentos!$C:$C,"Treinamento e Capacitação")</f>
        <v>0</v>
      </c>
      <c r="CM59" s="39">
        <f>SUMIFS(Lançamentos!$G:$G,Lançamentos!$A:$A,CM$19,Lançamentos!$C:$C,"Treinamento e Capacitação")</f>
        <v>0</v>
      </c>
      <c r="CN59" s="39">
        <f>SUMIFS(Lançamentos!$G:$G,Lançamentos!$A:$A,CN$19,Lançamentos!$C:$C,"Treinamento e Capacitação")</f>
        <v>0</v>
      </c>
      <c r="CO59" s="39">
        <f>SUMIFS(Lançamentos!$G:$G,Lançamentos!$A:$A,CO$19,Lançamentos!$C:$C,"Treinamento e Capacitação")</f>
        <v>0</v>
      </c>
      <c r="CP59" s="39">
        <f>SUMIFS(Lançamentos!$G:$G,Lançamentos!$A:$A,CP$19,Lançamentos!$C:$C,"Treinamento e Capacitação")</f>
        <v>0</v>
      </c>
      <c r="CQ59" s="39">
        <f>SUMIFS(Lançamentos!$G:$G,Lançamentos!$A:$A,CQ$19,Lançamentos!$C:$C,"Treinamento e Capacitação")</f>
        <v>0</v>
      </c>
      <c r="CR59" s="39">
        <f>SUMIFS(Lançamentos!$G:$G,Lançamentos!$A:$A,CR$19,Lançamentos!$C:$C,"Treinamento e Capacitação")</f>
        <v>0</v>
      </c>
      <c r="CS59" s="39">
        <f>SUMIFS(Lançamentos!$G:$G,Lançamentos!$A:$A,CS$19,Lançamentos!$C:$C,"Treinamento e Capacitação")</f>
        <v>0</v>
      </c>
      <c r="CT59" s="39">
        <f>SUMIFS(Lançamentos!$G:$G,Lançamentos!$A:$A,CT$19,Lançamentos!$C:$C,"Treinamento e Capacitação")</f>
        <v>0</v>
      </c>
      <c r="CU59" s="39">
        <f>SUMIFS(Lançamentos!$G:$G,Lançamentos!$A:$A,CU$19,Lançamentos!$C:$C,"Treinamento e Capacitação")</f>
        <v>0</v>
      </c>
      <c r="CV59" s="39">
        <f>SUMIFS(Lançamentos!$G:$G,Lançamentos!$A:$A,CV$19,Lançamentos!$C:$C,"Treinamento e Capacitação")</f>
        <v>0</v>
      </c>
      <c r="CW59" s="39">
        <f>SUMIFS(Lançamentos!$G:$G,Lançamentos!$A:$A,CW$19,Lançamentos!$C:$C,"Treinamento e Capacitação")</f>
        <v>0</v>
      </c>
      <c r="CX59" s="39">
        <f>SUMIFS(Lançamentos!$G:$G,Lançamentos!$A:$A,CX$19,Lançamentos!$C:$C,"Treinamento e Capacitação")</f>
        <v>0</v>
      </c>
      <c r="CY59" s="39">
        <f>SUMIFS(Lançamentos!$G:$G,Lançamentos!$A:$A,CY$19,Lançamentos!$C:$C,"Treinamento e Capacitação")</f>
        <v>0</v>
      </c>
      <c r="CZ59" s="39">
        <f>SUMIFS(Lançamentos!$G:$G,Lançamentos!$A:$A,CZ$19,Lançamentos!$C:$C,"Treinamento e Capacitação")</f>
        <v>0</v>
      </c>
      <c r="DA59" s="39">
        <f>SUMIFS(Lançamentos!$G:$G,Lançamentos!$A:$A,DA$19,Lançamentos!$C:$C,"Treinamento e Capacitação")</f>
        <v>0</v>
      </c>
      <c r="DB59" s="39">
        <f>SUMIFS(Lançamentos!$G:$G,Lançamentos!$A:$A,DB$19,Lançamentos!$C:$C,"Treinamento e Capacitação")</f>
        <v>0</v>
      </c>
      <c r="DC59" s="39">
        <f>SUMIFS(Lançamentos!$G:$G,Lançamentos!$A:$A,DC$19,Lançamentos!$C:$C,"Treinamento e Capacitação")</f>
        <v>0</v>
      </c>
      <c r="DD59" s="39">
        <f>SUMIFS(Lançamentos!$G:$G,Lançamentos!$A:$A,DD$19,Lançamentos!$C:$C,"Treinamento e Capacitação")</f>
        <v>0</v>
      </c>
      <c r="DE59" s="39">
        <f>SUMIFS(Lançamentos!$G:$G,Lançamentos!$A:$A,DE$19,Lançamentos!$C:$C,"Treinamento e Capacitação")</f>
        <v>0</v>
      </c>
      <c r="DF59" s="39">
        <f>SUMIFS(Lançamentos!$G:$G,Lançamentos!$A:$A,DF$19,Lançamentos!$C:$C,"Treinamento e Capacitação")</f>
        <v>0</v>
      </c>
      <c r="DG59" s="39">
        <f>SUMIFS(Lançamentos!$G:$G,Lançamentos!$A:$A,DG$19,Lançamentos!$C:$C,"Treinamento e Capacitação")</f>
        <v>0</v>
      </c>
      <c r="DH59" s="39">
        <f>SUMIFS(Lançamentos!$G:$G,Lançamentos!$A:$A,DH$19,Lançamentos!$C:$C,"Treinamento e Capacitação")</f>
        <v>0</v>
      </c>
      <c r="DI59" s="39">
        <f>SUMIFS(Lançamentos!$G:$G,Lançamentos!$A:$A,DI$19,Lançamentos!$C:$C,"Treinamento e Capacitação")</f>
        <v>0</v>
      </c>
      <c r="DJ59" s="39">
        <f>SUMIFS(Lançamentos!$G:$G,Lançamentos!$A:$A,DJ$19,Lançamentos!$C:$C,"Treinamento e Capacitação")</f>
        <v>0</v>
      </c>
      <c r="DK59" s="39">
        <f>SUMIFS(Lançamentos!$G:$G,Lançamentos!$A:$A,DK$19,Lançamentos!$C:$C,"Treinamento e Capacitação")</f>
        <v>0</v>
      </c>
      <c r="DL59" s="39">
        <f>SUMIFS(Lançamentos!$G:$G,Lançamentos!$A:$A,DL$19,Lançamentos!$C:$C,"Treinamento e Capacitação")</f>
        <v>0</v>
      </c>
      <c r="DM59" s="39">
        <f>SUMIFS(Lançamentos!$G:$G,Lançamentos!$A:$A,DM$19,Lançamentos!$C:$C,"Treinamento e Capacitação")</f>
        <v>0</v>
      </c>
      <c r="DN59" s="39">
        <f>SUMIFS(Lançamentos!$G:$G,Lançamentos!$A:$A,DN$19,Lançamentos!$C:$C,"Treinamento e Capacitação")</f>
        <v>0</v>
      </c>
      <c r="DO59" s="39">
        <f>SUMIFS(Lançamentos!$G:$G,Lançamentos!$A:$A,DO$19,Lançamentos!$C:$C,"Treinamento e Capacitação")</f>
        <v>0</v>
      </c>
      <c r="DP59" s="39">
        <f>SUMIFS(Lançamentos!$G:$G,Lançamentos!$A:$A,DP$19,Lançamentos!$C:$C,"Treinamento e Capacitação")</f>
        <v>0</v>
      </c>
      <c r="DQ59" s="39">
        <f>SUMIFS(Lançamentos!$G:$G,Lançamentos!$A:$A,DQ$19,Lançamentos!$C:$C,"Treinamento e Capacitação")</f>
        <v>0</v>
      </c>
      <c r="DR59" s="39">
        <f>SUMIFS(Lançamentos!$G:$G,Lançamentos!$A:$A,DR$19,Lançamentos!$C:$C,"Treinamento e Capacitação")</f>
        <v>0</v>
      </c>
      <c r="DS59" s="39">
        <f>SUMIFS(Lançamentos!$G:$G,Lançamentos!$A:$A,DS$19,Lançamentos!$C:$C,"Treinamento e Capacitação")</f>
        <v>0</v>
      </c>
      <c r="DT59" s="39">
        <f>SUMIFS(Lançamentos!$G:$G,Lançamentos!$A:$A,DT$19,Lançamentos!$C:$C,"Treinamento e Capacitação")</f>
        <v>0</v>
      </c>
      <c r="DU59" s="39">
        <f>SUMIFS(Lançamentos!$G:$G,Lançamentos!$A:$A,DU$19,Lançamentos!$C:$C,"Treinamento e Capacitação")</f>
        <v>0</v>
      </c>
      <c r="DV59" s="39">
        <f>SUMIFS(Lançamentos!$G:$G,Lançamentos!$A:$A,DV$19,Lançamentos!$C:$C,"Treinamento e Capacitação")</f>
        <v>0</v>
      </c>
      <c r="DW59" s="39">
        <f>SUMIFS(Lançamentos!$G:$G,Lançamentos!$A:$A,DW$19,Lançamentos!$C:$C,"Treinamento e Capacitação")</f>
        <v>0</v>
      </c>
      <c r="DX59" s="39">
        <f>SUMIFS(Lançamentos!$G:$G,Lançamentos!$A:$A,DX$19,Lançamentos!$C:$C,"Treinamento e Capacitação")</f>
        <v>0</v>
      </c>
      <c r="DY59" s="39">
        <f>SUMIFS(Lançamentos!$G:$G,Lançamentos!$A:$A,DY$19,Lançamentos!$C:$C,"Treinamento e Capacitação")</f>
        <v>0</v>
      </c>
      <c r="DZ59" s="39">
        <f>SUMIFS(Lançamentos!$G:$G,Lançamentos!$A:$A,DZ$19,Lançamentos!$C:$C,"Treinamento e Capacitação")</f>
        <v>0</v>
      </c>
      <c r="EA59" s="39">
        <f>SUMIFS(Lançamentos!$G:$G,Lançamentos!$A:$A,EA$19,Lançamentos!$C:$C,"Treinamento e Capacitação")</f>
        <v>0</v>
      </c>
      <c r="EB59" s="39">
        <f>SUMIFS(Lançamentos!$G:$G,Lançamentos!$A:$A,EB$19,Lançamentos!$C:$C,"Treinamento e Capacitação")</f>
        <v>0</v>
      </c>
      <c r="EC59" s="39">
        <f>SUMIFS(Lançamentos!$G:$G,Lançamentos!$A:$A,EC$19,Lançamentos!$C:$C,"Treinamento e Capacitação")</f>
        <v>0</v>
      </c>
      <c r="ED59" s="39">
        <f>SUMIFS(Lançamentos!$G:$G,Lançamentos!$A:$A,ED$19,Lançamentos!$C:$C,"Treinamento e Capacitação")</f>
        <v>0</v>
      </c>
      <c r="EE59" s="39">
        <f>SUMIFS(Lançamentos!$G:$G,Lançamentos!$A:$A,EE$19,Lançamentos!$C:$C,"Treinamento e Capacitação")</f>
        <v>0</v>
      </c>
      <c r="EF59" s="39">
        <f>SUMIFS(Lançamentos!$G:$G,Lançamentos!$A:$A,EF$19,Lançamentos!$C:$C,"Treinamento e Capacitação")</f>
        <v>0</v>
      </c>
      <c r="EG59" s="39">
        <f>SUMIFS(Lançamentos!$G:$G,Lançamentos!$A:$A,EG$19,Lançamentos!$C:$C,"Treinamento e Capacitação")</f>
        <v>0</v>
      </c>
      <c r="EH59" s="39">
        <f>SUMIFS(Lançamentos!$G:$G,Lançamentos!$A:$A,EH$19,Lançamentos!$C:$C,"Treinamento e Capacitação")</f>
        <v>0</v>
      </c>
      <c r="EI59" s="39">
        <f>SUMIFS(Lançamentos!$G:$G,Lançamentos!$A:$A,EI$19,Lançamentos!$C:$C,"Treinamento e Capacitação")</f>
        <v>0</v>
      </c>
      <c r="EJ59" s="39">
        <f>SUMIFS(Lançamentos!$G:$G,Lançamentos!$A:$A,EJ$19,Lançamentos!$C:$C,"Treinamento e Capacitação")</f>
        <v>0</v>
      </c>
      <c r="EK59" s="39">
        <f>SUMIFS(Lançamentos!$G:$G,Lançamentos!$A:$A,EK$19,Lançamentos!$C:$C,"Treinamento e Capacitação")</f>
        <v>0</v>
      </c>
      <c r="EL59" s="39">
        <f>SUMIFS(Lançamentos!$G:$G,Lançamentos!$A:$A,EL$19,Lançamentos!$C:$C,"Treinamento e Capacitação")</f>
        <v>0</v>
      </c>
      <c r="EM59" s="39">
        <f>SUMIFS(Lançamentos!$G:$G,Lançamentos!$A:$A,EM$19,Lançamentos!$C:$C,"Treinamento e Capacitação")</f>
        <v>0</v>
      </c>
      <c r="EN59" s="39">
        <f>SUMIFS(Lançamentos!$G:$G,Lançamentos!$A:$A,EN$19,Lançamentos!$C:$C,"Treinamento e Capacitação")</f>
        <v>0</v>
      </c>
      <c r="EO59" s="39">
        <f>SUMIFS(Lançamentos!$G:$G,Lançamentos!$A:$A,EO$19,Lançamentos!$C:$C,"Treinamento e Capacitação")</f>
        <v>0</v>
      </c>
      <c r="EP59" s="39">
        <f>SUMIFS(Lançamentos!$G:$G,Lançamentos!$A:$A,EP$19,Lançamentos!$C:$C,"Treinamento e Capacitação")</f>
        <v>0</v>
      </c>
      <c r="EQ59" s="39">
        <f>SUMIFS(Lançamentos!$G:$G,Lançamentos!$A:$A,EQ$19,Lançamentos!$C:$C,"Treinamento e Capacitação")</f>
        <v>0</v>
      </c>
      <c r="ER59" s="39">
        <f>SUMIFS(Lançamentos!$G:$G,Lançamentos!$A:$A,ER$19,Lançamentos!$C:$C,"Treinamento e Capacitação")</f>
        <v>0</v>
      </c>
      <c r="ES59" s="39">
        <f>SUMIFS(Lançamentos!$G:$G,Lançamentos!$A:$A,ES$19,Lançamentos!$C:$C,"Treinamento e Capacitação")</f>
        <v>0</v>
      </c>
      <c r="ET59" s="39">
        <f>SUMIFS(Lançamentos!$G:$G,Lançamentos!$A:$A,ET$19,Lançamentos!$C:$C,"Treinamento e Capacitação")</f>
        <v>0</v>
      </c>
      <c r="EU59" s="39">
        <f>SUMIFS(Lançamentos!$G:$G,Lançamentos!$A:$A,EU$19,Lançamentos!$C:$C,"Treinamento e Capacitação")</f>
        <v>0</v>
      </c>
      <c r="EV59" s="39">
        <f>SUMIFS(Lançamentos!$G:$G,Lançamentos!$A:$A,EV$19,Lançamentos!$C:$C,"Treinamento e Capacitação")</f>
        <v>0</v>
      </c>
      <c r="EW59" s="39">
        <f>SUMIFS(Lançamentos!$G:$G,Lançamentos!$A:$A,EW$19,Lançamentos!$C:$C,"Treinamento e Capacitação")</f>
        <v>0</v>
      </c>
      <c r="EX59" s="39">
        <f>SUMIFS(Lançamentos!$G:$G,Lançamentos!$A:$A,EX$19,Lançamentos!$C:$C,"Treinamento e Capacitação")</f>
        <v>0</v>
      </c>
      <c r="EY59" s="39">
        <f>SUMIFS(Lançamentos!$G:$G,Lançamentos!$A:$A,EY$19,Lançamentos!$C:$C,"Treinamento e Capacitação")</f>
        <v>0</v>
      </c>
      <c r="EZ59" s="39">
        <f>SUMIFS(Lançamentos!$G:$G,Lançamentos!$A:$A,EZ$19,Lançamentos!$C:$C,"Treinamento e Capacitação")</f>
        <v>0</v>
      </c>
      <c r="FA59" s="39">
        <f>SUMIFS(Lançamentos!$G:$G,Lançamentos!$A:$A,FA$19,Lançamentos!$C:$C,"Treinamento e Capacitação")</f>
        <v>0</v>
      </c>
      <c r="FB59" s="39">
        <f>SUMIFS(Lançamentos!$G:$G,Lançamentos!$A:$A,FB$19,Lançamentos!$C:$C,"Treinamento e Capacitação")</f>
        <v>0</v>
      </c>
      <c r="FC59" s="39">
        <f>SUMIFS(Lançamentos!$G:$G,Lançamentos!$A:$A,FC$19,Lançamentos!$C:$C,"Treinamento e Capacitação")</f>
        <v>0</v>
      </c>
      <c r="FD59" s="39">
        <f>SUMIFS(Lançamentos!$G:$G,Lançamentos!$A:$A,FD$19,Lançamentos!$C:$C,"Treinamento e Capacitação")</f>
        <v>0</v>
      </c>
      <c r="FE59" s="39">
        <f>SUMIFS(Lançamentos!$G:$G,Lançamentos!$A:$A,FE$19,Lançamentos!$C:$C,"Treinamento e Capacitação")</f>
        <v>0</v>
      </c>
      <c r="FF59" s="39">
        <f>SUMIFS(Lançamentos!$G:$G,Lançamentos!$A:$A,FF$19,Lançamentos!$C:$C,"Treinamento e Capacitação")</f>
        <v>0</v>
      </c>
      <c r="FG59" s="39">
        <f>SUMIFS(Lançamentos!$G:$G,Lançamentos!$A:$A,FG$19,Lançamentos!$C:$C,"Treinamento e Capacitação")</f>
        <v>0</v>
      </c>
      <c r="FH59" s="39">
        <f>SUMIFS(Lançamentos!$G:$G,Lançamentos!$A:$A,FH$19,Lançamentos!$C:$C,"Treinamento e Capacitação")</f>
        <v>0</v>
      </c>
      <c r="FI59" s="39">
        <f>SUMIFS(Lançamentos!$G:$G,Lançamentos!$A:$A,FI$19,Lançamentos!$C:$C,"Treinamento e Capacitação")</f>
        <v>0</v>
      </c>
      <c r="FJ59" s="39">
        <f>SUMIFS(Lançamentos!$G:$G,Lançamentos!$A:$A,FJ$19,Lançamentos!$C:$C,"Treinamento e Capacitação")</f>
        <v>0</v>
      </c>
      <c r="FK59" s="39">
        <f>SUMIFS(Lançamentos!$G:$G,Lançamentos!$A:$A,FK$19,Lançamentos!$C:$C,"Treinamento e Capacitação")</f>
        <v>0</v>
      </c>
      <c r="FL59" s="39">
        <f>SUMIFS(Lançamentos!$G:$G,Lançamentos!$A:$A,FL$19,Lançamentos!$C:$C,"Treinamento e Capacitação")</f>
        <v>0</v>
      </c>
      <c r="FM59" s="39">
        <f>SUMIFS(Lançamentos!$G:$G,Lançamentos!$A:$A,FM$19,Lançamentos!$C:$C,"Treinamento e Capacitação")</f>
        <v>0</v>
      </c>
      <c r="FN59" s="39">
        <f>SUMIFS(Lançamentos!$G:$G,Lançamentos!$A:$A,FN$19,Lançamentos!$C:$C,"Treinamento e Capacitação")</f>
        <v>0</v>
      </c>
      <c r="FO59" s="39">
        <f>SUMIFS(Lançamentos!$G:$G,Lançamentos!$A:$A,FO$19,Lançamentos!$C:$C,"Treinamento e Capacitação")</f>
        <v>0</v>
      </c>
      <c r="FP59" s="39">
        <f>SUMIFS(Lançamentos!$G:$G,Lançamentos!$A:$A,FP$19,Lançamentos!$C:$C,"Treinamento e Capacitação")</f>
        <v>0</v>
      </c>
      <c r="FQ59" s="39">
        <f>SUMIFS(Lançamentos!$G:$G,Lançamentos!$A:$A,FQ$19,Lançamentos!$C:$C,"Treinamento e Capacitação")</f>
        <v>0</v>
      </c>
      <c r="FR59" s="39">
        <f>SUMIFS(Lançamentos!$G:$G,Lançamentos!$A:$A,FR$19,Lançamentos!$C:$C,"Treinamento e Capacitação")</f>
        <v>0</v>
      </c>
      <c r="FS59" s="39">
        <f>SUMIFS(Lançamentos!$G:$G,Lançamentos!$A:$A,FS$19,Lançamentos!$C:$C,"Treinamento e Capacitação")</f>
        <v>0</v>
      </c>
      <c r="FT59" s="39">
        <f>SUMIFS(Lançamentos!$G:$G,Lançamentos!$A:$A,FT$19,Lançamentos!$C:$C,"Treinamento e Capacitação")</f>
        <v>0</v>
      </c>
      <c r="FU59" s="39">
        <f>SUMIFS(Lançamentos!$G:$G,Lançamentos!$A:$A,FU$19,Lançamentos!$C:$C,"Treinamento e Capacitação")</f>
        <v>0</v>
      </c>
      <c r="FV59" s="39">
        <f>SUMIFS(Lançamentos!$G:$G,Lançamentos!$A:$A,FV$19,Lançamentos!$C:$C,"Treinamento e Capacitação")</f>
        <v>0</v>
      </c>
      <c r="FW59" s="39">
        <f>SUMIFS(Lançamentos!$G:$G,Lançamentos!$A:$A,FW$19,Lançamentos!$C:$C,"Treinamento e Capacitação")</f>
        <v>0</v>
      </c>
      <c r="FX59" s="39">
        <f>SUMIFS(Lançamentos!$G:$G,Lançamentos!$A:$A,FX$19,Lançamentos!$C:$C,"Treinamento e Capacitação")</f>
        <v>0</v>
      </c>
      <c r="FY59" s="39">
        <f>SUMIFS(Lançamentos!$G:$G,Lançamentos!$A:$A,FY$19,Lançamentos!$C:$C,"Treinamento e Capacitação")</f>
        <v>0</v>
      </c>
      <c r="FZ59" s="39">
        <f>SUMIFS(Lançamentos!$G:$G,Lançamentos!$A:$A,FZ$19,Lançamentos!$C:$C,"Treinamento e Capacitação")</f>
        <v>0</v>
      </c>
      <c r="GA59" s="39">
        <f>SUMIFS(Lançamentos!$G:$G,Lançamentos!$A:$A,GA$19,Lançamentos!$C:$C,"Treinamento e Capacitação")</f>
        <v>0</v>
      </c>
      <c r="GB59" s="39">
        <f>SUMIFS(Lançamentos!$G:$G,Lançamentos!$A:$A,GB$19,Lançamentos!$C:$C,"Treinamento e Capacitação")</f>
        <v>0</v>
      </c>
      <c r="GC59" s="39">
        <f>SUMIFS(Lançamentos!$G:$G,Lançamentos!$A:$A,GC$19,Lançamentos!$C:$C,"Treinamento e Capacitação")</f>
        <v>0</v>
      </c>
      <c r="GD59" s="39">
        <f>SUMIFS(Lançamentos!$G:$G,Lançamentos!$A:$A,GD$19,Lançamentos!$C:$C,"Treinamento e Capacitação")</f>
        <v>0</v>
      </c>
      <c r="GE59" s="39">
        <f>SUMIFS(Lançamentos!$G:$G,Lançamentos!$A:$A,GE$19,Lançamentos!$C:$C,"Treinamento e Capacitação")</f>
        <v>0</v>
      </c>
      <c r="GF59" s="39">
        <f>SUMIFS(Lançamentos!$G:$G,Lançamentos!$A:$A,GF$19,Lançamentos!$C:$C,"Treinamento e Capacitação")</f>
        <v>0</v>
      </c>
      <c r="GG59" s="39">
        <f>SUMIFS(Lançamentos!$G:$G,Lançamentos!$A:$A,GG$19,Lançamentos!$C:$C,"Treinamento e Capacitação")</f>
        <v>0</v>
      </c>
      <c r="GH59" s="39">
        <f>SUMIFS(Lançamentos!$G:$G,Lançamentos!$A:$A,GH$19,Lançamentos!$C:$C,"Treinamento e Capacitação")</f>
        <v>0</v>
      </c>
      <c r="GI59" s="39">
        <f>SUMIFS(Lançamentos!$G:$G,Lançamentos!$A:$A,GI$19,Lançamentos!$C:$C,"Treinamento e Capacitação")</f>
        <v>0</v>
      </c>
      <c r="GJ59" s="39">
        <f>SUMIFS(Lançamentos!$G:$G,Lançamentos!$A:$A,GJ$19,Lançamentos!$C:$C,"Treinamento e Capacitação")</f>
        <v>0</v>
      </c>
      <c r="GK59" s="39">
        <f>SUMIFS(Lançamentos!$G:$G,Lançamentos!$A:$A,GK$19,Lançamentos!$C:$C,"Treinamento e Capacitação")</f>
        <v>0</v>
      </c>
      <c r="GL59" s="39">
        <f>SUMIFS(Lançamentos!$G:$G,Lançamentos!$A:$A,GL$19,Lançamentos!$C:$C,"Treinamento e Capacitação")</f>
        <v>0</v>
      </c>
      <c r="GM59" s="39">
        <f>SUMIFS(Lançamentos!$G:$G,Lançamentos!$A:$A,GM$19,Lançamentos!$C:$C,"Treinamento e Capacitação")</f>
        <v>0</v>
      </c>
      <c r="GN59" s="39">
        <f>SUMIFS(Lançamentos!$G:$G,Lançamentos!$A:$A,GN$19,Lançamentos!$C:$C,"Treinamento e Capacitação")</f>
        <v>0</v>
      </c>
      <c r="GO59" s="39">
        <f>SUMIFS(Lançamentos!$G:$G,Lançamentos!$A:$A,GO$19,Lançamentos!$C:$C,"Treinamento e Capacitação")</f>
        <v>0</v>
      </c>
      <c r="GP59" s="39">
        <f>SUMIFS(Lançamentos!$G:$G,Lançamentos!$A:$A,GP$19,Lançamentos!$C:$C,"Treinamento e Capacitação")</f>
        <v>0</v>
      </c>
      <c r="GQ59" s="39">
        <f>SUMIFS(Lançamentos!$G:$G,Lançamentos!$A:$A,GQ$19,Lançamentos!$C:$C,"Treinamento e Capacitação")</f>
        <v>0</v>
      </c>
      <c r="GR59" s="39">
        <f>SUMIFS(Lançamentos!$G:$G,Lançamentos!$A:$A,GR$19,Lançamentos!$C:$C,"Treinamento e Capacitação")</f>
        <v>0</v>
      </c>
      <c r="GS59" s="39">
        <f>SUMIFS(Lançamentos!$G:$G,Lançamentos!$A:$A,GS$19,Lançamentos!$C:$C,"Treinamento e Capacitação")</f>
        <v>0</v>
      </c>
      <c r="GT59" s="39">
        <f>SUMIFS(Lançamentos!$G:$G,Lançamentos!$A:$A,GT$19,Lançamentos!$C:$C,"Treinamento e Capacitação")</f>
        <v>0</v>
      </c>
      <c r="GU59" s="39">
        <f>SUMIFS(Lançamentos!$G:$G,Lançamentos!$A:$A,GU$19,Lançamentos!$C:$C,"Treinamento e Capacitação")</f>
        <v>0</v>
      </c>
      <c r="GV59" s="39">
        <f>SUMIFS(Lançamentos!$G:$G,Lançamentos!$A:$A,GV$19,Lançamentos!$C:$C,"Treinamento e Capacitação")</f>
        <v>0</v>
      </c>
      <c r="GW59" s="39">
        <f>SUMIFS(Lançamentos!$G:$G,Lançamentos!$A:$A,GW$19,Lançamentos!$C:$C,"Treinamento e Capacitação")</f>
        <v>0</v>
      </c>
      <c r="GX59" s="39">
        <f>SUMIFS(Lançamentos!$G:$G,Lançamentos!$A:$A,GX$19,Lançamentos!$C:$C,"Treinamento e Capacitação")</f>
        <v>0</v>
      </c>
      <c r="GY59" s="39">
        <f>SUMIFS(Lançamentos!$G:$G,Lançamentos!$A:$A,GY$19,Lançamentos!$C:$C,"Treinamento e Capacitação")</f>
        <v>0</v>
      </c>
      <c r="GZ59" s="39">
        <f>SUMIFS(Lançamentos!$G:$G,Lançamentos!$A:$A,GZ$19,Lançamentos!$C:$C,"Treinamento e Capacitação")</f>
        <v>0</v>
      </c>
      <c r="HA59" s="39">
        <f>SUMIFS(Lançamentos!$G:$G,Lançamentos!$A:$A,HA$19,Lançamentos!$C:$C,"Treinamento e Capacitação")</f>
        <v>0</v>
      </c>
      <c r="HB59" s="39">
        <f>SUMIFS(Lançamentos!$G:$G,Lançamentos!$A:$A,HB$19,Lançamentos!$C:$C,"Treinamento e Capacitação")</f>
        <v>0</v>
      </c>
      <c r="HC59" s="39">
        <f>SUMIFS(Lançamentos!$G:$G,Lançamentos!$A:$A,HC$19,Lançamentos!$C:$C,"Treinamento e Capacitação")</f>
        <v>0</v>
      </c>
      <c r="HD59" s="39">
        <f>SUMIFS(Lançamentos!$G:$G,Lançamentos!$A:$A,HD$19,Lançamentos!$C:$C,"Treinamento e Capacitação")</f>
        <v>0</v>
      </c>
      <c r="HE59" s="39">
        <f>SUMIFS(Lançamentos!$G:$G,Lançamentos!$A:$A,HE$19,Lançamentos!$C:$C,"Treinamento e Capacitação")</f>
        <v>0</v>
      </c>
      <c r="HF59" s="39">
        <f>SUMIFS(Lançamentos!$G:$G,Lançamentos!$A:$A,HF$19,Lançamentos!$C:$C,"Treinamento e Capacitação")</f>
        <v>0</v>
      </c>
      <c r="HG59" s="39">
        <f>SUMIFS(Lançamentos!$G:$G,Lançamentos!$A:$A,HG$19,Lançamentos!$C:$C,"Treinamento e Capacitação")</f>
        <v>0</v>
      </c>
      <c r="HH59" s="39">
        <f>SUMIFS(Lançamentos!$G:$G,Lançamentos!$A:$A,HH$19,Lançamentos!$C:$C,"Treinamento e Capacitação")</f>
        <v>0</v>
      </c>
      <c r="HI59" s="39">
        <f>SUMIFS(Lançamentos!$G:$G,Lançamentos!$A:$A,HI$19,Lançamentos!$C:$C,"Treinamento e Capacitação")</f>
        <v>0</v>
      </c>
      <c r="HJ59" s="39">
        <f>SUMIFS(Lançamentos!$G:$G,Lançamentos!$A:$A,HJ$19,Lançamentos!$C:$C,"Treinamento e Capacitação")</f>
        <v>0</v>
      </c>
      <c r="HK59" s="39">
        <f>SUMIFS(Lançamentos!$G:$G,Lançamentos!$A:$A,HK$19,Lançamentos!$C:$C,"Treinamento e Capacitação")</f>
        <v>0</v>
      </c>
      <c r="HL59" s="39">
        <f>SUMIFS(Lançamentos!$G:$G,Lançamentos!$A:$A,HL$19,Lançamentos!$C:$C,"Treinamento e Capacitação")</f>
        <v>0</v>
      </c>
      <c r="HM59" s="39">
        <f>SUMIFS(Lançamentos!$G:$G,Lançamentos!$A:$A,HM$19,Lançamentos!$C:$C,"Treinamento e Capacitação")</f>
        <v>0</v>
      </c>
      <c r="HN59" s="39">
        <f>SUMIFS(Lançamentos!$G:$G,Lançamentos!$A:$A,HN$19,Lançamentos!$C:$C,"Treinamento e Capacitação")</f>
        <v>0</v>
      </c>
      <c r="HO59" s="39">
        <f>SUMIFS(Lançamentos!$G:$G,Lançamentos!$A:$A,HO$19,Lançamentos!$C:$C,"Treinamento e Capacitação")</f>
        <v>0</v>
      </c>
      <c r="HP59" s="39">
        <f>SUMIFS(Lançamentos!$G:$G,Lançamentos!$A:$A,HP$19,Lançamentos!$C:$C,"Treinamento e Capacitação")</f>
        <v>0</v>
      </c>
      <c r="HQ59" s="39">
        <f>SUMIFS(Lançamentos!$G:$G,Lançamentos!$A:$A,HQ$19,Lançamentos!$C:$C,"Treinamento e Capacitação")</f>
        <v>0</v>
      </c>
      <c r="HR59" s="39">
        <f>SUMIFS(Lançamentos!$G:$G,Lançamentos!$A:$A,HR$19,Lançamentos!$C:$C,"Treinamento e Capacitação")</f>
        <v>0</v>
      </c>
      <c r="HS59" s="39">
        <f>SUMIFS(Lançamentos!$G:$G,Lançamentos!$A:$A,HS$19,Lançamentos!$C:$C,"Treinamento e Capacitação")</f>
        <v>0</v>
      </c>
      <c r="HT59" s="39">
        <f>SUMIFS(Lançamentos!$G:$G,Lançamentos!$A:$A,HT$19,Lançamentos!$C:$C,"Treinamento e Capacitação")</f>
        <v>0</v>
      </c>
      <c r="HU59" s="39">
        <f>SUMIFS(Lançamentos!$G:$G,Lançamentos!$A:$A,HU$19,Lançamentos!$C:$C,"Treinamento e Capacitação")</f>
        <v>0</v>
      </c>
      <c r="HV59" s="39">
        <f>SUMIFS(Lançamentos!$G:$G,Lançamentos!$A:$A,HV$19,Lançamentos!$C:$C,"Treinamento e Capacitação")</f>
        <v>0</v>
      </c>
      <c r="HW59" s="39">
        <f>SUMIFS(Lançamentos!$G:$G,Lançamentos!$A:$A,HW$19,Lançamentos!$C:$C,"Treinamento e Capacitação")</f>
        <v>0</v>
      </c>
      <c r="HX59" s="39">
        <f>SUMIFS(Lançamentos!$G:$G,Lançamentos!$A:$A,HX$19,Lançamentos!$C:$C,"Treinamento e Capacitação")</f>
        <v>0</v>
      </c>
      <c r="HY59" s="39">
        <f>SUMIFS(Lançamentos!$G:$G,Lançamentos!$A:$A,HY$19,Lançamentos!$C:$C,"Treinamento e Capacitação")</f>
        <v>0</v>
      </c>
      <c r="HZ59" s="39">
        <f>SUMIFS(Lançamentos!$G:$G,Lançamentos!$A:$A,HZ$19,Lançamentos!$C:$C,"Treinamento e Capacitação")</f>
        <v>0</v>
      </c>
      <c r="IA59" s="39">
        <f>SUMIFS(Lançamentos!$G:$G,Lançamentos!$A:$A,IA$19,Lançamentos!$C:$C,"Treinamento e Capacitação")</f>
        <v>0</v>
      </c>
      <c r="IB59" s="39">
        <f>SUMIFS(Lançamentos!$G:$G,Lançamentos!$A:$A,IB$19,Lançamentos!$C:$C,"Treinamento e Capacitação")</f>
        <v>0</v>
      </c>
      <c r="IC59" s="39">
        <f>SUMIFS(Lançamentos!$G:$G,Lançamentos!$A:$A,IC$19,Lançamentos!$C:$C,"Treinamento e Capacitação")</f>
        <v>0</v>
      </c>
      <c r="ID59" s="39">
        <f>SUMIFS(Lançamentos!$G:$G,Lançamentos!$A:$A,ID$19,Lançamentos!$C:$C,"Treinamento e Capacitação")</f>
        <v>0</v>
      </c>
      <c r="IE59" s="39">
        <f>SUMIFS(Lançamentos!$G:$G,Lançamentos!$A:$A,IE$19,Lançamentos!$C:$C,"Treinamento e Capacitação")</f>
        <v>0</v>
      </c>
      <c r="IF59" s="39">
        <f>SUMIFS(Lançamentos!$G:$G,Lançamentos!$A:$A,IF$19,Lançamentos!$C:$C,"Treinamento e Capacitação")</f>
        <v>0</v>
      </c>
      <c r="IG59" s="39">
        <f>SUMIFS(Lançamentos!$G:$G,Lançamentos!$A:$A,IG$19,Lançamentos!$C:$C,"Treinamento e Capacitação")</f>
        <v>0</v>
      </c>
      <c r="IH59" s="39">
        <f>SUMIFS(Lançamentos!$G:$G,Lançamentos!$A:$A,IH$19,Lançamentos!$C:$C,"Treinamento e Capacitação")</f>
        <v>0</v>
      </c>
      <c r="II59" s="39">
        <f>SUMIFS(Lançamentos!$G:$G,Lançamentos!$A:$A,II$19,Lançamentos!$C:$C,"Treinamento e Capacitação")</f>
        <v>0</v>
      </c>
      <c r="IJ59" s="39">
        <f>SUMIFS(Lançamentos!$G:$G,Lançamentos!$A:$A,IJ$19,Lançamentos!$C:$C,"Treinamento e Capacitação")</f>
        <v>0</v>
      </c>
      <c r="IK59" s="39">
        <f>SUMIFS(Lançamentos!$G:$G,Lançamentos!$A:$A,IK$19,Lançamentos!$C:$C,"Treinamento e Capacitação")</f>
        <v>0</v>
      </c>
      <c r="IL59" s="39">
        <f>SUMIFS(Lançamentos!$G:$G,Lançamentos!$A:$A,IL$19,Lançamentos!$C:$C,"Treinamento e Capacitação")</f>
        <v>0</v>
      </c>
    </row>
    <row r="60" spans="1:246" x14ac:dyDescent="0.3">
      <c r="A60" t="s">
        <v>105</v>
      </c>
      <c r="B60" s="39">
        <f>SUMIFS(Lançamentos!$G:$G,Lançamentos!$A:$A,B$19,Lançamentos!$C:$C,"Honorários Contábeis")</f>
        <v>0</v>
      </c>
      <c r="C60" s="39">
        <f>SUMIFS(Lançamentos!$G:$G,Lançamentos!$A:$A,C$19,Lançamentos!$C:$C,"Honorários Contábeis")</f>
        <v>0</v>
      </c>
      <c r="D60" s="39">
        <f>SUMIFS(Lançamentos!$G:$G,Lançamentos!$A:$A,D$19,Lançamentos!$C:$C,"Honorários Contábeis")</f>
        <v>0</v>
      </c>
      <c r="E60" s="39">
        <f>SUMIFS(Lançamentos!$G:$G,Lançamentos!$A:$A,E$19,Lançamentos!$C:$C,"Honorários Contábeis")</f>
        <v>0</v>
      </c>
      <c r="F60" s="39">
        <f>SUMIFS(Lançamentos!$G:$G,Lançamentos!$A:$A,F$19,Lançamentos!$C:$C,"Honorários Contábeis")</f>
        <v>0</v>
      </c>
      <c r="G60" s="39">
        <f>SUMIFS(Lançamentos!$G:$G,Lançamentos!$A:$A,G$19,Lançamentos!$C:$C,"Honorários Contábeis")</f>
        <v>0</v>
      </c>
      <c r="H60" s="39">
        <f>SUMIFS(Lançamentos!$G:$G,Lançamentos!$A:$A,H$19,Lançamentos!$C:$C,"Honorários Contábeis")</f>
        <v>0</v>
      </c>
      <c r="I60" s="39">
        <f>SUMIFS(Lançamentos!$G:$G,Lançamentos!$A:$A,I$19,Lançamentos!$C:$C,"Honorários Contábeis")</f>
        <v>0</v>
      </c>
      <c r="J60" s="39">
        <f>SUMIFS(Lançamentos!$G:$G,Lançamentos!$A:$A,J$19,Lançamentos!$C:$C,"Honorários Contábeis")</f>
        <v>0</v>
      </c>
      <c r="K60" s="39">
        <f>SUMIFS(Lançamentos!$G:$G,Lançamentos!$A:$A,K$19,Lançamentos!$C:$C,"Honorários Contábeis")</f>
        <v>0</v>
      </c>
      <c r="L60" s="39">
        <f>SUMIFS(Lançamentos!$G:$G,Lançamentos!$A:$A,L$19,Lançamentos!$C:$C,"Honorários Contábeis")</f>
        <v>0</v>
      </c>
      <c r="M60" s="39">
        <f>SUMIFS(Lançamentos!$G:$G,Lançamentos!$A:$A,M$19,Lançamentos!$C:$C,"Honorários Contábeis")</f>
        <v>0</v>
      </c>
      <c r="N60" s="39">
        <f>SUMIFS(Lançamentos!$G:$G,Lançamentos!$A:$A,N$19,Lançamentos!$C:$C,"Honorários Contábeis")</f>
        <v>0</v>
      </c>
      <c r="O60" s="39">
        <f>SUMIFS(Lançamentos!$G:$G,Lançamentos!$A:$A,O$19,Lançamentos!$C:$C,"Honorários Contábeis")</f>
        <v>0</v>
      </c>
      <c r="P60" s="39">
        <f>SUMIFS(Lançamentos!$G:$G,Lançamentos!$A:$A,P$19,Lançamentos!$C:$C,"Honorários Contábeis")</f>
        <v>0</v>
      </c>
      <c r="Q60" s="39">
        <f>SUMIFS(Lançamentos!$G:$G,Lançamentos!$A:$A,Q$19,Lançamentos!$C:$C,"Honorários Contábeis")</f>
        <v>0</v>
      </c>
      <c r="R60" s="39">
        <f>SUMIFS(Lançamentos!$G:$G,Lançamentos!$A:$A,R$19,Lançamentos!$C:$C,"Honorários Contábeis")</f>
        <v>0</v>
      </c>
      <c r="S60" s="39">
        <f>SUMIFS(Lançamentos!$G:$G,Lançamentos!$A:$A,S$19,Lançamentos!$C:$C,"Honorários Contábeis")</f>
        <v>0</v>
      </c>
      <c r="T60" s="39">
        <f>SUMIFS(Lançamentos!$G:$G,Lançamentos!$A:$A,T$19,Lançamentos!$C:$C,"Honorários Contábeis")</f>
        <v>0</v>
      </c>
      <c r="U60" s="39">
        <f>SUMIFS(Lançamentos!$G:$G,Lançamentos!$A:$A,U$19,Lançamentos!$C:$C,"Honorários Contábeis")</f>
        <v>0</v>
      </c>
      <c r="V60" s="39">
        <f>SUMIFS(Lançamentos!$G:$G,Lançamentos!$A:$A,V$19,Lançamentos!$C:$C,"Honorários Contábeis")</f>
        <v>0</v>
      </c>
      <c r="W60" s="39">
        <f>SUMIFS(Lançamentos!$G:$G,Lançamentos!$A:$A,W$19,Lançamentos!$C:$C,"Honorários Contábeis")</f>
        <v>0</v>
      </c>
      <c r="X60" s="39">
        <f>SUMIFS(Lançamentos!$G:$G,Lançamentos!$A:$A,X$19,Lançamentos!$C:$C,"Honorários Contábeis")</f>
        <v>0</v>
      </c>
      <c r="Y60" s="39">
        <f>SUMIFS(Lançamentos!$G:$G,Lançamentos!$A:$A,Y$19,Lançamentos!$C:$C,"Honorários Contábeis")</f>
        <v>0</v>
      </c>
      <c r="Z60" s="39">
        <f>SUMIFS(Lançamentos!$G:$G,Lançamentos!$A:$A,Z$19,Lançamentos!$C:$C,"Honorários Contábeis")</f>
        <v>0</v>
      </c>
      <c r="AA60" s="39">
        <f>SUMIFS(Lançamentos!$G:$G,Lançamentos!$A:$A,AA$19,Lançamentos!$C:$C,"Honorários Contábeis")</f>
        <v>0</v>
      </c>
      <c r="AB60" s="39">
        <f>SUMIFS(Lançamentos!$G:$G,Lançamentos!$A:$A,AB$19,Lançamentos!$C:$C,"Honorários Contábeis")</f>
        <v>0</v>
      </c>
      <c r="AC60" s="39">
        <f>SUMIFS(Lançamentos!$G:$G,Lançamentos!$A:$A,AC$19,Lançamentos!$C:$C,"Honorários Contábeis")</f>
        <v>0</v>
      </c>
      <c r="AD60" s="39">
        <f>SUMIFS(Lançamentos!$G:$G,Lançamentos!$A:$A,AD$19,Lançamentos!$C:$C,"Honorários Contábeis")</f>
        <v>0</v>
      </c>
      <c r="AE60" s="39">
        <f>SUMIFS(Lançamentos!$G:$G,Lançamentos!$A:$A,AE$19,Lançamentos!$C:$C,"Honorários Contábeis")</f>
        <v>0</v>
      </c>
      <c r="AF60" s="39">
        <f>SUMIFS(Lançamentos!$G:$G,Lançamentos!$A:$A,AF$19,Lançamentos!$C:$C,"Honorários Contábeis")</f>
        <v>0</v>
      </c>
      <c r="AG60" s="39">
        <f>SUMIFS(Lançamentos!$G:$G,Lançamentos!$A:$A,AG$19,Lançamentos!$C:$C,"Honorários Contábeis")</f>
        <v>0</v>
      </c>
      <c r="AH60" s="39">
        <f>SUMIFS(Lançamentos!$G:$G,Lançamentos!$A:$A,AH$19,Lançamentos!$C:$C,"Honorários Contábeis")</f>
        <v>0</v>
      </c>
      <c r="AI60" s="39">
        <f>SUMIFS(Lançamentos!$G:$G,Lançamentos!$A:$A,AI$19,Lançamentos!$C:$C,"Honorários Contábeis")</f>
        <v>0</v>
      </c>
      <c r="AJ60" s="39">
        <f>SUMIFS(Lançamentos!$G:$G,Lançamentos!$A:$A,AJ$19,Lançamentos!$C:$C,"Honorários Contábeis")</f>
        <v>0</v>
      </c>
      <c r="AK60" s="39">
        <f>SUMIFS(Lançamentos!$G:$G,Lançamentos!$A:$A,AK$19,Lançamentos!$C:$C,"Honorários Contábeis")</f>
        <v>0</v>
      </c>
      <c r="AL60" s="39">
        <f>SUMIFS(Lançamentos!$G:$G,Lançamentos!$A:$A,AL$19,Lançamentos!$C:$C,"Honorários Contábeis")</f>
        <v>0</v>
      </c>
      <c r="AM60" s="39">
        <f>SUMIFS(Lançamentos!$G:$G,Lançamentos!$A:$A,AM$19,Lançamentos!$C:$C,"Honorários Contábeis")</f>
        <v>0</v>
      </c>
      <c r="AN60" s="39">
        <f>SUMIFS(Lançamentos!$G:$G,Lançamentos!$A:$A,AN$19,Lançamentos!$C:$C,"Honorários Contábeis")</f>
        <v>0</v>
      </c>
      <c r="AO60" s="39">
        <f>SUMIFS(Lançamentos!$G:$G,Lançamentos!$A:$A,AO$19,Lançamentos!$C:$C,"Honorários Contábeis")</f>
        <v>0</v>
      </c>
      <c r="AP60" s="39">
        <f>SUMIFS(Lançamentos!$G:$G,Lançamentos!$A:$A,AP$19,Lançamentos!$C:$C,"Honorários Contábeis")</f>
        <v>0</v>
      </c>
      <c r="AQ60" s="39">
        <f>SUMIFS(Lançamentos!$G:$G,Lançamentos!$A:$A,AQ$19,Lançamentos!$C:$C,"Honorários Contábeis")</f>
        <v>0</v>
      </c>
      <c r="AR60" s="39">
        <f>SUMIFS(Lançamentos!$G:$G,Lançamentos!$A:$A,AR$19,Lançamentos!$C:$C,"Honorários Contábeis")</f>
        <v>0</v>
      </c>
      <c r="AS60" s="39">
        <f>SUMIFS(Lançamentos!$G:$G,Lançamentos!$A:$A,AS$19,Lançamentos!$C:$C,"Honorários Contábeis")</f>
        <v>0</v>
      </c>
      <c r="AT60" s="39">
        <f>SUMIFS(Lançamentos!$G:$G,Lançamentos!$A:$A,AT$19,Lançamentos!$C:$C,"Honorários Contábeis")</f>
        <v>0</v>
      </c>
      <c r="AU60" s="39">
        <f>SUMIFS(Lançamentos!$G:$G,Lançamentos!$A:$A,AU$19,Lançamentos!$C:$C,"Honorários Contábeis")</f>
        <v>0</v>
      </c>
      <c r="AV60" s="39">
        <f>SUMIFS(Lançamentos!$G:$G,Lançamentos!$A:$A,AV$19,Lançamentos!$C:$C,"Honorários Contábeis")</f>
        <v>0</v>
      </c>
      <c r="AW60" s="39">
        <f>SUMIFS(Lançamentos!$G:$G,Lançamentos!$A:$A,AW$19,Lançamentos!$C:$C,"Honorários Contábeis")</f>
        <v>0</v>
      </c>
      <c r="AX60" s="39">
        <f>SUMIFS(Lançamentos!$G:$G,Lançamentos!$A:$A,AX$19,Lançamentos!$C:$C,"Honorários Contábeis")</f>
        <v>0</v>
      </c>
      <c r="AY60" s="39">
        <f>SUMIFS(Lançamentos!$G:$G,Lançamentos!$A:$A,AY$19,Lançamentos!$C:$C,"Honorários Contábeis")</f>
        <v>0</v>
      </c>
      <c r="AZ60" s="39">
        <f>SUMIFS(Lançamentos!$G:$G,Lançamentos!$A:$A,AZ$19,Lançamentos!$C:$C,"Honorários Contábeis")</f>
        <v>0</v>
      </c>
      <c r="BA60" s="39">
        <f>SUMIFS(Lançamentos!$G:$G,Lançamentos!$A:$A,BA$19,Lançamentos!$C:$C,"Honorários Contábeis")</f>
        <v>0</v>
      </c>
      <c r="BB60" s="39">
        <f>SUMIFS(Lançamentos!$G:$G,Lançamentos!$A:$A,BB$19,Lançamentos!$C:$C,"Honorários Contábeis")</f>
        <v>0</v>
      </c>
      <c r="BC60" s="39">
        <f>SUMIFS(Lançamentos!$G:$G,Lançamentos!$A:$A,BC$19,Lançamentos!$C:$C,"Honorários Contábeis")</f>
        <v>0</v>
      </c>
      <c r="BD60" s="39">
        <f>SUMIFS(Lançamentos!$G:$G,Lançamentos!$A:$A,BD$19,Lançamentos!$C:$C,"Honorários Contábeis")</f>
        <v>0</v>
      </c>
      <c r="BE60" s="39">
        <f>SUMIFS(Lançamentos!$G:$G,Lançamentos!$A:$A,BE$19,Lançamentos!$C:$C,"Honorários Contábeis")</f>
        <v>0</v>
      </c>
      <c r="BF60" s="39">
        <f>SUMIFS(Lançamentos!$G:$G,Lançamentos!$A:$A,BF$19,Lançamentos!$C:$C,"Honorários Contábeis")</f>
        <v>0</v>
      </c>
      <c r="BG60" s="39">
        <f>SUMIFS(Lançamentos!$G:$G,Lançamentos!$A:$A,BG$19,Lançamentos!$C:$C,"Honorários Contábeis")</f>
        <v>0</v>
      </c>
      <c r="BH60" s="39">
        <f>SUMIFS(Lançamentos!$G:$G,Lançamentos!$A:$A,BH$19,Lançamentos!$C:$C,"Honorários Contábeis")</f>
        <v>0</v>
      </c>
      <c r="BI60" s="39">
        <f>SUMIFS(Lançamentos!$G:$G,Lançamentos!$A:$A,BI$19,Lançamentos!$C:$C,"Honorários Contábeis")</f>
        <v>0</v>
      </c>
      <c r="BJ60" s="39">
        <f>SUMIFS(Lançamentos!$G:$G,Lançamentos!$A:$A,BJ$19,Lançamentos!$C:$C,"Honorários Contábeis")</f>
        <v>0</v>
      </c>
      <c r="BK60" s="39">
        <f>SUMIFS(Lançamentos!$G:$G,Lançamentos!$A:$A,BK$19,Lançamentos!$C:$C,"Honorários Contábeis")</f>
        <v>0</v>
      </c>
      <c r="BL60" s="39">
        <f>SUMIFS(Lançamentos!$G:$G,Lançamentos!$A:$A,BL$19,Lançamentos!$C:$C,"Honorários Contábeis")</f>
        <v>0</v>
      </c>
      <c r="BM60" s="39">
        <f>SUMIFS(Lançamentos!$G:$G,Lançamentos!$A:$A,BM$19,Lançamentos!$C:$C,"Honorários Contábeis")</f>
        <v>0</v>
      </c>
      <c r="BN60" s="39">
        <f>SUMIFS(Lançamentos!$G:$G,Lançamentos!$A:$A,BN$19,Lançamentos!$C:$C,"Honorários Contábeis")</f>
        <v>0</v>
      </c>
      <c r="BO60" s="39">
        <f>SUMIFS(Lançamentos!$G:$G,Lançamentos!$A:$A,BO$19,Lançamentos!$C:$C,"Honorários Contábeis")</f>
        <v>0</v>
      </c>
      <c r="BP60" s="39">
        <f>SUMIFS(Lançamentos!$G:$G,Lançamentos!$A:$A,BP$19,Lançamentos!$C:$C,"Honorários Contábeis")</f>
        <v>0</v>
      </c>
      <c r="BQ60" s="39">
        <f>SUMIFS(Lançamentos!$G:$G,Lançamentos!$A:$A,BQ$19,Lançamentos!$C:$C,"Honorários Contábeis")</f>
        <v>0</v>
      </c>
      <c r="BR60" s="39">
        <f>SUMIFS(Lançamentos!$G:$G,Lançamentos!$A:$A,BR$19,Lançamentos!$C:$C,"Honorários Contábeis")</f>
        <v>0</v>
      </c>
      <c r="BS60" s="39">
        <f>SUMIFS(Lançamentos!$G:$G,Lançamentos!$A:$A,BS$19,Lançamentos!$C:$C,"Honorários Contábeis")</f>
        <v>0</v>
      </c>
      <c r="BT60" s="39">
        <f>SUMIFS(Lançamentos!$G:$G,Lançamentos!$A:$A,BT$19,Lançamentos!$C:$C,"Honorários Contábeis")</f>
        <v>0</v>
      </c>
      <c r="BU60" s="39">
        <f>SUMIFS(Lançamentos!$G:$G,Lançamentos!$A:$A,BU$19,Lançamentos!$C:$C,"Honorários Contábeis")</f>
        <v>0</v>
      </c>
      <c r="BV60" s="39">
        <f>SUMIFS(Lançamentos!$G:$G,Lançamentos!$A:$A,BV$19,Lançamentos!$C:$C,"Honorários Contábeis")</f>
        <v>0</v>
      </c>
      <c r="BW60" s="39">
        <f>SUMIFS(Lançamentos!$G:$G,Lançamentos!$A:$A,BW$19,Lançamentos!$C:$C,"Honorários Contábeis")</f>
        <v>0</v>
      </c>
      <c r="BX60" s="39">
        <f>SUMIFS(Lançamentos!$G:$G,Lançamentos!$A:$A,BX$19,Lançamentos!$C:$C,"Honorários Contábeis")</f>
        <v>0</v>
      </c>
      <c r="BY60" s="39">
        <f>SUMIFS(Lançamentos!$G:$G,Lançamentos!$A:$A,BY$19,Lançamentos!$C:$C,"Honorários Contábeis")</f>
        <v>0</v>
      </c>
      <c r="BZ60" s="39">
        <f>SUMIFS(Lançamentos!$G:$G,Lançamentos!$A:$A,BZ$19,Lançamentos!$C:$C,"Honorários Contábeis")</f>
        <v>0</v>
      </c>
      <c r="CA60" s="39">
        <f>SUMIFS(Lançamentos!$G:$G,Lançamentos!$A:$A,CA$19,Lançamentos!$C:$C,"Honorários Contábeis")</f>
        <v>0</v>
      </c>
      <c r="CB60" s="39">
        <f>SUMIFS(Lançamentos!$G:$G,Lançamentos!$A:$A,CB$19,Lançamentos!$C:$C,"Honorários Contábeis")</f>
        <v>0</v>
      </c>
      <c r="CC60" s="39">
        <f>SUMIFS(Lançamentos!$G:$G,Lançamentos!$A:$A,CC$19,Lançamentos!$C:$C,"Honorários Contábeis")</f>
        <v>0</v>
      </c>
      <c r="CD60" s="39">
        <f>SUMIFS(Lançamentos!$G:$G,Lançamentos!$A:$A,CD$19,Lançamentos!$C:$C,"Honorários Contábeis")</f>
        <v>0</v>
      </c>
      <c r="CE60" s="39">
        <f>SUMIFS(Lançamentos!$G:$G,Lançamentos!$A:$A,CE$19,Lançamentos!$C:$C,"Honorários Contábeis")</f>
        <v>0</v>
      </c>
      <c r="CF60" s="39">
        <f>SUMIFS(Lançamentos!$G:$G,Lançamentos!$A:$A,CF$19,Lançamentos!$C:$C,"Honorários Contábeis")</f>
        <v>0</v>
      </c>
      <c r="CG60" s="39">
        <f>SUMIFS(Lançamentos!$G:$G,Lançamentos!$A:$A,CG$19,Lançamentos!$C:$C,"Honorários Contábeis")</f>
        <v>0</v>
      </c>
      <c r="CH60" s="39">
        <f>SUMIFS(Lançamentos!$G:$G,Lançamentos!$A:$A,CH$19,Lançamentos!$C:$C,"Honorários Contábeis")</f>
        <v>0</v>
      </c>
      <c r="CI60" s="39">
        <f>SUMIFS(Lançamentos!$G:$G,Lançamentos!$A:$A,CI$19,Lançamentos!$C:$C,"Honorários Contábeis")</f>
        <v>0</v>
      </c>
      <c r="CJ60" s="39">
        <f>SUMIFS(Lançamentos!$G:$G,Lançamentos!$A:$A,CJ$19,Lançamentos!$C:$C,"Honorários Contábeis")</f>
        <v>0</v>
      </c>
      <c r="CK60" s="39">
        <f>SUMIFS(Lançamentos!$G:$G,Lançamentos!$A:$A,CK$19,Lançamentos!$C:$C,"Honorários Contábeis")</f>
        <v>0</v>
      </c>
      <c r="CL60" s="39">
        <f>SUMIFS(Lançamentos!$G:$G,Lançamentos!$A:$A,CL$19,Lançamentos!$C:$C,"Honorários Contábeis")</f>
        <v>0</v>
      </c>
      <c r="CM60" s="39">
        <f>SUMIFS(Lançamentos!$G:$G,Lançamentos!$A:$A,CM$19,Lançamentos!$C:$C,"Honorários Contábeis")</f>
        <v>0</v>
      </c>
      <c r="CN60" s="39">
        <f>SUMIFS(Lançamentos!$G:$G,Lançamentos!$A:$A,CN$19,Lançamentos!$C:$C,"Honorários Contábeis")</f>
        <v>0</v>
      </c>
      <c r="CO60" s="39">
        <f>SUMIFS(Lançamentos!$G:$G,Lançamentos!$A:$A,CO$19,Lançamentos!$C:$C,"Honorários Contábeis")</f>
        <v>0</v>
      </c>
      <c r="CP60" s="39">
        <f>SUMIFS(Lançamentos!$G:$G,Lançamentos!$A:$A,CP$19,Lançamentos!$C:$C,"Honorários Contábeis")</f>
        <v>0</v>
      </c>
      <c r="CQ60" s="39">
        <f>SUMIFS(Lançamentos!$G:$G,Lançamentos!$A:$A,CQ$19,Lançamentos!$C:$C,"Honorários Contábeis")</f>
        <v>0</v>
      </c>
      <c r="CR60" s="39">
        <f>SUMIFS(Lançamentos!$G:$G,Lançamentos!$A:$A,CR$19,Lançamentos!$C:$C,"Honorários Contábeis")</f>
        <v>0</v>
      </c>
      <c r="CS60" s="39">
        <f>SUMIFS(Lançamentos!$G:$G,Lançamentos!$A:$A,CS$19,Lançamentos!$C:$C,"Honorários Contábeis")</f>
        <v>0</v>
      </c>
      <c r="CT60" s="39">
        <f>SUMIFS(Lançamentos!$G:$G,Lançamentos!$A:$A,CT$19,Lançamentos!$C:$C,"Honorários Contábeis")</f>
        <v>0</v>
      </c>
      <c r="CU60" s="39">
        <f>SUMIFS(Lançamentos!$G:$G,Lançamentos!$A:$A,CU$19,Lançamentos!$C:$C,"Honorários Contábeis")</f>
        <v>0</v>
      </c>
      <c r="CV60" s="39">
        <f>SUMIFS(Lançamentos!$G:$G,Lançamentos!$A:$A,CV$19,Lançamentos!$C:$C,"Honorários Contábeis")</f>
        <v>0</v>
      </c>
      <c r="CW60" s="39">
        <f>SUMIFS(Lançamentos!$G:$G,Lançamentos!$A:$A,CW$19,Lançamentos!$C:$C,"Honorários Contábeis")</f>
        <v>0</v>
      </c>
      <c r="CX60" s="39">
        <f>SUMIFS(Lançamentos!$G:$G,Lançamentos!$A:$A,CX$19,Lançamentos!$C:$C,"Honorários Contábeis")</f>
        <v>0</v>
      </c>
      <c r="CY60" s="39">
        <f>SUMIFS(Lançamentos!$G:$G,Lançamentos!$A:$A,CY$19,Lançamentos!$C:$C,"Honorários Contábeis")</f>
        <v>0</v>
      </c>
      <c r="CZ60" s="39">
        <f>SUMIFS(Lançamentos!$G:$G,Lançamentos!$A:$A,CZ$19,Lançamentos!$C:$C,"Honorários Contábeis")</f>
        <v>0</v>
      </c>
      <c r="DA60" s="39">
        <f>SUMIFS(Lançamentos!$G:$G,Lançamentos!$A:$A,DA$19,Lançamentos!$C:$C,"Honorários Contábeis")</f>
        <v>0</v>
      </c>
      <c r="DB60" s="39">
        <f>SUMIFS(Lançamentos!$G:$G,Lançamentos!$A:$A,DB$19,Lançamentos!$C:$C,"Honorários Contábeis")</f>
        <v>0</v>
      </c>
      <c r="DC60" s="39">
        <f>SUMIFS(Lançamentos!$G:$G,Lançamentos!$A:$A,DC$19,Lançamentos!$C:$C,"Honorários Contábeis")</f>
        <v>0</v>
      </c>
      <c r="DD60" s="39">
        <f>SUMIFS(Lançamentos!$G:$G,Lançamentos!$A:$A,DD$19,Lançamentos!$C:$C,"Honorários Contábeis")</f>
        <v>0</v>
      </c>
      <c r="DE60" s="39">
        <f>SUMIFS(Lançamentos!$G:$G,Lançamentos!$A:$A,DE$19,Lançamentos!$C:$C,"Honorários Contábeis")</f>
        <v>0</v>
      </c>
      <c r="DF60" s="39">
        <f>SUMIFS(Lançamentos!$G:$G,Lançamentos!$A:$A,DF$19,Lançamentos!$C:$C,"Honorários Contábeis")</f>
        <v>0</v>
      </c>
      <c r="DG60" s="39">
        <f>SUMIFS(Lançamentos!$G:$G,Lançamentos!$A:$A,DG$19,Lançamentos!$C:$C,"Honorários Contábeis")</f>
        <v>0</v>
      </c>
      <c r="DH60" s="39">
        <f>SUMIFS(Lançamentos!$G:$G,Lançamentos!$A:$A,DH$19,Lançamentos!$C:$C,"Honorários Contábeis")</f>
        <v>0</v>
      </c>
      <c r="DI60" s="39">
        <f>SUMIFS(Lançamentos!$G:$G,Lançamentos!$A:$A,DI$19,Lançamentos!$C:$C,"Honorários Contábeis")</f>
        <v>0</v>
      </c>
      <c r="DJ60" s="39">
        <f>SUMIFS(Lançamentos!$G:$G,Lançamentos!$A:$A,DJ$19,Lançamentos!$C:$C,"Honorários Contábeis")</f>
        <v>0</v>
      </c>
      <c r="DK60" s="39">
        <f>SUMIFS(Lançamentos!$G:$G,Lançamentos!$A:$A,DK$19,Lançamentos!$C:$C,"Honorários Contábeis")</f>
        <v>0</v>
      </c>
      <c r="DL60" s="39">
        <f>SUMIFS(Lançamentos!$G:$G,Lançamentos!$A:$A,DL$19,Lançamentos!$C:$C,"Honorários Contábeis")</f>
        <v>0</v>
      </c>
      <c r="DM60" s="39">
        <f>SUMIFS(Lançamentos!$G:$G,Lançamentos!$A:$A,DM$19,Lançamentos!$C:$C,"Honorários Contábeis")</f>
        <v>0</v>
      </c>
      <c r="DN60" s="39">
        <f>SUMIFS(Lançamentos!$G:$G,Lançamentos!$A:$A,DN$19,Lançamentos!$C:$C,"Honorários Contábeis")</f>
        <v>0</v>
      </c>
      <c r="DO60" s="39">
        <f>SUMIFS(Lançamentos!$G:$G,Lançamentos!$A:$A,DO$19,Lançamentos!$C:$C,"Honorários Contábeis")</f>
        <v>0</v>
      </c>
      <c r="DP60" s="39">
        <f>SUMIFS(Lançamentos!$G:$G,Lançamentos!$A:$A,DP$19,Lançamentos!$C:$C,"Honorários Contábeis")</f>
        <v>0</v>
      </c>
      <c r="DQ60" s="39">
        <f>SUMIFS(Lançamentos!$G:$G,Lançamentos!$A:$A,DQ$19,Lançamentos!$C:$C,"Honorários Contábeis")</f>
        <v>0</v>
      </c>
      <c r="DR60" s="39">
        <f>SUMIFS(Lançamentos!$G:$G,Lançamentos!$A:$A,DR$19,Lançamentos!$C:$C,"Honorários Contábeis")</f>
        <v>0</v>
      </c>
      <c r="DS60" s="39">
        <f>SUMIFS(Lançamentos!$G:$G,Lançamentos!$A:$A,DS$19,Lançamentos!$C:$C,"Honorários Contábeis")</f>
        <v>0</v>
      </c>
      <c r="DT60" s="39">
        <f>SUMIFS(Lançamentos!$G:$G,Lançamentos!$A:$A,DT$19,Lançamentos!$C:$C,"Honorários Contábeis")</f>
        <v>0</v>
      </c>
      <c r="DU60" s="39">
        <f>SUMIFS(Lançamentos!$G:$G,Lançamentos!$A:$A,DU$19,Lançamentos!$C:$C,"Honorários Contábeis")</f>
        <v>0</v>
      </c>
      <c r="DV60" s="39">
        <f>SUMIFS(Lançamentos!$G:$G,Lançamentos!$A:$A,DV$19,Lançamentos!$C:$C,"Honorários Contábeis")</f>
        <v>0</v>
      </c>
      <c r="DW60" s="39">
        <f>SUMIFS(Lançamentos!$G:$G,Lançamentos!$A:$A,DW$19,Lançamentos!$C:$C,"Honorários Contábeis")</f>
        <v>0</v>
      </c>
      <c r="DX60" s="39">
        <f>SUMIFS(Lançamentos!$G:$G,Lançamentos!$A:$A,DX$19,Lançamentos!$C:$C,"Honorários Contábeis")</f>
        <v>0</v>
      </c>
      <c r="DY60" s="39">
        <f>SUMIFS(Lançamentos!$G:$G,Lançamentos!$A:$A,DY$19,Lançamentos!$C:$C,"Honorários Contábeis")</f>
        <v>0</v>
      </c>
      <c r="DZ60" s="39">
        <f>SUMIFS(Lançamentos!$G:$G,Lançamentos!$A:$A,DZ$19,Lançamentos!$C:$C,"Honorários Contábeis")</f>
        <v>0</v>
      </c>
      <c r="EA60" s="39">
        <f>SUMIFS(Lançamentos!$G:$G,Lançamentos!$A:$A,EA$19,Lançamentos!$C:$C,"Honorários Contábeis")</f>
        <v>0</v>
      </c>
      <c r="EB60" s="39">
        <f>SUMIFS(Lançamentos!$G:$G,Lançamentos!$A:$A,EB$19,Lançamentos!$C:$C,"Honorários Contábeis")</f>
        <v>0</v>
      </c>
      <c r="EC60" s="39">
        <f>SUMIFS(Lançamentos!$G:$G,Lançamentos!$A:$A,EC$19,Lançamentos!$C:$C,"Honorários Contábeis")</f>
        <v>0</v>
      </c>
      <c r="ED60" s="39">
        <f>SUMIFS(Lançamentos!$G:$G,Lançamentos!$A:$A,ED$19,Lançamentos!$C:$C,"Honorários Contábeis")</f>
        <v>0</v>
      </c>
      <c r="EE60" s="39">
        <f>SUMIFS(Lançamentos!$G:$G,Lançamentos!$A:$A,EE$19,Lançamentos!$C:$C,"Honorários Contábeis")</f>
        <v>0</v>
      </c>
      <c r="EF60" s="39">
        <f>SUMIFS(Lançamentos!$G:$G,Lançamentos!$A:$A,EF$19,Lançamentos!$C:$C,"Honorários Contábeis")</f>
        <v>0</v>
      </c>
      <c r="EG60" s="39">
        <f>SUMIFS(Lançamentos!$G:$G,Lançamentos!$A:$A,EG$19,Lançamentos!$C:$C,"Honorários Contábeis")</f>
        <v>0</v>
      </c>
      <c r="EH60" s="39">
        <f>SUMIFS(Lançamentos!$G:$G,Lançamentos!$A:$A,EH$19,Lançamentos!$C:$C,"Honorários Contábeis")</f>
        <v>0</v>
      </c>
      <c r="EI60" s="39">
        <f>SUMIFS(Lançamentos!$G:$G,Lançamentos!$A:$A,EI$19,Lançamentos!$C:$C,"Honorários Contábeis")</f>
        <v>0</v>
      </c>
      <c r="EJ60" s="39">
        <f>SUMIFS(Lançamentos!$G:$G,Lançamentos!$A:$A,EJ$19,Lançamentos!$C:$C,"Honorários Contábeis")</f>
        <v>0</v>
      </c>
      <c r="EK60" s="39">
        <f>SUMIFS(Lançamentos!$G:$G,Lançamentos!$A:$A,EK$19,Lançamentos!$C:$C,"Honorários Contábeis")</f>
        <v>0</v>
      </c>
      <c r="EL60" s="39">
        <f>SUMIFS(Lançamentos!$G:$G,Lançamentos!$A:$A,EL$19,Lançamentos!$C:$C,"Honorários Contábeis")</f>
        <v>0</v>
      </c>
      <c r="EM60" s="39">
        <f>SUMIFS(Lançamentos!$G:$G,Lançamentos!$A:$A,EM$19,Lançamentos!$C:$C,"Honorários Contábeis")</f>
        <v>0</v>
      </c>
      <c r="EN60" s="39">
        <f>SUMIFS(Lançamentos!$G:$G,Lançamentos!$A:$A,EN$19,Lançamentos!$C:$C,"Honorários Contábeis")</f>
        <v>0</v>
      </c>
      <c r="EO60" s="39">
        <f>SUMIFS(Lançamentos!$G:$G,Lançamentos!$A:$A,EO$19,Lançamentos!$C:$C,"Honorários Contábeis")</f>
        <v>0</v>
      </c>
      <c r="EP60" s="39">
        <f>SUMIFS(Lançamentos!$G:$G,Lançamentos!$A:$A,EP$19,Lançamentos!$C:$C,"Honorários Contábeis")</f>
        <v>0</v>
      </c>
      <c r="EQ60" s="39">
        <f>SUMIFS(Lançamentos!$G:$G,Lançamentos!$A:$A,EQ$19,Lançamentos!$C:$C,"Honorários Contábeis")</f>
        <v>0</v>
      </c>
      <c r="ER60" s="39">
        <f>SUMIFS(Lançamentos!$G:$G,Lançamentos!$A:$A,ER$19,Lançamentos!$C:$C,"Honorários Contábeis")</f>
        <v>0</v>
      </c>
      <c r="ES60" s="39">
        <f>SUMIFS(Lançamentos!$G:$G,Lançamentos!$A:$A,ES$19,Lançamentos!$C:$C,"Honorários Contábeis")</f>
        <v>0</v>
      </c>
      <c r="ET60" s="39">
        <f>SUMIFS(Lançamentos!$G:$G,Lançamentos!$A:$A,ET$19,Lançamentos!$C:$C,"Honorários Contábeis")</f>
        <v>0</v>
      </c>
      <c r="EU60" s="39">
        <f>SUMIFS(Lançamentos!$G:$G,Lançamentos!$A:$A,EU$19,Lançamentos!$C:$C,"Honorários Contábeis")</f>
        <v>0</v>
      </c>
      <c r="EV60" s="39">
        <f>SUMIFS(Lançamentos!$G:$G,Lançamentos!$A:$A,EV$19,Lançamentos!$C:$C,"Honorários Contábeis")</f>
        <v>0</v>
      </c>
      <c r="EW60" s="39">
        <f>SUMIFS(Lançamentos!$G:$G,Lançamentos!$A:$A,EW$19,Lançamentos!$C:$C,"Honorários Contábeis")</f>
        <v>0</v>
      </c>
      <c r="EX60" s="39">
        <f>SUMIFS(Lançamentos!$G:$G,Lançamentos!$A:$A,EX$19,Lançamentos!$C:$C,"Honorários Contábeis")</f>
        <v>0</v>
      </c>
      <c r="EY60" s="39">
        <f>SUMIFS(Lançamentos!$G:$G,Lançamentos!$A:$A,EY$19,Lançamentos!$C:$C,"Honorários Contábeis")</f>
        <v>0</v>
      </c>
      <c r="EZ60" s="39">
        <f>SUMIFS(Lançamentos!$G:$G,Lançamentos!$A:$A,EZ$19,Lançamentos!$C:$C,"Honorários Contábeis")</f>
        <v>0</v>
      </c>
      <c r="FA60" s="39">
        <f>SUMIFS(Lançamentos!$G:$G,Lançamentos!$A:$A,FA$19,Lançamentos!$C:$C,"Honorários Contábeis")</f>
        <v>0</v>
      </c>
      <c r="FB60" s="39">
        <f>SUMIFS(Lançamentos!$G:$G,Lançamentos!$A:$A,FB$19,Lançamentos!$C:$C,"Honorários Contábeis")</f>
        <v>0</v>
      </c>
      <c r="FC60" s="39">
        <f>SUMIFS(Lançamentos!$G:$G,Lançamentos!$A:$A,FC$19,Lançamentos!$C:$C,"Honorários Contábeis")</f>
        <v>0</v>
      </c>
      <c r="FD60" s="39">
        <f>SUMIFS(Lançamentos!$G:$G,Lançamentos!$A:$A,FD$19,Lançamentos!$C:$C,"Honorários Contábeis")</f>
        <v>0</v>
      </c>
      <c r="FE60" s="39">
        <f>SUMIFS(Lançamentos!$G:$G,Lançamentos!$A:$A,FE$19,Lançamentos!$C:$C,"Honorários Contábeis")</f>
        <v>0</v>
      </c>
      <c r="FF60" s="39">
        <f>SUMIFS(Lançamentos!$G:$G,Lançamentos!$A:$A,FF$19,Lançamentos!$C:$C,"Honorários Contábeis")</f>
        <v>0</v>
      </c>
      <c r="FG60" s="39">
        <f>SUMIFS(Lançamentos!$G:$G,Lançamentos!$A:$A,FG$19,Lançamentos!$C:$C,"Honorários Contábeis")</f>
        <v>0</v>
      </c>
      <c r="FH60" s="39">
        <f>SUMIFS(Lançamentos!$G:$G,Lançamentos!$A:$A,FH$19,Lançamentos!$C:$C,"Honorários Contábeis")</f>
        <v>0</v>
      </c>
      <c r="FI60" s="39">
        <f>SUMIFS(Lançamentos!$G:$G,Lançamentos!$A:$A,FI$19,Lançamentos!$C:$C,"Honorários Contábeis")</f>
        <v>0</v>
      </c>
      <c r="FJ60" s="39">
        <f>SUMIFS(Lançamentos!$G:$G,Lançamentos!$A:$A,FJ$19,Lançamentos!$C:$C,"Honorários Contábeis")</f>
        <v>0</v>
      </c>
      <c r="FK60" s="39">
        <f>SUMIFS(Lançamentos!$G:$G,Lançamentos!$A:$A,FK$19,Lançamentos!$C:$C,"Honorários Contábeis")</f>
        <v>0</v>
      </c>
      <c r="FL60" s="39">
        <f>SUMIFS(Lançamentos!$G:$G,Lançamentos!$A:$A,FL$19,Lançamentos!$C:$C,"Honorários Contábeis")</f>
        <v>0</v>
      </c>
      <c r="FM60" s="39">
        <f>SUMIFS(Lançamentos!$G:$G,Lançamentos!$A:$A,FM$19,Lançamentos!$C:$C,"Honorários Contábeis")</f>
        <v>0</v>
      </c>
      <c r="FN60" s="39">
        <f>SUMIFS(Lançamentos!$G:$G,Lançamentos!$A:$A,FN$19,Lançamentos!$C:$C,"Honorários Contábeis")</f>
        <v>0</v>
      </c>
      <c r="FO60" s="39">
        <f>SUMIFS(Lançamentos!$G:$G,Lançamentos!$A:$A,FO$19,Lançamentos!$C:$C,"Honorários Contábeis")</f>
        <v>0</v>
      </c>
      <c r="FP60" s="39">
        <f>SUMIFS(Lançamentos!$G:$G,Lançamentos!$A:$A,FP$19,Lançamentos!$C:$C,"Honorários Contábeis")</f>
        <v>0</v>
      </c>
      <c r="FQ60" s="39">
        <f>SUMIFS(Lançamentos!$G:$G,Lançamentos!$A:$A,FQ$19,Lançamentos!$C:$C,"Honorários Contábeis")</f>
        <v>0</v>
      </c>
      <c r="FR60" s="39">
        <f>SUMIFS(Lançamentos!$G:$G,Lançamentos!$A:$A,FR$19,Lançamentos!$C:$C,"Honorários Contábeis")</f>
        <v>0</v>
      </c>
      <c r="FS60" s="39">
        <f>SUMIFS(Lançamentos!$G:$G,Lançamentos!$A:$A,FS$19,Lançamentos!$C:$C,"Honorários Contábeis")</f>
        <v>0</v>
      </c>
      <c r="FT60" s="39">
        <f>SUMIFS(Lançamentos!$G:$G,Lançamentos!$A:$A,FT$19,Lançamentos!$C:$C,"Honorários Contábeis")</f>
        <v>0</v>
      </c>
      <c r="FU60" s="39">
        <f>SUMIFS(Lançamentos!$G:$G,Lançamentos!$A:$A,FU$19,Lançamentos!$C:$C,"Honorários Contábeis")</f>
        <v>0</v>
      </c>
      <c r="FV60" s="39">
        <f>SUMIFS(Lançamentos!$G:$G,Lançamentos!$A:$A,FV$19,Lançamentos!$C:$C,"Honorários Contábeis")</f>
        <v>0</v>
      </c>
      <c r="FW60" s="39">
        <f>SUMIFS(Lançamentos!$G:$G,Lançamentos!$A:$A,FW$19,Lançamentos!$C:$C,"Honorários Contábeis")</f>
        <v>0</v>
      </c>
      <c r="FX60" s="39">
        <f>SUMIFS(Lançamentos!$G:$G,Lançamentos!$A:$A,FX$19,Lançamentos!$C:$C,"Honorários Contábeis")</f>
        <v>0</v>
      </c>
      <c r="FY60" s="39">
        <f>SUMIFS(Lançamentos!$G:$G,Lançamentos!$A:$A,FY$19,Lançamentos!$C:$C,"Honorários Contábeis")</f>
        <v>0</v>
      </c>
      <c r="FZ60" s="39">
        <f>SUMIFS(Lançamentos!$G:$G,Lançamentos!$A:$A,FZ$19,Lançamentos!$C:$C,"Honorários Contábeis")</f>
        <v>0</v>
      </c>
      <c r="GA60" s="39">
        <f>SUMIFS(Lançamentos!$G:$G,Lançamentos!$A:$A,GA$19,Lançamentos!$C:$C,"Honorários Contábeis")</f>
        <v>0</v>
      </c>
      <c r="GB60" s="39">
        <f>SUMIFS(Lançamentos!$G:$G,Lançamentos!$A:$A,GB$19,Lançamentos!$C:$C,"Honorários Contábeis")</f>
        <v>0</v>
      </c>
      <c r="GC60" s="39">
        <f>SUMIFS(Lançamentos!$G:$G,Lançamentos!$A:$A,GC$19,Lançamentos!$C:$C,"Honorários Contábeis")</f>
        <v>0</v>
      </c>
      <c r="GD60" s="39">
        <f>SUMIFS(Lançamentos!$G:$G,Lançamentos!$A:$A,GD$19,Lançamentos!$C:$C,"Honorários Contábeis")</f>
        <v>0</v>
      </c>
      <c r="GE60" s="39">
        <f>SUMIFS(Lançamentos!$G:$G,Lançamentos!$A:$A,GE$19,Lançamentos!$C:$C,"Honorários Contábeis")</f>
        <v>0</v>
      </c>
      <c r="GF60" s="39">
        <f>SUMIFS(Lançamentos!$G:$G,Lançamentos!$A:$A,GF$19,Lançamentos!$C:$C,"Honorários Contábeis")</f>
        <v>0</v>
      </c>
      <c r="GG60" s="39">
        <f>SUMIFS(Lançamentos!$G:$G,Lançamentos!$A:$A,GG$19,Lançamentos!$C:$C,"Honorários Contábeis")</f>
        <v>0</v>
      </c>
      <c r="GH60" s="39">
        <f>SUMIFS(Lançamentos!$G:$G,Lançamentos!$A:$A,GH$19,Lançamentos!$C:$C,"Honorários Contábeis")</f>
        <v>0</v>
      </c>
      <c r="GI60" s="39">
        <f>SUMIFS(Lançamentos!$G:$G,Lançamentos!$A:$A,GI$19,Lançamentos!$C:$C,"Honorários Contábeis")</f>
        <v>0</v>
      </c>
      <c r="GJ60" s="39">
        <f>SUMIFS(Lançamentos!$G:$G,Lançamentos!$A:$A,GJ$19,Lançamentos!$C:$C,"Honorários Contábeis")</f>
        <v>0</v>
      </c>
      <c r="GK60" s="39">
        <f>SUMIFS(Lançamentos!$G:$G,Lançamentos!$A:$A,GK$19,Lançamentos!$C:$C,"Honorários Contábeis")</f>
        <v>0</v>
      </c>
      <c r="GL60" s="39">
        <f>SUMIFS(Lançamentos!$G:$G,Lançamentos!$A:$A,GL$19,Lançamentos!$C:$C,"Honorários Contábeis")</f>
        <v>0</v>
      </c>
      <c r="GM60" s="39">
        <f>SUMIFS(Lançamentos!$G:$G,Lançamentos!$A:$A,GM$19,Lançamentos!$C:$C,"Honorários Contábeis")</f>
        <v>0</v>
      </c>
      <c r="GN60" s="39">
        <f>SUMIFS(Lançamentos!$G:$G,Lançamentos!$A:$A,GN$19,Lançamentos!$C:$C,"Honorários Contábeis")</f>
        <v>0</v>
      </c>
      <c r="GO60" s="39">
        <f>SUMIFS(Lançamentos!$G:$G,Lançamentos!$A:$A,GO$19,Lançamentos!$C:$C,"Honorários Contábeis")</f>
        <v>0</v>
      </c>
      <c r="GP60" s="39">
        <f>SUMIFS(Lançamentos!$G:$G,Lançamentos!$A:$A,GP$19,Lançamentos!$C:$C,"Honorários Contábeis")</f>
        <v>0</v>
      </c>
      <c r="GQ60" s="39">
        <f>SUMIFS(Lançamentos!$G:$G,Lançamentos!$A:$A,GQ$19,Lançamentos!$C:$C,"Honorários Contábeis")</f>
        <v>0</v>
      </c>
      <c r="GR60" s="39">
        <f>SUMIFS(Lançamentos!$G:$G,Lançamentos!$A:$A,GR$19,Lançamentos!$C:$C,"Honorários Contábeis")</f>
        <v>0</v>
      </c>
      <c r="GS60" s="39">
        <f>SUMIFS(Lançamentos!$G:$G,Lançamentos!$A:$A,GS$19,Lançamentos!$C:$C,"Honorários Contábeis")</f>
        <v>0</v>
      </c>
      <c r="GT60" s="39">
        <f>SUMIFS(Lançamentos!$G:$G,Lançamentos!$A:$A,GT$19,Lançamentos!$C:$C,"Honorários Contábeis")</f>
        <v>0</v>
      </c>
      <c r="GU60" s="39">
        <f>SUMIFS(Lançamentos!$G:$G,Lançamentos!$A:$A,GU$19,Lançamentos!$C:$C,"Honorários Contábeis")</f>
        <v>0</v>
      </c>
      <c r="GV60" s="39">
        <f>SUMIFS(Lançamentos!$G:$G,Lançamentos!$A:$A,GV$19,Lançamentos!$C:$C,"Honorários Contábeis")</f>
        <v>0</v>
      </c>
      <c r="GW60" s="39">
        <f>SUMIFS(Lançamentos!$G:$G,Lançamentos!$A:$A,GW$19,Lançamentos!$C:$C,"Honorários Contábeis")</f>
        <v>0</v>
      </c>
      <c r="GX60" s="39">
        <f>SUMIFS(Lançamentos!$G:$G,Lançamentos!$A:$A,GX$19,Lançamentos!$C:$C,"Honorários Contábeis")</f>
        <v>0</v>
      </c>
      <c r="GY60" s="39">
        <f>SUMIFS(Lançamentos!$G:$G,Lançamentos!$A:$A,GY$19,Lançamentos!$C:$C,"Honorários Contábeis")</f>
        <v>0</v>
      </c>
      <c r="GZ60" s="39">
        <f>SUMIFS(Lançamentos!$G:$G,Lançamentos!$A:$A,GZ$19,Lançamentos!$C:$C,"Honorários Contábeis")</f>
        <v>0</v>
      </c>
      <c r="HA60" s="39">
        <f>SUMIFS(Lançamentos!$G:$G,Lançamentos!$A:$A,HA$19,Lançamentos!$C:$C,"Honorários Contábeis")</f>
        <v>0</v>
      </c>
      <c r="HB60" s="39">
        <f>SUMIFS(Lançamentos!$G:$G,Lançamentos!$A:$A,HB$19,Lançamentos!$C:$C,"Honorários Contábeis")</f>
        <v>0</v>
      </c>
      <c r="HC60" s="39">
        <f>SUMIFS(Lançamentos!$G:$G,Lançamentos!$A:$A,HC$19,Lançamentos!$C:$C,"Honorários Contábeis")</f>
        <v>0</v>
      </c>
      <c r="HD60" s="39">
        <f>SUMIFS(Lançamentos!$G:$G,Lançamentos!$A:$A,HD$19,Lançamentos!$C:$C,"Honorários Contábeis")</f>
        <v>0</v>
      </c>
      <c r="HE60" s="39">
        <f>SUMIFS(Lançamentos!$G:$G,Lançamentos!$A:$A,HE$19,Lançamentos!$C:$C,"Honorários Contábeis")</f>
        <v>0</v>
      </c>
      <c r="HF60" s="39">
        <f>SUMIFS(Lançamentos!$G:$G,Lançamentos!$A:$A,HF$19,Lançamentos!$C:$C,"Honorários Contábeis")</f>
        <v>0</v>
      </c>
      <c r="HG60" s="39">
        <f>SUMIFS(Lançamentos!$G:$G,Lançamentos!$A:$A,HG$19,Lançamentos!$C:$C,"Honorários Contábeis")</f>
        <v>0</v>
      </c>
      <c r="HH60" s="39">
        <f>SUMIFS(Lançamentos!$G:$G,Lançamentos!$A:$A,HH$19,Lançamentos!$C:$C,"Honorários Contábeis")</f>
        <v>0</v>
      </c>
      <c r="HI60" s="39">
        <f>SUMIFS(Lançamentos!$G:$G,Lançamentos!$A:$A,HI$19,Lançamentos!$C:$C,"Honorários Contábeis")</f>
        <v>0</v>
      </c>
      <c r="HJ60" s="39">
        <f>SUMIFS(Lançamentos!$G:$G,Lançamentos!$A:$A,HJ$19,Lançamentos!$C:$C,"Honorários Contábeis")</f>
        <v>0</v>
      </c>
      <c r="HK60" s="39">
        <f>SUMIFS(Lançamentos!$G:$G,Lançamentos!$A:$A,HK$19,Lançamentos!$C:$C,"Honorários Contábeis")</f>
        <v>0</v>
      </c>
      <c r="HL60" s="39">
        <f>SUMIFS(Lançamentos!$G:$G,Lançamentos!$A:$A,HL$19,Lançamentos!$C:$C,"Honorários Contábeis")</f>
        <v>0</v>
      </c>
      <c r="HM60" s="39">
        <f>SUMIFS(Lançamentos!$G:$G,Lançamentos!$A:$A,HM$19,Lançamentos!$C:$C,"Honorários Contábeis")</f>
        <v>0</v>
      </c>
      <c r="HN60" s="39">
        <f>SUMIFS(Lançamentos!$G:$G,Lançamentos!$A:$A,HN$19,Lançamentos!$C:$C,"Honorários Contábeis")</f>
        <v>0</v>
      </c>
      <c r="HO60" s="39">
        <f>SUMIFS(Lançamentos!$G:$G,Lançamentos!$A:$A,HO$19,Lançamentos!$C:$C,"Honorários Contábeis")</f>
        <v>0</v>
      </c>
      <c r="HP60" s="39">
        <f>SUMIFS(Lançamentos!$G:$G,Lançamentos!$A:$A,HP$19,Lançamentos!$C:$C,"Honorários Contábeis")</f>
        <v>0</v>
      </c>
      <c r="HQ60" s="39">
        <f>SUMIFS(Lançamentos!$G:$G,Lançamentos!$A:$A,HQ$19,Lançamentos!$C:$C,"Honorários Contábeis")</f>
        <v>0</v>
      </c>
      <c r="HR60" s="39">
        <f>SUMIFS(Lançamentos!$G:$G,Lançamentos!$A:$A,HR$19,Lançamentos!$C:$C,"Honorários Contábeis")</f>
        <v>0</v>
      </c>
      <c r="HS60" s="39">
        <f>SUMIFS(Lançamentos!$G:$G,Lançamentos!$A:$A,HS$19,Lançamentos!$C:$C,"Honorários Contábeis")</f>
        <v>0</v>
      </c>
      <c r="HT60" s="39">
        <f>SUMIFS(Lançamentos!$G:$G,Lançamentos!$A:$A,HT$19,Lançamentos!$C:$C,"Honorários Contábeis")</f>
        <v>0</v>
      </c>
      <c r="HU60" s="39">
        <f>SUMIFS(Lançamentos!$G:$G,Lançamentos!$A:$A,HU$19,Lançamentos!$C:$C,"Honorários Contábeis")</f>
        <v>0</v>
      </c>
      <c r="HV60" s="39">
        <f>SUMIFS(Lançamentos!$G:$G,Lançamentos!$A:$A,HV$19,Lançamentos!$C:$C,"Honorários Contábeis")</f>
        <v>0</v>
      </c>
      <c r="HW60" s="39">
        <f>SUMIFS(Lançamentos!$G:$G,Lançamentos!$A:$A,HW$19,Lançamentos!$C:$C,"Honorários Contábeis")</f>
        <v>0</v>
      </c>
      <c r="HX60" s="39">
        <f>SUMIFS(Lançamentos!$G:$G,Lançamentos!$A:$A,HX$19,Lançamentos!$C:$C,"Honorários Contábeis")</f>
        <v>0</v>
      </c>
      <c r="HY60" s="39">
        <f>SUMIFS(Lançamentos!$G:$G,Lançamentos!$A:$A,HY$19,Lançamentos!$C:$C,"Honorários Contábeis")</f>
        <v>0</v>
      </c>
      <c r="HZ60" s="39">
        <f>SUMIFS(Lançamentos!$G:$G,Lançamentos!$A:$A,HZ$19,Lançamentos!$C:$C,"Honorários Contábeis")</f>
        <v>0</v>
      </c>
      <c r="IA60" s="39">
        <f>SUMIFS(Lançamentos!$G:$G,Lançamentos!$A:$A,IA$19,Lançamentos!$C:$C,"Honorários Contábeis")</f>
        <v>0</v>
      </c>
      <c r="IB60" s="39">
        <f>SUMIFS(Lançamentos!$G:$G,Lançamentos!$A:$A,IB$19,Lançamentos!$C:$C,"Honorários Contábeis")</f>
        <v>0</v>
      </c>
      <c r="IC60" s="39">
        <f>SUMIFS(Lançamentos!$G:$G,Lançamentos!$A:$A,IC$19,Lançamentos!$C:$C,"Honorários Contábeis")</f>
        <v>0</v>
      </c>
      <c r="ID60" s="39">
        <f>SUMIFS(Lançamentos!$G:$G,Lançamentos!$A:$A,ID$19,Lançamentos!$C:$C,"Honorários Contábeis")</f>
        <v>0</v>
      </c>
      <c r="IE60" s="39">
        <f>SUMIFS(Lançamentos!$G:$G,Lançamentos!$A:$A,IE$19,Lançamentos!$C:$C,"Honorários Contábeis")</f>
        <v>0</v>
      </c>
      <c r="IF60" s="39">
        <f>SUMIFS(Lançamentos!$G:$G,Lançamentos!$A:$A,IF$19,Lançamentos!$C:$C,"Honorários Contábeis")</f>
        <v>0</v>
      </c>
      <c r="IG60" s="39">
        <f>SUMIFS(Lançamentos!$G:$G,Lançamentos!$A:$A,IG$19,Lançamentos!$C:$C,"Honorários Contábeis")</f>
        <v>0</v>
      </c>
      <c r="IH60" s="39">
        <f>SUMIFS(Lançamentos!$G:$G,Lançamentos!$A:$A,IH$19,Lançamentos!$C:$C,"Honorários Contábeis")</f>
        <v>0</v>
      </c>
      <c r="II60" s="39">
        <f>SUMIFS(Lançamentos!$G:$G,Lançamentos!$A:$A,II$19,Lançamentos!$C:$C,"Honorários Contábeis")</f>
        <v>0</v>
      </c>
      <c r="IJ60" s="39">
        <f>SUMIFS(Lançamentos!$G:$G,Lançamentos!$A:$A,IJ$19,Lançamentos!$C:$C,"Honorários Contábeis")</f>
        <v>0</v>
      </c>
      <c r="IK60" s="39">
        <f>SUMIFS(Lançamentos!$G:$G,Lançamentos!$A:$A,IK$19,Lançamentos!$C:$C,"Honorários Contábeis")</f>
        <v>0</v>
      </c>
      <c r="IL60" s="39">
        <f>SUMIFS(Lançamentos!$G:$G,Lançamentos!$A:$A,IL$19,Lançamentos!$C:$C,"Honorários Contábeis")</f>
        <v>0</v>
      </c>
    </row>
    <row r="61" spans="1:246" x14ac:dyDescent="0.3">
      <c r="A61" t="s">
        <v>106</v>
      </c>
      <c r="B61" s="39">
        <f>SUMIFS(Lançamentos!$G:$G,Lançamentos!$A:$A,B$19,Lançamentos!$C:$C,"Honorários Jurídicos")</f>
        <v>0</v>
      </c>
      <c r="C61" s="39">
        <f>SUMIFS(Lançamentos!$G:$G,Lançamentos!$A:$A,C$19,Lançamentos!$C:$C,"Honorários Jurídicos")</f>
        <v>0</v>
      </c>
      <c r="D61" s="39">
        <f>SUMIFS(Lançamentos!$G:$G,Lançamentos!$A:$A,D$19,Lançamentos!$C:$C,"Honorários Jurídicos")</f>
        <v>0</v>
      </c>
      <c r="E61" s="39">
        <f>SUMIFS(Lançamentos!$G:$G,Lançamentos!$A:$A,E$19,Lançamentos!$C:$C,"Honorários Jurídicos")</f>
        <v>0</v>
      </c>
      <c r="F61" s="39">
        <f>SUMIFS(Lançamentos!$G:$G,Lançamentos!$A:$A,F$19,Lançamentos!$C:$C,"Honorários Jurídicos")</f>
        <v>0</v>
      </c>
      <c r="G61" s="39">
        <f>SUMIFS(Lançamentos!$G:$G,Lançamentos!$A:$A,G$19,Lançamentos!$C:$C,"Honorários Jurídicos")</f>
        <v>0</v>
      </c>
      <c r="H61" s="39">
        <f>SUMIFS(Lançamentos!$G:$G,Lançamentos!$A:$A,H$19,Lançamentos!$C:$C,"Honorários Jurídicos")</f>
        <v>0</v>
      </c>
      <c r="I61" s="39">
        <f>SUMIFS(Lançamentos!$G:$G,Lançamentos!$A:$A,I$19,Lançamentos!$C:$C,"Honorários Jurídicos")</f>
        <v>0</v>
      </c>
      <c r="J61" s="39">
        <f>SUMIFS(Lançamentos!$G:$G,Lançamentos!$A:$A,J$19,Lançamentos!$C:$C,"Honorários Jurídicos")</f>
        <v>0</v>
      </c>
      <c r="K61" s="39">
        <f>SUMIFS(Lançamentos!$G:$G,Lançamentos!$A:$A,K$19,Lançamentos!$C:$C,"Honorários Jurídicos")</f>
        <v>0</v>
      </c>
      <c r="L61" s="39">
        <f>SUMIFS(Lançamentos!$G:$G,Lançamentos!$A:$A,L$19,Lançamentos!$C:$C,"Honorários Jurídicos")</f>
        <v>0</v>
      </c>
      <c r="M61" s="39">
        <f>SUMIFS(Lançamentos!$G:$G,Lançamentos!$A:$A,M$19,Lançamentos!$C:$C,"Honorários Jurídicos")</f>
        <v>0</v>
      </c>
      <c r="N61" s="39">
        <f>SUMIFS(Lançamentos!$G:$G,Lançamentos!$A:$A,N$19,Lançamentos!$C:$C,"Honorários Jurídicos")</f>
        <v>0</v>
      </c>
      <c r="O61" s="39">
        <f>SUMIFS(Lançamentos!$G:$G,Lançamentos!$A:$A,O$19,Lançamentos!$C:$C,"Honorários Jurídicos")</f>
        <v>0</v>
      </c>
      <c r="P61" s="39">
        <f>SUMIFS(Lançamentos!$G:$G,Lançamentos!$A:$A,P$19,Lançamentos!$C:$C,"Honorários Jurídicos")</f>
        <v>0</v>
      </c>
      <c r="Q61" s="39">
        <f>SUMIFS(Lançamentos!$G:$G,Lançamentos!$A:$A,Q$19,Lançamentos!$C:$C,"Honorários Jurídicos")</f>
        <v>0</v>
      </c>
      <c r="R61" s="39">
        <f>SUMIFS(Lançamentos!$G:$G,Lançamentos!$A:$A,R$19,Lançamentos!$C:$C,"Honorários Jurídicos")</f>
        <v>0</v>
      </c>
      <c r="S61" s="39">
        <f>SUMIFS(Lançamentos!$G:$G,Lançamentos!$A:$A,S$19,Lançamentos!$C:$C,"Honorários Jurídicos")</f>
        <v>0</v>
      </c>
      <c r="T61" s="39">
        <f>SUMIFS(Lançamentos!$G:$G,Lançamentos!$A:$A,T$19,Lançamentos!$C:$C,"Honorários Jurídicos")</f>
        <v>0</v>
      </c>
      <c r="U61" s="39">
        <f>SUMIFS(Lançamentos!$G:$G,Lançamentos!$A:$A,U$19,Lançamentos!$C:$C,"Honorários Jurídicos")</f>
        <v>0</v>
      </c>
      <c r="V61" s="39">
        <f>SUMIFS(Lançamentos!$G:$G,Lançamentos!$A:$A,V$19,Lançamentos!$C:$C,"Honorários Jurídicos")</f>
        <v>0</v>
      </c>
      <c r="W61" s="39">
        <f>SUMIFS(Lançamentos!$G:$G,Lançamentos!$A:$A,W$19,Lançamentos!$C:$C,"Honorários Jurídicos")</f>
        <v>0</v>
      </c>
      <c r="X61" s="39">
        <f>SUMIFS(Lançamentos!$G:$G,Lançamentos!$A:$A,X$19,Lançamentos!$C:$C,"Honorários Jurídicos")</f>
        <v>0</v>
      </c>
      <c r="Y61" s="39">
        <f>SUMIFS(Lançamentos!$G:$G,Lançamentos!$A:$A,Y$19,Lançamentos!$C:$C,"Honorários Jurídicos")</f>
        <v>0</v>
      </c>
      <c r="Z61" s="39">
        <f>SUMIFS(Lançamentos!$G:$G,Lançamentos!$A:$A,Z$19,Lançamentos!$C:$C,"Honorários Jurídicos")</f>
        <v>0</v>
      </c>
      <c r="AA61" s="39">
        <f>SUMIFS(Lançamentos!$G:$G,Lançamentos!$A:$A,AA$19,Lançamentos!$C:$C,"Honorários Jurídicos")</f>
        <v>0</v>
      </c>
      <c r="AB61" s="39">
        <f>SUMIFS(Lançamentos!$G:$G,Lançamentos!$A:$A,AB$19,Lançamentos!$C:$C,"Honorários Jurídicos")</f>
        <v>0</v>
      </c>
      <c r="AC61" s="39">
        <f>SUMIFS(Lançamentos!$G:$G,Lançamentos!$A:$A,AC$19,Lançamentos!$C:$C,"Honorários Jurídicos")</f>
        <v>0</v>
      </c>
      <c r="AD61" s="39">
        <f>SUMIFS(Lançamentos!$G:$G,Lançamentos!$A:$A,AD$19,Lançamentos!$C:$C,"Honorários Jurídicos")</f>
        <v>0</v>
      </c>
      <c r="AE61" s="39">
        <f>SUMIFS(Lançamentos!$G:$G,Lançamentos!$A:$A,AE$19,Lançamentos!$C:$C,"Honorários Jurídicos")</f>
        <v>0</v>
      </c>
      <c r="AF61" s="39">
        <f>SUMIFS(Lançamentos!$G:$G,Lançamentos!$A:$A,AF$19,Lançamentos!$C:$C,"Honorários Jurídicos")</f>
        <v>0</v>
      </c>
      <c r="AG61" s="39">
        <f>SUMIFS(Lançamentos!$G:$G,Lançamentos!$A:$A,AG$19,Lançamentos!$C:$C,"Honorários Jurídicos")</f>
        <v>0</v>
      </c>
      <c r="AH61" s="39">
        <f>SUMIFS(Lançamentos!$G:$G,Lançamentos!$A:$A,AH$19,Lançamentos!$C:$C,"Honorários Jurídicos")</f>
        <v>0</v>
      </c>
      <c r="AI61" s="39">
        <f>SUMIFS(Lançamentos!$G:$G,Lançamentos!$A:$A,AI$19,Lançamentos!$C:$C,"Honorários Jurídicos")</f>
        <v>0</v>
      </c>
      <c r="AJ61" s="39">
        <f>SUMIFS(Lançamentos!$G:$G,Lançamentos!$A:$A,AJ$19,Lançamentos!$C:$C,"Honorários Jurídicos")</f>
        <v>0</v>
      </c>
      <c r="AK61" s="39">
        <f>SUMIFS(Lançamentos!$G:$G,Lançamentos!$A:$A,AK$19,Lançamentos!$C:$C,"Honorários Jurídicos")</f>
        <v>0</v>
      </c>
      <c r="AL61" s="39">
        <f>SUMIFS(Lançamentos!$G:$G,Lançamentos!$A:$A,AL$19,Lançamentos!$C:$C,"Honorários Jurídicos")</f>
        <v>0</v>
      </c>
      <c r="AM61" s="39">
        <f>SUMIFS(Lançamentos!$G:$G,Lançamentos!$A:$A,AM$19,Lançamentos!$C:$C,"Honorários Jurídicos")</f>
        <v>0</v>
      </c>
      <c r="AN61" s="39">
        <f>SUMIFS(Lançamentos!$G:$G,Lançamentos!$A:$A,AN$19,Lançamentos!$C:$C,"Honorários Jurídicos")</f>
        <v>0</v>
      </c>
      <c r="AO61" s="39">
        <f>SUMIFS(Lançamentos!$G:$G,Lançamentos!$A:$A,AO$19,Lançamentos!$C:$C,"Honorários Jurídicos")</f>
        <v>0</v>
      </c>
      <c r="AP61" s="39">
        <f>SUMIFS(Lançamentos!$G:$G,Lançamentos!$A:$A,AP$19,Lançamentos!$C:$C,"Honorários Jurídicos")</f>
        <v>0</v>
      </c>
      <c r="AQ61" s="39">
        <f>SUMIFS(Lançamentos!$G:$G,Lançamentos!$A:$A,AQ$19,Lançamentos!$C:$C,"Honorários Jurídicos")</f>
        <v>0</v>
      </c>
      <c r="AR61" s="39">
        <f>SUMIFS(Lançamentos!$G:$G,Lançamentos!$A:$A,AR$19,Lançamentos!$C:$C,"Honorários Jurídicos")</f>
        <v>0</v>
      </c>
      <c r="AS61" s="39">
        <f>SUMIFS(Lançamentos!$G:$G,Lançamentos!$A:$A,AS$19,Lançamentos!$C:$C,"Honorários Jurídicos")</f>
        <v>0</v>
      </c>
      <c r="AT61" s="39">
        <f>SUMIFS(Lançamentos!$G:$G,Lançamentos!$A:$A,AT$19,Lançamentos!$C:$C,"Honorários Jurídicos")</f>
        <v>0</v>
      </c>
      <c r="AU61" s="39">
        <f>SUMIFS(Lançamentos!$G:$G,Lançamentos!$A:$A,AU$19,Lançamentos!$C:$C,"Honorários Jurídicos")</f>
        <v>0</v>
      </c>
      <c r="AV61" s="39">
        <f>SUMIFS(Lançamentos!$G:$G,Lançamentos!$A:$A,AV$19,Lançamentos!$C:$C,"Honorários Jurídicos")</f>
        <v>0</v>
      </c>
      <c r="AW61" s="39">
        <f>SUMIFS(Lançamentos!$G:$G,Lançamentos!$A:$A,AW$19,Lançamentos!$C:$C,"Honorários Jurídicos")</f>
        <v>0</v>
      </c>
      <c r="AX61" s="39">
        <f>SUMIFS(Lançamentos!$G:$G,Lançamentos!$A:$A,AX$19,Lançamentos!$C:$C,"Honorários Jurídicos")</f>
        <v>0</v>
      </c>
      <c r="AY61" s="39">
        <f>SUMIFS(Lançamentos!$G:$G,Lançamentos!$A:$A,AY$19,Lançamentos!$C:$C,"Honorários Jurídicos")</f>
        <v>0</v>
      </c>
      <c r="AZ61" s="39">
        <f>SUMIFS(Lançamentos!$G:$G,Lançamentos!$A:$A,AZ$19,Lançamentos!$C:$C,"Honorários Jurídicos")</f>
        <v>0</v>
      </c>
      <c r="BA61" s="39">
        <f>SUMIFS(Lançamentos!$G:$G,Lançamentos!$A:$A,BA$19,Lançamentos!$C:$C,"Honorários Jurídicos")</f>
        <v>0</v>
      </c>
      <c r="BB61" s="39">
        <f>SUMIFS(Lançamentos!$G:$G,Lançamentos!$A:$A,BB$19,Lançamentos!$C:$C,"Honorários Jurídicos")</f>
        <v>0</v>
      </c>
      <c r="BC61" s="39">
        <f>SUMIFS(Lançamentos!$G:$G,Lançamentos!$A:$A,BC$19,Lançamentos!$C:$C,"Honorários Jurídicos")</f>
        <v>0</v>
      </c>
      <c r="BD61" s="39">
        <f>SUMIFS(Lançamentos!$G:$G,Lançamentos!$A:$A,BD$19,Lançamentos!$C:$C,"Honorários Jurídicos")</f>
        <v>0</v>
      </c>
      <c r="BE61" s="39">
        <f>SUMIFS(Lançamentos!$G:$G,Lançamentos!$A:$A,BE$19,Lançamentos!$C:$C,"Honorários Jurídicos")</f>
        <v>0</v>
      </c>
      <c r="BF61" s="39">
        <f>SUMIFS(Lançamentos!$G:$G,Lançamentos!$A:$A,BF$19,Lançamentos!$C:$C,"Honorários Jurídicos")</f>
        <v>0</v>
      </c>
      <c r="BG61" s="39">
        <f>SUMIFS(Lançamentos!$G:$G,Lançamentos!$A:$A,BG$19,Lançamentos!$C:$C,"Honorários Jurídicos")</f>
        <v>0</v>
      </c>
      <c r="BH61" s="39">
        <f>SUMIFS(Lançamentos!$G:$G,Lançamentos!$A:$A,BH$19,Lançamentos!$C:$C,"Honorários Jurídicos")</f>
        <v>0</v>
      </c>
      <c r="BI61" s="39">
        <f>SUMIFS(Lançamentos!$G:$G,Lançamentos!$A:$A,BI$19,Lançamentos!$C:$C,"Honorários Jurídicos")</f>
        <v>0</v>
      </c>
      <c r="BJ61" s="39">
        <f>SUMIFS(Lançamentos!$G:$G,Lançamentos!$A:$A,BJ$19,Lançamentos!$C:$C,"Honorários Jurídicos")</f>
        <v>0</v>
      </c>
      <c r="BK61" s="39">
        <f>SUMIFS(Lançamentos!$G:$G,Lançamentos!$A:$A,BK$19,Lançamentos!$C:$C,"Honorários Jurídicos")</f>
        <v>0</v>
      </c>
      <c r="BL61" s="39">
        <f>SUMIFS(Lançamentos!$G:$G,Lançamentos!$A:$A,BL$19,Lançamentos!$C:$C,"Honorários Jurídicos")</f>
        <v>0</v>
      </c>
      <c r="BM61" s="39">
        <f>SUMIFS(Lançamentos!$G:$G,Lançamentos!$A:$A,BM$19,Lançamentos!$C:$C,"Honorários Jurídicos")</f>
        <v>0</v>
      </c>
      <c r="BN61" s="39">
        <f>SUMIFS(Lançamentos!$G:$G,Lançamentos!$A:$A,BN$19,Lançamentos!$C:$C,"Honorários Jurídicos")</f>
        <v>0</v>
      </c>
      <c r="BO61" s="39">
        <f>SUMIFS(Lançamentos!$G:$G,Lançamentos!$A:$A,BO$19,Lançamentos!$C:$C,"Honorários Jurídicos")</f>
        <v>0</v>
      </c>
      <c r="BP61" s="39">
        <f>SUMIFS(Lançamentos!$G:$G,Lançamentos!$A:$A,BP$19,Lançamentos!$C:$C,"Honorários Jurídicos")</f>
        <v>0</v>
      </c>
      <c r="BQ61" s="39">
        <f>SUMIFS(Lançamentos!$G:$G,Lançamentos!$A:$A,BQ$19,Lançamentos!$C:$C,"Honorários Jurídicos")</f>
        <v>0</v>
      </c>
      <c r="BR61" s="39">
        <f>SUMIFS(Lançamentos!$G:$G,Lançamentos!$A:$A,BR$19,Lançamentos!$C:$C,"Honorários Jurídicos")</f>
        <v>0</v>
      </c>
      <c r="BS61" s="39">
        <f>SUMIFS(Lançamentos!$G:$G,Lançamentos!$A:$A,BS$19,Lançamentos!$C:$C,"Honorários Jurídicos")</f>
        <v>0</v>
      </c>
      <c r="BT61" s="39">
        <f>SUMIFS(Lançamentos!$G:$G,Lançamentos!$A:$A,BT$19,Lançamentos!$C:$C,"Honorários Jurídicos")</f>
        <v>0</v>
      </c>
      <c r="BU61" s="39">
        <f>SUMIFS(Lançamentos!$G:$G,Lançamentos!$A:$A,BU$19,Lançamentos!$C:$C,"Honorários Jurídicos")</f>
        <v>0</v>
      </c>
      <c r="BV61" s="39">
        <f>SUMIFS(Lançamentos!$G:$G,Lançamentos!$A:$A,BV$19,Lançamentos!$C:$C,"Honorários Jurídicos")</f>
        <v>0</v>
      </c>
      <c r="BW61" s="39">
        <f>SUMIFS(Lançamentos!$G:$G,Lançamentos!$A:$A,BW$19,Lançamentos!$C:$C,"Honorários Jurídicos")</f>
        <v>0</v>
      </c>
      <c r="BX61" s="39">
        <f>SUMIFS(Lançamentos!$G:$G,Lançamentos!$A:$A,BX$19,Lançamentos!$C:$C,"Honorários Jurídicos")</f>
        <v>0</v>
      </c>
      <c r="BY61" s="39">
        <f>SUMIFS(Lançamentos!$G:$G,Lançamentos!$A:$A,BY$19,Lançamentos!$C:$C,"Honorários Jurídicos")</f>
        <v>0</v>
      </c>
      <c r="BZ61" s="39">
        <f>SUMIFS(Lançamentos!$G:$G,Lançamentos!$A:$A,BZ$19,Lançamentos!$C:$C,"Honorários Jurídicos")</f>
        <v>0</v>
      </c>
      <c r="CA61" s="39">
        <f>SUMIFS(Lançamentos!$G:$G,Lançamentos!$A:$A,CA$19,Lançamentos!$C:$C,"Honorários Jurídicos")</f>
        <v>0</v>
      </c>
      <c r="CB61" s="39">
        <f>SUMIFS(Lançamentos!$G:$G,Lançamentos!$A:$A,CB$19,Lançamentos!$C:$C,"Honorários Jurídicos")</f>
        <v>0</v>
      </c>
      <c r="CC61" s="39">
        <f>SUMIFS(Lançamentos!$G:$G,Lançamentos!$A:$A,CC$19,Lançamentos!$C:$C,"Honorários Jurídicos")</f>
        <v>0</v>
      </c>
      <c r="CD61" s="39">
        <f>SUMIFS(Lançamentos!$G:$G,Lançamentos!$A:$A,CD$19,Lançamentos!$C:$C,"Honorários Jurídicos")</f>
        <v>0</v>
      </c>
      <c r="CE61" s="39">
        <f>SUMIFS(Lançamentos!$G:$G,Lançamentos!$A:$A,CE$19,Lançamentos!$C:$C,"Honorários Jurídicos")</f>
        <v>0</v>
      </c>
      <c r="CF61" s="39">
        <f>SUMIFS(Lançamentos!$G:$G,Lançamentos!$A:$A,CF$19,Lançamentos!$C:$C,"Honorários Jurídicos")</f>
        <v>0</v>
      </c>
      <c r="CG61" s="39">
        <f>SUMIFS(Lançamentos!$G:$G,Lançamentos!$A:$A,CG$19,Lançamentos!$C:$C,"Honorários Jurídicos")</f>
        <v>0</v>
      </c>
      <c r="CH61" s="39">
        <f>SUMIFS(Lançamentos!$G:$G,Lançamentos!$A:$A,CH$19,Lançamentos!$C:$C,"Honorários Jurídicos")</f>
        <v>0</v>
      </c>
      <c r="CI61" s="39">
        <f>SUMIFS(Lançamentos!$G:$G,Lançamentos!$A:$A,CI$19,Lançamentos!$C:$C,"Honorários Jurídicos")</f>
        <v>0</v>
      </c>
      <c r="CJ61" s="39">
        <f>SUMIFS(Lançamentos!$G:$G,Lançamentos!$A:$A,CJ$19,Lançamentos!$C:$C,"Honorários Jurídicos")</f>
        <v>0</v>
      </c>
      <c r="CK61" s="39">
        <f>SUMIFS(Lançamentos!$G:$G,Lançamentos!$A:$A,CK$19,Lançamentos!$C:$C,"Honorários Jurídicos")</f>
        <v>0</v>
      </c>
      <c r="CL61" s="39">
        <f>SUMIFS(Lançamentos!$G:$G,Lançamentos!$A:$A,CL$19,Lançamentos!$C:$C,"Honorários Jurídicos")</f>
        <v>0</v>
      </c>
      <c r="CM61" s="39">
        <f>SUMIFS(Lançamentos!$G:$G,Lançamentos!$A:$A,CM$19,Lançamentos!$C:$C,"Honorários Jurídicos")</f>
        <v>0</v>
      </c>
      <c r="CN61" s="39">
        <f>SUMIFS(Lançamentos!$G:$G,Lançamentos!$A:$A,CN$19,Lançamentos!$C:$C,"Honorários Jurídicos")</f>
        <v>0</v>
      </c>
      <c r="CO61" s="39">
        <f>SUMIFS(Lançamentos!$G:$G,Lançamentos!$A:$A,CO$19,Lançamentos!$C:$C,"Honorários Jurídicos")</f>
        <v>0</v>
      </c>
      <c r="CP61" s="39">
        <f>SUMIFS(Lançamentos!$G:$G,Lançamentos!$A:$A,CP$19,Lançamentos!$C:$C,"Honorários Jurídicos")</f>
        <v>0</v>
      </c>
      <c r="CQ61" s="39">
        <f>SUMIFS(Lançamentos!$G:$G,Lançamentos!$A:$A,CQ$19,Lançamentos!$C:$C,"Honorários Jurídicos")</f>
        <v>0</v>
      </c>
      <c r="CR61" s="39">
        <f>SUMIFS(Lançamentos!$G:$G,Lançamentos!$A:$A,CR$19,Lançamentos!$C:$C,"Honorários Jurídicos")</f>
        <v>0</v>
      </c>
      <c r="CS61" s="39">
        <f>SUMIFS(Lançamentos!$G:$G,Lançamentos!$A:$A,CS$19,Lançamentos!$C:$C,"Honorários Jurídicos")</f>
        <v>0</v>
      </c>
      <c r="CT61" s="39">
        <f>SUMIFS(Lançamentos!$G:$G,Lançamentos!$A:$A,CT$19,Lançamentos!$C:$C,"Honorários Jurídicos")</f>
        <v>0</v>
      </c>
      <c r="CU61" s="39">
        <f>SUMIFS(Lançamentos!$G:$G,Lançamentos!$A:$A,CU$19,Lançamentos!$C:$C,"Honorários Jurídicos")</f>
        <v>0</v>
      </c>
      <c r="CV61" s="39">
        <f>SUMIFS(Lançamentos!$G:$G,Lançamentos!$A:$A,CV$19,Lançamentos!$C:$C,"Honorários Jurídicos")</f>
        <v>0</v>
      </c>
      <c r="CW61" s="39">
        <f>SUMIFS(Lançamentos!$G:$G,Lançamentos!$A:$A,CW$19,Lançamentos!$C:$C,"Honorários Jurídicos")</f>
        <v>0</v>
      </c>
      <c r="CX61" s="39">
        <f>SUMIFS(Lançamentos!$G:$G,Lançamentos!$A:$A,CX$19,Lançamentos!$C:$C,"Honorários Jurídicos")</f>
        <v>0</v>
      </c>
      <c r="CY61" s="39">
        <f>SUMIFS(Lançamentos!$G:$G,Lançamentos!$A:$A,CY$19,Lançamentos!$C:$C,"Honorários Jurídicos")</f>
        <v>0</v>
      </c>
      <c r="CZ61" s="39">
        <f>SUMIFS(Lançamentos!$G:$G,Lançamentos!$A:$A,CZ$19,Lançamentos!$C:$C,"Honorários Jurídicos")</f>
        <v>0</v>
      </c>
      <c r="DA61" s="39">
        <f>SUMIFS(Lançamentos!$G:$G,Lançamentos!$A:$A,DA$19,Lançamentos!$C:$C,"Honorários Jurídicos")</f>
        <v>0</v>
      </c>
      <c r="DB61" s="39">
        <f>SUMIFS(Lançamentos!$G:$G,Lançamentos!$A:$A,DB$19,Lançamentos!$C:$C,"Honorários Jurídicos")</f>
        <v>0</v>
      </c>
      <c r="DC61" s="39">
        <f>SUMIFS(Lançamentos!$G:$G,Lançamentos!$A:$A,DC$19,Lançamentos!$C:$C,"Honorários Jurídicos")</f>
        <v>0</v>
      </c>
      <c r="DD61" s="39">
        <f>SUMIFS(Lançamentos!$G:$G,Lançamentos!$A:$A,DD$19,Lançamentos!$C:$C,"Honorários Jurídicos")</f>
        <v>0</v>
      </c>
      <c r="DE61" s="39">
        <f>SUMIFS(Lançamentos!$G:$G,Lançamentos!$A:$A,DE$19,Lançamentos!$C:$C,"Honorários Jurídicos")</f>
        <v>0</v>
      </c>
      <c r="DF61" s="39">
        <f>SUMIFS(Lançamentos!$G:$G,Lançamentos!$A:$A,DF$19,Lançamentos!$C:$C,"Honorários Jurídicos")</f>
        <v>0</v>
      </c>
      <c r="DG61" s="39">
        <f>SUMIFS(Lançamentos!$G:$G,Lançamentos!$A:$A,DG$19,Lançamentos!$C:$C,"Honorários Jurídicos")</f>
        <v>0</v>
      </c>
      <c r="DH61" s="39">
        <f>SUMIFS(Lançamentos!$G:$G,Lançamentos!$A:$A,DH$19,Lançamentos!$C:$C,"Honorários Jurídicos")</f>
        <v>0</v>
      </c>
      <c r="DI61" s="39">
        <f>SUMIFS(Lançamentos!$G:$G,Lançamentos!$A:$A,DI$19,Lançamentos!$C:$C,"Honorários Jurídicos")</f>
        <v>0</v>
      </c>
      <c r="DJ61" s="39">
        <f>SUMIFS(Lançamentos!$G:$G,Lançamentos!$A:$A,DJ$19,Lançamentos!$C:$C,"Honorários Jurídicos")</f>
        <v>0</v>
      </c>
      <c r="DK61" s="39">
        <f>SUMIFS(Lançamentos!$G:$G,Lançamentos!$A:$A,DK$19,Lançamentos!$C:$C,"Honorários Jurídicos")</f>
        <v>0</v>
      </c>
      <c r="DL61" s="39">
        <f>SUMIFS(Lançamentos!$G:$G,Lançamentos!$A:$A,DL$19,Lançamentos!$C:$C,"Honorários Jurídicos")</f>
        <v>0</v>
      </c>
      <c r="DM61" s="39">
        <f>SUMIFS(Lançamentos!$G:$G,Lançamentos!$A:$A,DM$19,Lançamentos!$C:$C,"Honorários Jurídicos")</f>
        <v>0</v>
      </c>
      <c r="DN61" s="39">
        <f>SUMIFS(Lançamentos!$G:$G,Lançamentos!$A:$A,DN$19,Lançamentos!$C:$C,"Honorários Jurídicos")</f>
        <v>0</v>
      </c>
      <c r="DO61" s="39">
        <f>SUMIFS(Lançamentos!$G:$G,Lançamentos!$A:$A,DO$19,Lançamentos!$C:$C,"Honorários Jurídicos")</f>
        <v>0</v>
      </c>
      <c r="DP61" s="39">
        <f>SUMIFS(Lançamentos!$G:$G,Lançamentos!$A:$A,DP$19,Lançamentos!$C:$C,"Honorários Jurídicos")</f>
        <v>0</v>
      </c>
      <c r="DQ61" s="39">
        <f>SUMIFS(Lançamentos!$G:$G,Lançamentos!$A:$A,DQ$19,Lançamentos!$C:$C,"Honorários Jurídicos")</f>
        <v>0</v>
      </c>
      <c r="DR61" s="39">
        <f>SUMIFS(Lançamentos!$G:$G,Lançamentos!$A:$A,DR$19,Lançamentos!$C:$C,"Honorários Jurídicos")</f>
        <v>0</v>
      </c>
      <c r="DS61" s="39">
        <f>SUMIFS(Lançamentos!$G:$G,Lançamentos!$A:$A,DS$19,Lançamentos!$C:$C,"Honorários Jurídicos")</f>
        <v>0</v>
      </c>
      <c r="DT61" s="39">
        <f>SUMIFS(Lançamentos!$G:$G,Lançamentos!$A:$A,DT$19,Lançamentos!$C:$C,"Honorários Jurídicos")</f>
        <v>0</v>
      </c>
      <c r="DU61" s="39">
        <f>SUMIFS(Lançamentos!$G:$G,Lançamentos!$A:$A,DU$19,Lançamentos!$C:$C,"Honorários Jurídicos")</f>
        <v>0</v>
      </c>
      <c r="DV61" s="39">
        <f>SUMIFS(Lançamentos!$G:$G,Lançamentos!$A:$A,DV$19,Lançamentos!$C:$C,"Honorários Jurídicos")</f>
        <v>0</v>
      </c>
      <c r="DW61" s="39">
        <f>SUMIFS(Lançamentos!$G:$G,Lançamentos!$A:$A,DW$19,Lançamentos!$C:$C,"Honorários Jurídicos")</f>
        <v>0</v>
      </c>
      <c r="DX61" s="39">
        <f>SUMIFS(Lançamentos!$G:$G,Lançamentos!$A:$A,DX$19,Lançamentos!$C:$C,"Honorários Jurídicos")</f>
        <v>0</v>
      </c>
      <c r="DY61" s="39">
        <f>SUMIFS(Lançamentos!$G:$G,Lançamentos!$A:$A,DY$19,Lançamentos!$C:$C,"Honorários Jurídicos")</f>
        <v>0</v>
      </c>
      <c r="DZ61" s="39">
        <f>SUMIFS(Lançamentos!$G:$G,Lançamentos!$A:$A,DZ$19,Lançamentos!$C:$C,"Honorários Jurídicos")</f>
        <v>0</v>
      </c>
      <c r="EA61" s="39">
        <f>SUMIFS(Lançamentos!$G:$G,Lançamentos!$A:$A,EA$19,Lançamentos!$C:$C,"Honorários Jurídicos")</f>
        <v>0</v>
      </c>
      <c r="EB61" s="39">
        <f>SUMIFS(Lançamentos!$G:$G,Lançamentos!$A:$A,EB$19,Lançamentos!$C:$C,"Honorários Jurídicos")</f>
        <v>0</v>
      </c>
      <c r="EC61" s="39">
        <f>SUMIFS(Lançamentos!$G:$G,Lançamentos!$A:$A,EC$19,Lançamentos!$C:$C,"Honorários Jurídicos")</f>
        <v>0</v>
      </c>
      <c r="ED61" s="39">
        <f>SUMIFS(Lançamentos!$G:$G,Lançamentos!$A:$A,ED$19,Lançamentos!$C:$C,"Honorários Jurídicos")</f>
        <v>0</v>
      </c>
      <c r="EE61" s="39">
        <f>SUMIFS(Lançamentos!$G:$G,Lançamentos!$A:$A,EE$19,Lançamentos!$C:$C,"Honorários Jurídicos")</f>
        <v>0</v>
      </c>
      <c r="EF61" s="39">
        <f>SUMIFS(Lançamentos!$G:$G,Lançamentos!$A:$A,EF$19,Lançamentos!$C:$C,"Honorários Jurídicos")</f>
        <v>0</v>
      </c>
      <c r="EG61" s="39">
        <f>SUMIFS(Lançamentos!$G:$G,Lançamentos!$A:$A,EG$19,Lançamentos!$C:$C,"Honorários Jurídicos")</f>
        <v>0</v>
      </c>
      <c r="EH61" s="39">
        <f>SUMIFS(Lançamentos!$G:$G,Lançamentos!$A:$A,EH$19,Lançamentos!$C:$C,"Honorários Jurídicos")</f>
        <v>0</v>
      </c>
      <c r="EI61" s="39">
        <f>SUMIFS(Lançamentos!$G:$G,Lançamentos!$A:$A,EI$19,Lançamentos!$C:$C,"Honorários Jurídicos")</f>
        <v>0</v>
      </c>
      <c r="EJ61" s="39">
        <f>SUMIFS(Lançamentos!$G:$G,Lançamentos!$A:$A,EJ$19,Lançamentos!$C:$C,"Honorários Jurídicos")</f>
        <v>0</v>
      </c>
      <c r="EK61" s="39">
        <f>SUMIFS(Lançamentos!$G:$G,Lançamentos!$A:$A,EK$19,Lançamentos!$C:$C,"Honorários Jurídicos")</f>
        <v>0</v>
      </c>
      <c r="EL61" s="39">
        <f>SUMIFS(Lançamentos!$G:$G,Lançamentos!$A:$A,EL$19,Lançamentos!$C:$C,"Honorários Jurídicos")</f>
        <v>0</v>
      </c>
      <c r="EM61" s="39">
        <f>SUMIFS(Lançamentos!$G:$G,Lançamentos!$A:$A,EM$19,Lançamentos!$C:$C,"Honorários Jurídicos")</f>
        <v>0</v>
      </c>
      <c r="EN61" s="39">
        <f>SUMIFS(Lançamentos!$G:$G,Lançamentos!$A:$A,EN$19,Lançamentos!$C:$C,"Honorários Jurídicos")</f>
        <v>0</v>
      </c>
      <c r="EO61" s="39">
        <f>SUMIFS(Lançamentos!$G:$G,Lançamentos!$A:$A,EO$19,Lançamentos!$C:$C,"Honorários Jurídicos")</f>
        <v>0</v>
      </c>
      <c r="EP61" s="39">
        <f>SUMIFS(Lançamentos!$G:$G,Lançamentos!$A:$A,EP$19,Lançamentos!$C:$C,"Honorários Jurídicos")</f>
        <v>0</v>
      </c>
      <c r="EQ61" s="39">
        <f>SUMIFS(Lançamentos!$G:$G,Lançamentos!$A:$A,EQ$19,Lançamentos!$C:$C,"Honorários Jurídicos")</f>
        <v>0</v>
      </c>
      <c r="ER61" s="39">
        <f>SUMIFS(Lançamentos!$G:$G,Lançamentos!$A:$A,ER$19,Lançamentos!$C:$C,"Honorários Jurídicos")</f>
        <v>0</v>
      </c>
      <c r="ES61" s="39">
        <f>SUMIFS(Lançamentos!$G:$G,Lançamentos!$A:$A,ES$19,Lançamentos!$C:$C,"Honorários Jurídicos")</f>
        <v>0</v>
      </c>
      <c r="ET61" s="39">
        <f>SUMIFS(Lançamentos!$G:$G,Lançamentos!$A:$A,ET$19,Lançamentos!$C:$C,"Honorários Jurídicos")</f>
        <v>0</v>
      </c>
      <c r="EU61" s="39">
        <f>SUMIFS(Lançamentos!$G:$G,Lançamentos!$A:$A,EU$19,Lançamentos!$C:$C,"Honorários Jurídicos")</f>
        <v>0</v>
      </c>
      <c r="EV61" s="39">
        <f>SUMIFS(Lançamentos!$G:$G,Lançamentos!$A:$A,EV$19,Lançamentos!$C:$C,"Honorários Jurídicos")</f>
        <v>0</v>
      </c>
      <c r="EW61" s="39">
        <f>SUMIFS(Lançamentos!$G:$G,Lançamentos!$A:$A,EW$19,Lançamentos!$C:$C,"Honorários Jurídicos")</f>
        <v>0</v>
      </c>
      <c r="EX61" s="39">
        <f>SUMIFS(Lançamentos!$G:$G,Lançamentos!$A:$A,EX$19,Lançamentos!$C:$C,"Honorários Jurídicos")</f>
        <v>0</v>
      </c>
      <c r="EY61" s="39">
        <f>SUMIFS(Lançamentos!$G:$G,Lançamentos!$A:$A,EY$19,Lançamentos!$C:$C,"Honorários Jurídicos")</f>
        <v>0</v>
      </c>
      <c r="EZ61" s="39">
        <f>SUMIFS(Lançamentos!$G:$G,Lançamentos!$A:$A,EZ$19,Lançamentos!$C:$C,"Honorários Jurídicos")</f>
        <v>0</v>
      </c>
      <c r="FA61" s="39">
        <f>SUMIFS(Lançamentos!$G:$G,Lançamentos!$A:$A,FA$19,Lançamentos!$C:$C,"Honorários Jurídicos")</f>
        <v>0</v>
      </c>
      <c r="FB61" s="39">
        <f>SUMIFS(Lançamentos!$G:$G,Lançamentos!$A:$A,FB$19,Lançamentos!$C:$C,"Honorários Jurídicos")</f>
        <v>0</v>
      </c>
      <c r="FC61" s="39">
        <f>SUMIFS(Lançamentos!$G:$G,Lançamentos!$A:$A,FC$19,Lançamentos!$C:$C,"Honorários Jurídicos")</f>
        <v>0</v>
      </c>
      <c r="FD61" s="39">
        <f>SUMIFS(Lançamentos!$G:$G,Lançamentos!$A:$A,FD$19,Lançamentos!$C:$C,"Honorários Jurídicos")</f>
        <v>0</v>
      </c>
      <c r="FE61" s="39">
        <f>SUMIFS(Lançamentos!$G:$G,Lançamentos!$A:$A,FE$19,Lançamentos!$C:$C,"Honorários Jurídicos")</f>
        <v>0</v>
      </c>
      <c r="FF61" s="39">
        <f>SUMIFS(Lançamentos!$G:$G,Lançamentos!$A:$A,FF$19,Lançamentos!$C:$C,"Honorários Jurídicos")</f>
        <v>0</v>
      </c>
      <c r="FG61" s="39">
        <f>SUMIFS(Lançamentos!$G:$G,Lançamentos!$A:$A,FG$19,Lançamentos!$C:$C,"Honorários Jurídicos")</f>
        <v>0</v>
      </c>
      <c r="FH61" s="39">
        <f>SUMIFS(Lançamentos!$G:$G,Lançamentos!$A:$A,FH$19,Lançamentos!$C:$C,"Honorários Jurídicos")</f>
        <v>0</v>
      </c>
      <c r="FI61" s="39">
        <f>SUMIFS(Lançamentos!$G:$G,Lançamentos!$A:$A,FI$19,Lançamentos!$C:$C,"Honorários Jurídicos")</f>
        <v>0</v>
      </c>
      <c r="FJ61" s="39">
        <f>SUMIFS(Lançamentos!$G:$G,Lançamentos!$A:$A,FJ$19,Lançamentos!$C:$C,"Honorários Jurídicos")</f>
        <v>0</v>
      </c>
      <c r="FK61" s="39">
        <f>SUMIFS(Lançamentos!$G:$G,Lançamentos!$A:$A,FK$19,Lançamentos!$C:$C,"Honorários Jurídicos")</f>
        <v>0</v>
      </c>
      <c r="FL61" s="39">
        <f>SUMIFS(Lançamentos!$G:$G,Lançamentos!$A:$A,FL$19,Lançamentos!$C:$C,"Honorários Jurídicos")</f>
        <v>0</v>
      </c>
      <c r="FM61" s="39">
        <f>SUMIFS(Lançamentos!$G:$G,Lançamentos!$A:$A,FM$19,Lançamentos!$C:$C,"Honorários Jurídicos")</f>
        <v>0</v>
      </c>
      <c r="FN61" s="39">
        <f>SUMIFS(Lançamentos!$G:$G,Lançamentos!$A:$A,FN$19,Lançamentos!$C:$C,"Honorários Jurídicos")</f>
        <v>0</v>
      </c>
      <c r="FO61" s="39">
        <f>SUMIFS(Lançamentos!$G:$G,Lançamentos!$A:$A,FO$19,Lançamentos!$C:$C,"Honorários Jurídicos")</f>
        <v>0</v>
      </c>
      <c r="FP61" s="39">
        <f>SUMIFS(Lançamentos!$G:$G,Lançamentos!$A:$A,FP$19,Lançamentos!$C:$C,"Honorários Jurídicos")</f>
        <v>0</v>
      </c>
      <c r="FQ61" s="39">
        <f>SUMIFS(Lançamentos!$G:$G,Lançamentos!$A:$A,FQ$19,Lançamentos!$C:$C,"Honorários Jurídicos")</f>
        <v>0</v>
      </c>
      <c r="FR61" s="39">
        <f>SUMIFS(Lançamentos!$G:$G,Lançamentos!$A:$A,FR$19,Lançamentos!$C:$C,"Honorários Jurídicos")</f>
        <v>0</v>
      </c>
      <c r="FS61" s="39">
        <f>SUMIFS(Lançamentos!$G:$G,Lançamentos!$A:$A,FS$19,Lançamentos!$C:$C,"Honorários Jurídicos")</f>
        <v>0</v>
      </c>
      <c r="FT61" s="39">
        <f>SUMIFS(Lançamentos!$G:$G,Lançamentos!$A:$A,FT$19,Lançamentos!$C:$C,"Honorários Jurídicos")</f>
        <v>0</v>
      </c>
      <c r="FU61" s="39">
        <f>SUMIFS(Lançamentos!$G:$G,Lançamentos!$A:$A,FU$19,Lançamentos!$C:$C,"Honorários Jurídicos")</f>
        <v>0</v>
      </c>
      <c r="FV61" s="39">
        <f>SUMIFS(Lançamentos!$G:$G,Lançamentos!$A:$A,FV$19,Lançamentos!$C:$C,"Honorários Jurídicos")</f>
        <v>0</v>
      </c>
      <c r="FW61" s="39">
        <f>SUMIFS(Lançamentos!$G:$G,Lançamentos!$A:$A,FW$19,Lançamentos!$C:$C,"Honorários Jurídicos")</f>
        <v>0</v>
      </c>
      <c r="FX61" s="39">
        <f>SUMIFS(Lançamentos!$G:$G,Lançamentos!$A:$A,FX$19,Lançamentos!$C:$C,"Honorários Jurídicos")</f>
        <v>0</v>
      </c>
      <c r="FY61" s="39">
        <f>SUMIFS(Lançamentos!$G:$G,Lançamentos!$A:$A,FY$19,Lançamentos!$C:$C,"Honorários Jurídicos")</f>
        <v>0</v>
      </c>
      <c r="FZ61" s="39">
        <f>SUMIFS(Lançamentos!$G:$G,Lançamentos!$A:$A,FZ$19,Lançamentos!$C:$C,"Honorários Jurídicos")</f>
        <v>0</v>
      </c>
      <c r="GA61" s="39">
        <f>SUMIFS(Lançamentos!$G:$G,Lançamentos!$A:$A,GA$19,Lançamentos!$C:$C,"Honorários Jurídicos")</f>
        <v>0</v>
      </c>
      <c r="GB61" s="39">
        <f>SUMIFS(Lançamentos!$G:$G,Lançamentos!$A:$A,GB$19,Lançamentos!$C:$C,"Honorários Jurídicos")</f>
        <v>0</v>
      </c>
      <c r="GC61" s="39">
        <f>SUMIFS(Lançamentos!$G:$G,Lançamentos!$A:$A,GC$19,Lançamentos!$C:$C,"Honorários Jurídicos")</f>
        <v>0</v>
      </c>
      <c r="GD61" s="39">
        <f>SUMIFS(Lançamentos!$G:$G,Lançamentos!$A:$A,GD$19,Lançamentos!$C:$C,"Honorários Jurídicos")</f>
        <v>0</v>
      </c>
      <c r="GE61" s="39">
        <f>SUMIFS(Lançamentos!$G:$G,Lançamentos!$A:$A,GE$19,Lançamentos!$C:$C,"Honorários Jurídicos")</f>
        <v>0</v>
      </c>
      <c r="GF61" s="39">
        <f>SUMIFS(Lançamentos!$G:$G,Lançamentos!$A:$A,GF$19,Lançamentos!$C:$C,"Honorários Jurídicos")</f>
        <v>0</v>
      </c>
      <c r="GG61" s="39">
        <f>SUMIFS(Lançamentos!$G:$G,Lançamentos!$A:$A,GG$19,Lançamentos!$C:$C,"Honorários Jurídicos")</f>
        <v>0</v>
      </c>
      <c r="GH61" s="39">
        <f>SUMIFS(Lançamentos!$G:$G,Lançamentos!$A:$A,GH$19,Lançamentos!$C:$C,"Honorários Jurídicos")</f>
        <v>0</v>
      </c>
      <c r="GI61" s="39">
        <f>SUMIFS(Lançamentos!$G:$G,Lançamentos!$A:$A,GI$19,Lançamentos!$C:$C,"Honorários Jurídicos")</f>
        <v>0</v>
      </c>
      <c r="GJ61" s="39">
        <f>SUMIFS(Lançamentos!$G:$G,Lançamentos!$A:$A,GJ$19,Lançamentos!$C:$C,"Honorários Jurídicos")</f>
        <v>0</v>
      </c>
      <c r="GK61" s="39">
        <f>SUMIFS(Lançamentos!$G:$G,Lançamentos!$A:$A,GK$19,Lançamentos!$C:$C,"Honorários Jurídicos")</f>
        <v>0</v>
      </c>
      <c r="GL61" s="39">
        <f>SUMIFS(Lançamentos!$G:$G,Lançamentos!$A:$A,GL$19,Lançamentos!$C:$C,"Honorários Jurídicos")</f>
        <v>0</v>
      </c>
      <c r="GM61" s="39">
        <f>SUMIFS(Lançamentos!$G:$G,Lançamentos!$A:$A,GM$19,Lançamentos!$C:$C,"Honorários Jurídicos")</f>
        <v>0</v>
      </c>
      <c r="GN61" s="39">
        <f>SUMIFS(Lançamentos!$G:$G,Lançamentos!$A:$A,GN$19,Lançamentos!$C:$C,"Honorários Jurídicos")</f>
        <v>0</v>
      </c>
      <c r="GO61" s="39">
        <f>SUMIFS(Lançamentos!$G:$G,Lançamentos!$A:$A,GO$19,Lançamentos!$C:$C,"Honorários Jurídicos")</f>
        <v>0</v>
      </c>
      <c r="GP61" s="39">
        <f>SUMIFS(Lançamentos!$G:$G,Lançamentos!$A:$A,GP$19,Lançamentos!$C:$C,"Honorários Jurídicos")</f>
        <v>0</v>
      </c>
      <c r="GQ61" s="39">
        <f>SUMIFS(Lançamentos!$G:$G,Lançamentos!$A:$A,GQ$19,Lançamentos!$C:$C,"Honorários Jurídicos")</f>
        <v>0</v>
      </c>
      <c r="GR61" s="39">
        <f>SUMIFS(Lançamentos!$G:$G,Lançamentos!$A:$A,GR$19,Lançamentos!$C:$C,"Honorários Jurídicos")</f>
        <v>0</v>
      </c>
      <c r="GS61" s="39">
        <f>SUMIFS(Lançamentos!$G:$G,Lançamentos!$A:$A,GS$19,Lançamentos!$C:$C,"Honorários Jurídicos")</f>
        <v>0</v>
      </c>
      <c r="GT61" s="39">
        <f>SUMIFS(Lançamentos!$G:$G,Lançamentos!$A:$A,GT$19,Lançamentos!$C:$C,"Honorários Jurídicos")</f>
        <v>0</v>
      </c>
      <c r="GU61" s="39">
        <f>SUMIFS(Lançamentos!$G:$G,Lançamentos!$A:$A,GU$19,Lançamentos!$C:$C,"Honorários Jurídicos")</f>
        <v>0</v>
      </c>
      <c r="GV61" s="39">
        <f>SUMIFS(Lançamentos!$G:$G,Lançamentos!$A:$A,GV$19,Lançamentos!$C:$C,"Honorários Jurídicos")</f>
        <v>0</v>
      </c>
      <c r="GW61" s="39">
        <f>SUMIFS(Lançamentos!$G:$G,Lançamentos!$A:$A,GW$19,Lançamentos!$C:$C,"Honorários Jurídicos")</f>
        <v>0</v>
      </c>
      <c r="GX61" s="39">
        <f>SUMIFS(Lançamentos!$G:$G,Lançamentos!$A:$A,GX$19,Lançamentos!$C:$C,"Honorários Jurídicos")</f>
        <v>0</v>
      </c>
      <c r="GY61" s="39">
        <f>SUMIFS(Lançamentos!$G:$G,Lançamentos!$A:$A,GY$19,Lançamentos!$C:$C,"Honorários Jurídicos")</f>
        <v>0</v>
      </c>
      <c r="GZ61" s="39">
        <f>SUMIFS(Lançamentos!$G:$G,Lançamentos!$A:$A,GZ$19,Lançamentos!$C:$C,"Honorários Jurídicos")</f>
        <v>0</v>
      </c>
      <c r="HA61" s="39">
        <f>SUMIFS(Lançamentos!$G:$G,Lançamentos!$A:$A,HA$19,Lançamentos!$C:$C,"Honorários Jurídicos")</f>
        <v>0</v>
      </c>
      <c r="HB61" s="39">
        <f>SUMIFS(Lançamentos!$G:$G,Lançamentos!$A:$A,HB$19,Lançamentos!$C:$C,"Honorários Jurídicos")</f>
        <v>0</v>
      </c>
      <c r="HC61" s="39">
        <f>SUMIFS(Lançamentos!$G:$G,Lançamentos!$A:$A,HC$19,Lançamentos!$C:$C,"Honorários Jurídicos")</f>
        <v>0</v>
      </c>
      <c r="HD61" s="39">
        <f>SUMIFS(Lançamentos!$G:$G,Lançamentos!$A:$A,HD$19,Lançamentos!$C:$C,"Honorários Jurídicos")</f>
        <v>0</v>
      </c>
      <c r="HE61" s="39">
        <f>SUMIFS(Lançamentos!$G:$G,Lançamentos!$A:$A,HE$19,Lançamentos!$C:$C,"Honorários Jurídicos")</f>
        <v>0</v>
      </c>
      <c r="HF61" s="39">
        <f>SUMIFS(Lançamentos!$G:$G,Lançamentos!$A:$A,HF$19,Lançamentos!$C:$C,"Honorários Jurídicos")</f>
        <v>0</v>
      </c>
      <c r="HG61" s="39">
        <f>SUMIFS(Lançamentos!$G:$G,Lançamentos!$A:$A,HG$19,Lançamentos!$C:$C,"Honorários Jurídicos")</f>
        <v>0</v>
      </c>
      <c r="HH61" s="39">
        <f>SUMIFS(Lançamentos!$G:$G,Lançamentos!$A:$A,HH$19,Lançamentos!$C:$C,"Honorários Jurídicos")</f>
        <v>0</v>
      </c>
      <c r="HI61" s="39">
        <f>SUMIFS(Lançamentos!$G:$G,Lançamentos!$A:$A,HI$19,Lançamentos!$C:$C,"Honorários Jurídicos")</f>
        <v>0</v>
      </c>
      <c r="HJ61" s="39">
        <f>SUMIFS(Lançamentos!$G:$G,Lançamentos!$A:$A,HJ$19,Lançamentos!$C:$C,"Honorários Jurídicos")</f>
        <v>0</v>
      </c>
      <c r="HK61" s="39">
        <f>SUMIFS(Lançamentos!$G:$G,Lançamentos!$A:$A,HK$19,Lançamentos!$C:$C,"Honorários Jurídicos")</f>
        <v>0</v>
      </c>
      <c r="HL61" s="39">
        <f>SUMIFS(Lançamentos!$G:$G,Lançamentos!$A:$A,HL$19,Lançamentos!$C:$C,"Honorários Jurídicos")</f>
        <v>0</v>
      </c>
      <c r="HM61" s="39">
        <f>SUMIFS(Lançamentos!$G:$G,Lançamentos!$A:$A,HM$19,Lançamentos!$C:$C,"Honorários Jurídicos")</f>
        <v>0</v>
      </c>
      <c r="HN61" s="39">
        <f>SUMIFS(Lançamentos!$G:$G,Lançamentos!$A:$A,HN$19,Lançamentos!$C:$C,"Honorários Jurídicos")</f>
        <v>0</v>
      </c>
      <c r="HO61" s="39">
        <f>SUMIFS(Lançamentos!$G:$G,Lançamentos!$A:$A,HO$19,Lançamentos!$C:$C,"Honorários Jurídicos")</f>
        <v>0</v>
      </c>
      <c r="HP61" s="39">
        <f>SUMIFS(Lançamentos!$G:$G,Lançamentos!$A:$A,HP$19,Lançamentos!$C:$C,"Honorários Jurídicos")</f>
        <v>0</v>
      </c>
      <c r="HQ61" s="39">
        <f>SUMIFS(Lançamentos!$G:$G,Lançamentos!$A:$A,HQ$19,Lançamentos!$C:$C,"Honorários Jurídicos")</f>
        <v>0</v>
      </c>
      <c r="HR61" s="39">
        <f>SUMIFS(Lançamentos!$G:$G,Lançamentos!$A:$A,HR$19,Lançamentos!$C:$C,"Honorários Jurídicos")</f>
        <v>0</v>
      </c>
      <c r="HS61" s="39">
        <f>SUMIFS(Lançamentos!$G:$G,Lançamentos!$A:$A,HS$19,Lançamentos!$C:$C,"Honorários Jurídicos")</f>
        <v>0</v>
      </c>
      <c r="HT61" s="39">
        <f>SUMIFS(Lançamentos!$G:$G,Lançamentos!$A:$A,HT$19,Lançamentos!$C:$C,"Honorários Jurídicos")</f>
        <v>0</v>
      </c>
      <c r="HU61" s="39">
        <f>SUMIFS(Lançamentos!$G:$G,Lançamentos!$A:$A,HU$19,Lançamentos!$C:$C,"Honorários Jurídicos")</f>
        <v>0</v>
      </c>
      <c r="HV61" s="39">
        <f>SUMIFS(Lançamentos!$G:$G,Lançamentos!$A:$A,HV$19,Lançamentos!$C:$C,"Honorários Jurídicos")</f>
        <v>0</v>
      </c>
      <c r="HW61" s="39">
        <f>SUMIFS(Lançamentos!$G:$G,Lançamentos!$A:$A,HW$19,Lançamentos!$C:$C,"Honorários Jurídicos")</f>
        <v>0</v>
      </c>
      <c r="HX61" s="39">
        <f>SUMIFS(Lançamentos!$G:$G,Lançamentos!$A:$A,HX$19,Lançamentos!$C:$C,"Honorários Jurídicos")</f>
        <v>0</v>
      </c>
      <c r="HY61" s="39">
        <f>SUMIFS(Lançamentos!$G:$G,Lançamentos!$A:$A,HY$19,Lançamentos!$C:$C,"Honorários Jurídicos")</f>
        <v>0</v>
      </c>
      <c r="HZ61" s="39">
        <f>SUMIFS(Lançamentos!$G:$G,Lançamentos!$A:$A,HZ$19,Lançamentos!$C:$C,"Honorários Jurídicos")</f>
        <v>0</v>
      </c>
      <c r="IA61" s="39">
        <f>SUMIFS(Lançamentos!$G:$G,Lançamentos!$A:$A,IA$19,Lançamentos!$C:$C,"Honorários Jurídicos")</f>
        <v>0</v>
      </c>
      <c r="IB61" s="39">
        <f>SUMIFS(Lançamentos!$G:$G,Lançamentos!$A:$A,IB$19,Lançamentos!$C:$C,"Honorários Jurídicos")</f>
        <v>0</v>
      </c>
      <c r="IC61" s="39">
        <f>SUMIFS(Lançamentos!$G:$G,Lançamentos!$A:$A,IC$19,Lançamentos!$C:$C,"Honorários Jurídicos")</f>
        <v>0</v>
      </c>
      <c r="ID61" s="39">
        <f>SUMIFS(Lançamentos!$G:$G,Lançamentos!$A:$A,ID$19,Lançamentos!$C:$C,"Honorários Jurídicos")</f>
        <v>0</v>
      </c>
      <c r="IE61" s="39">
        <f>SUMIFS(Lançamentos!$G:$G,Lançamentos!$A:$A,IE$19,Lançamentos!$C:$C,"Honorários Jurídicos")</f>
        <v>0</v>
      </c>
      <c r="IF61" s="39">
        <f>SUMIFS(Lançamentos!$G:$G,Lançamentos!$A:$A,IF$19,Lançamentos!$C:$C,"Honorários Jurídicos")</f>
        <v>0</v>
      </c>
      <c r="IG61" s="39">
        <f>SUMIFS(Lançamentos!$G:$G,Lançamentos!$A:$A,IG$19,Lançamentos!$C:$C,"Honorários Jurídicos")</f>
        <v>0</v>
      </c>
      <c r="IH61" s="39">
        <f>SUMIFS(Lançamentos!$G:$G,Lançamentos!$A:$A,IH$19,Lançamentos!$C:$C,"Honorários Jurídicos")</f>
        <v>0</v>
      </c>
      <c r="II61" s="39">
        <f>SUMIFS(Lançamentos!$G:$G,Lançamentos!$A:$A,II$19,Lançamentos!$C:$C,"Honorários Jurídicos")</f>
        <v>0</v>
      </c>
      <c r="IJ61" s="39">
        <f>SUMIFS(Lançamentos!$G:$G,Lançamentos!$A:$A,IJ$19,Lançamentos!$C:$C,"Honorários Jurídicos")</f>
        <v>0</v>
      </c>
      <c r="IK61" s="39">
        <f>SUMIFS(Lançamentos!$G:$G,Lançamentos!$A:$A,IK$19,Lançamentos!$C:$C,"Honorários Jurídicos")</f>
        <v>0</v>
      </c>
      <c r="IL61" s="39">
        <f>SUMIFS(Lançamentos!$G:$G,Lançamentos!$A:$A,IL$19,Lançamentos!$C:$C,"Honorários Jurídicos")</f>
        <v>0</v>
      </c>
    </row>
    <row r="62" spans="1:246" x14ac:dyDescent="0.3">
      <c r="A62" t="s">
        <v>107</v>
      </c>
      <c r="B62" s="39">
        <f>SUMIFS(Lançamentos!$G:$G,Lançamentos!$A:$A,B$19,Lançamentos!$C:$C,"Equipamentos e Informática")</f>
        <v>0</v>
      </c>
      <c r="C62" s="39">
        <f>SUMIFS(Lançamentos!$G:$G,Lançamentos!$A:$A,C$19,Lançamentos!$C:$C,"Equipamentos e Informática")</f>
        <v>0</v>
      </c>
      <c r="D62" s="39">
        <f>SUMIFS(Lançamentos!$G:$G,Lançamentos!$A:$A,D$19,Lançamentos!$C:$C,"Equipamentos e Informática")</f>
        <v>0</v>
      </c>
      <c r="E62" s="39">
        <f>SUMIFS(Lançamentos!$G:$G,Lançamentos!$A:$A,E$19,Lançamentos!$C:$C,"Equipamentos e Informática")</f>
        <v>0</v>
      </c>
      <c r="F62" s="39">
        <f>SUMIFS(Lançamentos!$G:$G,Lançamentos!$A:$A,F$19,Lançamentos!$C:$C,"Equipamentos e Informática")</f>
        <v>0</v>
      </c>
      <c r="G62" s="39">
        <f>SUMIFS(Lançamentos!$G:$G,Lançamentos!$A:$A,G$19,Lançamentos!$C:$C,"Equipamentos e Informática")</f>
        <v>0</v>
      </c>
      <c r="H62" s="39">
        <f>SUMIFS(Lançamentos!$G:$G,Lançamentos!$A:$A,H$19,Lançamentos!$C:$C,"Equipamentos e Informática")</f>
        <v>0</v>
      </c>
      <c r="I62" s="39">
        <f>SUMIFS(Lançamentos!$G:$G,Lançamentos!$A:$A,I$19,Lançamentos!$C:$C,"Equipamentos e Informática")</f>
        <v>0</v>
      </c>
      <c r="J62" s="39">
        <f>SUMIFS(Lançamentos!$G:$G,Lançamentos!$A:$A,J$19,Lançamentos!$C:$C,"Equipamentos e Informática")</f>
        <v>0</v>
      </c>
      <c r="K62" s="39">
        <f>SUMIFS(Lançamentos!$G:$G,Lançamentos!$A:$A,K$19,Lançamentos!$C:$C,"Equipamentos e Informática")</f>
        <v>0</v>
      </c>
      <c r="L62" s="39">
        <f>SUMIFS(Lançamentos!$G:$G,Lançamentos!$A:$A,L$19,Lançamentos!$C:$C,"Equipamentos e Informática")</f>
        <v>0</v>
      </c>
      <c r="M62" s="39">
        <f>SUMIFS(Lançamentos!$G:$G,Lançamentos!$A:$A,M$19,Lançamentos!$C:$C,"Equipamentos e Informática")</f>
        <v>0</v>
      </c>
      <c r="N62" s="39">
        <f>SUMIFS(Lançamentos!$G:$G,Lançamentos!$A:$A,N$19,Lançamentos!$C:$C,"Equipamentos e Informática")</f>
        <v>0</v>
      </c>
      <c r="O62" s="39">
        <f>SUMIFS(Lançamentos!$G:$G,Lançamentos!$A:$A,O$19,Lançamentos!$C:$C,"Equipamentos e Informática")</f>
        <v>0</v>
      </c>
      <c r="P62" s="39">
        <f>SUMIFS(Lançamentos!$G:$G,Lançamentos!$A:$A,P$19,Lançamentos!$C:$C,"Equipamentos e Informática")</f>
        <v>0</v>
      </c>
      <c r="Q62" s="39">
        <f>SUMIFS(Lançamentos!$G:$G,Lançamentos!$A:$A,Q$19,Lançamentos!$C:$C,"Equipamentos e Informática")</f>
        <v>0</v>
      </c>
      <c r="R62" s="39">
        <f>SUMIFS(Lançamentos!$G:$G,Lançamentos!$A:$A,R$19,Lançamentos!$C:$C,"Equipamentos e Informática")</f>
        <v>0</v>
      </c>
      <c r="S62" s="39">
        <f>SUMIFS(Lançamentos!$G:$G,Lançamentos!$A:$A,S$19,Lançamentos!$C:$C,"Equipamentos e Informática")</f>
        <v>0</v>
      </c>
      <c r="T62" s="39">
        <f>SUMIFS(Lançamentos!$G:$G,Lançamentos!$A:$A,T$19,Lançamentos!$C:$C,"Equipamentos e Informática")</f>
        <v>0</v>
      </c>
      <c r="U62" s="39">
        <f>SUMIFS(Lançamentos!$G:$G,Lançamentos!$A:$A,U$19,Lançamentos!$C:$C,"Equipamentos e Informática")</f>
        <v>0</v>
      </c>
      <c r="V62" s="39">
        <f>SUMIFS(Lançamentos!$G:$G,Lançamentos!$A:$A,V$19,Lançamentos!$C:$C,"Equipamentos e Informática")</f>
        <v>0</v>
      </c>
      <c r="W62" s="39">
        <f>SUMIFS(Lançamentos!$G:$G,Lançamentos!$A:$A,W$19,Lançamentos!$C:$C,"Equipamentos e Informática")</f>
        <v>0</v>
      </c>
      <c r="X62" s="39">
        <f>SUMIFS(Lançamentos!$G:$G,Lançamentos!$A:$A,X$19,Lançamentos!$C:$C,"Equipamentos e Informática")</f>
        <v>0</v>
      </c>
      <c r="Y62" s="39">
        <f>SUMIFS(Lançamentos!$G:$G,Lançamentos!$A:$A,Y$19,Lançamentos!$C:$C,"Equipamentos e Informática")</f>
        <v>0</v>
      </c>
      <c r="Z62" s="39">
        <f>SUMIFS(Lançamentos!$G:$G,Lançamentos!$A:$A,Z$19,Lançamentos!$C:$C,"Equipamentos e Informática")</f>
        <v>0</v>
      </c>
      <c r="AA62" s="39">
        <f>SUMIFS(Lançamentos!$G:$G,Lançamentos!$A:$A,AA$19,Lançamentos!$C:$C,"Equipamentos e Informática")</f>
        <v>0</v>
      </c>
      <c r="AB62" s="39">
        <f>SUMIFS(Lançamentos!$G:$G,Lançamentos!$A:$A,AB$19,Lançamentos!$C:$C,"Equipamentos e Informática")</f>
        <v>0</v>
      </c>
      <c r="AC62" s="39">
        <f>SUMIFS(Lançamentos!$G:$G,Lançamentos!$A:$A,AC$19,Lançamentos!$C:$C,"Equipamentos e Informática")</f>
        <v>0</v>
      </c>
      <c r="AD62" s="39">
        <f>SUMIFS(Lançamentos!$G:$G,Lançamentos!$A:$A,AD$19,Lançamentos!$C:$C,"Equipamentos e Informática")</f>
        <v>0</v>
      </c>
      <c r="AE62" s="39">
        <f>SUMIFS(Lançamentos!$G:$G,Lançamentos!$A:$A,AE$19,Lançamentos!$C:$C,"Equipamentos e Informática")</f>
        <v>0</v>
      </c>
      <c r="AF62" s="39">
        <f>SUMIFS(Lançamentos!$G:$G,Lançamentos!$A:$A,AF$19,Lançamentos!$C:$C,"Equipamentos e Informática")</f>
        <v>0</v>
      </c>
      <c r="AG62" s="39">
        <f>SUMIFS(Lançamentos!$G:$G,Lançamentos!$A:$A,AG$19,Lançamentos!$C:$C,"Equipamentos e Informática")</f>
        <v>0</v>
      </c>
      <c r="AH62" s="39">
        <f>SUMIFS(Lançamentos!$G:$G,Lançamentos!$A:$A,AH$19,Lançamentos!$C:$C,"Equipamentos e Informática")</f>
        <v>0</v>
      </c>
      <c r="AI62" s="39">
        <f>SUMIFS(Lançamentos!$G:$G,Lançamentos!$A:$A,AI$19,Lançamentos!$C:$C,"Equipamentos e Informática")</f>
        <v>0</v>
      </c>
      <c r="AJ62" s="39">
        <f>SUMIFS(Lançamentos!$G:$G,Lançamentos!$A:$A,AJ$19,Lançamentos!$C:$C,"Equipamentos e Informática")</f>
        <v>0</v>
      </c>
      <c r="AK62" s="39">
        <f>SUMIFS(Lançamentos!$G:$G,Lançamentos!$A:$A,AK$19,Lançamentos!$C:$C,"Equipamentos e Informática")</f>
        <v>0</v>
      </c>
      <c r="AL62" s="39">
        <f>SUMIFS(Lançamentos!$G:$G,Lançamentos!$A:$A,AL$19,Lançamentos!$C:$C,"Equipamentos e Informática")</f>
        <v>0</v>
      </c>
      <c r="AM62" s="39">
        <f>SUMIFS(Lançamentos!$G:$G,Lançamentos!$A:$A,AM$19,Lançamentos!$C:$C,"Equipamentos e Informática")</f>
        <v>0</v>
      </c>
      <c r="AN62" s="39">
        <f>SUMIFS(Lançamentos!$G:$G,Lançamentos!$A:$A,AN$19,Lançamentos!$C:$C,"Equipamentos e Informática")</f>
        <v>0</v>
      </c>
      <c r="AO62" s="39">
        <f>SUMIFS(Lançamentos!$G:$G,Lançamentos!$A:$A,AO$19,Lançamentos!$C:$C,"Equipamentos e Informática")</f>
        <v>0</v>
      </c>
      <c r="AP62" s="39">
        <f>SUMIFS(Lançamentos!$G:$G,Lançamentos!$A:$A,AP$19,Lançamentos!$C:$C,"Equipamentos e Informática")</f>
        <v>0</v>
      </c>
      <c r="AQ62" s="39">
        <f>SUMIFS(Lançamentos!$G:$G,Lançamentos!$A:$A,AQ$19,Lançamentos!$C:$C,"Equipamentos e Informática")</f>
        <v>0</v>
      </c>
      <c r="AR62" s="39">
        <f>SUMIFS(Lançamentos!$G:$G,Lançamentos!$A:$A,AR$19,Lançamentos!$C:$C,"Equipamentos e Informática")</f>
        <v>0</v>
      </c>
      <c r="AS62" s="39">
        <f>SUMIFS(Lançamentos!$G:$G,Lançamentos!$A:$A,AS$19,Lançamentos!$C:$C,"Equipamentos e Informática")</f>
        <v>0</v>
      </c>
      <c r="AT62" s="39">
        <f>SUMIFS(Lançamentos!$G:$G,Lançamentos!$A:$A,AT$19,Lançamentos!$C:$C,"Equipamentos e Informática")</f>
        <v>0</v>
      </c>
      <c r="AU62" s="39">
        <f>SUMIFS(Lançamentos!$G:$G,Lançamentos!$A:$A,AU$19,Lançamentos!$C:$C,"Equipamentos e Informática")</f>
        <v>0</v>
      </c>
      <c r="AV62" s="39">
        <f>SUMIFS(Lançamentos!$G:$G,Lançamentos!$A:$A,AV$19,Lançamentos!$C:$C,"Equipamentos e Informática")</f>
        <v>0</v>
      </c>
      <c r="AW62" s="39">
        <f>SUMIFS(Lançamentos!$G:$G,Lançamentos!$A:$A,AW$19,Lançamentos!$C:$C,"Equipamentos e Informática")</f>
        <v>0</v>
      </c>
      <c r="AX62" s="39">
        <f>SUMIFS(Lançamentos!$G:$G,Lançamentos!$A:$A,AX$19,Lançamentos!$C:$C,"Equipamentos e Informática")</f>
        <v>0</v>
      </c>
      <c r="AY62" s="39">
        <f>SUMIFS(Lançamentos!$G:$G,Lançamentos!$A:$A,AY$19,Lançamentos!$C:$C,"Equipamentos e Informática")</f>
        <v>0</v>
      </c>
      <c r="AZ62" s="39">
        <f>SUMIFS(Lançamentos!$G:$G,Lançamentos!$A:$A,AZ$19,Lançamentos!$C:$C,"Equipamentos e Informática")</f>
        <v>0</v>
      </c>
      <c r="BA62" s="39">
        <f>SUMIFS(Lançamentos!$G:$G,Lançamentos!$A:$A,BA$19,Lançamentos!$C:$C,"Equipamentos e Informática")</f>
        <v>0</v>
      </c>
      <c r="BB62" s="39">
        <f>SUMIFS(Lançamentos!$G:$G,Lançamentos!$A:$A,BB$19,Lançamentos!$C:$C,"Equipamentos e Informática")</f>
        <v>0</v>
      </c>
      <c r="BC62" s="39">
        <f>SUMIFS(Lançamentos!$G:$G,Lançamentos!$A:$A,BC$19,Lançamentos!$C:$C,"Equipamentos e Informática")</f>
        <v>0</v>
      </c>
      <c r="BD62" s="39">
        <f>SUMIFS(Lançamentos!$G:$G,Lançamentos!$A:$A,BD$19,Lançamentos!$C:$C,"Equipamentos e Informática")</f>
        <v>0</v>
      </c>
      <c r="BE62" s="39">
        <f>SUMIFS(Lançamentos!$G:$G,Lançamentos!$A:$A,BE$19,Lançamentos!$C:$C,"Equipamentos e Informática")</f>
        <v>0</v>
      </c>
      <c r="BF62" s="39">
        <f>SUMIFS(Lançamentos!$G:$G,Lançamentos!$A:$A,BF$19,Lançamentos!$C:$C,"Equipamentos e Informática")</f>
        <v>0</v>
      </c>
      <c r="BG62" s="39">
        <f>SUMIFS(Lançamentos!$G:$G,Lançamentos!$A:$A,BG$19,Lançamentos!$C:$C,"Equipamentos e Informática")</f>
        <v>0</v>
      </c>
      <c r="BH62" s="39">
        <f>SUMIFS(Lançamentos!$G:$G,Lançamentos!$A:$A,BH$19,Lançamentos!$C:$C,"Equipamentos e Informática")</f>
        <v>0</v>
      </c>
      <c r="BI62" s="39">
        <f>SUMIFS(Lançamentos!$G:$G,Lançamentos!$A:$A,BI$19,Lançamentos!$C:$C,"Equipamentos e Informática")</f>
        <v>0</v>
      </c>
      <c r="BJ62" s="39">
        <f>SUMIFS(Lançamentos!$G:$G,Lançamentos!$A:$A,BJ$19,Lançamentos!$C:$C,"Equipamentos e Informática")</f>
        <v>0</v>
      </c>
      <c r="BK62" s="39">
        <f>SUMIFS(Lançamentos!$G:$G,Lançamentos!$A:$A,BK$19,Lançamentos!$C:$C,"Equipamentos e Informática")</f>
        <v>0</v>
      </c>
      <c r="BL62" s="39">
        <f>SUMIFS(Lançamentos!$G:$G,Lançamentos!$A:$A,BL$19,Lançamentos!$C:$C,"Equipamentos e Informática")</f>
        <v>0</v>
      </c>
      <c r="BM62" s="39">
        <f>SUMIFS(Lançamentos!$G:$G,Lançamentos!$A:$A,BM$19,Lançamentos!$C:$C,"Equipamentos e Informática")</f>
        <v>0</v>
      </c>
      <c r="BN62" s="39">
        <f>SUMIFS(Lançamentos!$G:$G,Lançamentos!$A:$A,BN$19,Lançamentos!$C:$C,"Equipamentos e Informática")</f>
        <v>0</v>
      </c>
      <c r="BO62" s="39">
        <f>SUMIFS(Lançamentos!$G:$G,Lançamentos!$A:$A,BO$19,Lançamentos!$C:$C,"Equipamentos e Informática")</f>
        <v>0</v>
      </c>
      <c r="BP62" s="39">
        <f>SUMIFS(Lançamentos!$G:$G,Lançamentos!$A:$A,BP$19,Lançamentos!$C:$C,"Equipamentos e Informática")</f>
        <v>0</v>
      </c>
      <c r="BQ62" s="39">
        <f>SUMIFS(Lançamentos!$G:$G,Lançamentos!$A:$A,BQ$19,Lançamentos!$C:$C,"Equipamentos e Informática")</f>
        <v>0</v>
      </c>
      <c r="BR62" s="39">
        <f>SUMIFS(Lançamentos!$G:$G,Lançamentos!$A:$A,BR$19,Lançamentos!$C:$C,"Equipamentos e Informática")</f>
        <v>0</v>
      </c>
      <c r="BS62" s="39">
        <f>SUMIFS(Lançamentos!$G:$G,Lançamentos!$A:$A,BS$19,Lançamentos!$C:$C,"Equipamentos e Informática")</f>
        <v>0</v>
      </c>
      <c r="BT62" s="39">
        <f>SUMIFS(Lançamentos!$G:$G,Lançamentos!$A:$A,BT$19,Lançamentos!$C:$C,"Equipamentos e Informática")</f>
        <v>0</v>
      </c>
      <c r="BU62" s="39">
        <f>SUMIFS(Lançamentos!$G:$G,Lançamentos!$A:$A,BU$19,Lançamentos!$C:$C,"Equipamentos e Informática")</f>
        <v>0</v>
      </c>
      <c r="BV62" s="39">
        <f>SUMIFS(Lançamentos!$G:$G,Lançamentos!$A:$A,BV$19,Lançamentos!$C:$C,"Equipamentos e Informática")</f>
        <v>0</v>
      </c>
      <c r="BW62" s="39">
        <f>SUMIFS(Lançamentos!$G:$G,Lançamentos!$A:$A,BW$19,Lançamentos!$C:$C,"Equipamentos e Informática")</f>
        <v>0</v>
      </c>
      <c r="BX62" s="39">
        <f>SUMIFS(Lançamentos!$G:$G,Lançamentos!$A:$A,BX$19,Lançamentos!$C:$C,"Equipamentos e Informática")</f>
        <v>0</v>
      </c>
      <c r="BY62" s="39">
        <f>SUMIFS(Lançamentos!$G:$G,Lançamentos!$A:$A,BY$19,Lançamentos!$C:$C,"Equipamentos e Informática")</f>
        <v>0</v>
      </c>
      <c r="BZ62" s="39">
        <f>SUMIFS(Lançamentos!$G:$G,Lançamentos!$A:$A,BZ$19,Lançamentos!$C:$C,"Equipamentos e Informática")</f>
        <v>0</v>
      </c>
      <c r="CA62" s="39">
        <f>SUMIFS(Lançamentos!$G:$G,Lançamentos!$A:$A,CA$19,Lançamentos!$C:$C,"Equipamentos e Informática")</f>
        <v>0</v>
      </c>
      <c r="CB62" s="39">
        <f>SUMIFS(Lançamentos!$G:$G,Lançamentos!$A:$A,CB$19,Lançamentos!$C:$C,"Equipamentos e Informática")</f>
        <v>0</v>
      </c>
      <c r="CC62" s="39">
        <f>SUMIFS(Lançamentos!$G:$G,Lançamentos!$A:$A,CC$19,Lançamentos!$C:$C,"Equipamentos e Informática")</f>
        <v>0</v>
      </c>
      <c r="CD62" s="39">
        <f>SUMIFS(Lançamentos!$G:$G,Lançamentos!$A:$A,CD$19,Lançamentos!$C:$C,"Equipamentos e Informática")</f>
        <v>0</v>
      </c>
      <c r="CE62" s="39">
        <f>SUMIFS(Lançamentos!$G:$G,Lançamentos!$A:$A,CE$19,Lançamentos!$C:$C,"Equipamentos e Informática")</f>
        <v>0</v>
      </c>
      <c r="CF62" s="39">
        <f>SUMIFS(Lançamentos!$G:$G,Lançamentos!$A:$A,CF$19,Lançamentos!$C:$C,"Equipamentos e Informática")</f>
        <v>0</v>
      </c>
      <c r="CG62" s="39">
        <f>SUMIFS(Lançamentos!$G:$G,Lançamentos!$A:$A,CG$19,Lançamentos!$C:$C,"Equipamentos e Informática")</f>
        <v>0</v>
      </c>
      <c r="CH62" s="39">
        <f>SUMIFS(Lançamentos!$G:$G,Lançamentos!$A:$A,CH$19,Lançamentos!$C:$C,"Equipamentos e Informática")</f>
        <v>0</v>
      </c>
      <c r="CI62" s="39">
        <f>SUMIFS(Lançamentos!$G:$G,Lançamentos!$A:$A,CI$19,Lançamentos!$C:$C,"Equipamentos e Informática")</f>
        <v>0</v>
      </c>
      <c r="CJ62" s="39">
        <f>SUMIFS(Lançamentos!$G:$G,Lançamentos!$A:$A,CJ$19,Lançamentos!$C:$C,"Equipamentos e Informática")</f>
        <v>0</v>
      </c>
      <c r="CK62" s="39">
        <f>SUMIFS(Lançamentos!$G:$G,Lançamentos!$A:$A,CK$19,Lançamentos!$C:$C,"Equipamentos e Informática")</f>
        <v>0</v>
      </c>
      <c r="CL62" s="39">
        <f>SUMIFS(Lançamentos!$G:$G,Lançamentos!$A:$A,CL$19,Lançamentos!$C:$C,"Equipamentos e Informática")</f>
        <v>0</v>
      </c>
      <c r="CM62" s="39">
        <f>SUMIFS(Lançamentos!$G:$G,Lançamentos!$A:$A,CM$19,Lançamentos!$C:$C,"Equipamentos e Informática")</f>
        <v>0</v>
      </c>
      <c r="CN62" s="39">
        <f>SUMIFS(Lançamentos!$G:$G,Lançamentos!$A:$A,CN$19,Lançamentos!$C:$C,"Equipamentos e Informática")</f>
        <v>0</v>
      </c>
      <c r="CO62" s="39">
        <f>SUMIFS(Lançamentos!$G:$G,Lançamentos!$A:$A,CO$19,Lançamentos!$C:$C,"Equipamentos e Informática")</f>
        <v>0</v>
      </c>
      <c r="CP62" s="39">
        <f>SUMIFS(Lançamentos!$G:$G,Lançamentos!$A:$A,CP$19,Lançamentos!$C:$C,"Equipamentos e Informática")</f>
        <v>0</v>
      </c>
      <c r="CQ62" s="39">
        <f>SUMIFS(Lançamentos!$G:$G,Lançamentos!$A:$A,CQ$19,Lançamentos!$C:$C,"Equipamentos e Informática")</f>
        <v>0</v>
      </c>
      <c r="CR62" s="39">
        <f>SUMIFS(Lançamentos!$G:$G,Lançamentos!$A:$A,CR$19,Lançamentos!$C:$C,"Equipamentos e Informática")</f>
        <v>0</v>
      </c>
      <c r="CS62" s="39">
        <f>SUMIFS(Lançamentos!$G:$G,Lançamentos!$A:$A,CS$19,Lançamentos!$C:$C,"Equipamentos e Informática")</f>
        <v>0</v>
      </c>
      <c r="CT62" s="39">
        <f>SUMIFS(Lançamentos!$G:$G,Lançamentos!$A:$A,CT$19,Lançamentos!$C:$C,"Equipamentos e Informática")</f>
        <v>0</v>
      </c>
      <c r="CU62" s="39">
        <f>SUMIFS(Lançamentos!$G:$G,Lançamentos!$A:$A,CU$19,Lançamentos!$C:$C,"Equipamentos e Informática")</f>
        <v>0</v>
      </c>
      <c r="CV62" s="39">
        <f>SUMIFS(Lançamentos!$G:$G,Lançamentos!$A:$A,CV$19,Lançamentos!$C:$C,"Equipamentos e Informática")</f>
        <v>0</v>
      </c>
      <c r="CW62" s="39">
        <f>SUMIFS(Lançamentos!$G:$G,Lançamentos!$A:$A,CW$19,Lançamentos!$C:$C,"Equipamentos e Informática")</f>
        <v>0</v>
      </c>
      <c r="CX62" s="39">
        <f>SUMIFS(Lançamentos!$G:$G,Lançamentos!$A:$A,CX$19,Lançamentos!$C:$C,"Equipamentos e Informática")</f>
        <v>0</v>
      </c>
      <c r="CY62" s="39">
        <f>SUMIFS(Lançamentos!$G:$G,Lançamentos!$A:$A,CY$19,Lançamentos!$C:$C,"Equipamentos e Informática")</f>
        <v>0</v>
      </c>
      <c r="CZ62" s="39">
        <f>SUMIFS(Lançamentos!$G:$G,Lançamentos!$A:$A,CZ$19,Lançamentos!$C:$C,"Equipamentos e Informática")</f>
        <v>0</v>
      </c>
      <c r="DA62" s="39">
        <f>SUMIFS(Lançamentos!$G:$G,Lançamentos!$A:$A,DA$19,Lançamentos!$C:$C,"Equipamentos e Informática")</f>
        <v>0</v>
      </c>
      <c r="DB62" s="39">
        <f>SUMIFS(Lançamentos!$G:$G,Lançamentos!$A:$A,DB$19,Lançamentos!$C:$C,"Equipamentos e Informática")</f>
        <v>0</v>
      </c>
      <c r="DC62" s="39">
        <f>SUMIFS(Lançamentos!$G:$G,Lançamentos!$A:$A,DC$19,Lançamentos!$C:$C,"Equipamentos e Informática")</f>
        <v>0</v>
      </c>
      <c r="DD62" s="39">
        <f>SUMIFS(Lançamentos!$G:$G,Lançamentos!$A:$A,DD$19,Lançamentos!$C:$C,"Equipamentos e Informática")</f>
        <v>0</v>
      </c>
      <c r="DE62" s="39">
        <f>SUMIFS(Lançamentos!$G:$G,Lançamentos!$A:$A,DE$19,Lançamentos!$C:$C,"Equipamentos e Informática")</f>
        <v>0</v>
      </c>
      <c r="DF62" s="39">
        <f>SUMIFS(Lançamentos!$G:$G,Lançamentos!$A:$A,DF$19,Lançamentos!$C:$C,"Equipamentos e Informática")</f>
        <v>0</v>
      </c>
      <c r="DG62" s="39">
        <f>SUMIFS(Lançamentos!$G:$G,Lançamentos!$A:$A,DG$19,Lançamentos!$C:$C,"Equipamentos e Informática")</f>
        <v>0</v>
      </c>
      <c r="DH62" s="39">
        <f>SUMIFS(Lançamentos!$G:$G,Lançamentos!$A:$A,DH$19,Lançamentos!$C:$C,"Equipamentos e Informática")</f>
        <v>0</v>
      </c>
      <c r="DI62" s="39">
        <f>SUMIFS(Lançamentos!$G:$G,Lançamentos!$A:$A,DI$19,Lançamentos!$C:$C,"Equipamentos e Informática")</f>
        <v>0</v>
      </c>
      <c r="DJ62" s="39">
        <f>SUMIFS(Lançamentos!$G:$G,Lançamentos!$A:$A,DJ$19,Lançamentos!$C:$C,"Equipamentos e Informática")</f>
        <v>0</v>
      </c>
      <c r="DK62" s="39">
        <f>SUMIFS(Lançamentos!$G:$G,Lançamentos!$A:$A,DK$19,Lançamentos!$C:$C,"Equipamentos e Informática")</f>
        <v>0</v>
      </c>
      <c r="DL62" s="39">
        <f>SUMIFS(Lançamentos!$G:$G,Lançamentos!$A:$A,DL$19,Lançamentos!$C:$C,"Equipamentos e Informática")</f>
        <v>0</v>
      </c>
      <c r="DM62" s="39">
        <f>SUMIFS(Lançamentos!$G:$G,Lançamentos!$A:$A,DM$19,Lançamentos!$C:$C,"Equipamentos e Informática")</f>
        <v>0</v>
      </c>
      <c r="DN62" s="39">
        <f>SUMIFS(Lançamentos!$G:$G,Lançamentos!$A:$A,DN$19,Lançamentos!$C:$C,"Equipamentos e Informática")</f>
        <v>0</v>
      </c>
      <c r="DO62" s="39">
        <f>SUMIFS(Lançamentos!$G:$G,Lançamentos!$A:$A,DO$19,Lançamentos!$C:$C,"Equipamentos e Informática")</f>
        <v>0</v>
      </c>
      <c r="DP62" s="39">
        <f>SUMIFS(Lançamentos!$G:$G,Lançamentos!$A:$A,DP$19,Lançamentos!$C:$C,"Equipamentos e Informática")</f>
        <v>0</v>
      </c>
      <c r="DQ62" s="39">
        <f>SUMIFS(Lançamentos!$G:$G,Lançamentos!$A:$A,DQ$19,Lançamentos!$C:$C,"Equipamentos e Informática")</f>
        <v>0</v>
      </c>
      <c r="DR62" s="39">
        <f>SUMIFS(Lançamentos!$G:$G,Lançamentos!$A:$A,DR$19,Lançamentos!$C:$C,"Equipamentos e Informática")</f>
        <v>0</v>
      </c>
      <c r="DS62" s="39">
        <f>SUMIFS(Lançamentos!$G:$G,Lançamentos!$A:$A,DS$19,Lançamentos!$C:$C,"Equipamentos e Informática")</f>
        <v>0</v>
      </c>
      <c r="DT62" s="39">
        <f>SUMIFS(Lançamentos!$G:$G,Lançamentos!$A:$A,DT$19,Lançamentos!$C:$C,"Equipamentos e Informática")</f>
        <v>0</v>
      </c>
      <c r="DU62" s="39">
        <f>SUMIFS(Lançamentos!$G:$G,Lançamentos!$A:$A,DU$19,Lançamentos!$C:$C,"Equipamentos e Informática")</f>
        <v>0</v>
      </c>
      <c r="DV62" s="39">
        <f>SUMIFS(Lançamentos!$G:$G,Lançamentos!$A:$A,DV$19,Lançamentos!$C:$C,"Equipamentos e Informática")</f>
        <v>0</v>
      </c>
      <c r="DW62" s="39">
        <f>SUMIFS(Lançamentos!$G:$G,Lançamentos!$A:$A,DW$19,Lançamentos!$C:$C,"Equipamentos e Informática")</f>
        <v>0</v>
      </c>
      <c r="DX62" s="39">
        <f>SUMIFS(Lançamentos!$G:$G,Lançamentos!$A:$A,DX$19,Lançamentos!$C:$C,"Equipamentos e Informática")</f>
        <v>0</v>
      </c>
      <c r="DY62" s="39">
        <f>SUMIFS(Lançamentos!$G:$G,Lançamentos!$A:$A,DY$19,Lançamentos!$C:$C,"Equipamentos e Informática")</f>
        <v>0</v>
      </c>
      <c r="DZ62" s="39">
        <f>SUMIFS(Lançamentos!$G:$G,Lançamentos!$A:$A,DZ$19,Lançamentos!$C:$C,"Equipamentos e Informática")</f>
        <v>0</v>
      </c>
      <c r="EA62" s="39">
        <f>SUMIFS(Lançamentos!$G:$G,Lançamentos!$A:$A,EA$19,Lançamentos!$C:$C,"Equipamentos e Informática")</f>
        <v>0</v>
      </c>
      <c r="EB62" s="39">
        <f>SUMIFS(Lançamentos!$G:$G,Lançamentos!$A:$A,EB$19,Lançamentos!$C:$C,"Equipamentos e Informática")</f>
        <v>0</v>
      </c>
      <c r="EC62" s="39">
        <f>SUMIFS(Lançamentos!$G:$G,Lançamentos!$A:$A,EC$19,Lançamentos!$C:$C,"Equipamentos e Informática")</f>
        <v>0</v>
      </c>
      <c r="ED62" s="39">
        <f>SUMIFS(Lançamentos!$G:$G,Lançamentos!$A:$A,ED$19,Lançamentos!$C:$C,"Equipamentos e Informática")</f>
        <v>0</v>
      </c>
      <c r="EE62" s="39">
        <f>SUMIFS(Lançamentos!$G:$G,Lançamentos!$A:$A,EE$19,Lançamentos!$C:$C,"Equipamentos e Informática")</f>
        <v>0</v>
      </c>
      <c r="EF62" s="39">
        <f>SUMIFS(Lançamentos!$G:$G,Lançamentos!$A:$A,EF$19,Lançamentos!$C:$C,"Equipamentos e Informática")</f>
        <v>0</v>
      </c>
      <c r="EG62" s="39">
        <f>SUMIFS(Lançamentos!$G:$G,Lançamentos!$A:$A,EG$19,Lançamentos!$C:$C,"Equipamentos e Informática")</f>
        <v>0</v>
      </c>
      <c r="EH62" s="39">
        <f>SUMIFS(Lançamentos!$G:$G,Lançamentos!$A:$A,EH$19,Lançamentos!$C:$C,"Equipamentos e Informática")</f>
        <v>0</v>
      </c>
      <c r="EI62" s="39">
        <f>SUMIFS(Lançamentos!$G:$G,Lançamentos!$A:$A,EI$19,Lançamentos!$C:$C,"Equipamentos e Informática")</f>
        <v>0</v>
      </c>
      <c r="EJ62" s="39">
        <f>SUMIFS(Lançamentos!$G:$G,Lançamentos!$A:$A,EJ$19,Lançamentos!$C:$C,"Equipamentos e Informática")</f>
        <v>0</v>
      </c>
      <c r="EK62" s="39">
        <f>SUMIFS(Lançamentos!$G:$G,Lançamentos!$A:$A,EK$19,Lançamentos!$C:$C,"Equipamentos e Informática")</f>
        <v>0</v>
      </c>
      <c r="EL62" s="39">
        <f>SUMIFS(Lançamentos!$G:$G,Lançamentos!$A:$A,EL$19,Lançamentos!$C:$C,"Equipamentos e Informática")</f>
        <v>0</v>
      </c>
      <c r="EM62" s="39">
        <f>SUMIFS(Lançamentos!$G:$G,Lançamentos!$A:$A,EM$19,Lançamentos!$C:$C,"Equipamentos e Informática")</f>
        <v>0</v>
      </c>
      <c r="EN62" s="39">
        <f>SUMIFS(Lançamentos!$G:$G,Lançamentos!$A:$A,EN$19,Lançamentos!$C:$C,"Equipamentos e Informática")</f>
        <v>0</v>
      </c>
      <c r="EO62" s="39">
        <f>SUMIFS(Lançamentos!$G:$G,Lançamentos!$A:$A,EO$19,Lançamentos!$C:$C,"Equipamentos e Informática")</f>
        <v>0</v>
      </c>
      <c r="EP62" s="39">
        <f>SUMIFS(Lançamentos!$G:$G,Lançamentos!$A:$A,EP$19,Lançamentos!$C:$C,"Equipamentos e Informática")</f>
        <v>0</v>
      </c>
      <c r="EQ62" s="39">
        <f>SUMIFS(Lançamentos!$G:$G,Lançamentos!$A:$A,EQ$19,Lançamentos!$C:$C,"Equipamentos e Informática")</f>
        <v>0</v>
      </c>
      <c r="ER62" s="39">
        <f>SUMIFS(Lançamentos!$G:$G,Lançamentos!$A:$A,ER$19,Lançamentos!$C:$C,"Equipamentos e Informática")</f>
        <v>0</v>
      </c>
      <c r="ES62" s="39">
        <f>SUMIFS(Lançamentos!$G:$G,Lançamentos!$A:$A,ES$19,Lançamentos!$C:$C,"Equipamentos e Informática")</f>
        <v>0</v>
      </c>
      <c r="ET62" s="39">
        <f>SUMIFS(Lançamentos!$G:$G,Lançamentos!$A:$A,ET$19,Lançamentos!$C:$C,"Equipamentos e Informática")</f>
        <v>0</v>
      </c>
      <c r="EU62" s="39">
        <f>SUMIFS(Lançamentos!$G:$G,Lançamentos!$A:$A,EU$19,Lançamentos!$C:$C,"Equipamentos e Informática")</f>
        <v>0</v>
      </c>
      <c r="EV62" s="39">
        <f>SUMIFS(Lançamentos!$G:$G,Lançamentos!$A:$A,EV$19,Lançamentos!$C:$C,"Equipamentos e Informática")</f>
        <v>0</v>
      </c>
      <c r="EW62" s="39">
        <f>SUMIFS(Lançamentos!$G:$G,Lançamentos!$A:$A,EW$19,Lançamentos!$C:$C,"Equipamentos e Informática")</f>
        <v>0</v>
      </c>
      <c r="EX62" s="39">
        <f>SUMIFS(Lançamentos!$G:$G,Lançamentos!$A:$A,EX$19,Lançamentos!$C:$C,"Equipamentos e Informática")</f>
        <v>0</v>
      </c>
      <c r="EY62" s="39">
        <f>SUMIFS(Lançamentos!$G:$G,Lançamentos!$A:$A,EY$19,Lançamentos!$C:$C,"Equipamentos e Informática")</f>
        <v>0</v>
      </c>
      <c r="EZ62" s="39">
        <f>SUMIFS(Lançamentos!$G:$G,Lançamentos!$A:$A,EZ$19,Lançamentos!$C:$C,"Equipamentos e Informática")</f>
        <v>0</v>
      </c>
      <c r="FA62" s="39">
        <f>SUMIFS(Lançamentos!$G:$G,Lançamentos!$A:$A,FA$19,Lançamentos!$C:$C,"Equipamentos e Informática")</f>
        <v>0</v>
      </c>
      <c r="FB62" s="39">
        <f>SUMIFS(Lançamentos!$G:$G,Lançamentos!$A:$A,FB$19,Lançamentos!$C:$C,"Equipamentos e Informática")</f>
        <v>0</v>
      </c>
      <c r="FC62" s="39">
        <f>SUMIFS(Lançamentos!$G:$G,Lançamentos!$A:$A,FC$19,Lançamentos!$C:$C,"Equipamentos e Informática")</f>
        <v>0</v>
      </c>
      <c r="FD62" s="39">
        <f>SUMIFS(Lançamentos!$G:$G,Lançamentos!$A:$A,FD$19,Lançamentos!$C:$C,"Equipamentos e Informática")</f>
        <v>0</v>
      </c>
      <c r="FE62" s="39">
        <f>SUMIFS(Lançamentos!$G:$G,Lançamentos!$A:$A,FE$19,Lançamentos!$C:$C,"Equipamentos e Informática")</f>
        <v>0</v>
      </c>
      <c r="FF62" s="39">
        <f>SUMIFS(Lançamentos!$G:$G,Lançamentos!$A:$A,FF$19,Lançamentos!$C:$C,"Equipamentos e Informática")</f>
        <v>0</v>
      </c>
      <c r="FG62" s="39">
        <f>SUMIFS(Lançamentos!$G:$G,Lançamentos!$A:$A,FG$19,Lançamentos!$C:$C,"Equipamentos e Informática")</f>
        <v>0</v>
      </c>
      <c r="FH62" s="39">
        <f>SUMIFS(Lançamentos!$G:$G,Lançamentos!$A:$A,FH$19,Lançamentos!$C:$C,"Equipamentos e Informática")</f>
        <v>0</v>
      </c>
      <c r="FI62" s="39">
        <f>SUMIFS(Lançamentos!$G:$G,Lançamentos!$A:$A,FI$19,Lançamentos!$C:$C,"Equipamentos e Informática")</f>
        <v>0</v>
      </c>
      <c r="FJ62" s="39">
        <f>SUMIFS(Lançamentos!$G:$G,Lançamentos!$A:$A,FJ$19,Lançamentos!$C:$C,"Equipamentos e Informática")</f>
        <v>0</v>
      </c>
      <c r="FK62" s="39">
        <f>SUMIFS(Lançamentos!$G:$G,Lançamentos!$A:$A,FK$19,Lançamentos!$C:$C,"Equipamentos e Informática")</f>
        <v>0</v>
      </c>
      <c r="FL62" s="39">
        <f>SUMIFS(Lançamentos!$G:$G,Lançamentos!$A:$A,FL$19,Lançamentos!$C:$C,"Equipamentos e Informática")</f>
        <v>0</v>
      </c>
      <c r="FM62" s="39">
        <f>SUMIFS(Lançamentos!$G:$G,Lançamentos!$A:$A,FM$19,Lançamentos!$C:$C,"Equipamentos e Informática")</f>
        <v>0</v>
      </c>
      <c r="FN62" s="39">
        <f>SUMIFS(Lançamentos!$G:$G,Lançamentos!$A:$A,FN$19,Lançamentos!$C:$C,"Equipamentos e Informática")</f>
        <v>0</v>
      </c>
      <c r="FO62" s="39">
        <f>SUMIFS(Lançamentos!$G:$G,Lançamentos!$A:$A,FO$19,Lançamentos!$C:$C,"Equipamentos e Informática")</f>
        <v>0</v>
      </c>
      <c r="FP62" s="39">
        <f>SUMIFS(Lançamentos!$G:$G,Lançamentos!$A:$A,FP$19,Lançamentos!$C:$C,"Equipamentos e Informática")</f>
        <v>0</v>
      </c>
      <c r="FQ62" s="39">
        <f>SUMIFS(Lançamentos!$G:$G,Lançamentos!$A:$A,FQ$19,Lançamentos!$C:$C,"Equipamentos e Informática")</f>
        <v>0</v>
      </c>
      <c r="FR62" s="39">
        <f>SUMIFS(Lançamentos!$G:$G,Lançamentos!$A:$A,FR$19,Lançamentos!$C:$C,"Equipamentos e Informática")</f>
        <v>0</v>
      </c>
      <c r="FS62" s="39">
        <f>SUMIFS(Lançamentos!$G:$G,Lançamentos!$A:$A,FS$19,Lançamentos!$C:$C,"Equipamentos e Informática")</f>
        <v>0</v>
      </c>
      <c r="FT62" s="39">
        <f>SUMIFS(Lançamentos!$G:$G,Lançamentos!$A:$A,FT$19,Lançamentos!$C:$C,"Equipamentos e Informática")</f>
        <v>0</v>
      </c>
      <c r="FU62" s="39">
        <f>SUMIFS(Lançamentos!$G:$G,Lançamentos!$A:$A,FU$19,Lançamentos!$C:$C,"Equipamentos e Informática")</f>
        <v>0</v>
      </c>
      <c r="FV62" s="39">
        <f>SUMIFS(Lançamentos!$G:$G,Lançamentos!$A:$A,FV$19,Lançamentos!$C:$C,"Equipamentos e Informática")</f>
        <v>0</v>
      </c>
      <c r="FW62" s="39">
        <f>SUMIFS(Lançamentos!$G:$G,Lançamentos!$A:$A,FW$19,Lançamentos!$C:$C,"Equipamentos e Informática")</f>
        <v>0</v>
      </c>
      <c r="FX62" s="39">
        <f>SUMIFS(Lançamentos!$G:$G,Lançamentos!$A:$A,FX$19,Lançamentos!$C:$C,"Equipamentos e Informática")</f>
        <v>0</v>
      </c>
      <c r="FY62" s="39">
        <f>SUMIFS(Lançamentos!$G:$G,Lançamentos!$A:$A,FY$19,Lançamentos!$C:$C,"Equipamentos e Informática")</f>
        <v>0</v>
      </c>
      <c r="FZ62" s="39">
        <f>SUMIFS(Lançamentos!$G:$G,Lançamentos!$A:$A,FZ$19,Lançamentos!$C:$C,"Equipamentos e Informática")</f>
        <v>0</v>
      </c>
      <c r="GA62" s="39">
        <f>SUMIFS(Lançamentos!$G:$G,Lançamentos!$A:$A,GA$19,Lançamentos!$C:$C,"Equipamentos e Informática")</f>
        <v>0</v>
      </c>
      <c r="GB62" s="39">
        <f>SUMIFS(Lançamentos!$G:$G,Lançamentos!$A:$A,GB$19,Lançamentos!$C:$C,"Equipamentos e Informática")</f>
        <v>0</v>
      </c>
      <c r="GC62" s="39">
        <f>SUMIFS(Lançamentos!$G:$G,Lançamentos!$A:$A,GC$19,Lançamentos!$C:$C,"Equipamentos e Informática")</f>
        <v>0</v>
      </c>
      <c r="GD62" s="39">
        <f>SUMIFS(Lançamentos!$G:$G,Lançamentos!$A:$A,GD$19,Lançamentos!$C:$C,"Equipamentos e Informática")</f>
        <v>0</v>
      </c>
      <c r="GE62" s="39">
        <f>SUMIFS(Lançamentos!$G:$G,Lançamentos!$A:$A,GE$19,Lançamentos!$C:$C,"Equipamentos e Informática")</f>
        <v>0</v>
      </c>
      <c r="GF62" s="39">
        <f>SUMIFS(Lançamentos!$G:$G,Lançamentos!$A:$A,GF$19,Lançamentos!$C:$C,"Equipamentos e Informática")</f>
        <v>0</v>
      </c>
      <c r="GG62" s="39">
        <f>SUMIFS(Lançamentos!$G:$G,Lançamentos!$A:$A,GG$19,Lançamentos!$C:$C,"Equipamentos e Informática")</f>
        <v>0</v>
      </c>
      <c r="GH62" s="39">
        <f>SUMIFS(Lançamentos!$G:$G,Lançamentos!$A:$A,GH$19,Lançamentos!$C:$C,"Equipamentos e Informática")</f>
        <v>0</v>
      </c>
      <c r="GI62" s="39">
        <f>SUMIFS(Lançamentos!$G:$G,Lançamentos!$A:$A,GI$19,Lançamentos!$C:$C,"Equipamentos e Informática")</f>
        <v>0</v>
      </c>
      <c r="GJ62" s="39">
        <f>SUMIFS(Lançamentos!$G:$G,Lançamentos!$A:$A,GJ$19,Lançamentos!$C:$C,"Equipamentos e Informática")</f>
        <v>0</v>
      </c>
      <c r="GK62" s="39">
        <f>SUMIFS(Lançamentos!$G:$G,Lançamentos!$A:$A,GK$19,Lançamentos!$C:$C,"Equipamentos e Informática")</f>
        <v>0</v>
      </c>
      <c r="GL62" s="39">
        <f>SUMIFS(Lançamentos!$G:$G,Lançamentos!$A:$A,GL$19,Lançamentos!$C:$C,"Equipamentos e Informática")</f>
        <v>0</v>
      </c>
      <c r="GM62" s="39">
        <f>SUMIFS(Lançamentos!$G:$G,Lançamentos!$A:$A,GM$19,Lançamentos!$C:$C,"Equipamentos e Informática")</f>
        <v>0</v>
      </c>
      <c r="GN62" s="39">
        <f>SUMIFS(Lançamentos!$G:$G,Lançamentos!$A:$A,GN$19,Lançamentos!$C:$C,"Equipamentos e Informática")</f>
        <v>0</v>
      </c>
      <c r="GO62" s="39">
        <f>SUMIFS(Lançamentos!$G:$G,Lançamentos!$A:$A,GO$19,Lançamentos!$C:$C,"Equipamentos e Informática")</f>
        <v>0</v>
      </c>
      <c r="GP62" s="39">
        <f>SUMIFS(Lançamentos!$G:$G,Lançamentos!$A:$A,GP$19,Lançamentos!$C:$C,"Equipamentos e Informática")</f>
        <v>0</v>
      </c>
      <c r="GQ62" s="39">
        <f>SUMIFS(Lançamentos!$G:$G,Lançamentos!$A:$A,GQ$19,Lançamentos!$C:$C,"Equipamentos e Informática")</f>
        <v>0</v>
      </c>
      <c r="GR62" s="39">
        <f>SUMIFS(Lançamentos!$G:$G,Lançamentos!$A:$A,GR$19,Lançamentos!$C:$C,"Equipamentos e Informática")</f>
        <v>0</v>
      </c>
      <c r="GS62" s="39">
        <f>SUMIFS(Lançamentos!$G:$G,Lançamentos!$A:$A,GS$19,Lançamentos!$C:$C,"Equipamentos e Informática")</f>
        <v>0</v>
      </c>
      <c r="GT62" s="39">
        <f>SUMIFS(Lançamentos!$G:$G,Lançamentos!$A:$A,GT$19,Lançamentos!$C:$C,"Equipamentos e Informática")</f>
        <v>0</v>
      </c>
      <c r="GU62" s="39">
        <f>SUMIFS(Lançamentos!$G:$G,Lançamentos!$A:$A,GU$19,Lançamentos!$C:$C,"Equipamentos e Informática")</f>
        <v>0</v>
      </c>
      <c r="GV62" s="39">
        <f>SUMIFS(Lançamentos!$G:$G,Lançamentos!$A:$A,GV$19,Lançamentos!$C:$C,"Equipamentos e Informática")</f>
        <v>0</v>
      </c>
      <c r="GW62" s="39">
        <f>SUMIFS(Lançamentos!$G:$G,Lançamentos!$A:$A,GW$19,Lançamentos!$C:$C,"Equipamentos e Informática")</f>
        <v>0</v>
      </c>
      <c r="GX62" s="39">
        <f>SUMIFS(Lançamentos!$G:$G,Lançamentos!$A:$A,GX$19,Lançamentos!$C:$C,"Equipamentos e Informática")</f>
        <v>0</v>
      </c>
      <c r="GY62" s="39">
        <f>SUMIFS(Lançamentos!$G:$G,Lançamentos!$A:$A,GY$19,Lançamentos!$C:$C,"Equipamentos e Informática")</f>
        <v>0</v>
      </c>
      <c r="GZ62" s="39">
        <f>SUMIFS(Lançamentos!$G:$G,Lançamentos!$A:$A,GZ$19,Lançamentos!$C:$C,"Equipamentos e Informática")</f>
        <v>0</v>
      </c>
      <c r="HA62" s="39">
        <f>SUMIFS(Lançamentos!$G:$G,Lançamentos!$A:$A,HA$19,Lançamentos!$C:$C,"Equipamentos e Informática")</f>
        <v>0</v>
      </c>
      <c r="HB62" s="39">
        <f>SUMIFS(Lançamentos!$G:$G,Lançamentos!$A:$A,HB$19,Lançamentos!$C:$C,"Equipamentos e Informática")</f>
        <v>0</v>
      </c>
      <c r="HC62" s="39">
        <f>SUMIFS(Lançamentos!$G:$G,Lançamentos!$A:$A,HC$19,Lançamentos!$C:$C,"Equipamentos e Informática")</f>
        <v>0</v>
      </c>
      <c r="HD62" s="39">
        <f>SUMIFS(Lançamentos!$G:$G,Lançamentos!$A:$A,HD$19,Lançamentos!$C:$C,"Equipamentos e Informática")</f>
        <v>0</v>
      </c>
      <c r="HE62" s="39">
        <f>SUMIFS(Lançamentos!$G:$G,Lançamentos!$A:$A,HE$19,Lançamentos!$C:$C,"Equipamentos e Informática")</f>
        <v>0</v>
      </c>
      <c r="HF62" s="39">
        <f>SUMIFS(Lançamentos!$G:$G,Lançamentos!$A:$A,HF$19,Lançamentos!$C:$C,"Equipamentos e Informática")</f>
        <v>0</v>
      </c>
      <c r="HG62" s="39">
        <f>SUMIFS(Lançamentos!$G:$G,Lançamentos!$A:$A,HG$19,Lançamentos!$C:$C,"Equipamentos e Informática")</f>
        <v>0</v>
      </c>
      <c r="HH62" s="39">
        <f>SUMIFS(Lançamentos!$G:$G,Lançamentos!$A:$A,HH$19,Lançamentos!$C:$C,"Equipamentos e Informática")</f>
        <v>0</v>
      </c>
      <c r="HI62" s="39">
        <f>SUMIFS(Lançamentos!$G:$G,Lançamentos!$A:$A,HI$19,Lançamentos!$C:$C,"Equipamentos e Informática")</f>
        <v>0</v>
      </c>
      <c r="HJ62" s="39">
        <f>SUMIFS(Lançamentos!$G:$G,Lançamentos!$A:$A,HJ$19,Lançamentos!$C:$C,"Equipamentos e Informática")</f>
        <v>0</v>
      </c>
      <c r="HK62" s="39">
        <f>SUMIFS(Lançamentos!$G:$G,Lançamentos!$A:$A,HK$19,Lançamentos!$C:$C,"Equipamentos e Informática")</f>
        <v>0</v>
      </c>
      <c r="HL62" s="39">
        <f>SUMIFS(Lançamentos!$G:$G,Lançamentos!$A:$A,HL$19,Lançamentos!$C:$C,"Equipamentos e Informática")</f>
        <v>0</v>
      </c>
      <c r="HM62" s="39">
        <f>SUMIFS(Lançamentos!$G:$G,Lançamentos!$A:$A,HM$19,Lançamentos!$C:$C,"Equipamentos e Informática")</f>
        <v>0</v>
      </c>
      <c r="HN62" s="39">
        <f>SUMIFS(Lançamentos!$G:$G,Lançamentos!$A:$A,HN$19,Lançamentos!$C:$C,"Equipamentos e Informática")</f>
        <v>0</v>
      </c>
      <c r="HO62" s="39">
        <f>SUMIFS(Lançamentos!$G:$G,Lançamentos!$A:$A,HO$19,Lançamentos!$C:$C,"Equipamentos e Informática")</f>
        <v>0</v>
      </c>
      <c r="HP62" s="39">
        <f>SUMIFS(Lançamentos!$G:$G,Lançamentos!$A:$A,HP$19,Lançamentos!$C:$C,"Equipamentos e Informática")</f>
        <v>0</v>
      </c>
      <c r="HQ62" s="39">
        <f>SUMIFS(Lançamentos!$G:$G,Lançamentos!$A:$A,HQ$19,Lançamentos!$C:$C,"Equipamentos e Informática")</f>
        <v>0</v>
      </c>
      <c r="HR62" s="39">
        <f>SUMIFS(Lançamentos!$G:$G,Lançamentos!$A:$A,HR$19,Lançamentos!$C:$C,"Equipamentos e Informática")</f>
        <v>0</v>
      </c>
      <c r="HS62" s="39">
        <f>SUMIFS(Lançamentos!$G:$G,Lançamentos!$A:$A,HS$19,Lançamentos!$C:$C,"Equipamentos e Informática")</f>
        <v>0</v>
      </c>
      <c r="HT62" s="39">
        <f>SUMIFS(Lançamentos!$G:$G,Lançamentos!$A:$A,HT$19,Lançamentos!$C:$C,"Equipamentos e Informática")</f>
        <v>0</v>
      </c>
      <c r="HU62" s="39">
        <f>SUMIFS(Lançamentos!$G:$G,Lançamentos!$A:$A,HU$19,Lançamentos!$C:$C,"Equipamentos e Informática")</f>
        <v>0</v>
      </c>
      <c r="HV62" s="39">
        <f>SUMIFS(Lançamentos!$G:$G,Lançamentos!$A:$A,HV$19,Lançamentos!$C:$C,"Equipamentos e Informática")</f>
        <v>0</v>
      </c>
      <c r="HW62" s="39">
        <f>SUMIFS(Lançamentos!$G:$G,Lançamentos!$A:$A,HW$19,Lançamentos!$C:$C,"Equipamentos e Informática")</f>
        <v>0</v>
      </c>
      <c r="HX62" s="39">
        <f>SUMIFS(Lançamentos!$G:$G,Lançamentos!$A:$A,HX$19,Lançamentos!$C:$C,"Equipamentos e Informática")</f>
        <v>0</v>
      </c>
      <c r="HY62" s="39">
        <f>SUMIFS(Lançamentos!$G:$G,Lançamentos!$A:$A,HY$19,Lançamentos!$C:$C,"Equipamentos e Informática")</f>
        <v>0</v>
      </c>
      <c r="HZ62" s="39">
        <f>SUMIFS(Lançamentos!$G:$G,Lançamentos!$A:$A,HZ$19,Lançamentos!$C:$C,"Equipamentos e Informática")</f>
        <v>0</v>
      </c>
      <c r="IA62" s="39">
        <f>SUMIFS(Lançamentos!$G:$G,Lançamentos!$A:$A,IA$19,Lançamentos!$C:$C,"Equipamentos e Informática")</f>
        <v>0</v>
      </c>
      <c r="IB62" s="39">
        <f>SUMIFS(Lançamentos!$G:$G,Lançamentos!$A:$A,IB$19,Lançamentos!$C:$C,"Equipamentos e Informática")</f>
        <v>0</v>
      </c>
      <c r="IC62" s="39">
        <f>SUMIFS(Lançamentos!$G:$G,Lançamentos!$A:$A,IC$19,Lançamentos!$C:$C,"Equipamentos e Informática")</f>
        <v>0</v>
      </c>
      <c r="ID62" s="39">
        <f>SUMIFS(Lançamentos!$G:$G,Lançamentos!$A:$A,ID$19,Lançamentos!$C:$C,"Equipamentos e Informática")</f>
        <v>0</v>
      </c>
      <c r="IE62" s="39">
        <f>SUMIFS(Lançamentos!$G:$G,Lançamentos!$A:$A,IE$19,Lançamentos!$C:$C,"Equipamentos e Informática")</f>
        <v>0</v>
      </c>
      <c r="IF62" s="39">
        <f>SUMIFS(Lançamentos!$G:$G,Lançamentos!$A:$A,IF$19,Lançamentos!$C:$C,"Equipamentos e Informática")</f>
        <v>0</v>
      </c>
      <c r="IG62" s="39">
        <f>SUMIFS(Lançamentos!$G:$G,Lançamentos!$A:$A,IG$19,Lançamentos!$C:$C,"Equipamentos e Informática")</f>
        <v>0</v>
      </c>
      <c r="IH62" s="39">
        <f>SUMIFS(Lançamentos!$G:$G,Lançamentos!$A:$A,IH$19,Lançamentos!$C:$C,"Equipamentos e Informática")</f>
        <v>0</v>
      </c>
      <c r="II62" s="39">
        <f>SUMIFS(Lançamentos!$G:$G,Lançamentos!$A:$A,II$19,Lançamentos!$C:$C,"Equipamentos e Informática")</f>
        <v>0</v>
      </c>
      <c r="IJ62" s="39">
        <f>SUMIFS(Lançamentos!$G:$G,Lançamentos!$A:$A,IJ$19,Lançamentos!$C:$C,"Equipamentos e Informática")</f>
        <v>0</v>
      </c>
      <c r="IK62" s="39">
        <f>SUMIFS(Lançamentos!$G:$G,Lançamentos!$A:$A,IK$19,Lançamentos!$C:$C,"Equipamentos e Informática")</f>
        <v>0</v>
      </c>
      <c r="IL62" s="39">
        <f>SUMIFS(Lançamentos!$G:$G,Lançamentos!$A:$A,IL$19,Lançamentos!$C:$C,"Equipamentos e Informática")</f>
        <v>0</v>
      </c>
    </row>
    <row r="63" spans="1:246" x14ac:dyDescent="0.3">
      <c r="A63" t="s">
        <v>108</v>
      </c>
      <c r="B63" s="39">
        <f>SUMIFS(Lançamentos!$G:$G,Lançamentos!$A:$A,B$19,Lançamentos!$C:$C,"Móveis e Utensílios")</f>
        <v>0</v>
      </c>
      <c r="C63" s="39">
        <f>SUMIFS(Lançamentos!$G:$G,Lançamentos!$A:$A,C$19,Lançamentos!$C:$C,"Móveis e Utensílios")</f>
        <v>0</v>
      </c>
      <c r="D63" s="39">
        <f>SUMIFS(Lançamentos!$G:$G,Lançamentos!$A:$A,D$19,Lançamentos!$C:$C,"Móveis e Utensílios")</f>
        <v>0</v>
      </c>
      <c r="E63" s="39">
        <f>SUMIFS(Lançamentos!$G:$G,Lançamentos!$A:$A,E$19,Lançamentos!$C:$C,"Móveis e Utensílios")</f>
        <v>0</v>
      </c>
      <c r="F63" s="39">
        <f>SUMIFS(Lançamentos!$G:$G,Lançamentos!$A:$A,F$19,Lançamentos!$C:$C,"Móveis e Utensílios")</f>
        <v>0</v>
      </c>
      <c r="G63" s="39">
        <f>SUMIFS(Lançamentos!$G:$G,Lançamentos!$A:$A,G$19,Lançamentos!$C:$C,"Móveis e Utensílios")</f>
        <v>0</v>
      </c>
      <c r="H63" s="39">
        <f>SUMIFS(Lançamentos!$G:$G,Lançamentos!$A:$A,H$19,Lançamentos!$C:$C,"Móveis e Utensílios")</f>
        <v>0</v>
      </c>
      <c r="I63" s="39">
        <f>SUMIFS(Lançamentos!$G:$G,Lançamentos!$A:$A,I$19,Lançamentos!$C:$C,"Móveis e Utensílios")</f>
        <v>0</v>
      </c>
      <c r="J63" s="39">
        <f>SUMIFS(Lançamentos!$G:$G,Lançamentos!$A:$A,J$19,Lançamentos!$C:$C,"Móveis e Utensílios")</f>
        <v>0</v>
      </c>
      <c r="K63" s="39">
        <f>SUMIFS(Lançamentos!$G:$G,Lançamentos!$A:$A,K$19,Lançamentos!$C:$C,"Móveis e Utensílios")</f>
        <v>0</v>
      </c>
      <c r="L63" s="39">
        <f>SUMIFS(Lançamentos!$G:$G,Lançamentos!$A:$A,L$19,Lançamentos!$C:$C,"Móveis e Utensílios")</f>
        <v>0</v>
      </c>
      <c r="M63" s="39">
        <f>SUMIFS(Lançamentos!$G:$G,Lançamentos!$A:$A,M$19,Lançamentos!$C:$C,"Móveis e Utensílios")</f>
        <v>0</v>
      </c>
      <c r="N63" s="39">
        <f>SUMIFS(Lançamentos!$G:$G,Lançamentos!$A:$A,N$19,Lançamentos!$C:$C,"Móveis e Utensílios")</f>
        <v>0</v>
      </c>
      <c r="O63" s="39">
        <f>SUMIFS(Lançamentos!$G:$G,Lançamentos!$A:$A,O$19,Lançamentos!$C:$C,"Móveis e Utensílios")</f>
        <v>0</v>
      </c>
      <c r="P63" s="39">
        <f>SUMIFS(Lançamentos!$G:$G,Lançamentos!$A:$A,P$19,Lançamentos!$C:$C,"Móveis e Utensílios")</f>
        <v>0</v>
      </c>
      <c r="Q63" s="39">
        <f>SUMIFS(Lançamentos!$G:$G,Lançamentos!$A:$A,Q$19,Lançamentos!$C:$C,"Móveis e Utensílios")</f>
        <v>0</v>
      </c>
      <c r="R63" s="39">
        <f>SUMIFS(Lançamentos!$G:$G,Lançamentos!$A:$A,R$19,Lançamentos!$C:$C,"Móveis e Utensílios")</f>
        <v>0</v>
      </c>
      <c r="S63" s="39">
        <f>SUMIFS(Lançamentos!$G:$G,Lançamentos!$A:$A,S$19,Lançamentos!$C:$C,"Móveis e Utensílios")</f>
        <v>0</v>
      </c>
      <c r="T63" s="39">
        <f>SUMIFS(Lançamentos!$G:$G,Lançamentos!$A:$A,T$19,Lançamentos!$C:$C,"Móveis e Utensílios")</f>
        <v>0</v>
      </c>
      <c r="U63" s="39">
        <f>SUMIFS(Lançamentos!$G:$G,Lançamentos!$A:$A,U$19,Lançamentos!$C:$C,"Móveis e Utensílios")</f>
        <v>0</v>
      </c>
      <c r="V63" s="39">
        <f>SUMIFS(Lançamentos!$G:$G,Lançamentos!$A:$A,V$19,Lançamentos!$C:$C,"Móveis e Utensílios")</f>
        <v>0</v>
      </c>
      <c r="W63" s="39">
        <f>SUMIFS(Lançamentos!$G:$G,Lançamentos!$A:$A,W$19,Lançamentos!$C:$C,"Móveis e Utensílios")</f>
        <v>0</v>
      </c>
      <c r="X63" s="39">
        <f>SUMIFS(Lançamentos!$G:$G,Lançamentos!$A:$A,X$19,Lançamentos!$C:$C,"Móveis e Utensílios")</f>
        <v>0</v>
      </c>
      <c r="Y63" s="39">
        <f>SUMIFS(Lançamentos!$G:$G,Lançamentos!$A:$A,Y$19,Lançamentos!$C:$C,"Móveis e Utensílios")</f>
        <v>0</v>
      </c>
      <c r="Z63" s="39">
        <f>SUMIFS(Lançamentos!$G:$G,Lançamentos!$A:$A,Z$19,Lançamentos!$C:$C,"Móveis e Utensílios")</f>
        <v>0</v>
      </c>
      <c r="AA63" s="39">
        <f>SUMIFS(Lançamentos!$G:$G,Lançamentos!$A:$A,AA$19,Lançamentos!$C:$C,"Móveis e Utensílios")</f>
        <v>0</v>
      </c>
      <c r="AB63" s="39">
        <f>SUMIFS(Lançamentos!$G:$G,Lançamentos!$A:$A,AB$19,Lançamentos!$C:$C,"Móveis e Utensílios")</f>
        <v>0</v>
      </c>
      <c r="AC63" s="39">
        <f>SUMIFS(Lançamentos!$G:$G,Lançamentos!$A:$A,AC$19,Lançamentos!$C:$C,"Móveis e Utensílios")</f>
        <v>0</v>
      </c>
      <c r="AD63" s="39">
        <f>SUMIFS(Lançamentos!$G:$G,Lançamentos!$A:$A,AD$19,Lançamentos!$C:$C,"Móveis e Utensílios")</f>
        <v>0</v>
      </c>
      <c r="AE63" s="39">
        <f>SUMIFS(Lançamentos!$G:$G,Lançamentos!$A:$A,AE$19,Lançamentos!$C:$C,"Móveis e Utensílios")</f>
        <v>0</v>
      </c>
      <c r="AF63" s="39">
        <f>SUMIFS(Lançamentos!$G:$G,Lançamentos!$A:$A,AF$19,Lançamentos!$C:$C,"Móveis e Utensílios")</f>
        <v>0</v>
      </c>
      <c r="AG63" s="39">
        <f>SUMIFS(Lançamentos!$G:$G,Lançamentos!$A:$A,AG$19,Lançamentos!$C:$C,"Móveis e Utensílios")</f>
        <v>0</v>
      </c>
      <c r="AH63" s="39">
        <f>SUMIFS(Lançamentos!$G:$G,Lançamentos!$A:$A,AH$19,Lançamentos!$C:$C,"Móveis e Utensílios")</f>
        <v>0</v>
      </c>
      <c r="AI63" s="39">
        <f>SUMIFS(Lançamentos!$G:$G,Lançamentos!$A:$A,AI$19,Lançamentos!$C:$C,"Móveis e Utensílios")</f>
        <v>0</v>
      </c>
      <c r="AJ63" s="39">
        <f>SUMIFS(Lançamentos!$G:$G,Lançamentos!$A:$A,AJ$19,Lançamentos!$C:$C,"Móveis e Utensílios")</f>
        <v>0</v>
      </c>
      <c r="AK63" s="39">
        <f>SUMIFS(Lançamentos!$G:$G,Lançamentos!$A:$A,AK$19,Lançamentos!$C:$C,"Móveis e Utensílios")</f>
        <v>0</v>
      </c>
      <c r="AL63" s="39">
        <f>SUMIFS(Lançamentos!$G:$G,Lançamentos!$A:$A,AL$19,Lançamentos!$C:$C,"Móveis e Utensílios")</f>
        <v>0</v>
      </c>
      <c r="AM63" s="39">
        <f>SUMIFS(Lançamentos!$G:$G,Lançamentos!$A:$A,AM$19,Lançamentos!$C:$C,"Móveis e Utensílios")</f>
        <v>0</v>
      </c>
      <c r="AN63" s="39">
        <f>SUMIFS(Lançamentos!$G:$G,Lançamentos!$A:$A,AN$19,Lançamentos!$C:$C,"Móveis e Utensílios")</f>
        <v>0</v>
      </c>
      <c r="AO63" s="39">
        <f>SUMIFS(Lançamentos!$G:$G,Lançamentos!$A:$A,AO$19,Lançamentos!$C:$C,"Móveis e Utensílios")</f>
        <v>0</v>
      </c>
      <c r="AP63" s="39">
        <f>SUMIFS(Lançamentos!$G:$G,Lançamentos!$A:$A,AP$19,Lançamentos!$C:$C,"Móveis e Utensílios")</f>
        <v>0</v>
      </c>
      <c r="AQ63" s="39">
        <f>SUMIFS(Lançamentos!$G:$G,Lançamentos!$A:$A,AQ$19,Lançamentos!$C:$C,"Móveis e Utensílios")</f>
        <v>0</v>
      </c>
      <c r="AR63" s="39">
        <f>SUMIFS(Lançamentos!$G:$G,Lançamentos!$A:$A,AR$19,Lançamentos!$C:$C,"Móveis e Utensílios")</f>
        <v>0</v>
      </c>
      <c r="AS63" s="39">
        <f>SUMIFS(Lançamentos!$G:$G,Lançamentos!$A:$A,AS$19,Lançamentos!$C:$C,"Móveis e Utensílios")</f>
        <v>0</v>
      </c>
      <c r="AT63" s="39">
        <f>SUMIFS(Lançamentos!$G:$G,Lançamentos!$A:$A,AT$19,Lançamentos!$C:$C,"Móveis e Utensílios")</f>
        <v>0</v>
      </c>
      <c r="AU63" s="39">
        <f>SUMIFS(Lançamentos!$G:$G,Lançamentos!$A:$A,AU$19,Lançamentos!$C:$C,"Móveis e Utensílios")</f>
        <v>0</v>
      </c>
      <c r="AV63" s="39">
        <f>SUMIFS(Lançamentos!$G:$G,Lançamentos!$A:$A,AV$19,Lançamentos!$C:$C,"Móveis e Utensílios")</f>
        <v>0</v>
      </c>
      <c r="AW63" s="39">
        <f>SUMIFS(Lançamentos!$G:$G,Lançamentos!$A:$A,AW$19,Lançamentos!$C:$C,"Móveis e Utensílios")</f>
        <v>0</v>
      </c>
      <c r="AX63" s="39">
        <f>SUMIFS(Lançamentos!$G:$G,Lançamentos!$A:$A,AX$19,Lançamentos!$C:$C,"Móveis e Utensílios")</f>
        <v>0</v>
      </c>
      <c r="AY63" s="39">
        <f>SUMIFS(Lançamentos!$G:$G,Lançamentos!$A:$A,AY$19,Lançamentos!$C:$C,"Móveis e Utensílios")</f>
        <v>0</v>
      </c>
      <c r="AZ63" s="39">
        <f>SUMIFS(Lançamentos!$G:$G,Lançamentos!$A:$A,AZ$19,Lançamentos!$C:$C,"Móveis e Utensílios")</f>
        <v>0</v>
      </c>
      <c r="BA63" s="39">
        <f>SUMIFS(Lançamentos!$G:$G,Lançamentos!$A:$A,BA$19,Lançamentos!$C:$C,"Móveis e Utensílios")</f>
        <v>0</v>
      </c>
      <c r="BB63" s="39">
        <f>SUMIFS(Lançamentos!$G:$G,Lançamentos!$A:$A,BB$19,Lançamentos!$C:$C,"Móveis e Utensílios")</f>
        <v>0</v>
      </c>
      <c r="BC63" s="39">
        <f>SUMIFS(Lançamentos!$G:$G,Lançamentos!$A:$A,BC$19,Lançamentos!$C:$C,"Móveis e Utensílios")</f>
        <v>0</v>
      </c>
      <c r="BD63" s="39">
        <f>SUMIFS(Lançamentos!$G:$G,Lançamentos!$A:$A,BD$19,Lançamentos!$C:$C,"Móveis e Utensílios")</f>
        <v>0</v>
      </c>
      <c r="BE63" s="39">
        <f>SUMIFS(Lançamentos!$G:$G,Lançamentos!$A:$A,BE$19,Lançamentos!$C:$C,"Móveis e Utensílios")</f>
        <v>0</v>
      </c>
      <c r="BF63" s="39">
        <f>SUMIFS(Lançamentos!$G:$G,Lançamentos!$A:$A,BF$19,Lançamentos!$C:$C,"Móveis e Utensílios")</f>
        <v>0</v>
      </c>
      <c r="BG63" s="39">
        <f>SUMIFS(Lançamentos!$G:$G,Lançamentos!$A:$A,BG$19,Lançamentos!$C:$C,"Móveis e Utensílios")</f>
        <v>0</v>
      </c>
      <c r="BH63" s="39">
        <f>SUMIFS(Lançamentos!$G:$G,Lançamentos!$A:$A,BH$19,Lançamentos!$C:$C,"Móveis e Utensílios")</f>
        <v>0</v>
      </c>
      <c r="BI63" s="39">
        <f>SUMIFS(Lançamentos!$G:$G,Lançamentos!$A:$A,BI$19,Lançamentos!$C:$C,"Móveis e Utensílios")</f>
        <v>0</v>
      </c>
      <c r="BJ63" s="39">
        <f>SUMIFS(Lançamentos!$G:$G,Lançamentos!$A:$A,BJ$19,Lançamentos!$C:$C,"Móveis e Utensílios")</f>
        <v>0</v>
      </c>
      <c r="BK63" s="39">
        <f>SUMIFS(Lançamentos!$G:$G,Lançamentos!$A:$A,BK$19,Lançamentos!$C:$C,"Móveis e Utensílios")</f>
        <v>0</v>
      </c>
      <c r="BL63" s="39">
        <f>SUMIFS(Lançamentos!$G:$G,Lançamentos!$A:$A,BL$19,Lançamentos!$C:$C,"Móveis e Utensílios")</f>
        <v>0</v>
      </c>
      <c r="BM63" s="39">
        <f>SUMIFS(Lançamentos!$G:$G,Lançamentos!$A:$A,BM$19,Lançamentos!$C:$C,"Móveis e Utensílios")</f>
        <v>0</v>
      </c>
      <c r="BN63" s="39">
        <f>SUMIFS(Lançamentos!$G:$G,Lançamentos!$A:$A,BN$19,Lançamentos!$C:$C,"Móveis e Utensílios")</f>
        <v>0</v>
      </c>
      <c r="BO63" s="39">
        <f>SUMIFS(Lançamentos!$G:$G,Lançamentos!$A:$A,BO$19,Lançamentos!$C:$C,"Móveis e Utensílios")</f>
        <v>0</v>
      </c>
      <c r="BP63" s="39">
        <f>SUMIFS(Lançamentos!$G:$G,Lançamentos!$A:$A,BP$19,Lançamentos!$C:$C,"Móveis e Utensílios")</f>
        <v>0</v>
      </c>
      <c r="BQ63" s="39">
        <f>SUMIFS(Lançamentos!$G:$G,Lançamentos!$A:$A,BQ$19,Lançamentos!$C:$C,"Móveis e Utensílios")</f>
        <v>0</v>
      </c>
      <c r="BR63" s="39">
        <f>SUMIFS(Lançamentos!$G:$G,Lançamentos!$A:$A,BR$19,Lançamentos!$C:$C,"Móveis e Utensílios")</f>
        <v>0</v>
      </c>
      <c r="BS63" s="39">
        <f>SUMIFS(Lançamentos!$G:$G,Lançamentos!$A:$A,BS$19,Lançamentos!$C:$C,"Móveis e Utensílios")</f>
        <v>0</v>
      </c>
      <c r="BT63" s="39">
        <f>SUMIFS(Lançamentos!$G:$G,Lançamentos!$A:$A,BT$19,Lançamentos!$C:$C,"Móveis e Utensílios")</f>
        <v>0</v>
      </c>
      <c r="BU63" s="39">
        <f>SUMIFS(Lançamentos!$G:$G,Lançamentos!$A:$A,BU$19,Lançamentos!$C:$C,"Móveis e Utensílios")</f>
        <v>0</v>
      </c>
      <c r="BV63" s="39">
        <f>SUMIFS(Lançamentos!$G:$G,Lançamentos!$A:$A,BV$19,Lançamentos!$C:$C,"Móveis e Utensílios")</f>
        <v>0</v>
      </c>
      <c r="BW63" s="39">
        <f>SUMIFS(Lançamentos!$G:$G,Lançamentos!$A:$A,BW$19,Lançamentos!$C:$C,"Móveis e Utensílios")</f>
        <v>0</v>
      </c>
      <c r="BX63" s="39">
        <f>SUMIFS(Lançamentos!$G:$G,Lançamentos!$A:$A,BX$19,Lançamentos!$C:$C,"Móveis e Utensílios")</f>
        <v>0</v>
      </c>
      <c r="BY63" s="39">
        <f>SUMIFS(Lançamentos!$G:$G,Lançamentos!$A:$A,BY$19,Lançamentos!$C:$C,"Móveis e Utensílios")</f>
        <v>0</v>
      </c>
      <c r="BZ63" s="39">
        <f>SUMIFS(Lançamentos!$G:$G,Lançamentos!$A:$A,BZ$19,Lançamentos!$C:$C,"Móveis e Utensílios")</f>
        <v>0</v>
      </c>
      <c r="CA63" s="39">
        <f>SUMIFS(Lançamentos!$G:$G,Lançamentos!$A:$A,CA$19,Lançamentos!$C:$C,"Móveis e Utensílios")</f>
        <v>0</v>
      </c>
      <c r="CB63" s="39">
        <f>SUMIFS(Lançamentos!$G:$G,Lançamentos!$A:$A,CB$19,Lançamentos!$C:$C,"Móveis e Utensílios")</f>
        <v>0</v>
      </c>
      <c r="CC63" s="39">
        <f>SUMIFS(Lançamentos!$G:$G,Lançamentos!$A:$A,CC$19,Lançamentos!$C:$C,"Móveis e Utensílios")</f>
        <v>0</v>
      </c>
      <c r="CD63" s="39">
        <f>SUMIFS(Lançamentos!$G:$G,Lançamentos!$A:$A,CD$19,Lançamentos!$C:$C,"Móveis e Utensílios")</f>
        <v>0</v>
      </c>
      <c r="CE63" s="39">
        <f>SUMIFS(Lançamentos!$G:$G,Lançamentos!$A:$A,CE$19,Lançamentos!$C:$C,"Móveis e Utensílios")</f>
        <v>0</v>
      </c>
      <c r="CF63" s="39">
        <f>SUMIFS(Lançamentos!$G:$G,Lançamentos!$A:$A,CF$19,Lançamentos!$C:$C,"Móveis e Utensílios")</f>
        <v>0</v>
      </c>
      <c r="CG63" s="39">
        <f>SUMIFS(Lançamentos!$G:$G,Lançamentos!$A:$A,CG$19,Lançamentos!$C:$C,"Móveis e Utensílios")</f>
        <v>0</v>
      </c>
      <c r="CH63" s="39">
        <f>SUMIFS(Lançamentos!$G:$G,Lançamentos!$A:$A,CH$19,Lançamentos!$C:$C,"Móveis e Utensílios")</f>
        <v>0</v>
      </c>
      <c r="CI63" s="39">
        <f>SUMIFS(Lançamentos!$G:$G,Lançamentos!$A:$A,CI$19,Lançamentos!$C:$C,"Móveis e Utensílios")</f>
        <v>0</v>
      </c>
      <c r="CJ63" s="39">
        <f>SUMIFS(Lançamentos!$G:$G,Lançamentos!$A:$A,CJ$19,Lançamentos!$C:$C,"Móveis e Utensílios")</f>
        <v>0</v>
      </c>
      <c r="CK63" s="39">
        <f>SUMIFS(Lançamentos!$G:$G,Lançamentos!$A:$A,CK$19,Lançamentos!$C:$C,"Móveis e Utensílios")</f>
        <v>0</v>
      </c>
      <c r="CL63" s="39">
        <f>SUMIFS(Lançamentos!$G:$G,Lançamentos!$A:$A,CL$19,Lançamentos!$C:$C,"Móveis e Utensílios")</f>
        <v>0</v>
      </c>
      <c r="CM63" s="39">
        <f>SUMIFS(Lançamentos!$G:$G,Lançamentos!$A:$A,CM$19,Lançamentos!$C:$C,"Móveis e Utensílios")</f>
        <v>0</v>
      </c>
      <c r="CN63" s="39">
        <f>SUMIFS(Lançamentos!$G:$G,Lançamentos!$A:$A,CN$19,Lançamentos!$C:$C,"Móveis e Utensílios")</f>
        <v>0</v>
      </c>
      <c r="CO63" s="39">
        <f>SUMIFS(Lançamentos!$G:$G,Lançamentos!$A:$A,CO$19,Lançamentos!$C:$C,"Móveis e Utensílios")</f>
        <v>0</v>
      </c>
      <c r="CP63" s="39">
        <f>SUMIFS(Lançamentos!$G:$G,Lançamentos!$A:$A,CP$19,Lançamentos!$C:$C,"Móveis e Utensílios")</f>
        <v>0</v>
      </c>
      <c r="CQ63" s="39">
        <f>SUMIFS(Lançamentos!$G:$G,Lançamentos!$A:$A,CQ$19,Lançamentos!$C:$C,"Móveis e Utensílios")</f>
        <v>0</v>
      </c>
      <c r="CR63" s="39">
        <f>SUMIFS(Lançamentos!$G:$G,Lançamentos!$A:$A,CR$19,Lançamentos!$C:$C,"Móveis e Utensílios")</f>
        <v>0</v>
      </c>
      <c r="CS63" s="39">
        <f>SUMIFS(Lançamentos!$G:$G,Lançamentos!$A:$A,CS$19,Lançamentos!$C:$C,"Móveis e Utensílios")</f>
        <v>0</v>
      </c>
      <c r="CT63" s="39">
        <f>SUMIFS(Lançamentos!$G:$G,Lançamentos!$A:$A,CT$19,Lançamentos!$C:$C,"Móveis e Utensílios")</f>
        <v>0</v>
      </c>
      <c r="CU63" s="39">
        <f>SUMIFS(Lançamentos!$G:$G,Lançamentos!$A:$A,CU$19,Lançamentos!$C:$C,"Móveis e Utensílios")</f>
        <v>0</v>
      </c>
      <c r="CV63" s="39">
        <f>SUMIFS(Lançamentos!$G:$G,Lançamentos!$A:$A,CV$19,Lançamentos!$C:$C,"Móveis e Utensílios")</f>
        <v>0</v>
      </c>
      <c r="CW63" s="39">
        <f>SUMIFS(Lançamentos!$G:$G,Lançamentos!$A:$A,CW$19,Lançamentos!$C:$C,"Móveis e Utensílios")</f>
        <v>0</v>
      </c>
      <c r="CX63" s="39">
        <f>SUMIFS(Lançamentos!$G:$G,Lançamentos!$A:$A,CX$19,Lançamentos!$C:$C,"Móveis e Utensílios")</f>
        <v>0</v>
      </c>
      <c r="CY63" s="39">
        <f>SUMIFS(Lançamentos!$G:$G,Lançamentos!$A:$A,CY$19,Lançamentos!$C:$C,"Móveis e Utensílios")</f>
        <v>0</v>
      </c>
      <c r="CZ63" s="39">
        <f>SUMIFS(Lançamentos!$G:$G,Lançamentos!$A:$A,CZ$19,Lançamentos!$C:$C,"Móveis e Utensílios")</f>
        <v>0</v>
      </c>
      <c r="DA63" s="39">
        <f>SUMIFS(Lançamentos!$G:$G,Lançamentos!$A:$A,DA$19,Lançamentos!$C:$C,"Móveis e Utensílios")</f>
        <v>0</v>
      </c>
      <c r="DB63" s="39">
        <f>SUMIFS(Lançamentos!$G:$G,Lançamentos!$A:$A,DB$19,Lançamentos!$C:$C,"Móveis e Utensílios")</f>
        <v>0</v>
      </c>
      <c r="DC63" s="39">
        <f>SUMIFS(Lançamentos!$G:$G,Lançamentos!$A:$A,DC$19,Lançamentos!$C:$C,"Móveis e Utensílios")</f>
        <v>0</v>
      </c>
      <c r="DD63" s="39">
        <f>SUMIFS(Lançamentos!$G:$G,Lançamentos!$A:$A,DD$19,Lançamentos!$C:$C,"Móveis e Utensílios")</f>
        <v>0</v>
      </c>
      <c r="DE63" s="39">
        <f>SUMIFS(Lançamentos!$G:$G,Lançamentos!$A:$A,DE$19,Lançamentos!$C:$C,"Móveis e Utensílios")</f>
        <v>0</v>
      </c>
      <c r="DF63" s="39">
        <f>SUMIFS(Lançamentos!$G:$G,Lançamentos!$A:$A,DF$19,Lançamentos!$C:$C,"Móveis e Utensílios")</f>
        <v>0</v>
      </c>
      <c r="DG63" s="39">
        <f>SUMIFS(Lançamentos!$G:$G,Lançamentos!$A:$A,DG$19,Lançamentos!$C:$C,"Móveis e Utensílios")</f>
        <v>0</v>
      </c>
      <c r="DH63" s="39">
        <f>SUMIFS(Lançamentos!$G:$G,Lançamentos!$A:$A,DH$19,Lançamentos!$C:$C,"Móveis e Utensílios")</f>
        <v>0</v>
      </c>
      <c r="DI63" s="39">
        <f>SUMIFS(Lançamentos!$G:$G,Lançamentos!$A:$A,DI$19,Lançamentos!$C:$C,"Móveis e Utensílios")</f>
        <v>0</v>
      </c>
      <c r="DJ63" s="39">
        <f>SUMIFS(Lançamentos!$G:$G,Lançamentos!$A:$A,DJ$19,Lançamentos!$C:$C,"Móveis e Utensílios")</f>
        <v>0</v>
      </c>
      <c r="DK63" s="39">
        <f>SUMIFS(Lançamentos!$G:$G,Lançamentos!$A:$A,DK$19,Lançamentos!$C:$C,"Móveis e Utensílios")</f>
        <v>0</v>
      </c>
      <c r="DL63" s="39">
        <f>SUMIFS(Lançamentos!$G:$G,Lançamentos!$A:$A,DL$19,Lançamentos!$C:$C,"Móveis e Utensílios")</f>
        <v>0</v>
      </c>
      <c r="DM63" s="39">
        <f>SUMIFS(Lançamentos!$G:$G,Lançamentos!$A:$A,DM$19,Lançamentos!$C:$C,"Móveis e Utensílios")</f>
        <v>0</v>
      </c>
      <c r="DN63" s="39">
        <f>SUMIFS(Lançamentos!$G:$G,Lançamentos!$A:$A,DN$19,Lançamentos!$C:$C,"Móveis e Utensílios")</f>
        <v>0</v>
      </c>
      <c r="DO63" s="39">
        <f>SUMIFS(Lançamentos!$G:$G,Lançamentos!$A:$A,DO$19,Lançamentos!$C:$C,"Móveis e Utensílios")</f>
        <v>0</v>
      </c>
      <c r="DP63" s="39">
        <f>SUMIFS(Lançamentos!$G:$G,Lançamentos!$A:$A,DP$19,Lançamentos!$C:$C,"Móveis e Utensílios")</f>
        <v>0</v>
      </c>
      <c r="DQ63" s="39">
        <f>SUMIFS(Lançamentos!$G:$G,Lançamentos!$A:$A,DQ$19,Lançamentos!$C:$C,"Móveis e Utensílios")</f>
        <v>0</v>
      </c>
      <c r="DR63" s="39">
        <f>SUMIFS(Lançamentos!$G:$G,Lançamentos!$A:$A,DR$19,Lançamentos!$C:$C,"Móveis e Utensílios")</f>
        <v>0</v>
      </c>
      <c r="DS63" s="39">
        <f>SUMIFS(Lançamentos!$G:$G,Lançamentos!$A:$A,DS$19,Lançamentos!$C:$C,"Móveis e Utensílios")</f>
        <v>0</v>
      </c>
      <c r="DT63" s="39">
        <f>SUMIFS(Lançamentos!$G:$G,Lançamentos!$A:$A,DT$19,Lançamentos!$C:$C,"Móveis e Utensílios")</f>
        <v>0</v>
      </c>
      <c r="DU63" s="39">
        <f>SUMIFS(Lançamentos!$G:$G,Lançamentos!$A:$A,DU$19,Lançamentos!$C:$C,"Móveis e Utensílios")</f>
        <v>0</v>
      </c>
      <c r="DV63" s="39">
        <f>SUMIFS(Lançamentos!$G:$G,Lançamentos!$A:$A,DV$19,Lançamentos!$C:$C,"Móveis e Utensílios")</f>
        <v>0</v>
      </c>
      <c r="DW63" s="39">
        <f>SUMIFS(Lançamentos!$G:$G,Lançamentos!$A:$A,DW$19,Lançamentos!$C:$C,"Móveis e Utensílios")</f>
        <v>0</v>
      </c>
      <c r="DX63" s="39">
        <f>SUMIFS(Lançamentos!$G:$G,Lançamentos!$A:$A,DX$19,Lançamentos!$C:$C,"Móveis e Utensílios")</f>
        <v>0</v>
      </c>
      <c r="DY63" s="39">
        <f>SUMIFS(Lançamentos!$G:$G,Lançamentos!$A:$A,DY$19,Lançamentos!$C:$C,"Móveis e Utensílios")</f>
        <v>0</v>
      </c>
      <c r="DZ63" s="39">
        <f>SUMIFS(Lançamentos!$G:$G,Lançamentos!$A:$A,DZ$19,Lançamentos!$C:$C,"Móveis e Utensílios")</f>
        <v>0</v>
      </c>
      <c r="EA63" s="39">
        <f>SUMIFS(Lançamentos!$G:$G,Lançamentos!$A:$A,EA$19,Lançamentos!$C:$C,"Móveis e Utensílios")</f>
        <v>0</v>
      </c>
      <c r="EB63" s="39">
        <f>SUMIFS(Lançamentos!$G:$G,Lançamentos!$A:$A,EB$19,Lançamentos!$C:$C,"Móveis e Utensílios")</f>
        <v>0</v>
      </c>
      <c r="EC63" s="39">
        <f>SUMIFS(Lançamentos!$G:$G,Lançamentos!$A:$A,EC$19,Lançamentos!$C:$C,"Móveis e Utensílios")</f>
        <v>0</v>
      </c>
      <c r="ED63" s="39">
        <f>SUMIFS(Lançamentos!$G:$G,Lançamentos!$A:$A,ED$19,Lançamentos!$C:$C,"Móveis e Utensílios")</f>
        <v>0</v>
      </c>
      <c r="EE63" s="39">
        <f>SUMIFS(Lançamentos!$G:$G,Lançamentos!$A:$A,EE$19,Lançamentos!$C:$C,"Móveis e Utensílios")</f>
        <v>0</v>
      </c>
      <c r="EF63" s="39">
        <f>SUMIFS(Lançamentos!$G:$G,Lançamentos!$A:$A,EF$19,Lançamentos!$C:$C,"Móveis e Utensílios")</f>
        <v>0</v>
      </c>
      <c r="EG63" s="39">
        <f>SUMIFS(Lançamentos!$G:$G,Lançamentos!$A:$A,EG$19,Lançamentos!$C:$C,"Móveis e Utensílios")</f>
        <v>0</v>
      </c>
      <c r="EH63" s="39">
        <f>SUMIFS(Lançamentos!$G:$G,Lançamentos!$A:$A,EH$19,Lançamentos!$C:$C,"Móveis e Utensílios")</f>
        <v>0</v>
      </c>
      <c r="EI63" s="39">
        <f>SUMIFS(Lançamentos!$G:$G,Lançamentos!$A:$A,EI$19,Lançamentos!$C:$C,"Móveis e Utensílios")</f>
        <v>0</v>
      </c>
      <c r="EJ63" s="39">
        <f>SUMIFS(Lançamentos!$G:$G,Lançamentos!$A:$A,EJ$19,Lançamentos!$C:$C,"Móveis e Utensílios")</f>
        <v>0</v>
      </c>
      <c r="EK63" s="39">
        <f>SUMIFS(Lançamentos!$G:$G,Lançamentos!$A:$A,EK$19,Lançamentos!$C:$C,"Móveis e Utensílios")</f>
        <v>0</v>
      </c>
      <c r="EL63" s="39">
        <f>SUMIFS(Lançamentos!$G:$G,Lançamentos!$A:$A,EL$19,Lançamentos!$C:$C,"Móveis e Utensílios")</f>
        <v>0</v>
      </c>
      <c r="EM63" s="39">
        <f>SUMIFS(Lançamentos!$G:$G,Lançamentos!$A:$A,EM$19,Lançamentos!$C:$C,"Móveis e Utensílios")</f>
        <v>0</v>
      </c>
      <c r="EN63" s="39">
        <f>SUMIFS(Lançamentos!$G:$G,Lançamentos!$A:$A,EN$19,Lançamentos!$C:$C,"Móveis e Utensílios")</f>
        <v>0</v>
      </c>
      <c r="EO63" s="39">
        <f>SUMIFS(Lançamentos!$G:$G,Lançamentos!$A:$A,EO$19,Lançamentos!$C:$C,"Móveis e Utensílios")</f>
        <v>0</v>
      </c>
      <c r="EP63" s="39">
        <f>SUMIFS(Lançamentos!$G:$G,Lançamentos!$A:$A,EP$19,Lançamentos!$C:$C,"Móveis e Utensílios")</f>
        <v>0</v>
      </c>
      <c r="EQ63" s="39">
        <f>SUMIFS(Lançamentos!$G:$G,Lançamentos!$A:$A,EQ$19,Lançamentos!$C:$C,"Móveis e Utensílios")</f>
        <v>0</v>
      </c>
      <c r="ER63" s="39">
        <f>SUMIFS(Lançamentos!$G:$G,Lançamentos!$A:$A,ER$19,Lançamentos!$C:$C,"Móveis e Utensílios")</f>
        <v>0</v>
      </c>
      <c r="ES63" s="39">
        <f>SUMIFS(Lançamentos!$G:$G,Lançamentos!$A:$A,ES$19,Lançamentos!$C:$C,"Móveis e Utensílios")</f>
        <v>0</v>
      </c>
      <c r="ET63" s="39">
        <f>SUMIFS(Lançamentos!$G:$G,Lançamentos!$A:$A,ET$19,Lançamentos!$C:$C,"Móveis e Utensílios")</f>
        <v>0</v>
      </c>
      <c r="EU63" s="39">
        <f>SUMIFS(Lançamentos!$G:$G,Lançamentos!$A:$A,EU$19,Lançamentos!$C:$C,"Móveis e Utensílios")</f>
        <v>0</v>
      </c>
      <c r="EV63" s="39">
        <f>SUMIFS(Lançamentos!$G:$G,Lançamentos!$A:$A,EV$19,Lançamentos!$C:$C,"Móveis e Utensílios")</f>
        <v>0</v>
      </c>
      <c r="EW63" s="39">
        <f>SUMIFS(Lançamentos!$G:$G,Lançamentos!$A:$A,EW$19,Lançamentos!$C:$C,"Móveis e Utensílios")</f>
        <v>0</v>
      </c>
      <c r="EX63" s="39">
        <f>SUMIFS(Lançamentos!$G:$G,Lançamentos!$A:$A,EX$19,Lançamentos!$C:$C,"Móveis e Utensílios")</f>
        <v>0</v>
      </c>
      <c r="EY63" s="39">
        <f>SUMIFS(Lançamentos!$G:$G,Lançamentos!$A:$A,EY$19,Lançamentos!$C:$C,"Móveis e Utensílios")</f>
        <v>0</v>
      </c>
      <c r="EZ63" s="39">
        <f>SUMIFS(Lançamentos!$G:$G,Lançamentos!$A:$A,EZ$19,Lançamentos!$C:$C,"Móveis e Utensílios")</f>
        <v>0</v>
      </c>
      <c r="FA63" s="39">
        <f>SUMIFS(Lançamentos!$G:$G,Lançamentos!$A:$A,FA$19,Lançamentos!$C:$C,"Móveis e Utensílios")</f>
        <v>0</v>
      </c>
      <c r="FB63" s="39">
        <f>SUMIFS(Lançamentos!$G:$G,Lançamentos!$A:$A,FB$19,Lançamentos!$C:$C,"Móveis e Utensílios")</f>
        <v>0</v>
      </c>
      <c r="FC63" s="39">
        <f>SUMIFS(Lançamentos!$G:$G,Lançamentos!$A:$A,FC$19,Lançamentos!$C:$C,"Móveis e Utensílios")</f>
        <v>0</v>
      </c>
      <c r="FD63" s="39">
        <f>SUMIFS(Lançamentos!$G:$G,Lançamentos!$A:$A,FD$19,Lançamentos!$C:$C,"Móveis e Utensílios")</f>
        <v>0</v>
      </c>
      <c r="FE63" s="39">
        <f>SUMIFS(Lançamentos!$G:$G,Lançamentos!$A:$A,FE$19,Lançamentos!$C:$C,"Móveis e Utensílios")</f>
        <v>0</v>
      </c>
      <c r="FF63" s="39">
        <f>SUMIFS(Lançamentos!$G:$G,Lançamentos!$A:$A,FF$19,Lançamentos!$C:$C,"Móveis e Utensílios")</f>
        <v>0</v>
      </c>
      <c r="FG63" s="39">
        <f>SUMIFS(Lançamentos!$G:$G,Lançamentos!$A:$A,FG$19,Lançamentos!$C:$C,"Móveis e Utensílios")</f>
        <v>0</v>
      </c>
      <c r="FH63" s="39">
        <f>SUMIFS(Lançamentos!$G:$G,Lançamentos!$A:$A,FH$19,Lançamentos!$C:$C,"Móveis e Utensílios")</f>
        <v>0</v>
      </c>
      <c r="FI63" s="39">
        <f>SUMIFS(Lançamentos!$G:$G,Lançamentos!$A:$A,FI$19,Lançamentos!$C:$C,"Móveis e Utensílios")</f>
        <v>0</v>
      </c>
      <c r="FJ63" s="39">
        <f>SUMIFS(Lançamentos!$G:$G,Lançamentos!$A:$A,FJ$19,Lançamentos!$C:$C,"Móveis e Utensílios")</f>
        <v>0</v>
      </c>
      <c r="FK63" s="39">
        <f>SUMIFS(Lançamentos!$G:$G,Lançamentos!$A:$A,FK$19,Lançamentos!$C:$C,"Móveis e Utensílios")</f>
        <v>0</v>
      </c>
      <c r="FL63" s="39">
        <f>SUMIFS(Lançamentos!$G:$G,Lançamentos!$A:$A,FL$19,Lançamentos!$C:$C,"Móveis e Utensílios")</f>
        <v>0</v>
      </c>
      <c r="FM63" s="39">
        <f>SUMIFS(Lançamentos!$G:$G,Lançamentos!$A:$A,FM$19,Lançamentos!$C:$C,"Móveis e Utensílios")</f>
        <v>0</v>
      </c>
      <c r="FN63" s="39">
        <f>SUMIFS(Lançamentos!$G:$G,Lançamentos!$A:$A,FN$19,Lançamentos!$C:$C,"Móveis e Utensílios")</f>
        <v>0</v>
      </c>
      <c r="FO63" s="39">
        <f>SUMIFS(Lançamentos!$G:$G,Lançamentos!$A:$A,FO$19,Lançamentos!$C:$C,"Móveis e Utensílios")</f>
        <v>0</v>
      </c>
      <c r="FP63" s="39">
        <f>SUMIFS(Lançamentos!$G:$G,Lançamentos!$A:$A,FP$19,Lançamentos!$C:$C,"Móveis e Utensílios")</f>
        <v>0</v>
      </c>
      <c r="FQ63" s="39">
        <f>SUMIFS(Lançamentos!$G:$G,Lançamentos!$A:$A,FQ$19,Lançamentos!$C:$C,"Móveis e Utensílios")</f>
        <v>0</v>
      </c>
      <c r="FR63" s="39">
        <f>SUMIFS(Lançamentos!$G:$G,Lançamentos!$A:$A,FR$19,Lançamentos!$C:$C,"Móveis e Utensílios")</f>
        <v>0</v>
      </c>
      <c r="FS63" s="39">
        <f>SUMIFS(Lançamentos!$G:$G,Lançamentos!$A:$A,FS$19,Lançamentos!$C:$C,"Móveis e Utensílios")</f>
        <v>0</v>
      </c>
      <c r="FT63" s="39">
        <f>SUMIFS(Lançamentos!$G:$G,Lançamentos!$A:$A,FT$19,Lançamentos!$C:$C,"Móveis e Utensílios")</f>
        <v>0</v>
      </c>
      <c r="FU63" s="39">
        <f>SUMIFS(Lançamentos!$G:$G,Lançamentos!$A:$A,FU$19,Lançamentos!$C:$C,"Móveis e Utensílios")</f>
        <v>0</v>
      </c>
      <c r="FV63" s="39">
        <f>SUMIFS(Lançamentos!$G:$G,Lançamentos!$A:$A,FV$19,Lançamentos!$C:$C,"Móveis e Utensílios")</f>
        <v>0</v>
      </c>
      <c r="FW63" s="39">
        <f>SUMIFS(Lançamentos!$G:$G,Lançamentos!$A:$A,FW$19,Lançamentos!$C:$C,"Móveis e Utensílios")</f>
        <v>0</v>
      </c>
      <c r="FX63" s="39">
        <f>SUMIFS(Lançamentos!$G:$G,Lançamentos!$A:$A,FX$19,Lançamentos!$C:$C,"Móveis e Utensílios")</f>
        <v>0</v>
      </c>
      <c r="FY63" s="39">
        <f>SUMIFS(Lançamentos!$G:$G,Lançamentos!$A:$A,FY$19,Lançamentos!$C:$C,"Móveis e Utensílios")</f>
        <v>0</v>
      </c>
      <c r="FZ63" s="39">
        <f>SUMIFS(Lançamentos!$G:$G,Lançamentos!$A:$A,FZ$19,Lançamentos!$C:$C,"Móveis e Utensílios")</f>
        <v>0</v>
      </c>
      <c r="GA63" s="39">
        <f>SUMIFS(Lançamentos!$G:$G,Lançamentos!$A:$A,GA$19,Lançamentos!$C:$C,"Móveis e Utensílios")</f>
        <v>0</v>
      </c>
      <c r="GB63" s="39">
        <f>SUMIFS(Lançamentos!$G:$G,Lançamentos!$A:$A,GB$19,Lançamentos!$C:$C,"Móveis e Utensílios")</f>
        <v>0</v>
      </c>
      <c r="GC63" s="39">
        <f>SUMIFS(Lançamentos!$G:$G,Lançamentos!$A:$A,GC$19,Lançamentos!$C:$C,"Móveis e Utensílios")</f>
        <v>0</v>
      </c>
      <c r="GD63" s="39">
        <f>SUMIFS(Lançamentos!$G:$G,Lançamentos!$A:$A,GD$19,Lançamentos!$C:$C,"Móveis e Utensílios")</f>
        <v>0</v>
      </c>
      <c r="GE63" s="39">
        <f>SUMIFS(Lançamentos!$G:$G,Lançamentos!$A:$A,GE$19,Lançamentos!$C:$C,"Móveis e Utensílios")</f>
        <v>0</v>
      </c>
      <c r="GF63" s="39">
        <f>SUMIFS(Lançamentos!$G:$G,Lançamentos!$A:$A,GF$19,Lançamentos!$C:$C,"Móveis e Utensílios")</f>
        <v>0</v>
      </c>
      <c r="GG63" s="39">
        <f>SUMIFS(Lançamentos!$G:$G,Lançamentos!$A:$A,GG$19,Lançamentos!$C:$C,"Móveis e Utensílios")</f>
        <v>0</v>
      </c>
      <c r="GH63" s="39">
        <f>SUMIFS(Lançamentos!$G:$G,Lançamentos!$A:$A,GH$19,Lançamentos!$C:$C,"Móveis e Utensílios")</f>
        <v>0</v>
      </c>
      <c r="GI63" s="39">
        <f>SUMIFS(Lançamentos!$G:$G,Lançamentos!$A:$A,GI$19,Lançamentos!$C:$C,"Móveis e Utensílios")</f>
        <v>0</v>
      </c>
      <c r="GJ63" s="39">
        <f>SUMIFS(Lançamentos!$G:$G,Lançamentos!$A:$A,GJ$19,Lançamentos!$C:$C,"Móveis e Utensílios")</f>
        <v>0</v>
      </c>
      <c r="GK63" s="39">
        <f>SUMIFS(Lançamentos!$G:$G,Lançamentos!$A:$A,GK$19,Lançamentos!$C:$C,"Móveis e Utensílios")</f>
        <v>0</v>
      </c>
      <c r="GL63" s="39">
        <f>SUMIFS(Lançamentos!$G:$G,Lançamentos!$A:$A,GL$19,Lançamentos!$C:$C,"Móveis e Utensílios")</f>
        <v>0</v>
      </c>
      <c r="GM63" s="39">
        <f>SUMIFS(Lançamentos!$G:$G,Lançamentos!$A:$A,GM$19,Lançamentos!$C:$C,"Móveis e Utensílios")</f>
        <v>0</v>
      </c>
      <c r="GN63" s="39">
        <f>SUMIFS(Lançamentos!$G:$G,Lançamentos!$A:$A,GN$19,Lançamentos!$C:$C,"Móveis e Utensílios")</f>
        <v>0</v>
      </c>
      <c r="GO63" s="39">
        <f>SUMIFS(Lançamentos!$G:$G,Lançamentos!$A:$A,GO$19,Lançamentos!$C:$C,"Móveis e Utensílios")</f>
        <v>0</v>
      </c>
      <c r="GP63" s="39">
        <f>SUMIFS(Lançamentos!$G:$G,Lançamentos!$A:$A,GP$19,Lançamentos!$C:$C,"Móveis e Utensílios")</f>
        <v>0</v>
      </c>
      <c r="GQ63" s="39">
        <f>SUMIFS(Lançamentos!$G:$G,Lançamentos!$A:$A,GQ$19,Lançamentos!$C:$C,"Móveis e Utensílios")</f>
        <v>0</v>
      </c>
      <c r="GR63" s="39">
        <f>SUMIFS(Lançamentos!$G:$G,Lançamentos!$A:$A,GR$19,Lançamentos!$C:$C,"Móveis e Utensílios")</f>
        <v>0</v>
      </c>
      <c r="GS63" s="39">
        <f>SUMIFS(Lançamentos!$G:$G,Lançamentos!$A:$A,GS$19,Lançamentos!$C:$C,"Móveis e Utensílios")</f>
        <v>0</v>
      </c>
      <c r="GT63" s="39">
        <f>SUMIFS(Lançamentos!$G:$G,Lançamentos!$A:$A,GT$19,Lançamentos!$C:$C,"Móveis e Utensílios")</f>
        <v>0</v>
      </c>
      <c r="GU63" s="39">
        <f>SUMIFS(Lançamentos!$G:$G,Lançamentos!$A:$A,GU$19,Lançamentos!$C:$C,"Móveis e Utensílios")</f>
        <v>0</v>
      </c>
      <c r="GV63" s="39">
        <f>SUMIFS(Lançamentos!$G:$G,Lançamentos!$A:$A,GV$19,Lançamentos!$C:$C,"Móveis e Utensílios")</f>
        <v>0</v>
      </c>
      <c r="GW63" s="39">
        <f>SUMIFS(Lançamentos!$G:$G,Lançamentos!$A:$A,GW$19,Lançamentos!$C:$C,"Móveis e Utensílios")</f>
        <v>0</v>
      </c>
      <c r="GX63" s="39">
        <f>SUMIFS(Lançamentos!$G:$G,Lançamentos!$A:$A,GX$19,Lançamentos!$C:$C,"Móveis e Utensílios")</f>
        <v>0</v>
      </c>
      <c r="GY63" s="39">
        <f>SUMIFS(Lançamentos!$G:$G,Lançamentos!$A:$A,GY$19,Lançamentos!$C:$C,"Móveis e Utensílios")</f>
        <v>0</v>
      </c>
      <c r="GZ63" s="39">
        <f>SUMIFS(Lançamentos!$G:$G,Lançamentos!$A:$A,GZ$19,Lançamentos!$C:$C,"Móveis e Utensílios")</f>
        <v>0</v>
      </c>
      <c r="HA63" s="39">
        <f>SUMIFS(Lançamentos!$G:$G,Lançamentos!$A:$A,HA$19,Lançamentos!$C:$C,"Móveis e Utensílios")</f>
        <v>0</v>
      </c>
      <c r="HB63" s="39">
        <f>SUMIFS(Lançamentos!$G:$G,Lançamentos!$A:$A,HB$19,Lançamentos!$C:$C,"Móveis e Utensílios")</f>
        <v>0</v>
      </c>
      <c r="HC63" s="39">
        <f>SUMIFS(Lançamentos!$G:$G,Lançamentos!$A:$A,HC$19,Lançamentos!$C:$C,"Móveis e Utensílios")</f>
        <v>0</v>
      </c>
      <c r="HD63" s="39">
        <f>SUMIFS(Lançamentos!$G:$G,Lançamentos!$A:$A,HD$19,Lançamentos!$C:$C,"Móveis e Utensílios")</f>
        <v>0</v>
      </c>
      <c r="HE63" s="39">
        <f>SUMIFS(Lançamentos!$G:$G,Lançamentos!$A:$A,HE$19,Lançamentos!$C:$C,"Móveis e Utensílios")</f>
        <v>0</v>
      </c>
      <c r="HF63" s="39">
        <f>SUMIFS(Lançamentos!$G:$G,Lançamentos!$A:$A,HF$19,Lançamentos!$C:$C,"Móveis e Utensílios")</f>
        <v>0</v>
      </c>
      <c r="HG63" s="39">
        <f>SUMIFS(Lançamentos!$G:$G,Lançamentos!$A:$A,HG$19,Lançamentos!$C:$C,"Móveis e Utensílios")</f>
        <v>0</v>
      </c>
      <c r="HH63" s="39">
        <f>SUMIFS(Lançamentos!$G:$G,Lançamentos!$A:$A,HH$19,Lançamentos!$C:$C,"Móveis e Utensílios")</f>
        <v>0</v>
      </c>
      <c r="HI63" s="39">
        <f>SUMIFS(Lançamentos!$G:$G,Lançamentos!$A:$A,HI$19,Lançamentos!$C:$C,"Móveis e Utensílios")</f>
        <v>0</v>
      </c>
      <c r="HJ63" s="39">
        <f>SUMIFS(Lançamentos!$G:$G,Lançamentos!$A:$A,HJ$19,Lançamentos!$C:$C,"Móveis e Utensílios")</f>
        <v>0</v>
      </c>
      <c r="HK63" s="39">
        <f>SUMIFS(Lançamentos!$G:$G,Lançamentos!$A:$A,HK$19,Lançamentos!$C:$C,"Móveis e Utensílios")</f>
        <v>0</v>
      </c>
      <c r="HL63" s="39">
        <f>SUMIFS(Lançamentos!$G:$G,Lançamentos!$A:$A,HL$19,Lançamentos!$C:$C,"Móveis e Utensílios")</f>
        <v>0</v>
      </c>
      <c r="HM63" s="39">
        <f>SUMIFS(Lançamentos!$G:$G,Lançamentos!$A:$A,HM$19,Lançamentos!$C:$C,"Móveis e Utensílios")</f>
        <v>0</v>
      </c>
      <c r="HN63" s="39">
        <f>SUMIFS(Lançamentos!$G:$G,Lançamentos!$A:$A,HN$19,Lançamentos!$C:$C,"Móveis e Utensílios")</f>
        <v>0</v>
      </c>
      <c r="HO63" s="39">
        <f>SUMIFS(Lançamentos!$G:$G,Lançamentos!$A:$A,HO$19,Lançamentos!$C:$C,"Móveis e Utensílios")</f>
        <v>0</v>
      </c>
      <c r="HP63" s="39">
        <f>SUMIFS(Lançamentos!$G:$G,Lançamentos!$A:$A,HP$19,Lançamentos!$C:$C,"Móveis e Utensílios")</f>
        <v>0</v>
      </c>
      <c r="HQ63" s="39">
        <f>SUMIFS(Lançamentos!$G:$G,Lançamentos!$A:$A,HQ$19,Lançamentos!$C:$C,"Móveis e Utensílios")</f>
        <v>0</v>
      </c>
      <c r="HR63" s="39">
        <f>SUMIFS(Lançamentos!$G:$G,Lançamentos!$A:$A,HR$19,Lançamentos!$C:$C,"Móveis e Utensílios")</f>
        <v>0</v>
      </c>
      <c r="HS63" s="39">
        <f>SUMIFS(Lançamentos!$G:$G,Lançamentos!$A:$A,HS$19,Lançamentos!$C:$C,"Móveis e Utensílios")</f>
        <v>0</v>
      </c>
      <c r="HT63" s="39">
        <f>SUMIFS(Lançamentos!$G:$G,Lançamentos!$A:$A,HT$19,Lançamentos!$C:$C,"Móveis e Utensílios")</f>
        <v>0</v>
      </c>
      <c r="HU63" s="39">
        <f>SUMIFS(Lançamentos!$G:$G,Lançamentos!$A:$A,HU$19,Lançamentos!$C:$C,"Móveis e Utensílios")</f>
        <v>0</v>
      </c>
      <c r="HV63" s="39">
        <f>SUMIFS(Lançamentos!$G:$G,Lançamentos!$A:$A,HV$19,Lançamentos!$C:$C,"Móveis e Utensílios")</f>
        <v>0</v>
      </c>
      <c r="HW63" s="39">
        <f>SUMIFS(Lançamentos!$G:$G,Lançamentos!$A:$A,HW$19,Lançamentos!$C:$C,"Móveis e Utensílios")</f>
        <v>0</v>
      </c>
      <c r="HX63" s="39">
        <f>SUMIFS(Lançamentos!$G:$G,Lançamentos!$A:$A,HX$19,Lançamentos!$C:$C,"Móveis e Utensílios")</f>
        <v>0</v>
      </c>
      <c r="HY63" s="39">
        <f>SUMIFS(Lançamentos!$G:$G,Lançamentos!$A:$A,HY$19,Lançamentos!$C:$C,"Móveis e Utensílios")</f>
        <v>0</v>
      </c>
      <c r="HZ63" s="39">
        <f>SUMIFS(Lançamentos!$G:$G,Lançamentos!$A:$A,HZ$19,Lançamentos!$C:$C,"Móveis e Utensílios")</f>
        <v>0</v>
      </c>
      <c r="IA63" s="39">
        <f>SUMIFS(Lançamentos!$G:$G,Lançamentos!$A:$A,IA$19,Lançamentos!$C:$C,"Móveis e Utensílios")</f>
        <v>0</v>
      </c>
      <c r="IB63" s="39">
        <f>SUMIFS(Lançamentos!$G:$G,Lançamentos!$A:$A,IB$19,Lançamentos!$C:$C,"Móveis e Utensílios")</f>
        <v>0</v>
      </c>
      <c r="IC63" s="39">
        <f>SUMIFS(Lançamentos!$G:$G,Lançamentos!$A:$A,IC$19,Lançamentos!$C:$C,"Móveis e Utensílios")</f>
        <v>0</v>
      </c>
      <c r="ID63" s="39">
        <f>SUMIFS(Lançamentos!$G:$G,Lançamentos!$A:$A,ID$19,Lançamentos!$C:$C,"Móveis e Utensílios")</f>
        <v>0</v>
      </c>
      <c r="IE63" s="39">
        <f>SUMIFS(Lançamentos!$G:$G,Lançamentos!$A:$A,IE$19,Lançamentos!$C:$C,"Móveis e Utensílios")</f>
        <v>0</v>
      </c>
      <c r="IF63" s="39">
        <f>SUMIFS(Lançamentos!$G:$G,Lançamentos!$A:$A,IF$19,Lançamentos!$C:$C,"Móveis e Utensílios")</f>
        <v>0</v>
      </c>
      <c r="IG63" s="39">
        <f>SUMIFS(Lançamentos!$G:$G,Lançamentos!$A:$A,IG$19,Lançamentos!$C:$C,"Móveis e Utensílios")</f>
        <v>0</v>
      </c>
      <c r="IH63" s="39">
        <f>SUMIFS(Lançamentos!$G:$G,Lançamentos!$A:$A,IH$19,Lançamentos!$C:$C,"Móveis e Utensílios")</f>
        <v>0</v>
      </c>
      <c r="II63" s="39">
        <f>SUMIFS(Lançamentos!$G:$G,Lançamentos!$A:$A,II$19,Lançamentos!$C:$C,"Móveis e Utensílios")</f>
        <v>0</v>
      </c>
      <c r="IJ63" s="39">
        <f>SUMIFS(Lançamentos!$G:$G,Lançamentos!$A:$A,IJ$19,Lançamentos!$C:$C,"Móveis e Utensílios")</f>
        <v>0</v>
      </c>
      <c r="IK63" s="39">
        <f>SUMIFS(Lançamentos!$G:$G,Lançamentos!$A:$A,IK$19,Lançamentos!$C:$C,"Móveis e Utensílios")</f>
        <v>0</v>
      </c>
      <c r="IL63" s="39">
        <f>SUMIFS(Lançamentos!$G:$G,Lançamentos!$A:$A,IL$19,Lançamentos!$C:$C,"Móveis e Utensílios")</f>
        <v>0</v>
      </c>
    </row>
    <row r="64" spans="1:246" x14ac:dyDescent="0.3">
      <c r="A64" t="s">
        <v>109</v>
      </c>
      <c r="B64" s="39">
        <f>SUMIFS(Lançamentos!$G:$G,Lançamentos!$A:$A,B$19,Lançamentos!$C:$C,"Refeições e Confraternizações")</f>
        <v>0</v>
      </c>
      <c r="C64" s="39">
        <f>SUMIFS(Lançamentos!$G:$G,Lançamentos!$A:$A,C$19,Lançamentos!$C:$C,"Refeições e Confraternizações")</f>
        <v>0</v>
      </c>
      <c r="D64" s="39">
        <f>SUMIFS(Lançamentos!$G:$G,Lançamentos!$A:$A,D$19,Lançamentos!$C:$C,"Refeições e Confraternizações")</f>
        <v>0</v>
      </c>
      <c r="E64" s="39">
        <f>SUMIFS(Lançamentos!$G:$G,Lançamentos!$A:$A,E$19,Lançamentos!$C:$C,"Refeições e Confraternizações")</f>
        <v>0</v>
      </c>
      <c r="F64" s="39">
        <f>SUMIFS(Lançamentos!$G:$G,Lançamentos!$A:$A,F$19,Lançamentos!$C:$C,"Refeições e Confraternizações")</f>
        <v>0</v>
      </c>
      <c r="G64" s="39">
        <f>SUMIFS(Lançamentos!$G:$G,Lançamentos!$A:$A,G$19,Lançamentos!$C:$C,"Refeições e Confraternizações")</f>
        <v>0</v>
      </c>
      <c r="H64" s="39">
        <f>SUMIFS(Lançamentos!$G:$G,Lançamentos!$A:$A,H$19,Lançamentos!$C:$C,"Refeições e Confraternizações")</f>
        <v>0</v>
      </c>
      <c r="I64" s="39">
        <f>SUMIFS(Lançamentos!$G:$G,Lançamentos!$A:$A,I$19,Lançamentos!$C:$C,"Refeições e Confraternizações")</f>
        <v>0</v>
      </c>
      <c r="J64" s="39">
        <f>SUMIFS(Lançamentos!$G:$G,Lançamentos!$A:$A,J$19,Lançamentos!$C:$C,"Refeições e Confraternizações")</f>
        <v>0</v>
      </c>
      <c r="K64" s="39">
        <f>SUMIFS(Lançamentos!$G:$G,Lançamentos!$A:$A,K$19,Lançamentos!$C:$C,"Refeições e Confraternizações")</f>
        <v>0</v>
      </c>
      <c r="L64" s="39">
        <f>SUMIFS(Lançamentos!$G:$G,Lançamentos!$A:$A,L$19,Lançamentos!$C:$C,"Refeições e Confraternizações")</f>
        <v>0</v>
      </c>
      <c r="M64" s="39">
        <f>SUMIFS(Lançamentos!$G:$G,Lançamentos!$A:$A,M$19,Lançamentos!$C:$C,"Refeições e Confraternizações")</f>
        <v>0</v>
      </c>
      <c r="N64" s="39">
        <f>SUMIFS(Lançamentos!$G:$G,Lançamentos!$A:$A,N$19,Lançamentos!$C:$C,"Refeições e Confraternizações")</f>
        <v>0</v>
      </c>
      <c r="O64" s="39">
        <f>SUMIFS(Lançamentos!$G:$G,Lançamentos!$A:$A,O$19,Lançamentos!$C:$C,"Refeições e Confraternizações")</f>
        <v>0</v>
      </c>
      <c r="P64" s="39">
        <f>SUMIFS(Lançamentos!$G:$G,Lançamentos!$A:$A,P$19,Lançamentos!$C:$C,"Refeições e Confraternizações")</f>
        <v>0</v>
      </c>
      <c r="Q64" s="39">
        <f>SUMIFS(Lançamentos!$G:$G,Lançamentos!$A:$A,Q$19,Lançamentos!$C:$C,"Refeições e Confraternizações")</f>
        <v>0</v>
      </c>
      <c r="R64" s="39">
        <f>SUMIFS(Lançamentos!$G:$G,Lançamentos!$A:$A,R$19,Lançamentos!$C:$C,"Refeições e Confraternizações")</f>
        <v>0</v>
      </c>
      <c r="S64" s="39">
        <f>SUMIFS(Lançamentos!$G:$G,Lançamentos!$A:$A,S$19,Lançamentos!$C:$C,"Refeições e Confraternizações")</f>
        <v>0</v>
      </c>
      <c r="T64" s="39">
        <f>SUMIFS(Lançamentos!$G:$G,Lançamentos!$A:$A,T$19,Lançamentos!$C:$C,"Refeições e Confraternizações")</f>
        <v>0</v>
      </c>
      <c r="U64" s="39">
        <f>SUMIFS(Lançamentos!$G:$G,Lançamentos!$A:$A,U$19,Lançamentos!$C:$C,"Refeições e Confraternizações")</f>
        <v>0</v>
      </c>
      <c r="V64" s="39">
        <f>SUMIFS(Lançamentos!$G:$G,Lançamentos!$A:$A,V$19,Lançamentos!$C:$C,"Refeições e Confraternizações")</f>
        <v>0</v>
      </c>
      <c r="W64" s="39">
        <f>SUMIFS(Lançamentos!$G:$G,Lançamentos!$A:$A,W$19,Lançamentos!$C:$C,"Refeições e Confraternizações")</f>
        <v>0</v>
      </c>
      <c r="X64" s="39">
        <f>SUMIFS(Lançamentos!$G:$G,Lançamentos!$A:$A,X$19,Lançamentos!$C:$C,"Refeições e Confraternizações")</f>
        <v>0</v>
      </c>
      <c r="Y64" s="39">
        <f>SUMIFS(Lançamentos!$G:$G,Lançamentos!$A:$A,Y$19,Lançamentos!$C:$C,"Refeições e Confraternizações")</f>
        <v>0</v>
      </c>
      <c r="Z64" s="39">
        <f>SUMIFS(Lançamentos!$G:$G,Lançamentos!$A:$A,Z$19,Lançamentos!$C:$C,"Refeições e Confraternizações")</f>
        <v>0</v>
      </c>
      <c r="AA64" s="39">
        <f>SUMIFS(Lançamentos!$G:$G,Lançamentos!$A:$A,AA$19,Lançamentos!$C:$C,"Refeições e Confraternizações")</f>
        <v>0</v>
      </c>
      <c r="AB64" s="39">
        <f>SUMIFS(Lançamentos!$G:$G,Lançamentos!$A:$A,AB$19,Lançamentos!$C:$C,"Refeições e Confraternizações")</f>
        <v>0</v>
      </c>
      <c r="AC64" s="39">
        <f>SUMIFS(Lançamentos!$G:$G,Lançamentos!$A:$A,AC$19,Lançamentos!$C:$C,"Refeições e Confraternizações")</f>
        <v>0</v>
      </c>
      <c r="AD64" s="39">
        <f>SUMIFS(Lançamentos!$G:$G,Lançamentos!$A:$A,AD$19,Lançamentos!$C:$C,"Refeições e Confraternizações")</f>
        <v>0</v>
      </c>
      <c r="AE64" s="39">
        <f>SUMIFS(Lançamentos!$G:$G,Lançamentos!$A:$A,AE$19,Lançamentos!$C:$C,"Refeições e Confraternizações")</f>
        <v>0</v>
      </c>
      <c r="AF64" s="39">
        <f>SUMIFS(Lançamentos!$G:$G,Lançamentos!$A:$A,AF$19,Lançamentos!$C:$C,"Refeições e Confraternizações")</f>
        <v>0</v>
      </c>
      <c r="AG64" s="39">
        <f>SUMIFS(Lançamentos!$G:$G,Lançamentos!$A:$A,AG$19,Lançamentos!$C:$C,"Refeições e Confraternizações")</f>
        <v>0</v>
      </c>
      <c r="AH64" s="39">
        <f>SUMIFS(Lançamentos!$G:$G,Lançamentos!$A:$A,AH$19,Lançamentos!$C:$C,"Refeições e Confraternizações")</f>
        <v>0</v>
      </c>
      <c r="AI64" s="39">
        <f>SUMIFS(Lançamentos!$G:$G,Lançamentos!$A:$A,AI$19,Lançamentos!$C:$C,"Refeições e Confraternizações")</f>
        <v>0</v>
      </c>
      <c r="AJ64" s="39">
        <f>SUMIFS(Lançamentos!$G:$G,Lançamentos!$A:$A,AJ$19,Lançamentos!$C:$C,"Refeições e Confraternizações")</f>
        <v>0</v>
      </c>
      <c r="AK64" s="39">
        <f>SUMIFS(Lançamentos!$G:$G,Lançamentos!$A:$A,AK$19,Lançamentos!$C:$C,"Refeições e Confraternizações")</f>
        <v>0</v>
      </c>
      <c r="AL64" s="39">
        <f>SUMIFS(Lançamentos!$G:$G,Lançamentos!$A:$A,AL$19,Lançamentos!$C:$C,"Refeições e Confraternizações")</f>
        <v>0</v>
      </c>
      <c r="AM64" s="39">
        <f>SUMIFS(Lançamentos!$G:$G,Lançamentos!$A:$A,AM$19,Lançamentos!$C:$C,"Refeições e Confraternizações")</f>
        <v>0</v>
      </c>
      <c r="AN64" s="39">
        <f>SUMIFS(Lançamentos!$G:$G,Lançamentos!$A:$A,AN$19,Lançamentos!$C:$C,"Refeições e Confraternizações")</f>
        <v>0</v>
      </c>
      <c r="AO64" s="39">
        <f>SUMIFS(Lançamentos!$G:$G,Lançamentos!$A:$A,AO$19,Lançamentos!$C:$C,"Refeições e Confraternizações")</f>
        <v>0</v>
      </c>
      <c r="AP64" s="39">
        <f>SUMIFS(Lançamentos!$G:$G,Lançamentos!$A:$A,AP$19,Lançamentos!$C:$C,"Refeições e Confraternizações")</f>
        <v>0</v>
      </c>
      <c r="AQ64" s="39">
        <f>SUMIFS(Lançamentos!$G:$G,Lançamentos!$A:$A,AQ$19,Lançamentos!$C:$C,"Refeições e Confraternizações")</f>
        <v>0</v>
      </c>
      <c r="AR64" s="39">
        <f>SUMIFS(Lançamentos!$G:$G,Lançamentos!$A:$A,AR$19,Lançamentos!$C:$C,"Refeições e Confraternizações")</f>
        <v>0</v>
      </c>
      <c r="AS64" s="39">
        <f>SUMIFS(Lançamentos!$G:$G,Lançamentos!$A:$A,AS$19,Lançamentos!$C:$C,"Refeições e Confraternizações")</f>
        <v>0</v>
      </c>
      <c r="AT64" s="39">
        <f>SUMIFS(Lançamentos!$G:$G,Lançamentos!$A:$A,AT$19,Lançamentos!$C:$C,"Refeições e Confraternizações")</f>
        <v>0</v>
      </c>
      <c r="AU64" s="39">
        <f>SUMIFS(Lançamentos!$G:$G,Lançamentos!$A:$A,AU$19,Lançamentos!$C:$C,"Refeições e Confraternizações")</f>
        <v>0</v>
      </c>
      <c r="AV64" s="39">
        <f>SUMIFS(Lançamentos!$G:$G,Lançamentos!$A:$A,AV$19,Lançamentos!$C:$C,"Refeições e Confraternizações")</f>
        <v>0</v>
      </c>
      <c r="AW64" s="39">
        <f>SUMIFS(Lançamentos!$G:$G,Lançamentos!$A:$A,AW$19,Lançamentos!$C:$C,"Refeições e Confraternizações")</f>
        <v>0</v>
      </c>
      <c r="AX64" s="39">
        <f>SUMIFS(Lançamentos!$G:$G,Lançamentos!$A:$A,AX$19,Lançamentos!$C:$C,"Refeições e Confraternizações")</f>
        <v>0</v>
      </c>
      <c r="AY64" s="39">
        <f>SUMIFS(Lançamentos!$G:$G,Lançamentos!$A:$A,AY$19,Lançamentos!$C:$C,"Refeições e Confraternizações")</f>
        <v>0</v>
      </c>
      <c r="AZ64" s="39">
        <f>SUMIFS(Lançamentos!$G:$G,Lançamentos!$A:$A,AZ$19,Lançamentos!$C:$C,"Refeições e Confraternizações")</f>
        <v>0</v>
      </c>
      <c r="BA64" s="39">
        <f>SUMIFS(Lançamentos!$G:$G,Lançamentos!$A:$A,BA$19,Lançamentos!$C:$C,"Refeições e Confraternizações")</f>
        <v>0</v>
      </c>
      <c r="BB64" s="39">
        <f>SUMIFS(Lançamentos!$G:$G,Lançamentos!$A:$A,BB$19,Lançamentos!$C:$C,"Refeições e Confraternizações")</f>
        <v>0</v>
      </c>
      <c r="BC64" s="39">
        <f>SUMIFS(Lançamentos!$G:$G,Lançamentos!$A:$A,BC$19,Lançamentos!$C:$C,"Refeições e Confraternizações")</f>
        <v>0</v>
      </c>
      <c r="BD64" s="39">
        <f>SUMIFS(Lançamentos!$G:$G,Lançamentos!$A:$A,BD$19,Lançamentos!$C:$C,"Refeições e Confraternizações")</f>
        <v>0</v>
      </c>
      <c r="BE64" s="39">
        <f>SUMIFS(Lançamentos!$G:$G,Lançamentos!$A:$A,BE$19,Lançamentos!$C:$C,"Refeições e Confraternizações")</f>
        <v>0</v>
      </c>
      <c r="BF64" s="39">
        <f>SUMIFS(Lançamentos!$G:$G,Lançamentos!$A:$A,BF$19,Lançamentos!$C:$C,"Refeições e Confraternizações")</f>
        <v>0</v>
      </c>
      <c r="BG64" s="39">
        <f>SUMIFS(Lançamentos!$G:$G,Lançamentos!$A:$A,BG$19,Lançamentos!$C:$C,"Refeições e Confraternizações")</f>
        <v>0</v>
      </c>
      <c r="BH64" s="39">
        <f>SUMIFS(Lançamentos!$G:$G,Lançamentos!$A:$A,BH$19,Lançamentos!$C:$C,"Refeições e Confraternizações")</f>
        <v>0</v>
      </c>
      <c r="BI64" s="39">
        <f>SUMIFS(Lançamentos!$G:$G,Lançamentos!$A:$A,BI$19,Lançamentos!$C:$C,"Refeições e Confraternizações")</f>
        <v>0</v>
      </c>
      <c r="BJ64" s="39">
        <f>SUMIFS(Lançamentos!$G:$G,Lançamentos!$A:$A,BJ$19,Lançamentos!$C:$C,"Refeições e Confraternizações")</f>
        <v>0</v>
      </c>
      <c r="BK64" s="39">
        <f>SUMIFS(Lançamentos!$G:$G,Lançamentos!$A:$A,BK$19,Lançamentos!$C:$C,"Refeições e Confraternizações")</f>
        <v>0</v>
      </c>
      <c r="BL64" s="39">
        <f>SUMIFS(Lançamentos!$G:$G,Lançamentos!$A:$A,BL$19,Lançamentos!$C:$C,"Refeições e Confraternizações")</f>
        <v>0</v>
      </c>
      <c r="BM64" s="39">
        <f>SUMIFS(Lançamentos!$G:$G,Lançamentos!$A:$A,BM$19,Lançamentos!$C:$C,"Refeições e Confraternizações")</f>
        <v>0</v>
      </c>
      <c r="BN64" s="39">
        <f>SUMIFS(Lançamentos!$G:$G,Lançamentos!$A:$A,BN$19,Lançamentos!$C:$C,"Refeições e Confraternizações")</f>
        <v>0</v>
      </c>
      <c r="BO64" s="39">
        <f>SUMIFS(Lançamentos!$G:$G,Lançamentos!$A:$A,BO$19,Lançamentos!$C:$C,"Refeições e Confraternizações")</f>
        <v>0</v>
      </c>
      <c r="BP64" s="39">
        <f>SUMIFS(Lançamentos!$G:$G,Lançamentos!$A:$A,BP$19,Lançamentos!$C:$C,"Refeições e Confraternizações")</f>
        <v>0</v>
      </c>
      <c r="BQ64" s="39">
        <f>SUMIFS(Lançamentos!$G:$G,Lançamentos!$A:$A,BQ$19,Lançamentos!$C:$C,"Refeições e Confraternizações")</f>
        <v>0</v>
      </c>
      <c r="BR64" s="39">
        <f>SUMIFS(Lançamentos!$G:$G,Lançamentos!$A:$A,BR$19,Lançamentos!$C:$C,"Refeições e Confraternizações")</f>
        <v>0</v>
      </c>
      <c r="BS64" s="39">
        <f>SUMIFS(Lançamentos!$G:$G,Lançamentos!$A:$A,BS$19,Lançamentos!$C:$C,"Refeições e Confraternizações")</f>
        <v>0</v>
      </c>
      <c r="BT64" s="39">
        <f>SUMIFS(Lançamentos!$G:$G,Lançamentos!$A:$A,BT$19,Lançamentos!$C:$C,"Refeições e Confraternizações")</f>
        <v>0</v>
      </c>
      <c r="BU64" s="39">
        <f>SUMIFS(Lançamentos!$G:$G,Lançamentos!$A:$A,BU$19,Lançamentos!$C:$C,"Refeições e Confraternizações")</f>
        <v>0</v>
      </c>
      <c r="BV64" s="39">
        <f>SUMIFS(Lançamentos!$G:$G,Lançamentos!$A:$A,BV$19,Lançamentos!$C:$C,"Refeições e Confraternizações")</f>
        <v>0</v>
      </c>
      <c r="BW64" s="39">
        <f>SUMIFS(Lançamentos!$G:$G,Lançamentos!$A:$A,BW$19,Lançamentos!$C:$C,"Refeições e Confraternizações")</f>
        <v>0</v>
      </c>
      <c r="BX64" s="39">
        <f>SUMIFS(Lançamentos!$G:$G,Lançamentos!$A:$A,BX$19,Lançamentos!$C:$C,"Refeições e Confraternizações")</f>
        <v>0</v>
      </c>
      <c r="BY64" s="39">
        <f>SUMIFS(Lançamentos!$G:$G,Lançamentos!$A:$A,BY$19,Lançamentos!$C:$C,"Refeições e Confraternizações")</f>
        <v>0</v>
      </c>
      <c r="BZ64" s="39">
        <f>SUMIFS(Lançamentos!$G:$G,Lançamentos!$A:$A,BZ$19,Lançamentos!$C:$C,"Refeições e Confraternizações")</f>
        <v>0</v>
      </c>
      <c r="CA64" s="39">
        <f>SUMIFS(Lançamentos!$G:$G,Lançamentos!$A:$A,CA$19,Lançamentos!$C:$C,"Refeições e Confraternizações")</f>
        <v>0</v>
      </c>
      <c r="CB64" s="39">
        <f>SUMIFS(Lançamentos!$G:$G,Lançamentos!$A:$A,CB$19,Lançamentos!$C:$C,"Refeições e Confraternizações")</f>
        <v>0</v>
      </c>
      <c r="CC64" s="39">
        <f>SUMIFS(Lançamentos!$G:$G,Lançamentos!$A:$A,CC$19,Lançamentos!$C:$C,"Refeições e Confraternizações")</f>
        <v>0</v>
      </c>
      <c r="CD64" s="39">
        <f>SUMIFS(Lançamentos!$G:$G,Lançamentos!$A:$A,CD$19,Lançamentos!$C:$C,"Refeições e Confraternizações")</f>
        <v>0</v>
      </c>
      <c r="CE64" s="39">
        <f>SUMIFS(Lançamentos!$G:$G,Lançamentos!$A:$A,CE$19,Lançamentos!$C:$C,"Refeições e Confraternizações")</f>
        <v>0</v>
      </c>
      <c r="CF64" s="39">
        <f>SUMIFS(Lançamentos!$G:$G,Lançamentos!$A:$A,CF$19,Lançamentos!$C:$C,"Refeições e Confraternizações")</f>
        <v>0</v>
      </c>
      <c r="CG64" s="39">
        <f>SUMIFS(Lançamentos!$G:$G,Lançamentos!$A:$A,CG$19,Lançamentos!$C:$C,"Refeições e Confraternizações")</f>
        <v>0</v>
      </c>
      <c r="CH64" s="39">
        <f>SUMIFS(Lançamentos!$G:$G,Lançamentos!$A:$A,CH$19,Lançamentos!$C:$C,"Refeições e Confraternizações")</f>
        <v>0</v>
      </c>
      <c r="CI64" s="39">
        <f>SUMIFS(Lançamentos!$G:$G,Lançamentos!$A:$A,CI$19,Lançamentos!$C:$C,"Refeições e Confraternizações")</f>
        <v>0</v>
      </c>
      <c r="CJ64" s="39">
        <f>SUMIFS(Lançamentos!$G:$G,Lançamentos!$A:$A,CJ$19,Lançamentos!$C:$C,"Refeições e Confraternizações")</f>
        <v>0</v>
      </c>
      <c r="CK64" s="39">
        <f>SUMIFS(Lançamentos!$G:$G,Lançamentos!$A:$A,CK$19,Lançamentos!$C:$C,"Refeições e Confraternizações")</f>
        <v>0</v>
      </c>
      <c r="CL64" s="39">
        <f>SUMIFS(Lançamentos!$G:$G,Lançamentos!$A:$A,CL$19,Lançamentos!$C:$C,"Refeições e Confraternizações")</f>
        <v>0</v>
      </c>
      <c r="CM64" s="39">
        <f>SUMIFS(Lançamentos!$G:$G,Lançamentos!$A:$A,CM$19,Lançamentos!$C:$C,"Refeições e Confraternizações")</f>
        <v>0</v>
      </c>
      <c r="CN64" s="39">
        <f>SUMIFS(Lançamentos!$G:$G,Lançamentos!$A:$A,CN$19,Lançamentos!$C:$C,"Refeições e Confraternizações")</f>
        <v>0</v>
      </c>
      <c r="CO64" s="39">
        <f>SUMIFS(Lançamentos!$G:$G,Lançamentos!$A:$A,CO$19,Lançamentos!$C:$C,"Refeições e Confraternizações")</f>
        <v>0</v>
      </c>
      <c r="CP64" s="39">
        <f>SUMIFS(Lançamentos!$G:$G,Lançamentos!$A:$A,CP$19,Lançamentos!$C:$C,"Refeições e Confraternizações")</f>
        <v>0</v>
      </c>
      <c r="CQ64" s="39">
        <f>SUMIFS(Lançamentos!$G:$G,Lançamentos!$A:$A,CQ$19,Lançamentos!$C:$C,"Refeições e Confraternizações")</f>
        <v>0</v>
      </c>
      <c r="CR64" s="39">
        <f>SUMIFS(Lançamentos!$G:$G,Lançamentos!$A:$A,CR$19,Lançamentos!$C:$C,"Refeições e Confraternizações")</f>
        <v>0</v>
      </c>
      <c r="CS64" s="39">
        <f>SUMIFS(Lançamentos!$G:$G,Lançamentos!$A:$A,CS$19,Lançamentos!$C:$C,"Refeições e Confraternizações")</f>
        <v>0</v>
      </c>
      <c r="CT64" s="39">
        <f>SUMIFS(Lançamentos!$G:$G,Lançamentos!$A:$A,CT$19,Lançamentos!$C:$C,"Refeições e Confraternizações")</f>
        <v>0</v>
      </c>
      <c r="CU64" s="39">
        <f>SUMIFS(Lançamentos!$G:$G,Lançamentos!$A:$A,CU$19,Lançamentos!$C:$C,"Refeições e Confraternizações")</f>
        <v>0</v>
      </c>
      <c r="CV64" s="39">
        <f>SUMIFS(Lançamentos!$G:$G,Lançamentos!$A:$A,CV$19,Lançamentos!$C:$C,"Refeições e Confraternizações")</f>
        <v>0</v>
      </c>
      <c r="CW64" s="39">
        <f>SUMIFS(Lançamentos!$G:$G,Lançamentos!$A:$A,CW$19,Lançamentos!$C:$C,"Refeições e Confraternizações")</f>
        <v>0</v>
      </c>
      <c r="CX64" s="39">
        <f>SUMIFS(Lançamentos!$G:$G,Lançamentos!$A:$A,CX$19,Lançamentos!$C:$C,"Refeições e Confraternizações")</f>
        <v>0</v>
      </c>
      <c r="CY64" s="39">
        <f>SUMIFS(Lançamentos!$G:$G,Lançamentos!$A:$A,CY$19,Lançamentos!$C:$C,"Refeições e Confraternizações")</f>
        <v>0</v>
      </c>
      <c r="CZ64" s="39">
        <f>SUMIFS(Lançamentos!$G:$G,Lançamentos!$A:$A,CZ$19,Lançamentos!$C:$C,"Refeições e Confraternizações")</f>
        <v>0</v>
      </c>
      <c r="DA64" s="39">
        <f>SUMIFS(Lançamentos!$G:$G,Lançamentos!$A:$A,DA$19,Lançamentos!$C:$C,"Refeições e Confraternizações")</f>
        <v>0</v>
      </c>
      <c r="DB64" s="39">
        <f>SUMIFS(Lançamentos!$G:$G,Lançamentos!$A:$A,DB$19,Lançamentos!$C:$C,"Refeições e Confraternizações")</f>
        <v>0</v>
      </c>
      <c r="DC64" s="39">
        <f>SUMIFS(Lançamentos!$G:$G,Lançamentos!$A:$A,DC$19,Lançamentos!$C:$C,"Refeições e Confraternizações")</f>
        <v>0</v>
      </c>
      <c r="DD64" s="39">
        <f>SUMIFS(Lançamentos!$G:$G,Lançamentos!$A:$A,DD$19,Lançamentos!$C:$C,"Refeições e Confraternizações")</f>
        <v>0</v>
      </c>
      <c r="DE64" s="39">
        <f>SUMIFS(Lançamentos!$G:$G,Lançamentos!$A:$A,DE$19,Lançamentos!$C:$C,"Refeições e Confraternizações")</f>
        <v>0</v>
      </c>
      <c r="DF64" s="39">
        <f>SUMIFS(Lançamentos!$G:$G,Lançamentos!$A:$A,DF$19,Lançamentos!$C:$C,"Refeições e Confraternizações")</f>
        <v>0</v>
      </c>
      <c r="DG64" s="39">
        <f>SUMIFS(Lançamentos!$G:$G,Lançamentos!$A:$A,DG$19,Lançamentos!$C:$C,"Refeições e Confraternizações")</f>
        <v>0</v>
      </c>
      <c r="DH64" s="39">
        <f>SUMIFS(Lançamentos!$G:$G,Lançamentos!$A:$A,DH$19,Lançamentos!$C:$C,"Refeições e Confraternizações")</f>
        <v>0</v>
      </c>
      <c r="DI64" s="39">
        <f>SUMIFS(Lançamentos!$G:$G,Lançamentos!$A:$A,DI$19,Lançamentos!$C:$C,"Refeições e Confraternizações")</f>
        <v>0</v>
      </c>
      <c r="DJ64" s="39">
        <f>SUMIFS(Lançamentos!$G:$G,Lançamentos!$A:$A,DJ$19,Lançamentos!$C:$C,"Refeições e Confraternizações")</f>
        <v>0</v>
      </c>
      <c r="DK64" s="39">
        <f>SUMIFS(Lançamentos!$G:$G,Lançamentos!$A:$A,DK$19,Lançamentos!$C:$C,"Refeições e Confraternizações")</f>
        <v>0</v>
      </c>
      <c r="DL64" s="39">
        <f>SUMIFS(Lançamentos!$G:$G,Lançamentos!$A:$A,DL$19,Lançamentos!$C:$C,"Refeições e Confraternizações")</f>
        <v>0</v>
      </c>
      <c r="DM64" s="39">
        <f>SUMIFS(Lançamentos!$G:$G,Lançamentos!$A:$A,DM$19,Lançamentos!$C:$C,"Refeições e Confraternizações")</f>
        <v>0</v>
      </c>
      <c r="DN64" s="39">
        <f>SUMIFS(Lançamentos!$G:$G,Lançamentos!$A:$A,DN$19,Lançamentos!$C:$C,"Refeições e Confraternizações")</f>
        <v>0</v>
      </c>
      <c r="DO64" s="39">
        <f>SUMIFS(Lançamentos!$G:$G,Lançamentos!$A:$A,DO$19,Lançamentos!$C:$C,"Refeições e Confraternizações")</f>
        <v>0</v>
      </c>
      <c r="DP64" s="39">
        <f>SUMIFS(Lançamentos!$G:$G,Lançamentos!$A:$A,DP$19,Lançamentos!$C:$C,"Refeições e Confraternizações")</f>
        <v>0</v>
      </c>
      <c r="DQ64" s="39">
        <f>SUMIFS(Lançamentos!$G:$G,Lançamentos!$A:$A,DQ$19,Lançamentos!$C:$C,"Refeições e Confraternizações")</f>
        <v>0</v>
      </c>
      <c r="DR64" s="39">
        <f>SUMIFS(Lançamentos!$G:$G,Lançamentos!$A:$A,DR$19,Lançamentos!$C:$C,"Refeições e Confraternizações")</f>
        <v>0</v>
      </c>
      <c r="DS64" s="39">
        <f>SUMIFS(Lançamentos!$G:$G,Lançamentos!$A:$A,DS$19,Lançamentos!$C:$C,"Refeições e Confraternizações")</f>
        <v>0</v>
      </c>
      <c r="DT64" s="39">
        <f>SUMIFS(Lançamentos!$G:$G,Lançamentos!$A:$A,DT$19,Lançamentos!$C:$C,"Refeições e Confraternizações")</f>
        <v>0</v>
      </c>
      <c r="DU64" s="39">
        <f>SUMIFS(Lançamentos!$G:$G,Lançamentos!$A:$A,DU$19,Lançamentos!$C:$C,"Refeições e Confraternizações")</f>
        <v>0</v>
      </c>
      <c r="DV64" s="39">
        <f>SUMIFS(Lançamentos!$G:$G,Lançamentos!$A:$A,DV$19,Lançamentos!$C:$C,"Refeições e Confraternizações")</f>
        <v>0</v>
      </c>
      <c r="DW64" s="39">
        <f>SUMIFS(Lançamentos!$G:$G,Lançamentos!$A:$A,DW$19,Lançamentos!$C:$C,"Refeições e Confraternizações")</f>
        <v>0</v>
      </c>
      <c r="DX64" s="39">
        <f>SUMIFS(Lançamentos!$G:$G,Lançamentos!$A:$A,DX$19,Lançamentos!$C:$C,"Refeições e Confraternizações")</f>
        <v>0</v>
      </c>
      <c r="DY64" s="39">
        <f>SUMIFS(Lançamentos!$G:$G,Lançamentos!$A:$A,DY$19,Lançamentos!$C:$C,"Refeições e Confraternizações")</f>
        <v>0</v>
      </c>
      <c r="DZ64" s="39">
        <f>SUMIFS(Lançamentos!$G:$G,Lançamentos!$A:$A,DZ$19,Lançamentos!$C:$C,"Refeições e Confraternizações")</f>
        <v>0</v>
      </c>
      <c r="EA64" s="39">
        <f>SUMIFS(Lançamentos!$G:$G,Lançamentos!$A:$A,EA$19,Lançamentos!$C:$C,"Refeições e Confraternizações")</f>
        <v>0</v>
      </c>
      <c r="EB64" s="39">
        <f>SUMIFS(Lançamentos!$G:$G,Lançamentos!$A:$A,EB$19,Lançamentos!$C:$C,"Refeições e Confraternizações")</f>
        <v>0</v>
      </c>
      <c r="EC64" s="39">
        <f>SUMIFS(Lançamentos!$G:$G,Lançamentos!$A:$A,EC$19,Lançamentos!$C:$C,"Refeições e Confraternizações")</f>
        <v>0</v>
      </c>
      <c r="ED64" s="39">
        <f>SUMIFS(Lançamentos!$G:$G,Lançamentos!$A:$A,ED$19,Lançamentos!$C:$C,"Refeições e Confraternizações")</f>
        <v>0</v>
      </c>
      <c r="EE64" s="39">
        <f>SUMIFS(Lançamentos!$G:$G,Lançamentos!$A:$A,EE$19,Lançamentos!$C:$C,"Refeições e Confraternizações")</f>
        <v>0</v>
      </c>
      <c r="EF64" s="39">
        <f>SUMIFS(Lançamentos!$G:$G,Lançamentos!$A:$A,EF$19,Lançamentos!$C:$C,"Refeições e Confraternizações")</f>
        <v>0</v>
      </c>
      <c r="EG64" s="39">
        <f>SUMIFS(Lançamentos!$G:$G,Lançamentos!$A:$A,EG$19,Lançamentos!$C:$C,"Refeições e Confraternizações")</f>
        <v>0</v>
      </c>
      <c r="EH64" s="39">
        <f>SUMIFS(Lançamentos!$G:$G,Lançamentos!$A:$A,EH$19,Lançamentos!$C:$C,"Refeições e Confraternizações")</f>
        <v>0</v>
      </c>
      <c r="EI64" s="39">
        <f>SUMIFS(Lançamentos!$G:$G,Lançamentos!$A:$A,EI$19,Lançamentos!$C:$C,"Refeições e Confraternizações")</f>
        <v>0</v>
      </c>
      <c r="EJ64" s="39">
        <f>SUMIFS(Lançamentos!$G:$G,Lançamentos!$A:$A,EJ$19,Lançamentos!$C:$C,"Refeições e Confraternizações")</f>
        <v>0</v>
      </c>
      <c r="EK64" s="39">
        <f>SUMIFS(Lançamentos!$G:$G,Lançamentos!$A:$A,EK$19,Lançamentos!$C:$C,"Refeições e Confraternizações")</f>
        <v>0</v>
      </c>
      <c r="EL64" s="39">
        <f>SUMIFS(Lançamentos!$G:$G,Lançamentos!$A:$A,EL$19,Lançamentos!$C:$C,"Refeições e Confraternizações")</f>
        <v>0</v>
      </c>
      <c r="EM64" s="39">
        <f>SUMIFS(Lançamentos!$G:$G,Lançamentos!$A:$A,EM$19,Lançamentos!$C:$C,"Refeições e Confraternizações")</f>
        <v>0</v>
      </c>
      <c r="EN64" s="39">
        <f>SUMIFS(Lançamentos!$G:$G,Lançamentos!$A:$A,EN$19,Lançamentos!$C:$C,"Refeições e Confraternizações")</f>
        <v>0</v>
      </c>
      <c r="EO64" s="39">
        <f>SUMIFS(Lançamentos!$G:$G,Lançamentos!$A:$A,EO$19,Lançamentos!$C:$C,"Refeições e Confraternizações")</f>
        <v>0</v>
      </c>
      <c r="EP64" s="39">
        <f>SUMIFS(Lançamentos!$G:$G,Lançamentos!$A:$A,EP$19,Lançamentos!$C:$C,"Refeições e Confraternizações")</f>
        <v>0</v>
      </c>
      <c r="EQ64" s="39">
        <f>SUMIFS(Lançamentos!$G:$G,Lançamentos!$A:$A,EQ$19,Lançamentos!$C:$C,"Refeições e Confraternizações")</f>
        <v>0</v>
      </c>
      <c r="ER64" s="39">
        <f>SUMIFS(Lançamentos!$G:$G,Lançamentos!$A:$A,ER$19,Lançamentos!$C:$C,"Refeições e Confraternizações")</f>
        <v>0</v>
      </c>
      <c r="ES64" s="39">
        <f>SUMIFS(Lançamentos!$G:$G,Lançamentos!$A:$A,ES$19,Lançamentos!$C:$C,"Refeições e Confraternizações")</f>
        <v>0</v>
      </c>
      <c r="ET64" s="39">
        <f>SUMIFS(Lançamentos!$G:$G,Lançamentos!$A:$A,ET$19,Lançamentos!$C:$C,"Refeições e Confraternizações")</f>
        <v>0</v>
      </c>
      <c r="EU64" s="39">
        <f>SUMIFS(Lançamentos!$G:$G,Lançamentos!$A:$A,EU$19,Lançamentos!$C:$C,"Refeições e Confraternizações")</f>
        <v>0</v>
      </c>
      <c r="EV64" s="39">
        <f>SUMIFS(Lançamentos!$G:$G,Lançamentos!$A:$A,EV$19,Lançamentos!$C:$C,"Refeições e Confraternizações")</f>
        <v>0</v>
      </c>
      <c r="EW64" s="39">
        <f>SUMIFS(Lançamentos!$G:$G,Lançamentos!$A:$A,EW$19,Lançamentos!$C:$C,"Refeições e Confraternizações")</f>
        <v>0</v>
      </c>
      <c r="EX64" s="39">
        <f>SUMIFS(Lançamentos!$G:$G,Lançamentos!$A:$A,EX$19,Lançamentos!$C:$C,"Refeições e Confraternizações")</f>
        <v>0</v>
      </c>
      <c r="EY64" s="39">
        <f>SUMIFS(Lançamentos!$G:$G,Lançamentos!$A:$A,EY$19,Lançamentos!$C:$C,"Refeições e Confraternizações")</f>
        <v>0</v>
      </c>
      <c r="EZ64" s="39">
        <f>SUMIFS(Lançamentos!$G:$G,Lançamentos!$A:$A,EZ$19,Lançamentos!$C:$C,"Refeições e Confraternizações")</f>
        <v>0</v>
      </c>
      <c r="FA64" s="39">
        <f>SUMIFS(Lançamentos!$G:$G,Lançamentos!$A:$A,FA$19,Lançamentos!$C:$C,"Refeições e Confraternizações")</f>
        <v>0</v>
      </c>
      <c r="FB64" s="39">
        <f>SUMIFS(Lançamentos!$G:$G,Lançamentos!$A:$A,FB$19,Lançamentos!$C:$C,"Refeições e Confraternizações")</f>
        <v>0</v>
      </c>
      <c r="FC64" s="39">
        <f>SUMIFS(Lançamentos!$G:$G,Lançamentos!$A:$A,FC$19,Lançamentos!$C:$C,"Refeições e Confraternizações")</f>
        <v>0</v>
      </c>
      <c r="FD64" s="39">
        <f>SUMIFS(Lançamentos!$G:$G,Lançamentos!$A:$A,FD$19,Lançamentos!$C:$C,"Refeições e Confraternizações")</f>
        <v>0</v>
      </c>
      <c r="FE64" s="39">
        <f>SUMIFS(Lançamentos!$G:$G,Lançamentos!$A:$A,FE$19,Lançamentos!$C:$C,"Refeições e Confraternizações")</f>
        <v>0</v>
      </c>
      <c r="FF64" s="39">
        <f>SUMIFS(Lançamentos!$G:$G,Lançamentos!$A:$A,FF$19,Lançamentos!$C:$C,"Refeições e Confraternizações")</f>
        <v>0</v>
      </c>
      <c r="FG64" s="39">
        <f>SUMIFS(Lançamentos!$G:$G,Lançamentos!$A:$A,FG$19,Lançamentos!$C:$C,"Refeições e Confraternizações")</f>
        <v>0</v>
      </c>
      <c r="FH64" s="39">
        <f>SUMIFS(Lançamentos!$G:$G,Lançamentos!$A:$A,FH$19,Lançamentos!$C:$C,"Refeições e Confraternizações")</f>
        <v>0</v>
      </c>
      <c r="FI64" s="39">
        <f>SUMIFS(Lançamentos!$G:$G,Lançamentos!$A:$A,FI$19,Lançamentos!$C:$C,"Refeições e Confraternizações")</f>
        <v>0</v>
      </c>
      <c r="FJ64" s="39">
        <f>SUMIFS(Lançamentos!$G:$G,Lançamentos!$A:$A,FJ$19,Lançamentos!$C:$C,"Refeições e Confraternizações")</f>
        <v>0</v>
      </c>
      <c r="FK64" s="39">
        <f>SUMIFS(Lançamentos!$G:$G,Lançamentos!$A:$A,FK$19,Lançamentos!$C:$C,"Refeições e Confraternizações")</f>
        <v>0</v>
      </c>
      <c r="FL64" s="39">
        <f>SUMIFS(Lançamentos!$G:$G,Lançamentos!$A:$A,FL$19,Lançamentos!$C:$C,"Refeições e Confraternizações")</f>
        <v>0</v>
      </c>
      <c r="FM64" s="39">
        <f>SUMIFS(Lançamentos!$G:$G,Lançamentos!$A:$A,FM$19,Lançamentos!$C:$C,"Refeições e Confraternizações")</f>
        <v>0</v>
      </c>
      <c r="FN64" s="39">
        <f>SUMIFS(Lançamentos!$G:$G,Lançamentos!$A:$A,FN$19,Lançamentos!$C:$C,"Refeições e Confraternizações")</f>
        <v>0</v>
      </c>
      <c r="FO64" s="39">
        <f>SUMIFS(Lançamentos!$G:$G,Lançamentos!$A:$A,FO$19,Lançamentos!$C:$C,"Refeições e Confraternizações")</f>
        <v>0</v>
      </c>
      <c r="FP64" s="39">
        <f>SUMIFS(Lançamentos!$G:$G,Lançamentos!$A:$A,FP$19,Lançamentos!$C:$C,"Refeições e Confraternizações")</f>
        <v>0</v>
      </c>
      <c r="FQ64" s="39">
        <f>SUMIFS(Lançamentos!$G:$G,Lançamentos!$A:$A,FQ$19,Lançamentos!$C:$C,"Refeições e Confraternizações")</f>
        <v>0</v>
      </c>
      <c r="FR64" s="39">
        <f>SUMIFS(Lançamentos!$G:$G,Lançamentos!$A:$A,FR$19,Lançamentos!$C:$C,"Refeições e Confraternizações")</f>
        <v>0</v>
      </c>
      <c r="FS64" s="39">
        <f>SUMIFS(Lançamentos!$G:$G,Lançamentos!$A:$A,FS$19,Lançamentos!$C:$C,"Refeições e Confraternizações")</f>
        <v>0</v>
      </c>
      <c r="FT64" s="39">
        <f>SUMIFS(Lançamentos!$G:$G,Lançamentos!$A:$A,FT$19,Lançamentos!$C:$C,"Refeições e Confraternizações")</f>
        <v>0</v>
      </c>
      <c r="FU64" s="39">
        <f>SUMIFS(Lançamentos!$G:$G,Lançamentos!$A:$A,FU$19,Lançamentos!$C:$C,"Refeições e Confraternizações")</f>
        <v>0</v>
      </c>
      <c r="FV64" s="39">
        <f>SUMIFS(Lançamentos!$G:$G,Lançamentos!$A:$A,FV$19,Lançamentos!$C:$C,"Refeições e Confraternizações")</f>
        <v>0</v>
      </c>
      <c r="FW64" s="39">
        <f>SUMIFS(Lançamentos!$G:$G,Lançamentos!$A:$A,FW$19,Lançamentos!$C:$C,"Refeições e Confraternizações")</f>
        <v>0</v>
      </c>
      <c r="FX64" s="39">
        <f>SUMIFS(Lançamentos!$G:$G,Lançamentos!$A:$A,FX$19,Lançamentos!$C:$C,"Refeições e Confraternizações")</f>
        <v>0</v>
      </c>
      <c r="FY64" s="39">
        <f>SUMIFS(Lançamentos!$G:$G,Lançamentos!$A:$A,FY$19,Lançamentos!$C:$C,"Refeições e Confraternizações")</f>
        <v>0</v>
      </c>
      <c r="FZ64" s="39">
        <f>SUMIFS(Lançamentos!$G:$G,Lançamentos!$A:$A,FZ$19,Lançamentos!$C:$C,"Refeições e Confraternizações")</f>
        <v>0</v>
      </c>
      <c r="GA64" s="39">
        <f>SUMIFS(Lançamentos!$G:$G,Lançamentos!$A:$A,GA$19,Lançamentos!$C:$C,"Refeições e Confraternizações")</f>
        <v>0</v>
      </c>
      <c r="GB64" s="39">
        <f>SUMIFS(Lançamentos!$G:$G,Lançamentos!$A:$A,GB$19,Lançamentos!$C:$C,"Refeições e Confraternizações")</f>
        <v>0</v>
      </c>
      <c r="GC64" s="39">
        <f>SUMIFS(Lançamentos!$G:$G,Lançamentos!$A:$A,GC$19,Lançamentos!$C:$C,"Refeições e Confraternizações")</f>
        <v>0</v>
      </c>
      <c r="GD64" s="39">
        <f>SUMIFS(Lançamentos!$G:$G,Lançamentos!$A:$A,GD$19,Lançamentos!$C:$C,"Refeições e Confraternizações")</f>
        <v>0</v>
      </c>
      <c r="GE64" s="39">
        <f>SUMIFS(Lançamentos!$G:$G,Lançamentos!$A:$A,GE$19,Lançamentos!$C:$C,"Refeições e Confraternizações")</f>
        <v>0</v>
      </c>
      <c r="GF64" s="39">
        <f>SUMIFS(Lançamentos!$G:$G,Lançamentos!$A:$A,GF$19,Lançamentos!$C:$C,"Refeições e Confraternizações")</f>
        <v>0</v>
      </c>
      <c r="GG64" s="39">
        <f>SUMIFS(Lançamentos!$G:$G,Lançamentos!$A:$A,GG$19,Lançamentos!$C:$C,"Refeições e Confraternizações")</f>
        <v>0</v>
      </c>
      <c r="GH64" s="39">
        <f>SUMIFS(Lançamentos!$G:$G,Lançamentos!$A:$A,GH$19,Lançamentos!$C:$C,"Refeições e Confraternizações")</f>
        <v>0</v>
      </c>
      <c r="GI64" s="39">
        <f>SUMIFS(Lançamentos!$G:$G,Lançamentos!$A:$A,GI$19,Lançamentos!$C:$C,"Refeições e Confraternizações")</f>
        <v>0</v>
      </c>
      <c r="GJ64" s="39">
        <f>SUMIFS(Lançamentos!$G:$G,Lançamentos!$A:$A,GJ$19,Lançamentos!$C:$C,"Refeições e Confraternizações")</f>
        <v>0</v>
      </c>
      <c r="GK64" s="39">
        <f>SUMIFS(Lançamentos!$G:$G,Lançamentos!$A:$A,GK$19,Lançamentos!$C:$C,"Refeições e Confraternizações")</f>
        <v>0</v>
      </c>
      <c r="GL64" s="39">
        <f>SUMIFS(Lançamentos!$G:$G,Lançamentos!$A:$A,GL$19,Lançamentos!$C:$C,"Refeições e Confraternizações")</f>
        <v>0</v>
      </c>
      <c r="GM64" s="39">
        <f>SUMIFS(Lançamentos!$G:$G,Lançamentos!$A:$A,GM$19,Lançamentos!$C:$C,"Refeições e Confraternizações")</f>
        <v>0</v>
      </c>
      <c r="GN64" s="39">
        <f>SUMIFS(Lançamentos!$G:$G,Lançamentos!$A:$A,GN$19,Lançamentos!$C:$C,"Refeições e Confraternizações")</f>
        <v>0</v>
      </c>
      <c r="GO64" s="39">
        <f>SUMIFS(Lançamentos!$G:$G,Lançamentos!$A:$A,GO$19,Lançamentos!$C:$C,"Refeições e Confraternizações")</f>
        <v>0</v>
      </c>
      <c r="GP64" s="39">
        <f>SUMIFS(Lançamentos!$G:$G,Lançamentos!$A:$A,GP$19,Lançamentos!$C:$C,"Refeições e Confraternizações")</f>
        <v>0</v>
      </c>
      <c r="GQ64" s="39">
        <f>SUMIFS(Lançamentos!$G:$G,Lançamentos!$A:$A,GQ$19,Lançamentos!$C:$C,"Refeições e Confraternizações")</f>
        <v>0</v>
      </c>
      <c r="GR64" s="39">
        <f>SUMIFS(Lançamentos!$G:$G,Lançamentos!$A:$A,GR$19,Lançamentos!$C:$C,"Refeições e Confraternizações")</f>
        <v>0</v>
      </c>
      <c r="GS64" s="39">
        <f>SUMIFS(Lançamentos!$G:$G,Lançamentos!$A:$A,GS$19,Lançamentos!$C:$C,"Refeições e Confraternizações")</f>
        <v>0</v>
      </c>
      <c r="GT64" s="39">
        <f>SUMIFS(Lançamentos!$G:$G,Lançamentos!$A:$A,GT$19,Lançamentos!$C:$C,"Refeições e Confraternizações")</f>
        <v>0</v>
      </c>
      <c r="GU64" s="39">
        <f>SUMIFS(Lançamentos!$G:$G,Lançamentos!$A:$A,GU$19,Lançamentos!$C:$C,"Refeições e Confraternizações")</f>
        <v>0</v>
      </c>
      <c r="GV64" s="39">
        <f>SUMIFS(Lançamentos!$G:$G,Lançamentos!$A:$A,GV$19,Lançamentos!$C:$C,"Refeições e Confraternizações")</f>
        <v>0</v>
      </c>
      <c r="GW64" s="39">
        <f>SUMIFS(Lançamentos!$G:$G,Lançamentos!$A:$A,GW$19,Lançamentos!$C:$C,"Refeições e Confraternizações")</f>
        <v>0</v>
      </c>
      <c r="GX64" s="39">
        <f>SUMIFS(Lançamentos!$G:$G,Lançamentos!$A:$A,GX$19,Lançamentos!$C:$C,"Refeições e Confraternizações")</f>
        <v>0</v>
      </c>
      <c r="GY64" s="39">
        <f>SUMIFS(Lançamentos!$G:$G,Lançamentos!$A:$A,GY$19,Lançamentos!$C:$C,"Refeições e Confraternizações")</f>
        <v>0</v>
      </c>
      <c r="GZ64" s="39">
        <f>SUMIFS(Lançamentos!$G:$G,Lançamentos!$A:$A,GZ$19,Lançamentos!$C:$C,"Refeições e Confraternizações")</f>
        <v>0</v>
      </c>
      <c r="HA64" s="39">
        <f>SUMIFS(Lançamentos!$G:$G,Lançamentos!$A:$A,HA$19,Lançamentos!$C:$C,"Refeições e Confraternizações")</f>
        <v>0</v>
      </c>
      <c r="HB64" s="39">
        <f>SUMIFS(Lançamentos!$G:$G,Lançamentos!$A:$A,HB$19,Lançamentos!$C:$C,"Refeições e Confraternizações")</f>
        <v>0</v>
      </c>
      <c r="HC64" s="39">
        <f>SUMIFS(Lançamentos!$G:$G,Lançamentos!$A:$A,HC$19,Lançamentos!$C:$C,"Refeições e Confraternizações")</f>
        <v>0</v>
      </c>
      <c r="HD64" s="39">
        <f>SUMIFS(Lançamentos!$G:$G,Lançamentos!$A:$A,HD$19,Lançamentos!$C:$C,"Refeições e Confraternizações")</f>
        <v>0</v>
      </c>
      <c r="HE64" s="39">
        <f>SUMIFS(Lançamentos!$G:$G,Lançamentos!$A:$A,HE$19,Lançamentos!$C:$C,"Refeições e Confraternizações")</f>
        <v>0</v>
      </c>
      <c r="HF64" s="39">
        <f>SUMIFS(Lançamentos!$G:$G,Lançamentos!$A:$A,HF$19,Lançamentos!$C:$C,"Refeições e Confraternizações")</f>
        <v>0</v>
      </c>
      <c r="HG64" s="39">
        <f>SUMIFS(Lançamentos!$G:$G,Lançamentos!$A:$A,HG$19,Lançamentos!$C:$C,"Refeições e Confraternizações")</f>
        <v>0</v>
      </c>
      <c r="HH64" s="39">
        <f>SUMIFS(Lançamentos!$G:$G,Lançamentos!$A:$A,HH$19,Lançamentos!$C:$C,"Refeições e Confraternizações")</f>
        <v>0</v>
      </c>
      <c r="HI64" s="39">
        <f>SUMIFS(Lançamentos!$G:$G,Lançamentos!$A:$A,HI$19,Lançamentos!$C:$C,"Refeições e Confraternizações")</f>
        <v>0</v>
      </c>
      <c r="HJ64" s="39">
        <f>SUMIFS(Lançamentos!$G:$G,Lançamentos!$A:$A,HJ$19,Lançamentos!$C:$C,"Refeições e Confraternizações")</f>
        <v>0</v>
      </c>
      <c r="HK64" s="39">
        <f>SUMIFS(Lançamentos!$G:$G,Lançamentos!$A:$A,HK$19,Lançamentos!$C:$C,"Refeições e Confraternizações")</f>
        <v>0</v>
      </c>
      <c r="HL64" s="39">
        <f>SUMIFS(Lançamentos!$G:$G,Lançamentos!$A:$A,HL$19,Lançamentos!$C:$C,"Refeições e Confraternizações")</f>
        <v>0</v>
      </c>
      <c r="HM64" s="39">
        <f>SUMIFS(Lançamentos!$G:$G,Lançamentos!$A:$A,HM$19,Lançamentos!$C:$C,"Refeições e Confraternizações")</f>
        <v>0</v>
      </c>
      <c r="HN64" s="39">
        <f>SUMIFS(Lançamentos!$G:$G,Lançamentos!$A:$A,HN$19,Lançamentos!$C:$C,"Refeições e Confraternizações")</f>
        <v>0</v>
      </c>
      <c r="HO64" s="39">
        <f>SUMIFS(Lançamentos!$G:$G,Lançamentos!$A:$A,HO$19,Lançamentos!$C:$C,"Refeições e Confraternizações")</f>
        <v>0</v>
      </c>
      <c r="HP64" s="39">
        <f>SUMIFS(Lançamentos!$G:$G,Lançamentos!$A:$A,HP$19,Lançamentos!$C:$C,"Refeições e Confraternizações")</f>
        <v>0</v>
      </c>
      <c r="HQ64" s="39">
        <f>SUMIFS(Lançamentos!$G:$G,Lançamentos!$A:$A,HQ$19,Lançamentos!$C:$C,"Refeições e Confraternizações")</f>
        <v>0</v>
      </c>
      <c r="HR64" s="39">
        <f>SUMIFS(Lançamentos!$G:$G,Lançamentos!$A:$A,HR$19,Lançamentos!$C:$C,"Refeições e Confraternizações")</f>
        <v>0</v>
      </c>
      <c r="HS64" s="39">
        <f>SUMIFS(Lançamentos!$G:$G,Lançamentos!$A:$A,HS$19,Lançamentos!$C:$C,"Refeições e Confraternizações")</f>
        <v>0</v>
      </c>
      <c r="HT64" s="39">
        <f>SUMIFS(Lançamentos!$G:$G,Lançamentos!$A:$A,HT$19,Lançamentos!$C:$C,"Refeições e Confraternizações")</f>
        <v>0</v>
      </c>
      <c r="HU64" s="39">
        <f>SUMIFS(Lançamentos!$G:$G,Lançamentos!$A:$A,HU$19,Lançamentos!$C:$C,"Refeições e Confraternizações")</f>
        <v>0</v>
      </c>
      <c r="HV64" s="39">
        <f>SUMIFS(Lançamentos!$G:$G,Lançamentos!$A:$A,HV$19,Lançamentos!$C:$C,"Refeições e Confraternizações")</f>
        <v>0</v>
      </c>
      <c r="HW64" s="39">
        <f>SUMIFS(Lançamentos!$G:$G,Lançamentos!$A:$A,HW$19,Lançamentos!$C:$C,"Refeições e Confraternizações")</f>
        <v>0</v>
      </c>
      <c r="HX64" s="39">
        <f>SUMIFS(Lançamentos!$G:$G,Lançamentos!$A:$A,HX$19,Lançamentos!$C:$C,"Refeições e Confraternizações")</f>
        <v>0</v>
      </c>
      <c r="HY64" s="39">
        <f>SUMIFS(Lançamentos!$G:$G,Lançamentos!$A:$A,HY$19,Lançamentos!$C:$C,"Refeições e Confraternizações")</f>
        <v>0</v>
      </c>
      <c r="HZ64" s="39">
        <f>SUMIFS(Lançamentos!$G:$G,Lançamentos!$A:$A,HZ$19,Lançamentos!$C:$C,"Refeições e Confraternizações")</f>
        <v>0</v>
      </c>
      <c r="IA64" s="39">
        <f>SUMIFS(Lançamentos!$G:$G,Lançamentos!$A:$A,IA$19,Lançamentos!$C:$C,"Refeições e Confraternizações")</f>
        <v>0</v>
      </c>
      <c r="IB64" s="39">
        <f>SUMIFS(Lançamentos!$G:$G,Lançamentos!$A:$A,IB$19,Lançamentos!$C:$C,"Refeições e Confraternizações")</f>
        <v>0</v>
      </c>
      <c r="IC64" s="39">
        <f>SUMIFS(Lançamentos!$G:$G,Lançamentos!$A:$A,IC$19,Lançamentos!$C:$C,"Refeições e Confraternizações")</f>
        <v>0</v>
      </c>
      <c r="ID64" s="39">
        <f>SUMIFS(Lançamentos!$G:$G,Lançamentos!$A:$A,ID$19,Lançamentos!$C:$C,"Refeições e Confraternizações")</f>
        <v>0</v>
      </c>
      <c r="IE64" s="39">
        <f>SUMIFS(Lançamentos!$G:$G,Lançamentos!$A:$A,IE$19,Lançamentos!$C:$C,"Refeições e Confraternizações")</f>
        <v>0</v>
      </c>
      <c r="IF64" s="39">
        <f>SUMIFS(Lançamentos!$G:$G,Lançamentos!$A:$A,IF$19,Lançamentos!$C:$C,"Refeições e Confraternizações")</f>
        <v>0</v>
      </c>
      <c r="IG64" s="39">
        <f>SUMIFS(Lançamentos!$G:$G,Lançamentos!$A:$A,IG$19,Lançamentos!$C:$C,"Refeições e Confraternizações")</f>
        <v>0</v>
      </c>
      <c r="IH64" s="39">
        <f>SUMIFS(Lançamentos!$G:$G,Lançamentos!$A:$A,IH$19,Lançamentos!$C:$C,"Refeições e Confraternizações")</f>
        <v>0</v>
      </c>
      <c r="II64" s="39">
        <f>SUMIFS(Lançamentos!$G:$G,Lançamentos!$A:$A,II$19,Lançamentos!$C:$C,"Refeições e Confraternizações")</f>
        <v>0</v>
      </c>
      <c r="IJ64" s="39">
        <f>SUMIFS(Lançamentos!$G:$G,Lançamentos!$A:$A,IJ$19,Lançamentos!$C:$C,"Refeições e Confraternizações")</f>
        <v>0</v>
      </c>
      <c r="IK64" s="39">
        <f>SUMIFS(Lançamentos!$G:$G,Lançamentos!$A:$A,IK$19,Lançamentos!$C:$C,"Refeições e Confraternizações")</f>
        <v>0</v>
      </c>
      <c r="IL64" s="39">
        <f>SUMIFS(Lançamentos!$G:$G,Lançamentos!$A:$A,IL$19,Lançamentos!$C:$C,"Refeições e Confraternizações")</f>
        <v>0</v>
      </c>
    </row>
    <row r="65" spans="1:246" x14ac:dyDescent="0.3">
      <c r="A65" t="s">
        <v>110</v>
      </c>
      <c r="B65" s="39">
        <f>SUMIFS(Lançamentos!$G:$G,Lançamentos!$A:$A,B$19,Lançamentos!$C:$C,"Correios e Entregas")</f>
        <v>0</v>
      </c>
      <c r="C65" s="39">
        <f>SUMIFS(Lançamentos!$G:$G,Lançamentos!$A:$A,C$19,Lançamentos!$C:$C,"Correios e Entregas")</f>
        <v>0</v>
      </c>
      <c r="D65" s="39">
        <f>SUMIFS(Lançamentos!$G:$G,Lançamentos!$A:$A,D$19,Lançamentos!$C:$C,"Correios e Entregas")</f>
        <v>0</v>
      </c>
      <c r="E65" s="39">
        <f>SUMIFS(Lançamentos!$G:$G,Lançamentos!$A:$A,E$19,Lançamentos!$C:$C,"Correios e Entregas")</f>
        <v>0</v>
      </c>
      <c r="F65" s="39">
        <f>SUMIFS(Lançamentos!$G:$G,Lançamentos!$A:$A,F$19,Lançamentos!$C:$C,"Correios e Entregas")</f>
        <v>0</v>
      </c>
      <c r="G65" s="39">
        <f>SUMIFS(Lançamentos!$G:$G,Lançamentos!$A:$A,G$19,Lançamentos!$C:$C,"Correios e Entregas")</f>
        <v>0</v>
      </c>
      <c r="H65" s="39">
        <f>SUMIFS(Lançamentos!$G:$G,Lançamentos!$A:$A,H$19,Lançamentos!$C:$C,"Correios e Entregas")</f>
        <v>0</v>
      </c>
      <c r="I65" s="39">
        <f>SUMIFS(Lançamentos!$G:$G,Lançamentos!$A:$A,I$19,Lançamentos!$C:$C,"Correios e Entregas")</f>
        <v>0</v>
      </c>
      <c r="J65" s="39">
        <f>SUMIFS(Lançamentos!$G:$G,Lançamentos!$A:$A,J$19,Lançamentos!$C:$C,"Correios e Entregas")</f>
        <v>0</v>
      </c>
      <c r="K65" s="39">
        <f>SUMIFS(Lançamentos!$G:$G,Lançamentos!$A:$A,K$19,Lançamentos!$C:$C,"Correios e Entregas")</f>
        <v>0</v>
      </c>
      <c r="L65" s="39">
        <f>SUMIFS(Lançamentos!$G:$G,Lançamentos!$A:$A,L$19,Lançamentos!$C:$C,"Correios e Entregas")</f>
        <v>0</v>
      </c>
      <c r="M65" s="39">
        <f>SUMIFS(Lançamentos!$G:$G,Lançamentos!$A:$A,M$19,Lançamentos!$C:$C,"Correios e Entregas")</f>
        <v>0</v>
      </c>
      <c r="N65" s="39">
        <f>SUMIFS(Lançamentos!$G:$G,Lançamentos!$A:$A,N$19,Lançamentos!$C:$C,"Correios e Entregas")</f>
        <v>0</v>
      </c>
      <c r="O65" s="39">
        <f>SUMIFS(Lançamentos!$G:$G,Lançamentos!$A:$A,O$19,Lançamentos!$C:$C,"Correios e Entregas")</f>
        <v>0</v>
      </c>
      <c r="P65" s="39">
        <f>SUMIFS(Lançamentos!$G:$G,Lançamentos!$A:$A,P$19,Lançamentos!$C:$C,"Correios e Entregas")</f>
        <v>0</v>
      </c>
      <c r="Q65" s="39">
        <f>SUMIFS(Lançamentos!$G:$G,Lançamentos!$A:$A,Q$19,Lançamentos!$C:$C,"Correios e Entregas")</f>
        <v>0</v>
      </c>
      <c r="R65" s="39">
        <f>SUMIFS(Lançamentos!$G:$G,Lançamentos!$A:$A,R$19,Lançamentos!$C:$C,"Correios e Entregas")</f>
        <v>0</v>
      </c>
      <c r="S65" s="39">
        <f>SUMIFS(Lançamentos!$G:$G,Lançamentos!$A:$A,S$19,Lançamentos!$C:$C,"Correios e Entregas")</f>
        <v>0</v>
      </c>
      <c r="T65" s="39">
        <f>SUMIFS(Lançamentos!$G:$G,Lançamentos!$A:$A,T$19,Lançamentos!$C:$C,"Correios e Entregas")</f>
        <v>0</v>
      </c>
      <c r="U65" s="39">
        <f>SUMIFS(Lançamentos!$G:$G,Lançamentos!$A:$A,U$19,Lançamentos!$C:$C,"Correios e Entregas")</f>
        <v>0</v>
      </c>
      <c r="V65" s="39">
        <f>SUMIFS(Lançamentos!$G:$G,Lançamentos!$A:$A,V$19,Lançamentos!$C:$C,"Correios e Entregas")</f>
        <v>0</v>
      </c>
      <c r="W65" s="39">
        <f>SUMIFS(Lançamentos!$G:$G,Lançamentos!$A:$A,W$19,Lançamentos!$C:$C,"Correios e Entregas")</f>
        <v>0</v>
      </c>
      <c r="X65" s="39">
        <f>SUMIFS(Lançamentos!$G:$G,Lançamentos!$A:$A,X$19,Lançamentos!$C:$C,"Correios e Entregas")</f>
        <v>0</v>
      </c>
      <c r="Y65" s="39">
        <f>SUMIFS(Lançamentos!$G:$G,Lançamentos!$A:$A,Y$19,Lançamentos!$C:$C,"Correios e Entregas")</f>
        <v>0</v>
      </c>
      <c r="Z65" s="39">
        <f>SUMIFS(Lançamentos!$G:$G,Lançamentos!$A:$A,Z$19,Lançamentos!$C:$C,"Correios e Entregas")</f>
        <v>0</v>
      </c>
      <c r="AA65" s="39">
        <f>SUMIFS(Lançamentos!$G:$G,Lançamentos!$A:$A,AA$19,Lançamentos!$C:$C,"Correios e Entregas")</f>
        <v>0</v>
      </c>
      <c r="AB65" s="39">
        <f>SUMIFS(Lançamentos!$G:$G,Lançamentos!$A:$A,AB$19,Lançamentos!$C:$C,"Correios e Entregas")</f>
        <v>0</v>
      </c>
      <c r="AC65" s="39">
        <f>SUMIFS(Lançamentos!$G:$G,Lançamentos!$A:$A,AC$19,Lançamentos!$C:$C,"Correios e Entregas")</f>
        <v>0</v>
      </c>
      <c r="AD65" s="39">
        <f>SUMIFS(Lançamentos!$G:$G,Lançamentos!$A:$A,AD$19,Lançamentos!$C:$C,"Correios e Entregas")</f>
        <v>0</v>
      </c>
      <c r="AE65" s="39">
        <f>SUMIFS(Lançamentos!$G:$G,Lançamentos!$A:$A,AE$19,Lançamentos!$C:$C,"Correios e Entregas")</f>
        <v>0</v>
      </c>
      <c r="AF65" s="39">
        <f>SUMIFS(Lançamentos!$G:$G,Lançamentos!$A:$A,AF$19,Lançamentos!$C:$C,"Correios e Entregas")</f>
        <v>0</v>
      </c>
      <c r="AG65" s="39">
        <f>SUMIFS(Lançamentos!$G:$G,Lançamentos!$A:$A,AG$19,Lançamentos!$C:$C,"Correios e Entregas")</f>
        <v>0</v>
      </c>
      <c r="AH65" s="39">
        <f>SUMIFS(Lançamentos!$G:$G,Lançamentos!$A:$A,AH$19,Lançamentos!$C:$C,"Correios e Entregas")</f>
        <v>0</v>
      </c>
      <c r="AI65" s="39">
        <f>SUMIFS(Lançamentos!$G:$G,Lançamentos!$A:$A,AI$19,Lançamentos!$C:$C,"Correios e Entregas")</f>
        <v>0</v>
      </c>
      <c r="AJ65" s="39">
        <f>SUMIFS(Lançamentos!$G:$G,Lançamentos!$A:$A,AJ$19,Lançamentos!$C:$C,"Correios e Entregas")</f>
        <v>0</v>
      </c>
      <c r="AK65" s="39">
        <f>SUMIFS(Lançamentos!$G:$G,Lançamentos!$A:$A,AK$19,Lançamentos!$C:$C,"Correios e Entregas")</f>
        <v>0</v>
      </c>
      <c r="AL65" s="39">
        <f>SUMIFS(Lançamentos!$G:$G,Lançamentos!$A:$A,AL$19,Lançamentos!$C:$C,"Correios e Entregas")</f>
        <v>0</v>
      </c>
      <c r="AM65" s="39">
        <f>SUMIFS(Lançamentos!$G:$G,Lançamentos!$A:$A,AM$19,Lançamentos!$C:$C,"Correios e Entregas")</f>
        <v>0</v>
      </c>
      <c r="AN65" s="39">
        <f>SUMIFS(Lançamentos!$G:$G,Lançamentos!$A:$A,AN$19,Lançamentos!$C:$C,"Correios e Entregas")</f>
        <v>0</v>
      </c>
      <c r="AO65" s="39">
        <f>SUMIFS(Lançamentos!$G:$G,Lançamentos!$A:$A,AO$19,Lançamentos!$C:$C,"Correios e Entregas")</f>
        <v>0</v>
      </c>
      <c r="AP65" s="39">
        <f>SUMIFS(Lançamentos!$G:$G,Lançamentos!$A:$A,AP$19,Lançamentos!$C:$C,"Correios e Entregas")</f>
        <v>0</v>
      </c>
      <c r="AQ65" s="39">
        <f>SUMIFS(Lançamentos!$G:$G,Lançamentos!$A:$A,AQ$19,Lançamentos!$C:$C,"Correios e Entregas")</f>
        <v>0</v>
      </c>
      <c r="AR65" s="39">
        <f>SUMIFS(Lançamentos!$G:$G,Lançamentos!$A:$A,AR$19,Lançamentos!$C:$C,"Correios e Entregas")</f>
        <v>0</v>
      </c>
      <c r="AS65" s="39">
        <f>SUMIFS(Lançamentos!$G:$G,Lançamentos!$A:$A,AS$19,Lançamentos!$C:$C,"Correios e Entregas")</f>
        <v>0</v>
      </c>
      <c r="AT65" s="39">
        <f>SUMIFS(Lançamentos!$G:$G,Lançamentos!$A:$A,AT$19,Lançamentos!$C:$C,"Correios e Entregas")</f>
        <v>0</v>
      </c>
      <c r="AU65" s="39">
        <f>SUMIFS(Lançamentos!$G:$G,Lançamentos!$A:$A,AU$19,Lançamentos!$C:$C,"Correios e Entregas")</f>
        <v>0</v>
      </c>
      <c r="AV65" s="39">
        <f>SUMIFS(Lançamentos!$G:$G,Lançamentos!$A:$A,AV$19,Lançamentos!$C:$C,"Correios e Entregas")</f>
        <v>0</v>
      </c>
      <c r="AW65" s="39">
        <f>SUMIFS(Lançamentos!$G:$G,Lançamentos!$A:$A,AW$19,Lançamentos!$C:$C,"Correios e Entregas")</f>
        <v>0</v>
      </c>
      <c r="AX65" s="39">
        <f>SUMIFS(Lançamentos!$G:$G,Lançamentos!$A:$A,AX$19,Lançamentos!$C:$C,"Correios e Entregas")</f>
        <v>0</v>
      </c>
      <c r="AY65" s="39">
        <f>SUMIFS(Lançamentos!$G:$G,Lançamentos!$A:$A,AY$19,Lançamentos!$C:$C,"Correios e Entregas")</f>
        <v>0</v>
      </c>
      <c r="AZ65" s="39">
        <f>SUMIFS(Lançamentos!$G:$G,Lançamentos!$A:$A,AZ$19,Lançamentos!$C:$C,"Correios e Entregas")</f>
        <v>0</v>
      </c>
      <c r="BA65" s="39">
        <f>SUMIFS(Lançamentos!$G:$G,Lançamentos!$A:$A,BA$19,Lançamentos!$C:$C,"Correios e Entregas")</f>
        <v>0</v>
      </c>
      <c r="BB65" s="39">
        <f>SUMIFS(Lançamentos!$G:$G,Lançamentos!$A:$A,BB$19,Lançamentos!$C:$C,"Correios e Entregas")</f>
        <v>0</v>
      </c>
      <c r="BC65" s="39">
        <f>SUMIFS(Lançamentos!$G:$G,Lançamentos!$A:$A,BC$19,Lançamentos!$C:$C,"Correios e Entregas")</f>
        <v>0</v>
      </c>
      <c r="BD65" s="39">
        <f>SUMIFS(Lançamentos!$G:$G,Lançamentos!$A:$A,BD$19,Lançamentos!$C:$C,"Correios e Entregas")</f>
        <v>0</v>
      </c>
      <c r="BE65" s="39">
        <f>SUMIFS(Lançamentos!$G:$G,Lançamentos!$A:$A,BE$19,Lançamentos!$C:$C,"Correios e Entregas")</f>
        <v>0</v>
      </c>
      <c r="BF65" s="39">
        <f>SUMIFS(Lançamentos!$G:$G,Lançamentos!$A:$A,BF$19,Lançamentos!$C:$C,"Correios e Entregas")</f>
        <v>0</v>
      </c>
      <c r="BG65" s="39">
        <f>SUMIFS(Lançamentos!$G:$G,Lançamentos!$A:$A,BG$19,Lançamentos!$C:$C,"Correios e Entregas")</f>
        <v>0</v>
      </c>
      <c r="BH65" s="39">
        <f>SUMIFS(Lançamentos!$G:$G,Lançamentos!$A:$A,BH$19,Lançamentos!$C:$C,"Correios e Entregas")</f>
        <v>0</v>
      </c>
      <c r="BI65" s="39">
        <f>SUMIFS(Lançamentos!$G:$G,Lançamentos!$A:$A,BI$19,Lançamentos!$C:$C,"Correios e Entregas")</f>
        <v>0</v>
      </c>
      <c r="BJ65" s="39">
        <f>SUMIFS(Lançamentos!$G:$G,Lançamentos!$A:$A,BJ$19,Lançamentos!$C:$C,"Correios e Entregas")</f>
        <v>0</v>
      </c>
      <c r="BK65" s="39">
        <f>SUMIFS(Lançamentos!$G:$G,Lançamentos!$A:$A,BK$19,Lançamentos!$C:$C,"Correios e Entregas")</f>
        <v>0</v>
      </c>
      <c r="BL65" s="39">
        <f>SUMIFS(Lançamentos!$G:$G,Lançamentos!$A:$A,BL$19,Lançamentos!$C:$C,"Correios e Entregas")</f>
        <v>0</v>
      </c>
      <c r="BM65" s="39">
        <f>SUMIFS(Lançamentos!$G:$G,Lançamentos!$A:$A,BM$19,Lançamentos!$C:$C,"Correios e Entregas")</f>
        <v>0</v>
      </c>
      <c r="BN65" s="39">
        <f>SUMIFS(Lançamentos!$G:$G,Lançamentos!$A:$A,BN$19,Lançamentos!$C:$C,"Correios e Entregas")</f>
        <v>0</v>
      </c>
      <c r="BO65" s="39">
        <f>SUMIFS(Lançamentos!$G:$G,Lançamentos!$A:$A,BO$19,Lançamentos!$C:$C,"Correios e Entregas")</f>
        <v>0</v>
      </c>
      <c r="BP65" s="39">
        <f>SUMIFS(Lançamentos!$G:$G,Lançamentos!$A:$A,BP$19,Lançamentos!$C:$C,"Correios e Entregas")</f>
        <v>0</v>
      </c>
      <c r="BQ65" s="39">
        <f>SUMIFS(Lançamentos!$G:$G,Lançamentos!$A:$A,BQ$19,Lançamentos!$C:$C,"Correios e Entregas")</f>
        <v>0</v>
      </c>
      <c r="BR65" s="39">
        <f>SUMIFS(Lançamentos!$G:$G,Lançamentos!$A:$A,BR$19,Lançamentos!$C:$C,"Correios e Entregas")</f>
        <v>0</v>
      </c>
      <c r="BS65" s="39">
        <f>SUMIFS(Lançamentos!$G:$G,Lançamentos!$A:$A,BS$19,Lançamentos!$C:$C,"Correios e Entregas")</f>
        <v>0</v>
      </c>
      <c r="BT65" s="39">
        <f>SUMIFS(Lançamentos!$G:$G,Lançamentos!$A:$A,BT$19,Lançamentos!$C:$C,"Correios e Entregas")</f>
        <v>0</v>
      </c>
      <c r="BU65" s="39">
        <f>SUMIFS(Lançamentos!$G:$G,Lançamentos!$A:$A,BU$19,Lançamentos!$C:$C,"Correios e Entregas")</f>
        <v>0</v>
      </c>
      <c r="BV65" s="39">
        <f>SUMIFS(Lançamentos!$G:$G,Lançamentos!$A:$A,BV$19,Lançamentos!$C:$C,"Correios e Entregas")</f>
        <v>0</v>
      </c>
      <c r="BW65" s="39">
        <f>SUMIFS(Lançamentos!$G:$G,Lançamentos!$A:$A,BW$19,Lançamentos!$C:$C,"Correios e Entregas")</f>
        <v>0</v>
      </c>
      <c r="BX65" s="39">
        <f>SUMIFS(Lançamentos!$G:$G,Lançamentos!$A:$A,BX$19,Lançamentos!$C:$C,"Correios e Entregas")</f>
        <v>0</v>
      </c>
      <c r="BY65" s="39">
        <f>SUMIFS(Lançamentos!$G:$G,Lançamentos!$A:$A,BY$19,Lançamentos!$C:$C,"Correios e Entregas")</f>
        <v>0</v>
      </c>
      <c r="BZ65" s="39">
        <f>SUMIFS(Lançamentos!$G:$G,Lançamentos!$A:$A,BZ$19,Lançamentos!$C:$C,"Correios e Entregas")</f>
        <v>0</v>
      </c>
      <c r="CA65" s="39">
        <f>SUMIFS(Lançamentos!$G:$G,Lançamentos!$A:$A,CA$19,Lançamentos!$C:$C,"Correios e Entregas")</f>
        <v>0</v>
      </c>
      <c r="CB65" s="39">
        <f>SUMIFS(Lançamentos!$G:$G,Lançamentos!$A:$A,CB$19,Lançamentos!$C:$C,"Correios e Entregas")</f>
        <v>0</v>
      </c>
      <c r="CC65" s="39">
        <f>SUMIFS(Lançamentos!$G:$G,Lançamentos!$A:$A,CC$19,Lançamentos!$C:$C,"Correios e Entregas")</f>
        <v>0</v>
      </c>
      <c r="CD65" s="39">
        <f>SUMIFS(Lançamentos!$G:$G,Lançamentos!$A:$A,CD$19,Lançamentos!$C:$C,"Correios e Entregas")</f>
        <v>0</v>
      </c>
      <c r="CE65" s="39">
        <f>SUMIFS(Lançamentos!$G:$G,Lançamentos!$A:$A,CE$19,Lançamentos!$C:$C,"Correios e Entregas")</f>
        <v>0</v>
      </c>
      <c r="CF65" s="39">
        <f>SUMIFS(Lançamentos!$G:$G,Lançamentos!$A:$A,CF$19,Lançamentos!$C:$C,"Correios e Entregas")</f>
        <v>0</v>
      </c>
      <c r="CG65" s="39">
        <f>SUMIFS(Lançamentos!$G:$G,Lançamentos!$A:$A,CG$19,Lançamentos!$C:$C,"Correios e Entregas")</f>
        <v>0</v>
      </c>
      <c r="CH65" s="39">
        <f>SUMIFS(Lançamentos!$G:$G,Lançamentos!$A:$A,CH$19,Lançamentos!$C:$C,"Correios e Entregas")</f>
        <v>0</v>
      </c>
      <c r="CI65" s="39">
        <f>SUMIFS(Lançamentos!$G:$G,Lançamentos!$A:$A,CI$19,Lançamentos!$C:$C,"Correios e Entregas")</f>
        <v>0</v>
      </c>
      <c r="CJ65" s="39">
        <f>SUMIFS(Lançamentos!$G:$G,Lançamentos!$A:$A,CJ$19,Lançamentos!$C:$C,"Correios e Entregas")</f>
        <v>0</v>
      </c>
      <c r="CK65" s="39">
        <f>SUMIFS(Lançamentos!$G:$G,Lançamentos!$A:$A,CK$19,Lançamentos!$C:$C,"Correios e Entregas")</f>
        <v>0</v>
      </c>
      <c r="CL65" s="39">
        <f>SUMIFS(Lançamentos!$G:$G,Lançamentos!$A:$A,CL$19,Lançamentos!$C:$C,"Correios e Entregas")</f>
        <v>0</v>
      </c>
      <c r="CM65" s="39">
        <f>SUMIFS(Lançamentos!$G:$G,Lançamentos!$A:$A,CM$19,Lançamentos!$C:$C,"Correios e Entregas")</f>
        <v>0</v>
      </c>
      <c r="CN65" s="39">
        <f>SUMIFS(Lançamentos!$G:$G,Lançamentos!$A:$A,CN$19,Lançamentos!$C:$C,"Correios e Entregas")</f>
        <v>0</v>
      </c>
      <c r="CO65" s="39">
        <f>SUMIFS(Lançamentos!$G:$G,Lançamentos!$A:$A,CO$19,Lançamentos!$C:$C,"Correios e Entregas")</f>
        <v>0</v>
      </c>
      <c r="CP65" s="39">
        <f>SUMIFS(Lançamentos!$G:$G,Lançamentos!$A:$A,CP$19,Lançamentos!$C:$C,"Correios e Entregas")</f>
        <v>0</v>
      </c>
      <c r="CQ65" s="39">
        <f>SUMIFS(Lançamentos!$G:$G,Lançamentos!$A:$A,CQ$19,Lançamentos!$C:$C,"Correios e Entregas")</f>
        <v>0</v>
      </c>
      <c r="CR65" s="39">
        <f>SUMIFS(Lançamentos!$G:$G,Lançamentos!$A:$A,CR$19,Lançamentos!$C:$C,"Correios e Entregas")</f>
        <v>0</v>
      </c>
      <c r="CS65" s="39">
        <f>SUMIFS(Lançamentos!$G:$G,Lançamentos!$A:$A,CS$19,Lançamentos!$C:$C,"Correios e Entregas")</f>
        <v>0</v>
      </c>
      <c r="CT65" s="39">
        <f>SUMIFS(Lançamentos!$G:$G,Lançamentos!$A:$A,CT$19,Lançamentos!$C:$C,"Correios e Entregas")</f>
        <v>0</v>
      </c>
      <c r="CU65" s="39">
        <f>SUMIFS(Lançamentos!$G:$G,Lançamentos!$A:$A,CU$19,Lançamentos!$C:$C,"Correios e Entregas")</f>
        <v>0</v>
      </c>
      <c r="CV65" s="39">
        <f>SUMIFS(Lançamentos!$G:$G,Lançamentos!$A:$A,CV$19,Lançamentos!$C:$C,"Correios e Entregas")</f>
        <v>0</v>
      </c>
      <c r="CW65" s="39">
        <f>SUMIFS(Lançamentos!$G:$G,Lançamentos!$A:$A,CW$19,Lançamentos!$C:$C,"Correios e Entregas")</f>
        <v>0</v>
      </c>
      <c r="CX65" s="39">
        <f>SUMIFS(Lançamentos!$G:$G,Lançamentos!$A:$A,CX$19,Lançamentos!$C:$C,"Correios e Entregas")</f>
        <v>0</v>
      </c>
      <c r="CY65" s="39">
        <f>SUMIFS(Lançamentos!$G:$G,Lançamentos!$A:$A,CY$19,Lançamentos!$C:$C,"Correios e Entregas")</f>
        <v>0</v>
      </c>
      <c r="CZ65" s="39">
        <f>SUMIFS(Lançamentos!$G:$G,Lançamentos!$A:$A,CZ$19,Lançamentos!$C:$C,"Correios e Entregas")</f>
        <v>0</v>
      </c>
      <c r="DA65" s="39">
        <f>SUMIFS(Lançamentos!$G:$G,Lançamentos!$A:$A,DA$19,Lançamentos!$C:$C,"Correios e Entregas")</f>
        <v>0</v>
      </c>
      <c r="DB65" s="39">
        <f>SUMIFS(Lançamentos!$G:$G,Lançamentos!$A:$A,DB$19,Lançamentos!$C:$C,"Correios e Entregas")</f>
        <v>0</v>
      </c>
      <c r="DC65" s="39">
        <f>SUMIFS(Lançamentos!$G:$G,Lançamentos!$A:$A,DC$19,Lançamentos!$C:$C,"Correios e Entregas")</f>
        <v>0</v>
      </c>
      <c r="DD65" s="39">
        <f>SUMIFS(Lançamentos!$G:$G,Lançamentos!$A:$A,DD$19,Lançamentos!$C:$C,"Correios e Entregas")</f>
        <v>0</v>
      </c>
      <c r="DE65" s="39">
        <f>SUMIFS(Lançamentos!$G:$G,Lançamentos!$A:$A,DE$19,Lançamentos!$C:$C,"Correios e Entregas")</f>
        <v>0</v>
      </c>
      <c r="DF65" s="39">
        <f>SUMIFS(Lançamentos!$G:$G,Lançamentos!$A:$A,DF$19,Lançamentos!$C:$C,"Correios e Entregas")</f>
        <v>0</v>
      </c>
      <c r="DG65" s="39">
        <f>SUMIFS(Lançamentos!$G:$G,Lançamentos!$A:$A,DG$19,Lançamentos!$C:$C,"Correios e Entregas")</f>
        <v>0</v>
      </c>
      <c r="DH65" s="39">
        <f>SUMIFS(Lançamentos!$G:$G,Lançamentos!$A:$A,DH$19,Lançamentos!$C:$C,"Correios e Entregas")</f>
        <v>0</v>
      </c>
      <c r="DI65" s="39">
        <f>SUMIFS(Lançamentos!$G:$G,Lançamentos!$A:$A,DI$19,Lançamentos!$C:$C,"Correios e Entregas")</f>
        <v>0</v>
      </c>
      <c r="DJ65" s="39">
        <f>SUMIFS(Lançamentos!$G:$G,Lançamentos!$A:$A,DJ$19,Lançamentos!$C:$C,"Correios e Entregas")</f>
        <v>0</v>
      </c>
      <c r="DK65" s="39">
        <f>SUMIFS(Lançamentos!$G:$G,Lançamentos!$A:$A,DK$19,Lançamentos!$C:$C,"Correios e Entregas")</f>
        <v>0</v>
      </c>
      <c r="DL65" s="39">
        <f>SUMIFS(Lançamentos!$G:$G,Lançamentos!$A:$A,DL$19,Lançamentos!$C:$C,"Correios e Entregas")</f>
        <v>0</v>
      </c>
      <c r="DM65" s="39">
        <f>SUMIFS(Lançamentos!$G:$G,Lançamentos!$A:$A,DM$19,Lançamentos!$C:$C,"Correios e Entregas")</f>
        <v>0</v>
      </c>
      <c r="DN65" s="39">
        <f>SUMIFS(Lançamentos!$G:$G,Lançamentos!$A:$A,DN$19,Lançamentos!$C:$C,"Correios e Entregas")</f>
        <v>0</v>
      </c>
      <c r="DO65" s="39">
        <f>SUMIFS(Lançamentos!$G:$G,Lançamentos!$A:$A,DO$19,Lançamentos!$C:$C,"Correios e Entregas")</f>
        <v>0</v>
      </c>
      <c r="DP65" s="39">
        <f>SUMIFS(Lançamentos!$G:$G,Lançamentos!$A:$A,DP$19,Lançamentos!$C:$C,"Correios e Entregas")</f>
        <v>0</v>
      </c>
      <c r="DQ65" s="39">
        <f>SUMIFS(Lançamentos!$G:$G,Lançamentos!$A:$A,DQ$19,Lançamentos!$C:$C,"Correios e Entregas")</f>
        <v>0</v>
      </c>
      <c r="DR65" s="39">
        <f>SUMIFS(Lançamentos!$G:$G,Lançamentos!$A:$A,DR$19,Lançamentos!$C:$C,"Correios e Entregas")</f>
        <v>0</v>
      </c>
      <c r="DS65" s="39">
        <f>SUMIFS(Lançamentos!$G:$G,Lançamentos!$A:$A,DS$19,Lançamentos!$C:$C,"Correios e Entregas")</f>
        <v>0</v>
      </c>
      <c r="DT65" s="39">
        <f>SUMIFS(Lançamentos!$G:$G,Lançamentos!$A:$A,DT$19,Lançamentos!$C:$C,"Correios e Entregas")</f>
        <v>0</v>
      </c>
      <c r="DU65" s="39">
        <f>SUMIFS(Lançamentos!$G:$G,Lançamentos!$A:$A,DU$19,Lançamentos!$C:$C,"Correios e Entregas")</f>
        <v>0</v>
      </c>
      <c r="DV65" s="39">
        <f>SUMIFS(Lançamentos!$G:$G,Lançamentos!$A:$A,DV$19,Lançamentos!$C:$C,"Correios e Entregas")</f>
        <v>0</v>
      </c>
      <c r="DW65" s="39">
        <f>SUMIFS(Lançamentos!$G:$G,Lançamentos!$A:$A,DW$19,Lançamentos!$C:$C,"Correios e Entregas")</f>
        <v>0</v>
      </c>
      <c r="DX65" s="39">
        <f>SUMIFS(Lançamentos!$G:$G,Lançamentos!$A:$A,DX$19,Lançamentos!$C:$C,"Correios e Entregas")</f>
        <v>0</v>
      </c>
      <c r="DY65" s="39">
        <f>SUMIFS(Lançamentos!$G:$G,Lançamentos!$A:$A,DY$19,Lançamentos!$C:$C,"Correios e Entregas")</f>
        <v>0</v>
      </c>
      <c r="DZ65" s="39">
        <f>SUMIFS(Lançamentos!$G:$G,Lançamentos!$A:$A,DZ$19,Lançamentos!$C:$C,"Correios e Entregas")</f>
        <v>0</v>
      </c>
      <c r="EA65" s="39">
        <f>SUMIFS(Lançamentos!$G:$G,Lançamentos!$A:$A,EA$19,Lançamentos!$C:$C,"Correios e Entregas")</f>
        <v>0</v>
      </c>
      <c r="EB65" s="39">
        <f>SUMIFS(Lançamentos!$G:$G,Lançamentos!$A:$A,EB$19,Lançamentos!$C:$C,"Correios e Entregas")</f>
        <v>0</v>
      </c>
      <c r="EC65" s="39">
        <f>SUMIFS(Lançamentos!$G:$G,Lançamentos!$A:$A,EC$19,Lançamentos!$C:$C,"Correios e Entregas")</f>
        <v>0</v>
      </c>
      <c r="ED65" s="39">
        <f>SUMIFS(Lançamentos!$G:$G,Lançamentos!$A:$A,ED$19,Lançamentos!$C:$C,"Correios e Entregas")</f>
        <v>0</v>
      </c>
      <c r="EE65" s="39">
        <f>SUMIFS(Lançamentos!$G:$G,Lançamentos!$A:$A,EE$19,Lançamentos!$C:$C,"Correios e Entregas")</f>
        <v>0</v>
      </c>
      <c r="EF65" s="39">
        <f>SUMIFS(Lançamentos!$G:$G,Lançamentos!$A:$A,EF$19,Lançamentos!$C:$C,"Correios e Entregas")</f>
        <v>0</v>
      </c>
      <c r="EG65" s="39">
        <f>SUMIFS(Lançamentos!$G:$G,Lançamentos!$A:$A,EG$19,Lançamentos!$C:$C,"Correios e Entregas")</f>
        <v>0</v>
      </c>
      <c r="EH65" s="39">
        <f>SUMIFS(Lançamentos!$G:$G,Lançamentos!$A:$A,EH$19,Lançamentos!$C:$C,"Correios e Entregas")</f>
        <v>0</v>
      </c>
      <c r="EI65" s="39">
        <f>SUMIFS(Lançamentos!$G:$G,Lançamentos!$A:$A,EI$19,Lançamentos!$C:$C,"Correios e Entregas")</f>
        <v>0</v>
      </c>
      <c r="EJ65" s="39">
        <f>SUMIFS(Lançamentos!$G:$G,Lançamentos!$A:$A,EJ$19,Lançamentos!$C:$C,"Correios e Entregas")</f>
        <v>0</v>
      </c>
      <c r="EK65" s="39">
        <f>SUMIFS(Lançamentos!$G:$G,Lançamentos!$A:$A,EK$19,Lançamentos!$C:$C,"Correios e Entregas")</f>
        <v>0</v>
      </c>
      <c r="EL65" s="39">
        <f>SUMIFS(Lançamentos!$G:$G,Lançamentos!$A:$A,EL$19,Lançamentos!$C:$C,"Correios e Entregas")</f>
        <v>0</v>
      </c>
      <c r="EM65" s="39">
        <f>SUMIFS(Lançamentos!$G:$G,Lançamentos!$A:$A,EM$19,Lançamentos!$C:$C,"Correios e Entregas")</f>
        <v>0</v>
      </c>
      <c r="EN65" s="39">
        <f>SUMIFS(Lançamentos!$G:$G,Lançamentos!$A:$A,EN$19,Lançamentos!$C:$C,"Correios e Entregas")</f>
        <v>0</v>
      </c>
      <c r="EO65" s="39">
        <f>SUMIFS(Lançamentos!$G:$G,Lançamentos!$A:$A,EO$19,Lançamentos!$C:$C,"Correios e Entregas")</f>
        <v>0</v>
      </c>
      <c r="EP65" s="39">
        <f>SUMIFS(Lançamentos!$G:$G,Lançamentos!$A:$A,EP$19,Lançamentos!$C:$C,"Correios e Entregas")</f>
        <v>0</v>
      </c>
      <c r="EQ65" s="39">
        <f>SUMIFS(Lançamentos!$G:$G,Lançamentos!$A:$A,EQ$19,Lançamentos!$C:$C,"Correios e Entregas")</f>
        <v>0</v>
      </c>
      <c r="ER65" s="39">
        <f>SUMIFS(Lançamentos!$G:$G,Lançamentos!$A:$A,ER$19,Lançamentos!$C:$C,"Correios e Entregas")</f>
        <v>0</v>
      </c>
      <c r="ES65" s="39">
        <f>SUMIFS(Lançamentos!$G:$G,Lançamentos!$A:$A,ES$19,Lançamentos!$C:$C,"Correios e Entregas")</f>
        <v>0</v>
      </c>
      <c r="ET65" s="39">
        <f>SUMIFS(Lançamentos!$G:$G,Lançamentos!$A:$A,ET$19,Lançamentos!$C:$C,"Correios e Entregas")</f>
        <v>0</v>
      </c>
      <c r="EU65" s="39">
        <f>SUMIFS(Lançamentos!$G:$G,Lançamentos!$A:$A,EU$19,Lançamentos!$C:$C,"Correios e Entregas")</f>
        <v>0</v>
      </c>
      <c r="EV65" s="39">
        <f>SUMIFS(Lançamentos!$G:$G,Lançamentos!$A:$A,EV$19,Lançamentos!$C:$C,"Correios e Entregas")</f>
        <v>0</v>
      </c>
      <c r="EW65" s="39">
        <f>SUMIFS(Lançamentos!$G:$G,Lançamentos!$A:$A,EW$19,Lançamentos!$C:$C,"Correios e Entregas")</f>
        <v>0</v>
      </c>
      <c r="EX65" s="39">
        <f>SUMIFS(Lançamentos!$G:$G,Lançamentos!$A:$A,EX$19,Lançamentos!$C:$C,"Correios e Entregas")</f>
        <v>0</v>
      </c>
      <c r="EY65" s="39">
        <f>SUMIFS(Lançamentos!$G:$G,Lançamentos!$A:$A,EY$19,Lançamentos!$C:$C,"Correios e Entregas")</f>
        <v>0</v>
      </c>
      <c r="EZ65" s="39">
        <f>SUMIFS(Lançamentos!$G:$G,Lançamentos!$A:$A,EZ$19,Lançamentos!$C:$C,"Correios e Entregas")</f>
        <v>0</v>
      </c>
      <c r="FA65" s="39">
        <f>SUMIFS(Lançamentos!$G:$G,Lançamentos!$A:$A,FA$19,Lançamentos!$C:$C,"Correios e Entregas")</f>
        <v>0</v>
      </c>
      <c r="FB65" s="39">
        <f>SUMIFS(Lançamentos!$G:$G,Lançamentos!$A:$A,FB$19,Lançamentos!$C:$C,"Correios e Entregas")</f>
        <v>0</v>
      </c>
      <c r="FC65" s="39">
        <f>SUMIFS(Lançamentos!$G:$G,Lançamentos!$A:$A,FC$19,Lançamentos!$C:$C,"Correios e Entregas")</f>
        <v>0</v>
      </c>
      <c r="FD65" s="39">
        <f>SUMIFS(Lançamentos!$G:$G,Lançamentos!$A:$A,FD$19,Lançamentos!$C:$C,"Correios e Entregas")</f>
        <v>0</v>
      </c>
      <c r="FE65" s="39">
        <f>SUMIFS(Lançamentos!$G:$G,Lançamentos!$A:$A,FE$19,Lançamentos!$C:$C,"Correios e Entregas")</f>
        <v>0</v>
      </c>
      <c r="FF65" s="39">
        <f>SUMIFS(Lançamentos!$G:$G,Lançamentos!$A:$A,FF$19,Lançamentos!$C:$C,"Correios e Entregas")</f>
        <v>0</v>
      </c>
      <c r="FG65" s="39">
        <f>SUMIFS(Lançamentos!$G:$G,Lançamentos!$A:$A,FG$19,Lançamentos!$C:$C,"Correios e Entregas")</f>
        <v>0</v>
      </c>
      <c r="FH65" s="39">
        <f>SUMIFS(Lançamentos!$G:$G,Lançamentos!$A:$A,FH$19,Lançamentos!$C:$C,"Correios e Entregas")</f>
        <v>0</v>
      </c>
      <c r="FI65" s="39">
        <f>SUMIFS(Lançamentos!$G:$G,Lançamentos!$A:$A,FI$19,Lançamentos!$C:$C,"Correios e Entregas")</f>
        <v>0</v>
      </c>
      <c r="FJ65" s="39">
        <f>SUMIFS(Lançamentos!$G:$G,Lançamentos!$A:$A,FJ$19,Lançamentos!$C:$C,"Correios e Entregas")</f>
        <v>0</v>
      </c>
      <c r="FK65" s="39">
        <f>SUMIFS(Lançamentos!$G:$G,Lançamentos!$A:$A,FK$19,Lançamentos!$C:$C,"Correios e Entregas")</f>
        <v>0</v>
      </c>
      <c r="FL65" s="39">
        <f>SUMIFS(Lançamentos!$G:$G,Lançamentos!$A:$A,FL$19,Lançamentos!$C:$C,"Correios e Entregas")</f>
        <v>0</v>
      </c>
      <c r="FM65" s="39">
        <f>SUMIFS(Lançamentos!$G:$G,Lançamentos!$A:$A,FM$19,Lançamentos!$C:$C,"Correios e Entregas")</f>
        <v>0</v>
      </c>
      <c r="FN65" s="39">
        <f>SUMIFS(Lançamentos!$G:$G,Lançamentos!$A:$A,FN$19,Lançamentos!$C:$C,"Correios e Entregas")</f>
        <v>0</v>
      </c>
      <c r="FO65" s="39">
        <f>SUMIFS(Lançamentos!$G:$G,Lançamentos!$A:$A,FO$19,Lançamentos!$C:$C,"Correios e Entregas")</f>
        <v>0</v>
      </c>
      <c r="FP65" s="39">
        <f>SUMIFS(Lançamentos!$G:$G,Lançamentos!$A:$A,FP$19,Lançamentos!$C:$C,"Correios e Entregas")</f>
        <v>0</v>
      </c>
      <c r="FQ65" s="39">
        <f>SUMIFS(Lançamentos!$G:$G,Lançamentos!$A:$A,FQ$19,Lançamentos!$C:$C,"Correios e Entregas")</f>
        <v>0</v>
      </c>
      <c r="FR65" s="39">
        <f>SUMIFS(Lançamentos!$G:$G,Lançamentos!$A:$A,FR$19,Lançamentos!$C:$C,"Correios e Entregas")</f>
        <v>0</v>
      </c>
      <c r="FS65" s="39">
        <f>SUMIFS(Lançamentos!$G:$G,Lançamentos!$A:$A,FS$19,Lançamentos!$C:$C,"Correios e Entregas")</f>
        <v>0</v>
      </c>
      <c r="FT65" s="39">
        <f>SUMIFS(Lançamentos!$G:$G,Lançamentos!$A:$A,FT$19,Lançamentos!$C:$C,"Correios e Entregas")</f>
        <v>0</v>
      </c>
      <c r="FU65" s="39">
        <f>SUMIFS(Lançamentos!$G:$G,Lançamentos!$A:$A,FU$19,Lançamentos!$C:$C,"Correios e Entregas")</f>
        <v>0</v>
      </c>
      <c r="FV65" s="39">
        <f>SUMIFS(Lançamentos!$G:$G,Lançamentos!$A:$A,FV$19,Lançamentos!$C:$C,"Correios e Entregas")</f>
        <v>0</v>
      </c>
      <c r="FW65" s="39">
        <f>SUMIFS(Lançamentos!$G:$G,Lançamentos!$A:$A,FW$19,Lançamentos!$C:$C,"Correios e Entregas")</f>
        <v>0</v>
      </c>
      <c r="FX65" s="39">
        <f>SUMIFS(Lançamentos!$G:$G,Lançamentos!$A:$A,FX$19,Lançamentos!$C:$C,"Correios e Entregas")</f>
        <v>0</v>
      </c>
      <c r="FY65" s="39">
        <f>SUMIFS(Lançamentos!$G:$G,Lançamentos!$A:$A,FY$19,Lançamentos!$C:$C,"Correios e Entregas")</f>
        <v>0</v>
      </c>
      <c r="FZ65" s="39">
        <f>SUMIFS(Lançamentos!$G:$G,Lançamentos!$A:$A,FZ$19,Lançamentos!$C:$C,"Correios e Entregas")</f>
        <v>0</v>
      </c>
      <c r="GA65" s="39">
        <f>SUMIFS(Lançamentos!$G:$G,Lançamentos!$A:$A,GA$19,Lançamentos!$C:$C,"Correios e Entregas")</f>
        <v>0</v>
      </c>
      <c r="GB65" s="39">
        <f>SUMIFS(Lançamentos!$G:$G,Lançamentos!$A:$A,GB$19,Lançamentos!$C:$C,"Correios e Entregas")</f>
        <v>0</v>
      </c>
      <c r="GC65" s="39">
        <f>SUMIFS(Lançamentos!$G:$G,Lançamentos!$A:$A,GC$19,Lançamentos!$C:$C,"Correios e Entregas")</f>
        <v>0</v>
      </c>
      <c r="GD65" s="39">
        <f>SUMIFS(Lançamentos!$G:$G,Lançamentos!$A:$A,GD$19,Lançamentos!$C:$C,"Correios e Entregas")</f>
        <v>0</v>
      </c>
      <c r="GE65" s="39">
        <f>SUMIFS(Lançamentos!$G:$G,Lançamentos!$A:$A,GE$19,Lançamentos!$C:$C,"Correios e Entregas")</f>
        <v>0</v>
      </c>
      <c r="GF65" s="39">
        <f>SUMIFS(Lançamentos!$G:$G,Lançamentos!$A:$A,GF$19,Lançamentos!$C:$C,"Correios e Entregas")</f>
        <v>0</v>
      </c>
      <c r="GG65" s="39">
        <f>SUMIFS(Lançamentos!$G:$G,Lançamentos!$A:$A,GG$19,Lançamentos!$C:$C,"Correios e Entregas")</f>
        <v>0</v>
      </c>
      <c r="GH65" s="39">
        <f>SUMIFS(Lançamentos!$G:$G,Lançamentos!$A:$A,GH$19,Lançamentos!$C:$C,"Correios e Entregas")</f>
        <v>0</v>
      </c>
      <c r="GI65" s="39">
        <f>SUMIFS(Lançamentos!$G:$G,Lançamentos!$A:$A,GI$19,Lançamentos!$C:$C,"Correios e Entregas")</f>
        <v>0</v>
      </c>
      <c r="GJ65" s="39">
        <f>SUMIFS(Lançamentos!$G:$G,Lançamentos!$A:$A,GJ$19,Lançamentos!$C:$C,"Correios e Entregas")</f>
        <v>0</v>
      </c>
      <c r="GK65" s="39">
        <f>SUMIFS(Lançamentos!$G:$G,Lançamentos!$A:$A,GK$19,Lançamentos!$C:$C,"Correios e Entregas")</f>
        <v>0</v>
      </c>
      <c r="GL65" s="39">
        <f>SUMIFS(Lançamentos!$G:$G,Lançamentos!$A:$A,GL$19,Lançamentos!$C:$C,"Correios e Entregas")</f>
        <v>0</v>
      </c>
      <c r="GM65" s="39">
        <f>SUMIFS(Lançamentos!$G:$G,Lançamentos!$A:$A,GM$19,Lançamentos!$C:$C,"Correios e Entregas")</f>
        <v>0</v>
      </c>
      <c r="GN65" s="39">
        <f>SUMIFS(Lançamentos!$G:$G,Lançamentos!$A:$A,GN$19,Lançamentos!$C:$C,"Correios e Entregas")</f>
        <v>0</v>
      </c>
      <c r="GO65" s="39">
        <f>SUMIFS(Lançamentos!$G:$G,Lançamentos!$A:$A,GO$19,Lançamentos!$C:$C,"Correios e Entregas")</f>
        <v>0</v>
      </c>
      <c r="GP65" s="39">
        <f>SUMIFS(Lançamentos!$G:$G,Lançamentos!$A:$A,GP$19,Lançamentos!$C:$C,"Correios e Entregas")</f>
        <v>0</v>
      </c>
      <c r="GQ65" s="39">
        <f>SUMIFS(Lançamentos!$G:$G,Lançamentos!$A:$A,GQ$19,Lançamentos!$C:$C,"Correios e Entregas")</f>
        <v>0</v>
      </c>
      <c r="GR65" s="39">
        <f>SUMIFS(Lançamentos!$G:$G,Lançamentos!$A:$A,GR$19,Lançamentos!$C:$C,"Correios e Entregas")</f>
        <v>0</v>
      </c>
      <c r="GS65" s="39">
        <f>SUMIFS(Lançamentos!$G:$G,Lançamentos!$A:$A,GS$19,Lançamentos!$C:$C,"Correios e Entregas")</f>
        <v>0</v>
      </c>
      <c r="GT65" s="39">
        <f>SUMIFS(Lançamentos!$G:$G,Lançamentos!$A:$A,GT$19,Lançamentos!$C:$C,"Correios e Entregas")</f>
        <v>0</v>
      </c>
      <c r="GU65" s="39">
        <f>SUMIFS(Lançamentos!$G:$G,Lançamentos!$A:$A,GU$19,Lançamentos!$C:$C,"Correios e Entregas")</f>
        <v>0</v>
      </c>
      <c r="GV65" s="39">
        <f>SUMIFS(Lançamentos!$G:$G,Lançamentos!$A:$A,GV$19,Lançamentos!$C:$C,"Correios e Entregas")</f>
        <v>0</v>
      </c>
      <c r="GW65" s="39">
        <f>SUMIFS(Lançamentos!$G:$G,Lançamentos!$A:$A,GW$19,Lançamentos!$C:$C,"Correios e Entregas")</f>
        <v>0</v>
      </c>
      <c r="GX65" s="39">
        <f>SUMIFS(Lançamentos!$G:$G,Lançamentos!$A:$A,GX$19,Lançamentos!$C:$C,"Correios e Entregas")</f>
        <v>0</v>
      </c>
      <c r="GY65" s="39">
        <f>SUMIFS(Lançamentos!$G:$G,Lançamentos!$A:$A,GY$19,Lançamentos!$C:$C,"Correios e Entregas")</f>
        <v>0</v>
      </c>
      <c r="GZ65" s="39">
        <f>SUMIFS(Lançamentos!$G:$G,Lançamentos!$A:$A,GZ$19,Lançamentos!$C:$C,"Correios e Entregas")</f>
        <v>0</v>
      </c>
      <c r="HA65" s="39">
        <f>SUMIFS(Lançamentos!$G:$G,Lançamentos!$A:$A,HA$19,Lançamentos!$C:$C,"Correios e Entregas")</f>
        <v>0</v>
      </c>
      <c r="HB65" s="39">
        <f>SUMIFS(Lançamentos!$G:$G,Lançamentos!$A:$A,HB$19,Lançamentos!$C:$C,"Correios e Entregas")</f>
        <v>0</v>
      </c>
      <c r="HC65" s="39">
        <f>SUMIFS(Lançamentos!$G:$G,Lançamentos!$A:$A,HC$19,Lançamentos!$C:$C,"Correios e Entregas")</f>
        <v>0</v>
      </c>
      <c r="HD65" s="39">
        <f>SUMIFS(Lançamentos!$G:$G,Lançamentos!$A:$A,HD$19,Lançamentos!$C:$C,"Correios e Entregas")</f>
        <v>0</v>
      </c>
      <c r="HE65" s="39">
        <f>SUMIFS(Lançamentos!$G:$G,Lançamentos!$A:$A,HE$19,Lançamentos!$C:$C,"Correios e Entregas")</f>
        <v>0</v>
      </c>
      <c r="HF65" s="39">
        <f>SUMIFS(Lançamentos!$G:$G,Lançamentos!$A:$A,HF$19,Lançamentos!$C:$C,"Correios e Entregas")</f>
        <v>0</v>
      </c>
      <c r="HG65" s="39">
        <f>SUMIFS(Lançamentos!$G:$G,Lançamentos!$A:$A,HG$19,Lançamentos!$C:$C,"Correios e Entregas")</f>
        <v>0</v>
      </c>
      <c r="HH65" s="39">
        <f>SUMIFS(Lançamentos!$G:$G,Lançamentos!$A:$A,HH$19,Lançamentos!$C:$C,"Correios e Entregas")</f>
        <v>0</v>
      </c>
      <c r="HI65" s="39">
        <f>SUMIFS(Lançamentos!$G:$G,Lançamentos!$A:$A,HI$19,Lançamentos!$C:$C,"Correios e Entregas")</f>
        <v>0</v>
      </c>
      <c r="HJ65" s="39">
        <f>SUMIFS(Lançamentos!$G:$G,Lançamentos!$A:$A,HJ$19,Lançamentos!$C:$C,"Correios e Entregas")</f>
        <v>0</v>
      </c>
      <c r="HK65" s="39">
        <f>SUMIFS(Lançamentos!$G:$G,Lançamentos!$A:$A,HK$19,Lançamentos!$C:$C,"Correios e Entregas")</f>
        <v>0</v>
      </c>
      <c r="HL65" s="39">
        <f>SUMIFS(Lançamentos!$G:$G,Lançamentos!$A:$A,HL$19,Lançamentos!$C:$C,"Correios e Entregas")</f>
        <v>0</v>
      </c>
      <c r="HM65" s="39">
        <f>SUMIFS(Lançamentos!$G:$G,Lançamentos!$A:$A,HM$19,Lançamentos!$C:$C,"Correios e Entregas")</f>
        <v>0</v>
      </c>
      <c r="HN65" s="39">
        <f>SUMIFS(Lançamentos!$G:$G,Lançamentos!$A:$A,HN$19,Lançamentos!$C:$C,"Correios e Entregas")</f>
        <v>0</v>
      </c>
      <c r="HO65" s="39">
        <f>SUMIFS(Lançamentos!$G:$G,Lançamentos!$A:$A,HO$19,Lançamentos!$C:$C,"Correios e Entregas")</f>
        <v>0</v>
      </c>
      <c r="HP65" s="39">
        <f>SUMIFS(Lançamentos!$G:$G,Lançamentos!$A:$A,HP$19,Lançamentos!$C:$C,"Correios e Entregas")</f>
        <v>0</v>
      </c>
      <c r="HQ65" s="39">
        <f>SUMIFS(Lançamentos!$G:$G,Lançamentos!$A:$A,HQ$19,Lançamentos!$C:$C,"Correios e Entregas")</f>
        <v>0</v>
      </c>
      <c r="HR65" s="39">
        <f>SUMIFS(Lançamentos!$G:$G,Lançamentos!$A:$A,HR$19,Lançamentos!$C:$C,"Correios e Entregas")</f>
        <v>0</v>
      </c>
      <c r="HS65" s="39">
        <f>SUMIFS(Lançamentos!$G:$G,Lançamentos!$A:$A,HS$19,Lançamentos!$C:$C,"Correios e Entregas")</f>
        <v>0</v>
      </c>
      <c r="HT65" s="39">
        <f>SUMIFS(Lançamentos!$G:$G,Lançamentos!$A:$A,HT$19,Lançamentos!$C:$C,"Correios e Entregas")</f>
        <v>0</v>
      </c>
      <c r="HU65" s="39">
        <f>SUMIFS(Lançamentos!$G:$G,Lançamentos!$A:$A,HU$19,Lançamentos!$C:$C,"Correios e Entregas")</f>
        <v>0</v>
      </c>
      <c r="HV65" s="39">
        <f>SUMIFS(Lançamentos!$G:$G,Lançamentos!$A:$A,HV$19,Lançamentos!$C:$C,"Correios e Entregas")</f>
        <v>0</v>
      </c>
      <c r="HW65" s="39">
        <f>SUMIFS(Lançamentos!$G:$G,Lançamentos!$A:$A,HW$19,Lançamentos!$C:$C,"Correios e Entregas")</f>
        <v>0</v>
      </c>
      <c r="HX65" s="39">
        <f>SUMIFS(Lançamentos!$G:$G,Lançamentos!$A:$A,HX$19,Lançamentos!$C:$C,"Correios e Entregas")</f>
        <v>0</v>
      </c>
      <c r="HY65" s="39">
        <f>SUMIFS(Lançamentos!$G:$G,Lançamentos!$A:$A,HY$19,Lançamentos!$C:$C,"Correios e Entregas")</f>
        <v>0</v>
      </c>
      <c r="HZ65" s="39">
        <f>SUMIFS(Lançamentos!$G:$G,Lançamentos!$A:$A,HZ$19,Lançamentos!$C:$C,"Correios e Entregas")</f>
        <v>0</v>
      </c>
      <c r="IA65" s="39">
        <f>SUMIFS(Lançamentos!$G:$G,Lançamentos!$A:$A,IA$19,Lançamentos!$C:$C,"Correios e Entregas")</f>
        <v>0</v>
      </c>
      <c r="IB65" s="39">
        <f>SUMIFS(Lançamentos!$G:$G,Lançamentos!$A:$A,IB$19,Lançamentos!$C:$C,"Correios e Entregas")</f>
        <v>0</v>
      </c>
      <c r="IC65" s="39">
        <f>SUMIFS(Lançamentos!$G:$G,Lançamentos!$A:$A,IC$19,Lançamentos!$C:$C,"Correios e Entregas")</f>
        <v>0</v>
      </c>
      <c r="ID65" s="39">
        <f>SUMIFS(Lançamentos!$G:$G,Lançamentos!$A:$A,ID$19,Lançamentos!$C:$C,"Correios e Entregas")</f>
        <v>0</v>
      </c>
      <c r="IE65" s="39">
        <f>SUMIFS(Lançamentos!$G:$G,Lançamentos!$A:$A,IE$19,Lançamentos!$C:$C,"Correios e Entregas")</f>
        <v>0</v>
      </c>
      <c r="IF65" s="39">
        <f>SUMIFS(Lançamentos!$G:$G,Lançamentos!$A:$A,IF$19,Lançamentos!$C:$C,"Correios e Entregas")</f>
        <v>0</v>
      </c>
      <c r="IG65" s="39">
        <f>SUMIFS(Lançamentos!$G:$G,Lançamentos!$A:$A,IG$19,Lançamentos!$C:$C,"Correios e Entregas")</f>
        <v>0</v>
      </c>
      <c r="IH65" s="39">
        <f>SUMIFS(Lançamentos!$G:$G,Lançamentos!$A:$A,IH$19,Lançamentos!$C:$C,"Correios e Entregas")</f>
        <v>0</v>
      </c>
      <c r="II65" s="39">
        <f>SUMIFS(Lançamentos!$G:$G,Lançamentos!$A:$A,II$19,Lançamentos!$C:$C,"Correios e Entregas")</f>
        <v>0</v>
      </c>
      <c r="IJ65" s="39">
        <f>SUMIFS(Lançamentos!$G:$G,Lançamentos!$A:$A,IJ$19,Lançamentos!$C:$C,"Correios e Entregas")</f>
        <v>0</v>
      </c>
      <c r="IK65" s="39">
        <f>SUMIFS(Lançamentos!$G:$G,Lançamentos!$A:$A,IK$19,Lançamentos!$C:$C,"Correios e Entregas")</f>
        <v>0</v>
      </c>
      <c r="IL65" s="39">
        <f>SUMIFS(Lançamentos!$G:$G,Lançamentos!$A:$A,IL$19,Lançamentos!$C:$C,"Correios e Entregas")</f>
        <v>0</v>
      </c>
    </row>
    <row r="66" spans="1:246" x14ac:dyDescent="0.3">
      <c r="A66" t="s">
        <v>111</v>
      </c>
      <c r="B66" s="39">
        <f>SUMIFS(Lançamentos!$G:$G,Lançamentos!$A:$A,B$19,Lançamentos!$C:$C,"Taxas e Anuidades")</f>
        <v>0</v>
      </c>
      <c r="C66" s="39">
        <f>SUMIFS(Lançamentos!$G:$G,Lançamentos!$A:$A,C$19,Lançamentos!$C:$C,"Taxas e Anuidades")</f>
        <v>0</v>
      </c>
      <c r="D66" s="39">
        <f>SUMIFS(Lançamentos!$G:$G,Lançamentos!$A:$A,D$19,Lançamentos!$C:$C,"Taxas e Anuidades")</f>
        <v>0</v>
      </c>
      <c r="E66" s="39">
        <f>SUMIFS(Lançamentos!$G:$G,Lançamentos!$A:$A,E$19,Lançamentos!$C:$C,"Taxas e Anuidades")</f>
        <v>0</v>
      </c>
      <c r="F66" s="39">
        <f>SUMIFS(Lançamentos!$G:$G,Lançamentos!$A:$A,F$19,Lançamentos!$C:$C,"Taxas e Anuidades")</f>
        <v>0</v>
      </c>
      <c r="G66" s="39">
        <f>SUMIFS(Lançamentos!$G:$G,Lançamentos!$A:$A,G$19,Lançamentos!$C:$C,"Taxas e Anuidades")</f>
        <v>0</v>
      </c>
      <c r="H66" s="39">
        <f>SUMIFS(Lançamentos!$G:$G,Lançamentos!$A:$A,H$19,Lançamentos!$C:$C,"Taxas e Anuidades")</f>
        <v>0</v>
      </c>
      <c r="I66" s="39">
        <f>SUMIFS(Lançamentos!$G:$G,Lançamentos!$A:$A,I$19,Lançamentos!$C:$C,"Taxas e Anuidades")</f>
        <v>0</v>
      </c>
      <c r="J66" s="39">
        <f>SUMIFS(Lançamentos!$G:$G,Lançamentos!$A:$A,J$19,Lançamentos!$C:$C,"Taxas e Anuidades")</f>
        <v>0</v>
      </c>
      <c r="K66" s="39">
        <f>SUMIFS(Lançamentos!$G:$G,Lançamentos!$A:$A,K$19,Lançamentos!$C:$C,"Taxas e Anuidades")</f>
        <v>0</v>
      </c>
      <c r="L66" s="39">
        <f>SUMIFS(Lançamentos!$G:$G,Lançamentos!$A:$A,L$19,Lançamentos!$C:$C,"Taxas e Anuidades")</f>
        <v>0</v>
      </c>
      <c r="M66" s="39">
        <f>SUMIFS(Lançamentos!$G:$G,Lançamentos!$A:$A,M$19,Lançamentos!$C:$C,"Taxas e Anuidades")</f>
        <v>0</v>
      </c>
      <c r="N66" s="39">
        <f>SUMIFS(Lançamentos!$G:$G,Lançamentos!$A:$A,N$19,Lançamentos!$C:$C,"Taxas e Anuidades")</f>
        <v>0</v>
      </c>
      <c r="O66" s="39">
        <f>SUMIFS(Lançamentos!$G:$G,Lançamentos!$A:$A,O$19,Lançamentos!$C:$C,"Taxas e Anuidades")</f>
        <v>0</v>
      </c>
      <c r="P66" s="39">
        <f>SUMIFS(Lançamentos!$G:$G,Lançamentos!$A:$A,P$19,Lançamentos!$C:$C,"Taxas e Anuidades")</f>
        <v>0</v>
      </c>
      <c r="Q66" s="39">
        <f>SUMIFS(Lançamentos!$G:$G,Lançamentos!$A:$A,Q$19,Lançamentos!$C:$C,"Taxas e Anuidades")</f>
        <v>0</v>
      </c>
      <c r="R66" s="39">
        <f>SUMIFS(Lançamentos!$G:$G,Lançamentos!$A:$A,R$19,Lançamentos!$C:$C,"Taxas e Anuidades")</f>
        <v>0</v>
      </c>
      <c r="S66" s="39">
        <f>SUMIFS(Lançamentos!$G:$G,Lançamentos!$A:$A,S$19,Lançamentos!$C:$C,"Taxas e Anuidades")</f>
        <v>0</v>
      </c>
      <c r="T66" s="39">
        <f>SUMIFS(Lançamentos!$G:$G,Lançamentos!$A:$A,T$19,Lançamentos!$C:$C,"Taxas e Anuidades")</f>
        <v>0</v>
      </c>
      <c r="U66" s="39">
        <f>SUMIFS(Lançamentos!$G:$G,Lançamentos!$A:$A,U$19,Lançamentos!$C:$C,"Taxas e Anuidades")</f>
        <v>0</v>
      </c>
      <c r="V66" s="39">
        <f>SUMIFS(Lançamentos!$G:$G,Lançamentos!$A:$A,V$19,Lançamentos!$C:$C,"Taxas e Anuidades")</f>
        <v>0</v>
      </c>
      <c r="W66" s="39">
        <f>SUMIFS(Lançamentos!$G:$G,Lançamentos!$A:$A,W$19,Lançamentos!$C:$C,"Taxas e Anuidades")</f>
        <v>0</v>
      </c>
      <c r="X66" s="39">
        <f>SUMIFS(Lançamentos!$G:$G,Lançamentos!$A:$A,X$19,Lançamentos!$C:$C,"Taxas e Anuidades")</f>
        <v>0</v>
      </c>
      <c r="Y66" s="39">
        <f>SUMIFS(Lançamentos!$G:$G,Lançamentos!$A:$A,Y$19,Lançamentos!$C:$C,"Taxas e Anuidades")</f>
        <v>0</v>
      </c>
      <c r="Z66" s="39">
        <f>SUMIFS(Lançamentos!$G:$G,Lançamentos!$A:$A,Z$19,Lançamentos!$C:$C,"Taxas e Anuidades")</f>
        <v>0</v>
      </c>
      <c r="AA66" s="39">
        <f>SUMIFS(Lançamentos!$G:$G,Lançamentos!$A:$A,AA$19,Lançamentos!$C:$C,"Taxas e Anuidades")</f>
        <v>0</v>
      </c>
      <c r="AB66" s="39">
        <f>SUMIFS(Lançamentos!$G:$G,Lançamentos!$A:$A,AB$19,Lançamentos!$C:$C,"Taxas e Anuidades")</f>
        <v>0</v>
      </c>
      <c r="AC66" s="39">
        <f>SUMIFS(Lançamentos!$G:$G,Lançamentos!$A:$A,AC$19,Lançamentos!$C:$C,"Taxas e Anuidades")</f>
        <v>0</v>
      </c>
      <c r="AD66" s="39">
        <f>SUMIFS(Lançamentos!$G:$G,Lançamentos!$A:$A,AD$19,Lançamentos!$C:$C,"Taxas e Anuidades")</f>
        <v>0</v>
      </c>
      <c r="AE66" s="39">
        <f>SUMIFS(Lançamentos!$G:$G,Lançamentos!$A:$A,AE$19,Lançamentos!$C:$C,"Taxas e Anuidades")</f>
        <v>0</v>
      </c>
      <c r="AF66" s="39">
        <f>SUMIFS(Lançamentos!$G:$G,Lançamentos!$A:$A,AF$19,Lançamentos!$C:$C,"Taxas e Anuidades")</f>
        <v>0</v>
      </c>
      <c r="AG66" s="39">
        <f>SUMIFS(Lançamentos!$G:$G,Lançamentos!$A:$A,AG$19,Lançamentos!$C:$C,"Taxas e Anuidades")</f>
        <v>0</v>
      </c>
      <c r="AH66" s="39">
        <f>SUMIFS(Lançamentos!$G:$G,Lançamentos!$A:$A,AH$19,Lançamentos!$C:$C,"Taxas e Anuidades")</f>
        <v>0</v>
      </c>
      <c r="AI66" s="39">
        <f>SUMIFS(Lançamentos!$G:$G,Lançamentos!$A:$A,AI$19,Lançamentos!$C:$C,"Taxas e Anuidades")</f>
        <v>0</v>
      </c>
      <c r="AJ66" s="39">
        <f>SUMIFS(Lançamentos!$G:$G,Lançamentos!$A:$A,AJ$19,Lançamentos!$C:$C,"Taxas e Anuidades")</f>
        <v>0</v>
      </c>
      <c r="AK66" s="39">
        <f>SUMIFS(Lançamentos!$G:$G,Lançamentos!$A:$A,AK$19,Lançamentos!$C:$C,"Taxas e Anuidades")</f>
        <v>0</v>
      </c>
      <c r="AL66" s="39">
        <f>SUMIFS(Lançamentos!$G:$G,Lançamentos!$A:$A,AL$19,Lançamentos!$C:$C,"Taxas e Anuidades")</f>
        <v>0</v>
      </c>
      <c r="AM66" s="39">
        <f>SUMIFS(Lançamentos!$G:$G,Lançamentos!$A:$A,AM$19,Lançamentos!$C:$C,"Taxas e Anuidades")</f>
        <v>0</v>
      </c>
      <c r="AN66" s="39">
        <f>SUMIFS(Lançamentos!$G:$G,Lançamentos!$A:$A,AN$19,Lançamentos!$C:$C,"Taxas e Anuidades")</f>
        <v>0</v>
      </c>
      <c r="AO66" s="39">
        <f>SUMIFS(Lançamentos!$G:$G,Lançamentos!$A:$A,AO$19,Lançamentos!$C:$C,"Taxas e Anuidades")</f>
        <v>0</v>
      </c>
      <c r="AP66" s="39">
        <f>SUMIFS(Lançamentos!$G:$G,Lançamentos!$A:$A,AP$19,Lançamentos!$C:$C,"Taxas e Anuidades")</f>
        <v>0</v>
      </c>
      <c r="AQ66" s="39">
        <f>SUMIFS(Lançamentos!$G:$G,Lançamentos!$A:$A,AQ$19,Lançamentos!$C:$C,"Taxas e Anuidades")</f>
        <v>0</v>
      </c>
      <c r="AR66" s="39">
        <f>SUMIFS(Lançamentos!$G:$G,Lançamentos!$A:$A,AR$19,Lançamentos!$C:$C,"Taxas e Anuidades")</f>
        <v>0</v>
      </c>
      <c r="AS66" s="39">
        <f>SUMIFS(Lançamentos!$G:$G,Lançamentos!$A:$A,AS$19,Lançamentos!$C:$C,"Taxas e Anuidades")</f>
        <v>0</v>
      </c>
      <c r="AT66" s="39">
        <f>SUMIFS(Lançamentos!$G:$G,Lançamentos!$A:$A,AT$19,Lançamentos!$C:$C,"Taxas e Anuidades")</f>
        <v>0</v>
      </c>
      <c r="AU66" s="39">
        <f>SUMIFS(Lançamentos!$G:$G,Lançamentos!$A:$A,AU$19,Lançamentos!$C:$C,"Taxas e Anuidades")</f>
        <v>0</v>
      </c>
      <c r="AV66" s="39">
        <f>SUMIFS(Lançamentos!$G:$G,Lançamentos!$A:$A,AV$19,Lançamentos!$C:$C,"Taxas e Anuidades")</f>
        <v>0</v>
      </c>
      <c r="AW66" s="39">
        <f>SUMIFS(Lançamentos!$G:$G,Lançamentos!$A:$A,AW$19,Lançamentos!$C:$C,"Taxas e Anuidades")</f>
        <v>0</v>
      </c>
      <c r="AX66" s="39">
        <f>SUMIFS(Lançamentos!$G:$G,Lançamentos!$A:$A,AX$19,Lançamentos!$C:$C,"Taxas e Anuidades")</f>
        <v>0</v>
      </c>
      <c r="AY66" s="39">
        <f>SUMIFS(Lançamentos!$G:$G,Lançamentos!$A:$A,AY$19,Lançamentos!$C:$C,"Taxas e Anuidades")</f>
        <v>0</v>
      </c>
      <c r="AZ66" s="39">
        <f>SUMIFS(Lançamentos!$G:$G,Lançamentos!$A:$A,AZ$19,Lançamentos!$C:$C,"Taxas e Anuidades")</f>
        <v>0</v>
      </c>
      <c r="BA66" s="39">
        <f>SUMIFS(Lançamentos!$G:$G,Lançamentos!$A:$A,BA$19,Lançamentos!$C:$C,"Taxas e Anuidades")</f>
        <v>0</v>
      </c>
      <c r="BB66" s="39">
        <f>SUMIFS(Lançamentos!$G:$G,Lançamentos!$A:$A,BB$19,Lançamentos!$C:$C,"Taxas e Anuidades")</f>
        <v>0</v>
      </c>
      <c r="BC66" s="39">
        <f>SUMIFS(Lançamentos!$G:$G,Lançamentos!$A:$A,BC$19,Lançamentos!$C:$C,"Taxas e Anuidades")</f>
        <v>0</v>
      </c>
      <c r="BD66" s="39">
        <f>SUMIFS(Lançamentos!$G:$G,Lançamentos!$A:$A,BD$19,Lançamentos!$C:$C,"Taxas e Anuidades")</f>
        <v>0</v>
      </c>
      <c r="BE66" s="39">
        <f>SUMIFS(Lançamentos!$G:$G,Lançamentos!$A:$A,BE$19,Lançamentos!$C:$C,"Taxas e Anuidades")</f>
        <v>0</v>
      </c>
      <c r="BF66" s="39">
        <f>SUMIFS(Lançamentos!$G:$G,Lançamentos!$A:$A,BF$19,Lançamentos!$C:$C,"Taxas e Anuidades")</f>
        <v>0</v>
      </c>
      <c r="BG66" s="39">
        <f>SUMIFS(Lançamentos!$G:$G,Lançamentos!$A:$A,BG$19,Lançamentos!$C:$C,"Taxas e Anuidades")</f>
        <v>0</v>
      </c>
      <c r="BH66" s="39">
        <f>SUMIFS(Lançamentos!$G:$G,Lançamentos!$A:$A,BH$19,Lançamentos!$C:$C,"Taxas e Anuidades")</f>
        <v>0</v>
      </c>
      <c r="BI66" s="39">
        <f>SUMIFS(Lançamentos!$G:$G,Lançamentos!$A:$A,BI$19,Lançamentos!$C:$C,"Taxas e Anuidades")</f>
        <v>0</v>
      </c>
      <c r="BJ66" s="39">
        <f>SUMIFS(Lançamentos!$G:$G,Lançamentos!$A:$A,BJ$19,Lançamentos!$C:$C,"Taxas e Anuidades")</f>
        <v>0</v>
      </c>
      <c r="BK66" s="39">
        <f>SUMIFS(Lançamentos!$G:$G,Lançamentos!$A:$A,BK$19,Lançamentos!$C:$C,"Taxas e Anuidades")</f>
        <v>0</v>
      </c>
      <c r="BL66" s="39">
        <f>SUMIFS(Lançamentos!$G:$G,Lançamentos!$A:$A,BL$19,Lançamentos!$C:$C,"Taxas e Anuidades")</f>
        <v>0</v>
      </c>
      <c r="BM66" s="39">
        <f>SUMIFS(Lançamentos!$G:$G,Lançamentos!$A:$A,BM$19,Lançamentos!$C:$C,"Taxas e Anuidades")</f>
        <v>0</v>
      </c>
      <c r="BN66" s="39">
        <f>SUMIFS(Lançamentos!$G:$G,Lançamentos!$A:$A,BN$19,Lançamentos!$C:$C,"Taxas e Anuidades")</f>
        <v>0</v>
      </c>
      <c r="BO66" s="39">
        <f>SUMIFS(Lançamentos!$G:$G,Lançamentos!$A:$A,BO$19,Lançamentos!$C:$C,"Taxas e Anuidades")</f>
        <v>0</v>
      </c>
      <c r="BP66" s="39">
        <f>SUMIFS(Lançamentos!$G:$G,Lançamentos!$A:$A,BP$19,Lançamentos!$C:$C,"Taxas e Anuidades")</f>
        <v>0</v>
      </c>
      <c r="BQ66" s="39">
        <f>SUMIFS(Lançamentos!$G:$G,Lançamentos!$A:$A,BQ$19,Lançamentos!$C:$C,"Taxas e Anuidades")</f>
        <v>0</v>
      </c>
      <c r="BR66" s="39">
        <f>SUMIFS(Lançamentos!$G:$G,Lançamentos!$A:$A,BR$19,Lançamentos!$C:$C,"Taxas e Anuidades")</f>
        <v>0</v>
      </c>
      <c r="BS66" s="39">
        <f>SUMIFS(Lançamentos!$G:$G,Lançamentos!$A:$A,BS$19,Lançamentos!$C:$C,"Taxas e Anuidades")</f>
        <v>0</v>
      </c>
      <c r="BT66" s="39">
        <f>SUMIFS(Lançamentos!$G:$G,Lançamentos!$A:$A,BT$19,Lançamentos!$C:$C,"Taxas e Anuidades")</f>
        <v>0</v>
      </c>
      <c r="BU66" s="39">
        <f>SUMIFS(Lançamentos!$G:$G,Lançamentos!$A:$A,BU$19,Lançamentos!$C:$C,"Taxas e Anuidades")</f>
        <v>0</v>
      </c>
      <c r="BV66" s="39">
        <f>SUMIFS(Lançamentos!$G:$G,Lançamentos!$A:$A,BV$19,Lançamentos!$C:$C,"Taxas e Anuidades")</f>
        <v>0</v>
      </c>
      <c r="BW66" s="39">
        <f>SUMIFS(Lançamentos!$G:$G,Lançamentos!$A:$A,BW$19,Lançamentos!$C:$C,"Taxas e Anuidades")</f>
        <v>0</v>
      </c>
      <c r="BX66" s="39">
        <f>SUMIFS(Lançamentos!$G:$G,Lançamentos!$A:$A,BX$19,Lançamentos!$C:$C,"Taxas e Anuidades")</f>
        <v>0</v>
      </c>
      <c r="BY66" s="39">
        <f>SUMIFS(Lançamentos!$G:$G,Lançamentos!$A:$A,BY$19,Lançamentos!$C:$C,"Taxas e Anuidades")</f>
        <v>0</v>
      </c>
      <c r="BZ66" s="39">
        <f>SUMIFS(Lançamentos!$G:$G,Lançamentos!$A:$A,BZ$19,Lançamentos!$C:$C,"Taxas e Anuidades")</f>
        <v>0</v>
      </c>
      <c r="CA66" s="39">
        <f>SUMIFS(Lançamentos!$G:$G,Lançamentos!$A:$A,CA$19,Lançamentos!$C:$C,"Taxas e Anuidades")</f>
        <v>0</v>
      </c>
      <c r="CB66" s="39">
        <f>SUMIFS(Lançamentos!$G:$G,Lançamentos!$A:$A,CB$19,Lançamentos!$C:$C,"Taxas e Anuidades")</f>
        <v>0</v>
      </c>
      <c r="CC66" s="39">
        <f>SUMIFS(Lançamentos!$G:$G,Lançamentos!$A:$A,CC$19,Lançamentos!$C:$C,"Taxas e Anuidades")</f>
        <v>0</v>
      </c>
      <c r="CD66" s="39">
        <f>SUMIFS(Lançamentos!$G:$G,Lançamentos!$A:$A,CD$19,Lançamentos!$C:$C,"Taxas e Anuidades")</f>
        <v>0</v>
      </c>
      <c r="CE66" s="39">
        <f>SUMIFS(Lançamentos!$G:$G,Lançamentos!$A:$A,CE$19,Lançamentos!$C:$C,"Taxas e Anuidades")</f>
        <v>0</v>
      </c>
      <c r="CF66" s="39">
        <f>SUMIFS(Lançamentos!$G:$G,Lançamentos!$A:$A,CF$19,Lançamentos!$C:$C,"Taxas e Anuidades")</f>
        <v>0</v>
      </c>
      <c r="CG66" s="39">
        <f>SUMIFS(Lançamentos!$G:$G,Lançamentos!$A:$A,CG$19,Lançamentos!$C:$C,"Taxas e Anuidades")</f>
        <v>0</v>
      </c>
      <c r="CH66" s="39">
        <f>SUMIFS(Lançamentos!$G:$G,Lançamentos!$A:$A,CH$19,Lançamentos!$C:$C,"Taxas e Anuidades")</f>
        <v>0</v>
      </c>
      <c r="CI66" s="39">
        <f>SUMIFS(Lançamentos!$G:$G,Lançamentos!$A:$A,CI$19,Lançamentos!$C:$C,"Taxas e Anuidades")</f>
        <v>0</v>
      </c>
      <c r="CJ66" s="39">
        <f>SUMIFS(Lançamentos!$G:$G,Lançamentos!$A:$A,CJ$19,Lançamentos!$C:$C,"Taxas e Anuidades")</f>
        <v>0</v>
      </c>
      <c r="CK66" s="39">
        <f>SUMIFS(Lançamentos!$G:$G,Lançamentos!$A:$A,CK$19,Lançamentos!$C:$C,"Taxas e Anuidades")</f>
        <v>0</v>
      </c>
      <c r="CL66" s="39">
        <f>SUMIFS(Lançamentos!$G:$G,Lançamentos!$A:$A,CL$19,Lançamentos!$C:$C,"Taxas e Anuidades")</f>
        <v>0</v>
      </c>
      <c r="CM66" s="39">
        <f>SUMIFS(Lançamentos!$G:$G,Lançamentos!$A:$A,CM$19,Lançamentos!$C:$C,"Taxas e Anuidades")</f>
        <v>0</v>
      </c>
      <c r="CN66" s="39">
        <f>SUMIFS(Lançamentos!$G:$G,Lançamentos!$A:$A,CN$19,Lançamentos!$C:$C,"Taxas e Anuidades")</f>
        <v>0</v>
      </c>
      <c r="CO66" s="39">
        <f>SUMIFS(Lançamentos!$G:$G,Lançamentos!$A:$A,CO$19,Lançamentos!$C:$C,"Taxas e Anuidades")</f>
        <v>0</v>
      </c>
      <c r="CP66" s="39">
        <f>SUMIFS(Lançamentos!$G:$G,Lançamentos!$A:$A,CP$19,Lançamentos!$C:$C,"Taxas e Anuidades")</f>
        <v>0</v>
      </c>
      <c r="CQ66" s="39">
        <f>SUMIFS(Lançamentos!$G:$G,Lançamentos!$A:$A,CQ$19,Lançamentos!$C:$C,"Taxas e Anuidades")</f>
        <v>0</v>
      </c>
      <c r="CR66" s="39">
        <f>SUMIFS(Lançamentos!$G:$G,Lançamentos!$A:$A,CR$19,Lançamentos!$C:$C,"Taxas e Anuidades")</f>
        <v>0</v>
      </c>
      <c r="CS66" s="39">
        <f>SUMIFS(Lançamentos!$G:$G,Lançamentos!$A:$A,CS$19,Lançamentos!$C:$C,"Taxas e Anuidades")</f>
        <v>0</v>
      </c>
      <c r="CT66" s="39">
        <f>SUMIFS(Lançamentos!$G:$G,Lançamentos!$A:$A,CT$19,Lançamentos!$C:$C,"Taxas e Anuidades")</f>
        <v>0</v>
      </c>
      <c r="CU66" s="39">
        <f>SUMIFS(Lançamentos!$G:$G,Lançamentos!$A:$A,CU$19,Lançamentos!$C:$C,"Taxas e Anuidades")</f>
        <v>0</v>
      </c>
      <c r="CV66" s="39">
        <f>SUMIFS(Lançamentos!$G:$G,Lançamentos!$A:$A,CV$19,Lançamentos!$C:$C,"Taxas e Anuidades")</f>
        <v>0</v>
      </c>
      <c r="CW66" s="39">
        <f>SUMIFS(Lançamentos!$G:$G,Lançamentos!$A:$A,CW$19,Lançamentos!$C:$C,"Taxas e Anuidades")</f>
        <v>0</v>
      </c>
      <c r="CX66" s="39">
        <f>SUMIFS(Lançamentos!$G:$G,Lançamentos!$A:$A,CX$19,Lançamentos!$C:$C,"Taxas e Anuidades")</f>
        <v>0</v>
      </c>
      <c r="CY66" s="39">
        <f>SUMIFS(Lançamentos!$G:$G,Lançamentos!$A:$A,CY$19,Lançamentos!$C:$C,"Taxas e Anuidades")</f>
        <v>0</v>
      </c>
      <c r="CZ66" s="39">
        <f>SUMIFS(Lançamentos!$G:$G,Lançamentos!$A:$A,CZ$19,Lançamentos!$C:$C,"Taxas e Anuidades")</f>
        <v>0</v>
      </c>
      <c r="DA66" s="39">
        <f>SUMIFS(Lançamentos!$G:$G,Lançamentos!$A:$A,DA$19,Lançamentos!$C:$C,"Taxas e Anuidades")</f>
        <v>0</v>
      </c>
      <c r="DB66" s="39">
        <f>SUMIFS(Lançamentos!$G:$G,Lançamentos!$A:$A,DB$19,Lançamentos!$C:$C,"Taxas e Anuidades")</f>
        <v>0</v>
      </c>
      <c r="DC66" s="39">
        <f>SUMIFS(Lançamentos!$G:$G,Lançamentos!$A:$A,DC$19,Lançamentos!$C:$C,"Taxas e Anuidades")</f>
        <v>0</v>
      </c>
      <c r="DD66" s="39">
        <f>SUMIFS(Lançamentos!$G:$G,Lançamentos!$A:$A,DD$19,Lançamentos!$C:$C,"Taxas e Anuidades")</f>
        <v>0</v>
      </c>
      <c r="DE66" s="39">
        <f>SUMIFS(Lançamentos!$G:$G,Lançamentos!$A:$A,DE$19,Lançamentos!$C:$C,"Taxas e Anuidades")</f>
        <v>0</v>
      </c>
      <c r="DF66" s="39">
        <f>SUMIFS(Lançamentos!$G:$G,Lançamentos!$A:$A,DF$19,Lançamentos!$C:$C,"Taxas e Anuidades")</f>
        <v>0</v>
      </c>
      <c r="DG66" s="39">
        <f>SUMIFS(Lançamentos!$G:$G,Lançamentos!$A:$A,DG$19,Lançamentos!$C:$C,"Taxas e Anuidades")</f>
        <v>0</v>
      </c>
      <c r="DH66" s="39">
        <f>SUMIFS(Lançamentos!$G:$G,Lançamentos!$A:$A,DH$19,Lançamentos!$C:$C,"Taxas e Anuidades")</f>
        <v>0</v>
      </c>
      <c r="DI66" s="39">
        <f>SUMIFS(Lançamentos!$G:$G,Lançamentos!$A:$A,DI$19,Lançamentos!$C:$C,"Taxas e Anuidades")</f>
        <v>0</v>
      </c>
      <c r="DJ66" s="39">
        <f>SUMIFS(Lançamentos!$G:$G,Lançamentos!$A:$A,DJ$19,Lançamentos!$C:$C,"Taxas e Anuidades")</f>
        <v>0</v>
      </c>
      <c r="DK66" s="39">
        <f>SUMIFS(Lançamentos!$G:$G,Lançamentos!$A:$A,DK$19,Lançamentos!$C:$C,"Taxas e Anuidades")</f>
        <v>0</v>
      </c>
      <c r="DL66" s="39">
        <f>SUMIFS(Lançamentos!$G:$G,Lançamentos!$A:$A,DL$19,Lançamentos!$C:$C,"Taxas e Anuidades")</f>
        <v>0</v>
      </c>
      <c r="DM66" s="39">
        <f>SUMIFS(Lançamentos!$G:$G,Lançamentos!$A:$A,DM$19,Lançamentos!$C:$C,"Taxas e Anuidades")</f>
        <v>0</v>
      </c>
      <c r="DN66" s="39">
        <f>SUMIFS(Lançamentos!$G:$G,Lançamentos!$A:$A,DN$19,Lançamentos!$C:$C,"Taxas e Anuidades")</f>
        <v>0</v>
      </c>
      <c r="DO66" s="39">
        <f>SUMIFS(Lançamentos!$G:$G,Lançamentos!$A:$A,DO$19,Lançamentos!$C:$C,"Taxas e Anuidades")</f>
        <v>0</v>
      </c>
      <c r="DP66" s="39">
        <f>SUMIFS(Lançamentos!$G:$G,Lançamentos!$A:$A,DP$19,Lançamentos!$C:$C,"Taxas e Anuidades")</f>
        <v>0</v>
      </c>
      <c r="DQ66" s="39">
        <f>SUMIFS(Lançamentos!$G:$G,Lançamentos!$A:$A,DQ$19,Lançamentos!$C:$C,"Taxas e Anuidades")</f>
        <v>0</v>
      </c>
      <c r="DR66" s="39">
        <f>SUMIFS(Lançamentos!$G:$G,Lançamentos!$A:$A,DR$19,Lançamentos!$C:$C,"Taxas e Anuidades")</f>
        <v>0</v>
      </c>
      <c r="DS66" s="39">
        <f>SUMIFS(Lançamentos!$G:$G,Lançamentos!$A:$A,DS$19,Lançamentos!$C:$C,"Taxas e Anuidades")</f>
        <v>0</v>
      </c>
      <c r="DT66" s="39">
        <f>SUMIFS(Lançamentos!$G:$G,Lançamentos!$A:$A,DT$19,Lançamentos!$C:$C,"Taxas e Anuidades")</f>
        <v>0</v>
      </c>
      <c r="DU66" s="39">
        <f>SUMIFS(Lançamentos!$G:$G,Lançamentos!$A:$A,DU$19,Lançamentos!$C:$C,"Taxas e Anuidades")</f>
        <v>0</v>
      </c>
      <c r="DV66" s="39">
        <f>SUMIFS(Lançamentos!$G:$G,Lançamentos!$A:$A,DV$19,Lançamentos!$C:$C,"Taxas e Anuidades")</f>
        <v>0</v>
      </c>
      <c r="DW66" s="39">
        <f>SUMIFS(Lançamentos!$G:$G,Lançamentos!$A:$A,DW$19,Lançamentos!$C:$C,"Taxas e Anuidades")</f>
        <v>0</v>
      </c>
      <c r="DX66" s="39">
        <f>SUMIFS(Lançamentos!$G:$G,Lançamentos!$A:$A,DX$19,Lançamentos!$C:$C,"Taxas e Anuidades")</f>
        <v>0</v>
      </c>
      <c r="DY66" s="39">
        <f>SUMIFS(Lançamentos!$G:$G,Lançamentos!$A:$A,DY$19,Lançamentos!$C:$C,"Taxas e Anuidades")</f>
        <v>0</v>
      </c>
      <c r="DZ66" s="39">
        <f>SUMIFS(Lançamentos!$G:$G,Lançamentos!$A:$A,DZ$19,Lançamentos!$C:$C,"Taxas e Anuidades")</f>
        <v>0</v>
      </c>
      <c r="EA66" s="39">
        <f>SUMIFS(Lançamentos!$G:$G,Lançamentos!$A:$A,EA$19,Lançamentos!$C:$C,"Taxas e Anuidades")</f>
        <v>0</v>
      </c>
      <c r="EB66" s="39">
        <f>SUMIFS(Lançamentos!$G:$G,Lançamentos!$A:$A,EB$19,Lançamentos!$C:$C,"Taxas e Anuidades")</f>
        <v>0</v>
      </c>
      <c r="EC66" s="39">
        <f>SUMIFS(Lançamentos!$G:$G,Lançamentos!$A:$A,EC$19,Lançamentos!$C:$C,"Taxas e Anuidades")</f>
        <v>0</v>
      </c>
      <c r="ED66" s="39">
        <f>SUMIFS(Lançamentos!$G:$G,Lançamentos!$A:$A,ED$19,Lançamentos!$C:$C,"Taxas e Anuidades")</f>
        <v>0</v>
      </c>
      <c r="EE66" s="39">
        <f>SUMIFS(Lançamentos!$G:$G,Lançamentos!$A:$A,EE$19,Lançamentos!$C:$C,"Taxas e Anuidades")</f>
        <v>0</v>
      </c>
      <c r="EF66" s="39">
        <f>SUMIFS(Lançamentos!$G:$G,Lançamentos!$A:$A,EF$19,Lançamentos!$C:$C,"Taxas e Anuidades")</f>
        <v>0</v>
      </c>
      <c r="EG66" s="39">
        <f>SUMIFS(Lançamentos!$G:$G,Lançamentos!$A:$A,EG$19,Lançamentos!$C:$C,"Taxas e Anuidades")</f>
        <v>0</v>
      </c>
      <c r="EH66" s="39">
        <f>SUMIFS(Lançamentos!$G:$G,Lançamentos!$A:$A,EH$19,Lançamentos!$C:$C,"Taxas e Anuidades")</f>
        <v>0</v>
      </c>
      <c r="EI66" s="39">
        <f>SUMIFS(Lançamentos!$G:$G,Lançamentos!$A:$A,EI$19,Lançamentos!$C:$C,"Taxas e Anuidades")</f>
        <v>0</v>
      </c>
      <c r="EJ66" s="39">
        <f>SUMIFS(Lançamentos!$G:$G,Lançamentos!$A:$A,EJ$19,Lançamentos!$C:$C,"Taxas e Anuidades")</f>
        <v>0</v>
      </c>
      <c r="EK66" s="39">
        <f>SUMIFS(Lançamentos!$G:$G,Lançamentos!$A:$A,EK$19,Lançamentos!$C:$C,"Taxas e Anuidades")</f>
        <v>0</v>
      </c>
      <c r="EL66" s="39">
        <f>SUMIFS(Lançamentos!$G:$G,Lançamentos!$A:$A,EL$19,Lançamentos!$C:$C,"Taxas e Anuidades")</f>
        <v>0</v>
      </c>
      <c r="EM66" s="39">
        <f>SUMIFS(Lançamentos!$G:$G,Lançamentos!$A:$A,EM$19,Lançamentos!$C:$C,"Taxas e Anuidades")</f>
        <v>0</v>
      </c>
      <c r="EN66" s="39">
        <f>SUMIFS(Lançamentos!$G:$G,Lançamentos!$A:$A,EN$19,Lançamentos!$C:$C,"Taxas e Anuidades")</f>
        <v>0</v>
      </c>
      <c r="EO66" s="39">
        <f>SUMIFS(Lançamentos!$G:$G,Lançamentos!$A:$A,EO$19,Lançamentos!$C:$C,"Taxas e Anuidades")</f>
        <v>0</v>
      </c>
      <c r="EP66" s="39">
        <f>SUMIFS(Lançamentos!$G:$G,Lançamentos!$A:$A,EP$19,Lançamentos!$C:$C,"Taxas e Anuidades")</f>
        <v>0</v>
      </c>
      <c r="EQ66" s="39">
        <f>SUMIFS(Lançamentos!$G:$G,Lançamentos!$A:$A,EQ$19,Lançamentos!$C:$C,"Taxas e Anuidades")</f>
        <v>0</v>
      </c>
      <c r="ER66" s="39">
        <f>SUMIFS(Lançamentos!$G:$G,Lançamentos!$A:$A,ER$19,Lançamentos!$C:$C,"Taxas e Anuidades")</f>
        <v>0</v>
      </c>
      <c r="ES66" s="39">
        <f>SUMIFS(Lançamentos!$G:$G,Lançamentos!$A:$A,ES$19,Lançamentos!$C:$C,"Taxas e Anuidades")</f>
        <v>0</v>
      </c>
      <c r="ET66" s="39">
        <f>SUMIFS(Lançamentos!$G:$G,Lançamentos!$A:$A,ET$19,Lançamentos!$C:$C,"Taxas e Anuidades")</f>
        <v>0</v>
      </c>
      <c r="EU66" s="39">
        <f>SUMIFS(Lançamentos!$G:$G,Lançamentos!$A:$A,EU$19,Lançamentos!$C:$C,"Taxas e Anuidades")</f>
        <v>0</v>
      </c>
      <c r="EV66" s="39">
        <f>SUMIFS(Lançamentos!$G:$G,Lançamentos!$A:$A,EV$19,Lançamentos!$C:$C,"Taxas e Anuidades")</f>
        <v>0</v>
      </c>
      <c r="EW66" s="39">
        <f>SUMIFS(Lançamentos!$G:$G,Lançamentos!$A:$A,EW$19,Lançamentos!$C:$C,"Taxas e Anuidades")</f>
        <v>0</v>
      </c>
      <c r="EX66" s="39">
        <f>SUMIFS(Lançamentos!$G:$G,Lançamentos!$A:$A,EX$19,Lançamentos!$C:$C,"Taxas e Anuidades")</f>
        <v>0</v>
      </c>
      <c r="EY66" s="39">
        <f>SUMIFS(Lançamentos!$G:$G,Lançamentos!$A:$A,EY$19,Lançamentos!$C:$C,"Taxas e Anuidades")</f>
        <v>0</v>
      </c>
      <c r="EZ66" s="39">
        <f>SUMIFS(Lançamentos!$G:$G,Lançamentos!$A:$A,EZ$19,Lançamentos!$C:$C,"Taxas e Anuidades")</f>
        <v>0</v>
      </c>
      <c r="FA66" s="39">
        <f>SUMIFS(Lançamentos!$G:$G,Lançamentos!$A:$A,FA$19,Lançamentos!$C:$C,"Taxas e Anuidades")</f>
        <v>0</v>
      </c>
      <c r="FB66" s="39">
        <f>SUMIFS(Lançamentos!$G:$G,Lançamentos!$A:$A,FB$19,Lançamentos!$C:$C,"Taxas e Anuidades")</f>
        <v>0</v>
      </c>
      <c r="FC66" s="39">
        <f>SUMIFS(Lançamentos!$G:$G,Lançamentos!$A:$A,FC$19,Lançamentos!$C:$C,"Taxas e Anuidades")</f>
        <v>0</v>
      </c>
      <c r="FD66" s="39">
        <f>SUMIFS(Lançamentos!$G:$G,Lançamentos!$A:$A,FD$19,Lançamentos!$C:$C,"Taxas e Anuidades")</f>
        <v>0</v>
      </c>
      <c r="FE66" s="39">
        <f>SUMIFS(Lançamentos!$G:$G,Lançamentos!$A:$A,FE$19,Lançamentos!$C:$C,"Taxas e Anuidades")</f>
        <v>0</v>
      </c>
      <c r="FF66" s="39">
        <f>SUMIFS(Lançamentos!$G:$G,Lançamentos!$A:$A,FF$19,Lançamentos!$C:$C,"Taxas e Anuidades")</f>
        <v>0</v>
      </c>
      <c r="FG66" s="39">
        <f>SUMIFS(Lançamentos!$G:$G,Lançamentos!$A:$A,FG$19,Lançamentos!$C:$C,"Taxas e Anuidades")</f>
        <v>0</v>
      </c>
      <c r="FH66" s="39">
        <f>SUMIFS(Lançamentos!$G:$G,Lançamentos!$A:$A,FH$19,Lançamentos!$C:$C,"Taxas e Anuidades")</f>
        <v>0</v>
      </c>
      <c r="FI66" s="39">
        <f>SUMIFS(Lançamentos!$G:$G,Lançamentos!$A:$A,FI$19,Lançamentos!$C:$C,"Taxas e Anuidades")</f>
        <v>0</v>
      </c>
      <c r="FJ66" s="39">
        <f>SUMIFS(Lançamentos!$G:$G,Lançamentos!$A:$A,FJ$19,Lançamentos!$C:$C,"Taxas e Anuidades")</f>
        <v>0</v>
      </c>
      <c r="FK66" s="39">
        <f>SUMIFS(Lançamentos!$G:$G,Lançamentos!$A:$A,FK$19,Lançamentos!$C:$C,"Taxas e Anuidades")</f>
        <v>0</v>
      </c>
      <c r="FL66" s="39">
        <f>SUMIFS(Lançamentos!$G:$G,Lançamentos!$A:$A,FL$19,Lançamentos!$C:$C,"Taxas e Anuidades")</f>
        <v>0</v>
      </c>
      <c r="FM66" s="39">
        <f>SUMIFS(Lançamentos!$G:$G,Lançamentos!$A:$A,FM$19,Lançamentos!$C:$C,"Taxas e Anuidades")</f>
        <v>0</v>
      </c>
      <c r="FN66" s="39">
        <f>SUMIFS(Lançamentos!$G:$G,Lançamentos!$A:$A,FN$19,Lançamentos!$C:$C,"Taxas e Anuidades")</f>
        <v>0</v>
      </c>
      <c r="FO66" s="39">
        <f>SUMIFS(Lançamentos!$G:$G,Lançamentos!$A:$A,FO$19,Lançamentos!$C:$C,"Taxas e Anuidades")</f>
        <v>0</v>
      </c>
      <c r="FP66" s="39">
        <f>SUMIFS(Lançamentos!$G:$G,Lançamentos!$A:$A,FP$19,Lançamentos!$C:$C,"Taxas e Anuidades")</f>
        <v>0</v>
      </c>
      <c r="FQ66" s="39">
        <f>SUMIFS(Lançamentos!$G:$G,Lançamentos!$A:$A,FQ$19,Lançamentos!$C:$C,"Taxas e Anuidades")</f>
        <v>0</v>
      </c>
      <c r="FR66" s="39">
        <f>SUMIFS(Lançamentos!$G:$G,Lançamentos!$A:$A,FR$19,Lançamentos!$C:$C,"Taxas e Anuidades")</f>
        <v>0</v>
      </c>
      <c r="FS66" s="39">
        <f>SUMIFS(Lançamentos!$G:$G,Lançamentos!$A:$A,FS$19,Lançamentos!$C:$C,"Taxas e Anuidades")</f>
        <v>0</v>
      </c>
      <c r="FT66" s="39">
        <f>SUMIFS(Lançamentos!$G:$G,Lançamentos!$A:$A,FT$19,Lançamentos!$C:$C,"Taxas e Anuidades")</f>
        <v>0</v>
      </c>
      <c r="FU66" s="39">
        <f>SUMIFS(Lançamentos!$G:$G,Lançamentos!$A:$A,FU$19,Lançamentos!$C:$C,"Taxas e Anuidades")</f>
        <v>0</v>
      </c>
      <c r="FV66" s="39">
        <f>SUMIFS(Lançamentos!$G:$G,Lançamentos!$A:$A,FV$19,Lançamentos!$C:$C,"Taxas e Anuidades")</f>
        <v>0</v>
      </c>
      <c r="FW66" s="39">
        <f>SUMIFS(Lançamentos!$G:$G,Lançamentos!$A:$A,FW$19,Lançamentos!$C:$C,"Taxas e Anuidades")</f>
        <v>0</v>
      </c>
      <c r="FX66" s="39">
        <f>SUMIFS(Lançamentos!$G:$G,Lançamentos!$A:$A,FX$19,Lançamentos!$C:$C,"Taxas e Anuidades")</f>
        <v>0</v>
      </c>
      <c r="FY66" s="39">
        <f>SUMIFS(Lançamentos!$G:$G,Lançamentos!$A:$A,FY$19,Lançamentos!$C:$C,"Taxas e Anuidades")</f>
        <v>0</v>
      </c>
      <c r="FZ66" s="39">
        <f>SUMIFS(Lançamentos!$G:$G,Lançamentos!$A:$A,FZ$19,Lançamentos!$C:$C,"Taxas e Anuidades")</f>
        <v>0</v>
      </c>
      <c r="GA66" s="39">
        <f>SUMIFS(Lançamentos!$G:$G,Lançamentos!$A:$A,GA$19,Lançamentos!$C:$C,"Taxas e Anuidades")</f>
        <v>0</v>
      </c>
      <c r="GB66" s="39">
        <f>SUMIFS(Lançamentos!$G:$G,Lançamentos!$A:$A,GB$19,Lançamentos!$C:$C,"Taxas e Anuidades")</f>
        <v>0</v>
      </c>
      <c r="GC66" s="39">
        <f>SUMIFS(Lançamentos!$G:$G,Lançamentos!$A:$A,GC$19,Lançamentos!$C:$C,"Taxas e Anuidades")</f>
        <v>0</v>
      </c>
      <c r="GD66" s="39">
        <f>SUMIFS(Lançamentos!$G:$G,Lançamentos!$A:$A,GD$19,Lançamentos!$C:$C,"Taxas e Anuidades")</f>
        <v>0</v>
      </c>
      <c r="GE66" s="39">
        <f>SUMIFS(Lançamentos!$G:$G,Lançamentos!$A:$A,GE$19,Lançamentos!$C:$C,"Taxas e Anuidades")</f>
        <v>0</v>
      </c>
      <c r="GF66" s="39">
        <f>SUMIFS(Lançamentos!$G:$G,Lançamentos!$A:$A,GF$19,Lançamentos!$C:$C,"Taxas e Anuidades")</f>
        <v>0</v>
      </c>
      <c r="GG66" s="39">
        <f>SUMIFS(Lançamentos!$G:$G,Lançamentos!$A:$A,GG$19,Lançamentos!$C:$C,"Taxas e Anuidades")</f>
        <v>0</v>
      </c>
      <c r="GH66" s="39">
        <f>SUMIFS(Lançamentos!$G:$G,Lançamentos!$A:$A,GH$19,Lançamentos!$C:$C,"Taxas e Anuidades")</f>
        <v>0</v>
      </c>
      <c r="GI66" s="39">
        <f>SUMIFS(Lançamentos!$G:$G,Lançamentos!$A:$A,GI$19,Lançamentos!$C:$C,"Taxas e Anuidades")</f>
        <v>0</v>
      </c>
      <c r="GJ66" s="39">
        <f>SUMIFS(Lançamentos!$G:$G,Lançamentos!$A:$A,GJ$19,Lançamentos!$C:$C,"Taxas e Anuidades")</f>
        <v>0</v>
      </c>
      <c r="GK66" s="39">
        <f>SUMIFS(Lançamentos!$G:$G,Lançamentos!$A:$A,GK$19,Lançamentos!$C:$C,"Taxas e Anuidades")</f>
        <v>0</v>
      </c>
      <c r="GL66" s="39">
        <f>SUMIFS(Lançamentos!$G:$G,Lançamentos!$A:$A,GL$19,Lançamentos!$C:$C,"Taxas e Anuidades")</f>
        <v>0</v>
      </c>
      <c r="GM66" s="39">
        <f>SUMIFS(Lançamentos!$G:$G,Lançamentos!$A:$A,GM$19,Lançamentos!$C:$C,"Taxas e Anuidades")</f>
        <v>0</v>
      </c>
      <c r="GN66" s="39">
        <f>SUMIFS(Lançamentos!$G:$G,Lançamentos!$A:$A,GN$19,Lançamentos!$C:$C,"Taxas e Anuidades")</f>
        <v>0</v>
      </c>
      <c r="GO66" s="39">
        <f>SUMIFS(Lançamentos!$G:$G,Lançamentos!$A:$A,GO$19,Lançamentos!$C:$C,"Taxas e Anuidades")</f>
        <v>0</v>
      </c>
      <c r="GP66" s="39">
        <f>SUMIFS(Lançamentos!$G:$G,Lançamentos!$A:$A,GP$19,Lançamentos!$C:$C,"Taxas e Anuidades")</f>
        <v>0</v>
      </c>
      <c r="GQ66" s="39">
        <f>SUMIFS(Lançamentos!$G:$G,Lançamentos!$A:$A,GQ$19,Lançamentos!$C:$C,"Taxas e Anuidades")</f>
        <v>0</v>
      </c>
      <c r="GR66" s="39">
        <f>SUMIFS(Lançamentos!$G:$G,Lançamentos!$A:$A,GR$19,Lançamentos!$C:$C,"Taxas e Anuidades")</f>
        <v>0</v>
      </c>
      <c r="GS66" s="39">
        <f>SUMIFS(Lançamentos!$G:$G,Lançamentos!$A:$A,GS$19,Lançamentos!$C:$C,"Taxas e Anuidades")</f>
        <v>0</v>
      </c>
      <c r="GT66" s="39">
        <f>SUMIFS(Lançamentos!$G:$G,Lançamentos!$A:$A,GT$19,Lançamentos!$C:$C,"Taxas e Anuidades")</f>
        <v>0</v>
      </c>
      <c r="GU66" s="39">
        <f>SUMIFS(Lançamentos!$G:$G,Lançamentos!$A:$A,GU$19,Lançamentos!$C:$C,"Taxas e Anuidades")</f>
        <v>0</v>
      </c>
      <c r="GV66" s="39">
        <f>SUMIFS(Lançamentos!$G:$G,Lançamentos!$A:$A,GV$19,Lançamentos!$C:$C,"Taxas e Anuidades")</f>
        <v>0</v>
      </c>
      <c r="GW66" s="39">
        <f>SUMIFS(Lançamentos!$G:$G,Lançamentos!$A:$A,GW$19,Lançamentos!$C:$C,"Taxas e Anuidades")</f>
        <v>0</v>
      </c>
      <c r="GX66" s="39">
        <f>SUMIFS(Lançamentos!$G:$G,Lançamentos!$A:$A,GX$19,Lançamentos!$C:$C,"Taxas e Anuidades")</f>
        <v>0</v>
      </c>
      <c r="GY66" s="39">
        <f>SUMIFS(Lançamentos!$G:$G,Lançamentos!$A:$A,GY$19,Lançamentos!$C:$C,"Taxas e Anuidades")</f>
        <v>0</v>
      </c>
      <c r="GZ66" s="39">
        <f>SUMIFS(Lançamentos!$G:$G,Lançamentos!$A:$A,GZ$19,Lançamentos!$C:$C,"Taxas e Anuidades")</f>
        <v>0</v>
      </c>
      <c r="HA66" s="39">
        <f>SUMIFS(Lançamentos!$G:$G,Lançamentos!$A:$A,HA$19,Lançamentos!$C:$C,"Taxas e Anuidades")</f>
        <v>0</v>
      </c>
      <c r="HB66" s="39">
        <f>SUMIFS(Lançamentos!$G:$G,Lançamentos!$A:$A,HB$19,Lançamentos!$C:$C,"Taxas e Anuidades")</f>
        <v>0</v>
      </c>
      <c r="HC66" s="39">
        <f>SUMIFS(Lançamentos!$G:$G,Lançamentos!$A:$A,HC$19,Lançamentos!$C:$C,"Taxas e Anuidades")</f>
        <v>0</v>
      </c>
      <c r="HD66" s="39">
        <f>SUMIFS(Lançamentos!$G:$G,Lançamentos!$A:$A,HD$19,Lançamentos!$C:$C,"Taxas e Anuidades")</f>
        <v>0</v>
      </c>
      <c r="HE66" s="39">
        <f>SUMIFS(Lançamentos!$G:$G,Lançamentos!$A:$A,HE$19,Lançamentos!$C:$C,"Taxas e Anuidades")</f>
        <v>0</v>
      </c>
      <c r="HF66" s="39">
        <f>SUMIFS(Lançamentos!$G:$G,Lançamentos!$A:$A,HF$19,Lançamentos!$C:$C,"Taxas e Anuidades")</f>
        <v>0</v>
      </c>
      <c r="HG66" s="39">
        <f>SUMIFS(Lançamentos!$G:$G,Lançamentos!$A:$A,HG$19,Lançamentos!$C:$C,"Taxas e Anuidades")</f>
        <v>0</v>
      </c>
      <c r="HH66" s="39">
        <f>SUMIFS(Lançamentos!$G:$G,Lançamentos!$A:$A,HH$19,Lançamentos!$C:$C,"Taxas e Anuidades")</f>
        <v>0</v>
      </c>
      <c r="HI66" s="39">
        <f>SUMIFS(Lançamentos!$G:$G,Lançamentos!$A:$A,HI$19,Lançamentos!$C:$C,"Taxas e Anuidades")</f>
        <v>0</v>
      </c>
      <c r="HJ66" s="39">
        <f>SUMIFS(Lançamentos!$G:$G,Lançamentos!$A:$A,HJ$19,Lançamentos!$C:$C,"Taxas e Anuidades")</f>
        <v>0</v>
      </c>
      <c r="HK66" s="39">
        <f>SUMIFS(Lançamentos!$G:$G,Lançamentos!$A:$A,HK$19,Lançamentos!$C:$C,"Taxas e Anuidades")</f>
        <v>0</v>
      </c>
      <c r="HL66" s="39">
        <f>SUMIFS(Lançamentos!$G:$G,Lançamentos!$A:$A,HL$19,Lançamentos!$C:$C,"Taxas e Anuidades")</f>
        <v>0</v>
      </c>
      <c r="HM66" s="39">
        <f>SUMIFS(Lançamentos!$G:$G,Lançamentos!$A:$A,HM$19,Lançamentos!$C:$C,"Taxas e Anuidades")</f>
        <v>0</v>
      </c>
      <c r="HN66" s="39">
        <f>SUMIFS(Lançamentos!$G:$G,Lançamentos!$A:$A,HN$19,Lançamentos!$C:$C,"Taxas e Anuidades")</f>
        <v>0</v>
      </c>
      <c r="HO66" s="39">
        <f>SUMIFS(Lançamentos!$G:$G,Lançamentos!$A:$A,HO$19,Lançamentos!$C:$C,"Taxas e Anuidades")</f>
        <v>0</v>
      </c>
      <c r="HP66" s="39">
        <f>SUMIFS(Lançamentos!$G:$G,Lançamentos!$A:$A,HP$19,Lançamentos!$C:$C,"Taxas e Anuidades")</f>
        <v>0</v>
      </c>
      <c r="HQ66" s="39">
        <f>SUMIFS(Lançamentos!$G:$G,Lançamentos!$A:$A,HQ$19,Lançamentos!$C:$C,"Taxas e Anuidades")</f>
        <v>0</v>
      </c>
      <c r="HR66" s="39">
        <f>SUMIFS(Lançamentos!$G:$G,Lançamentos!$A:$A,HR$19,Lançamentos!$C:$C,"Taxas e Anuidades")</f>
        <v>0</v>
      </c>
      <c r="HS66" s="39">
        <f>SUMIFS(Lançamentos!$G:$G,Lançamentos!$A:$A,HS$19,Lançamentos!$C:$C,"Taxas e Anuidades")</f>
        <v>0</v>
      </c>
      <c r="HT66" s="39">
        <f>SUMIFS(Lançamentos!$G:$G,Lançamentos!$A:$A,HT$19,Lançamentos!$C:$C,"Taxas e Anuidades")</f>
        <v>0</v>
      </c>
      <c r="HU66" s="39">
        <f>SUMIFS(Lançamentos!$G:$G,Lançamentos!$A:$A,HU$19,Lançamentos!$C:$C,"Taxas e Anuidades")</f>
        <v>0</v>
      </c>
      <c r="HV66" s="39">
        <f>SUMIFS(Lançamentos!$G:$G,Lançamentos!$A:$A,HV$19,Lançamentos!$C:$C,"Taxas e Anuidades")</f>
        <v>0</v>
      </c>
      <c r="HW66" s="39">
        <f>SUMIFS(Lançamentos!$G:$G,Lançamentos!$A:$A,HW$19,Lançamentos!$C:$C,"Taxas e Anuidades")</f>
        <v>0</v>
      </c>
      <c r="HX66" s="39">
        <f>SUMIFS(Lançamentos!$G:$G,Lançamentos!$A:$A,HX$19,Lançamentos!$C:$C,"Taxas e Anuidades")</f>
        <v>0</v>
      </c>
      <c r="HY66" s="39">
        <f>SUMIFS(Lançamentos!$G:$G,Lançamentos!$A:$A,HY$19,Lançamentos!$C:$C,"Taxas e Anuidades")</f>
        <v>0</v>
      </c>
      <c r="HZ66" s="39">
        <f>SUMIFS(Lançamentos!$G:$G,Lançamentos!$A:$A,HZ$19,Lançamentos!$C:$C,"Taxas e Anuidades")</f>
        <v>0</v>
      </c>
      <c r="IA66" s="39">
        <f>SUMIFS(Lançamentos!$G:$G,Lançamentos!$A:$A,IA$19,Lançamentos!$C:$C,"Taxas e Anuidades")</f>
        <v>0</v>
      </c>
      <c r="IB66" s="39">
        <f>SUMIFS(Lançamentos!$G:$G,Lançamentos!$A:$A,IB$19,Lançamentos!$C:$C,"Taxas e Anuidades")</f>
        <v>0</v>
      </c>
      <c r="IC66" s="39">
        <f>SUMIFS(Lançamentos!$G:$G,Lançamentos!$A:$A,IC$19,Lançamentos!$C:$C,"Taxas e Anuidades")</f>
        <v>0</v>
      </c>
      <c r="ID66" s="39">
        <f>SUMIFS(Lançamentos!$G:$G,Lançamentos!$A:$A,ID$19,Lançamentos!$C:$C,"Taxas e Anuidades")</f>
        <v>0</v>
      </c>
      <c r="IE66" s="39">
        <f>SUMIFS(Lançamentos!$G:$G,Lançamentos!$A:$A,IE$19,Lançamentos!$C:$C,"Taxas e Anuidades")</f>
        <v>0</v>
      </c>
      <c r="IF66" s="39">
        <f>SUMIFS(Lançamentos!$G:$G,Lançamentos!$A:$A,IF$19,Lançamentos!$C:$C,"Taxas e Anuidades")</f>
        <v>0</v>
      </c>
      <c r="IG66" s="39">
        <f>SUMIFS(Lançamentos!$G:$G,Lançamentos!$A:$A,IG$19,Lançamentos!$C:$C,"Taxas e Anuidades")</f>
        <v>0</v>
      </c>
      <c r="IH66" s="39">
        <f>SUMIFS(Lançamentos!$G:$G,Lançamentos!$A:$A,IH$19,Lançamentos!$C:$C,"Taxas e Anuidades")</f>
        <v>0</v>
      </c>
      <c r="II66" s="39">
        <f>SUMIFS(Lançamentos!$G:$G,Lançamentos!$A:$A,II$19,Lançamentos!$C:$C,"Taxas e Anuidades")</f>
        <v>0</v>
      </c>
      <c r="IJ66" s="39">
        <f>SUMIFS(Lançamentos!$G:$G,Lançamentos!$A:$A,IJ$19,Lançamentos!$C:$C,"Taxas e Anuidades")</f>
        <v>0</v>
      </c>
      <c r="IK66" s="39">
        <f>SUMIFS(Lançamentos!$G:$G,Lançamentos!$A:$A,IK$19,Lançamentos!$C:$C,"Taxas e Anuidades")</f>
        <v>0</v>
      </c>
      <c r="IL66" s="39">
        <f>SUMIFS(Lançamentos!$G:$G,Lançamentos!$A:$A,IL$19,Lançamentos!$C:$C,"Taxas e Anuidades")</f>
        <v>0</v>
      </c>
    </row>
    <row r="67" spans="1:246" x14ac:dyDescent="0.3">
      <c r="A67" t="s">
        <v>112</v>
      </c>
      <c r="B67" s="39">
        <f>SUMIFS(Lançamentos!$G:$G,Lançamentos!$A:$A,B$19,Lançamentos!$C:$C,"IOF")</f>
        <v>0</v>
      </c>
      <c r="C67" s="39">
        <f>SUMIFS(Lançamentos!$G:$G,Lançamentos!$A:$A,C$19,Lançamentos!$C:$C,"IOF")</f>
        <v>0</v>
      </c>
      <c r="D67" s="39">
        <f>SUMIFS(Lançamentos!$G:$G,Lançamentos!$A:$A,D$19,Lançamentos!$C:$C,"IOF")</f>
        <v>0</v>
      </c>
      <c r="E67" s="39">
        <f>SUMIFS(Lançamentos!$G:$G,Lançamentos!$A:$A,E$19,Lançamentos!$C:$C,"IOF")</f>
        <v>0</v>
      </c>
      <c r="F67" s="39">
        <f>SUMIFS(Lançamentos!$G:$G,Lançamentos!$A:$A,F$19,Lançamentos!$C:$C,"IOF")</f>
        <v>0</v>
      </c>
      <c r="G67" s="39">
        <f>SUMIFS(Lançamentos!$G:$G,Lançamentos!$A:$A,G$19,Lançamentos!$C:$C,"IOF")</f>
        <v>0</v>
      </c>
      <c r="H67" s="39">
        <f>SUMIFS(Lançamentos!$G:$G,Lançamentos!$A:$A,H$19,Lançamentos!$C:$C,"IOF")</f>
        <v>0</v>
      </c>
      <c r="I67" s="39">
        <f>SUMIFS(Lançamentos!$G:$G,Lançamentos!$A:$A,I$19,Lançamentos!$C:$C,"IOF")</f>
        <v>0</v>
      </c>
      <c r="J67" s="39">
        <f>SUMIFS(Lançamentos!$G:$G,Lançamentos!$A:$A,J$19,Lançamentos!$C:$C,"IOF")</f>
        <v>0</v>
      </c>
      <c r="K67" s="39">
        <f>SUMIFS(Lançamentos!$G:$G,Lançamentos!$A:$A,K$19,Lançamentos!$C:$C,"IOF")</f>
        <v>0</v>
      </c>
      <c r="L67" s="39">
        <f>SUMIFS(Lançamentos!$G:$G,Lançamentos!$A:$A,L$19,Lançamentos!$C:$C,"IOF")</f>
        <v>0</v>
      </c>
      <c r="M67" s="39">
        <f>SUMIFS(Lançamentos!$G:$G,Lançamentos!$A:$A,M$19,Lançamentos!$C:$C,"IOF")</f>
        <v>0</v>
      </c>
      <c r="N67" s="39">
        <f>SUMIFS(Lançamentos!$G:$G,Lançamentos!$A:$A,N$19,Lançamentos!$C:$C,"IOF")</f>
        <v>0</v>
      </c>
      <c r="O67" s="39">
        <f>SUMIFS(Lançamentos!$G:$G,Lançamentos!$A:$A,O$19,Lançamentos!$C:$C,"IOF")</f>
        <v>0</v>
      </c>
      <c r="P67" s="39">
        <f>SUMIFS(Lançamentos!$G:$G,Lançamentos!$A:$A,P$19,Lançamentos!$C:$C,"IOF")</f>
        <v>0</v>
      </c>
      <c r="Q67" s="39">
        <f>SUMIFS(Lançamentos!$G:$G,Lançamentos!$A:$A,Q$19,Lançamentos!$C:$C,"IOF")</f>
        <v>0</v>
      </c>
      <c r="R67" s="39">
        <f>SUMIFS(Lançamentos!$G:$G,Lançamentos!$A:$A,R$19,Lançamentos!$C:$C,"IOF")</f>
        <v>0</v>
      </c>
      <c r="S67" s="39">
        <f>SUMIFS(Lançamentos!$G:$G,Lançamentos!$A:$A,S$19,Lançamentos!$C:$C,"IOF")</f>
        <v>0</v>
      </c>
      <c r="T67" s="39">
        <f>SUMIFS(Lançamentos!$G:$G,Lançamentos!$A:$A,T$19,Lançamentos!$C:$C,"IOF")</f>
        <v>0</v>
      </c>
      <c r="U67" s="39">
        <f>SUMIFS(Lançamentos!$G:$G,Lançamentos!$A:$A,U$19,Lançamentos!$C:$C,"IOF")</f>
        <v>0</v>
      </c>
      <c r="V67" s="39">
        <f>SUMIFS(Lançamentos!$G:$G,Lançamentos!$A:$A,V$19,Lançamentos!$C:$C,"IOF")</f>
        <v>0</v>
      </c>
      <c r="W67" s="39">
        <f>SUMIFS(Lançamentos!$G:$G,Lançamentos!$A:$A,W$19,Lançamentos!$C:$C,"IOF")</f>
        <v>0</v>
      </c>
      <c r="X67" s="39">
        <f>SUMIFS(Lançamentos!$G:$G,Lançamentos!$A:$A,X$19,Lançamentos!$C:$C,"IOF")</f>
        <v>0</v>
      </c>
      <c r="Y67" s="39">
        <f>SUMIFS(Lançamentos!$G:$G,Lançamentos!$A:$A,Y$19,Lançamentos!$C:$C,"IOF")</f>
        <v>0</v>
      </c>
      <c r="Z67" s="39">
        <f>SUMIFS(Lançamentos!$G:$G,Lançamentos!$A:$A,Z$19,Lançamentos!$C:$C,"IOF")</f>
        <v>0</v>
      </c>
      <c r="AA67" s="39">
        <f>SUMIFS(Lançamentos!$G:$G,Lançamentos!$A:$A,AA$19,Lançamentos!$C:$C,"IOF")</f>
        <v>0</v>
      </c>
      <c r="AB67" s="39">
        <f>SUMIFS(Lançamentos!$G:$G,Lançamentos!$A:$A,AB$19,Lançamentos!$C:$C,"IOF")</f>
        <v>0</v>
      </c>
      <c r="AC67" s="39">
        <f>SUMIFS(Lançamentos!$G:$G,Lançamentos!$A:$A,AC$19,Lançamentos!$C:$C,"IOF")</f>
        <v>0</v>
      </c>
      <c r="AD67" s="39">
        <f>SUMIFS(Lançamentos!$G:$G,Lançamentos!$A:$A,AD$19,Lançamentos!$C:$C,"IOF")</f>
        <v>0</v>
      </c>
      <c r="AE67" s="39">
        <f>SUMIFS(Lançamentos!$G:$G,Lançamentos!$A:$A,AE$19,Lançamentos!$C:$C,"IOF")</f>
        <v>0</v>
      </c>
      <c r="AF67" s="39">
        <f>SUMIFS(Lançamentos!$G:$G,Lançamentos!$A:$A,AF$19,Lançamentos!$C:$C,"IOF")</f>
        <v>0</v>
      </c>
      <c r="AG67" s="39">
        <f>SUMIFS(Lançamentos!$G:$G,Lançamentos!$A:$A,AG$19,Lançamentos!$C:$C,"IOF")</f>
        <v>0</v>
      </c>
      <c r="AH67" s="39">
        <f>SUMIFS(Lançamentos!$G:$G,Lançamentos!$A:$A,AH$19,Lançamentos!$C:$C,"IOF")</f>
        <v>0</v>
      </c>
      <c r="AI67" s="39">
        <f>SUMIFS(Lançamentos!$G:$G,Lançamentos!$A:$A,AI$19,Lançamentos!$C:$C,"IOF")</f>
        <v>0</v>
      </c>
      <c r="AJ67" s="39">
        <f>SUMIFS(Lançamentos!$G:$G,Lançamentos!$A:$A,AJ$19,Lançamentos!$C:$C,"IOF")</f>
        <v>0</v>
      </c>
      <c r="AK67" s="39">
        <f>SUMIFS(Lançamentos!$G:$G,Lançamentos!$A:$A,AK$19,Lançamentos!$C:$C,"IOF")</f>
        <v>0</v>
      </c>
      <c r="AL67" s="39">
        <f>SUMIFS(Lançamentos!$G:$G,Lançamentos!$A:$A,AL$19,Lançamentos!$C:$C,"IOF")</f>
        <v>0</v>
      </c>
      <c r="AM67" s="39">
        <f>SUMIFS(Lançamentos!$G:$G,Lançamentos!$A:$A,AM$19,Lançamentos!$C:$C,"IOF")</f>
        <v>0</v>
      </c>
      <c r="AN67" s="39">
        <f>SUMIFS(Lançamentos!$G:$G,Lançamentos!$A:$A,AN$19,Lançamentos!$C:$C,"IOF")</f>
        <v>0</v>
      </c>
      <c r="AO67" s="39">
        <f>SUMIFS(Lançamentos!$G:$G,Lançamentos!$A:$A,AO$19,Lançamentos!$C:$C,"IOF")</f>
        <v>0</v>
      </c>
      <c r="AP67" s="39">
        <f>SUMIFS(Lançamentos!$G:$G,Lançamentos!$A:$A,AP$19,Lançamentos!$C:$C,"IOF")</f>
        <v>0</v>
      </c>
      <c r="AQ67" s="39">
        <f>SUMIFS(Lançamentos!$G:$G,Lançamentos!$A:$A,AQ$19,Lançamentos!$C:$C,"IOF")</f>
        <v>0</v>
      </c>
      <c r="AR67" s="39">
        <f>SUMIFS(Lançamentos!$G:$G,Lançamentos!$A:$A,AR$19,Lançamentos!$C:$C,"IOF")</f>
        <v>0</v>
      </c>
      <c r="AS67" s="39">
        <f>SUMIFS(Lançamentos!$G:$G,Lançamentos!$A:$A,AS$19,Lançamentos!$C:$C,"IOF")</f>
        <v>0</v>
      </c>
      <c r="AT67" s="39">
        <f>SUMIFS(Lançamentos!$G:$G,Lançamentos!$A:$A,AT$19,Lançamentos!$C:$C,"IOF")</f>
        <v>0</v>
      </c>
      <c r="AU67" s="39">
        <f>SUMIFS(Lançamentos!$G:$G,Lançamentos!$A:$A,AU$19,Lançamentos!$C:$C,"IOF")</f>
        <v>0</v>
      </c>
      <c r="AV67" s="39">
        <f>SUMIFS(Lançamentos!$G:$G,Lançamentos!$A:$A,AV$19,Lançamentos!$C:$C,"IOF")</f>
        <v>0</v>
      </c>
      <c r="AW67" s="39">
        <f>SUMIFS(Lançamentos!$G:$G,Lançamentos!$A:$A,AW$19,Lançamentos!$C:$C,"IOF")</f>
        <v>0</v>
      </c>
      <c r="AX67" s="39">
        <f>SUMIFS(Lançamentos!$G:$G,Lançamentos!$A:$A,AX$19,Lançamentos!$C:$C,"IOF")</f>
        <v>0</v>
      </c>
      <c r="AY67" s="39">
        <f>SUMIFS(Lançamentos!$G:$G,Lançamentos!$A:$A,AY$19,Lançamentos!$C:$C,"IOF")</f>
        <v>0</v>
      </c>
      <c r="AZ67" s="39">
        <f>SUMIFS(Lançamentos!$G:$G,Lançamentos!$A:$A,AZ$19,Lançamentos!$C:$C,"IOF")</f>
        <v>0</v>
      </c>
      <c r="BA67" s="39">
        <f>SUMIFS(Lançamentos!$G:$G,Lançamentos!$A:$A,BA$19,Lançamentos!$C:$C,"IOF")</f>
        <v>0</v>
      </c>
      <c r="BB67" s="39">
        <f>SUMIFS(Lançamentos!$G:$G,Lançamentos!$A:$A,BB$19,Lançamentos!$C:$C,"IOF")</f>
        <v>0</v>
      </c>
      <c r="BC67" s="39">
        <f>SUMIFS(Lançamentos!$G:$G,Lançamentos!$A:$A,BC$19,Lançamentos!$C:$C,"IOF")</f>
        <v>0</v>
      </c>
      <c r="BD67" s="39">
        <f>SUMIFS(Lançamentos!$G:$G,Lançamentos!$A:$A,BD$19,Lançamentos!$C:$C,"IOF")</f>
        <v>0</v>
      </c>
      <c r="BE67" s="39">
        <f>SUMIFS(Lançamentos!$G:$G,Lançamentos!$A:$A,BE$19,Lançamentos!$C:$C,"IOF")</f>
        <v>0</v>
      </c>
      <c r="BF67" s="39">
        <f>SUMIFS(Lançamentos!$G:$G,Lançamentos!$A:$A,BF$19,Lançamentos!$C:$C,"IOF")</f>
        <v>0</v>
      </c>
      <c r="BG67" s="39">
        <f>SUMIFS(Lançamentos!$G:$G,Lançamentos!$A:$A,BG$19,Lançamentos!$C:$C,"IOF")</f>
        <v>0</v>
      </c>
      <c r="BH67" s="39">
        <f>SUMIFS(Lançamentos!$G:$G,Lançamentos!$A:$A,BH$19,Lançamentos!$C:$C,"IOF")</f>
        <v>0</v>
      </c>
      <c r="BI67" s="39">
        <f>SUMIFS(Lançamentos!$G:$G,Lançamentos!$A:$A,BI$19,Lançamentos!$C:$C,"IOF")</f>
        <v>0</v>
      </c>
      <c r="BJ67" s="39">
        <f>SUMIFS(Lançamentos!$G:$G,Lançamentos!$A:$A,BJ$19,Lançamentos!$C:$C,"IOF")</f>
        <v>0</v>
      </c>
      <c r="BK67" s="39">
        <f>SUMIFS(Lançamentos!$G:$G,Lançamentos!$A:$A,BK$19,Lançamentos!$C:$C,"IOF")</f>
        <v>0</v>
      </c>
      <c r="BL67" s="39">
        <f>SUMIFS(Lançamentos!$G:$G,Lançamentos!$A:$A,BL$19,Lançamentos!$C:$C,"IOF")</f>
        <v>0</v>
      </c>
      <c r="BM67" s="39">
        <f>SUMIFS(Lançamentos!$G:$G,Lançamentos!$A:$A,BM$19,Lançamentos!$C:$C,"IOF")</f>
        <v>0</v>
      </c>
      <c r="BN67" s="39">
        <f>SUMIFS(Lançamentos!$G:$G,Lançamentos!$A:$A,BN$19,Lançamentos!$C:$C,"IOF")</f>
        <v>0</v>
      </c>
      <c r="BO67" s="39">
        <f>SUMIFS(Lançamentos!$G:$G,Lançamentos!$A:$A,BO$19,Lançamentos!$C:$C,"IOF")</f>
        <v>0</v>
      </c>
      <c r="BP67" s="39">
        <f>SUMIFS(Lançamentos!$G:$G,Lançamentos!$A:$A,BP$19,Lançamentos!$C:$C,"IOF")</f>
        <v>0</v>
      </c>
      <c r="BQ67" s="39">
        <f>SUMIFS(Lançamentos!$G:$G,Lançamentos!$A:$A,BQ$19,Lançamentos!$C:$C,"IOF")</f>
        <v>0</v>
      </c>
      <c r="BR67" s="39">
        <f>SUMIFS(Lançamentos!$G:$G,Lançamentos!$A:$A,BR$19,Lançamentos!$C:$C,"IOF")</f>
        <v>0</v>
      </c>
      <c r="BS67" s="39">
        <f>SUMIFS(Lançamentos!$G:$G,Lançamentos!$A:$A,BS$19,Lançamentos!$C:$C,"IOF")</f>
        <v>0</v>
      </c>
      <c r="BT67" s="39">
        <f>SUMIFS(Lançamentos!$G:$G,Lançamentos!$A:$A,BT$19,Lançamentos!$C:$C,"IOF")</f>
        <v>0</v>
      </c>
      <c r="BU67" s="39">
        <f>SUMIFS(Lançamentos!$G:$G,Lançamentos!$A:$A,BU$19,Lançamentos!$C:$C,"IOF")</f>
        <v>0</v>
      </c>
      <c r="BV67" s="39">
        <f>SUMIFS(Lançamentos!$G:$G,Lançamentos!$A:$A,BV$19,Lançamentos!$C:$C,"IOF")</f>
        <v>0</v>
      </c>
      <c r="BW67" s="39">
        <f>SUMIFS(Lançamentos!$G:$G,Lançamentos!$A:$A,BW$19,Lançamentos!$C:$C,"IOF")</f>
        <v>0</v>
      </c>
      <c r="BX67" s="39">
        <f>SUMIFS(Lançamentos!$G:$G,Lançamentos!$A:$A,BX$19,Lançamentos!$C:$C,"IOF")</f>
        <v>0</v>
      </c>
      <c r="BY67" s="39">
        <f>SUMIFS(Lançamentos!$G:$G,Lançamentos!$A:$A,BY$19,Lançamentos!$C:$C,"IOF")</f>
        <v>0</v>
      </c>
      <c r="BZ67" s="39">
        <f>SUMIFS(Lançamentos!$G:$G,Lançamentos!$A:$A,BZ$19,Lançamentos!$C:$C,"IOF")</f>
        <v>0</v>
      </c>
      <c r="CA67" s="39">
        <f>SUMIFS(Lançamentos!$G:$G,Lançamentos!$A:$A,CA$19,Lançamentos!$C:$C,"IOF")</f>
        <v>0</v>
      </c>
      <c r="CB67" s="39">
        <f>SUMIFS(Lançamentos!$G:$G,Lançamentos!$A:$A,CB$19,Lançamentos!$C:$C,"IOF")</f>
        <v>0</v>
      </c>
      <c r="CC67" s="39">
        <f>SUMIFS(Lançamentos!$G:$G,Lançamentos!$A:$A,CC$19,Lançamentos!$C:$C,"IOF")</f>
        <v>0</v>
      </c>
      <c r="CD67" s="39">
        <f>SUMIFS(Lançamentos!$G:$G,Lançamentos!$A:$A,CD$19,Lançamentos!$C:$C,"IOF")</f>
        <v>0</v>
      </c>
      <c r="CE67" s="39">
        <f>SUMIFS(Lançamentos!$G:$G,Lançamentos!$A:$A,CE$19,Lançamentos!$C:$C,"IOF")</f>
        <v>0</v>
      </c>
      <c r="CF67" s="39">
        <f>SUMIFS(Lançamentos!$G:$G,Lançamentos!$A:$A,CF$19,Lançamentos!$C:$C,"IOF")</f>
        <v>0</v>
      </c>
      <c r="CG67" s="39">
        <f>SUMIFS(Lançamentos!$G:$G,Lançamentos!$A:$A,CG$19,Lançamentos!$C:$C,"IOF")</f>
        <v>0</v>
      </c>
      <c r="CH67" s="39">
        <f>SUMIFS(Lançamentos!$G:$G,Lançamentos!$A:$A,CH$19,Lançamentos!$C:$C,"IOF")</f>
        <v>0</v>
      </c>
      <c r="CI67" s="39">
        <f>SUMIFS(Lançamentos!$G:$G,Lançamentos!$A:$A,CI$19,Lançamentos!$C:$C,"IOF")</f>
        <v>0</v>
      </c>
      <c r="CJ67" s="39">
        <f>SUMIFS(Lançamentos!$G:$G,Lançamentos!$A:$A,CJ$19,Lançamentos!$C:$C,"IOF")</f>
        <v>0</v>
      </c>
      <c r="CK67" s="39">
        <f>SUMIFS(Lançamentos!$G:$G,Lançamentos!$A:$A,CK$19,Lançamentos!$C:$C,"IOF")</f>
        <v>0</v>
      </c>
      <c r="CL67" s="39">
        <f>SUMIFS(Lançamentos!$G:$G,Lançamentos!$A:$A,CL$19,Lançamentos!$C:$C,"IOF")</f>
        <v>0</v>
      </c>
      <c r="CM67" s="39">
        <f>SUMIFS(Lançamentos!$G:$G,Lançamentos!$A:$A,CM$19,Lançamentos!$C:$C,"IOF")</f>
        <v>0</v>
      </c>
      <c r="CN67" s="39">
        <f>SUMIFS(Lançamentos!$G:$G,Lançamentos!$A:$A,CN$19,Lançamentos!$C:$C,"IOF")</f>
        <v>0</v>
      </c>
      <c r="CO67" s="39">
        <f>SUMIFS(Lançamentos!$G:$G,Lançamentos!$A:$A,CO$19,Lançamentos!$C:$C,"IOF")</f>
        <v>0</v>
      </c>
      <c r="CP67" s="39">
        <f>SUMIFS(Lançamentos!$G:$G,Lançamentos!$A:$A,CP$19,Lançamentos!$C:$C,"IOF")</f>
        <v>0</v>
      </c>
      <c r="CQ67" s="39">
        <f>SUMIFS(Lançamentos!$G:$G,Lançamentos!$A:$A,CQ$19,Lançamentos!$C:$C,"IOF")</f>
        <v>0</v>
      </c>
      <c r="CR67" s="39">
        <f>SUMIFS(Lançamentos!$G:$G,Lançamentos!$A:$A,CR$19,Lançamentos!$C:$C,"IOF")</f>
        <v>0</v>
      </c>
      <c r="CS67" s="39">
        <f>SUMIFS(Lançamentos!$G:$G,Lançamentos!$A:$A,CS$19,Lançamentos!$C:$C,"IOF")</f>
        <v>0</v>
      </c>
      <c r="CT67" s="39">
        <f>SUMIFS(Lançamentos!$G:$G,Lançamentos!$A:$A,CT$19,Lançamentos!$C:$C,"IOF")</f>
        <v>0</v>
      </c>
      <c r="CU67" s="39">
        <f>SUMIFS(Lançamentos!$G:$G,Lançamentos!$A:$A,CU$19,Lançamentos!$C:$C,"IOF")</f>
        <v>0</v>
      </c>
      <c r="CV67" s="39">
        <f>SUMIFS(Lançamentos!$G:$G,Lançamentos!$A:$A,CV$19,Lançamentos!$C:$C,"IOF")</f>
        <v>0</v>
      </c>
      <c r="CW67" s="39">
        <f>SUMIFS(Lançamentos!$G:$G,Lançamentos!$A:$A,CW$19,Lançamentos!$C:$C,"IOF")</f>
        <v>0</v>
      </c>
      <c r="CX67" s="39">
        <f>SUMIFS(Lançamentos!$G:$G,Lançamentos!$A:$A,CX$19,Lançamentos!$C:$C,"IOF")</f>
        <v>0</v>
      </c>
      <c r="CY67" s="39">
        <f>SUMIFS(Lançamentos!$G:$G,Lançamentos!$A:$A,CY$19,Lançamentos!$C:$C,"IOF")</f>
        <v>0</v>
      </c>
      <c r="CZ67" s="39">
        <f>SUMIFS(Lançamentos!$G:$G,Lançamentos!$A:$A,CZ$19,Lançamentos!$C:$C,"IOF")</f>
        <v>0</v>
      </c>
      <c r="DA67" s="39">
        <f>SUMIFS(Lançamentos!$G:$G,Lançamentos!$A:$A,DA$19,Lançamentos!$C:$C,"IOF")</f>
        <v>0</v>
      </c>
      <c r="DB67" s="39">
        <f>SUMIFS(Lançamentos!$G:$G,Lançamentos!$A:$A,DB$19,Lançamentos!$C:$C,"IOF")</f>
        <v>0</v>
      </c>
      <c r="DC67" s="39">
        <f>SUMIFS(Lançamentos!$G:$G,Lançamentos!$A:$A,DC$19,Lançamentos!$C:$C,"IOF")</f>
        <v>0</v>
      </c>
      <c r="DD67" s="39">
        <f>SUMIFS(Lançamentos!$G:$G,Lançamentos!$A:$A,DD$19,Lançamentos!$C:$C,"IOF")</f>
        <v>0</v>
      </c>
      <c r="DE67" s="39">
        <f>SUMIFS(Lançamentos!$G:$G,Lançamentos!$A:$A,DE$19,Lançamentos!$C:$C,"IOF")</f>
        <v>0</v>
      </c>
      <c r="DF67" s="39">
        <f>SUMIFS(Lançamentos!$G:$G,Lançamentos!$A:$A,DF$19,Lançamentos!$C:$C,"IOF")</f>
        <v>0</v>
      </c>
      <c r="DG67" s="39">
        <f>SUMIFS(Lançamentos!$G:$G,Lançamentos!$A:$A,DG$19,Lançamentos!$C:$C,"IOF")</f>
        <v>0</v>
      </c>
      <c r="DH67" s="39">
        <f>SUMIFS(Lançamentos!$G:$G,Lançamentos!$A:$A,DH$19,Lançamentos!$C:$C,"IOF")</f>
        <v>0</v>
      </c>
      <c r="DI67" s="39">
        <f>SUMIFS(Lançamentos!$G:$G,Lançamentos!$A:$A,DI$19,Lançamentos!$C:$C,"IOF")</f>
        <v>0</v>
      </c>
      <c r="DJ67" s="39">
        <f>SUMIFS(Lançamentos!$G:$G,Lançamentos!$A:$A,DJ$19,Lançamentos!$C:$C,"IOF")</f>
        <v>0</v>
      </c>
      <c r="DK67" s="39">
        <f>SUMIFS(Lançamentos!$G:$G,Lançamentos!$A:$A,DK$19,Lançamentos!$C:$C,"IOF")</f>
        <v>0</v>
      </c>
      <c r="DL67" s="39">
        <f>SUMIFS(Lançamentos!$G:$G,Lançamentos!$A:$A,DL$19,Lançamentos!$C:$C,"IOF")</f>
        <v>0</v>
      </c>
      <c r="DM67" s="39">
        <f>SUMIFS(Lançamentos!$G:$G,Lançamentos!$A:$A,DM$19,Lançamentos!$C:$C,"IOF")</f>
        <v>0</v>
      </c>
      <c r="DN67" s="39">
        <f>SUMIFS(Lançamentos!$G:$G,Lançamentos!$A:$A,DN$19,Lançamentos!$C:$C,"IOF")</f>
        <v>0</v>
      </c>
      <c r="DO67" s="39">
        <f>SUMIFS(Lançamentos!$G:$G,Lançamentos!$A:$A,DO$19,Lançamentos!$C:$C,"IOF")</f>
        <v>0</v>
      </c>
      <c r="DP67" s="39">
        <f>SUMIFS(Lançamentos!$G:$G,Lançamentos!$A:$A,DP$19,Lançamentos!$C:$C,"IOF")</f>
        <v>0</v>
      </c>
      <c r="DQ67" s="39">
        <f>SUMIFS(Lançamentos!$G:$G,Lançamentos!$A:$A,DQ$19,Lançamentos!$C:$C,"IOF")</f>
        <v>0</v>
      </c>
      <c r="DR67" s="39">
        <f>SUMIFS(Lançamentos!$G:$G,Lançamentos!$A:$A,DR$19,Lançamentos!$C:$C,"IOF")</f>
        <v>0</v>
      </c>
      <c r="DS67" s="39">
        <f>SUMIFS(Lançamentos!$G:$G,Lançamentos!$A:$A,DS$19,Lançamentos!$C:$C,"IOF")</f>
        <v>0</v>
      </c>
      <c r="DT67" s="39">
        <f>SUMIFS(Lançamentos!$G:$G,Lançamentos!$A:$A,DT$19,Lançamentos!$C:$C,"IOF")</f>
        <v>0</v>
      </c>
      <c r="DU67" s="39">
        <f>SUMIFS(Lançamentos!$G:$G,Lançamentos!$A:$A,DU$19,Lançamentos!$C:$C,"IOF")</f>
        <v>0</v>
      </c>
      <c r="DV67" s="39">
        <f>SUMIFS(Lançamentos!$G:$G,Lançamentos!$A:$A,DV$19,Lançamentos!$C:$C,"IOF")</f>
        <v>0</v>
      </c>
      <c r="DW67" s="39">
        <f>SUMIFS(Lançamentos!$G:$G,Lançamentos!$A:$A,DW$19,Lançamentos!$C:$C,"IOF")</f>
        <v>0</v>
      </c>
      <c r="DX67" s="39">
        <f>SUMIFS(Lançamentos!$G:$G,Lançamentos!$A:$A,DX$19,Lançamentos!$C:$C,"IOF")</f>
        <v>0</v>
      </c>
      <c r="DY67" s="39">
        <f>SUMIFS(Lançamentos!$G:$G,Lançamentos!$A:$A,DY$19,Lançamentos!$C:$C,"IOF")</f>
        <v>0</v>
      </c>
      <c r="DZ67" s="39">
        <f>SUMIFS(Lançamentos!$G:$G,Lançamentos!$A:$A,DZ$19,Lançamentos!$C:$C,"IOF")</f>
        <v>0</v>
      </c>
      <c r="EA67" s="39">
        <f>SUMIFS(Lançamentos!$G:$G,Lançamentos!$A:$A,EA$19,Lançamentos!$C:$C,"IOF")</f>
        <v>0</v>
      </c>
      <c r="EB67" s="39">
        <f>SUMIFS(Lançamentos!$G:$G,Lançamentos!$A:$A,EB$19,Lançamentos!$C:$C,"IOF")</f>
        <v>0</v>
      </c>
      <c r="EC67" s="39">
        <f>SUMIFS(Lançamentos!$G:$G,Lançamentos!$A:$A,EC$19,Lançamentos!$C:$C,"IOF")</f>
        <v>0</v>
      </c>
      <c r="ED67" s="39">
        <f>SUMIFS(Lançamentos!$G:$G,Lançamentos!$A:$A,ED$19,Lançamentos!$C:$C,"IOF")</f>
        <v>0</v>
      </c>
      <c r="EE67" s="39">
        <f>SUMIFS(Lançamentos!$G:$G,Lançamentos!$A:$A,EE$19,Lançamentos!$C:$C,"IOF")</f>
        <v>0</v>
      </c>
      <c r="EF67" s="39">
        <f>SUMIFS(Lançamentos!$G:$G,Lançamentos!$A:$A,EF$19,Lançamentos!$C:$C,"IOF")</f>
        <v>0</v>
      </c>
      <c r="EG67" s="39">
        <f>SUMIFS(Lançamentos!$G:$G,Lançamentos!$A:$A,EG$19,Lançamentos!$C:$C,"IOF")</f>
        <v>0</v>
      </c>
      <c r="EH67" s="39">
        <f>SUMIFS(Lançamentos!$G:$G,Lançamentos!$A:$A,EH$19,Lançamentos!$C:$C,"IOF")</f>
        <v>0</v>
      </c>
      <c r="EI67" s="39">
        <f>SUMIFS(Lançamentos!$G:$G,Lançamentos!$A:$A,EI$19,Lançamentos!$C:$C,"IOF")</f>
        <v>0</v>
      </c>
      <c r="EJ67" s="39">
        <f>SUMIFS(Lançamentos!$G:$G,Lançamentos!$A:$A,EJ$19,Lançamentos!$C:$C,"IOF")</f>
        <v>0</v>
      </c>
      <c r="EK67" s="39">
        <f>SUMIFS(Lançamentos!$G:$G,Lançamentos!$A:$A,EK$19,Lançamentos!$C:$C,"IOF")</f>
        <v>0</v>
      </c>
      <c r="EL67" s="39">
        <f>SUMIFS(Lançamentos!$G:$G,Lançamentos!$A:$A,EL$19,Lançamentos!$C:$C,"IOF")</f>
        <v>0</v>
      </c>
      <c r="EM67" s="39">
        <f>SUMIFS(Lançamentos!$G:$G,Lançamentos!$A:$A,EM$19,Lançamentos!$C:$C,"IOF")</f>
        <v>0</v>
      </c>
      <c r="EN67" s="39">
        <f>SUMIFS(Lançamentos!$G:$G,Lançamentos!$A:$A,EN$19,Lançamentos!$C:$C,"IOF")</f>
        <v>0</v>
      </c>
      <c r="EO67" s="39">
        <f>SUMIFS(Lançamentos!$G:$G,Lançamentos!$A:$A,EO$19,Lançamentos!$C:$C,"IOF")</f>
        <v>0</v>
      </c>
      <c r="EP67" s="39">
        <f>SUMIFS(Lançamentos!$G:$G,Lançamentos!$A:$A,EP$19,Lançamentos!$C:$C,"IOF")</f>
        <v>0</v>
      </c>
      <c r="EQ67" s="39">
        <f>SUMIFS(Lançamentos!$G:$G,Lançamentos!$A:$A,EQ$19,Lançamentos!$C:$C,"IOF")</f>
        <v>0</v>
      </c>
      <c r="ER67" s="39">
        <f>SUMIFS(Lançamentos!$G:$G,Lançamentos!$A:$A,ER$19,Lançamentos!$C:$C,"IOF")</f>
        <v>0</v>
      </c>
      <c r="ES67" s="39">
        <f>SUMIFS(Lançamentos!$G:$G,Lançamentos!$A:$A,ES$19,Lançamentos!$C:$C,"IOF")</f>
        <v>0</v>
      </c>
      <c r="ET67" s="39">
        <f>SUMIFS(Lançamentos!$G:$G,Lançamentos!$A:$A,ET$19,Lançamentos!$C:$C,"IOF")</f>
        <v>0</v>
      </c>
      <c r="EU67" s="39">
        <f>SUMIFS(Lançamentos!$G:$G,Lançamentos!$A:$A,EU$19,Lançamentos!$C:$C,"IOF")</f>
        <v>0</v>
      </c>
      <c r="EV67" s="39">
        <f>SUMIFS(Lançamentos!$G:$G,Lançamentos!$A:$A,EV$19,Lançamentos!$C:$C,"IOF")</f>
        <v>0</v>
      </c>
      <c r="EW67" s="39">
        <f>SUMIFS(Lançamentos!$G:$G,Lançamentos!$A:$A,EW$19,Lançamentos!$C:$C,"IOF")</f>
        <v>0</v>
      </c>
      <c r="EX67" s="39">
        <f>SUMIFS(Lançamentos!$G:$G,Lançamentos!$A:$A,EX$19,Lançamentos!$C:$C,"IOF")</f>
        <v>0</v>
      </c>
      <c r="EY67" s="39">
        <f>SUMIFS(Lançamentos!$G:$G,Lançamentos!$A:$A,EY$19,Lançamentos!$C:$C,"IOF")</f>
        <v>0</v>
      </c>
      <c r="EZ67" s="39">
        <f>SUMIFS(Lançamentos!$G:$G,Lançamentos!$A:$A,EZ$19,Lançamentos!$C:$C,"IOF")</f>
        <v>0</v>
      </c>
      <c r="FA67" s="39">
        <f>SUMIFS(Lançamentos!$G:$G,Lançamentos!$A:$A,FA$19,Lançamentos!$C:$C,"IOF")</f>
        <v>0</v>
      </c>
      <c r="FB67" s="39">
        <f>SUMIFS(Lançamentos!$G:$G,Lançamentos!$A:$A,FB$19,Lançamentos!$C:$C,"IOF")</f>
        <v>0</v>
      </c>
      <c r="FC67" s="39">
        <f>SUMIFS(Lançamentos!$G:$G,Lançamentos!$A:$A,FC$19,Lançamentos!$C:$C,"IOF")</f>
        <v>0</v>
      </c>
      <c r="FD67" s="39">
        <f>SUMIFS(Lançamentos!$G:$G,Lançamentos!$A:$A,FD$19,Lançamentos!$C:$C,"IOF")</f>
        <v>0</v>
      </c>
      <c r="FE67" s="39">
        <f>SUMIFS(Lançamentos!$G:$G,Lançamentos!$A:$A,FE$19,Lançamentos!$C:$C,"IOF")</f>
        <v>0</v>
      </c>
      <c r="FF67" s="39">
        <f>SUMIFS(Lançamentos!$G:$G,Lançamentos!$A:$A,FF$19,Lançamentos!$C:$C,"IOF")</f>
        <v>0</v>
      </c>
      <c r="FG67" s="39">
        <f>SUMIFS(Lançamentos!$G:$G,Lançamentos!$A:$A,FG$19,Lançamentos!$C:$C,"IOF")</f>
        <v>0</v>
      </c>
      <c r="FH67" s="39">
        <f>SUMIFS(Lançamentos!$G:$G,Lançamentos!$A:$A,FH$19,Lançamentos!$C:$C,"IOF")</f>
        <v>0</v>
      </c>
      <c r="FI67" s="39">
        <f>SUMIFS(Lançamentos!$G:$G,Lançamentos!$A:$A,FI$19,Lançamentos!$C:$C,"IOF")</f>
        <v>0</v>
      </c>
      <c r="FJ67" s="39">
        <f>SUMIFS(Lançamentos!$G:$G,Lançamentos!$A:$A,FJ$19,Lançamentos!$C:$C,"IOF")</f>
        <v>0</v>
      </c>
      <c r="FK67" s="39">
        <f>SUMIFS(Lançamentos!$G:$G,Lançamentos!$A:$A,FK$19,Lançamentos!$C:$C,"IOF")</f>
        <v>0</v>
      </c>
      <c r="FL67" s="39">
        <f>SUMIFS(Lançamentos!$G:$G,Lançamentos!$A:$A,FL$19,Lançamentos!$C:$C,"IOF")</f>
        <v>0</v>
      </c>
      <c r="FM67" s="39">
        <f>SUMIFS(Lançamentos!$G:$G,Lançamentos!$A:$A,FM$19,Lançamentos!$C:$C,"IOF")</f>
        <v>0</v>
      </c>
      <c r="FN67" s="39">
        <f>SUMIFS(Lançamentos!$G:$G,Lançamentos!$A:$A,FN$19,Lançamentos!$C:$C,"IOF")</f>
        <v>0</v>
      </c>
      <c r="FO67" s="39">
        <f>SUMIFS(Lançamentos!$G:$G,Lançamentos!$A:$A,FO$19,Lançamentos!$C:$C,"IOF")</f>
        <v>0</v>
      </c>
      <c r="FP67" s="39">
        <f>SUMIFS(Lançamentos!$G:$G,Lançamentos!$A:$A,FP$19,Lançamentos!$C:$C,"IOF")</f>
        <v>0</v>
      </c>
      <c r="FQ67" s="39">
        <f>SUMIFS(Lançamentos!$G:$G,Lançamentos!$A:$A,FQ$19,Lançamentos!$C:$C,"IOF")</f>
        <v>0</v>
      </c>
      <c r="FR67" s="39">
        <f>SUMIFS(Lançamentos!$G:$G,Lançamentos!$A:$A,FR$19,Lançamentos!$C:$C,"IOF")</f>
        <v>0</v>
      </c>
      <c r="FS67" s="39">
        <f>SUMIFS(Lançamentos!$G:$G,Lançamentos!$A:$A,FS$19,Lançamentos!$C:$C,"IOF")</f>
        <v>0</v>
      </c>
      <c r="FT67" s="39">
        <f>SUMIFS(Lançamentos!$G:$G,Lançamentos!$A:$A,FT$19,Lançamentos!$C:$C,"IOF")</f>
        <v>0</v>
      </c>
      <c r="FU67" s="39">
        <f>SUMIFS(Lançamentos!$G:$G,Lançamentos!$A:$A,FU$19,Lançamentos!$C:$C,"IOF")</f>
        <v>0</v>
      </c>
      <c r="FV67" s="39">
        <f>SUMIFS(Lançamentos!$G:$G,Lançamentos!$A:$A,FV$19,Lançamentos!$C:$C,"IOF")</f>
        <v>0</v>
      </c>
      <c r="FW67" s="39">
        <f>SUMIFS(Lançamentos!$G:$G,Lançamentos!$A:$A,FW$19,Lançamentos!$C:$C,"IOF")</f>
        <v>0</v>
      </c>
      <c r="FX67" s="39">
        <f>SUMIFS(Lançamentos!$G:$G,Lançamentos!$A:$A,FX$19,Lançamentos!$C:$C,"IOF")</f>
        <v>0</v>
      </c>
      <c r="FY67" s="39">
        <f>SUMIFS(Lançamentos!$G:$G,Lançamentos!$A:$A,FY$19,Lançamentos!$C:$C,"IOF")</f>
        <v>0</v>
      </c>
      <c r="FZ67" s="39">
        <f>SUMIFS(Lançamentos!$G:$G,Lançamentos!$A:$A,FZ$19,Lançamentos!$C:$C,"IOF")</f>
        <v>0</v>
      </c>
      <c r="GA67" s="39">
        <f>SUMIFS(Lançamentos!$G:$G,Lançamentos!$A:$A,GA$19,Lançamentos!$C:$C,"IOF")</f>
        <v>0</v>
      </c>
      <c r="GB67" s="39">
        <f>SUMIFS(Lançamentos!$G:$G,Lançamentos!$A:$A,GB$19,Lançamentos!$C:$C,"IOF")</f>
        <v>0</v>
      </c>
      <c r="GC67" s="39">
        <f>SUMIFS(Lançamentos!$G:$G,Lançamentos!$A:$A,GC$19,Lançamentos!$C:$C,"IOF")</f>
        <v>0</v>
      </c>
      <c r="GD67" s="39">
        <f>SUMIFS(Lançamentos!$G:$G,Lançamentos!$A:$A,GD$19,Lançamentos!$C:$C,"IOF")</f>
        <v>0</v>
      </c>
      <c r="GE67" s="39">
        <f>SUMIFS(Lançamentos!$G:$G,Lançamentos!$A:$A,GE$19,Lançamentos!$C:$C,"IOF")</f>
        <v>0</v>
      </c>
      <c r="GF67" s="39">
        <f>SUMIFS(Lançamentos!$G:$G,Lançamentos!$A:$A,GF$19,Lançamentos!$C:$C,"IOF")</f>
        <v>0</v>
      </c>
      <c r="GG67" s="39">
        <f>SUMIFS(Lançamentos!$G:$G,Lançamentos!$A:$A,GG$19,Lançamentos!$C:$C,"IOF")</f>
        <v>0</v>
      </c>
      <c r="GH67" s="39">
        <f>SUMIFS(Lançamentos!$G:$G,Lançamentos!$A:$A,GH$19,Lançamentos!$C:$C,"IOF")</f>
        <v>0</v>
      </c>
      <c r="GI67" s="39">
        <f>SUMIFS(Lançamentos!$G:$G,Lançamentos!$A:$A,GI$19,Lançamentos!$C:$C,"IOF")</f>
        <v>0</v>
      </c>
      <c r="GJ67" s="39">
        <f>SUMIFS(Lançamentos!$G:$G,Lançamentos!$A:$A,GJ$19,Lançamentos!$C:$C,"IOF")</f>
        <v>0</v>
      </c>
      <c r="GK67" s="39">
        <f>SUMIFS(Lançamentos!$G:$G,Lançamentos!$A:$A,GK$19,Lançamentos!$C:$C,"IOF")</f>
        <v>0</v>
      </c>
      <c r="GL67" s="39">
        <f>SUMIFS(Lançamentos!$G:$G,Lançamentos!$A:$A,GL$19,Lançamentos!$C:$C,"IOF")</f>
        <v>0</v>
      </c>
      <c r="GM67" s="39">
        <f>SUMIFS(Lançamentos!$G:$G,Lançamentos!$A:$A,GM$19,Lançamentos!$C:$C,"IOF")</f>
        <v>0</v>
      </c>
      <c r="GN67" s="39">
        <f>SUMIFS(Lançamentos!$G:$G,Lançamentos!$A:$A,GN$19,Lançamentos!$C:$C,"IOF")</f>
        <v>0</v>
      </c>
      <c r="GO67" s="39">
        <f>SUMIFS(Lançamentos!$G:$G,Lançamentos!$A:$A,GO$19,Lançamentos!$C:$C,"IOF")</f>
        <v>0</v>
      </c>
      <c r="GP67" s="39">
        <f>SUMIFS(Lançamentos!$G:$G,Lançamentos!$A:$A,GP$19,Lançamentos!$C:$C,"IOF")</f>
        <v>0</v>
      </c>
      <c r="GQ67" s="39">
        <f>SUMIFS(Lançamentos!$G:$G,Lançamentos!$A:$A,GQ$19,Lançamentos!$C:$C,"IOF")</f>
        <v>0</v>
      </c>
      <c r="GR67" s="39">
        <f>SUMIFS(Lançamentos!$G:$G,Lançamentos!$A:$A,GR$19,Lançamentos!$C:$C,"IOF")</f>
        <v>0</v>
      </c>
      <c r="GS67" s="39">
        <f>SUMIFS(Lançamentos!$G:$G,Lançamentos!$A:$A,GS$19,Lançamentos!$C:$C,"IOF")</f>
        <v>0</v>
      </c>
      <c r="GT67" s="39">
        <f>SUMIFS(Lançamentos!$G:$G,Lançamentos!$A:$A,GT$19,Lançamentos!$C:$C,"IOF")</f>
        <v>0</v>
      </c>
      <c r="GU67" s="39">
        <f>SUMIFS(Lançamentos!$G:$G,Lançamentos!$A:$A,GU$19,Lançamentos!$C:$C,"IOF")</f>
        <v>0</v>
      </c>
      <c r="GV67" s="39">
        <f>SUMIFS(Lançamentos!$G:$G,Lançamentos!$A:$A,GV$19,Lançamentos!$C:$C,"IOF")</f>
        <v>0</v>
      </c>
      <c r="GW67" s="39">
        <f>SUMIFS(Lançamentos!$G:$G,Lançamentos!$A:$A,GW$19,Lançamentos!$C:$C,"IOF")</f>
        <v>0</v>
      </c>
      <c r="GX67" s="39">
        <f>SUMIFS(Lançamentos!$G:$G,Lançamentos!$A:$A,GX$19,Lançamentos!$C:$C,"IOF")</f>
        <v>0</v>
      </c>
      <c r="GY67" s="39">
        <f>SUMIFS(Lançamentos!$G:$G,Lançamentos!$A:$A,GY$19,Lançamentos!$C:$C,"IOF")</f>
        <v>0</v>
      </c>
      <c r="GZ67" s="39">
        <f>SUMIFS(Lançamentos!$G:$G,Lançamentos!$A:$A,GZ$19,Lançamentos!$C:$C,"IOF")</f>
        <v>0</v>
      </c>
      <c r="HA67" s="39">
        <f>SUMIFS(Lançamentos!$G:$G,Lançamentos!$A:$A,HA$19,Lançamentos!$C:$C,"IOF")</f>
        <v>0</v>
      </c>
      <c r="HB67" s="39">
        <f>SUMIFS(Lançamentos!$G:$G,Lançamentos!$A:$A,HB$19,Lançamentos!$C:$C,"IOF")</f>
        <v>0</v>
      </c>
      <c r="HC67" s="39">
        <f>SUMIFS(Lançamentos!$G:$G,Lançamentos!$A:$A,HC$19,Lançamentos!$C:$C,"IOF")</f>
        <v>0</v>
      </c>
      <c r="HD67" s="39">
        <f>SUMIFS(Lançamentos!$G:$G,Lançamentos!$A:$A,HD$19,Lançamentos!$C:$C,"IOF")</f>
        <v>0</v>
      </c>
      <c r="HE67" s="39">
        <f>SUMIFS(Lançamentos!$G:$G,Lançamentos!$A:$A,HE$19,Lançamentos!$C:$C,"IOF")</f>
        <v>0</v>
      </c>
      <c r="HF67" s="39">
        <f>SUMIFS(Lançamentos!$G:$G,Lançamentos!$A:$A,HF$19,Lançamentos!$C:$C,"IOF")</f>
        <v>0</v>
      </c>
      <c r="HG67" s="39">
        <f>SUMIFS(Lançamentos!$G:$G,Lançamentos!$A:$A,HG$19,Lançamentos!$C:$C,"IOF")</f>
        <v>0</v>
      </c>
      <c r="HH67" s="39">
        <f>SUMIFS(Lançamentos!$G:$G,Lançamentos!$A:$A,HH$19,Lançamentos!$C:$C,"IOF")</f>
        <v>0</v>
      </c>
      <c r="HI67" s="39">
        <f>SUMIFS(Lançamentos!$G:$G,Lançamentos!$A:$A,HI$19,Lançamentos!$C:$C,"IOF")</f>
        <v>0</v>
      </c>
      <c r="HJ67" s="39">
        <f>SUMIFS(Lançamentos!$G:$G,Lançamentos!$A:$A,HJ$19,Lançamentos!$C:$C,"IOF")</f>
        <v>0</v>
      </c>
      <c r="HK67" s="39">
        <f>SUMIFS(Lançamentos!$G:$G,Lançamentos!$A:$A,HK$19,Lançamentos!$C:$C,"IOF")</f>
        <v>0</v>
      </c>
      <c r="HL67" s="39">
        <f>SUMIFS(Lançamentos!$G:$G,Lançamentos!$A:$A,HL$19,Lançamentos!$C:$C,"IOF")</f>
        <v>0</v>
      </c>
      <c r="HM67" s="39">
        <f>SUMIFS(Lançamentos!$G:$G,Lançamentos!$A:$A,HM$19,Lançamentos!$C:$C,"IOF")</f>
        <v>0</v>
      </c>
      <c r="HN67" s="39">
        <f>SUMIFS(Lançamentos!$G:$G,Lançamentos!$A:$A,HN$19,Lançamentos!$C:$C,"IOF")</f>
        <v>0</v>
      </c>
      <c r="HO67" s="39">
        <f>SUMIFS(Lançamentos!$G:$G,Lançamentos!$A:$A,HO$19,Lançamentos!$C:$C,"IOF")</f>
        <v>0</v>
      </c>
      <c r="HP67" s="39">
        <f>SUMIFS(Lançamentos!$G:$G,Lançamentos!$A:$A,HP$19,Lançamentos!$C:$C,"IOF")</f>
        <v>0</v>
      </c>
      <c r="HQ67" s="39">
        <f>SUMIFS(Lançamentos!$G:$G,Lançamentos!$A:$A,HQ$19,Lançamentos!$C:$C,"IOF")</f>
        <v>0</v>
      </c>
      <c r="HR67" s="39">
        <f>SUMIFS(Lançamentos!$G:$G,Lançamentos!$A:$A,HR$19,Lançamentos!$C:$C,"IOF")</f>
        <v>0</v>
      </c>
      <c r="HS67" s="39">
        <f>SUMIFS(Lançamentos!$G:$G,Lançamentos!$A:$A,HS$19,Lançamentos!$C:$C,"IOF")</f>
        <v>0</v>
      </c>
      <c r="HT67" s="39">
        <f>SUMIFS(Lançamentos!$G:$G,Lançamentos!$A:$A,HT$19,Lançamentos!$C:$C,"IOF")</f>
        <v>0</v>
      </c>
      <c r="HU67" s="39">
        <f>SUMIFS(Lançamentos!$G:$G,Lançamentos!$A:$A,HU$19,Lançamentos!$C:$C,"IOF")</f>
        <v>0</v>
      </c>
      <c r="HV67" s="39">
        <f>SUMIFS(Lançamentos!$G:$G,Lançamentos!$A:$A,HV$19,Lançamentos!$C:$C,"IOF")</f>
        <v>0</v>
      </c>
      <c r="HW67" s="39">
        <f>SUMIFS(Lançamentos!$G:$G,Lançamentos!$A:$A,HW$19,Lançamentos!$C:$C,"IOF")</f>
        <v>0</v>
      </c>
      <c r="HX67" s="39">
        <f>SUMIFS(Lançamentos!$G:$G,Lançamentos!$A:$A,HX$19,Lançamentos!$C:$C,"IOF")</f>
        <v>0</v>
      </c>
      <c r="HY67" s="39">
        <f>SUMIFS(Lançamentos!$G:$G,Lançamentos!$A:$A,HY$19,Lançamentos!$C:$C,"IOF")</f>
        <v>0</v>
      </c>
      <c r="HZ67" s="39">
        <f>SUMIFS(Lançamentos!$G:$G,Lançamentos!$A:$A,HZ$19,Lançamentos!$C:$C,"IOF")</f>
        <v>0</v>
      </c>
      <c r="IA67" s="39">
        <f>SUMIFS(Lançamentos!$G:$G,Lançamentos!$A:$A,IA$19,Lançamentos!$C:$C,"IOF")</f>
        <v>0</v>
      </c>
      <c r="IB67" s="39">
        <f>SUMIFS(Lançamentos!$G:$G,Lançamentos!$A:$A,IB$19,Lançamentos!$C:$C,"IOF")</f>
        <v>0</v>
      </c>
      <c r="IC67" s="39">
        <f>SUMIFS(Lançamentos!$G:$G,Lançamentos!$A:$A,IC$19,Lançamentos!$C:$C,"IOF")</f>
        <v>0</v>
      </c>
      <c r="ID67" s="39">
        <f>SUMIFS(Lançamentos!$G:$G,Lançamentos!$A:$A,ID$19,Lançamentos!$C:$C,"IOF")</f>
        <v>0</v>
      </c>
      <c r="IE67" s="39">
        <f>SUMIFS(Lançamentos!$G:$G,Lançamentos!$A:$A,IE$19,Lançamentos!$C:$C,"IOF")</f>
        <v>0</v>
      </c>
      <c r="IF67" s="39">
        <f>SUMIFS(Lançamentos!$G:$G,Lançamentos!$A:$A,IF$19,Lançamentos!$C:$C,"IOF")</f>
        <v>0</v>
      </c>
      <c r="IG67" s="39">
        <f>SUMIFS(Lançamentos!$G:$G,Lançamentos!$A:$A,IG$19,Lançamentos!$C:$C,"IOF")</f>
        <v>0</v>
      </c>
      <c r="IH67" s="39">
        <f>SUMIFS(Lançamentos!$G:$G,Lançamentos!$A:$A,IH$19,Lançamentos!$C:$C,"IOF")</f>
        <v>0</v>
      </c>
      <c r="II67" s="39">
        <f>SUMIFS(Lançamentos!$G:$G,Lançamentos!$A:$A,II$19,Lançamentos!$C:$C,"IOF")</f>
        <v>0</v>
      </c>
      <c r="IJ67" s="39">
        <f>SUMIFS(Lançamentos!$G:$G,Lançamentos!$A:$A,IJ$19,Lançamentos!$C:$C,"IOF")</f>
        <v>0</v>
      </c>
      <c r="IK67" s="39">
        <f>SUMIFS(Lançamentos!$G:$G,Lançamentos!$A:$A,IK$19,Lançamentos!$C:$C,"IOF")</f>
        <v>0</v>
      </c>
      <c r="IL67" s="39">
        <f>SUMIFS(Lançamentos!$G:$G,Lançamentos!$A:$A,IL$19,Lançamentos!$C:$C,"IOF")</f>
        <v>0</v>
      </c>
    </row>
    <row r="68" spans="1:246" x14ac:dyDescent="0.3">
      <c r="A68" t="s">
        <v>113</v>
      </c>
      <c r="B68" s="39">
        <f>SUMIFS(Lançamentos!$G:$G,Lançamentos!$A:$A,B$19,Lançamentos!$C:$C,"Cartão de Crédito")</f>
        <v>0</v>
      </c>
      <c r="C68" s="39">
        <f>SUMIFS(Lançamentos!$G:$G,Lançamentos!$A:$A,C$19,Lançamentos!$C:$C,"Cartão de Crédito")</f>
        <v>0</v>
      </c>
      <c r="D68" s="39">
        <f>SUMIFS(Lançamentos!$G:$G,Lançamentos!$A:$A,D$19,Lançamentos!$C:$C,"Cartão de Crédito")</f>
        <v>0</v>
      </c>
      <c r="E68" s="39">
        <f>SUMIFS(Lançamentos!$G:$G,Lançamentos!$A:$A,E$19,Lançamentos!$C:$C,"Cartão de Crédito")</f>
        <v>0</v>
      </c>
      <c r="F68" s="39">
        <f>SUMIFS(Lançamentos!$G:$G,Lançamentos!$A:$A,F$19,Lançamentos!$C:$C,"Cartão de Crédito")</f>
        <v>0</v>
      </c>
      <c r="G68" s="39">
        <f>SUMIFS(Lançamentos!$G:$G,Lançamentos!$A:$A,G$19,Lançamentos!$C:$C,"Cartão de Crédito")</f>
        <v>0</v>
      </c>
      <c r="H68" s="39">
        <f>SUMIFS(Lançamentos!$G:$G,Lançamentos!$A:$A,H$19,Lançamentos!$C:$C,"Cartão de Crédito")</f>
        <v>0</v>
      </c>
      <c r="I68" s="39">
        <f>SUMIFS(Lançamentos!$G:$G,Lançamentos!$A:$A,I$19,Lançamentos!$C:$C,"Cartão de Crédito")</f>
        <v>0</v>
      </c>
      <c r="J68" s="39">
        <f>SUMIFS(Lançamentos!$G:$G,Lançamentos!$A:$A,J$19,Lançamentos!$C:$C,"Cartão de Crédito")</f>
        <v>0</v>
      </c>
      <c r="K68" s="39">
        <f>SUMIFS(Lançamentos!$G:$G,Lançamentos!$A:$A,K$19,Lançamentos!$C:$C,"Cartão de Crédito")</f>
        <v>0</v>
      </c>
      <c r="L68" s="39">
        <f>SUMIFS(Lançamentos!$G:$G,Lançamentos!$A:$A,L$19,Lançamentos!$C:$C,"Cartão de Crédito")</f>
        <v>0</v>
      </c>
      <c r="M68" s="39">
        <f>SUMIFS(Lançamentos!$G:$G,Lançamentos!$A:$A,M$19,Lançamentos!$C:$C,"Cartão de Crédito")</f>
        <v>0</v>
      </c>
      <c r="N68" s="39">
        <f>SUMIFS(Lançamentos!$G:$G,Lançamentos!$A:$A,N$19,Lançamentos!$C:$C,"Cartão de Crédito")</f>
        <v>0</v>
      </c>
      <c r="O68" s="39">
        <f>SUMIFS(Lançamentos!$G:$G,Lançamentos!$A:$A,O$19,Lançamentos!$C:$C,"Cartão de Crédito")</f>
        <v>0</v>
      </c>
      <c r="P68" s="39">
        <f>SUMIFS(Lançamentos!$G:$G,Lançamentos!$A:$A,P$19,Lançamentos!$C:$C,"Cartão de Crédito")</f>
        <v>0</v>
      </c>
      <c r="Q68" s="39">
        <f>SUMIFS(Lançamentos!$G:$G,Lançamentos!$A:$A,Q$19,Lançamentos!$C:$C,"Cartão de Crédito")</f>
        <v>0</v>
      </c>
      <c r="R68" s="39">
        <f>SUMIFS(Lançamentos!$G:$G,Lançamentos!$A:$A,R$19,Lançamentos!$C:$C,"Cartão de Crédito")</f>
        <v>0</v>
      </c>
      <c r="S68" s="39">
        <f>SUMIFS(Lançamentos!$G:$G,Lançamentos!$A:$A,S$19,Lançamentos!$C:$C,"Cartão de Crédito")</f>
        <v>0</v>
      </c>
      <c r="T68" s="39">
        <f>SUMIFS(Lançamentos!$G:$G,Lançamentos!$A:$A,T$19,Lançamentos!$C:$C,"Cartão de Crédito")</f>
        <v>0</v>
      </c>
      <c r="U68" s="39">
        <f>SUMIFS(Lançamentos!$G:$G,Lançamentos!$A:$A,U$19,Lançamentos!$C:$C,"Cartão de Crédito")</f>
        <v>0</v>
      </c>
      <c r="V68" s="39">
        <f>SUMIFS(Lançamentos!$G:$G,Lançamentos!$A:$A,V$19,Lançamentos!$C:$C,"Cartão de Crédito")</f>
        <v>0</v>
      </c>
      <c r="W68" s="39">
        <f>SUMIFS(Lançamentos!$G:$G,Lançamentos!$A:$A,W$19,Lançamentos!$C:$C,"Cartão de Crédito")</f>
        <v>0</v>
      </c>
      <c r="X68" s="39">
        <f>SUMIFS(Lançamentos!$G:$G,Lançamentos!$A:$A,X$19,Lançamentos!$C:$C,"Cartão de Crédito")</f>
        <v>0</v>
      </c>
      <c r="Y68" s="39">
        <f>SUMIFS(Lançamentos!$G:$G,Lançamentos!$A:$A,Y$19,Lançamentos!$C:$C,"Cartão de Crédito")</f>
        <v>0</v>
      </c>
      <c r="Z68" s="39">
        <f>SUMIFS(Lançamentos!$G:$G,Lançamentos!$A:$A,Z$19,Lançamentos!$C:$C,"Cartão de Crédito")</f>
        <v>0</v>
      </c>
      <c r="AA68" s="39">
        <f>SUMIFS(Lançamentos!$G:$G,Lançamentos!$A:$A,AA$19,Lançamentos!$C:$C,"Cartão de Crédito")</f>
        <v>0</v>
      </c>
      <c r="AB68" s="39">
        <f>SUMIFS(Lançamentos!$G:$G,Lançamentos!$A:$A,AB$19,Lançamentos!$C:$C,"Cartão de Crédito")</f>
        <v>0</v>
      </c>
      <c r="AC68" s="39">
        <f>SUMIFS(Lançamentos!$G:$G,Lançamentos!$A:$A,AC$19,Lançamentos!$C:$C,"Cartão de Crédito")</f>
        <v>0</v>
      </c>
      <c r="AD68" s="39">
        <f>SUMIFS(Lançamentos!$G:$G,Lançamentos!$A:$A,AD$19,Lançamentos!$C:$C,"Cartão de Crédito")</f>
        <v>0</v>
      </c>
      <c r="AE68" s="39">
        <f>SUMIFS(Lançamentos!$G:$G,Lançamentos!$A:$A,AE$19,Lançamentos!$C:$C,"Cartão de Crédito")</f>
        <v>0</v>
      </c>
      <c r="AF68" s="39">
        <f>SUMIFS(Lançamentos!$G:$G,Lançamentos!$A:$A,AF$19,Lançamentos!$C:$C,"Cartão de Crédito")</f>
        <v>0</v>
      </c>
      <c r="AG68" s="39">
        <f>SUMIFS(Lançamentos!$G:$G,Lançamentos!$A:$A,AG$19,Lançamentos!$C:$C,"Cartão de Crédito")</f>
        <v>0</v>
      </c>
      <c r="AH68" s="39">
        <f>SUMIFS(Lançamentos!$G:$G,Lançamentos!$A:$A,AH$19,Lançamentos!$C:$C,"Cartão de Crédito")</f>
        <v>0</v>
      </c>
      <c r="AI68" s="39">
        <f>SUMIFS(Lançamentos!$G:$G,Lançamentos!$A:$A,AI$19,Lançamentos!$C:$C,"Cartão de Crédito")</f>
        <v>0</v>
      </c>
      <c r="AJ68" s="39">
        <f>SUMIFS(Lançamentos!$G:$G,Lançamentos!$A:$A,AJ$19,Lançamentos!$C:$C,"Cartão de Crédito")</f>
        <v>0</v>
      </c>
      <c r="AK68" s="39">
        <f>SUMIFS(Lançamentos!$G:$G,Lançamentos!$A:$A,AK$19,Lançamentos!$C:$C,"Cartão de Crédito")</f>
        <v>0</v>
      </c>
      <c r="AL68" s="39">
        <f>SUMIFS(Lançamentos!$G:$G,Lançamentos!$A:$A,AL$19,Lançamentos!$C:$C,"Cartão de Crédito")</f>
        <v>0</v>
      </c>
      <c r="AM68" s="39">
        <f>SUMIFS(Lançamentos!$G:$G,Lançamentos!$A:$A,AM$19,Lançamentos!$C:$C,"Cartão de Crédito")</f>
        <v>0</v>
      </c>
      <c r="AN68" s="39">
        <f>SUMIFS(Lançamentos!$G:$G,Lançamentos!$A:$A,AN$19,Lançamentos!$C:$C,"Cartão de Crédito")</f>
        <v>0</v>
      </c>
      <c r="AO68" s="39">
        <f>SUMIFS(Lançamentos!$G:$G,Lançamentos!$A:$A,AO$19,Lançamentos!$C:$C,"Cartão de Crédito")</f>
        <v>0</v>
      </c>
      <c r="AP68" s="39">
        <f>SUMIFS(Lançamentos!$G:$G,Lançamentos!$A:$A,AP$19,Lançamentos!$C:$C,"Cartão de Crédito")</f>
        <v>0</v>
      </c>
      <c r="AQ68" s="39">
        <f>SUMIFS(Lançamentos!$G:$G,Lançamentos!$A:$A,AQ$19,Lançamentos!$C:$C,"Cartão de Crédito")</f>
        <v>0</v>
      </c>
      <c r="AR68" s="39">
        <f>SUMIFS(Lançamentos!$G:$G,Lançamentos!$A:$A,AR$19,Lançamentos!$C:$C,"Cartão de Crédito")</f>
        <v>0</v>
      </c>
      <c r="AS68" s="39">
        <f>SUMIFS(Lançamentos!$G:$G,Lançamentos!$A:$A,AS$19,Lançamentos!$C:$C,"Cartão de Crédito")</f>
        <v>0</v>
      </c>
      <c r="AT68" s="39">
        <f>SUMIFS(Lançamentos!$G:$G,Lançamentos!$A:$A,AT$19,Lançamentos!$C:$C,"Cartão de Crédito")</f>
        <v>0</v>
      </c>
      <c r="AU68" s="39">
        <f>SUMIFS(Lançamentos!$G:$G,Lançamentos!$A:$A,AU$19,Lançamentos!$C:$C,"Cartão de Crédito")</f>
        <v>0</v>
      </c>
      <c r="AV68" s="39">
        <f>SUMIFS(Lançamentos!$G:$G,Lançamentos!$A:$A,AV$19,Lançamentos!$C:$C,"Cartão de Crédito")</f>
        <v>0</v>
      </c>
      <c r="AW68" s="39">
        <f>SUMIFS(Lançamentos!$G:$G,Lançamentos!$A:$A,AW$19,Lançamentos!$C:$C,"Cartão de Crédito")</f>
        <v>0</v>
      </c>
      <c r="AX68" s="39">
        <f>SUMIFS(Lançamentos!$G:$G,Lançamentos!$A:$A,AX$19,Lançamentos!$C:$C,"Cartão de Crédito")</f>
        <v>0</v>
      </c>
      <c r="AY68" s="39">
        <f>SUMIFS(Lançamentos!$G:$G,Lançamentos!$A:$A,AY$19,Lançamentos!$C:$C,"Cartão de Crédito")</f>
        <v>0</v>
      </c>
      <c r="AZ68" s="39">
        <f>SUMIFS(Lançamentos!$G:$G,Lançamentos!$A:$A,AZ$19,Lançamentos!$C:$C,"Cartão de Crédito")</f>
        <v>0</v>
      </c>
      <c r="BA68" s="39">
        <f>SUMIFS(Lançamentos!$G:$G,Lançamentos!$A:$A,BA$19,Lançamentos!$C:$C,"Cartão de Crédito")</f>
        <v>0</v>
      </c>
      <c r="BB68" s="39">
        <f>SUMIFS(Lançamentos!$G:$G,Lançamentos!$A:$A,BB$19,Lançamentos!$C:$C,"Cartão de Crédito")</f>
        <v>0</v>
      </c>
      <c r="BC68" s="39">
        <f>SUMIFS(Lançamentos!$G:$G,Lançamentos!$A:$A,BC$19,Lançamentos!$C:$C,"Cartão de Crédito")</f>
        <v>0</v>
      </c>
      <c r="BD68" s="39">
        <f>SUMIFS(Lançamentos!$G:$G,Lançamentos!$A:$A,BD$19,Lançamentos!$C:$C,"Cartão de Crédito")</f>
        <v>0</v>
      </c>
      <c r="BE68" s="39">
        <f>SUMIFS(Lançamentos!$G:$G,Lançamentos!$A:$A,BE$19,Lançamentos!$C:$C,"Cartão de Crédito")</f>
        <v>0</v>
      </c>
      <c r="BF68" s="39">
        <f>SUMIFS(Lançamentos!$G:$G,Lançamentos!$A:$A,BF$19,Lançamentos!$C:$C,"Cartão de Crédito")</f>
        <v>0</v>
      </c>
      <c r="BG68" s="39">
        <f>SUMIFS(Lançamentos!$G:$G,Lançamentos!$A:$A,BG$19,Lançamentos!$C:$C,"Cartão de Crédito")</f>
        <v>0</v>
      </c>
      <c r="BH68" s="39">
        <f>SUMIFS(Lançamentos!$G:$G,Lançamentos!$A:$A,BH$19,Lançamentos!$C:$C,"Cartão de Crédito")</f>
        <v>0</v>
      </c>
      <c r="BI68" s="39">
        <f>SUMIFS(Lançamentos!$G:$G,Lançamentos!$A:$A,BI$19,Lançamentos!$C:$C,"Cartão de Crédito")</f>
        <v>0</v>
      </c>
      <c r="BJ68" s="39">
        <f>SUMIFS(Lançamentos!$G:$G,Lançamentos!$A:$A,BJ$19,Lançamentos!$C:$C,"Cartão de Crédito")</f>
        <v>0</v>
      </c>
      <c r="BK68" s="39">
        <f>SUMIFS(Lançamentos!$G:$G,Lançamentos!$A:$A,BK$19,Lançamentos!$C:$C,"Cartão de Crédito")</f>
        <v>0</v>
      </c>
      <c r="BL68" s="39">
        <f>SUMIFS(Lançamentos!$G:$G,Lançamentos!$A:$A,BL$19,Lançamentos!$C:$C,"Cartão de Crédito")</f>
        <v>0</v>
      </c>
      <c r="BM68" s="39">
        <f>SUMIFS(Lançamentos!$G:$G,Lançamentos!$A:$A,BM$19,Lançamentos!$C:$C,"Cartão de Crédito")</f>
        <v>0</v>
      </c>
      <c r="BN68" s="39">
        <f>SUMIFS(Lançamentos!$G:$G,Lançamentos!$A:$A,BN$19,Lançamentos!$C:$C,"Cartão de Crédito")</f>
        <v>0</v>
      </c>
      <c r="BO68" s="39">
        <f>SUMIFS(Lançamentos!$G:$G,Lançamentos!$A:$A,BO$19,Lançamentos!$C:$C,"Cartão de Crédito")</f>
        <v>0</v>
      </c>
      <c r="BP68" s="39">
        <f>SUMIFS(Lançamentos!$G:$G,Lançamentos!$A:$A,BP$19,Lançamentos!$C:$C,"Cartão de Crédito")</f>
        <v>0</v>
      </c>
      <c r="BQ68" s="39">
        <f>SUMIFS(Lançamentos!$G:$G,Lançamentos!$A:$A,BQ$19,Lançamentos!$C:$C,"Cartão de Crédito")</f>
        <v>0</v>
      </c>
      <c r="BR68" s="39">
        <f>SUMIFS(Lançamentos!$G:$G,Lançamentos!$A:$A,BR$19,Lançamentos!$C:$C,"Cartão de Crédito")</f>
        <v>0</v>
      </c>
      <c r="BS68" s="39">
        <f>SUMIFS(Lançamentos!$G:$G,Lançamentos!$A:$A,BS$19,Lançamentos!$C:$C,"Cartão de Crédito")</f>
        <v>0</v>
      </c>
      <c r="BT68" s="39">
        <f>SUMIFS(Lançamentos!$G:$G,Lançamentos!$A:$A,BT$19,Lançamentos!$C:$C,"Cartão de Crédito")</f>
        <v>0</v>
      </c>
      <c r="BU68" s="39">
        <f>SUMIFS(Lançamentos!$G:$G,Lançamentos!$A:$A,BU$19,Lançamentos!$C:$C,"Cartão de Crédito")</f>
        <v>0</v>
      </c>
      <c r="BV68" s="39">
        <f>SUMIFS(Lançamentos!$G:$G,Lançamentos!$A:$A,BV$19,Lançamentos!$C:$C,"Cartão de Crédito")</f>
        <v>0</v>
      </c>
      <c r="BW68" s="39">
        <f>SUMIFS(Lançamentos!$G:$G,Lançamentos!$A:$A,BW$19,Lançamentos!$C:$C,"Cartão de Crédito")</f>
        <v>0</v>
      </c>
      <c r="BX68" s="39">
        <f>SUMIFS(Lançamentos!$G:$G,Lançamentos!$A:$A,BX$19,Lançamentos!$C:$C,"Cartão de Crédito")</f>
        <v>0</v>
      </c>
      <c r="BY68" s="39">
        <f>SUMIFS(Lançamentos!$G:$G,Lançamentos!$A:$A,BY$19,Lançamentos!$C:$C,"Cartão de Crédito")</f>
        <v>0</v>
      </c>
      <c r="BZ68" s="39">
        <f>SUMIFS(Lançamentos!$G:$G,Lançamentos!$A:$A,BZ$19,Lançamentos!$C:$C,"Cartão de Crédito")</f>
        <v>0</v>
      </c>
      <c r="CA68" s="39">
        <f>SUMIFS(Lançamentos!$G:$G,Lançamentos!$A:$A,CA$19,Lançamentos!$C:$C,"Cartão de Crédito")</f>
        <v>0</v>
      </c>
      <c r="CB68" s="39">
        <f>SUMIFS(Lançamentos!$G:$G,Lançamentos!$A:$A,CB$19,Lançamentos!$C:$C,"Cartão de Crédito")</f>
        <v>0</v>
      </c>
      <c r="CC68" s="39">
        <f>SUMIFS(Lançamentos!$G:$G,Lançamentos!$A:$A,CC$19,Lançamentos!$C:$C,"Cartão de Crédito")</f>
        <v>0</v>
      </c>
      <c r="CD68" s="39">
        <f>SUMIFS(Lançamentos!$G:$G,Lançamentos!$A:$A,CD$19,Lançamentos!$C:$C,"Cartão de Crédito")</f>
        <v>0</v>
      </c>
      <c r="CE68" s="39">
        <f>SUMIFS(Lançamentos!$G:$G,Lançamentos!$A:$A,CE$19,Lançamentos!$C:$C,"Cartão de Crédito")</f>
        <v>0</v>
      </c>
      <c r="CF68" s="39">
        <f>SUMIFS(Lançamentos!$G:$G,Lançamentos!$A:$A,CF$19,Lançamentos!$C:$C,"Cartão de Crédito")</f>
        <v>0</v>
      </c>
      <c r="CG68" s="39">
        <f>SUMIFS(Lançamentos!$G:$G,Lançamentos!$A:$A,CG$19,Lançamentos!$C:$C,"Cartão de Crédito")</f>
        <v>0</v>
      </c>
      <c r="CH68" s="39">
        <f>SUMIFS(Lançamentos!$G:$G,Lançamentos!$A:$A,CH$19,Lançamentos!$C:$C,"Cartão de Crédito")</f>
        <v>0</v>
      </c>
      <c r="CI68" s="39">
        <f>SUMIFS(Lançamentos!$G:$G,Lançamentos!$A:$A,CI$19,Lançamentos!$C:$C,"Cartão de Crédito")</f>
        <v>0</v>
      </c>
      <c r="CJ68" s="39">
        <f>SUMIFS(Lançamentos!$G:$G,Lançamentos!$A:$A,CJ$19,Lançamentos!$C:$C,"Cartão de Crédito")</f>
        <v>0</v>
      </c>
      <c r="CK68" s="39">
        <f>SUMIFS(Lançamentos!$G:$G,Lançamentos!$A:$A,CK$19,Lançamentos!$C:$C,"Cartão de Crédito")</f>
        <v>0</v>
      </c>
      <c r="CL68" s="39">
        <f>SUMIFS(Lançamentos!$G:$G,Lançamentos!$A:$A,CL$19,Lançamentos!$C:$C,"Cartão de Crédito")</f>
        <v>0</v>
      </c>
      <c r="CM68" s="39">
        <f>SUMIFS(Lançamentos!$G:$G,Lançamentos!$A:$A,CM$19,Lançamentos!$C:$C,"Cartão de Crédito")</f>
        <v>0</v>
      </c>
      <c r="CN68" s="39">
        <f>SUMIFS(Lançamentos!$G:$G,Lançamentos!$A:$A,CN$19,Lançamentos!$C:$C,"Cartão de Crédito")</f>
        <v>0</v>
      </c>
      <c r="CO68" s="39">
        <f>SUMIFS(Lançamentos!$G:$G,Lançamentos!$A:$A,CO$19,Lançamentos!$C:$C,"Cartão de Crédito")</f>
        <v>0</v>
      </c>
      <c r="CP68" s="39">
        <f>SUMIFS(Lançamentos!$G:$G,Lançamentos!$A:$A,CP$19,Lançamentos!$C:$C,"Cartão de Crédito")</f>
        <v>0</v>
      </c>
      <c r="CQ68" s="39">
        <f>SUMIFS(Lançamentos!$G:$G,Lançamentos!$A:$A,CQ$19,Lançamentos!$C:$C,"Cartão de Crédito")</f>
        <v>0</v>
      </c>
      <c r="CR68" s="39">
        <f>SUMIFS(Lançamentos!$G:$G,Lançamentos!$A:$A,CR$19,Lançamentos!$C:$C,"Cartão de Crédito")</f>
        <v>0</v>
      </c>
      <c r="CS68" s="39">
        <f>SUMIFS(Lançamentos!$G:$G,Lançamentos!$A:$A,CS$19,Lançamentos!$C:$C,"Cartão de Crédito")</f>
        <v>0</v>
      </c>
      <c r="CT68" s="39">
        <f>SUMIFS(Lançamentos!$G:$G,Lançamentos!$A:$A,CT$19,Lançamentos!$C:$C,"Cartão de Crédito")</f>
        <v>0</v>
      </c>
      <c r="CU68" s="39">
        <f>SUMIFS(Lançamentos!$G:$G,Lançamentos!$A:$A,CU$19,Lançamentos!$C:$C,"Cartão de Crédito")</f>
        <v>0</v>
      </c>
      <c r="CV68" s="39">
        <f>SUMIFS(Lançamentos!$G:$G,Lançamentos!$A:$A,CV$19,Lançamentos!$C:$C,"Cartão de Crédito")</f>
        <v>0</v>
      </c>
      <c r="CW68" s="39">
        <f>SUMIFS(Lançamentos!$G:$G,Lançamentos!$A:$A,CW$19,Lançamentos!$C:$C,"Cartão de Crédito")</f>
        <v>0</v>
      </c>
      <c r="CX68" s="39">
        <f>SUMIFS(Lançamentos!$G:$G,Lançamentos!$A:$A,CX$19,Lançamentos!$C:$C,"Cartão de Crédito")</f>
        <v>0</v>
      </c>
      <c r="CY68" s="39">
        <f>SUMIFS(Lançamentos!$G:$G,Lançamentos!$A:$A,CY$19,Lançamentos!$C:$C,"Cartão de Crédito")</f>
        <v>0</v>
      </c>
      <c r="CZ68" s="39">
        <f>SUMIFS(Lançamentos!$G:$G,Lançamentos!$A:$A,CZ$19,Lançamentos!$C:$C,"Cartão de Crédito")</f>
        <v>0</v>
      </c>
      <c r="DA68" s="39">
        <f>SUMIFS(Lançamentos!$G:$G,Lançamentos!$A:$A,DA$19,Lançamentos!$C:$C,"Cartão de Crédito")</f>
        <v>0</v>
      </c>
      <c r="DB68" s="39">
        <f>SUMIFS(Lançamentos!$G:$G,Lançamentos!$A:$A,DB$19,Lançamentos!$C:$C,"Cartão de Crédito")</f>
        <v>0</v>
      </c>
      <c r="DC68" s="39">
        <f>SUMIFS(Lançamentos!$G:$G,Lançamentos!$A:$A,DC$19,Lançamentos!$C:$C,"Cartão de Crédito")</f>
        <v>0</v>
      </c>
      <c r="DD68" s="39">
        <f>SUMIFS(Lançamentos!$G:$G,Lançamentos!$A:$A,DD$19,Lançamentos!$C:$C,"Cartão de Crédito")</f>
        <v>0</v>
      </c>
      <c r="DE68" s="39">
        <f>SUMIFS(Lançamentos!$G:$G,Lançamentos!$A:$A,DE$19,Lançamentos!$C:$C,"Cartão de Crédito")</f>
        <v>0</v>
      </c>
      <c r="DF68" s="39">
        <f>SUMIFS(Lançamentos!$G:$G,Lançamentos!$A:$A,DF$19,Lançamentos!$C:$C,"Cartão de Crédito")</f>
        <v>0</v>
      </c>
      <c r="DG68" s="39">
        <f>SUMIFS(Lançamentos!$G:$G,Lançamentos!$A:$A,DG$19,Lançamentos!$C:$C,"Cartão de Crédito")</f>
        <v>0</v>
      </c>
      <c r="DH68" s="39">
        <f>SUMIFS(Lançamentos!$G:$G,Lançamentos!$A:$A,DH$19,Lançamentos!$C:$C,"Cartão de Crédito")</f>
        <v>0</v>
      </c>
      <c r="DI68" s="39">
        <f>SUMIFS(Lançamentos!$G:$G,Lançamentos!$A:$A,DI$19,Lançamentos!$C:$C,"Cartão de Crédito")</f>
        <v>0</v>
      </c>
      <c r="DJ68" s="39">
        <f>SUMIFS(Lançamentos!$G:$G,Lançamentos!$A:$A,DJ$19,Lançamentos!$C:$C,"Cartão de Crédito")</f>
        <v>0</v>
      </c>
      <c r="DK68" s="39">
        <f>SUMIFS(Lançamentos!$G:$G,Lançamentos!$A:$A,DK$19,Lançamentos!$C:$C,"Cartão de Crédito")</f>
        <v>0</v>
      </c>
      <c r="DL68" s="39">
        <f>SUMIFS(Lançamentos!$G:$G,Lançamentos!$A:$A,DL$19,Lançamentos!$C:$C,"Cartão de Crédito")</f>
        <v>0</v>
      </c>
      <c r="DM68" s="39">
        <f>SUMIFS(Lançamentos!$G:$G,Lançamentos!$A:$A,DM$19,Lançamentos!$C:$C,"Cartão de Crédito")</f>
        <v>0</v>
      </c>
      <c r="DN68" s="39">
        <f>SUMIFS(Lançamentos!$G:$G,Lançamentos!$A:$A,DN$19,Lançamentos!$C:$C,"Cartão de Crédito")</f>
        <v>0</v>
      </c>
      <c r="DO68" s="39">
        <f>SUMIFS(Lançamentos!$G:$G,Lançamentos!$A:$A,DO$19,Lançamentos!$C:$C,"Cartão de Crédito")</f>
        <v>0</v>
      </c>
      <c r="DP68" s="39">
        <f>SUMIFS(Lançamentos!$G:$G,Lançamentos!$A:$A,DP$19,Lançamentos!$C:$C,"Cartão de Crédito")</f>
        <v>0</v>
      </c>
      <c r="DQ68" s="39">
        <f>SUMIFS(Lançamentos!$G:$G,Lançamentos!$A:$A,DQ$19,Lançamentos!$C:$C,"Cartão de Crédito")</f>
        <v>0</v>
      </c>
      <c r="DR68" s="39">
        <f>SUMIFS(Lançamentos!$G:$G,Lançamentos!$A:$A,DR$19,Lançamentos!$C:$C,"Cartão de Crédito")</f>
        <v>0</v>
      </c>
      <c r="DS68" s="39">
        <f>SUMIFS(Lançamentos!$G:$G,Lançamentos!$A:$A,DS$19,Lançamentos!$C:$C,"Cartão de Crédito")</f>
        <v>0</v>
      </c>
      <c r="DT68" s="39">
        <f>SUMIFS(Lançamentos!$G:$G,Lançamentos!$A:$A,DT$19,Lançamentos!$C:$C,"Cartão de Crédito")</f>
        <v>0</v>
      </c>
      <c r="DU68" s="39">
        <f>SUMIFS(Lançamentos!$G:$G,Lançamentos!$A:$A,DU$19,Lançamentos!$C:$C,"Cartão de Crédito")</f>
        <v>0</v>
      </c>
      <c r="DV68" s="39">
        <f>SUMIFS(Lançamentos!$G:$G,Lançamentos!$A:$A,DV$19,Lançamentos!$C:$C,"Cartão de Crédito")</f>
        <v>0</v>
      </c>
      <c r="DW68" s="39">
        <f>SUMIFS(Lançamentos!$G:$G,Lançamentos!$A:$A,DW$19,Lançamentos!$C:$C,"Cartão de Crédito")</f>
        <v>0</v>
      </c>
      <c r="DX68" s="39">
        <f>SUMIFS(Lançamentos!$G:$G,Lançamentos!$A:$A,DX$19,Lançamentos!$C:$C,"Cartão de Crédito")</f>
        <v>0</v>
      </c>
      <c r="DY68" s="39">
        <f>SUMIFS(Lançamentos!$G:$G,Lançamentos!$A:$A,DY$19,Lançamentos!$C:$C,"Cartão de Crédito")</f>
        <v>0</v>
      </c>
      <c r="DZ68" s="39">
        <f>SUMIFS(Lançamentos!$G:$G,Lançamentos!$A:$A,DZ$19,Lançamentos!$C:$C,"Cartão de Crédito")</f>
        <v>0</v>
      </c>
      <c r="EA68" s="39">
        <f>SUMIFS(Lançamentos!$G:$G,Lançamentos!$A:$A,EA$19,Lançamentos!$C:$C,"Cartão de Crédito")</f>
        <v>0</v>
      </c>
      <c r="EB68" s="39">
        <f>SUMIFS(Lançamentos!$G:$G,Lançamentos!$A:$A,EB$19,Lançamentos!$C:$C,"Cartão de Crédito")</f>
        <v>0</v>
      </c>
      <c r="EC68" s="39">
        <f>SUMIFS(Lançamentos!$G:$G,Lançamentos!$A:$A,EC$19,Lançamentos!$C:$C,"Cartão de Crédito")</f>
        <v>0</v>
      </c>
      <c r="ED68" s="39">
        <f>SUMIFS(Lançamentos!$G:$G,Lançamentos!$A:$A,ED$19,Lançamentos!$C:$C,"Cartão de Crédito")</f>
        <v>0</v>
      </c>
      <c r="EE68" s="39">
        <f>SUMIFS(Lançamentos!$G:$G,Lançamentos!$A:$A,EE$19,Lançamentos!$C:$C,"Cartão de Crédito")</f>
        <v>0</v>
      </c>
      <c r="EF68" s="39">
        <f>SUMIFS(Lançamentos!$G:$G,Lançamentos!$A:$A,EF$19,Lançamentos!$C:$C,"Cartão de Crédito")</f>
        <v>0</v>
      </c>
      <c r="EG68" s="39">
        <f>SUMIFS(Lançamentos!$G:$G,Lançamentos!$A:$A,EG$19,Lançamentos!$C:$C,"Cartão de Crédito")</f>
        <v>0</v>
      </c>
      <c r="EH68" s="39">
        <f>SUMIFS(Lançamentos!$G:$G,Lançamentos!$A:$A,EH$19,Lançamentos!$C:$C,"Cartão de Crédito")</f>
        <v>0</v>
      </c>
      <c r="EI68" s="39">
        <f>SUMIFS(Lançamentos!$G:$G,Lançamentos!$A:$A,EI$19,Lançamentos!$C:$C,"Cartão de Crédito")</f>
        <v>0</v>
      </c>
      <c r="EJ68" s="39">
        <f>SUMIFS(Lançamentos!$G:$G,Lançamentos!$A:$A,EJ$19,Lançamentos!$C:$C,"Cartão de Crédito")</f>
        <v>0</v>
      </c>
      <c r="EK68" s="39">
        <f>SUMIFS(Lançamentos!$G:$G,Lançamentos!$A:$A,EK$19,Lançamentos!$C:$C,"Cartão de Crédito")</f>
        <v>0</v>
      </c>
      <c r="EL68" s="39">
        <f>SUMIFS(Lançamentos!$G:$G,Lançamentos!$A:$A,EL$19,Lançamentos!$C:$C,"Cartão de Crédito")</f>
        <v>0</v>
      </c>
      <c r="EM68" s="39">
        <f>SUMIFS(Lançamentos!$G:$G,Lançamentos!$A:$A,EM$19,Lançamentos!$C:$C,"Cartão de Crédito")</f>
        <v>0</v>
      </c>
      <c r="EN68" s="39">
        <f>SUMIFS(Lançamentos!$G:$G,Lançamentos!$A:$A,EN$19,Lançamentos!$C:$C,"Cartão de Crédito")</f>
        <v>0</v>
      </c>
      <c r="EO68" s="39">
        <f>SUMIFS(Lançamentos!$G:$G,Lançamentos!$A:$A,EO$19,Lançamentos!$C:$C,"Cartão de Crédito")</f>
        <v>0</v>
      </c>
      <c r="EP68" s="39">
        <f>SUMIFS(Lançamentos!$G:$G,Lançamentos!$A:$A,EP$19,Lançamentos!$C:$C,"Cartão de Crédito")</f>
        <v>0</v>
      </c>
      <c r="EQ68" s="39">
        <f>SUMIFS(Lançamentos!$G:$G,Lançamentos!$A:$A,EQ$19,Lançamentos!$C:$C,"Cartão de Crédito")</f>
        <v>0</v>
      </c>
      <c r="ER68" s="39">
        <f>SUMIFS(Lançamentos!$G:$G,Lançamentos!$A:$A,ER$19,Lançamentos!$C:$C,"Cartão de Crédito")</f>
        <v>0</v>
      </c>
      <c r="ES68" s="39">
        <f>SUMIFS(Lançamentos!$G:$G,Lançamentos!$A:$A,ES$19,Lançamentos!$C:$C,"Cartão de Crédito")</f>
        <v>0</v>
      </c>
      <c r="ET68" s="39">
        <f>SUMIFS(Lançamentos!$G:$G,Lançamentos!$A:$A,ET$19,Lançamentos!$C:$C,"Cartão de Crédito")</f>
        <v>0</v>
      </c>
      <c r="EU68" s="39">
        <f>SUMIFS(Lançamentos!$G:$G,Lançamentos!$A:$A,EU$19,Lançamentos!$C:$C,"Cartão de Crédito")</f>
        <v>0</v>
      </c>
      <c r="EV68" s="39">
        <f>SUMIFS(Lançamentos!$G:$G,Lançamentos!$A:$A,EV$19,Lançamentos!$C:$C,"Cartão de Crédito")</f>
        <v>0</v>
      </c>
      <c r="EW68" s="39">
        <f>SUMIFS(Lançamentos!$G:$G,Lançamentos!$A:$A,EW$19,Lançamentos!$C:$C,"Cartão de Crédito")</f>
        <v>0</v>
      </c>
      <c r="EX68" s="39">
        <f>SUMIFS(Lançamentos!$G:$G,Lançamentos!$A:$A,EX$19,Lançamentos!$C:$C,"Cartão de Crédito")</f>
        <v>0</v>
      </c>
      <c r="EY68" s="39">
        <f>SUMIFS(Lançamentos!$G:$G,Lançamentos!$A:$A,EY$19,Lançamentos!$C:$C,"Cartão de Crédito")</f>
        <v>0</v>
      </c>
      <c r="EZ68" s="39">
        <f>SUMIFS(Lançamentos!$G:$G,Lançamentos!$A:$A,EZ$19,Lançamentos!$C:$C,"Cartão de Crédito")</f>
        <v>0</v>
      </c>
      <c r="FA68" s="39">
        <f>SUMIFS(Lançamentos!$G:$G,Lançamentos!$A:$A,FA$19,Lançamentos!$C:$C,"Cartão de Crédito")</f>
        <v>0</v>
      </c>
      <c r="FB68" s="39">
        <f>SUMIFS(Lançamentos!$G:$G,Lançamentos!$A:$A,FB$19,Lançamentos!$C:$C,"Cartão de Crédito")</f>
        <v>0</v>
      </c>
      <c r="FC68" s="39">
        <f>SUMIFS(Lançamentos!$G:$G,Lançamentos!$A:$A,FC$19,Lançamentos!$C:$C,"Cartão de Crédito")</f>
        <v>0</v>
      </c>
      <c r="FD68" s="39">
        <f>SUMIFS(Lançamentos!$G:$G,Lançamentos!$A:$A,FD$19,Lançamentos!$C:$C,"Cartão de Crédito")</f>
        <v>0</v>
      </c>
      <c r="FE68" s="39">
        <f>SUMIFS(Lançamentos!$G:$G,Lançamentos!$A:$A,FE$19,Lançamentos!$C:$C,"Cartão de Crédito")</f>
        <v>0</v>
      </c>
      <c r="FF68" s="39">
        <f>SUMIFS(Lançamentos!$G:$G,Lançamentos!$A:$A,FF$19,Lançamentos!$C:$C,"Cartão de Crédito")</f>
        <v>0</v>
      </c>
      <c r="FG68" s="39">
        <f>SUMIFS(Lançamentos!$G:$G,Lançamentos!$A:$A,FG$19,Lançamentos!$C:$C,"Cartão de Crédito")</f>
        <v>0</v>
      </c>
      <c r="FH68" s="39">
        <f>SUMIFS(Lançamentos!$G:$G,Lançamentos!$A:$A,FH$19,Lançamentos!$C:$C,"Cartão de Crédito")</f>
        <v>0</v>
      </c>
      <c r="FI68" s="39">
        <f>SUMIFS(Lançamentos!$G:$G,Lançamentos!$A:$A,FI$19,Lançamentos!$C:$C,"Cartão de Crédito")</f>
        <v>0</v>
      </c>
      <c r="FJ68" s="39">
        <f>SUMIFS(Lançamentos!$G:$G,Lançamentos!$A:$A,FJ$19,Lançamentos!$C:$C,"Cartão de Crédito")</f>
        <v>0</v>
      </c>
      <c r="FK68" s="39">
        <f>SUMIFS(Lançamentos!$G:$G,Lançamentos!$A:$A,FK$19,Lançamentos!$C:$C,"Cartão de Crédito")</f>
        <v>0</v>
      </c>
      <c r="FL68" s="39">
        <f>SUMIFS(Lançamentos!$G:$G,Lançamentos!$A:$A,FL$19,Lançamentos!$C:$C,"Cartão de Crédito")</f>
        <v>0</v>
      </c>
      <c r="FM68" s="39">
        <f>SUMIFS(Lançamentos!$G:$G,Lançamentos!$A:$A,FM$19,Lançamentos!$C:$C,"Cartão de Crédito")</f>
        <v>0</v>
      </c>
      <c r="FN68" s="39">
        <f>SUMIFS(Lançamentos!$G:$G,Lançamentos!$A:$A,FN$19,Lançamentos!$C:$C,"Cartão de Crédito")</f>
        <v>0</v>
      </c>
      <c r="FO68" s="39">
        <f>SUMIFS(Lançamentos!$G:$G,Lançamentos!$A:$A,FO$19,Lançamentos!$C:$C,"Cartão de Crédito")</f>
        <v>0</v>
      </c>
      <c r="FP68" s="39">
        <f>SUMIFS(Lançamentos!$G:$G,Lançamentos!$A:$A,FP$19,Lançamentos!$C:$C,"Cartão de Crédito")</f>
        <v>0</v>
      </c>
      <c r="FQ68" s="39">
        <f>SUMIFS(Lançamentos!$G:$G,Lançamentos!$A:$A,FQ$19,Lançamentos!$C:$C,"Cartão de Crédito")</f>
        <v>0</v>
      </c>
      <c r="FR68" s="39">
        <f>SUMIFS(Lançamentos!$G:$G,Lançamentos!$A:$A,FR$19,Lançamentos!$C:$C,"Cartão de Crédito")</f>
        <v>0</v>
      </c>
      <c r="FS68" s="39">
        <f>SUMIFS(Lançamentos!$G:$G,Lançamentos!$A:$A,FS$19,Lançamentos!$C:$C,"Cartão de Crédito")</f>
        <v>0</v>
      </c>
      <c r="FT68" s="39">
        <f>SUMIFS(Lançamentos!$G:$G,Lançamentos!$A:$A,FT$19,Lançamentos!$C:$C,"Cartão de Crédito")</f>
        <v>0</v>
      </c>
      <c r="FU68" s="39">
        <f>SUMIFS(Lançamentos!$G:$G,Lançamentos!$A:$A,FU$19,Lançamentos!$C:$C,"Cartão de Crédito")</f>
        <v>0</v>
      </c>
      <c r="FV68" s="39">
        <f>SUMIFS(Lançamentos!$G:$G,Lançamentos!$A:$A,FV$19,Lançamentos!$C:$C,"Cartão de Crédito")</f>
        <v>0</v>
      </c>
      <c r="FW68" s="39">
        <f>SUMIFS(Lançamentos!$G:$G,Lançamentos!$A:$A,FW$19,Lançamentos!$C:$C,"Cartão de Crédito")</f>
        <v>0</v>
      </c>
      <c r="FX68" s="39">
        <f>SUMIFS(Lançamentos!$G:$G,Lançamentos!$A:$A,FX$19,Lançamentos!$C:$C,"Cartão de Crédito")</f>
        <v>0</v>
      </c>
      <c r="FY68" s="39">
        <f>SUMIFS(Lançamentos!$G:$G,Lançamentos!$A:$A,FY$19,Lançamentos!$C:$C,"Cartão de Crédito")</f>
        <v>0</v>
      </c>
      <c r="FZ68" s="39">
        <f>SUMIFS(Lançamentos!$G:$G,Lançamentos!$A:$A,FZ$19,Lançamentos!$C:$C,"Cartão de Crédito")</f>
        <v>0</v>
      </c>
      <c r="GA68" s="39">
        <f>SUMIFS(Lançamentos!$G:$G,Lançamentos!$A:$A,GA$19,Lançamentos!$C:$C,"Cartão de Crédito")</f>
        <v>0</v>
      </c>
      <c r="GB68" s="39">
        <f>SUMIFS(Lançamentos!$G:$G,Lançamentos!$A:$A,GB$19,Lançamentos!$C:$C,"Cartão de Crédito")</f>
        <v>0</v>
      </c>
      <c r="GC68" s="39">
        <f>SUMIFS(Lançamentos!$G:$G,Lançamentos!$A:$A,GC$19,Lançamentos!$C:$C,"Cartão de Crédito")</f>
        <v>0</v>
      </c>
      <c r="GD68" s="39">
        <f>SUMIFS(Lançamentos!$G:$G,Lançamentos!$A:$A,GD$19,Lançamentos!$C:$C,"Cartão de Crédito")</f>
        <v>0</v>
      </c>
      <c r="GE68" s="39">
        <f>SUMIFS(Lançamentos!$G:$G,Lançamentos!$A:$A,GE$19,Lançamentos!$C:$C,"Cartão de Crédito")</f>
        <v>0</v>
      </c>
      <c r="GF68" s="39">
        <f>SUMIFS(Lançamentos!$G:$G,Lançamentos!$A:$A,GF$19,Lançamentos!$C:$C,"Cartão de Crédito")</f>
        <v>0</v>
      </c>
      <c r="GG68" s="39">
        <f>SUMIFS(Lançamentos!$G:$G,Lançamentos!$A:$A,GG$19,Lançamentos!$C:$C,"Cartão de Crédito")</f>
        <v>0</v>
      </c>
      <c r="GH68" s="39">
        <f>SUMIFS(Lançamentos!$G:$G,Lançamentos!$A:$A,GH$19,Lançamentos!$C:$C,"Cartão de Crédito")</f>
        <v>0</v>
      </c>
      <c r="GI68" s="39">
        <f>SUMIFS(Lançamentos!$G:$G,Lançamentos!$A:$A,GI$19,Lançamentos!$C:$C,"Cartão de Crédito")</f>
        <v>0</v>
      </c>
      <c r="GJ68" s="39">
        <f>SUMIFS(Lançamentos!$G:$G,Lançamentos!$A:$A,GJ$19,Lançamentos!$C:$C,"Cartão de Crédito")</f>
        <v>0</v>
      </c>
      <c r="GK68" s="39">
        <f>SUMIFS(Lançamentos!$G:$G,Lançamentos!$A:$A,GK$19,Lançamentos!$C:$C,"Cartão de Crédito")</f>
        <v>0</v>
      </c>
      <c r="GL68" s="39">
        <f>SUMIFS(Lançamentos!$G:$G,Lançamentos!$A:$A,GL$19,Lançamentos!$C:$C,"Cartão de Crédito")</f>
        <v>0</v>
      </c>
      <c r="GM68" s="39">
        <f>SUMIFS(Lançamentos!$G:$G,Lançamentos!$A:$A,GM$19,Lançamentos!$C:$C,"Cartão de Crédito")</f>
        <v>0</v>
      </c>
      <c r="GN68" s="39">
        <f>SUMIFS(Lançamentos!$G:$G,Lançamentos!$A:$A,GN$19,Lançamentos!$C:$C,"Cartão de Crédito")</f>
        <v>0</v>
      </c>
      <c r="GO68" s="39">
        <f>SUMIFS(Lançamentos!$G:$G,Lançamentos!$A:$A,GO$19,Lançamentos!$C:$C,"Cartão de Crédito")</f>
        <v>0</v>
      </c>
      <c r="GP68" s="39">
        <f>SUMIFS(Lançamentos!$G:$G,Lançamentos!$A:$A,GP$19,Lançamentos!$C:$C,"Cartão de Crédito")</f>
        <v>0</v>
      </c>
      <c r="GQ68" s="39">
        <f>SUMIFS(Lançamentos!$G:$G,Lançamentos!$A:$A,GQ$19,Lançamentos!$C:$C,"Cartão de Crédito")</f>
        <v>0</v>
      </c>
      <c r="GR68" s="39">
        <f>SUMIFS(Lançamentos!$G:$G,Lançamentos!$A:$A,GR$19,Lançamentos!$C:$C,"Cartão de Crédito")</f>
        <v>0</v>
      </c>
      <c r="GS68" s="39">
        <f>SUMIFS(Lançamentos!$G:$G,Lançamentos!$A:$A,GS$19,Lançamentos!$C:$C,"Cartão de Crédito")</f>
        <v>0</v>
      </c>
      <c r="GT68" s="39">
        <f>SUMIFS(Lançamentos!$G:$G,Lançamentos!$A:$A,GT$19,Lançamentos!$C:$C,"Cartão de Crédito")</f>
        <v>0</v>
      </c>
      <c r="GU68" s="39">
        <f>SUMIFS(Lançamentos!$G:$G,Lançamentos!$A:$A,GU$19,Lançamentos!$C:$C,"Cartão de Crédito")</f>
        <v>0</v>
      </c>
      <c r="GV68" s="39">
        <f>SUMIFS(Lançamentos!$G:$G,Lançamentos!$A:$A,GV$19,Lançamentos!$C:$C,"Cartão de Crédito")</f>
        <v>0</v>
      </c>
      <c r="GW68" s="39">
        <f>SUMIFS(Lançamentos!$G:$G,Lançamentos!$A:$A,GW$19,Lançamentos!$C:$C,"Cartão de Crédito")</f>
        <v>0</v>
      </c>
      <c r="GX68" s="39">
        <f>SUMIFS(Lançamentos!$G:$G,Lançamentos!$A:$A,GX$19,Lançamentos!$C:$C,"Cartão de Crédito")</f>
        <v>0</v>
      </c>
      <c r="GY68" s="39">
        <f>SUMIFS(Lançamentos!$G:$G,Lançamentos!$A:$A,GY$19,Lançamentos!$C:$C,"Cartão de Crédito")</f>
        <v>0</v>
      </c>
      <c r="GZ68" s="39">
        <f>SUMIFS(Lançamentos!$G:$G,Lançamentos!$A:$A,GZ$19,Lançamentos!$C:$C,"Cartão de Crédito")</f>
        <v>0</v>
      </c>
      <c r="HA68" s="39">
        <f>SUMIFS(Lançamentos!$G:$G,Lançamentos!$A:$A,HA$19,Lançamentos!$C:$C,"Cartão de Crédito")</f>
        <v>0</v>
      </c>
      <c r="HB68" s="39">
        <f>SUMIFS(Lançamentos!$G:$G,Lançamentos!$A:$A,HB$19,Lançamentos!$C:$C,"Cartão de Crédito")</f>
        <v>0</v>
      </c>
      <c r="HC68" s="39">
        <f>SUMIFS(Lançamentos!$G:$G,Lançamentos!$A:$A,HC$19,Lançamentos!$C:$C,"Cartão de Crédito")</f>
        <v>0</v>
      </c>
      <c r="HD68" s="39">
        <f>SUMIFS(Lançamentos!$G:$G,Lançamentos!$A:$A,HD$19,Lançamentos!$C:$C,"Cartão de Crédito")</f>
        <v>0</v>
      </c>
      <c r="HE68" s="39">
        <f>SUMIFS(Lançamentos!$G:$G,Lançamentos!$A:$A,HE$19,Lançamentos!$C:$C,"Cartão de Crédito")</f>
        <v>0</v>
      </c>
      <c r="HF68" s="39">
        <f>SUMIFS(Lançamentos!$G:$G,Lançamentos!$A:$A,HF$19,Lançamentos!$C:$C,"Cartão de Crédito")</f>
        <v>0</v>
      </c>
      <c r="HG68" s="39">
        <f>SUMIFS(Lançamentos!$G:$G,Lançamentos!$A:$A,HG$19,Lançamentos!$C:$C,"Cartão de Crédito")</f>
        <v>0</v>
      </c>
      <c r="HH68" s="39">
        <f>SUMIFS(Lançamentos!$G:$G,Lançamentos!$A:$A,HH$19,Lançamentos!$C:$C,"Cartão de Crédito")</f>
        <v>0</v>
      </c>
      <c r="HI68" s="39">
        <f>SUMIFS(Lançamentos!$G:$G,Lançamentos!$A:$A,HI$19,Lançamentos!$C:$C,"Cartão de Crédito")</f>
        <v>0</v>
      </c>
      <c r="HJ68" s="39">
        <f>SUMIFS(Lançamentos!$G:$G,Lançamentos!$A:$A,HJ$19,Lançamentos!$C:$C,"Cartão de Crédito")</f>
        <v>0</v>
      </c>
      <c r="HK68" s="39">
        <f>SUMIFS(Lançamentos!$G:$G,Lançamentos!$A:$A,HK$19,Lançamentos!$C:$C,"Cartão de Crédito")</f>
        <v>0</v>
      </c>
      <c r="HL68" s="39">
        <f>SUMIFS(Lançamentos!$G:$G,Lançamentos!$A:$A,HL$19,Lançamentos!$C:$C,"Cartão de Crédito")</f>
        <v>0</v>
      </c>
      <c r="HM68" s="39">
        <f>SUMIFS(Lançamentos!$G:$G,Lançamentos!$A:$A,HM$19,Lançamentos!$C:$C,"Cartão de Crédito")</f>
        <v>0</v>
      </c>
      <c r="HN68" s="39">
        <f>SUMIFS(Lançamentos!$G:$G,Lançamentos!$A:$A,HN$19,Lançamentos!$C:$C,"Cartão de Crédito")</f>
        <v>0</v>
      </c>
      <c r="HO68" s="39">
        <f>SUMIFS(Lançamentos!$G:$G,Lançamentos!$A:$A,HO$19,Lançamentos!$C:$C,"Cartão de Crédito")</f>
        <v>0</v>
      </c>
      <c r="HP68" s="39">
        <f>SUMIFS(Lançamentos!$G:$G,Lançamentos!$A:$A,HP$19,Lançamentos!$C:$C,"Cartão de Crédito")</f>
        <v>0</v>
      </c>
      <c r="HQ68" s="39">
        <f>SUMIFS(Lançamentos!$G:$G,Lançamentos!$A:$A,HQ$19,Lançamentos!$C:$C,"Cartão de Crédito")</f>
        <v>0</v>
      </c>
      <c r="HR68" s="39">
        <f>SUMIFS(Lançamentos!$G:$G,Lançamentos!$A:$A,HR$19,Lançamentos!$C:$C,"Cartão de Crédito")</f>
        <v>0</v>
      </c>
      <c r="HS68" s="39">
        <f>SUMIFS(Lançamentos!$G:$G,Lançamentos!$A:$A,HS$19,Lançamentos!$C:$C,"Cartão de Crédito")</f>
        <v>0</v>
      </c>
      <c r="HT68" s="39">
        <f>SUMIFS(Lançamentos!$G:$G,Lançamentos!$A:$A,HT$19,Lançamentos!$C:$C,"Cartão de Crédito")</f>
        <v>0</v>
      </c>
      <c r="HU68" s="39">
        <f>SUMIFS(Lançamentos!$G:$G,Lançamentos!$A:$A,HU$19,Lançamentos!$C:$C,"Cartão de Crédito")</f>
        <v>0</v>
      </c>
      <c r="HV68" s="39">
        <f>SUMIFS(Lançamentos!$G:$G,Lançamentos!$A:$A,HV$19,Lançamentos!$C:$C,"Cartão de Crédito")</f>
        <v>0</v>
      </c>
      <c r="HW68" s="39">
        <f>SUMIFS(Lançamentos!$G:$G,Lançamentos!$A:$A,HW$19,Lançamentos!$C:$C,"Cartão de Crédito")</f>
        <v>0</v>
      </c>
      <c r="HX68" s="39">
        <f>SUMIFS(Lançamentos!$G:$G,Lançamentos!$A:$A,HX$19,Lançamentos!$C:$C,"Cartão de Crédito")</f>
        <v>0</v>
      </c>
      <c r="HY68" s="39">
        <f>SUMIFS(Lançamentos!$G:$G,Lançamentos!$A:$A,HY$19,Lançamentos!$C:$C,"Cartão de Crédito")</f>
        <v>0</v>
      </c>
      <c r="HZ68" s="39">
        <f>SUMIFS(Lançamentos!$G:$G,Lançamentos!$A:$A,HZ$19,Lançamentos!$C:$C,"Cartão de Crédito")</f>
        <v>0</v>
      </c>
      <c r="IA68" s="39">
        <f>SUMIFS(Lançamentos!$G:$G,Lançamentos!$A:$A,IA$19,Lançamentos!$C:$C,"Cartão de Crédito")</f>
        <v>0</v>
      </c>
      <c r="IB68" s="39">
        <f>SUMIFS(Lançamentos!$G:$G,Lançamentos!$A:$A,IB$19,Lançamentos!$C:$C,"Cartão de Crédito")</f>
        <v>0</v>
      </c>
      <c r="IC68" s="39">
        <f>SUMIFS(Lançamentos!$G:$G,Lançamentos!$A:$A,IC$19,Lançamentos!$C:$C,"Cartão de Crédito")</f>
        <v>0</v>
      </c>
      <c r="ID68" s="39">
        <f>SUMIFS(Lançamentos!$G:$G,Lançamentos!$A:$A,ID$19,Lançamentos!$C:$C,"Cartão de Crédito")</f>
        <v>0</v>
      </c>
      <c r="IE68" s="39">
        <f>SUMIFS(Lançamentos!$G:$G,Lançamentos!$A:$A,IE$19,Lançamentos!$C:$C,"Cartão de Crédito")</f>
        <v>0</v>
      </c>
      <c r="IF68" s="39">
        <f>SUMIFS(Lançamentos!$G:$G,Lançamentos!$A:$A,IF$19,Lançamentos!$C:$C,"Cartão de Crédito")</f>
        <v>0</v>
      </c>
      <c r="IG68" s="39">
        <f>SUMIFS(Lançamentos!$G:$G,Lançamentos!$A:$A,IG$19,Lançamentos!$C:$C,"Cartão de Crédito")</f>
        <v>0</v>
      </c>
      <c r="IH68" s="39">
        <f>SUMIFS(Lançamentos!$G:$G,Lançamentos!$A:$A,IH$19,Lançamentos!$C:$C,"Cartão de Crédito")</f>
        <v>0</v>
      </c>
      <c r="II68" s="39">
        <f>SUMIFS(Lançamentos!$G:$G,Lançamentos!$A:$A,II$19,Lançamentos!$C:$C,"Cartão de Crédito")</f>
        <v>0</v>
      </c>
      <c r="IJ68" s="39">
        <f>SUMIFS(Lançamentos!$G:$G,Lançamentos!$A:$A,IJ$19,Lançamentos!$C:$C,"Cartão de Crédito")</f>
        <v>0</v>
      </c>
      <c r="IK68" s="39">
        <f>SUMIFS(Lançamentos!$G:$G,Lançamentos!$A:$A,IK$19,Lançamentos!$C:$C,"Cartão de Crédito")</f>
        <v>0</v>
      </c>
      <c r="IL68" s="39">
        <f>SUMIFS(Lançamentos!$G:$G,Lançamentos!$A:$A,IL$19,Lançamentos!$C:$C,"Cartão de Crédito")</f>
        <v>0</v>
      </c>
    </row>
    <row r="69" spans="1:246" x14ac:dyDescent="0.3">
      <c r="A69" t="s">
        <v>114</v>
      </c>
      <c r="B69" s="39">
        <f>SUMIFS(Lançamentos!$G:$G,Lançamentos!$A:$A,B$19,Lançamentos!$C:$C,"Multas e Juros")</f>
        <v>0</v>
      </c>
      <c r="C69" s="39">
        <f>SUMIFS(Lançamentos!$G:$G,Lançamentos!$A:$A,C$19,Lançamentos!$C:$C,"Multas e Juros")</f>
        <v>0</v>
      </c>
      <c r="D69" s="39">
        <f>SUMIFS(Lançamentos!$G:$G,Lançamentos!$A:$A,D$19,Lançamentos!$C:$C,"Multas e Juros")</f>
        <v>0</v>
      </c>
      <c r="E69" s="39">
        <f>SUMIFS(Lançamentos!$G:$G,Lançamentos!$A:$A,E$19,Lançamentos!$C:$C,"Multas e Juros")</f>
        <v>0</v>
      </c>
      <c r="F69" s="39">
        <f>SUMIFS(Lançamentos!$G:$G,Lançamentos!$A:$A,F$19,Lançamentos!$C:$C,"Multas e Juros")</f>
        <v>0</v>
      </c>
      <c r="G69" s="39">
        <f>SUMIFS(Lançamentos!$G:$G,Lançamentos!$A:$A,G$19,Lançamentos!$C:$C,"Multas e Juros")</f>
        <v>0</v>
      </c>
      <c r="H69" s="39">
        <f>SUMIFS(Lançamentos!$G:$G,Lançamentos!$A:$A,H$19,Lançamentos!$C:$C,"Multas e Juros")</f>
        <v>0</v>
      </c>
      <c r="I69" s="39">
        <f>SUMIFS(Lançamentos!$G:$G,Lançamentos!$A:$A,I$19,Lançamentos!$C:$C,"Multas e Juros")</f>
        <v>0</v>
      </c>
      <c r="J69" s="39">
        <f>SUMIFS(Lançamentos!$G:$G,Lançamentos!$A:$A,J$19,Lançamentos!$C:$C,"Multas e Juros")</f>
        <v>0</v>
      </c>
      <c r="K69" s="39">
        <f>SUMIFS(Lançamentos!$G:$G,Lançamentos!$A:$A,K$19,Lançamentos!$C:$C,"Multas e Juros")</f>
        <v>0</v>
      </c>
      <c r="L69" s="39">
        <f>SUMIFS(Lançamentos!$G:$G,Lançamentos!$A:$A,L$19,Lançamentos!$C:$C,"Multas e Juros")</f>
        <v>0</v>
      </c>
      <c r="M69" s="39">
        <f>SUMIFS(Lançamentos!$G:$G,Lançamentos!$A:$A,M$19,Lançamentos!$C:$C,"Multas e Juros")</f>
        <v>0</v>
      </c>
      <c r="N69" s="39">
        <f>SUMIFS(Lançamentos!$G:$G,Lançamentos!$A:$A,N$19,Lançamentos!$C:$C,"Multas e Juros")</f>
        <v>0</v>
      </c>
      <c r="O69" s="39">
        <f>SUMIFS(Lançamentos!$G:$G,Lançamentos!$A:$A,O$19,Lançamentos!$C:$C,"Multas e Juros")</f>
        <v>0</v>
      </c>
      <c r="P69" s="39">
        <f>SUMIFS(Lançamentos!$G:$G,Lançamentos!$A:$A,P$19,Lançamentos!$C:$C,"Multas e Juros")</f>
        <v>0</v>
      </c>
      <c r="Q69" s="39">
        <f>SUMIFS(Lançamentos!$G:$G,Lançamentos!$A:$A,Q$19,Lançamentos!$C:$C,"Multas e Juros")</f>
        <v>0</v>
      </c>
      <c r="R69" s="39">
        <f>SUMIFS(Lançamentos!$G:$G,Lançamentos!$A:$A,R$19,Lançamentos!$C:$C,"Multas e Juros")</f>
        <v>0</v>
      </c>
      <c r="S69" s="39">
        <f>SUMIFS(Lançamentos!$G:$G,Lançamentos!$A:$A,S$19,Lançamentos!$C:$C,"Multas e Juros")</f>
        <v>0</v>
      </c>
      <c r="T69" s="39">
        <f>SUMIFS(Lançamentos!$G:$G,Lançamentos!$A:$A,T$19,Lançamentos!$C:$C,"Multas e Juros")</f>
        <v>0</v>
      </c>
      <c r="U69" s="39">
        <f>SUMIFS(Lançamentos!$G:$G,Lançamentos!$A:$A,U$19,Lançamentos!$C:$C,"Multas e Juros")</f>
        <v>0</v>
      </c>
      <c r="V69" s="39">
        <f>SUMIFS(Lançamentos!$G:$G,Lançamentos!$A:$A,V$19,Lançamentos!$C:$C,"Multas e Juros")</f>
        <v>0</v>
      </c>
      <c r="W69" s="39">
        <f>SUMIFS(Lançamentos!$G:$G,Lançamentos!$A:$A,W$19,Lançamentos!$C:$C,"Multas e Juros")</f>
        <v>0</v>
      </c>
      <c r="X69" s="39">
        <f>SUMIFS(Lançamentos!$G:$G,Lançamentos!$A:$A,X$19,Lançamentos!$C:$C,"Multas e Juros")</f>
        <v>0</v>
      </c>
      <c r="Y69" s="39">
        <f>SUMIFS(Lançamentos!$G:$G,Lançamentos!$A:$A,Y$19,Lançamentos!$C:$C,"Multas e Juros")</f>
        <v>0</v>
      </c>
      <c r="Z69" s="39">
        <f>SUMIFS(Lançamentos!$G:$G,Lançamentos!$A:$A,Z$19,Lançamentos!$C:$C,"Multas e Juros")</f>
        <v>0</v>
      </c>
      <c r="AA69" s="39">
        <f>SUMIFS(Lançamentos!$G:$G,Lançamentos!$A:$A,AA$19,Lançamentos!$C:$C,"Multas e Juros")</f>
        <v>0</v>
      </c>
      <c r="AB69" s="39">
        <f>SUMIFS(Lançamentos!$G:$G,Lançamentos!$A:$A,AB$19,Lançamentos!$C:$C,"Multas e Juros")</f>
        <v>0</v>
      </c>
      <c r="AC69" s="39">
        <f>SUMIFS(Lançamentos!$G:$G,Lançamentos!$A:$A,AC$19,Lançamentos!$C:$C,"Multas e Juros")</f>
        <v>0</v>
      </c>
      <c r="AD69" s="39">
        <f>SUMIFS(Lançamentos!$G:$G,Lançamentos!$A:$A,AD$19,Lançamentos!$C:$C,"Multas e Juros")</f>
        <v>0</v>
      </c>
      <c r="AE69" s="39">
        <f>SUMIFS(Lançamentos!$G:$G,Lançamentos!$A:$A,AE$19,Lançamentos!$C:$C,"Multas e Juros")</f>
        <v>0</v>
      </c>
      <c r="AF69" s="39">
        <f>SUMIFS(Lançamentos!$G:$G,Lançamentos!$A:$A,AF$19,Lançamentos!$C:$C,"Multas e Juros")</f>
        <v>0</v>
      </c>
      <c r="AG69" s="39">
        <f>SUMIFS(Lançamentos!$G:$G,Lançamentos!$A:$A,AG$19,Lançamentos!$C:$C,"Multas e Juros")</f>
        <v>0</v>
      </c>
      <c r="AH69" s="39">
        <f>SUMIFS(Lançamentos!$G:$G,Lançamentos!$A:$A,AH$19,Lançamentos!$C:$C,"Multas e Juros")</f>
        <v>0</v>
      </c>
      <c r="AI69" s="39">
        <f>SUMIFS(Lançamentos!$G:$G,Lançamentos!$A:$A,AI$19,Lançamentos!$C:$C,"Multas e Juros")</f>
        <v>0</v>
      </c>
      <c r="AJ69" s="39">
        <f>SUMIFS(Lançamentos!$G:$G,Lançamentos!$A:$A,AJ$19,Lançamentos!$C:$C,"Multas e Juros")</f>
        <v>0</v>
      </c>
      <c r="AK69" s="39">
        <f>SUMIFS(Lançamentos!$G:$G,Lançamentos!$A:$A,AK$19,Lançamentos!$C:$C,"Multas e Juros")</f>
        <v>0</v>
      </c>
      <c r="AL69" s="39">
        <f>SUMIFS(Lançamentos!$G:$G,Lançamentos!$A:$A,AL$19,Lançamentos!$C:$C,"Multas e Juros")</f>
        <v>0</v>
      </c>
      <c r="AM69" s="39">
        <f>SUMIFS(Lançamentos!$G:$G,Lançamentos!$A:$A,AM$19,Lançamentos!$C:$C,"Multas e Juros")</f>
        <v>0</v>
      </c>
      <c r="AN69" s="39">
        <f>SUMIFS(Lançamentos!$G:$G,Lançamentos!$A:$A,AN$19,Lançamentos!$C:$C,"Multas e Juros")</f>
        <v>0</v>
      </c>
      <c r="AO69" s="39">
        <f>SUMIFS(Lançamentos!$G:$G,Lançamentos!$A:$A,AO$19,Lançamentos!$C:$C,"Multas e Juros")</f>
        <v>0</v>
      </c>
      <c r="AP69" s="39">
        <f>SUMIFS(Lançamentos!$G:$G,Lançamentos!$A:$A,AP$19,Lançamentos!$C:$C,"Multas e Juros")</f>
        <v>0</v>
      </c>
      <c r="AQ69" s="39">
        <f>SUMIFS(Lançamentos!$G:$G,Lançamentos!$A:$A,AQ$19,Lançamentos!$C:$C,"Multas e Juros")</f>
        <v>0</v>
      </c>
      <c r="AR69" s="39">
        <f>SUMIFS(Lançamentos!$G:$G,Lançamentos!$A:$A,AR$19,Lançamentos!$C:$C,"Multas e Juros")</f>
        <v>0</v>
      </c>
      <c r="AS69" s="39">
        <f>SUMIFS(Lançamentos!$G:$G,Lançamentos!$A:$A,AS$19,Lançamentos!$C:$C,"Multas e Juros")</f>
        <v>0</v>
      </c>
      <c r="AT69" s="39">
        <f>SUMIFS(Lançamentos!$G:$G,Lançamentos!$A:$A,AT$19,Lançamentos!$C:$C,"Multas e Juros")</f>
        <v>0</v>
      </c>
      <c r="AU69" s="39">
        <f>SUMIFS(Lançamentos!$G:$G,Lançamentos!$A:$A,AU$19,Lançamentos!$C:$C,"Multas e Juros")</f>
        <v>0</v>
      </c>
      <c r="AV69" s="39">
        <f>SUMIFS(Lançamentos!$G:$G,Lançamentos!$A:$A,AV$19,Lançamentos!$C:$C,"Multas e Juros")</f>
        <v>0</v>
      </c>
      <c r="AW69" s="39">
        <f>SUMIFS(Lançamentos!$G:$G,Lançamentos!$A:$A,AW$19,Lançamentos!$C:$C,"Multas e Juros")</f>
        <v>0</v>
      </c>
      <c r="AX69" s="39">
        <f>SUMIFS(Lançamentos!$G:$G,Lançamentos!$A:$A,AX$19,Lançamentos!$C:$C,"Multas e Juros")</f>
        <v>0</v>
      </c>
      <c r="AY69" s="39">
        <f>SUMIFS(Lançamentos!$G:$G,Lançamentos!$A:$A,AY$19,Lançamentos!$C:$C,"Multas e Juros")</f>
        <v>0</v>
      </c>
      <c r="AZ69" s="39">
        <f>SUMIFS(Lançamentos!$G:$G,Lançamentos!$A:$A,AZ$19,Lançamentos!$C:$C,"Multas e Juros")</f>
        <v>0</v>
      </c>
      <c r="BA69" s="39">
        <f>SUMIFS(Lançamentos!$G:$G,Lançamentos!$A:$A,BA$19,Lançamentos!$C:$C,"Multas e Juros")</f>
        <v>0</v>
      </c>
      <c r="BB69" s="39">
        <f>SUMIFS(Lançamentos!$G:$G,Lançamentos!$A:$A,BB$19,Lançamentos!$C:$C,"Multas e Juros")</f>
        <v>0</v>
      </c>
      <c r="BC69" s="39">
        <f>SUMIFS(Lançamentos!$G:$G,Lançamentos!$A:$A,BC$19,Lançamentos!$C:$C,"Multas e Juros")</f>
        <v>0</v>
      </c>
      <c r="BD69" s="39">
        <f>SUMIFS(Lançamentos!$G:$G,Lançamentos!$A:$A,BD$19,Lançamentos!$C:$C,"Multas e Juros")</f>
        <v>0</v>
      </c>
      <c r="BE69" s="39">
        <f>SUMIFS(Lançamentos!$G:$G,Lançamentos!$A:$A,BE$19,Lançamentos!$C:$C,"Multas e Juros")</f>
        <v>0</v>
      </c>
      <c r="BF69" s="39">
        <f>SUMIFS(Lançamentos!$G:$G,Lançamentos!$A:$A,BF$19,Lançamentos!$C:$C,"Multas e Juros")</f>
        <v>0</v>
      </c>
      <c r="BG69" s="39">
        <f>SUMIFS(Lançamentos!$G:$G,Lançamentos!$A:$A,BG$19,Lançamentos!$C:$C,"Multas e Juros")</f>
        <v>0</v>
      </c>
      <c r="BH69" s="39">
        <f>SUMIFS(Lançamentos!$G:$G,Lançamentos!$A:$A,BH$19,Lançamentos!$C:$C,"Multas e Juros")</f>
        <v>0</v>
      </c>
      <c r="BI69" s="39">
        <f>SUMIFS(Lançamentos!$G:$G,Lançamentos!$A:$A,BI$19,Lançamentos!$C:$C,"Multas e Juros")</f>
        <v>0</v>
      </c>
      <c r="BJ69" s="39">
        <f>SUMIFS(Lançamentos!$G:$G,Lançamentos!$A:$A,BJ$19,Lançamentos!$C:$C,"Multas e Juros")</f>
        <v>0</v>
      </c>
      <c r="BK69" s="39">
        <f>SUMIFS(Lançamentos!$G:$G,Lançamentos!$A:$A,BK$19,Lançamentos!$C:$C,"Multas e Juros")</f>
        <v>0</v>
      </c>
      <c r="BL69" s="39">
        <f>SUMIFS(Lançamentos!$G:$G,Lançamentos!$A:$A,BL$19,Lançamentos!$C:$C,"Multas e Juros")</f>
        <v>0</v>
      </c>
      <c r="BM69" s="39">
        <f>SUMIFS(Lançamentos!$G:$G,Lançamentos!$A:$A,BM$19,Lançamentos!$C:$C,"Multas e Juros")</f>
        <v>0</v>
      </c>
      <c r="BN69" s="39">
        <f>SUMIFS(Lançamentos!$G:$G,Lançamentos!$A:$A,BN$19,Lançamentos!$C:$C,"Multas e Juros")</f>
        <v>0</v>
      </c>
      <c r="BO69" s="39">
        <f>SUMIFS(Lançamentos!$G:$G,Lançamentos!$A:$A,BO$19,Lançamentos!$C:$C,"Multas e Juros")</f>
        <v>0</v>
      </c>
      <c r="BP69" s="39">
        <f>SUMIFS(Lançamentos!$G:$G,Lançamentos!$A:$A,BP$19,Lançamentos!$C:$C,"Multas e Juros")</f>
        <v>0</v>
      </c>
      <c r="BQ69" s="39">
        <f>SUMIFS(Lançamentos!$G:$G,Lançamentos!$A:$A,BQ$19,Lançamentos!$C:$C,"Multas e Juros")</f>
        <v>0</v>
      </c>
      <c r="BR69" s="39">
        <f>SUMIFS(Lançamentos!$G:$G,Lançamentos!$A:$A,BR$19,Lançamentos!$C:$C,"Multas e Juros")</f>
        <v>0</v>
      </c>
      <c r="BS69" s="39">
        <f>SUMIFS(Lançamentos!$G:$G,Lançamentos!$A:$A,BS$19,Lançamentos!$C:$C,"Multas e Juros")</f>
        <v>0</v>
      </c>
      <c r="BT69" s="39">
        <f>SUMIFS(Lançamentos!$G:$G,Lançamentos!$A:$A,BT$19,Lançamentos!$C:$C,"Multas e Juros")</f>
        <v>0</v>
      </c>
      <c r="BU69" s="39">
        <f>SUMIFS(Lançamentos!$G:$G,Lançamentos!$A:$A,BU$19,Lançamentos!$C:$C,"Multas e Juros")</f>
        <v>0</v>
      </c>
      <c r="BV69" s="39">
        <f>SUMIFS(Lançamentos!$G:$G,Lançamentos!$A:$A,BV$19,Lançamentos!$C:$C,"Multas e Juros")</f>
        <v>0</v>
      </c>
      <c r="BW69" s="39">
        <f>SUMIFS(Lançamentos!$G:$G,Lançamentos!$A:$A,BW$19,Lançamentos!$C:$C,"Multas e Juros")</f>
        <v>0</v>
      </c>
      <c r="BX69" s="39">
        <f>SUMIFS(Lançamentos!$G:$G,Lançamentos!$A:$A,BX$19,Lançamentos!$C:$C,"Multas e Juros")</f>
        <v>0</v>
      </c>
      <c r="BY69" s="39">
        <f>SUMIFS(Lançamentos!$G:$G,Lançamentos!$A:$A,BY$19,Lançamentos!$C:$C,"Multas e Juros")</f>
        <v>0</v>
      </c>
      <c r="BZ69" s="39">
        <f>SUMIFS(Lançamentos!$G:$G,Lançamentos!$A:$A,BZ$19,Lançamentos!$C:$C,"Multas e Juros")</f>
        <v>0</v>
      </c>
      <c r="CA69" s="39">
        <f>SUMIFS(Lançamentos!$G:$G,Lançamentos!$A:$A,CA$19,Lançamentos!$C:$C,"Multas e Juros")</f>
        <v>0</v>
      </c>
      <c r="CB69" s="39">
        <f>SUMIFS(Lançamentos!$G:$G,Lançamentos!$A:$A,CB$19,Lançamentos!$C:$C,"Multas e Juros")</f>
        <v>0</v>
      </c>
      <c r="CC69" s="39">
        <f>SUMIFS(Lançamentos!$G:$G,Lançamentos!$A:$A,CC$19,Lançamentos!$C:$C,"Multas e Juros")</f>
        <v>0</v>
      </c>
      <c r="CD69" s="39">
        <f>SUMIFS(Lançamentos!$G:$G,Lançamentos!$A:$A,CD$19,Lançamentos!$C:$C,"Multas e Juros")</f>
        <v>0</v>
      </c>
      <c r="CE69" s="39">
        <f>SUMIFS(Lançamentos!$G:$G,Lançamentos!$A:$A,CE$19,Lançamentos!$C:$C,"Multas e Juros")</f>
        <v>0</v>
      </c>
      <c r="CF69" s="39">
        <f>SUMIFS(Lançamentos!$G:$G,Lançamentos!$A:$A,CF$19,Lançamentos!$C:$C,"Multas e Juros")</f>
        <v>0</v>
      </c>
      <c r="CG69" s="39">
        <f>SUMIFS(Lançamentos!$G:$G,Lançamentos!$A:$A,CG$19,Lançamentos!$C:$C,"Multas e Juros")</f>
        <v>0</v>
      </c>
      <c r="CH69" s="39">
        <f>SUMIFS(Lançamentos!$G:$G,Lançamentos!$A:$A,CH$19,Lançamentos!$C:$C,"Multas e Juros")</f>
        <v>0</v>
      </c>
      <c r="CI69" s="39">
        <f>SUMIFS(Lançamentos!$G:$G,Lançamentos!$A:$A,CI$19,Lançamentos!$C:$C,"Multas e Juros")</f>
        <v>0</v>
      </c>
      <c r="CJ69" s="39">
        <f>SUMIFS(Lançamentos!$G:$G,Lançamentos!$A:$A,CJ$19,Lançamentos!$C:$C,"Multas e Juros")</f>
        <v>0</v>
      </c>
      <c r="CK69" s="39">
        <f>SUMIFS(Lançamentos!$G:$G,Lançamentos!$A:$A,CK$19,Lançamentos!$C:$C,"Multas e Juros")</f>
        <v>0</v>
      </c>
      <c r="CL69" s="39">
        <f>SUMIFS(Lançamentos!$G:$G,Lançamentos!$A:$A,CL$19,Lançamentos!$C:$C,"Multas e Juros")</f>
        <v>0</v>
      </c>
      <c r="CM69" s="39">
        <f>SUMIFS(Lançamentos!$G:$G,Lançamentos!$A:$A,CM$19,Lançamentos!$C:$C,"Multas e Juros")</f>
        <v>0</v>
      </c>
      <c r="CN69" s="39">
        <f>SUMIFS(Lançamentos!$G:$G,Lançamentos!$A:$A,CN$19,Lançamentos!$C:$C,"Multas e Juros")</f>
        <v>0</v>
      </c>
      <c r="CO69" s="39">
        <f>SUMIFS(Lançamentos!$G:$G,Lançamentos!$A:$A,CO$19,Lançamentos!$C:$C,"Multas e Juros")</f>
        <v>0</v>
      </c>
      <c r="CP69" s="39">
        <f>SUMIFS(Lançamentos!$G:$G,Lançamentos!$A:$A,CP$19,Lançamentos!$C:$C,"Multas e Juros")</f>
        <v>0</v>
      </c>
      <c r="CQ69" s="39">
        <f>SUMIFS(Lançamentos!$G:$G,Lançamentos!$A:$A,CQ$19,Lançamentos!$C:$C,"Multas e Juros")</f>
        <v>0</v>
      </c>
      <c r="CR69" s="39">
        <f>SUMIFS(Lançamentos!$G:$G,Lançamentos!$A:$A,CR$19,Lançamentos!$C:$C,"Multas e Juros")</f>
        <v>0</v>
      </c>
      <c r="CS69" s="39">
        <f>SUMIFS(Lançamentos!$G:$G,Lançamentos!$A:$A,CS$19,Lançamentos!$C:$C,"Multas e Juros")</f>
        <v>0</v>
      </c>
      <c r="CT69" s="39">
        <f>SUMIFS(Lançamentos!$G:$G,Lançamentos!$A:$A,CT$19,Lançamentos!$C:$C,"Multas e Juros")</f>
        <v>0</v>
      </c>
      <c r="CU69" s="39">
        <f>SUMIFS(Lançamentos!$G:$G,Lançamentos!$A:$A,CU$19,Lançamentos!$C:$C,"Multas e Juros")</f>
        <v>0</v>
      </c>
      <c r="CV69" s="39">
        <f>SUMIFS(Lançamentos!$G:$G,Lançamentos!$A:$A,CV$19,Lançamentos!$C:$C,"Multas e Juros")</f>
        <v>0</v>
      </c>
      <c r="CW69" s="39">
        <f>SUMIFS(Lançamentos!$G:$G,Lançamentos!$A:$A,CW$19,Lançamentos!$C:$C,"Multas e Juros")</f>
        <v>0</v>
      </c>
      <c r="CX69" s="39">
        <f>SUMIFS(Lançamentos!$G:$G,Lançamentos!$A:$A,CX$19,Lançamentos!$C:$C,"Multas e Juros")</f>
        <v>0</v>
      </c>
      <c r="CY69" s="39">
        <f>SUMIFS(Lançamentos!$G:$G,Lançamentos!$A:$A,CY$19,Lançamentos!$C:$C,"Multas e Juros")</f>
        <v>0</v>
      </c>
      <c r="CZ69" s="39">
        <f>SUMIFS(Lançamentos!$G:$G,Lançamentos!$A:$A,CZ$19,Lançamentos!$C:$C,"Multas e Juros")</f>
        <v>0</v>
      </c>
      <c r="DA69" s="39">
        <f>SUMIFS(Lançamentos!$G:$G,Lançamentos!$A:$A,DA$19,Lançamentos!$C:$C,"Multas e Juros")</f>
        <v>0</v>
      </c>
      <c r="DB69" s="39">
        <f>SUMIFS(Lançamentos!$G:$G,Lançamentos!$A:$A,DB$19,Lançamentos!$C:$C,"Multas e Juros")</f>
        <v>0</v>
      </c>
      <c r="DC69" s="39">
        <f>SUMIFS(Lançamentos!$G:$G,Lançamentos!$A:$A,DC$19,Lançamentos!$C:$C,"Multas e Juros")</f>
        <v>0</v>
      </c>
      <c r="DD69" s="39">
        <f>SUMIFS(Lançamentos!$G:$G,Lançamentos!$A:$A,DD$19,Lançamentos!$C:$C,"Multas e Juros")</f>
        <v>0</v>
      </c>
      <c r="DE69" s="39">
        <f>SUMIFS(Lançamentos!$G:$G,Lançamentos!$A:$A,DE$19,Lançamentos!$C:$C,"Multas e Juros")</f>
        <v>0</v>
      </c>
      <c r="DF69" s="39">
        <f>SUMIFS(Lançamentos!$G:$G,Lançamentos!$A:$A,DF$19,Lançamentos!$C:$C,"Multas e Juros")</f>
        <v>0</v>
      </c>
      <c r="DG69" s="39">
        <f>SUMIFS(Lançamentos!$G:$G,Lançamentos!$A:$A,DG$19,Lançamentos!$C:$C,"Multas e Juros")</f>
        <v>0</v>
      </c>
      <c r="DH69" s="39">
        <f>SUMIFS(Lançamentos!$G:$G,Lançamentos!$A:$A,DH$19,Lançamentos!$C:$C,"Multas e Juros")</f>
        <v>0</v>
      </c>
      <c r="DI69" s="39">
        <f>SUMIFS(Lançamentos!$G:$G,Lançamentos!$A:$A,DI$19,Lançamentos!$C:$C,"Multas e Juros")</f>
        <v>0</v>
      </c>
      <c r="DJ69" s="39">
        <f>SUMIFS(Lançamentos!$G:$G,Lançamentos!$A:$A,DJ$19,Lançamentos!$C:$C,"Multas e Juros")</f>
        <v>0</v>
      </c>
      <c r="DK69" s="39">
        <f>SUMIFS(Lançamentos!$G:$G,Lançamentos!$A:$A,DK$19,Lançamentos!$C:$C,"Multas e Juros")</f>
        <v>0</v>
      </c>
      <c r="DL69" s="39">
        <f>SUMIFS(Lançamentos!$G:$G,Lançamentos!$A:$A,DL$19,Lançamentos!$C:$C,"Multas e Juros")</f>
        <v>0</v>
      </c>
      <c r="DM69" s="39">
        <f>SUMIFS(Lançamentos!$G:$G,Lançamentos!$A:$A,DM$19,Lançamentos!$C:$C,"Multas e Juros")</f>
        <v>0</v>
      </c>
      <c r="DN69" s="39">
        <f>SUMIFS(Lançamentos!$G:$G,Lançamentos!$A:$A,DN$19,Lançamentos!$C:$C,"Multas e Juros")</f>
        <v>0</v>
      </c>
      <c r="DO69" s="39">
        <f>SUMIFS(Lançamentos!$G:$G,Lançamentos!$A:$A,DO$19,Lançamentos!$C:$C,"Multas e Juros")</f>
        <v>0</v>
      </c>
      <c r="DP69" s="39">
        <f>SUMIFS(Lançamentos!$G:$G,Lançamentos!$A:$A,DP$19,Lançamentos!$C:$C,"Multas e Juros")</f>
        <v>0</v>
      </c>
      <c r="DQ69" s="39">
        <f>SUMIFS(Lançamentos!$G:$G,Lançamentos!$A:$A,DQ$19,Lançamentos!$C:$C,"Multas e Juros")</f>
        <v>0</v>
      </c>
      <c r="DR69" s="39">
        <f>SUMIFS(Lançamentos!$G:$G,Lançamentos!$A:$A,DR$19,Lançamentos!$C:$C,"Multas e Juros")</f>
        <v>0</v>
      </c>
      <c r="DS69" s="39">
        <f>SUMIFS(Lançamentos!$G:$G,Lançamentos!$A:$A,DS$19,Lançamentos!$C:$C,"Multas e Juros")</f>
        <v>0</v>
      </c>
      <c r="DT69" s="39">
        <f>SUMIFS(Lançamentos!$G:$G,Lançamentos!$A:$A,DT$19,Lançamentos!$C:$C,"Multas e Juros")</f>
        <v>0</v>
      </c>
      <c r="DU69" s="39">
        <f>SUMIFS(Lançamentos!$G:$G,Lançamentos!$A:$A,DU$19,Lançamentos!$C:$C,"Multas e Juros")</f>
        <v>0</v>
      </c>
      <c r="DV69" s="39">
        <f>SUMIFS(Lançamentos!$G:$G,Lançamentos!$A:$A,DV$19,Lançamentos!$C:$C,"Multas e Juros")</f>
        <v>0</v>
      </c>
      <c r="DW69" s="39">
        <f>SUMIFS(Lançamentos!$G:$G,Lançamentos!$A:$A,DW$19,Lançamentos!$C:$C,"Multas e Juros")</f>
        <v>0</v>
      </c>
      <c r="DX69" s="39">
        <f>SUMIFS(Lançamentos!$G:$G,Lançamentos!$A:$A,DX$19,Lançamentos!$C:$C,"Multas e Juros")</f>
        <v>0</v>
      </c>
      <c r="DY69" s="39">
        <f>SUMIFS(Lançamentos!$G:$G,Lançamentos!$A:$A,DY$19,Lançamentos!$C:$C,"Multas e Juros")</f>
        <v>0</v>
      </c>
      <c r="DZ69" s="39">
        <f>SUMIFS(Lançamentos!$G:$G,Lançamentos!$A:$A,DZ$19,Lançamentos!$C:$C,"Multas e Juros")</f>
        <v>0</v>
      </c>
      <c r="EA69" s="39">
        <f>SUMIFS(Lançamentos!$G:$G,Lançamentos!$A:$A,EA$19,Lançamentos!$C:$C,"Multas e Juros")</f>
        <v>0</v>
      </c>
      <c r="EB69" s="39">
        <f>SUMIFS(Lançamentos!$G:$G,Lançamentos!$A:$A,EB$19,Lançamentos!$C:$C,"Multas e Juros")</f>
        <v>0</v>
      </c>
      <c r="EC69" s="39">
        <f>SUMIFS(Lançamentos!$G:$G,Lançamentos!$A:$A,EC$19,Lançamentos!$C:$C,"Multas e Juros")</f>
        <v>0</v>
      </c>
      <c r="ED69" s="39">
        <f>SUMIFS(Lançamentos!$G:$G,Lançamentos!$A:$A,ED$19,Lançamentos!$C:$C,"Multas e Juros")</f>
        <v>0</v>
      </c>
      <c r="EE69" s="39">
        <f>SUMIFS(Lançamentos!$G:$G,Lançamentos!$A:$A,EE$19,Lançamentos!$C:$C,"Multas e Juros")</f>
        <v>0</v>
      </c>
      <c r="EF69" s="39">
        <f>SUMIFS(Lançamentos!$G:$G,Lançamentos!$A:$A,EF$19,Lançamentos!$C:$C,"Multas e Juros")</f>
        <v>0</v>
      </c>
      <c r="EG69" s="39">
        <f>SUMIFS(Lançamentos!$G:$G,Lançamentos!$A:$A,EG$19,Lançamentos!$C:$C,"Multas e Juros")</f>
        <v>0</v>
      </c>
      <c r="EH69" s="39">
        <f>SUMIFS(Lançamentos!$G:$G,Lançamentos!$A:$A,EH$19,Lançamentos!$C:$C,"Multas e Juros")</f>
        <v>0</v>
      </c>
      <c r="EI69" s="39">
        <f>SUMIFS(Lançamentos!$G:$G,Lançamentos!$A:$A,EI$19,Lançamentos!$C:$C,"Multas e Juros")</f>
        <v>0</v>
      </c>
      <c r="EJ69" s="39">
        <f>SUMIFS(Lançamentos!$G:$G,Lançamentos!$A:$A,EJ$19,Lançamentos!$C:$C,"Multas e Juros")</f>
        <v>0</v>
      </c>
      <c r="EK69" s="39">
        <f>SUMIFS(Lançamentos!$G:$G,Lançamentos!$A:$A,EK$19,Lançamentos!$C:$C,"Multas e Juros")</f>
        <v>0</v>
      </c>
      <c r="EL69" s="39">
        <f>SUMIFS(Lançamentos!$G:$G,Lançamentos!$A:$A,EL$19,Lançamentos!$C:$C,"Multas e Juros")</f>
        <v>0</v>
      </c>
      <c r="EM69" s="39">
        <f>SUMIFS(Lançamentos!$G:$G,Lançamentos!$A:$A,EM$19,Lançamentos!$C:$C,"Multas e Juros")</f>
        <v>0</v>
      </c>
      <c r="EN69" s="39">
        <f>SUMIFS(Lançamentos!$G:$G,Lançamentos!$A:$A,EN$19,Lançamentos!$C:$C,"Multas e Juros")</f>
        <v>0</v>
      </c>
      <c r="EO69" s="39">
        <f>SUMIFS(Lançamentos!$G:$G,Lançamentos!$A:$A,EO$19,Lançamentos!$C:$C,"Multas e Juros")</f>
        <v>0</v>
      </c>
      <c r="EP69" s="39">
        <f>SUMIFS(Lançamentos!$G:$G,Lançamentos!$A:$A,EP$19,Lançamentos!$C:$C,"Multas e Juros")</f>
        <v>0</v>
      </c>
      <c r="EQ69" s="39">
        <f>SUMIFS(Lançamentos!$G:$G,Lançamentos!$A:$A,EQ$19,Lançamentos!$C:$C,"Multas e Juros")</f>
        <v>0</v>
      </c>
      <c r="ER69" s="39">
        <f>SUMIFS(Lançamentos!$G:$G,Lançamentos!$A:$A,ER$19,Lançamentos!$C:$C,"Multas e Juros")</f>
        <v>0</v>
      </c>
      <c r="ES69" s="39">
        <f>SUMIFS(Lançamentos!$G:$G,Lançamentos!$A:$A,ES$19,Lançamentos!$C:$C,"Multas e Juros")</f>
        <v>0</v>
      </c>
      <c r="ET69" s="39">
        <f>SUMIFS(Lançamentos!$G:$G,Lançamentos!$A:$A,ET$19,Lançamentos!$C:$C,"Multas e Juros")</f>
        <v>0</v>
      </c>
      <c r="EU69" s="39">
        <f>SUMIFS(Lançamentos!$G:$G,Lançamentos!$A:$A,EU$19,Lançamentos!$C:$C,"Multas e Juros")</f>
        <v>0</v>
      </c>
      <c r="EV69" s="39">
        <f>SUMIFS(Lançamentos!$G:$G,Lançamentos!$A:$A,EV$19,Lançamentos!$C:$C,"Multas e Juros")</f>
        <v>0</v>
      </c>
      <c r="EW69" s="39">
        <f>SUMIFS(Lançamentos!$G:$G,Lançamentos!$A:$A,EW$19,Lançamentos!$C:$C,"Multas e Juros")</f>
        <v>0</v>
      </c>
      <c r="EX69" s="39">
        <f>SUMIFS(Lançamentos!$G:$G,Lançamentos!$A:$A,EX$19,Lançamentos!$C:$C,"Multas e Juros")</f>
        <v>0</v>
      </c>
      <c r="EY69" s="39">
        <f>SUMIFS(Lançamentos!$G:$G,Lançamentos!$A:$A,EY$19,Lançamentos!$C:$C,"Multas e Juros")</f>
        <v>0</v>
      </c>
      <c r="EZ69" s="39">
        <f>SUMIFS(Lançamentos!$G:$G,Lançamentos!$A:$A,EZ$19,Lançamentos!$C:$C,"Multas e Juros")</f>
        <v>0</v>
      </c>
      <c r="FA69" s="39">
        <f>SUMIFS(Lançamentos!$G:$G,Lançamentos!$A:$A,FA$19,Lançamentos!$C:$C,"Multas e Juros")</f>
        <v>0</v>
      </c>
      <c r="FB69" s="39">
        <f>SUMIFS(Lançamentos!$G:$G,Lançamentos!$A:$A,FB$19,Lançamentos!$C:$C,"Multas e Juros")</f>
        <v>0</v>
      </c>
      <c r="FC69" s="39">
        <f>SUMIFS(Lançamentos!$G:$G,Lançamentos!$A:$A,FC$19,Lançamentos!$C:$C,"Multas e Juros")</f>
        <v>0</v>
      </c>
      <c r="FD69" s="39">
        <f>SUMIFS(Lançamentos!$G:$G,Lançamentos!$A:$A,FD$19,Lançamentos!$C:$C,"Multas e Juros")</f>
        <v>0</v>
      </c>
      <c r="FE69" s="39">
        <f>SUMIFS(Lançamentos!$G:$G,Lançamentos!$A:$A,FE$19,Lançamentos!$C:$C,"Multas e Juros")</f>
        <v>0</v>
      </c>
      <c r="FF69" s="39">
        <f>SUMIFS(Lançamentos!$G:$G,Lançamentos!$A:$A,FF$19,Lançamentos!$C:$C,"Multas e Juros")</f>
        <v>0</v>
      </c>
      <c r="FG69" s="39">
        <f>SUMIFS(Lançamentos!$G:$G,Lançamentos!$A:$A,FG$19,Lançamentos!$C:$C,"Multas e Juros")</f>
        <v>0</v>
      </c>
      <c r="FH69" s="39">
        <f>SUMIFS(Lançamentos!$G:$G,Lançamentos!$A:$A,FH$19,Lançamentos!$C:$C,"Multas e Juros")</f>
        <v>0</v>
      </c>
      <c r="FI69" s="39">
        <f>SUMIFS(Lançamentos!$G:$G,Lançamentos!$A:$A,FI$19,Lançamentos!$C:$C,"Multas e Juros")</f>
        <v>0</v>
      </c>
      <c r="FJ69" s="39">
        <f>SUMIFS(Lançamentos!$G:$G,Lançamentos!$A:$A,FJ$19,Lançamentos!$C:$C,"Multas e Juros")</f>
        <v>0</v>
      </c>
      <c r="FK69" s="39">
        <f>SUMIFS(Lançamentos!$G:$G,Lançamentos!$A:$A,FK$19,Lançamentos!$C:$C,"Multas e Juros")</f>
        <v>0</v>
      </c>
      <c r="FL69" s="39">
        <f>SUMIFS(Lançamentos!$G:$G,Lançamentos!$A:$A,FL$19,Lançamentos!$C:$C,"Multas e Juros")</f>
        <v>0</v>
      </c>
      <c r="FM69" s="39">
        <f>SUMIFS(Lançamentos!$G:$G,Lançamentos!$A:$A,FM$19,Lançamentos!$C:$C,"Multas e Juros")</f>
        <v>0</v>
      </c>
      <c r="FN69" s="39">
        <f>SUMIFS(Lançamentos!$G:$G,Lançamentos!$A:$A,FN$19,Lançamentos!$C:$C,"Multas e Juros")</f>
        <v>0</v>
      </c>
      <c r="FO69" s="39">
        <f>SUMIFS(Lançamentos!$G:$G,Lançamentos!$A:$A,FO$19,Lançamentos!$C:$C,"Multas e Juros")</f>
        <v>0</v>
      </c>
      <c r="FP69" s="39">
        <f>SUMIFS(Lançamentos!$G:$G,Lançamentos!$A:$A,FP$19,Lançamentos!$C:$C,"Multas e Juros")</f>
        <v>0</v>
      </c>
      <c r="FQ69" s="39">
        <f>SUMIFS(Lançamentos!$G:$G,Lançamentos!$A:$A,FQ$19,Lançamentos!$C:$C,"Multas e Juros")</f>
        <v>0</v>
      </c>
      <c r="FR69" s="39">
        <f>SUMIFS(Lançamentos!$G:$G,Lançamentos!$A:$A,FR$19,Lançamentos!$C:$C,"Multas e Juros")</f>
        <v>0</v>
      </c>
      <c r="FS69" s="39">
        <f>SUMIFS(Lançamentos!$G:$G,Lançamentos!$A:$A,FS$19,Lançamentos!$C:$C,"Multas e Juros")</f>
        <v>0</v>
      </c>
      <c r="FT69" s="39">
        <f>SUMIFS(Lançamentos!$G:$G,Lançamentos!$A:$A,FT$19,Lançamentos!$C:$C,"Multas e Juros")</f>
        <v>0</v>
      </c>
      <c r="FU69" s="39">
        <f>SUMIFS(Lançamentos!$G:$G,Lançamentos!$A:$A,FU$19,Lançamentos!$C:$C,"Multas e Juros")</f>
        <v>0</v>
      </c>
      <c r="FV69" s="39">
        <f>SUMIFS(Lançamentos!$G:$G,Lançamentos!$A:$A,FV$19,Lançamentos!$C:$C,"Multas e Juros")</f>
        <v>0</v>
      </c>
      <c r="FW69" s="39">
        <f>SUMIFS(Lançamentos!$G:$G,Lançamentos!$A:$A,FW$19,Lançamentos!$C:$C,"Multas e Juros")</f>
        <v>0</v>
      </c>
      <c r="FX69" s="39">
        <f>SUMIFS(Lançamentos!$G:$G,Lançamentos!$A:$A,FX$19,Lançamentos!$C:$C,"Multas e Juros")</f>
        <v>0</v>
      </c>
      <c r="FY69" s="39">
        <f>SUMIFS(Lançamentos!$G:$G,Lançamentos!$A:$A,FY$19,Lançamentos!$C:$C,"Multas e Juros")</f>
        <v>0</v>
      </c>
      <c r="FZ69" s="39">
        <f>SUMIFS(Lançamentos!$G:$G,Lançamentos!$A:$A,FZ$19,Lançamentos!$C:$C,"Multas e Juros")</f>
        <v>0</v>
      </c>
      <c r="GA69" s="39">
        <f>SUMIFS(Lançamentos!$G:$G,Lançamentos!$A:$A,GA$19,Lançamentos!$C:$C,"Multas e Juros")</f>
        <v>0</v>
      </c>
      <c r="GB69" s="39">
        <f>SUMIFS(Lançamentos!$G:$G,Lançamentos!$A:$A,GB$19,Lançamentos!$C:$C,"Multas e Juros")</f>
        <v>0</v>
      </c>
      <c r="GC69" s="39">
        <f>SUMIFS(Lançamentos!$G:$G,Lançamentos!$A:$A,GC$19,Lançamentos!$C:$C,"Multas e Juros")</f>
        <v>0</v>
      </c>
      <c r="GD69" s="39">
        <f>SUMIFS(Lançamentos!$G:$G,Lançamentos!$A:$A,GD$19,Lançamentos!$C:$C,"Multas e Juros")</f>
        <v>0</v>
      </c>
      <c r="GE69" s="39">
        <f>SUMIFS(Lançamentos!$G:$G,Lançamentos!$A:$A,GE$19,Lançamentos!$C:$C,"Multas e Juros")</f>
        <v>0</v>
      </c>
      <c r="GF69" s="39">
        <f>SUMIFS(Lançamentos!$G:$G,Lançamentos!$A:$A,GF$19,Lançamentos!$C:$C,"Multas e Juros")</f>
        <v>0</v>
      </c>
      <c r="GG69" s="39">
        <f>SUMIFS(Lançamentos!$G:$G,Lançamentos!$A:$A,GG$19,Lançamentos!$C:$C,"Multas e Juros")</f>
        <v>0</v>
      </c>
      <c r="GH69" s="39">
        <f>SUMIFS(Lançamentos!$G:$G,Lançamentos!$A:$A,GH$19,Lançamentos!$C:$C,"Multas e Juros")</f>
        <v>0</v>
      </c>
      <c r="GI69" s="39">
        <f>SUMIFS(Lançamentos!$G:$G,Lançamentos!$A:$A,GI$19,Lançamentos!$C:$C,"Multas e Juros")</f>
        <v>0</v>
      </c>
      <c r="GJ69" s="39">
        <f>SUMIFS(Lançamentos!$G:$G,Lançamentos!$A:$A,GJ$19,Lançamentos!$C:$C,"Multas e Juros")</f>
        <v>0</v>
      </c>
      <c r="GK69" s="39">
        <f>SUMIFS(Lançamentos!$G:$G,Lançamentos!$A:$A,GK$19,Lançamentos!$C:$C,"Multas e Juros")</f>
        <v>0</v>
      </c>
      <c r="GL69" s="39">
        <f>SUMIFS(Lançamentos!$G:$G,Lançamentos!$A:$A,GL$19,Lançamentos!$C:$C,"Multas e Juros")</f>
        <v>0</v>
      </c>
      <c r="GM69" s="39">
        <f>SUMIFS(Lançamentos!$G:$G,Lançamentos!$A:$A,GM$19,Lançamentos!$C:$C,"Multas e Juros")</f>
        <v>0</v>
      </c>
      <c r="GN69" s="39">
        <f>SUMIFS(Lançamentos!$G:$G,Lançamentos!$A:$A,GN$19,Lançamentos!$C:$C,"Multas e Juros")</f>
        <v>0</v>
      </c>
      <c r="GO69" s="39">
        <f>SUMIFS(Lançamentos!$G:$G,Lançamentos!$A:$A,GO$19,Lançamentos!$C:$C,"Multas e Juros")</f>
        <v>0</v>
      </c>
      <c r="GP69" s="39">
        <f>SUMIFS(Lançamentos!$G:$G,Lançamentos!$A:$A,GP$19,Lançamentos!$C:$C,"Multas e Juros")</f>
        <v>0</v>
      </c>
      <c r="GQ69" s="39">
        <f>SUMIFS(Lançamentos!$G:$G,Lançamentos!$A:$A,GQ$19,Lançamentos!$C:$C,"Multas e Juros")</f>
        <v>0</v>
      </c>
      <c r="GR69" s="39">
        <f>SUMIFS(Lançamentos!$G:$G,Lançamentos!$A:$A,GR$19,Lançamentos!$C:$C,"Multas e Juros")</f>
        <v>0</v>
      </c>
      <c r="GS69" s="39">
        <f>SUMIFS(Lançamentos!$G:$G,Lançamentos!$A:$A,GS$19,Lançamentos!$C:$C,"Multas e Juros")</f>
        <v>0</v>
      </c>
      <c r="GT69" s="39">
        <f>SUMIFS(Lançamentos!$G:$G,Lançamentos!$A:$A,GT$19,Lançamentos!$C:$C,"Multas e Juros")</f>
        <v>0</v>
      </c>
      <c r="GU69" s="39">
        <f>SUMIFS(Lançamentos!$G:$G,Lançamentos!$A:$A,GU$19,Lançamentos!$C:$C,"Multas e Juros")</f>
        <v>0</v>
      </c>
      <c r="GV69" s="39">
        <f>SUMIFS(Lançamentos!$G:$G,Lançamentos!$A:$A,GV$19,Lançamentos!$C:$C,"Multas e Juros")</f>
        <v>0</v>
      </c>
      <c r="GW69" s="39">
        <f>SUMIFS(Lançamentos!$G:$G,Lançamentos!$A:$A,GW$19,Lançamentos!$C:$C,"Multas e Juros")</f>
        <v>0</v>
      </c>
      <c r="GX69" s="39">
        <f>SUMIFS(Lançamentos!$G:$G,Lançamentos!$A:$A,GX$19,Lançamentos!$C:$C,"Multas e Juros")</f>
        <v>0</v>
      </c>
      <c r="GY69" s="39">
        <f>SUMIFS(Lançamentos!$G:$G,Lançamentos!$A:$A,GY$19,Lançamentos!$C:$C,"Multas e Juros")</f>
        <v>0</v>
      </c>
      <c r="GZ69" s="39">
        <f>SUMIFS(Lançamentos!$G:$G,Lançamentos!$A:$A,GZ$19,Lançamentos!$C:$C,"Multas e Juros")</f>
        <v>0</v>
      </c>
      <c r="HA69" s="39">
        <f>SUMIFS(Lançamentos!$G:$G,Lançamentos!$A:$A,HA$19,Lançamentos!$C:$C,"Multas e Juros")</f>
        <v>0</v>
      </c>
      <c r="HB69" s="39">
        <f>SUMIFS(Lançamentos!$G:$G,Lançamentos!$A:$A,HB$19,Lançamentos!$C:$C,"Multas e Juros")</f>
        <v>0</v>
      </c>
      <c r="HC69" s="39">
        <f>SUMIFS(Lançamentos!$G:$G,Lançamentos!$A:$A,HC$19,Lançamentos!$C:$C,"Multas e Juros")</f>
        <v>0</v>
      </c>
      <c r="HD69" s="39">
        <f>SUMIFS(Lançamentos!$G:$G,Lançamentos!$A:$A,HD$19,Lançamentos!$C:$C,"Multas e Juros")</f>
        <v>0</v>
      </c>
      <c r="HE69" s="39">
        <f>SUMIFS(Lançamentos!$G:$G,Lançamentos!$A:$A,HE$19,Lançamentos!$C:$C,"Multas e Juros")</f>
        <v>0</v>
      </c>
      <c r="HF69" s="39">
        <f>SUMIFS(Lançamentos!$G:$G,Lançamentos!$A:$A,HF$19,Lançamentos!$C:$C,"Multas e Juros")</f>
        <v>0</v>
      </c>
      <c r="HG69" s="39">
        <f>SUMIFS(Lançamentos!$G:$G,Lançamentos!$A:$A,HG$19,Lançamentos!$C:$C,"Multas e Juros")</f>
        <v>0</v>
      </c>
      <c r="HH69" s="39">
        <f>SUMIFS(Lançamentos!$G:$G,Lançamentos!$A:$A,HH$19,Lançamentos!$C:$C,"Multas e Juros")</f>
        <v>0</v>
      </c>
      <c r="HI69" s="39">
        <f>SUMIFS(Lançamentos!$G:$G,Lançamentos!$A:$A,HI$19,Lançamentos!$C:$C,"Multas e Juros")</f>
        <v>0</v>
      </c>
      <c r="HJ69" s="39">
        <f>SUMIFS(Lançamentos!$G:$G,Lançamentos!$A:$A,HJ$19,Lançamentos!$C:$C,"Multas e Juros")</f>
        <v>0</v>
      </c>
      <c r="HK69" s="39">
        <f>SUMIFS(Lançamentos!$G:$G,Lançamentos!$A:$A,HK$19,Lançamentos!$C:$C,"Multas e Juros")</f>
        <v>0</v>
      </c>
      <c r="HL69" s="39">
        <f>SUMIFS(Lançamentos!$G:$G,Lançamentos!$A:$A,HL$19,Lançamentos!$C:$C,"Multas e Juros")</f>
        <v>0</v>
      </c>
      <c r="HM69" s="39">
        <f>SUMIFS(Lançamentos!$G:$G,Lançamentos!$A:$A,HM$19,Lançamentos!$C:$C,"Multas e Juros")</f>
        <v>0</v>
      </c>
      <c r="HN69" s="39">
        <f>SUMIFS(Lançamentos!$G:$G,Lançamentos!$A:$A,HN$19,Lançamentos!$C:$C,"Multas e Juros")</f>
        <v>0</v>
      </c>
      <c r="HO69" s="39">
        <f>SUMIFS(Lançamentos!$G:$G,Lançamentos!$A:$A,HO$19,Lançamentos!$C:$C,"Multas e Juros")</f>
        <v>0</v>
      </c>
      <c r="HP69" s="39">
        <f>SUMIFS(Lançamentos!$G:$G,Lançamentos!$A:$A,HP$19,Lançamentos!$C:$C,"Multas e Juros")</f>
        <v>0</v>
      </c>
      <c r="HQ69" s="39">
        <f>SUMIFS(Lançamentos!$G:$G,Lançamentos!$A:$A,HQ$19,Lançamentos!$C:$C,"Multas e Juros")</f>
        <v>0</v>
      </c>
      <c r="HR69" s="39">
        <f>SUMIFS(Lançamentos!$G:$G,Lançamentos!$A:$A,HR$19,Lançamentos!$C:$C,"Multas e Juros")</f>
        <v>0</v>
      </c>
      <c r="HS69" s="39">
        <f>SUMIFS(Lançamentos!$G:$G,Lançamentos!$A:$A,HS$19,Lançamentos!$C:$C,"Multas e Juros")</f>
        <v>0</v>
      </c>
      <c r="HT69" s="39">
        <f>SUMIFS(Lançamentos!$G:$G,Lançamentos!$A:$A,HT$19,Lançamentos!$C:$C,"Multas e Juros")</f>
        <v>0</v>
      </c>
      <c r="HU69" s="39">
        <f>SUMIFS(Lançamentos!$G:$G,Lançamentos!$A:$A,HU$19,Lançamentos!$C:$C,"Multas e Juros")</f>
        <v>0</v>
      </c>
      <c r="HV69" s="39">
        <f>SUMIFS(Lançamentos!$G:$G,Lançamentos!$A:$A,HV$19,Lançamentos!$C:$C,"Multas e Juros")</f>
        <v>0</v>
      </c>
      <c r="HW69" s="39">
        <f>SUMIFS(Lançamentos!$G:$G,Lançamentos!$A:$A,HW$19,Lançamentos!$C:$C,"Multas e Juros")</f>
        <v>0</v>
      </c>
      <c r="HX69" s="39">
        <f>SUMIFS(Lançamentos!$G:$G,Lançamentos!$A:$A,HX$19,Lançamentos!$C:$C,"Multas e Juros")</f>
        <v>0</v>
      </c>
      <c r="HY69" s="39">
        <f>SUMIFS(Lançamentos!$G:$G,Lançamentos!$A:$A,HY$19,Lançamentos!$C:$C,"Multas e Juros")</f>
        <v>0</v>
      </c>
      <c r="HZ69" s="39">
        <f>SUMIFS(Lançamentos!$G:$G,Lançamentos!$A:$A,HZ$19,Lançamentos!$C:$C,"Multas e Juros")</f>
        <v>0</v>
      </c>
      <c r="IA69" s="39">
        <f>SUMIFS(Lançamentos!$G:$G,Lançamentos!$A:$A,IA$19,Lançamentos!$C:$C,"Multas e Juros")</f>
        <v>0</v>
      </c>
      <c r="IB69" s="39">
        <f>SUMIFS(Lançamentos!$G:$G,Lançamentos!$A:$A,IB$19,Lançamentos!$C:$C,"Multas e Juros")</f>
        <v>0</v>
      </c>
      <c r="IC69" s="39">
        <f>SUMIFS(Lançamentos!$G:$G,Lançamentos!$A:$A,IC$19,Lançamentos!$C:$C,"Multas e Juros")</f>
        <v>0</v>
      </c>
      <c r="ID69" s="39">
        <f>SUMIFS(Lançamentos!$G:$G,Lançamentos!$A:$A,ID$19,Lançamentos!$C:$C,"Multas e Juros")</f>
        <v>0</v>
      </c>
      <c r="IE69" s="39">
        <f>SUMIFS(Lançamentos!$G:$G,Lançamentos!$A:$A,IE$19,Lançamentos!$C:$C,"Multas e Juros")</f>
        <v>0</v>
      </c>
      <c r="IF69" s="39">
        <f>SUMIFS(Lançamentos!$G:$G,Lançamentos!$A:$A,IF$19,Lançamentos!$C:$C,"Multas e Juros")</f>
        <v>0</v>
      </c>
      <c r="IG69" s="39">
        <f>SUMIFS(Lançamentos!$G:$G,Lançamentos!$A:$A,IG$19,Lançamentos!$C:$C,"Multas e Juros")</f>
        <v>0</v>
      </c>
      <c r="IH69" s="39">
        <f>SUMIFS(Lançamentos!$G:$G,Lançamentos!$A:$A,IH$19,Lançamentos!$C:$C,"Multas e Juros")</f>
        <v>0</v>
      </c>
      <c r="II69" s="39">
        <f>SUMIFS(Lançamentos!$G:$G,Lançamentos!$A:$A,II$19,Lançamentos!$C:$C,"Multas e Juros")</f>
        <v>0</v>
      </c>
      <c r="IJ69" s="39">
        <f>SUMIFS(Lançamentos!$G:$G,Lançamentos!$A:$A,IJ$19,Lançamentos!$C:$C,"Multas e Juros")</f>
        <v>0</v>
      </c>
      <c r="IK69" s="39">
        <f>SUMIFS(Lançamentos!$G:$G,Lançamentos!$A:$A,IK$19,Lançamentos!$C:$C,"Multas e Juros")</f>
        <v>0</v>
      </c>
      <c r="IL69" s="39">
        <f>SUMIFS(Lançamentos!$G:$G,Lançamentos!$A:$A,IL$19,Lançamentos!$C:$C,"Multas e Juros")</f>
        <v>0</v>
      </c>
    </row>
    <row r="70" spans="1:246" x14ac:dyDescent="0.3">
      <c r="A70" t="s">
        <v>115</v>
      </c>
      <c r="B70" s="39">
        <f>SUMIFS(Lançamentos!$G:$G,Lançamentos!$A:$A,B$19,Lançamentos!$C:$C,"Pagamento de Fornecedores")</f>
        <v>0</v>
      </c>
      <c r="C70" s="39">
        <f>SUMIFS(Lançamentos!$G:$G,Lançamentos!$A:$A,C$19,Lançamentos!$C:$C,"Pagamento de Fornecedores")</f>
        <v>0</v>
      </c>
      <c r="D70" s="39">
        <f>SUMIFS(Lançamentos!$G:$G,Lançamentos!$A:$A,D$19,Lançamentos!$C:$C,"Pagamento de Fornecedores")</f>
        <v>0</v>
      </c>
      <c r="E70" s="39">
        <f>SUMIFS(Lançamentos!$G:$G,Lançamentos!$A:$A,E$19,Lançamentos!$C:$C,"Pagamento de Fornecedores")</f>
        <v>0</v>
      </c>
      <c r="F70" s="39">
        <f>SUMIFS(Lançamentos!$G:$G,Lançamentos!$A:$A,F$19,Lançamentos!$C:$C,"Pagamento de Fornecedores")</f>
        <v>0</v>
      </c>
      <c r="G70" s="39">
        <f>SUMIFS(Lançamentos!$G:$G,Lançamentos!$A:$A,G$19,Lançamentos!$C:$C,"Pagamento de Fornecedores")</f>
        <v>0</v>
      </c>
      <c r="H70" s="39">
        <f>SUMIFS(Lançamentos!$G:$G,Lançamentos!$A:$A,H$19,Lançamentos!$C:$C,"Pagamento de Fornecedores")</f>
        <v>0</v>
      </c>
      <c r="I70" s="39">
        <f>SUMIFS(Lançamentos!$G:$G,Lançamentos!$A:$A,I$19,Lançamentos!$C:$C,"Pagamento de Fornecedores")</f>
        <v>0</v>
      </c>
      <c r="J70" s="39">
        <f>SUMIFS(Lançamentos!$G:$G,Lançamentos!$A:$A,J$19,Lançamentos!$C:$C,"Pagamento de Fornecedores")</f>
        <v>0</v>
      </c>
      <c r="K70" s="39">
        <f>SUMIFS(Lançamentos!$G:$G,Lançamentos!$A:$A,K$19,Lançamentos!$C:$C,"Pagamento de Fornecedores")</f>
        <v>0</v>
      </c>
      <c r="L70" s="39">
        <f>SUMIFS(Lançamentos!$G:$G,Lançamentos!$A:$A,L$19,Lançamentos!$C:$C,"Pagamento de Fornecedores")</f>
        <v>0</v>
      </c>
      <c r="M70" s="39">
        <f>SUMIFS(Lançamentos!$G:$G,Lançamentos!$A:$A,M$19,Lançamentos!$C:$C,"Pagamento de Fornecedores")</f>
        <v>0</v>
      </c>
      <c r="N70" s="39">
        <f>SUMIFS(Lançamentos!$G:$G,Lançamentos!$A:$A,N$19,Lançamentos!$C:$C,"Pagamento de Fornecedores")</f>
        <v>0</v>
      </c>
      <c r="O70" s="39">
        <f>SUMIFS(Lançamentos!$G:$G,Lançamentos!$A:$A,O$19,Lançamentos!$C:$C,"Pagamento de Fornecedores")</f>
        <v>0</v>
      </c>
      <c r="P70" s="39">
        <f>SUMIFS(Lançamentos!$G:$G,Lançamentos!$A:$A,P$19,Lançamentos!$C:$C,"Pagamento de Fornecedores")</f>
        <v>0</v>
      </c>
      <c r="Q70" s="39">
        <f>SUMIFS(Lançamentos!$G:$G,Lançamentos!$A:$A,Q$19,Lançamentos!$C:$C,"Pagamento de Fornecedores")</f>
        <v>0</v>
      </c>
      <c r="R70" s="39">
        <f>SUMIFS(Lançamentos!$G:$G,Lançamentos!$A:$A,R$19,Lançamentos!$C:$C,"Pagamento de Fornecedores")</f>
        <v>0</v>
      </c>
      <c r="S70" s="39">
        <f>SUMIFS(Lançamentos!$G:$G,Lançamentos!$A:$A,S$19,Lançamentos!$C:$C,"Pagamento de Fornecedores")</f>
        <v>0</v>
      </c>
      <c r="T70" s="39">
        <f>SUMIFS(Lançamentos!$G:$G,Lançamentos!$A:$A,T$19,Lançamentos!$C:$C,"Pagamento de Fornecedores")</f>
        <v>0</v>
      </c>
      <c r="U70" s="39">
        <f>SUMIFS(Lançamentos!$G:$G,Lançamentos!$A:$A,U$19,Lançamentos!$C:$C,"Pagamento de Fornecedores")</f>
        <v>0</v>
      </c>
      <c r="V70" s="39">
        <f>SUMIFS(Lançamentos!$G:$G,Lançamentos!$A:$A,V$19,Lançamentos!$C:$C,"Pagamento de Fornecedores")</f>
        <v>0</v>
      </c>
      <c r="W70" s="39">
        <f>SUMIFS(Lançamentos!$G:$G,Lançamentos!$A:$A,W$19,Lançamentos!$C:$C,"Pagamento de Fornecedores")</f>
        <v>0</v>
      </c>
      <c r="X70" s="39">
        <f>SUMIFS(Lançamentos!$G:$G,Lançamentos!$A:$A,X$19,Lançamentos!$C:$C,"Pagamento de Fornecedores")</f>
        <v>0</v>
      </c>
      <c r="Y70" s="39">
        <f>SUMIFS(Lançamentos!$G:$G,Lançamentos!$A:$A,Y$19,Lançamentos!$C:$C,"Pagamento de Fornecedores")</f>
        <v>0</v>
      </c>
      <c r="Z70" s="39">
        <f>SUMIFS(Lançamentos!$G:$G,Lançamentos!$A:$A,Z$19,Lançamentos!$C:$C,"Pagamento de Fornecedores")</f>
        <v>0</v>
      </c>
      <c r="AA70" s="39">
        <f>SUMIFS(Lançamentos!$G:$G,Lançamentos!$A:$A,AA$19,Lançamentos!$C:$C,"Pagamento de Fornecedores")</f>
        <v>0</v>
      </c>
      <c r="AB70" s="39">
        <f>SUMIFS(Lançamentos!$G:$G,Lançamentos!$A:$A,AB$19,Lançamentos!$C:$C,"Pagamento de Fornecedores")</f>
        <v>0</v>
      </c>
      <c r="AC70" s="39">
        <f>SUMIFS(Lançamentos!$G:$G,Lançamentos!$A:$A,AC$19,Lançamentos!$C:$C,"Pagamento de Fornecedores")</f>
        <v>0</v>
      </c>
      <c r="AD70" s="39">
        <f>SUMIFS(Lançamentos!$G:$G,Lançamentos!$A:$A,AD$19,Lançamentos!$C:$C,"Pagamento de Fornecedores")</f>
        <v>0</v>
      </c>
      <c r="AE70" s="39">
        <f>SUMIFS(Lançamentos!$G:$G,Lançamentos!$A:$A,AE$19,Lançamentos!$C:$C,"Pagamento de Fornecedores")</f>
        <v>0</v>
      </c>
      <c r="AF70" s="39">
        <f>SUMIFS(Lançamentos!$G:$G,Lançamentos!$A:$A,AF$19,Lançamentos!$C:$C,"Pagamento de Fornecedores")</f>
        <v>0</v>
      </c>
      <c r="AG70" s="39">
        <f>SUMIFS(Lançamentos!$G:$G,Lançamentos!$A:$A,AG$19,Lançamentos!$C:$C,"Pagamento de Fornecedores")</f>
        <v>0</v>
      </c>
      <c r="AH70" s="39">
        <f>SUMIFS(Lançamentos!$G:$G,Lançamentos!$A:$A,AH$19,Lançamentos!$C:$C,"Pagamento de Fornecedores")</f>
        <v>0</v>
      </c>
      <c r="AI70" s="39">
        <f>SUMIFS(Lançamentos!$G:$G,Lançamentos!$A:$A,AI$19,Lançamentos!$C:$C,"Pagamento de Fornecedores")</f>
        <v>0</v>
      </c>
      <c r="AJ70" s="39">
        <f>SUMIFS(Lançamentos!$G:$G,Lançamentos!$A:$A,AJ$19,Lançamentos!$C:$C,"Pagamento de Fornecedores")</f>
        <v>0</v>
      </c>
      <c r="AK70" s="39">
        <f>SUMIFS(Lançamentos!$G:$G,Lançamentos!$A:$A,AK$19,Lançamentos!$C:$C,"Pagamento de Fornecedores")</f>
        <v>0</v>
      </c>
      <c r="AL70" s="39">
        <f>SUMIFS(Lançamentos!$G:$G,Lançamentos!$A:$A,AL$19,Lançamentos!$C:$C,"Pagamento de Fornecedores")</f>
        <v>0</v>
      </c>
      <c r="AM70" s="39">
        <f>SUMIFS(Lançamentos!$G:$G,Lançamentos!$A:$A,AM$19,Lançamentos!$C:$C,"Pagamento de Fornecedores")</f>
        <v>0</v>
      </c>
      <c r="AN70" s="39">
        <f>SUMIFS(Lançamentos!$G:$G,Lançamentos!$A:$A,AN$19,Lançamentos!$C:$C,"Pagamento de Fornecedores")</f>
        <v>0</v>
      </c>
      <c r="AO70" s="39">
        <f>SUMIFS(Lançamentos!$G:$G,Lançamentos!$A:$A,AO$19,Lançamentos!$C:$C,"Pagamento de Fornecedores")</f>
        <v>0</v>
      </c>
      <c r="AP70" s="39">
        <f>SUMIFS(Lançamentos!$G:$G,Lançamentos!$A:$A,AP$19,Lançamentos!$C:$C,"Pagamento de Fornecedores")</f>
        <v>0</v>
      </c>
      <c r="AQ70" s="39">
        <f>SUMIFS(Lançamentos!$G:$G,Lançamentos!$A:$A,AQ$19,Lançamentos!$C:$C,"Pagamento de Fornecedores")</f>
        <v>0</v>
      </c>
      <c r="AR70" s="39">
        <f>SUMIFS(Lançamentos!$G:$G,Lançamentos!$A:$A,AR$19,Lançamentos!$C:$C,"Pagamento de Fornecedores")</f>
        <v>0</v>
      </c>
      <c r="AS70" s="39">
        <f>SUMIFS(Lançamentos!$G:$G,Lançamentos!$A:$A,AS$19,Lançamentos!$C:$C,"Pagamento de Fornecedores")</f>
        <v>0</v>
      </c>
      <c r="AT70" s="39">
        <f>SUMIFS(Lançamentos!$G:$G,Lançamentos!$A:$A,AT$19,Lançamentos!$C:$C,"Pagamento de Fornecedores")</f>
        <v>0</v>
      </c>
      <c r="AU70" s="39">
        <f>SUMIFS(Lançamentos!$G:$G,Lançamentos!$A:$A,AU$19,Lançamentos!$C:$C,"Pagamento de Fornecedores")</f>
        <v>0</v>
      </c>
      <c r="AV70" s="39">
        <f>SUMIFS(Lançamentos!$G:$G,Lançamentos!$A:$A,AV$19,Lançamentos!$C:$C,"Pagamento de Fornecedores")</f>
        <v>0</v>
      </c>
      <c r="AW70" s="39">
        <f>SUMIFS(Lançamentos!$G:$G,Lançamentos!$A:$A,AW$19,Lançamentos!$C:$C,"Pagamento de Fornecedores")</f>
        <v>0</v>
      </c>
      <c r="AX70" s="39">
        <f>SUMIFS(Lançamentos!$G:$G,Lançamentos!$A:$A,AX$19,Lançamentos!$C:$C,"Pagamento de Fornecedores")</f>
        <v>0</v>
      </c>
      <c r="AY70" s="39">
        <f>SUMIFS(Lançamentos!$G:$G,Lançamentos!$A:$A,AY$19,Lançamentos!$C:$C,"Pagamento de Fornecedores")</f>
        <v>0</v>
      </c>
      <c r="AZ70" s="39">
        <f>SUMIFS(Lançamentos!$G:$G,Lançamentos!$A:$A,AZ$19,Lançamentos!$C:$C,"Pagamento de Fornecedores")</f>
        <v>0</v>
      </c>
      <c r="BA70" s="39">
        <f>SUMIFS(Lançamentos!$G:$G,Lançamentos!$A:$A,BA$19,Lançamentos!$C:$C,"Pagamento de Fornecedores")</f>
        <v>0</v>
      </c>
      <c r="BB70" s="39">
        <f>SUMIFS(Lançamentos!$G:$G,Lançamentos!$A:$A,BB$19,Lançamentos!$C:$C,"Pagamento de Fornecedores")</f>
        <v>0</v>
      </c>
      <c r="BC70" s="39">
        <f>SUMIFS(Lançamentos!$G:$G,Lançamentos!$A:$A,BC$19,Lançamentos!$C:$C,"Pagamento de Fornecedores")</f>
        <v>0</v>
      </c>
      <c r="BD70" s="39">
        <f>SUMIFS(Lançamentos!$G:$G,Lançamentos!$A:$A,BD$19,Lançamentos!$C:$C,"Pagamento de Fornecedores")</f>
        <v>0</v>
      </c>
      <c r="BE70" s="39">
        <f>SUMIFS(Lançamentos!$G:$G,Lançamentos!$A:$A,BE$19,Lançamentos!$C:$C,"Pagamento de Fornecedores")</f>
        <v>0</v>
      </c>
      <c r="BF70" s="39">
        <f>SUMIFS(Lançamentos!$G:$G,Lançamentos!$A:$A,BF$19,Lançamentos!$C:$C,"Pagamento de Fornecedores")</f>
        <v>0</v>
      </c>
      <c r="BG70" s="39">
        <f>SUMIFS(Lançamentos!$G:$G,Lançamentos!$A:$A,BG$19,Lançamentos!$C:$C,"Pagamento de Fornecedores")</f>
        <v>0</v>
      </c>
      <c r="BH70" s="39">
        <f>SUMIFS(Lançamentos!$G:$G,Lançamentos!$A:$A,BH$19,Lançamentos!$C:$C,"Pagamento de Fornecedores")</f>
        <v>0</v>
      </c>
      <c r="BI70" s="39">
        <f>SUMIFS(Lançamentos!$G:$G,Lançamentos!$A:$A,BI$19,Lançamentos!$C:$C,"Pagamento de Fornecedores")</f>
        <v>0</v>
      </c>
      <c r="BJ70" s="39">
        <f>SUMIFS(Lançamentos!$G:$G,Lançamentos!$A:$A,BJ$19,Lançamentos!$C:$C,"Pagamento de Fornecedores")</f>
        <v>0</v>
      </c>
      <c r="BK70" s="39">
        <f>SUMIFS(Lançamentos!$G:$G,Lançamentos!$A:$A,BK$19,Lançamentos!$C:$C,"Pagamento de Fornecedores")</f>
        <v>0</v>
      </c>
      <c r="BL70" s="39">
        <f>SUMIFS(Lançamentos!$G:$G,Lançamentos!$A:$A,BL$19,Lançamentos!$C:$C,"Pagamento de Fornecedores")</f>
        <v>0</v>
      </c>
      <c r="BM70" s="39">
        <f>SUMIFS(Lançamentos!$G:$G,Lançamentos!$A:$A,BM$19,Lançamentos!$C:$C,"Pagamento de Fornecedores")</f>
        <v>0</v>
      </c>
      <c r="BN70" s="39">
        <f>SUMIFS(Lançamentos!$G:$G,Lançamentos!$A:$A,BN$19,Lançamentos!$C:$C,"Pagamento de Fornecedores")</f>
        <v>0</v>
      </c>
      <c r="BO70" s="39">
        <f>SUMIFS(Lançamentos!$G:$G,Lançamentos!$A:$A,BO$19,Lançamentos!$C:$C,"Pagamento de Fornecedores")</f>
        <v>0</v>
      </c>
      <c r="BP70" s="39">
        <f>SUMIFS(Lançamentos!$G:$G,Lançamentos!$A:$A,BP$19,Lançamentos!$C:$C,"Pagamento de Fornecedores")</f>
        <v>0</v>
      </c>
      <c r="BQ70" s="39">
        <f>SUMIFS(Lançamentos!$G:$G,Lançamentos!$A:$A,BQ$19,Lançamentos!$C:$C,"Pagamento de Fornecedores")</f>
        <v>0</v>
      </c>
      <c r="BR70" s="39">
        <f>SUMIFS(Lançamentos!$G:$G,Lançamentos!$A:$A,BR$19,Lançamentos!$C:$C,"Pagamento de Fornecedores")</f>
        <v>0</v>
      </c>
      <c r="BS70" s="39">
        <f>SUMIFS(Lançamentos!$G:$G,Lançamentos!$A:$A,BS$19,Lançamentos!$C:$C,"Pagamento de Fornecedores")</f>
        <v>0</v>
      </c>
      <c r="BT70" s="39">
        <f>SUMIFS(Lançamentos!$G:$G,Lançamentos!$A:$A,BT$19,Lançamentos!$C:$C,"Pagamento de Fornecedores")</f>
        <v>0</v>
      </c>
      <c r="BU70" s="39">
        <f>SUMIFS(Lançamentos!$G:$G,Lançamentos!$A:$A,BU$19,Lançamentos!$C:$C,"Pagamento de Fornecedores")</f>
        <v>0</v>
      </c>
      <c r="BV70" s="39">
        <f>SUMIFS(Lançamentos!$G:$G,Lançamentos!$A:$A,BV$19,Lançamentos!$C:$C,"Pagamento de Fornecedores")</f>
        <v>0</v>
      </c>
      <c r="BW70" s="39">
        <f>SUMIFS(Lançamentos!$G:$G,Lançamentos!$A:$A,BW$19,Lançamentos!$C:$C,"Pagamento de Fornecedores")</f>
        <v>0</v>
      </c>
      <c r="BX70" s="39">
        <f>SUMIFS(Lançamentos!$G:$G,Lançamentos!$A:$A,BX$19,Lançamentos!$C:$C,"Pagamento de Fornecedores")</f>
        <v>0</v>
      </c>
      <c r="BY70" s="39">
        <f>SUMIFS(Lançamentos!$G:$G,Lançamentos!$A:$A,BY$19,Lançamentos!$C:$C,"Pagamento de Fornecedores")</f>
        <v>0</v>
      </c>
      <c r="BZ70" s="39">
        <f>SUMIFS(Lançamentos!$G:$G,Lançamentos!$A:$A,BZ$19,Lançamentos!$C:$C,"Pagamento de Fornecedores")</f>
        <v>0</v>
      </c>
      <c r="CA70" s="39">
        <f>SUMIFS(Lançamentos!$G:$G,Lançamentos!$A:$A,CA$19,Lançamentos!$C:$C,"Pagamento de Fornecedores")</f>
        <v>0</v>
      </c>
      <c r="CB70" s="39">
        <f>SUMIFS(Lançamentos!$G:$G,Lançamentos!$A:$A,CB$19,Lançamentos!$C:$C,"Pagamento de Fornecedores")</f>
        <v>0</v>
      </c>
      <c r="CC70" s="39">
        <f>SUMIFS(Lançamentos!$G:$G,Lançamentos!$A:$A,CC$19,Lançamentos!$C:$C,"Pagamento de Fornecedores")</f>
        <v>0</v>
      </c>
      <c r="CD70" s="39">
        <f>SUMIFS(Lançamentos!$G:$G,Lançamentos!$A:$A,CD$19,Lançamentos!$C:$C,"Pagamento de Fornecedores")</f>
        <v>0</v>
      </c>
      <c r="CE70" s="39">
        <f>SUMIFS(Lançamentos!$G:$G,Lançamentos!$A:$A,CE$19,Lançamentos!$C:$C,"Pagamento de Fornecedores")</f>
        <v>0</v>
      </c>
      <c r="CF70" s="39">
        <f>SUMIFS(Lançamentos!$G:$G,Lançamentos!$A:$A,CF$19,Lançamentos!$C:$C,"Pagamento de Fornecedores")</f>
        <v>0</v>
      </c>
      <c r="CG70" s="39">
        <f>SUMIFS(Lançamentos!$G:$G,Lançamentos!$A:$A,CG$19,Lançamentos!$C:$C,"Pagamento de Fornecedores")</f>
        <v>0</v>
      </c>
      <c r="CH70" s="39">
        <f>SUMIFS(Lançamentos!$G:$G,Lançamentos!$A:$A,CH$19,Lançamentos!$C:$C,"Pagamento de Fornecedores")</f>
        <v>0</v>
      </c>
      <c r="CI70" s="39">
        <f>SUMIFS(Lançamentos!$G:$G,Lançamentos!$A:$A,CI$19,Lançamentos!$C:$C,"Pagamento de Fornecedores")</f>
        <v>0</v>
      </c>
      <c r="CJ70" s="39">
        <f>SUMIFS(Lançamentos!$G:$G,Lançamentos!$A:$A,CJ$19,Lançamentos!$C:$C,"Pagamento de Fornecedores")</f>
        <v>0</v>
      </c>
      <c r="CK70" s="39">
        <f>SUMIFS(Lançamentos!$G:$G,Lançamentos!$A:$A,CK$19,Lançamentos!$C:$C,"Pagamento de Fornecedores")</f>
        <v>0</v>
      </c>
      <c r="CL70" s="39">
        <f>SUMIFS(Lançamentos!$G:$G,Lançamentos!$A:$A,CL$19,Lançamentos!$C:$C,"Pagamento de Fornecedores")</f>
        <v>0</v>
      </c>
      <c r="CM70" s="39">
        <f>SUMIFS(Lançamentos!$G:$G,Lançamentos!$A:$A,CM$19,Lançamentos!$C:$C,"Pagamento de Fornecedores")</f>
        <v>0</v>
      </c>
      <c r="CN70" s="39">
        <f>SUMIFS(Lançamentos!$G:$G,Lançamentos!$A:$A,CN$19,Lançamentos!$C:$C,"Pagamento de Fornecedores")</f>
        <v>0</v>
      </c>
      <c r="CO70" s="39">
        <f>SUMIFS(Lançamentos!$G:$G,Lançamentos!$A:$A,CO$19,Lançamentos!$C:$C,"Pagamento de Fornecedores")</f>
        <v>0</v>
      </c>
      <c r="CP70" s="39">
        <f>SUMIFS(Lançamentos!$G:$G,Lançamentos!$A:$A,CP$19,Lançamentos!$C:$C,"Pagamento de Fornecedores")</f>
        <v>0</v>
      </c>
      <c r="CQ70" s="39">
        <f>SUMIFS(Lançamentos!$G:$G,Lançamentos!$A:$A,CQ$19,Lançamentos!$C:$C,"Pagamento de Fornecedores")</f>
        <v>0</v>
      </c>
      <c r="CR70" s="39">
        <f>SUMIFS(Lançamentos!$G:$G,Lançamentos!$A:$A,CR$19,Lançamentos!$C:$C,"Pagamento de Fornecedores")</f>
        <v>0</v>
      </c>
      <c r="CS70" s="39">
        <f>SUMIFS(Lançamentos!$G:$G,Lançamentos!$A:$A,CS$19,Lançamentos!$C:$C,"Pagamento de Fornecedores")</f>
        <v>0</v>
      </c>
      <c r="CT70" s="39">
        <f>SUMIFS(Lançamentos!$G:$G,Lançamentos!$A:$A,CT$19,Lançamentos!$C:$C,"Pagamento de Fornecedores")</f>
        <v>0</v>
      </c>
      <c r="CU70" s="39">
        <f>SUMIFS(Lançamentos!$G:$G,Lançamentos!$A:$A,CU$19,Lançamentos!$C:$C,"Pagamento de Fornecedores")</f>
        <v>0</v>
      </c>
      <c r="CV70" s="39">
        <f>SUMIFS(Lançamentos!$G:$G,Lançamentos!$A:$A,CV$19,Lançamentos!$C:$C,"Pagamento de Fornecedores")</f>
        <v>0</v>
      </c>
      <c r="CW70" s="39">
        <f>SUMIFS(Lançamentos!$G:$G,Lançamentos!$A:$A,CW$19,Lançamentos!$C:$C,"Pagamento de Fornecedores")</f>
        <v>0</v>
      </c>
      <c r="CX70" s="39">
        <f>SUMIFS(Lançamentos!$G:$G,Lançamentos!$A:$A,CX$19,Lançamentos!$C:$C,"Pagamento de Fornecedores")</f>
        <v>0</v>
      </c>
      <c r="CY70" s="39">
        <f>SUMIFS(Lançamentos!$G:$G,Lançamentos!$A:$A,CY$19,Lançamentos!$C:$C,"Pagamento de Fornecedores")</f>
        <v>0</v>
      </c>
      <c r="CZ70" s="39">
        <f>SUMIFS(Lançamentos!$G:$G,Lançamentos!$A:$A,CZ$19,Lançamentos!$C:$C,"Pagamento de Fornecedores")</f>
        <v>0</v>
      </c>
      <c r="DA70" s="39">
        <f>SUMIFS(Lançamentos!$G:$G,Lançamentos!$A:$A,DA$19,Lançamentos!$C:$C,"Pagamento de Fornecedores")</f>
        <v>0</v>
      </c>
      <c r="DB70" s="39">
        <f>SUMIFS(Lançamentos!$G:$G,Lançamentos!$A:$A,DB$19,Lançamentos!$C:$C,"Pagamento de Fornecedores")</f>
        <v>0</v>
      </c>
      <c r="DC70" s="39">
        <f>SUMIFS(Lançamentos!$G:$G,Lançamentos!$A:$A,DC$19,Lançamentos!$C:$C,"Pagamento de Fornecedores")</f>
        <v>0</v>
      </c>
      <c r="DD70" s="39">
        <f>SUMIFS(Lançamentos!$G:$G,Lançamentos!$A:$A,DD$19,Lançamentos!$C:$C,"Pagamento de Fornecedores")</f>
        <v>0</v>
      </c>
      <c r="DE70" s="39">
        <f>SUMIFS(Lançamentos!$G:$G,Lançamentos!$A:$A,DE$19,Lançamentos!$C:$C,"Pagamento de Fornecedores")</f>
        <v>0</v>
      </c>
      <c r="DF70" s="39">
        <f>SUMIFS(Lançamentos!$G:$G,Lançamentos!$A:$A,DF$19,Lançamentos!$C:$C,"Pagamento de Fornecedores")</f>
        <v>0</v>
      </c>
      <c r="DG70" s="39">
        <f>SUMIFS(Lançamentos!$G:$G,Lançamentos!$A:$A,DG$19,Lançamentos!$C:$C,"Pagamento de Fornecedores")</f>
        <v>0</v>
      </c>
      <c r="DH70" s="39">
        <f>SUMIFS(Lançamentos!$G:$G,Lançamentos!$A:$A,DH$19,Lançamentos!$C:$C,"Pagamento de Fornecedores")</f>
        <v>0</v>
      </c>
      <c r="DI70" s="39">
        <f>SUMIFS(Lançamentos!$G:$G,Lançamentos!$A:$A,DI$19,Lançamentos!$C:$C,"Pagamento de Fornecedores")</f>
        <v>0</v>
      </c>
      <c r="DJ70" s="39">
        <f>SUMIFS(Lançamentos!$G:$G,Lançamentos!$A:$A,DJ$19,Lançamentos!$C:$C,"Pagamento de Fornecedores")</f>
        <v>0</v>
      </c>
      <c r="DK70" s="39">
        <f>SUMIFS(Lançamentos!$G:$G,Lançamentos!$A:$A,DK$19,Lançamentos!$C:$C,"Pagamento de Fornecedores")</f>
        <v>0</v>
      </c>
      <c r="DL70" s="39">
        <f>SUMIFS(Lançamentos!$G:$G,Lançamentos!$A:$A,DL$19,Lançamentos!$C:$C,"Pagamento de Fornecedores")</f>
        <v>0</v>
      </c>
      <c r="DM70" s="39">
        <f>SUMIFS(Lançamentos!$G:$G,Lançamentos!$A:$A,DM$19,Lançamentos!$C:$C,"Pagamento de Fornecedores")</f>
        <v>0</v>
      </c>
      <c r="DN70" s="39">
        <f>SUMIFS(Lançamentos!$G:$G,Lançamentos!$A:$A,DN$19,Lançamentos!$C:$C,"Pagamento de Fornecedores")</f>
        <v>0</v>
      </c>
      <c r="DO70" s="39">
        <f>SUMIFS(Lançamentos!$G:$G,Lançamentos!$A:$A,DO$19,Lançamentos!$C:$C,"Pagamento de Fornecedores")</f>
        <v>0</v>
      </c>
      <c r="DP70" s="39">
        <f>SUMIFS(Lançamentos!$G:$G,Lançamentos!$A:$A,DP$19,Lançamentos!$C:$C,"Pagamento de Fornecedores")</f>
        <v>0</v>
      </c>
      <c r="DQ70" s="39">
        <f>SUMIFS(Lançamentos!$G:$G,Lançamentos!$A:$A,DQ$19,Lançamentos!$C:$C,"Pagamento de Fornecedores")</f>
        <v>0</v>
      </c>
      <c r="DR70" s="39">
        <f>SUMIFS(Lançamentos!$G:$G,Lançamentos!$A:$A,DR$19,Lançamentos!$C:$C,"Pagamento de Fornecedores")</f>
        <v>0</v>
      </c>
      <c r="DS70" s="39">
        <f>SUMIFS(Lançamentos!$G:$G,Lançamentos!$A:$A,DS$19,Lançamentos!$C:$C,"Pagamento de Fornecedores")</f>
        <v>0</v>
      </c>
      <c r="DT70" s="39">
        <f>SUMIFS(Lançamentos!$G:$G,Lançamentos!$A:$A,DT$19,Lançamentos!$C:$C,"Pagamento de Fornecedores")</f>
        <v>0</v>
      </c>
      <c r="DU70" s="39">
        <f>SUMIFS(Lançamentos!$G:$G,Lançamentos!$A:$A,DU$19,Lançamentos!$C:$C,"Pagamento de Fornecedores")</f>
        <v>0</v>
      </c>
      <c r="DV70" s="39">
        <f>SUMIFS(Lançamentos!$G:$G,Lançamentos!$A:$A,DV$19,Lançamentos!$C:$C,"Pagamento de Fornecedores")</f>
        <v>0</v>
      </c>
      <c r="DW70" s="39">
        <f>SUMIFS(Lançamentos!$G:$G,Lançamentos!$A:$A,DW$19,Lançamentos!$C:$C,"Pagamento de Fornecedores")</f>
        <v>0</v>
      </c>
      <c r="DX70" s="39">
        <f>SUMIFS(Lançamentos!$G:$G,Lançamentos!$A:$A,DX$19,Lançamentos!$C:$C,"Pagamento de Fornecedores")</f>
        <v>0</v>
      </c>
      <c r="DY70" s="39">
        <f>SUMIFS(Lançamentos!$G:$G,Lançamentos!$A:$A,DY$19,Lançamentos!$C:$C,"Pagamento de Fornecedores")</f>
        <v>0</v>
      </c>
      <c r="DZ70" s="39">
        <f>SUMIFS(Lançamentos!$G:$G,Lançamentos!$A:$A,DZ$19,Lançamentos!$C:$C,"Pagamento de Fornecedores")</f>
        <v>0</v>
      </c>
      <c r="EA70" s="39">
        <f>SUMIFS(Lançamentos!$G:$G,Lançamentos!$A:$A,EA$19,Lançamentos!$C:$C,"Pagamento de Fornecedores")</f>
        <v>0</v>
      </c>
      <c r="EB70" s="39">
        <f>SUMIFS(Lançamentos!$G:$G,Lançamentos!$A:$A,EB$19,Lançamentos!$C:$C,"Pagamento de Fornecedores")</f>
        <v>0</v>
      </c>
      <c r="EC70" s="39">
        <f>SUMIFS(Lançamentos!$G:$G,Lançamentos!$A:$A,EC$19,Lançamentos!$C:$C,"Pagamento de Fornecedores")</f>
        <v>0</v>
      </c>
      <c r="ED70" s="39">
        <f>SUMIFS(Lançamentos!$G:$G,Lançamentos!$A:$A,ED$19,Lançamentos!$C:$C,"Pagamento de Fornecedores")</f>
        <v>0</v>
      </c>
      <c r="EE70" s="39">
        <f>SUMIFS(Lançamentos!$G:$G,Lançamentos!$A:$A,EE$19,Lançamentos!$C:$C,"Pagamento de Fornecedores")</f>
        <v>0</v>
      </c>
      <c r="EF70" s="39">
        <f>SUMIFS(Lançamentos!$G:$G,Lançamentos!$A:$A,EF$19,Lançamentos!$C:$C,"Pagamento de Fornecedores")</f>
        <v>0</v>
      </c>
      <c r="EG70" s="39">
        <f>SUMIFS(Lançamentos!$G:$G,Lançamentos!$A:$A,EG$19,Lançamentos!$C:$C,"Pagamento de Fornecedores")</f>
        <v>0</v>
      </c>
      <c r="EH70" s="39">
        <f>SUMIFS(Lançamentos!$G:$G,Lançamentos!$A:$A,EH$19,Lançamentos!$C:$C,"Pagamento de Fornecedores")</f>
        <v>0</v>
      </c>
      <c r="EI70" s="39">
        <f>SUMIFS(Lançamentos!$G:$G,Lançamentos!$A:$A,EI$19,Lançamentos!$C:$C,"Pagamento de Fornecedores")</f>
        <v>0</v>
      </c>
      <c r="EJ70" s="39">
        <f>SUMIFS(Lançamentos!$G:$G,Lançamentos!$A:$A,EJ$19,Lançamentos!$C:$C,"Pagamento de Fornecedores")</f>
        <v>0</v>
      </c>
      <c r="EK70" s="39">
        <f>SUMIFS(Lançamentos!$G:$G,Lançamentos!$A:$A,EK$19,Lançamentos!$C:$C,"Pagamento de Fornecedores")</f>
        <v>0</v>
      </c>
      <c r="EL70" s="39">
        <f>SUMIFS(Lançamentos!$G:$G,Lançamentos!$A:$A,EL$19,Lançamentos!$C:$C,"Pagamento de Fornecedores")</f>
        <v>0</v>
      </c>
      <c r="EM70" s="39">
        <f>SUMIFS(Lançamentos!$G:$G,Lançamentos!$A:$A,EM$19,Lançamentos!$C:$C,"Pagamento de Fornecedores")</f>
        <v>0</v>
      </c>
      <c r="EN70" s="39">
        <f>SUMIFS(Lançamentos!$G:$G,Lançamentos!$A:$A,EN$19,Lançamentos!$C:$C,"Pagamento de Fornecedores")</f>
        <v>0</v>
      </c>
      <c r="EO70" s="39">
        <f>SUMIFS(Lançamentos!$G:$G,Lançamentos!$A:$A,EO$19,Lançamentos!$C:$C,"Pagamento de Fornecedores")</f>
        <v>0</v>
      </c>
      <c r="EP70" s="39">
        <f>SUMIFS(Lançamentos!$G:$G,Lançamentos!$A:$A,EP$19,Lançamentos!$C:$C,"Pagamento de Fornecedores")</f>
        <v>0</v>
      </c>
      <c r="EQ70" s="39">
        <f>SUMIFS(Lançamentos!$G:$G,Lançamentos!$A:$A,EQ$19,Lançamentos!$C:$C,"Pagamento de Fornecedores")</f>
        <v>0</v>
      </c>
      <c r="ER70" s="39">
        <f>SUMIFS(Lançamentos!$G:$G,Lançamentos!$A:$A,ER$19,Lançamentos!$C:$C,"Pagamento de Fornecedores")</f>
        <v>0</v>
      </c>
      <c r="ES70" s="39">
        <f>SUMIFS(Lançamentos!$G:$G,Lançamentos!$A:$A,ES$19,Lançamentos!$C:$C,"Pagamento de Fornecedores")</f>
        <v>0</v>
      </c>
      <c r="ET70" s="39">
        <f>SUMIFS(Lançamentos!$G:$G,Lançamentos!$A:$A,ET$19,Lançamentos!$C:$C,"Pagamento de Fornecedores")</f>
        <v>0</v>
      </c>
      <c r="EU70" s="39">
        <f>SUMIFS(Lançamentos!$G:$G,Lançamentos!$A:$A,EU$19,Lançamentos!$C:$C,"Pagamento de Fornecedores")</f>
        <v>0</v>
      </c>
      <c r="EV70" s="39">
        <f>SUMIFS(Lançamentos!$G:$G,Lançamentos!$A:$A,EV$19,Lançamentos!$C:$C,"Pagamento de Fornecedores")</f>
        <v>0</v>
      </c>
      <c r="EW70" s="39">
        <f>SUMIFS(Lançamentos!$G:$G,Lançamentos!$A:$A,EW$19,Lançamentos!$C:$C,"Pagamento de Fornecedores")</f>
        <v>0</v>
      </c>
      <c r="EX70" s="39">
        <f>SUMIFS(Lançamentos!$G:$G,Lançamentos!$A:$A,EX$19,Lançamentos!$C:$C,"Pagamento de Fornecedores")</f>
        <v>0</v>
      </c>
      <c r="EY70" s="39">
        <f>SUMIFS(Lançamentos!$G:$G,Lançamentos!$A:$A,EY$19,Lançamentos!$C:$C,"Pagamento de Fornecedores")</f>
        <v>0</v>
      </c>
      <c r="EZ70" s="39">
        <f>SUMIFS(Lançamentos!$G:$G,Lançamentos!$A:$A,EZ$19,Lançamentos!$C:$C,"Pagamento de Fornecedores")</f>
        <v>0</v>
      </c>
      <c r="FA70" s="39">
        <f>SUMIFS(Lançamentos!$G:$G,Lançamentos!$A:$A,FA$19,Lançamentos!$C:$C,"Pagamento de Fornecedores")</f>
        <v>0</v>
      </c>
      <c r="FB70" s="39">
        <f>SUMIFS(Lançamentos!$G:$G,Lançamentos!$A:$A,FB$19,Lançamentos!$C:$C,"Pagamento de Fornecedores")</f>
        <v>0</v>
      </c>
      <c r="FC70" s="39">
        <f>SUMIFS(Lançamentos!$G:$G,Lançamentos!$A:$A,FC$19,Lançamentos!$C:$C,"Pagamento de Fornecedores")</f>
        <v>0</v>
      </c>
      <c r="FD70" s="39">
        <f>SUMIFS(Lançamentos!$G:$G,Lançamentos!$A:$A,FD$19,Lançamentos!$C:$C,"Pagamento de Fornecedores")</f>
        <v>0</v>
      </c>
      <c r="FE70" s="39">
        <f>SUMIFS(Lançamentos!$G:$G,Lançamentos!$A:$A,FE$19,Lançamentos!$C:$C,"Pagamento de Fornecedores")</f>
        <v>0</v>
      </c>
      <c r="FF70" s="39">
        <f>SUMIFS(Lançamentos!$G:$G,Lançamentos!$A:$A,FF$19,Lançamentos!$C:$C,"Pagamento de Fornecedores")</f>
        <v>0</v>
      </c>
      <c r="FG70" s="39">
        <f>SUMIFS(Lançamentos!$G:$G,Lançamentos!$A:$A,FG$19,Lançamentos!$C:$C,"Pagamento de Fornecedores")</f>
        <v>0</v>
      </c>
      <c r="FH70" s="39">
        <f>SUMIFS(Lançamentos!$G:$G,Lançamentos!$A:$A,FH$19,Lançamentos!$C:$C,"Pagamento de Fornecedores")</f>
        <v>0</v>
      </c>
      <c r="FI70" s="39">
        <f>SUMIFS(Lançamentos!$G:$G,Lançamentos!$A:$A,FI$19,Lançamentos!$C:$C,"Pagamento de Fornecedores")</f>
        <v>0</v>
      </c>
      <c r="FJ70" s="39">
        <f>SUMIFS(Lançamentos!$G:$G,Lançamentos!$A:$A,FJ$19,Lançamentos!$C:$C,"Pagamento de Fornecedores")</f>
        <v>0</v>
      </c>
      <c r="FK70" s="39">
        <f>SUMIFS(Lançamentos!$G:$G,Lançamentos!$A:$A,FK$19,Lançamentos!$C:$C,"Pagamento de Fornecedores")</f>
        <v>0</v>
      </c>
      <c r="FL70" s="39">
        <f>SUMIFS(Lançamentos!$G:$G,Lançamentos!$A:$A,FL$19,Lançamentos!$C:$C,"Pagamento de Fornecedores")</f>
        <v>0</v>
      </c>
      <c r="FM70" s="39">
        <f>SUMIFS(Lançamentos!$G:$G,Lançamentos!$A:$A,FM$19,Lançamentos!$C:$C,"Pagamento de Fornecedores")</f>
        <v>0</v>
      </c>
      <c r="FN70" s="39">
        <f>SUMIFS(Lançamentos!$G:$G,Lançamentos!$A:$A,FN$19,Lançamentos!$C:$C,"Pagamento de Fornecedores")</f>
        <v>0</v>
      </c>
      <c r="FO70" s="39">
        <f>SUMIFS(Lançamentos!$G:$G,Lançamentos!$A:$A,FO$19,Lançamentos!$C:$C,"Pagamento de Fornecedores")</f>
        <v>0</v>
      </c>
      <c r="FP70" s="39">
        <f>SUMIFS(Lançamentos!$G:$G,Lançamentos!$A:$A,FP$19,Lançamentos!$C:$C,"Pagamento de Fornecedores")</f>
        <v>0</v>
      </c>
      <c r="FQ70" s="39">
        <f>SUMIFS(Lançamentos!$G:$G,Lançamentos!$A:$A,FQ$19,Lançamentos!$C:$C,"Pagamento de Fornecedores")</f>
        <v>0</v>
      </c>
      <c r="FR70" s="39">
        <f>SUMIFS(Lançamentos!$G:$G,Lançamentos!$A:$A,FR$19,Lançamentos!$C:$C,"Pagamento de Fornecedores")</f>
        <v>0</v>
      </c>
      <c r="FS70" s="39">
        <f>SUMIFS(Lançamentos!$G:$G,Lançamentos!$A:$A,FS$19,Lançamentos!$C:$C,"Pagamento de Fornecedores")</f>
        <v>0</v>
      </c>
      <c r="FT70" s="39">
        <f>SUMIFS(Lançamentos!$G:$G,Lançamentos!$A:$A,FT$19,Lançamentos!$C:$C,"Pagamento de Fornecedores")</f>
        <v>0</v>
      </c>
      <c r="FU70" s="39">
        <f>SUMIFS(Lançamentos!$G:$G,Lançamentos!$A:$A,FU$19,Lançamentos!$C:$C,"Pagamento de Fornecedores")</f>
        <v>0</v>
      </c>
      <c r="FV70" s="39">
        <f>SUMIFS(Lançamentos!$G:$G,Lançamentos!$A:$A,FV$19,Lançamentos!$C:$C,"Pagamento de Fornecedores")</f>
        <v>0</v>
      </c>
      <c r="FW70" s="39">
        <f>SUMIFS(Lançamentos!$G:$G,Lançamentos!$A:$A,FW$19,Lançamentos!$C:$C,"Pagamento de Fornecedores")</f>
        <v>0</v>
      </c>
      <c r="FX70" s="39">
        <f>SUMIFS(Lançamentos!$G:$G,Lançamentos!$A:$A,FX$19,Lançamentos!$C:$C,"Pagamento de Fornecedores")</f>
        <v>0</v>
      </c>
      <c r="FY70" s="39">
        <f>SUMIFS(Lançamentos!$G:$G,Lançamentos!$A:$A,FY$19,Lançamentos!$C:$C,"Pagamento de Fornecedores")</f>
        <v>0</v>
      </c>
      <c r="FZ70" s="39">
        <f>SUMIFS(Lançamentos!$G:$G,Lançamentos!$A:$A,FZ$19,Lançamentos!$C:$C,"Pagamento de Fornecedores")</f>
        <v>0</v>
      </c>
      <c r="GA70" s="39">
        <f>SUMIFS(Lançamentos!$G:$G,Lançamentos!$A:$A,GA$19,Lançamentos!$C:$C,"Pagamento de Fornecedores")</f>
        <v>0</v>
      </c>
      <c r="GB70" s="39">
        <f>SUMIFS(Lançamentos!$G:$G,Lançamentos!$A:$A,GB$19,Lançamentos!$C:$C,"Pagamento de Fornecedores")</f>
        <v>0</v>
      </c>
      <c r="GC70" s="39">
        <f>SUMIFS(Lançamentos!$G:$G,Lançamentos!$A:$A,GC$19,Lançamentos!$C:$C,"Pagamento de Fornecedores")</f>
        <v>0</v>
      </c>
      <c r="GD70" s="39">
        <f>SUMIFS(Lançamentos!$G:$G,Lançamentos!$A:$A,GD$19,Lançamentos!$C:$C,"Pagamento de Fornecedores")</f>
        <v>0</v>
      </c>
      <c r="GE70" s="39">
        <f>SUMIFS(Lançamentos!$G:$G,Lançamentos!$A:$A,GE$19,Lançamentos!$C:$C,"Pagamento de Fornecedores")</f>
        <v>0</v>
      </c>
      <c r="GF70" s="39">
        <f>SUMIFS(Lançamentos!$G:$G,Lançamentos!$A:$A,GF$19,Lançamentos!$C:$C,"Pagamento de Fornecedores")</f>
        <v>0</v>
      </c>
      <c r="GG70" s="39">
        <f>SUMIFS(Lançamentos!$G:$G,Lançamentos!$A:$A,GG$19,Lançamentos!$C:$C,"Pagamento de Fornecedores")</f>
        <v>0</v>
      </c>
      <c r="GH70" s="39">
        <f>SUMIFS(Lançamentos!$G:$G,Lançamentos!$A:$A,GH$19,Lançamentos!$C:$C,"Pagamento de Fornecedores")</f>
        <v>0</v>
      </c>
      <c r="GI70" s="39">
        <f>SUMIFS(Lançamentos!$G:$G,Lançamentos!$A:$A,GI$19,Lançamentos!$C:$C,"Pagamento de Fornecedores")</f>
        <v>0</v>
      </c>
      <c r="GJ70" s="39">
        <f>SUMIFS(Lançamentos!$G:$G,Lançamentos!$A:$A,GJ$19,Lançamentos!$C:$C,"Pagamento de Fornecedores")</f>
        <v>0</v>
      </c>
      <c r="GK70" s="39">
        <f>SUMIFS(Lançamentos!$G:$G,Lançamentos!$A:$A,GK$19,Lançamentos!$C:$C,"Pagamento de Fornecedores")</f>
        <v>0</v>
      </c>
      <c r="GL70" s="39">
        <f>SUMIFS(Lançamentos!$G:$G,Lançamentos!$A:$A,GL$19,Lançamentos!$C:$C,"Pagamento de Fornecedores")</f>
        <v>0</v>
      </c>
      <c r="GM70" s="39">
        <f>SUMIFS(Lançamentos!$G:$G,Lançamentos!$A:$A,GM$19,Lançamentos!$C:$C,"Pagamento de Fornecedores")</f>
        <v>0</v>
      </c>
      <c r="GN70" s="39">
        <f>SUMIFS(Lançamentos!$G:$G,Lançamentos!$A:$A,GN$19,Lançamentos!$C:$C,"Pagamento de Fornecedores")</f>
        <v>0</v>
      </c>
      <c r="GO70" s="39">
        <f>SUMIFS(Lançamentos!$G:$G,Lançamentos!$A:$A,GO$19,Lançamentos!$C:$C,"Pagamento de Fornecedores")</f>
        <v>0</v>
      </c>
      <c r="GP70" s="39">
        <f>SUMIFS(Lançamentos!$G:$G,Lançamentos!$A:$A,GP$19,Lançamentos!$C:$C,"Pagamento de Fornecedores")</f>
        <v>0</v>
      </c>
      <c r="GQ70" s="39">
        <f>SUMIFS(Lançamentos!$G:$G,Lançamentos!$A:$A,GQ$19,Lançamentos!$C:$C,"Pagamento de Fornecedores")</f>
        <v>0</v>
      </c>
      <c r="GR70" s="39">
        <f>SUMIFS(Lançamentos!$G:$G,Lançamentos!$A:$A,GR$19,Lançamentos!$C:$C,"Pagamento de Fornecedores")</f>
        <v>0</v>
      </c>
      <c r="GS70" s="39">
        <f>SUMIFS(Lançamentos!$G:$G,Lançamentos!$A:$A,GS$19,Lançamentos!$C:$C,"Pagamento de Fornecedores")</f>
        <v>0</v>
      </c>
      <c r="GT70" s="39">
        <f>SUMIFS(Lançamentos!$G:$G,Lançamentos!$A:$A,GT$19,Lançamentos!$C:$C,"Pagamento de Fornecedores")</f>
        <v>0</v>
      </c>
      <c r="GU70" s="39">
        <f>SUMIFS(Lançamentos!$G:$G,Lançamentos!$A:$A,GU$19,Lançamentos!$C:$C,"Pagamento de Fornecedores")</f>
        <v>0</v>
      </c>
      <c r="GV70" s="39">
        <f>SUMIFS(Lançamentos!$G:$G,Lançamentos!$A:$A,GV$19,Lançamentos!$C:$C,"Pagamento de Fornecedores")</f>
        <v>0</v>
      </c>
      <c r="GW70" s="39">
        <f>SUMIFS(Lançamentos!$G:$G,Lançamentos!$A:$A,GW$19,Lançamentos!$C:$C,"Pagamento de Fornecedores")</f>
        <v>0</v>
      </c>
      <c r="GX70" s="39">
        <f>SUMIFS(Lançamentos!$G:$G,Lançamentos!$A:$A,GX$19,Lançamentos!$C:$C,"Pagamento de Fornecedores")</f>
        <v>0</v>
      </c>
      <c r="GY70" s="39">
        <f>SUMIFS(Lançamentos!$G:$G,Lançamentos!$A:$A,GY$19,Lançamentos!$C:$C,"Pagamento de Fornecedores")</f>
        <v>0</v>
      </c>
      <c r="GZ70" s="39">
        <f>SUMIFS(Lançamentos!$G:$G,Lançamentos!$A:$A,GZ$19,Lançamentos!$C:$C,"Pagamento de Fornecedores")</f>
        <v>0</v>
      </c>
      <c r="HA70" s="39">
        <f>SUMIFS(Lançamentos!$G:$G,Lançamentos!$A:$A,HA$19,Lançamentos!$C:$C,"Pagamento de Fornecedores")</f>
        <v>0</v>
      </c>
      <c r="HB70" s="39">
        <f>SUMIFS(Lançamentos!$G:$G,Lançamentos!$A:$A,HB$19,Lançamentos!$C:$C,"Pagamento de Fornecedores")</f>
        <v>0</v>
      </c>
      <c r="HC70" s="39">
        <f>SUMIFS(Lançamentos!$G:$G,Lançamentos!$A:$A,HC$19,Lançamentos!$C:$C,"Pagamento de Fornecedores")</f>
        <v>0</v>
      </c>
      <c r="HD70" s="39">
        <f>SUMIFS(Lançamentos!$G:$G,Lançamentos!$A:$A,HD$19,Lançamentos!$C:$C,"Pagamento de Fornecedores")</f>
        <v>0</v>
      </c>
      <c r="HE70" s="39">
        <f>SUMIFS(Lançamentos!$G:$G,Lançamentos!$A:$A,HE$19,Lançamentos!$C:$C,"Pagamento de Fornecedores")</f>
        <v>0</v>
      </c>
      <c r="HF70" s="39">
        <f>SUMIFS(Lançamentos!$G:$G,Lançamentos!$A:$A,HF$19,Lançamentos!$C:$C,"Pagamento de Fornecedores")</f>
        <v>0</v>
      </c>
      <c r="HG70" s="39">
        <f>SUMIFS(Lançamentos!$G:$G,Lançamentos!$A:$A,HG$19,Lançamentos!$C:$C,"Pagamento de Fornecedores")</f>
        <v>0</v>
      </c>
      <c r="HH70" s="39">
        <f>SUMIFS(Lançamentos!$G:$G,Lançamentos!$A:$A,HH$19,Lançamentos!$C:$C,"Pagamento de Fornecedores")</f>
        <v>0</v>
      </c>
      <c r="HI70" s="39">
        <f>SUMIFS(Lançamentos!$G:$G,Lançamentos!$A:$A,HI$19,Lançamentos!$C:$C,"Pagamento de Fornecedores")</f>
        <v>0</v>
      </c>
      <c r="HJ70" s="39">
        <f>SUMIFS(Lançamentos!$G:$G,Lançamentos!$A:$A,HJ$19,Lançamentos!$C:$C,"Pagamento de Fornecedores")</f>
        <v>0</v>
      </c>
      <c r="HK70" s="39">
        <f>SUMIFS(Lançamentos!$G:$G,Lançamentos!$A:$A,HK$19,Lançamentos!$C:$C,"Pagamento de Fornecedores")</f>
        <v>0</v>
      </c>
      <c r="HL70" s="39">
        <f>SUMIFS(Lançamentos!$G:$G,Lançamentos!$A:$A,HL$19,Lançamentos!$C:$C,"Pagamento de Fornecedores")</f>
        <v>0</v>
      </c>
      <c r="HM70" s="39">
        <f>SUMIFS(Lançamentos!$G:$G,Lançamentos!$A:$A,HM$19,Lançamentos!$C:$C,"Pagamento de Fornecedores")</f>
        <v>0</v>
      </c>
      <c r="HN70" s="39">
        <f>SUMIFS(Lançamentos!$G:$G,Lançamentos!$A:$A,HN$19,Lançamentos!$C:$C,"Pagamento de Fornecedores")</f>
        <v>0</v>
      </c>
      <c r="HO70" s="39">
        <f>SUMIFS(Lançamentos!$G:$G,Lançamentos!$A:$A,HO$19,Lançamentos!$C:$C,"Pagamento de Fornecedores")</f>
        <v>0</v>
      </c>
      <c r="HP70" s="39">
        <f>SUMIFS(Lançamentos!$G:$G,Lançamentos!$A:$A,HP$19,Lançamentos!$C:$C,"Pagamento de Fornecedores")</f>
        <v>0</v>
      </c>
      <c r="HQ70" s="39">
        <f>SUMIFS(Lançamentos!$G:$G,Lançamentos!$A:$A,HQ$19,Lançamentos!$C:$C,"Pagamento de Fornecedores")</f>
        <v>0</v>
      </c>
      <c r="HR70" s="39">
        <f>SUMIFS(Lançamentos!$G:$G,Lançamentos!$A:$A,HR$19,Lançamentos!$C:$C,"Pagamento de Fornecedores")</f>
        <v>0</v>
      </c>
      <c r="HS70" s="39">
        <f>SUMIFS(Lançamentos!$G:$G,Lançamentos!$A:$A,HS$19,Lançamentos!$C:$C,"Pagamento de Fornecedores")</f>
        <v>0</v>
      </c>
      <c r="HT70" s="39">
        <f>SUMIFS(Lançamentos!$G:$G,Lançamentos!$A:$A,HT$19,Lançamentos!$C:$C,"Pagamento de Fornecedores")</f>
        <v>0</v>
      </c>
      <c r="HU70" s="39">
        <f>SUMIFS(Lançamentos!$G:$G,Lançamentos!$A:$A,HU$19,Lançamentos!$C:$C,"Pagamento de Fornecedores")</f>
        <v>0</v>
      </c>
      <c r="HV70" s="39">
        <f>SUMIFS(Lançamentos!$G:$G,Lançamentos!$A:$A,HV$19,Lançamentos!$C:$C,"Pagamento de Fornecedores")</f>
        <v>0</v>
      </c>
      <c r="HW70" s="39">
        <f>SUMIFS(Lançamentos!$G:$G,Lançamentos!$A:$A,HW$19,Lançamentos!$C:$C,"Pagamento de Fornecedores")</f>
        <v>0</v>
      </c>
      <c r="HX70" s="39">
        <f>SUMIFS(Lançamentos!$G:$G,Lançamentos!$A:$A,HX$19,Lançamentos!$C:$C,"Pagamento de Fornecedores")</f>
        <v>0</v>
      </c>
      <c r="HY70" s="39">
        <f>SUMIFS(Lançamentos!$G:$G,Lançamentos!$A:$A,HY$19,Lançamentos!$C:$C,"Pagamento de Fornecedores")</f>
        <v>0</v>
      </c>
      <c r="HZ70" s="39">
        <f>SUMIFS(Lançamentos!$G:$G,Lançamentos!$A:$A,HZ$19,Lançamentos!$C:$C,"Pagamento de Fornecedores")</f>
        <v>0</v>
      </c>
      <c r="IA70" s="39">
        <f>SUMIFS(Lançamentos!$G:$G,Lançamentos!$A:$A,IA$19,Lançamentos!$C:$C,"Pagamento de Fornecedores")</f>
        <v>0</v>
      </c>
      <c r="IB70" s="39">
        <f>SUMIFS(Lançamentos!$G:$G,Lançamentos!$A:$A,IB$19,Lançamentos!$C:$C,"Pagamento de Fornecedores")</f>
        <v>0</v>
      </c>
      <c r="IC70" s="39">
        <f>SUMIFS(Lançamentos!$G:$G,Lançamentos!$A:$A,IC$19,Lançamentos!$C:$C,"Pagamento de Fornecedores")</f>
        <v>0</v>
      </c>
      <c r="ID70" s="39">
        <f>SUMIFS(Lançamentos!$G:$G,Lançamentos!$A:$A,ID$19,Lançamentos!$C:$C,"Pagamento de Fornecedores")</f>
        <v>0</v>
      </c>
      <c r="IE70" s="39">
        <f>SUMIFS(Lançamentos!$G:$G,Lançamentos!$A:$A,IE$19,Lançamentos!$C:$C,"Pagamento de Fornecedores")</f>
        <v>0</v>
      </c>
      <c r="IF70" s="39">
        <f>SUMIFS(Lançamentos!$G:$G,Lançamentos!$A:$A,IF$19,Lançamentos!$C:$C,"Pagamento de Fornecedores")</f>
        <v>0</v>
      </c>
      <c r="IG70" s="39">
        <f>SUMIFS(Lançamentos!$G:$G,Lançamentos!$A:$A,IG$19,Lançamentos!$C:$C,"Pagamento de Fornecedores")</f>
        <v>0</v>
      </c>
      <c r="IH70" s="39">
        <f>SUMIFS(Lançamentos!$G:$G,Lançamentos!$A:$A,IH$19,Lançamentos!$C:$C,"Pagamento de Fornecedores")</f>
        <v>0</v>
      </c>
      <c r="II70" s="39">
        <f>SUMIFS(Lançamentos!$G:$G,Lançamentos!$A:$A,II$19,Lançamentos!$C:$C,"Pagamento de Fornecedores")</f>
        <v>0</v>
      </c>
      <c r="IJ70" s="39">
        <f>SUMIFS(Lançamentos!$G:$G,Lançamentos!$A:$A,IJ$19,Lançamentos!$C:$C,"Pagamento de Fornecedores")</f>
        <v>0</v>
      </c>
      <c r="IK70" s="39">
        <f>SUMIFS(Lançamentos!$G:$G,Lançamentos!$A:$A,IK$19,Lançamentos!$C:$C,"Pagamento de Fornecedores")</f>
        <v>0</v>
      </c>
      <c r="IL70" s="39">
        <f>SUMIFS(Lançamentos!$G:$G,Lançamentos!$A:$A,IL$19,Lançamentos!$C:$C,"Pagamento de Fornecedores")</f>
        <v>0</v>
      </c>
    </row>
    <row r="71" spans="1:246" x14ac:dyDescent="0.3">
      <c r="A71" t="s">
        <v>116</v>
      </c>
      <c r="B71" s="39">
        <f>SUMIFS(Lançamentos!$G:$G,Lançamentos!$A:$A,B$19,Lançamentos!$C:$C,"Retirada de Sócios")</f>
        <v>0</v>
      </c>
      <c r="C71" s="39">
        <f>SUMIFS(Lançamentos!$G:$G,Lançamentos!$A:$A,C$19,Lançamentos!$C:$C,"Retirada de Sócios")</f>
        <v>0</v>
      </c>
      <c r="D71" s="39">
        <f>SUMIFS(Lançamentos!$G:$G,Lançamentos!$A:$A,D$19,Lançamentos!$C:$C,"Retirada de Sócios")</f>
        <v>0</v>
      </c>
      <c r="E71" s="39">
        <f>SUMIFS(Lançamentos!$G:$G,Lançamentos!$A:$A,E$19,Lançamentos!$C:$C,"Retirada de Sócios")</f>
        <v>0</v>
      </c>
      <c r="F71" s="39">
        <f>SUMIFS(Lançamentos!$G:$G,Lançamentos!$A:$A,F$19,Lançamentos!$C:$C,"Retirada de Sócios")</f>
        <v>0</v>
      </c>
      <c r="G71" s="39">
        <f>SUMIFS(Lançamentos!$G:$G,Lançamentos!$A:$A,G$19,Lançamentos!$C:$C,"Retirada de Sócios")</f>
        <v>0</v>
      </c>
      <c r="H71" s="39">
        <f>SUMIFS(Lançamentos!$G:$G,Lançamentos!$A:$A,H$19,Lançamentos!$C:$C,"Retirada de Sócios")</f>
        <v>0</v>
      </c>
      <c r="I71" s="39">
        <f>SUMIFS(Lançamentos!$G:$G,Lançamentos!$A:$A,I$19,Lançamentos!$C:$C,"Retirada de Sócios")</f>
        <v>0</v>
      </c>
      <c r="J71" s="39">
        <f>SUMIFS(Lançamentos!$G:$G,Lançamentos!$A:$A,J$19,Lançamentos!$C:$C,"Retirada de Sócios")</f>
        <v>0</v>
      </c>
      <c r="K71" s="39">
        <f>SUMIFS(Lançamentos!$G:$G,Lançamentos!$A:$A,K$19,Lançamentos!$C:$C,"Retirada de Sócios")</f>
        <v>0</v>
      </c>
      <c r="L71" s="39">
        <f>SUMIFS(Lançamentos!$G:$G,Lançamentos!$A:$A,L$19,Lançamentos!$C:$C,"Retirada de Sócios")</f>
        <v>0</v>
      </c>
      <c r="M71" s="39">
        <f>SUMIFS(Lançamentos!$G:$G,Lançamentos!$A:$A,M$19,Lançamentos!$C:$C,"Retirada de Sócios")</f>
        <v>0</v>
      </c>
      <c r="N71" s="39">
        <f>SUMIFS(Lançamentos!$G:$G,Lançamentos!$A:$A,N$19,Lançamentos!$C:$C,"Retirada de Sócios")</f>
        <v>0</v>
      </c>
      <c r="O71" s="39">
        <f>SUMIFS(Lançamentos!$G:$G,Lançamentos!$A:$A,O$19,Lançamentos!$C:$C,"Retirada de Sócios")</f>
        <v>0</v>
      </c>
      <c r="P71" s="39">
        <f>SUMIFS(Lançamentos!$G:$G,Lançamentos!$A:$A,P$19,Lançamentos!$C:$C,"Retirada de Sócios")</f>
        <v>0</v>
      </c>
      <c r="Q71" s="39">
        <f>SUMIFS(Lançamentos!$G:$G,Lançamentos!$A:$A,Q$19,Lançamentos!$C:$C,"Retirada de Sócios")</f>
        <v>0</v>
      </c>
      <c r="R71" s="39">
        <f>SUMIFS(Lançamentos!$G:$G,Lançamentos!$A:$A,R$19,Lançamentos!$C:$C,"Retirada de Sócios")</f>
        <v>0</v>
      </c>
      <c r="S71" s="39">
        <f>SUMIFS(Lançamentos!$G:$G,Lançamentos!$A:$A,S$19,Lançamentos!$C:$C,"Retirada de Sócios")</f>
        <v>0</v>
      </c>
      <c r="T71" s="39">
        <f>SUMIFS(Lançamentos!$G:$G,Lançamentos!$A:$A,T$19,Lançamentos!$C:$C,"Retirada de Sócios")</f>
        <v>0</v>
      </c>
      <c r="U71" s="39">
        <f>SUMIFS(Lançamentos!$G:$G,Lançamentos!$A:$A,U$19,Lançamentos!$C:$C,"Retirada de Sócios")</f>
        <v>0</v>
      </c>
      <c r="V71" s="39">
        <f>SUMIFS(Lançamentos!$G:$G,Lançamentos!$A:$A,V$19,Lançamentos!$C:$C,"Retirada de Sócios")</f>
        <v>0</v>
      </c>
      <c r="W71" s="39">
        <f>SUMIFS(Lançamentos!$G:$G,Lançamentos!$A:$A,W$19,Lançamentos!$C:$C,"Retirada de Sócios")</f>
        <v>0</v>
      </c>
      <c r="X71" s="39">
        <f>SUMIFS(Lançamentos!$G:$G,Lançamentos!$A:$A,X$19,Lançamentos!$C:$C,"Retirada de Sócios")</f>
        <v>0</v>
      </c>
      <c r="Y71" s="39">
        <f>SUMIFS(Lançamentos!$G:$G,Lançamentos!$A:$A,Y$19,Lançamentos!$C:$C,"Retirada de Sócios")</f>
        <v>0</v>
      </c>
      <c r="Z71" s="39">
        <f>SUMIFS(Lançamentos!$G:$G,Lançamentos!$A:$A,Z$19,Lançamentos!$C:$C,"Retirada de Sócios")</f>
        <v>0</v>
      </c>
      <c r="AA71" s="39">
        <f>SUMIFS(Lançamentos!$G:$G,Lançamentos!$A:$A,AA$19,Lançamentos!$C:$C,"Retirada de Sócios")</f>
        <v>0</v>
      </c>
      <c r="AB71" s="39">
        <f>SUMIFS(Lançamentos!$G:$G,Lançamentos!$A:$A,AB$19,Lançamentos!$C:$C,"Retirada de Sócios")</f>
        <v>0</v>
      </c>
      <c r="AC71" s="39">
        <f>SUMIFS(Lançamentos!$G:$G,Lançamentos!$A:$A,AC$19,Lançamentos!$C:$C,"Retirada de Sócios")</f>
        <v>0</v>
      </c>
      <c r="AD71" s="39">
        <f>SUMIFS(Lançamentos!$G:$G,Lançamentos!$A:$A,AD$19,Lançamentos!$C:$C,"Retirada de Sócios")</f>
        <v>0</v>
      </c>
      <c r="AE71" s="39">
        <f>SUMIFS(Lançamentos!$G:$G,Lançamentos!$A:$A,AE$19,Lançamentos!$C:$C,"Retirada de Sócios")</f>
        <v>0</v>
      </c>
      <c r="AF71" s="39">
        <f>SUMIFS(Lançamentos!$G:$G,Lançamentos!$A:$A,AF$19,Lançamentos!$C:$C,"Retirada de Sócios")</f>
        <v>0</v>
      </c>
      <c r="AG71" s="39">
        <f>SUMIFS(Lançamentos!$G:$G,Lançamentos!$A:$A,AG$19,Lançamentos!$C:$C,"Retirada de Sócios")</f>
        <v>0</v>
      </c>
      <c r="AH71" s="39">
        <f>SUMIFS(Lançamentos!$G:$G,Lançamentos!$A:$A,AH$19,Lançamentos!$C:$C,"Retirada de Sócios")</f>
        <v>0</v>
      </c>
      <c r="AI71" s="39">
        <f>SUMIFS(Lançamentos!$G:$G,Lançamentos!$A:$A,AI$19,Lançamentos!$C:$C,"Retirada de Sócios")</f>
        <v>0</v>
      </c>
      <c r="AJ71" s="39">
        <f>SUMIFS(Lançamentos!$G:$G,Lançamentos!$A:$A,AJ$19,Lançamentos!$C:$C,"Retirada de Sócios")</f>
        <v>0</v>
      </c>
      <c r="AK71" s="39">
        <f>SUMIFS(Lançamentos!$G:$G,Lançamentos!$A:$A,AK$19,Lançamentos!$C:$C,"Retirada de Sócios")</f>
        <v>0</v>
      </c>
      <c r="AL71" s="39">
        <f>SUMIFS(Lançamentos!$G:$G,Lançamentos!$A:$A,AL$19,Lançamentos!$C:$C,"Retirada de Sócios")</f>
        <v>0</v>
      </c>
      <c r="AM71" s="39">
        <f>SUMIFS(Lançamentos!$G:$G,Lançamentos!$A:$A,AM$19,Lançamentos!$C:$C,"Retirada de Sócios")</f>
        <v>0</v>
      </c>
      <c r="AN71" s="39">
        <f>SUMIFS(Lançamentos!$G:$G,Lançamentos!$A:$A,AN$19,Lançamentos!$C:$C,"Retirada de Sócios")</f>
        <v>0</v>
      </c>
      <c r="AO71" s="39">
        <f>SUMIFS(Lançamentos!$G:$G,Lançamentos!$A:$A,AO$19,Lançamentos!$C:$C,"Retirada de Sócios")</f>
        <v>0</v>
      </c>
      <c r="AP71" s="39">
        <f>SUMIFS(Lançamentos!$G:$G,Lançamentos!$A:$A,AP$19,Lançamentos!$C:$C,"Retirada de Sócios")</f>
        <v>0</v>
      </c>
      <c r="AQ71" s="39">
        <f>SUMIFS(Lançamentos!$G:$G,Lançamentos!$A:$A,AQ$19,Lançamentos!$C:$C,"Retirada de Sócios")</f>
        <v>0</v>
      </c>
      <c r="AR71" s="39">
        <f>SUMIFS(Lançamentos!$G:$G,Lançamentos!$A:$A,AR$19,Lançamentos!$C:$C,"Retirada de Sócios")</f>
        <v>0</v>
      </c>
      <c r="AS71" s="39">
        <f>SUMIFS(Lançamentos!$G:$G,Lançamentos!$A:$A,AS$19,Lançamentos!$C:$C,"Retirada de Sócios")</f>
        <v>0</v>
      </c>
      <c r="AT71" s="39">
        <f>SUMIFS(Lançamentos!$G:$G,Lançamentos!$A:$A,AT$19,Lançamentos!$C:$C,"Retirada de Sócios")</f>
        <v>0</v>
      </c>
      <c r="AU71" s="39">
        <f>SUMIFS(Lançamentos!$G:$G,Lançamentos!$A:$A,AU$19,Lançamentos!$C:$C,"Retirada de Sócios")</f>
        <v>0</v>
      </c>
      <c r="AV71" s="39">
        <f>SUMIFS(Lançamentos!$G:$G,Lançamentos!$A:$A,AV$19,Lançamentos!$C:$C,"Retirada de Sócios")</f>
        <v>0</v>
      </c>
      <c r="AW71" s="39">
        <f>SUMIFS(Lançamentos!$G:$G,Lançamentos!$A:$A,AW$19,Lançamentos!$C:$C,"Retirada de Sócios")</f>
        <v>0</v>
      </c>
      <c r="AX71" s="39">
        <f>SUMIFS(Lançamentos!$G:$G,Lançamentos!$A:$A,AX$19,Lançamentos!$C:$C,"Retirada de Sócios")</f>
        <v>0</v>
      </c>
      <c r="AY71" s="39">
        <f>SUMIFS(Lançamentos!$G:$G,Lançamentos!$A:$A,AY$19,Lançamentos!$C:$C,"Retirada de Sócios")</f>
        <v>0</v>
      </c>
      <c r="AZ71" s="39">
        <f>SUMIFS(Lançamentos!$G:$G,Lançamentos!$A:$A,AZ$19,Lançamentos!$C:$C,"Retirada de Sócios")</f>
        <v>0</v>
      </c>
      <c r="BA71" s="39">
        <f>SUMIFS(Lançamentos!$G:$G,Lançamentos!$A:$A,BA$19,Lançamentos!$C:$C,"Retirada de Sócios")</f>
        <v>0</v>
      </c>
      <c r="BB71" s="39">
        <f>SUMIFS(Lançamentos!$G:$G,Lançamentos!$A:$A,BB$19,Lançamentos!$C:$C,"Retirada de Sócios")</f>
        <v>0</v>
      </c>
      <c r="BC71" s="39">
        <f>SUMIFS(Lançamentos!$G:$G,Lançamentos!$A:$A,BC$19,Lançamentos!$C:$C,"Retirada de Sócios")</f>
        <v>0</v>
      </c>
      <c r="BD71" s="39">
        <f>SUMIFS(Lançamentos!$G:$G,Lançamentos!$A:$A,BD$19,Lançamentos!$C:$C,"Retirada de Sócios")</f>
        <v>0</v>
      </c>
      <c r="BE71" s="39">
        <f>SUMIFS(Lançamentos!$G:$G,Lançamentos!$A:$A,BE$19,Lançamentos!$C:$C,"Retirada de Sócios")</f>
        <v>0</v>
      </c>
      <c r="BF71" s="39">
        <f>SUMIFS(Lançamentos!$G:$G,Lançamentos!$A:$A,BF$19,Lançamentos!$C:$C,"Retirada de Sócios")</f>
        <v>0</v>
      </c>
      <c r="BG71" s="39">
        <f>SUMIFS(Lançamentos!$G:$G,Lançamentos!$A:$A,BG$19,Lançamentos!$C:$C,"Retirada de Sócios")</f>
        <v>0</v>
      </c>
      <c r="BH71" s="39">
        <f>SUMIFS(Lançamentos!$G:$G,Lançamentos!$A:$A,BH$19,Lançamentos!$C:$C,"Retirada de Sócios")</f>
        <v>0</v>
      </c>
      <c r="BI71" s="39">
        <f>SUMIFS(Lançamentos!$G:$G,Lançamentos!$A:$A,BI$19,Lançamentos!$C:$C,"Retirada de Sócios")</f>
        <v>0</v>
      </c>
      <c r="BJ71" s="39">
        <f>SUMIFS(Lançamentos!$G:$G,Lançamentos!$A:$A,BJ$19,Lançamentos!$C:$C,"Retirada de Sócios")</f>
        <v>0</v>
      </c>
      <c r="BK71" s="39">
        <f>SUMIFS(Lançamentos!$G:$G,Lançamentos!$A:$A,BK$19,Lançamentos!$C:$C,"Retirada de Sócios")</f>
        <v>0</v>
      </c>
      <c r="BL71" s="39">
        <f>SUMIFS(Lançamentos!$G:$G,Lançamentos!$A:$A,BL$19,Lançamentos!$C:$C,"Retirada de Sócios")</f>
        <v>0</v>
      </c>
      <c r="BM71" s="39">
        <f>SUMIFS(Lançamentos!$G:$G,Lançamentos!$A:$A,BM$19,Lançamentos!$C:$C,"Retirada de Sócios")</f>
        <v>0</v>
      </c>
      <c r="BN71" s="39">
        <f>SUMIFS(Lançamentos!$G:$G,Lançamentos!$A:$A,BN$19,Lançamentos!$C:$C,"Retirada de Sócios")</f>
        <v>0</v>
      </c>
      <c r="BO71" s="39">
        <f>SUMIFS(Lançamentos!$G:$G,Lançamentos!$A:$A,BO$19,Lançamentos!$C:$C,"Retirada de Sócios")</f>
        <v>0</v>
      </c>
      <c r="BP71" s="39">
        <f>SUMIFS(Lançamentos!$G:$G,Lançamentos!$A:$A,BP$19,Lançamentos!$C:$C,"Retirada de Sócios")</f>
        <v>0</v>
      </c>
      <c r="BQ71" s="39">
        <f>SUMIFS(Lançamentos!$G:$G,Lançamentos!$A:$A,BQ$19,Lançamentos!$C:$C,"Retirada de Sócios")</f>
        <v>0</v>
      </c>
      <c r="BR71" s="39">
        <f>SUMIFS(Lançamentos!$G:$G,Lançamentos!$A:$A,BR$19,Lançamentos!$C:$C,"Retirada de Sócios")</f>
        <v>0</v>
      </c>
      <c r="BS71" s="39">
        <f>SUMIFS(Lançamentos!$G:$G,Lançamentos!$A:$A,BS$19,Lançamentos!$C:$C,"Retirada de Sócios")</f>
        <v>0</v>
      </c>
      <c r="BT71" s="39">
        <f>SUMIFS(Lançamentos!$G:$G,Lançamentos!$A:$A,BT$19,Lançamentos!$C:$C,"Retirada de Sócios")</f>
        <v>0</v>
      </c>
      <c r="BU71" s="39">
        <f>SUMIFS(Lançamentos!$G:$G,Lançamentos!$A:$A,BU$19,Lançamentos!$C:$C,"Retirada de Sócios")</f>
        <v>0</v>
      </c>
      <c r="BV71" s="39">
        <f>SUMIFS(Lançamentos!$G:$G,Lançamentos!$A:$A,BV$19,Lançamentos!$C:$C,"Retirada de Sócios")</f>
        <v>0</v>
      </c>
      <c r="BW71" s="39">
        <f>SUMIFS(Lançamentos!$G:$G,Lançamentos!$A:$A,BW$19,Lançamentos!$C:$C,"Retirada de Sócios")</f>
        <v>0</v>
      </c>
      <c r="BX71" s="39">
        <f>SUMIFS(Lançamentos!$G:$G,Lançamentos!$A:$A,BX$19,Lançamentos!$C:$C,"Retirada de Sócios")</f>
        <v>0</v>
      </c>
      <c r="BY71" s="39">
        <f>SUMIFS(Lançamentos!$G:$G,Lançamentos!$A:$A,BY$19,Lançamentos!$C:$C,"Retirada de Sócios")</f>
        <v>0</v>
      </c>
      <c r="BZ71" s="39">
        <f>SUMIFS(Lançamentos!$G:$G,Lançamentos!$A:$A,BZ$19,Lançamentos!$C:$C,"Retirada de Sócios")</f>
        <v>0</v>
      </c>
      <c r="CA71" s="39">
        <f>SUMIFS(Lançamentos!$G:$G,Lançamentos!$A:$A,CA$19,Lançamentos!$C:$C,"Retirada de Sócios")</f>
        <v>0</v>
      </c>
      <c r="CB71" s="39">
        <f>SUMIFS(Lançamentos!$G:$G,Lançamentos!$A:$A,CB$19,Lançamentos!$C:$C,"Retirada de Sócios")</f>
        <v>0</v>
      </c>
      <c r="CC71" s="39">
        <f>SUMIFS(Lançamentos!$G:$G,Lançamentos!$A:$A,CC$19,Lançamentos!$C:$C,"Retirada de Sócios")</f>
        <v>0</v>
      </c>
      <c r="CD71" s="39">
        <f>SUMIFS(Lançamentos!$G:$G,Lançamentos!$A:$A,CD$19,Lançamentos!$C:$C,"Retirada de Sócios")</f>
        <v>0</v>
      </c>
      <c r="CE71" s="39">
        <f>SUMIFS(Lançamentos!$G:$G,Lançamentos!$A:$A,CE$19,Lançamentos!$C:$C,"Retirada de Sócios")</f>
        <v>0</v>
      </c>
      <c r="CF71" s="39">
        <f>SUMIFS(Lançamentos!$G:$G,Lançamentos!$A:$A,CF$19,Lançamentos!$C:$C,"Retirada de Sócios")</f>
        <v>0</v>
      </c>
      <c r="CG71" s="39">
        <f>SUMIFS(Lançamentos!$G:$G,Lançamentos!$A:$A,CG$19,Lançamentos!$C:$C,"Retirada de Sócios")</f>
        <v>0</v>
      </c>
      <c r="CH71" s="39">
        <f>SUMIFS(Lançamentos!$G:$G,Lançamentos!$A:$A,CH$19,Lançamentos!$C:$C,"Retirada de Sócios")</f>
        <v>0</v>
      </c>
      <c r="CI71" s="39">
        <f>SUMIFS(Lançamentos!$G:$G,Lançamentos!$A:$A,CI$19,Lançamentos!$C:$C,"Retirada de Sócios")</f>
        <v>0</v>
      </c>
      <c r="CJ71" s="39">
        <f>SUMIFS(Lançamentos!$G:$G,Lançamentos!$A:$A,CJ$19,Lançamentos!$C:$C,"Retirada de Sócios")</f>
        <v>0</v>
      </c>
      <c r="CK71" s="39">
        <f>SUMIFS(Lançamentos!$G:$G,Lançamentos!$A:$A,CK$19,Lançamentos!$C:$C,"Retirada de Sócios")</f>
        <v>0</v>
      </c>
      <c r="CL71" s="39">
        <f>SUMIFS(Lançamentos!$G:$G,Lançamentos!$A:$A,CL$19,Lançamentos!$C:$C,"Retirada de Sócios")</f>
        <v>0</v>
      </c>
      <c r="CM71" s="39">
        <f>SUMIFS(Lançamentos!$G:$G,Lançamentos!$A:$A,CM$19,Lançamentos!$C:$C,"Retirada de Sócios")</f>
        <v>0</v>
      </c>
      <c r="CN71" s="39">
        <f>SUMIFS(Lançamentos!$G:$G,Lançamentos!$A:$A,CN$19,Lançamentos!$C:$C,"Retirada de Sócios")</f>
        <v>0</v>
      </c>
      <c r="CO71" s="39">
        <f>SUMIFS(Lançamentos!$G:$G,Lançamentos!$A:$A,CO$19,Lançamentos!$C:$C,"Retirada de Sócios")</f>
        <v>0</v>
      </c>
      <c r="CP71" s="39">
        <f>SUMIFS(Lançamentos!$G:$G,Lançamentos!$A:$A,CP$19,Lançamentos!$C:$C,"Retirada de Sócios")</f>
        <v>0</v>
      </c>
      <c r="CQ71" s="39">
        <f>SUMIFS(Lançamentos!$G:$G,Lançamentos!$A:$A,CQ$19,Lançamentos!$C:$C,"Retirada de Sócios")</f>
        <v>0</v>
      </c>
      <c r="CR71" s="39">
        <f>SUMIFS(Lançamentos!$G:$G,Lançamentos!$A:$A,CR$19,Lançamentos!$C:$C,"Retirada de Sócios")</f>
        <v>0</v>
      </c>
      <c r="CS71" s="39">
        <f>SUMIFS(Lançamentos!$G:$G,Lançamentos!$A:$A,CS$19,Lançamentos!$C:$C,"Retirada de Sócios")</f>
        <v>0</v>
      </c>
      <c r="CT71" s="39">
        <f>SUMIFS(Lançamentos!$G:$G,Lançamentos!$A:$A,CT$19,Lançamentos!$C:$C,"Retirada de Sócios")</f>
        <v>0</v>
      </c>
      <c r="CU71" s="39">
        <f>SUMIFS(Lançamentos!$G:$G,Lançamentos!$A:$A,CU$19,Lançamentos!$C:$C,"Retirada de Sócios")</f>
        <v>0</v>
      </c>
      <c r="CV71" s="39">
        <f>SUMIFS(Lançamentos!$G:$G,Lançamentos!$A:$A,CV$19,Lançamentos!$C:$C,"Retirada de Sócios")</f>
        <v>0</v>
      </c>
      <c r="CW71" s="39">
        <f>SUMIFS(Lançamentos!$G:$G,Lançamentos!$A:$A,CW$19,Lançamentos!$C:$C,"Retirada de Sócios")</f>
        <v>0</v>
      </c>
      <c r="CX71" s="39">
        <f>SUMIFS(Lançamentos!$G:$G,Lançamentos!$A:$A,CX$19,Lançamentos!$C:$C,"Retirada de Sócios")</f>
        <v>0</v>
      </c>
      <c r="CY71" s="39">
        <f>SUMIFS(Lançamentos!$G:$G,Lançamentos!$A:$A,CY$19,Lançamentos!$C:$C,"Retirada de Sócios")</f>
        <v>0</v>
      </c>
      <c r="CZ71" s="39">
        <f>SUMIFS(Lançamentos!$G:$G,Lançamentos!$A:$A,CZ$19,Lançamentos!$C:$C,"Retirada de Sócios")</f>
        <v>0</v>
      </c>
      <c r="DA71" s="39">
        <f>SUMIFS(Lançamentos!$G:$G,Lançamentos!$A:$A,DA$19,Lançamentos!$C:$C,"Retirada de Sócios")</f>
        <v>0</v>
      </c>
      <c r="DB71" s="39">
        <f>SUMIFS(Lançamentos!$G:$G,Lançamentos!$A:$A,DB$19,Lançamentos!$C:$C,"Retirada de Sócios")</f>
        <v>0</v>
      </c>
      <c r="DC71" s="39">
        <f>SUMIFS(Lançamentos!$G:$G,Lançamentos!$A:$A,DC$19,Lançamentos!$C:$C,"Retirada de Sócios")</f>
        <v>0</v>
      </c>
      <c r="DD71" s="39">
        <f>SUMIFS(Lançamentos!$G:$G,Lançamentos!$A:$A,DD$19,Lançamentos!$C:$C,"Retirada de Sócios")</f>
        <v>0</v>
      </c>
      <c r="DE71" s="39">
        <f>SUMIFS(Lançamentos!$G:$G,Lançamentos!$A:$A,DE$19,Lançamentos!$C:$C,"Retirada de Sócios")</f>
        <v>0</v>
      </c>
      <c r="DF71" s="39">
        <f>SUMIFS(Lançamentos!$G:$G,Lançamentos!$A:$A,DF$19,Lançamentos!$C:$C,"Retirada de Sócios")</f>
        <v>0</v>
      </c>
      <c r="DG71" s="39">
        <f>SUMIFS(Lançamentos!$G:$G,Lançamentos!$A:$A,DG$19,Lançamentos!$C:$C,"Retirada de Sócios")</f>
        <v>0</v>
      </c>
      <c r="DH71" s="39">
        <f>SUMIFS(Lançamentos!$G:$G,Lançamentos!$A:$A,DH$19,Lançamentos!$C:$C,"Retirada de Sócios")</f>
        <v>0</v>
      </c>
      <c r="DI71" s="39">
        <f>SUMIFS(Lançamentos!$G:$G,Lançamentos!$A:$A,DI$19,Lançamentos!$C:$C,"Retirada de Sócios")</f>
        <v>0</v>
      </c>
      <c r="DJ71" s="39">
        <f>SUMIFS(Lançamentos!$G:$G,Lançamentos!$A:$A,DJ$19,Lançamentos!$C:$C,"Retirada de Sócios")</f>
        <v>0</v>
      </c>
      <c r="DK71" s="39">
        <f>SUMIFS(Lançamentos!$G:$G,Lançamentos!$A:$A,DK$19,Lançamentos!$C:$C,"Retirada de Sócios")</f>
        <v>0</v>
      </c>
      <c r="DL71" s="39">
        <f>SUMIFS(Lançamentos!$G:$G,Lançamentos!$A:$A,DL$19,Lançamentos!$C:$C,"Retirada de Sócios")</f>
        <v>0</v>
      </c>
      <c r="DM71" s="39">
        <f>SUMIFS(Lançamentos!$G:$G,Lançamentos!$A:$A,DM$19,Lançamentos!$C:$C,"Retirada de Sócios")</f>
        <v>0</v>
      </c>
      <c r="DN71" s="39">
        <f>SUMIFS(Lançamentos!$G:$G,Lançamentos!$A:$A,DN$19,Lançamentos!$C:$C,"Retirada de Sócios")</f>
        <v>0</v>
      </c>
      <c r="DO71" s="39">
        <f>SUMIFS(Lançamentos!$G:$G,Lançamentos!$A:$A,DO$19,Lançamentos!$C:$C,"Retirada de Sócios")</f>
        <v>0</v>
      </c>
      <c r="DP71" s="39">
        <f>SUMIFS(Lançamentos!$G:$G,Lançamentos!$A:$A,DP$19,Lançamentos!$C:$C,"Retirada de Sócios")</f>
        <v>0</v>
      </c>
      <c r="DQ71" s="39">
        <f>SUMIFS(Lançamentos!$G:$G,Lançamentos!$A:$A,DQ$19,Lançamentos!$C:$C,"Retirada de Sócios")</f>
        <v>0</v>
      </c>
      <c r="DR71" s="39">
        <f>SUMIFS(Lançamentos!$G:$G,Lançamentos!$A:$A,DR$19,Lançamentos!$C:$C,"Retirada de Sócios")</f>
        <v>0</v>
      </c>
      <c r="DS71" s="39">
        <f>SUMIFS(Lançamentos!$G:$G,Lançamentos!$A:$A,DS$19,Lançamentos!$C:$C,"Retirada de Sócios")</f>
        <v>0</v>
      </c>
      <c r="DT71" s="39">
        <f>SUMIFS(Lançamentos!$G:$G,Lançamentos!$A:$A,DT$19,Lançamentos!$C:$C,"Retirada de Sócios")</f>
        <v>0</v>
      </c>
      <c r="DU71" s="39">
        <f>SUMIFS(Lançamentos!$G:$G,Lançamentos!$A:$A,DU$19,Lançamentos!$C:$C,"Retirada de Sócios")</f>
        <v>0</v>
      </c>
      <c r="DV71" s="39">
        <f>SUMIFS(Lançamentos!$G:$G,Lançamentos!$A:$A,DV$19,Lançamentos!$C:$C,"Retirada de Sócios")</f>
        <v>0</v>
      </c>
      <c r="DW71" s="39">
        <f>SUMIFS(Lançamentos!$G:$G,Lançamentos!$A:$A,DW$19,Lançamentos!$C:$C,"Retirada de Sócios")</f>
        <v>0</v>
      </c>
      <c r="DX71" s="39">
        <f>SUMIFS(Lançamentos!$G:$G,Lançamentos!$A:$A,DX$19,Lançamentos!$C:$C,"Retirada de Sócios")</f>
        <v>0</v>
      </c>
      <c r="DY71" s="39">
        <f>SUMIFS(Lançamentos!$G:$G,Lançamentos!$A:$A,DY$19,Lançamentos!$C:$C,"Retirada de Sócios")</f>
        <v>0</v>
      </c>
      <c r="DZ71" s="39">
        <f>SUMIFS(Lançamentos!$G:$G,Lançamentos!$A:$A,DZ$19,Lançamentos!$C:$C,"Retirada de Sócios")</f>
        <v>0</v>
      </c>
      <c r="EA71" s="39">
        <f>SUMIFS(Lançamentos!$G:$G,Lançamentos!$A:$A,EA$19,Lançamentos!$C:$C,"Retirada de Sócios")</f>
        <v>0</v>
      </c>
      <c r="EB71" s="39">
        <f>SUMIFS(Lançamentos!$G:$G,Lançamentos!$A:$A,EB$19,Lançamentos!$C:$C,"Retirada de Sócios")</f>
        <v>0</v>
      </c>
      <c r="EC71" s="39">
        <f>SUMIFS(Lançamentos!$G:$G,Lançamentos!$A:$A,EC$19,Lançamentos!$C:$C,"Retirada de Sócios")</f>
        <v>0</v>
      </c>
      <c r="ED71" s="39">
        <f>SUMIFS(Lançamentos!$G:$G,Lançamentos!$A:$A,ED$19,Lançamentos!$C:$C,"Retirada de Sócios")</f>
        <v>0</v>
      </c>
      <c r="EE71" s="39">
        <f>SUMIFS(Lançamentos!$G:$G,Lançamentos!$A:$A,EE$19,Lançamentos!$C:$C,"Retirada de Sócios")</f>
        <v>0</v>
      </c>
      <c r="EF71" s="39">
        <f>SUMIFS(Lançamentos!$G:$G,Lançamentos!$A:$A,EF$19,Lançamentos!$C:$C,"Retirada de Sócios")</f>
        <v>0</v>
      </c>
      <c r="EG71" s="39">
        <f>SUMIFS(Lançamentos!$G:$G,Lançamentos!$A:$A,EG$19,Lançamentos!$C:$C,"Retirada de Sócios")</f>
        <v>0</v>
      </c>
      <c r="EH71" s="39">
        <f>SUMIFS(Lançamentos!$G:$G,Lançamentos!$A:$A,EH$19,Lançamentos!$C:$C,"Retirada de Sócios")</f>
        <v>0</v>
      </c>
      <c r="EI71" s="39">
        <f>SUMIFS(Lançamentos!$G:$G,Lançamentos!$A:$A,EI$19,Lançamentos!$C:$C,"Retirada de Sócios")</f>
        <v>0</v>
      </c>
      <c r="EJ71" s="39">
        <f>SUMIFS(Lançamentos!$G:$G,Lançamentos!$A:$A,EJ$19,Lançamentos!$C:$C,"Retirada de Sócios")</f>
        <v>0</v>
      </c>
      <c r="EK71" s="39">
        <f>SUMIFS(Lançamentos!$G:$G,Lançamentos!$A:$A,EK$19,Lançamentos!$C:$C,"Retirada de Sócios")</f>
        <v>0</v>
      </c>
      <c r="EL71" s="39">
        <f>SUMIFS(Lançamentos!$G:$G,Lançamentos!$A:$A,EL$19,Lançamentos!$C:$C,"Retirada de Sócios")</f>
        <v>0</v>
      </c>
      <c r="EM71" s="39">
        <f>SUMIFS(Lançamentos!$G:$G,Lançamentos!$A:$A,EM$19,Lançamentos!$C:$C,"Retirada de Sócios")</f>
        <v>0</v>
      </c>
      <c r="EN71" s="39">
        <f>SUMIFS(Lançamentos!$G:$G,Lançamentos!$A:$A,EN$19,Lançamentos!$C:$C,"Retirada de Sócios")</f>
        <v>0</v>
      </c>
      <c r="EO71" s="39">
        <f>SUMIFS(Lançamentos!$G:$G,Lançamentos!$A:$A,EO$19,Lançamentos!$C:$C,"Retirada de Sócios")</f>
        <v>0</v>
      </c>
      <c r="EP71" s="39">
        <f>SUMIFS(Lançamentos!$G:$G,Lançamentos!$A:$A,EP$19,Lançamentos!$C:$C,"Retirada de Sócios")</f>
        <v>0</v>
      </c>
      <c r="EQ71" s="39">
        <f>SUMIFS(Lançamentos!$G:$G,Lançamentos!$A:$A,EQ$19,Lançamentos!$C:$C,"Retirada de Sócios")</f>
        <v>0</v>
      </c>
      <c r="ER71" s="39">
        <f>SUMIFS(Lançamentos!$G:$G,Lançamentos!$A:$A,ER$19,Lançamentos!$C:$C,"Retirada de Sócios")</f>
        <v>0</v>
      </c>
      <c r="ES71" s="39">
        <f>SUMIFS(Lançamentos!$G:$G,Lançamentos!$A:$A,ES$19,Lançamentos!$C:$C,"Retirada de Sócios")</f>
        <v>0</v>
      </c>
      <c r="ET71" s="39">
        <f>SUMIFS(Lançamentos!$G:$G,Lançamentos!$A:$A,ET$19,Lançamentos!$C:$C,"Retirada de Sócios")</f>
        <v>0</v>
      </c>
      <c r="EU71" s="39">
        <f>SUMIFS(Lançamentos!$G:$G,Lançamentos!$A:$A,EU$19,Lançamentos!$C:$C,"Retirada de Sócios")</f>
        <v>0</v>
      </c>
      <c r="EV71" s="39">
        <f>SUMIFS(Lançamentos!$G:$G,Lançamentos!$A:$A,EV$19,Lançamentos!$C:$C,"Retirada de Sócios")</f>
        <v>0</v>
      </c>
      <c r="EW71" s="39">
        <f>SUMIFS(Lançamentos!$G:$G,Lançamentos!$A:$A,EW$19,Lançamentos!$C:$C,"Retirada de Sócios")</f>
        <v>0</v>
      </c>
      <c r="EX71" s="39">
        <f>SUMIFS(Lançamentos!$G:$G,Lançamentos!$A:$A,EX$19,Lançamentos!$C:$C,"Retirada de Sócios")</f>
        <v>0</v>
      </c>
      <c r="EY71" s="39">
        <f>SUMIFS(Lançamentos!$G:$G,Lançamentos!$A:$A,EY$19,Lançamentos!$C:$C,"Retirada de Sócios")</f>
        <v>0</v>
      </c>
      <c r="EZ71" s="39">
        <f>SUMIFS(Lançamentos!$G:$G,Lançamentos!$A:$A,EZ$19,Lançamentos!$C:$C,"Retirada de Sócios")</f>
        <v>0</v>
      </c>
      <c r="FA71" s="39">
        <f>SUMIFS(Lançamentos!$G:$G,Lançamentos!$A:$A,FA$19,Lançamentos!$C:$C,"Retirada de Sócios")</f>
        <v>0</v>
      </c>
      <c r="FB71" s="39">
        <f>SUMIFS(Lançamentos!$G:$G,Lançamentos!$A:$A,FB$19,Lançamentos!$C:$C,"Retirada de Sócios")</f>
        <v>0</v>
      </c>
      <c r="FC71" s="39">
        <f>SUMIFS(Lançamentos!$G:$G,Lançamentos!$A:$A,FC$19,Lançamentos!$C:$C,"Retirada de Sócios")</f>
        <v>0</v>
      </c>
      <c r="FD71" s="39">
        <f>SUMIFS(Lançamentos!$G:$G,Lançamentos!$A:$A,FD$19,Lançamentos!$C:$C,"Retirada de Sócios")</f>
        <v>0</v>
      </c>
      <c r="FE71" s="39">
        <f>SUMIFS(Lançamentos!$G:$G,Lançamentos!$A:$A,FE$19,Lançamentos!$C:$C,"Retirada de Sócios")</f>
        <v>0</v>
      </c>
      <c r="FF71" s="39">
        <f>SUMIFS(Lançamentos!$G:$G,Lançamentos!$A:$A,FF$19,Lançamentos!$C:$C,"Retirada de Sócios")</f>
        <v>0</v>
      </c>
      <c r="FG71" s="39">
        <f>SUMIFS(Lançamentos!$G:$G,Lançamentos!$A:$A,FG$19,Lançamentos!$C:$C,"Retirada de Sócios")</f>
        <v>0</v>
      </c>
      <c r="FH71" s="39">
        <f>SUMIFS(Lançamentos!$G:$G,Lançamentos!$A:$A,FH$19,Lançamentos!$C:$C,"Retirada de Sócios")</f>
        <v>0</v>
      </c>
      <c r="FI71" s="39">
        <f>SUMIFS(Lançamentos!$G:$G,Lançamentos!$A:$A,FI$19,Lançamentos!$C:$C,"Retirada de Sócios")</f>
        <v>0</v>
      </c>
      <c r="FJ71" s="39">
        <f>SUMIFS(Lançamentos!$G:$G,Lançamentos!$A:$A,FJ$19,Lançamentos!$C:$C,"Retirada de Sócios")</f>
        <v>0</v>
      </c>
      <c r="FK71" s="39">
        <f>SUMIFS(Lançamentos!$G:$G,Lançamentos!$A:$A,FK$19,Lançamentos!$C:$C,"Retirada de Sócios")</f>
        <v>0</v>
      </c>
      <c r="FL71" s="39">
        <f>SUMIFS(Lançamentos!$G:$G,Lançamentos!$A:$A,FL$19,Lançamentos!$C:$C,"Retirada de Sócios")</f>
        <v>0</v>
      </c>
      <c r="FM71" s="39">
        <f>SUMIFS(Lançamentos!$G:$G,Lançamentos!$A:$A,FM$19,Lançamentos!$C:$C,"Retirada de Sócios")</f>
        <v>0</v>
      </c>
      <c r="FN71" s="39">
        <f>SUMIFS(Lançamentos!$G:$G,Lançamentos!$A:$A,FN$19,Lançamentos!$C:$C,"Retirada de Sócios")</f>
        <v>0</v>
      </c>
      <c r="FO71" s="39">
        <f>SUMIFS(Lançamentos!$G:$G,Lançamentos!$A:$A,FO$19,Lançamentos!$C:$C,"Retirada de Sócios")</f>
        <v>0</v>
      </c>
      <c r="FP71" s="39">
        <f>SUMIFS(Lançamentos!$G:$G,Lançamentos!$A:$A,FP$19,Lançamentos!$C:$C,"Retirada de Sócios")</f>
        <v>0</v>
      </c>
      <c r="FQ71" s="39">
        <f>SUMIFS(Lançamentos!$G:$G,Lançamentos!$A:$A,FQ$19,Lançamentos!$C:$C,"Retirada de Sócios")</f>
        <v>0</v>
      </c>
      <c r="FR71" s="39">
        <f>SUMIFS(Lançamentos!$G:$G,Lançamentos!$A:$A,FR$19,Lançamentos!$C:$C,"Retirada de Sócios")</f>
        <v>0</v>
      </c>
      <c r="FS71" s="39">
        <f>SUMIFS(Lançamentos!$G:$G,Lançamentos!$A:$A,FS$19,Lançamentos!$C:$C,"Retirada de Sócios")</f>
        <v>0</v>
      </c>
      <c r="FT71" s="39">
        <f>SUMIFS(Lançamentos!$G:$G,Lançamentos!$A:$A,FT$19,Lançamentos!$C:$C,"Retirada de Sócios")</f>
        <v>0</v>
      </c>
      <c r="FU71" s="39">
        <f>SUMIFS(Lançamentos!$G:$G,Lançamentos!$A:$A,FU$19,Lançamentos!$C:$C,"Retirada de Sócios")</f>
        <v>0</v>
      </c>
      <c r="FV71" s="39">
        <f>SUMIFS(Lançamentos!$G:$G,Lançamentos!$A:$A,FV$19,Lançamentos!$C:$C,"Retirada de Sócios")</f>
        <v>0</v>
      </c>
      <c r="FW71" s="39">
        <f>SUMIFS(Lançamentos!$G:$G,Lançamentos!$A:$A,FW$19,Lançamentos!$C:$C,"Retirada de Sócios")</f>
        <v>0</v>
      </c>
      <c r="FX71" s="39">
        <f>SUMIFS(Lançamentos!$G:$G,Lançamentos!$A:$A,FX$19,Lançamentos!$C:$C,"Retirada de Sócios")</f>
        <v>0</v>
      </c>
      <c r="FY71" s="39">
        <f>SUMIFS(Lançamentos!$G:$G,Lançamentos!$A:$A,FY$19,Lançamentos!$C:$C,"Retirada de Sócios")</f>
        <v>0</v>
      </c>
      <c r="FZ71" s="39">
        <f>SUMIFS(Lançamentos!$G:$G,Lançamentos!$A:$A,FZ$19,Lançamentos!$C:$C,"Retirada de Sócios")</f>
        <v>0</v>
      </c>
      <c r="GA71" s="39">
        <f>SUMIFS(Lançamentos!$G:$G,Lançamentos!$A:$A,GA$19,Lançamentos!$C:$C,"Retirada de Sócios")</f>
        <v>0</v>
      </c>
      <c r="GB71" s="39">
        <f>SUMIFS(Lançamentos!$G:$G,Lançamentos!$A:$A,GB$19,Lançamentos!$C:$C,"Retirada de Sócios")</f>
        <v>0</v>
      </c>
      <c r="GC71" s="39">
        <f>SUMIFS(Lançamentos!$G:$G,Lançamentos!$A:$A,GC$19,Lançamentos!$C:$C,"Retirada de Sócios")</f>
        <v>0</v>
      </c>
      <c r="GD71" s="39">
        <f>SUMIFS(Lançamentos!$G:$G,Lançamentos!$A:$A,GD$19,Lançamentos!$C:$C,"Retirada de Sócios")</f>
        <v>0</v>
      </c>
      <c r="GE71" s="39">
        <f>SUMIFS(Lançamentos!$G:$G,Lançamentos!$A:$A,GE$19,Lançamentos!$C:$C,"Retirada de Sócios")</f>
        <v>0</v>
      </c>
      <c r="GF71" s="39">
        <f>SUMIFS(Lançamentos!$G:$G,Lançamentos!$A:$A,GF$19,Lançamentos!$C:$C,"Retirada de Sócios")</f>
        <v>0</v>
      </c>
      <c r="GG71" s="39">
        <f>SUMIFS(Lançamentos!$G:$G,Lançamentos!$A:$A,GG$19,Lançamentos!$C:$C,"Retirada de Sócios")</f>
        <v>0</v>
      </c>
      <c r="GH71" s="39">
        <f>SUMIFS(Lançamentos!$G:$G,Lançamentos!$A:$A,GH$19,Lançamentos!$C:$C,"Retirada de Sócios")</f>
        <v>0</v>
      </c>
      <c r="GI71" s="39">
        <f>SUMIFS(Lançamentos!$G:$G,Lançamentos!$A:$A,GI$19,Lançamentos!$C:$C,"Retirada de Sócios")</f>
        <v>0</v>
      </c>
      <c r="GJ71" s="39">
        <f>SUMIFS(Lançamentos!$G:$G,Lançamentos!$A:$A,GJ$19,Lançamentos!$C:$C,"Retirada de Sócios")</f>
        <v>0</v>
      </c>
      <c r="GK71" s="39">
        <f>SUMIFS(Lançamentos!$G:$G,Lançamentos!$A:$A,GK$19,Lançamentos!$C:$C,"Retirada de Sócios")</f>
        <v>0</v>
      </c>
      <c r="GL71" s="39">
        <f>SUMIFS(Lançamentos!$G:$G,Lançamentos!$A:$A,GL$19,Lançamentos!$C:$C,"Retirada de Sócios")</f>
        <v>0</v>
      </c>
      <c r="GM71" s="39">
        <f>SUMIFS(Lançamentos!$G:$G,Lançamentos!$A:$A,GM$19,Lançamentos!$C:$C,"Retirada de Sócios")</f>
        <v>0</v>
      </c>
      <c r="GN71" s="39">
        <f>SUMIFS(Lançamentos!$G:$G,Lançamentos!$A:$A,GN$19,Lançamentos!$C:$C,"Retirada de Sócios")</f>
        <v>0</v>
      </c>
      <c r="GO71" s="39">
        <f>SUMIFS(Lançamentos!$G:$G,Lançamentos!$A:$A,GO$19,Lançamentos!$C:$C,"Retirada de Sócios")</f>
        <v>0</v>
      </c>
      <c r="GP71" s="39">
        <f>SUMIFS(Lançamentos!$G:$G,Lançamentos!$A:$A,GP$19,Lançamentos!$C:$C,"Retirada de Sócios")</f>
        <v>0</v>
      </c>
      <c r="GQ71" s="39">
        <f>SUMIFS(Lançamentos!$G:$G,Lançamentos!$A:$A,GQ$19,Lançamentos!$C:$C,"Retirada de Sócios")</f>
        <v>0</v>
      </c>
      <c r="GR71" s="39">
        <f>SUMIFS(Lançamentos!$G:$G,Lançamentos!$A:$A,GR$19,Lançamentos!$C:$C,"Retirada de Sócios")</f>
        <v>0</v>
      </c>
      <c r="GS71" s="39">
        <f>SUMIFS(Lançamentos!$G:$G,Lançamentos!$A:$A,GS$19,Lançamentos!$C:$C,"Retirada de Sócios")</f>
        <v>0</v>
      </c>
      <c r="GT71" s="39">
        <f>SUMIFS(Lançamentos!$G:$G,Lançamentos!$A:$A,GT$19,Lançamentos!$C:$C,"Retirada de Sócios")</f>
        <v>0</v>
      </c>
      <c r="GU71" s="39">
        <f>SUMIFS(Lançamentos!$G:$G,Lançamentos!$A:$A,GU$19,Lançamentos!$C:$C,"Retirada de Sócios")</f>
        <v>0</v>
      </c>
      <c r="GV71" s="39">
        <f>SUMIFS(Lançamentos!$G:$G,Lançamentos!$A:$A,GV$19,Lançamentos!$C:$C,"Retirada de Sócios")</f>
        <v>0</v>
      </c>
      <c r="GW71" s="39">
        <f>SUMIFS(Lançamentos!$G:$G,Lançamentos!$A:$A,GW$19,Lançamentos!$C:$C,"Retirada de Sócios")</f>
        <v>0</v>
      </c>
      <c r="GX71" s="39">
        <f>SUMIFS(Lançamentos!$G:$G,Lançamentos!$A:$A,GX$19,Lançamentos!$C:$C,"Retirada de Sócios")</f>
        <v>0</v>
      </c>
      <c r="GY71" s="39">
        <f>SUMIFS(Lançamentos!$G:$G,Lançamentos!$A:$A,GY$19,Lançamentos!$C:$C,"Retirada de Sócios")</f>
        <v>0</v>
      </c>
      <c r="GZ71" s="39">
        <f>SUMIFS(Lançamentos!$G:$G,Lançamentos!$A:$A,GZ$19,Lançamentos!$C:$C,"Retirada de Sócios")</f>
        <v>0</v>
      </c>
      <c r="HA71" s="39">
        <f>SUMIFS(Lançamentos!$G:$G,Lançamentos!$A:$A,HA$19,Lançamentos!$C:$C,"Retirada de Sócios")</f>
        <v>0</v>
      </c>
      <c r="HB71" s="39">
        <f>SUMIFS(Lançamentos!$G:$G,Lançamentos!$A:$A,HB$19,Lançamentos!$C:$C,"Retirada de Sócios")</f>
        <v>0</v>
      </c>
      <c r="HC71" s="39">
        <f>SUMIFS(Lançamentos!$G:$G,Lançamentos!$A:$A,HC$19,Lançamentos!$C:$C,"Retirada de Sócios")</f>
        <v>0</v>
      </c>
      <c r="HD71" s="39">
        <f>SUMIFS(Lançamentos!$G:$G,Lançamentos!$A:$A,HD$19,Lançamentos!$C:$C,"Retirada de Sócios")</f>
        <v>0</v>
      </c>
      <c r="HE71" s="39">
        <f>SUMIFS(Lançamentos!$G:$G,Lançamentos!$A:$A,HE$19,Lançamentos!$C:$C,"Retirada de Sócios")</f>
        <v>0</v>
      </c>
      <c r="HF71" s="39">
        <f>SUMIFS(Lançamentos!$G:$G,Lançamentos!$A:$A,HF$19,Lançamentos!$C:$C,"Retirada de Sócios")</f>
        <v>0</v>
      </c>
      <c r="HG71" s="39">
        <f>SUMIFS(Lançamentos!$G:$G,Lançamentos!$A:$A,HG$19,Lançamentos!$C:$C,"Retirada de Sócios")</f>
        <v>0</v>
      </c>
      <c r="HH71" s="39">
        <f>SUMIFS(Lançamentos!$G:$G,Lançamentos!$A:$A,HH$19,Lançamentos!$C:$C,"Retirada de Sócios")</f>
        <v>0</v>
      </c>
      <c r="HI71" s="39">
        <f>SUMIFS(Lançamentos!$G:$G,Lançamentos!$A:$A,HI$19,Lançamentos!$C:$C,"Retirada de Sócios")</f>
        <v>0</v>
      </c>
      <c r="HJ71" s="39">
        <f>SUMIFS(Lançamentos!$G:$G,Lançamentos!$A:$A,HJ$19,Lançamentos!$C:$C,"Retirada de Sócios")</f>
        <v>0</v>
      </c>
      <c r="HK71" s="39">
        <f>SUMIFS(Lançamentos!$G:$G,Lançamentos!$A:$A,HK$19,Lançamentos!$C:$C,"Retirada de Sócios")</f>
        <v>0</v>
      </c>
      <c r="HL71" s="39">
        <f>SUMIFS(Lançamentos!$G:$G,Lançamentos!$A:$A,HL$19,Lançamentos!$C:$C,"Retirada de Sócios")</f>
        <v>0</v>
      </c>
      <c r="HM71" s="39">
        <f>SUMIFS(Lançamentos!$G:$G,Lançamentos!$A:$A,HM$19,Lançamentos!$C:$C,"Retirada de Sócios")</f>
        <v>0</v>
      </c>
      <c r="HN71" s="39">
        <f>SUMIFS(Lançamentos!$G:$G,Lançamentos!$A:$A,HN$19,Lançamentos!$C:$C,"Retirada de Sócios")</f>
        <v>0</v>
      </c>
      <c r="HO71" s="39">
        <f>SUMIFS(Lançamentos!$G:$G,Lançamentos!$A:$A,HO$19,Lançamentos!$C:$C,"Retirada de Sócios")</f>
        <v>0</v>
      </c>
      <c r="HP71" s="39">
        <f>SUMIFS(Lançamentos!$G:$G,Lançamentos!$A:$A,HP$19,Lançamentos!$C:$C,"Retirada de Sócios")</f>
        <v>0</v>
      </c>
      <c r="HQ71" s="39">
        <f>SUMIFS(Lançamentos!$G:$G,Lançamentos!$A:$A,HQ$19,Lançamentos!$C:$C,"Retirada de Sócios")</f>
        <v>0</v>
      </c>
      <c r="HR71" s="39">
        <f>SUMIFS(Lançamentos!$G:$G,Lançamentos!$A:$A,HR$19,Lançamentos!$C:$C,"Retirada de Sócios")</f>
        <v>0</v>
      </c>
      <c r="HS71" s="39">
        <f>SUMIFS(Lançamentos!$G:$G,Lançamentos!$A:$A,HS$19,Lançamentos!$C:$C,"Retirada de Sócios")</f>
        <v>0</v>
      </c>
      <c r="HT71" s="39">
        <f>SUMIFS(Lançamentos!$G:$G,Lançamentos!$A:$A,HT$19,Lançamentos!$C:$C,"Retirada de Sócios")</f>
        <v>0</v>
      </c>
      <c r="HU71" s="39">
        <f>SUMIFS(Lançamentos!$G:$G,Lançamentos!$A:$A,HU$19,Lançamentos!$C:$C,"Retirada de Sócios")</f>
        <v>0</v>
      </c>
      <c r="HV71" s="39">
        <f>SUMIFS(Lançamentos!$G:$G,Lançamentos!$A:$A,HV$19,Lançamentos!$C:$C,"Retirada de Sócios")</f>
        <v>0</v>
      </c>
      <c r="HW71" s="39">
        <f>SUMIFS(Lançamentos!$G:$G,Lançamentos!$A:$A,HW$19,Lançamentos!$C:$C,"Retirada de Sócios")</f>
        <v>0</v>
      </c>
      <c r="HX71" s="39">
        <f>SUMIFS(Lançamentos!$G:$G,Lançamentos!$A:$A,HX$19,Lançamentos!$C:$C,"Retirada de Sócios")</f>
        <v>0</v>
      </c>
      <c r="HY71" s="39">
        <f>SUMIFS(Lançamentos!$G:$G,Lançamentos!$A:$A,HY$19,Lançamentos!$C:$C,"Retirada de Sócios")</f>
        <v>0</v>
      </c>
      <c r="HZ71" s="39">
        <f>SUMIFS(Lançamentos!$G:$G,Lançamentos!$A:$A,HZ$19,Lançamentos!$C:$C,"Retirada de Sócios")</f>
        <v>0</v>
      </c>
      <c r="IA71" s="39">
        <f>SUMIFS(Lançamentos!$G:$G,Lançamentos!$A:$A,IA$19,Lançamentos!$C:$C,"Retirada de Sócios")</f>
        <v>0</v>
      </c>
      <c r="IB71" s="39">
        <f>SUMIFS(Lançamentos!$G:$G,Lançamentos!$A:$A,IB$19,Lançamentos!$C:$C,"Retirada de Sócios")</f>
        <v>0</v>
      </c>
      <c r="IC71" s="39">
        <f>SUMIFS(Lançamentos!$G:$G,Lançamentos!$A:$A,IC$19,Lançamentos!$C:$C,"Retirada de Sócios")</f>
        <v>0</v>
      </c>
      <c r="ID71" s="39">
        <f>SUMIFS(Lançamentos!$G:$G,Lançamentos!$A:$A,ID$19,Lançamentos!$C:$C,"Retirada de Sócios")</f>
        <v>0</v>
      </c>
      <c r="IE71" s="39">
        <f>SUMIFS(Lançamentos!$G:$G,Lançamentos!$A:$A,IE$19,Lançamentos!$C:$C,"Retirada de Sócios")</f>
        <v>0</v>
      </c>
      <c r="IF71" s="39">
        <f>SUMIFS(Lançamentos!$G:$G,Lançamentos!$A:$A,IF$19,Lançamentos!$C:$C,"Retirada de Sócios")</f>
        <v>0</v>
      </c>
      <c r="IG71" s="39">
        <f>SUMIFS(Lançamentos!$G:$G,Lançamentos!$A:$A,IG$19,Lançamentos!$C:$C,"Retirada de Sócios")</f>
        <v>0</v>
      </c>
      <c r="IH71" s="39">
        <f>SUMIFS(Lançamentos!$G:$G,Lançamentos!$A:$A,IH$19,Lançamentos!$C:$C,"Retirada de Sócios")</f>
        <v>0</v>
      </c>
      <c r="II71" s="39">
        <f>SUMIFS(Lançamentos!$G:$G,Lançamentos!$A:$A,II$19,Lançamentos!$C:$C,"Retirada de Sócios")</f>
        <v>0</v>
      </c>
      <c r="IJ71" s="39">
        <f>SUMIFS(Lançamentos!$G:$G,Lançamentos!$A:$A,IJ$19,Lançamentos!$C:$C,"Retirada de Sócios")</f>
        <v>0</v>
      </c>
      <c r="IK71" s="39">
        <f>SUMIFS(Lançamentos!$G:$G,Lançamentos!$A:$A,IK$19,Lançamentos!$C:$C,"Retirada de Sócios")</f>
        <v>0</v>
      </c>
      <c r="IL71" s="39">
        <f>SUMIFS(Lançamentos!$G:$G,Lançamentos!$A:$A,IL$19,Lançamentos!$C:$C,"Retirada de Sócios")</f>
        <v>0</v>
      </c>
    </row>
    <row r="72" spans="1:246" x14ac:dyDescent="0.3">
      <c r="A72" t="s">
        <v>117</v>
      </c>
      <c r="B72" s="39">
        <f>SUMIFS(Lançamentos!$G:$G,Lançamentos!$A:$A,B$19,Lançamentos!$C:$C,"INSS / FGTS")</f>
        <v>0</v>
      </c>
      <c r="C72" s="39">
        <f>SUMIFS(Lançamentos!$G:$G,Lançamentos!$A:$A,C$19,Lançamentos!$C:$C,"INSS / FGTS")</f>
        <v>0</v>
      </c>
      <c r="D72" s="39">
        <f>SUMIFS(Lançamentos!$G:$G,Lançamentos!$A:$A,D$19,Lançamentos!$C:$C,"INSS / FGTS")</f>
        <v>0</v>
      </c>
      <c r="E72" s="39">
        <f>SUMIFS(Lançamentos!$G:$G,Lançamentos!$A:$A,E$19,Lançamentos!$C:$C,"INSS / FGTS")</f>
        <v>0</v>
      </c>
      <c r="F72" s="39">
        <f>SUMIFS(Lançamentos!$G:$G,Lançamentos!$A:$A,F$19,Lançamentos!$C:$C,"INSS / FGTS")</f>
        <v>0</v>
      </c>
      <c r="G72" s="39">
        <f>SUMIFS(Lançamentos!$G:$G,Lançamentos!$A:$A,G$19,Lançamentos!$C:$C,"INSS / FGTS")</f>
        <v>0</v>
      </c>
      <c r="H72" s="39">
        <f>SUMIFS(Lançamentos!$G:$G,Lançamentos!$A:$A,H$19,Lançamentos!$C:$C,"INSS / FGTS")</f>
        <v>0</v>
      </c>
      <c r="I72" s="39">
        <f>SUMIFS(Lançamentos!$G:$G,Lançamentos!$A:$A,I$19,Lançamentos!$C:$C,"INSS / FGTS")</f>
        <v>0</v>
      </c>
      <c r="J72" s="39">
        <f>SUMIFS(Lançamentos!$G:$G,Lançamentos!$A:$A,J$19,Lançamentos!$C:$C,"INSS / FGTS")</f>
        <v>0</v>
      </c>
      <c r="K72" s="39">
        <f>SUMIFS(Lançamentos!$G:$G,Lançamentos!$A:$A,K$19,Lançamentos!$C:$C,"INSS / FGTS")</f>
        <v>0</v>
      </c>
      <c r="L72" s="39">
        <f>SUMIFS(Lançamentos!$G:$G,Lançamentos!$A:$A,L$19,Lançamentos!$C:$C,"INSS / FGTS")</f>
        <v>0</v>
      </c>
      <c r="M72" s="39">
        <f>SUMIFS(Lançamentos!$G:$G,Lançamentos!$A:$A,M$19,Lançamentos!$C:$C,"INSS / FGTS")</f>
        <v>0</v>
      </c>
      <c r="N72" s="39">
        <f>SUMIFS(Lançamentos!$G:$G,Lançamentos!$A:$A,N$19,Lançamentos!$C:$C,"INSS / FGTS")</f>
        <v>0</v>
      </c>
      <c r="O72" s="39">
        <f>SUMIFS(Lançamentos!$G:$G,Lançamentos!$A:$A,O$19,Lançamentos!$C:$C,"INSS / FGTS")</f>
        <v>0</v>
      </c>
      <c r="P72" s="39">
        <f>SUMIFS(Lançamentos!$G:$G,Lançamentos!$A:$A,P$19,Lançamentos!$C:$C,"INSS / FGTS")</f>
        <v>0</v>
      </c>
      <c r="Q72" s="39">
        <f>SUMIFS(Lançamentos!$G:$G,Lançamentos!$A:$A,Q$19,Lançamentos!$C:$C,"INSS / FGTS")</f>
        <v>0</v>
      </c>
      <c r="R72" s="39">
        <f>SUMIFS(Lançamentos!$G:$G,Lançamentos!$A:$A,R$19,Lançamentos!$C:$C,"INSS / FGTS")</f>
        <v>0</v>
      </c>
      <c r="S72" s="39">
        <f>SUMIFS(Lançamentos!$G:$G,Lançamentos!$A:$A,S$19,Lançamentos!$C:$C,"INSS / FGTS")</f>
        <v>0</v>
      </c>
      <c r="T72" s="39">
        <f>SUMIFS(Lançamentos!$G:$G,Lançamentos!$A:$A,T$19,Lançamentos!$C:$C,"INSS / FGTS")</f>
        <v>0</v>
      </c>
      <c r="U72" s="39">
        <f>SUMIFS(Lançamentos!$G:$G,Lançamentos!$A:$A,U$19,Lançamentos!$C:$C,"INSS / FGTS")</f>
        <v>0</v>
      </c>
      <c r="V72" s="39">
        <f>SUMIFS(Lançamentos!$G:$G,Lançamentos!$A:$A,V$19,Lançamentos!$C:$C,"INSS / FGTS")</f>
        <v>0</v>
      </c>
      <c r="W72" s="39">
        <f>SUMIFS(Lançamentos!$G:$G,Lançamentos!$A:$A,W$19,Lançamentos!$C:$C,"INSS / FGTS")</f>
        <v>0</v>
      </c>
      <c r="X72" s="39">
        <f>SUMIFS(Lançamentos!$G:$G,Lançamentos!$A:$A,X$19,Lançamentos!$C:$C,"INSS / FGTS")</f>
        <v>0</v>
      </c>
      <c r="Y72" s="39">
        <f>SUMIFS(Lançamentos!$G:$G,Lançamentos!$A:$A,Y$19,Lançamentos!$C:$C,"INSS / FGTS")</f>
        <v>0</v>
      </c>
      <c r="Z72" s="39">
        <f>SUMIFS(Lançamentos!$G:$G,Lançamentos!$A:$A,Z$19,Lançamentos!$C:$C,"INSS / FGTS")</f>
        <v>0</v>
      </c>
      <c r="AA72" s="39">
        <f>SUMIFS(Lançamentos!$G:$G,Lançamentos!$A:$A,AA$19,Lançamentos!$C:$C,"INSS / FGTS")</f>
        <v>0</v>
      </c>
      <c r="AB72" s="39">
        <f>SUMIFS(Lançamentos!$G:$G,Lançamentos!$A:$A,AB$19,Lançamentos!$C:$C,"INSS / FGTS")</f>
        <v>0</v>
      </c>
      <c r="AC72" s="39">
        <f>SUMIFS(Lançamentos!$G:$G,Lançamentos!$A:$A,AC$19,Lançamentos!$C:$C,"INSS / FGTS")</f>
        <v>0</v>
      </c>
      <c r="AD72" s="39">
        <f>SUMIFS(Lançamentos!$G:$G,Lançamentos!$A:$A,AD$19,Lançamentos!$C:$C,"INSS / FGTS")</f>
        <v>0</v>
      </c>
      <c r="AE72" s="39">
        <f>SUMIFS(Lançamentos!$G:$G,Lançamentos!$A:$A,AE$19,Lançamentos!$C:$C,"INSS / FGTS")</f>
        <v>0</v>
      </c>
      <c r="AF72" s="39">
        <f>SUMIFS(Lançamentos!$G:$G,Lançamentos!$A:$A,AF$19,Lançamentos!$C:$C,"INSS / FGTS")</f>
        <v>0</v>
      </c>
      <c r="AG72" s="39">
        <f>SUMIFS(Lançamentos!$G:$G,Lançamentos!$A:$A,AG$19,Lançamentos!$C:$C,"INSS / FGTS")</f>
        <v>0</v>
      </c>
      <c r="AH72" s="39">
        <f>SUMIFS(Lançamentos!$G:$G,Lançamentos!$A:$A,AH$19,Lançamentos!$C:$C,"INSS / FGTS")</f>
        <v>0</v>
      </c>
      <c r="AI72" s="39">
        <f>SUMIFS(Lançamentos!$G:$G,Lançamentos!$A:$A,AI$19,Lançamentos!$C:$C,"INSS / FGTS")</f>
        <v>0</v>
      </c>
      <c r="AJ72" s="39">
        <f>SUMIFS(Lançamentos!$G:$G,Lançamentos!$A:$A,AJ$19,Lançamentos!$C:$C,"INSS / FGTS")</f>
        <v>0</v>
      </c>
      <c r="AK72" s="39">
        <f>SUMIFS(Lançamentos!$G:$G,Lançamentos!$A:$A,AK$19,Lançamentos!$C:$C,"INSS / FGTS")</f>
        <v>0</v>
      </c>
      <c r="AL72" s="39">
        <f>SUMIFS(Lançamentos!$G:$G,Lançamentos!$A:$A,AL$19,Lançamentos!$C:$C,"INSS / FGTS")</f>
        <v>0</v>
      </c>
      <c r="AM72" s="39">
        <f>SUMIFS(Lançamentos!$G:$G,Lançamentos!$A:$A,AM$19,Lançamentos!$C:$C,"INSS / FGTS")</f>
        <v>0</v>
      </c>
      <c r="AN72" s="39">
        <f>SUMIFS(Lançamentos!$G:$G,Lançamentos!$A:$A,AN$19,Lançamentos!$C:$C,"INSS / FGTS")</f>
        <v>0</v>
      </c>
      <c r="AO72" s="39">
        <f>SUMIFS(Lançamentos!$G:$G,Lançamentos!$A:$A,AO$19,Lançamentos!$C:$C,"INSS / FGTS")</f>
        <v>0</v>
      </c>
      <c r="AP72" s="39">
        <f>SUMIFS(Lançamentos!$G:$G,Lançamentos!$A:$A,AP$19,Lançamentos!$C:$C,"INSS / FGTS")</f>
        <v>0</v>
      </c>
      <c r="AQ72" s="39">
        <f>SUMIFS(Lançamentos!$G:$G,Lançamentos!$A:$A,AQ$19,Lançamentos!$C:$C,"INSS / FGTS")</f>
        <v>0</v>
      </c>
      <c r="AR72" s="39">
        <f>SUMIFS(Lançamentos!$G:$G,Lançamentos!$A:$A,AR$19,Lançamentos!$C:$C,"INSS / FGTS")</f>
        <v>0</v>
      </c>
      <c r="AS72" s="39">
        <f>SUMIFS(Lançamentos!$G:$G,Lançamentos!$A:$A,AS$19,Lançamentos!$C:$C,"INSS / FGTS")</f>
        <v>0</v>
      </c>
      <c r="AT72" s="39">
        <f>SUMIFS(Lançamentos!$G:$G,Lançamentos!$A:$A,AT$19,Lançamentos!$C:$C,"INSS / FGTS")</f>
        <v>0</v>
      </c>
      <c r="AU72" s="39">
        <f>SUMIFS(Lançamentos!$G:$G,Lançamentos!$A:$A,AU$19,Lançamentos!$C:$C,"INSS / FGTS")</f>
        <v>0</v>
      </c>
      <c r="AV72" s="39">
        <f>SUMIFS(Lançamentos!$G:$G,Lançamentos!$A:$A,AV$19,Lançamentos!$C:$C,"INSS / FGTS")</f>
        <v>0</v>
      </c>
      <c r="AW72" s="39">
        <f>SUMIFS(Lançamentos!$G:$G,Lançamentos!$A:$A,AW$19,Lançamentos!$C:$C,"INSS / FGTS")</f>
        <v>0</v>
      </c>
      <c r="AX72" s="39">
        <f>SUMIFS(Lançamentos!$G:$G,Lançamentos!$A:$A,AX$19,Lançamentos!$C:$C,"INSS / FGTS")</f>
        <v>0</v>
      </c>
      <c r="AY72" s="39">
        <f>SUMIFS(Lançamentos!$G:$G,Lançamentos!$A:$A,AY$19,Lançamentos!$C:$C,"INSS / FGTS")</f>
        <v>0</v>
      </c>
      <c r="AZ72" s="39">
        <f>SUMIFS(Lançamentos!$G:$G,Lançamentos!$A:$A,AZ$19,Lançamentos!$C:$C,"INSS / FGTS")</f>
        <v>0</v>
      </c>
      <c r="BA72" s="39">
        <f>SUMIFS(Lançamentos!$G:$G,Lançamentos!$A:$A,BA$19,Lançamentos!$C:$C,"INSS / FGTS")</f>
        <v>0</v>
      </c>
      <c r="BB72" s="39">
        <f>SUMIFS(Lançamentos!$G:$G,Lançamentos!$A:$A,BB$19,Lançamentos!$C:$C,"INSS / FGTS")</f>
        <v>0</v>
      </c>
      <c r="BC72" s="39">
        <f>SUMIFS(Lançamentos!$G:$G,Lançamentos!$A:$A,BC$19,Lançamentos!$C:$C,"INSS / FGTS")</f>
        <v>0</v>
      </c>
      <c r="BD72" s="39">
        <f>SUMIFS(Lançamentos!$G:$G,Lançamentos!$A:$A,BD$19,Lançamentos!$C:$C,"INSS / FGTS")</f>
        <v>0</v>
      </c>
      <c r="BE72" s="39">
        <f>SUMIFS(Lançamentos!$G:$G,Lançamentos!$A:$A,BE$19,Lançamentos!$C:$C,"INSS / FGTS")</f>
        <v>0</v>
      </c>
      <c r="BF72" s="39">
        <f>SUMIFS(Lançamentos!$G:$G,Lançamentos!$A:$A,BF$19,Lançamentos!$C:$C,"INSS / FGTS")</f>
        <v>0</v>
      </c>
      <c r="BG72" s="39">
        <f>SUMIFS(Lançamentos!$G:$G,Lançamentos!$A:$A,BG$19,Lançamentos!$C:$C,"INSS / FGTS")</f>
        <v>0</v>
      </c>
      <c r="BH72" s="39">
        <f>SUMIFS(Lançamentos!$G:$G,Lançamentos!$A:$A,BH$19,Lançamentos!$C:$C,"INSS / FGTS")</f>
        <v>0</v>
      </c>
      <c r="BI72" s="39">
        <f>SUMIFS(Lançamentos!$G:$G,Lançamentos!$A:$A,BI$19,Lançamentos!$C:$C,"INSS / FGTS")</f>
        <v>0</v>
      </c>
      <c r="BJ72" s="39">
        <f>SUMIFS(Lançamentos!$G:$G,Lançamentos!$A:$A,BJ$19,Lançamentos!$C:$C,"INSS / FGTS")</f>
        <v>0</v>
      </c>
      <c r="BK72" s="39">
        <f>SUMIFS(Lançamentos!$G:$G,Lançamentos!$A:$A,BK$19,Lançamentos!$C:$C,"INSS / FGTS")</f>
        <v>0</v>
      </c>
      <c r="BL72" s="39">
        <f>SUMIFS(Lançamentos!$G:$G,Lançamentos!$A:$A,BL$19,Lançamentos!$C:$C,"INSS / FGTS")</f>
        <v>0</v>
      </c>
      <c r="BM72" s="39">
        <f>SUMIFS(Lançamentos!$G:$G,Lançamentos!$A:$A,BM$19,Lançamentos!$C:$C,"INSS / FGTS")</f>
        <v>0</v>
      </c>
      <c r="BN72" s="39">
        <f>SUMIFS(Lançamentos!$G:$G,Lançamentos!$A:$A,BN$19,Lançamentos!$C:$C,"INSS / FGTS")</f>
        <v>0</v>
      </c>
      <c r="BO72" s="39">
        <f>SUMIFS(Lançamentos!$G:$G,Lançamentos!$A:$A,BO$19,Lançamentos!$C:$C,"INSS / FGTS")</f>
        <v>0</v>
      </c>
      <c r="BP72" s="39">
        <f>SUMIFS(Lançamentos!$G:$G,Lançamentos!$A:$A,BP$19,Lançamentos!$C:$C,"INSS / FGTS")</f>
        <v>0</v>
      </c>
      <c r="BQ72" s="39">
        <f>SUMIFS(Lançamentos!$G:$G,Lançamentos!$A:$A,BQ$19,Lançamentos!$C:$C,"INSS / FGTS")</f>
        <v>0</v>
      </c>
      <c r="BR72" s="39">
        <f>SUMIFS(Lançamentos!$G:$G,Lançamentos!$A:$A,BR$19,Lançamentos!$C:$C,"INSS / FGTS")</f>
        <v>0</v>
      </c>
      <c r="BS72" s="39">
        <f>SUMIFS(Lançamentos!$G:$G,Lançamentos!$A:$A,BS$19,Lançamentos!$C:$C,"INSS / FGTS")</f>
        <v>0</v>
      </c>
      <c r="BT72" s="39">
        <f>SUMIFS(Lançamentos!$G:$G,Lançamentos!$A:$A,BT$19,Lançamentos!$C:$C,"INSS / FGTS")</f>
        <v>0</v>
      </c>
      <c r="BU72" s="39">
        <f>SUMIFS(Lançamentos!$G:$G,Lançamentos!$A:$A,BU$19,Lançamentos!$C:$C,"INSS / FGTS")</f>
        <v>0</v>
      </c>
      <c r="BV72" s="39">
        <f>SUMIFS(Lançamentos!$G:$G,Lançamentos!$A:$A,BV$19,Lançamentos!$C:$C,"INSS / FGTS")</f>
        <v>0</v>
      </c>
      <c r="BW72" s="39">
        <f>SUMIFS(Lançamentos!$G:$G,Lançamentos!$A:$A,BW$19,Lançamentos!$C:$C,"INSS / FGTS")</f>
        <v>0</v>
      </c>
      <c r="BX72" s="39">
        <f>SUMIFS(Lançamentos!$G:$G,Lançamentos!$A:$A,BX$19,Lançamentos!$C:$C,"INSS / FGTS")</f>
        <v>0</v>
      </c>
      <c r="BY72" s="39">
        <f>SUMIFS(Lançamentos!$G:$G,Lançamentos!$A:$A,BY$19,Lançamentos!$C:$C,"INSS / FGTS")</f>
        <v>0</v>
      </c>
      <c r="BZ72" s="39">
        <f>SUMIFS(Lançamentos!$G:$G,Lançamentos!$A:$A,BZ$19,Lançamentos!$C:$C,"INSS / FGTS")</f>
        <v>0</v>
      </c>
      <c r="CA72" s="39">
        <f>SUMIFS(Lançamentos!$G:$G,Lançamentos!$A:$A,CA$19,Lançamentos!$C:$C,"INSS / FGTS")</f>
        <v>0</v>
      </c>
      <c r="CB72" s="39">
        <f>SUMIFS(Lançamentos!$G:$G,Lançamentos!$A:$A,CB$19,Lançamentos!$C:$C,"INSS / FGTS")</f>
        <v>0</v>
      </c>
      <c r="CC72" s="39">
        <f>SUMIFS(Lançamentos!$G:$G,Lançamentos!$A:$A,CC$19,Lançamentos!$C:$C,"INSS / FGTS")</f>
        <v>0</v>
      </c>
      <c r="CD72" s="39">
        <f>SUMIFS(Lançamentos!$G:$G,Lançamentos!$A:$A,CD$19,Lançamentos!$C:$C,"INSS / FGTS")</f>
        <v>0</v>
      </c>
      <c r="CE72" s="39">
        <f>SUMIFS(Lançamentos!$G:$G,Lançamentos!$A:$A,CE$19,Lançamentos!$C:$C,"INSS / FGTS")</f>
        <v>0</v>
      </c>
      <c r="CF72" s="39">
        <f>SUMIFS(Lançamentos!$G:$G,Lançamentos!$A:$A,CF$19,Lançamentos!$C:$C,"INSS / FGTS")</f>
        <v>0</v>
      </c>
      <c r="CG72" s="39">
        <f>SUMIFS(Lançamentos!$G:$G,Lançamentos!$A:$A,CG$19,Lançamentos!$C:$C,"INSS / FGTS")</f>
        <v>0</v>
      </c>
      <c r="CH72" s="39">
        <f>SUMIFS(Lançamentos!$G:$G,Lançamentos!$A:$A,CH$19,Lançamentos!$C:$C,"INSS / FGTS")</f>
        <v>0</v>
      </c>
      <c r="CI72" s="39">
        <f>SUMIFS(Lançamentos!$G:$G,Lançamentos!$A:$A,CI$19,Lançamentos!$C:$C,"INSS / FGTS")</f>
        <v>0</v>
      </c>
      <c r="CJ72" s="39">
        <f>SUMIFS(Lançamentos!$G:$G,Lançamentos!$A:$A,CJ$19,Lançamentos!$C:$C,"INSS / FGTS")</f>
        <v>0</v>
      </c>
      <c r="CK72" s="39">
        <f>SUMIFS(Lançamentos!$G:$G,Lançamentos!$A:$A,CK$19,Lançamentos!$C:$C,"INSS / FGTS")</f>
        <v>0</v>
      </c>
      <c r="CL72" s="39">
        <f>SUMIFS(Lançamentos!$G:$G,Lançamentos!$A:$A,CL$19,Lançamentos!$C:$C,"INSS / FGTS")</f>
        <v>0</v>
      </c>
      <c r="CM72" s="39">
        <f>SUMIFS(Lançamentos!$G:$G,Lançamentos!$A:$A,CM$19,Lançamentos!$C:$C,"INSS / FGTS")</f>
        <v>0</v>
      </c>
      <c r="CN72" s="39">
        <f>SUMIFS(Lançamentos!$G:$G,Lançamentos!$A:$A,CN$19,Lançamentos!$C:$C,"INSS / FGTS")</f>
        <v>0</v>
      </c>
      <c r="CO72" s="39">
        <f>SUMIFS(Lançamentos!$G:$G,Lançamentos!$A:$A,CO$19,Lançamentos!$C:$C,"INSS / FGTS")</f>
        <v>0</v>
      </c>
      <c r="CP72" s="39">
        <f>SUMIFS(Lançamentos!$G:$G,Lançamentos!$A:$A,CP$19,Lançamentos!$C:$C,"INSS / FGTS")</f>
        <v>0</v>
      </c>
      <c r="CQ72" s="39">
        <f>SUMIFS(Lançamentos!$G:$G,Lançamentos!$A:$A,CQ$19,Lançamentos!$C:$C,"INSS / FGTS")</f>
        <v>0</v>
      </c>
      <c r="CR72" s="39">
        <f>SUMIFS(Lançamentos!$G:$G,Lançamentos!$A:$A,CR$19,Lançamentos!$C:$C,"INSS / FGTS")</f>
        <v>0</v>
      </c>
      <c r="CS72" s="39">
        <f>SUMIFS(Lançamentos!$G:$G,Lançamentos!$A:$A,CS$19,Lançamentos!$C:$C,"INSS / FGTS")</f>
        <v>0</v>
      </c>
      <c r="CT72" s="39">
        <f>SUMIFS(Lançamentos!$G:$G,Lançamentos!$A:$A,CT$19,Lançamentos!$C:$C,"INSS / FGTS")</f>
        <v>0</v>
      </c>
      <c r="CU72" s="39">
        <f>SUMIFS(Lançamentos!$G:$G,Lançamentos!$A:$A,CU$19,Lançamentos!$C:$C,"INSS / FGTS")</f>
        <v>0</v>
      </c>
      <c r="CV72" s="39">
        <f>SUMIFS(Lançamentos!$G:$G,Lançamentos!$A:$A,CV$19,Lançamentos!$C:$C,"INSS / FGTS")</f>
        <v>0</v>
      </c>
      <c r="CW72" s="39">
        <f>SUMIFS(Lançamentos!$G:$G,Lançamentos!$A:$A,CW$19,Lançamentos!$C:$C,"INSS / FGTS")</f>
        <v>0</v>
      </c>
      <c r="CX72" s="39">
        <f>SUMIFS(Lançamentos!$G:$G,Lançamentos!$A:$A,CX$19,Lançamentos!$C:$C,"INSS / FGTS")</f>
        <v>0</v>
      </c>
      <c r="CY72" s="39">
        <f>SUMIFS(Lançamentos!$G:$G,Lançamentos!$A:$A,CY$19,Lançamentos!$C:$C,"INSS / FGTS")</f>
        <v>0</v>
      </c>
      <c r="CZ72" s="39">
        <f>SUMIFS(Lançamentos!$G:$G,Lançamentos!$A:$A,CZ$19,Lançamentos!$C:$C,"INSS / FGTS")</f>
        <v>0</v>
      </c>
      <c r="DA72" s="39">
        <f>SUMIFS(Lançamentos!$G:$G,Lançamentos!$A:$A,DA$19,Lançamentos!$C:$C,"INSS / FGTS")</f>
        <v>0</v>
      </c>
      <c r="DB72" s="39">
        <f>SUMIFS(Lançamentos!$G:$G,Lançamentos!$A:$A,DB$19,Lançamentos!$C:$C,"INSS / FGTS")</f>
        <v>0</v>
      </c>
      <c r="DC72" s="39">
        <f>SUMIFS(Lançamentos!$G:$G,Lançamentos!$A:$A,DC$19,Lançamentos!$C:$C,"INSS / FGTS")</f>
        <v>0</v>
      </c>
      <c r="DD72" s="39">
        <f>SUMIFS(Lançamentos!$G:$G,Lançamentos!$A:$A,DD$19,Lançamentos!$C:$C,"INSS / FGTS")</f>
        <v>0</v>
      </c>
      <c r="DE72" s="39">
        <f>SUMIFS(Lançamentos!$G:$G,Lançamentos!$A:$A,DE$19,Lançamentos!$C:$C,"INSS / FGTS")</f>
        <v>0</v>
      </c>
      <c r="DF72" s="39">
        <f>SUMIFS(Lançamentos!$G:$G,Lançamentos!$A:$A,DF$19,Lançamentos!$C:$C,"INSS / FGTS")</f>
        <v>0</v>
      </c>
      <c r="DG72" s="39">
        <f>SUMIFS(Lançamentos!$G:$G,Lançamentos!$A:$A,DG$19,Lançamentos!$C:$C,"INSS / FGTS")</f>
        <v>0</v>
      </c>
      <c r="DH72" s="39">
        <f>SUMIFS(Lançamentos!$G:$G,Lançamentos!$A:$A,DH$19,Lançamentos!$C:$C,"INSS / FGTS")</f>
        <v>0</v>
      </c>
      <c r="DI72" s="39">
        <f>SUMIFS(Lançamentos!$G:$G,Lançamentos!$A:$A,DI$19,Lançamentos!$C:$C,"INSS / FGTS")</f>
        <v>0</v>
      </c>
      <c r="DJ72" s="39">
        <f>SUMIFS(Lançamentos!$G:$G,Lançamentos!$A:$A,DJ$19,Lançamentos!$C:$C,"INSS / FGTS")</f>
        <v>0</v>
      </c>
      <c r="DK72" s="39">
        <f>SUMIFS(Lançamentos!$G:$G,Lançamentos!$A:$A,DK$19,Lançamentos!$C:$C,"INSS / FGTS")</f>
        <v>0</v>
      </c>
      <c r="DL72" s="39">
        <f>SUMIFS(Lançamentos!$G:$G,Lançamentos!$A:$A,DL$19,Lançamentos!$C:$C,"INSS / FGTS")</f>
        <v>0</v>
      </c>
      <c r="DM72" s="39">
        <f>SUMIFS(Lançamentos!$G:$G,Lançamentos!$A:$A,DM$19,Lançamentos!$C:$C,"INSS / FGTS")</f>
        <v>0</v>
      </c>
      <c r="DN72" s="39">
        <f>SUMIFS(Lançamentos!$G:$G,Lançamentos!$A:$A,DN$19,Lançamentos!$C:$C,"INSS / FGTS")</f>
        <v>0</v>
      </c>
      <c r="DO72" s="39">
        <f>SUMIFS(Lançamentos!$G:$G,Lançamentos!$A:$A,DO$19,Lançamentos!$C:$C,"INSS / FGTS")</f>
        <v>0</v>
      </c>
      <c r="DP72" s="39">
        <f>SUMIFS(Lançamentos!$G:$G,Lançamentos!$A:$A,DP$19,Lançamentos!$C:$C,"INSS / FGTS")</f>
        <v>0</v>
      </c>
      <c r="DQ72" s="39">
        <f>SUMIFS(Lançamentos!$G:$G,Lançamentos!$A:$A,DQ$19,Lançamentos!$C:$C,"INSS / FGTS")</f>
        <v>0</v>
      </c>
      <c r="DR72" s="39">
        <f>SUMIFS(Lançamentos!$G:$G,Lançamentos!$A:$A,DR$19,Lançamentos!$C:$C,"INSS / FGTS")</f>
        <v>0</v>
      </c>
      <c r="DS72" s="39">
        <f>SUMIFS(Lançamentos!$G:$G,Lançamentos!$A:$A,DS$19,Lançamentos!$C:$C,"INSS / FGTS")</f>
        <v>0</v>
      </c>
      <c r="DT72" s="39">
        <f>SUMIFS(Lançamentos!$G:$G,Lançamentos!$A:$A,DT$19,Lançamentos!$C:$C,"INSS / FGTS")</f>
        <v>0</v>
      </c>
      <c r="DU72" s="39">
        <f>SUMIFS(Lançamentos!$G:$G,Lançamentos!$A:$A,DU$19,Lançamentos!$C:$C,"INSS / FGTS")</f>
        <v>0</v>
      </c>
      <c r="DV72" s="39">
        <f>SUMIFS(Lançamentos!$G:$G,Lançamentos!$A:$A,DV$19,Lançamentos!$C:$C,"INSS / FGTS")</f>
        <v>0</v>
      </c>
      <c r="DW72" s="39">
        <f>SUMIFS(Lançamentos!$G:$G,Lançamentos!$A:$A,DW$19,Lançamentos!$C:$C,"INSS / FGTS")</f>
        <v>0</v>
      </c>
      <c r="DX72" s="39">
        <f>SUMIFS(Lançamentos!$G:$G,Lançamentos!$A:$A,DX$19,Lançamentos!$C:$C,"INSS / FGTS")</f>
        <v>0</v>
      </c>
      <c r="DY72" s="39">
        <f>SUMIFS(Lançamentos!$G:$G,Lançamentos!$A:$A,DY$19,Lançamentos!$C:$C,"INSS / FGTS")</f>
        <v>0</v>
      </c>
      <c r="DZ72" s="39">
        <f>SUMIFS(Lançamentos!$G:$G,Lançamentos!$A:$A,DZ$19,Lançamentos!$C:$C,"INSS / FGTS")</f>
        <v>0</v>
      </c>
      <c r="EA72" s="39">
        <f>SUMIFS(Lançamentos!$G:$G,Lançamentos!$A:$A,EA$19,Lançamentos!$C:$C,"INSS / FGTS")</f>
        <v>0</v>
      </c>
      <c r="EB72" s="39">
        <f>SUMIFS(Lançamentos!$G:$G,Lançamentos!$A:$A,EB$19,Lançamentos!$C:$C,"INSS / FGTS")</f>
        <v>0</v>
      </c>
      <c r="EC72" s="39">
        <f>SUMIFS(Lançamentos!$G:$G,Lançamentos!$A:$A,EC$19,Lançamentos!$C:$C,"INSS / FGTS")</f>
        <v>0</v>
      </c>
      <c r="ED72" s="39">
        <f>SUMIFS(Lançamentos!$G:$G,Lançamentos!$A:$A,ED$19,Lançamentos!$C:$C,"INSS / FGTS")</f>
        <v>0</v>
      </c>
      <c r="EE72" s="39">
        <f>SUMIFS(Lançamentos!$G:$G,Lançamentos!$A:$A,EE$19,Lançamentos!$C:$C,"INSS / FGTS")</f>
        <v>0</v>
      </c>
      <c r="EF72" s="39">
        <f>SUMIFS(Lançamentos!$G:$G,Lançamentos!$A:$A,EF$19,Lançamentos!$C:$C,"INSS / FGTS")</f>
        <v>0</v>
      </c>
      <c r="EG72" s="39">
        <f>SUMIFS(Lançamentos!$G:$G,Lançamentos!$A:$A,EG$19,Lançamentos!$C:$C,"INSS / FGTS")</f>
        <v>0</v>
      </c>
      <c r="EH72" s="39">
        <f>SUMIFS(Lançamentos!$G:$G,Lançamentos!$A:$A,EH$19,Lançamentos!$C:$C,"INSS / FGTS")</f>
        <v>0</v>
      </c>
      <c r="EI72" s="39">
        <f>SUMIFS(Lançamentos!$G:$G,Lançamentos!$A:$A,EI$19,Lançamentos!$C:$C,"INSS / FGTS")</f>
        <v>0</v>
      </c>
      <c r="EJ72" s="39">
        <f>SUMIFS(Lançamentos!$G:$G,Lançamentos!$A:$A,EJ$19,Lançamentos!$C:$C,"INSS / FGTS")</f>
        <v>0</v>
      </c>
      <c r="EK72" s="39">
        <f>SUMIFS(Lançamentos!$G:$G,Lançamentos!$A:$A,EK$19,Lançamentos!$C:$C,"INSS / FGTS")</f>
        <v>0</v>
      </c>
      <c r="EL72" s="39">
        <f>SUMIFS(Lançamentos!$G:$G,Lançamentos!$A:$A,EL$19,Lançamentos!$C:$C,"INSS / FGTS")</f>
        <v>0</v>
      </c>
      <c r="EM72" s="39">
        <f>SUMIFS(Lançamentos!$G:$G,Lançamentos!$A:$A,EM$19,Lançamentos!$C:$C,"INSS / FGTS")</f>
        <v>0</v>
      </c>
      <c r="EN72" s="39">
        <f>SUMIFS(Lançamentos!$G:$G,Lançamentos!$A:$A,EN$19,Lançamentos!$C:$C,"INSS / FGTS")</f>
        <v>0</v>
      </c>
      <c r="EO72" s="39">
        <f>SUMIFS(Lançamentos!$G:$G,Lançamentos!$A:$A,EO$19,Lançamentos!$C:$C,"INSS / FGTS")</f>
        <v>0</v>
      </c>
      <c r="EP72" s="39">
        <f>SUMIFS(Lançamentos!$G:$G,Lançamentos!$A:$A,EP$19,Lançamentos!$C:$C,"INSS / FGTS")</f>
        <v>0</v>
      </c>
      <c r="EQ72" s="39">
        <f>SUMIFS(Lançamentos!$G:$G,Lançamentos!$A:$A,EQ$19,Lançamentos!$C:$C,"INSS / FGTS")</f>
        <v>0</v>
      </c>
      <c r="ER72" s="39">
        <f>SUMIFS(Lançamentos!$G:$G,Lançamentos!$A:$A,ER$19,Lançamentos!$C:$C,"INSS / FGTS")</f>
        <v>0</v>
      </c>
      <c r="ES72" s="39">
        <f>SUMIFS(Lançamentos!$G:$G,Lançamentos!$A:$A,ES$19,Lançamentos!$C:$C,"INSS / FGTS")</f>
        <v>0</v>
      </c>
      <c r="ET72" s="39">
        <f>SUMIFS(Lançamentos!$G:$G,Lançamentos!$A:$A,ET$19,Lançamentos!$C:$C,"INSS / FGTS")</f>
        <v>0</v>
      </c>
      <c r="EU72" s="39">
        <f>SUMIFS(Lançamentos!$G:$G,Lançamentos!$A:$A,EU$19,Lançamentos!$C:$C,"INSS / FGTS")</f>
        <v>0</v>
      </c>
      <c r="EV72" s="39">
        <f>SUMIFS(Lançamentos!$G:$G,Lançamentos!$A:$A,EV$19,Lançamentos!$C:$C,"INSS / FGTS")</f>
        <v>0</v>
      </c>
      <c r="EW72" s="39">
        <f>SUMIFS(Lançamentos!$G:$G,Lançamentos!$A:$A,EW$19,Lançamentos!$C:$C,"INSS / FGTS")</f>
        <v>0</v>
      </c>
      <c r="EX72" s="39">
        <f>SUMIFS(Lançamentos!$G:$G,Lançamentos!$A:$A,EX$19,Lançamentos!$C:$C,"INSS / FGTS")</f>
        <v>0</v>
      </c>
      <c r="EY72" s="39">
        <f>SUMIFS(Lançamentos!$G:$G,Lançamentos!$A:$A,EY$19,Lançamentos!$C:$C,"INSS / FGTS")</f>
        <v>0</v>
      </c>
      <c r="EZ72" s="39">
        <f>SUMIFS(Lançamentos!$G:$G,Lançamentos!$A:$A,EZ$19,Lançamentos!$C:$C,"INSS / FGTS")</f>
        <v>0</v>
      </c>
      <c r="FA72" s="39">
        <f>SUMIFS(Lançamentos!$G:$G,Lançamentos!$A:$A,FA$19,Lançamentos!$C:$C,"INSS / FGTS")</f>
        <v>0</v>
      </c>
      <c r="FB72" s="39">
        <f>SUMIFS(Lançamentos!$G:$G,Lançamentos!$A:$A,FB$19,Lançamentos!$C:$C,"INSS / FGTS")</f>
        <v>0</v>
      </c>
      <c r="FC72" s="39">
        <f>SUMIFS(Lançamentos!$G:$G,Lançamentos!$A:$A,FC$19,Lançamentos!$C:$C,"INSS / FGTS")</f>
        <v>0</v>
      </c>
      <c r="FD72" s="39">
        <f>SUMIFS(Lançamentos!$G:$G,Lançamentos!$A:$A,FD$19,Lançamentos!$C:$C,"INSS / FGTS")</f>
        <v>0</v>
      </c>
      <c r="FE72" s="39">
        <f>SUMIFS(Lançamentos!$G:$G,Lançamentos!$A:$A,FE$19,Lançamentos!$C:$C,"INSS / FGTS")</f>
        <v>0</v>
      </c>
      <c r="FF72" s="39">
        <f>SUMIFS(Lançamentos!$G:$G,Lançamentos!$A:$A,FF$19,Lançamentos!$C:$C,"INSS / FGTS")</f>
        <v>0</v>
      </c>
      <c r="FG72" s="39">
        <f>SUMIFS(Lançamentos!$G:$G,Lançamentos!$A:$A,FG$19,Lançamentos!$C:$C,"INSS / FGTS")</f>
        <v>0</v>
      </c>
      <c r="FH72" s="39">
        <f>SUMIFS(Lançamentos!$G:$G,Lançamentos!$A:$A,FH$19,Lançamentos!$C:$C,"INSS / FGTS")</f>
        <v>0</v>
      </c>
      <c r="FI72" s="39">
        <f>SUMIFS(Lançamentos!$G:$G,Lançamentos!$A:$A,FI$19,Lançamentos!$C:$C,"INSS / FGTS")</f>
        <v>0</v>
      </c>
      <c r="FJ72" s="39">
        <f>SUMIFS(Lançamentos!$G:$G,Lançamentos!$A:$A,FJ$19,Lançamentos!$C:$C,"INSS / FGTS")</f>
        <v>0</v>
      </c>
      <c r="FK72" s="39">
        <f>SUMIFS(Lançamentos!$G:$G,Lançamentos!$A:$A,FK$19,Lançamentos!$C:$C,"INSS / FGTS")</f>
        <v>0</v>
      </c>
      <c r="FL72" s="39">
        <f>SUMIFS(Lançamentos!$G:$G,Lançamentos!$A:$A,FL$19,Lançamentos!$C:$C,"INSS / FGTS")</f>
        <v>0</v>
      </c>
      <c r="FM72" s="39">
        <f>SUMIFS(Lançamentos!$G:$G,Lançamentos!$A:$A,FM$19,Lançamentos!$C:$C,"INSS / FGTS")</f>
        <v>0</v>
      </c>
      <c r="FN72" s="39">
        <f>SUMIFS(Lançamentos!$G:$G,Lançamentos!$A:$A,FN$19,Lançamentos!$C:$C,"INSS / FGTS")</f>
        <v>0</v>
      </c>
      <c r="FO72" s="39">
        <f>SUMIFS(Lançamentos!$G:$G,Lançamentos!$A:$A,FO$19,Lançamentos!$C:$C,"INSS / FGTS")</f>
        <v>0</v>
      </c>
      <c r="FP72" s="39">
        <f>SUMIFS(Lançamentos!$G:$G,Lançamentos!$A:$A,FP$19,Lançamentos!$C:$C,"INSS / FGTS")</f>
        <v>0</v>
      </c>
      <c r="FQ72" s="39">
        <f>SUMIFS(Lançamentos!$G:$G,Lançamentos!$A:$A,FQ$19,Lançamentos!$C:$C,"INSS / FGTS")</f>
        <v>0</v>
      </c>
      <c r="FR72" s="39">
        <f>SUMIFS(Lançamentos!$G:$G,Lançamentos!$A:$A,FR$19,Lançamentos!$C:$C,"INSS / FGTS")</f>
        <v>0</v>
      </c>
      <c r="FS72" s="39">
        <f>SUMIFS(Lançamentos!$G:$G,Lançamentos!$A:$A,FS$19,Lançamentos!$C:$C,"INSS / FGTS")</f>
        <v>0</v>
      </c>
      <c r="FT72" s="39">
        <f>SUMIFS(Lançamentos!$G:$G,Lançamentos!$A:$A,FT$19,Lançamentos!$C:$C,"INSS / FGTS")</f>
        <v>0</v>
      </c>
      <c r="FU72" s="39">
        <f>SUMIFS(Lançamentos!$G:$G,Lançamentos!$A:$A,FU$19,Lançamentos!$C:$C,"INSS / FGTS")</f>
        <v>0</v>
      </c>
      <c r="FV72" s="39">
        <f>SUMIFS(Lançamentos!$G:$G,Lançamentos!$A:$A,FV$19,Lançamentos!$C:$C,"INSS / FGTS")</f>
        <v>0</v>
      </c>
      <c r="FW72" s="39">
        <f>SUMIFS(Lançamentos!$G:$G,Lançamentos!$A:$A,FW$19,Lançamentos!$C:$C,"INSS / FGTS")</f>
        <v>0</v>
      </c>
      <c r="FX72" s="39">
        <f>SUMIFS(Lançamentos!$G:$G,Lançamentos!$A:$A,FX$19,Lançamentos!$C:$C,"INSS / FGTS")</f>
        <v>0</v>
      </c>
      <c r="FY72" s="39">
        <f>SUMIFS(Lançamentos!$G:$G,Lançamentos!$A:$A,FY$19,Lançamentos!$C:$C,"INSS / FGTS")</f>
        <v>0</v>
      </c>
      <c r="FZ72" s="39">
        <f>SUMIFS(Lançamentos!$G:$G,Lançamentos!$A:$A,FZ$19,Lançamentos!$C:$C,"INSS / FGTS")</f>
        <v>0</v>
      </c>
      <c r="GA72" s="39">
        <f>SUMIFS(Lançamentos!$G:$G,Lançamentos!$A:$A,GA$19,Lançamentos!$C:$C,"INSS / FGTS")</f>
        <v>0</v>
      </c>
      <c r="GB72" s="39">
        <f>SUMIFS(Lançamentos!$G:$G,Lançamentos!$A:$A,GB$19,Lançamentos!$C:$C,"INSS / FGTS")</f>
        <v>0</v>
      </c>
      <c r="GC72" s="39">
        <f>SUMIFS(Lançamentos!$G:$G,Lançamentos!$A:$A,GC$19,Lançamentos!$C:$C,"INSS / FGTS")</f>
        <v>0</v>
      </c>
      <c r="GD72" s="39">
        <f>SUMIFS(Lançamentos!$G:$G,Lançamentos!$A:$A,GD$19,Lançamentos!$C:$C,"INSS / FGTS")</f>
        <v>0</v>
      </c>
      <c r="GE72" s="39">
        <f>SUMIFS(Lançamentos!$G:$G,Lançamentos!$A:$A,GE$19,Lançamentos!$C:$C,"INSS / FGTS")</f>
        <v>0</v>
      </c>
      <c r="GF72" s="39">
        <f>SUMIFS(Lançamentos!$G:$G,Lançamentos!$A:$A,GF$19,Lançamentos!$C:$C,"INSS / FGTS")</f>
        <v>0</v>
      </c>
      <c r="GG72" s="39">
        <f>SUMIFS(Lançamentos!$G:$G,Lançamentos!$A:$A,GG$19,Lançamentos!$C:$C,"INSS / FGTS")</f>
        <v>0</v>
      </c>
      <c r="GH72" s="39">
        <f>SUMIFS(Lançamentos!$G:$G,Lançamentos!$A:$A,GH$19,Lançamentos!$C:$C,"INSS / FGTS")</f>
        <v>0</v>
      </c>
      <c r="GI72" s="39">
        <f>SUMIFS(Lançamentos!$G:$G,Lançamentos!$A:$A,GI$19,Lançamentos!$C:$C,"INSS / FGTS")</f>
        <v>0</v>
      </c>
      <c r="GJ72" s="39">
        <f>SUMIFS(Lançamentos!$G:$G,Lançamentos!$A:$A,GJ$19,Lançamentos!$C:$C,"INSS / FGTS")</f>
        <v>0</v>
      </c>
      <c r="GK72" s="39">
        <f>SUMIFS(Lançamentos!$G:$G,Lançamentos!$A:$A,GK$19,Lançamentos!$C:$C,"INSS / FGTS")</f>
        <v>0</v>
      </c>
      <c r="GL72" s="39">
        <f>SUMIFS(Lançamentos!$G:$G,Lançamentos!$A:$A,GL$19,Lançamentos!$C:$C,"INSS / FGTS")</f>
        <v>0</v>
      </c>
      <c r="GM72" s="39">
        <f>SUMIFS(Lançamentos!$G:$G,Lançamentos!$A:$A,GM$19,Lançamentos!$C:$C,"INSS / FGTS")</f>
        <v>0</v>
      </c>
      <c r="GN72" s="39">
        <f>SUMIFS(Lançamentos!$G:$G,Lançamentos!$A:$A,GN$19,Lançamentos!$C:$C,"INSS / FGTS")</f>
        <v>0</v>
      </c>
      <c r="GO72" s="39">
        <f>SUMIFS(Lançamentos!$G:$G,Lançamentos!$A:$A,GO$19,Lançamentos!$C:$C,"INSS / FGTS")</f>
        <v>0</v>
      </c>
      <c r="GP72" s="39">
        <f>SUMIFS(Lançamentos!$G:$G,Lançamentos!$A:$A,GP$19,Lançamentos!$C:$C,"INSS / FGTS")</f>
        <v>0</v>
      </c>
      <c r="GQ72" s="39">
        <f>SUMIFS(Lançamentos!$G:$G,Lançamentos!$A:$A,GQ$19,Lançamentos!$C:$C,"INSS / FGTS")</f>
        <v>0</v>
      </c>
      <c r="GR72" s="39">
        <f>SUMIFS(Lançamentos!$G:$G,Lançamentos!$A:$A,GR$19,Lançamentos!$C:$C,"INSS / FGTS")</f>
        <v>0</v>
      </c>
      <c r="GS72" s="39">
        <f>SUMIFS(Lançamentos!$G:$G,Lançamentos!$A:$A,GS$19,Lançamentos!$C:$C,"INSS / FGTS")</f>
        <v>0</v>
      </c>
      <c r="GT72" s="39">
        <f>SUMIFS(Lançamentos!$G:$G,Lançamentos!$A:$A,GT$19,Lançamentos!$C:$C,"INSS / FGTS")</f>
        <v>0</v>
      </c>
      <c r="GU72" s="39">
        <f>SUMIFS(Lançamentos!$G:$G,Lançamentos!$A:$A,GU$19,Lançamentos!$C:$C,"INSS / FGTS")</f>
        <v>0</v>
      </c>
      <c r="GV72" s="39">
        <f>SUMIFS(Lançamentos!$G:$G,Lançamentos!$A:$A,GV$19,Lançamentos!$C:$C,"INSS / FGTS")</f>
        <v>0</v>
      </c>
      <c r="GW72" s="39">
        <f>SUMIFS(Lançamentos!$G:$G,Lançamentos!$A:$A,GW$19,Lançamentos!$C:$C,"INSS / FGTS")</f>
        <v>0</v>
      </c>
      <c r="GX72" s="39">
        <f>SUMIFS(Lançamentos!$G:$G,Lançamentos!$A:$A,GX$19,Lançamentos!$C:$C,"INSS / FGTS")</f>
        <v>0</v>
      </c>
      <c r="GY72" s="39">
        <f>SUMIFS(Lançamentos!$G:$G,Lançamentos!$A:$A,GY$19,Lançamentos!$C:$C,"INSS / FGTS")</f>
        <v>0</v>
      </c>
      <c r="GZ72" s="39">
        <f>SUMIFS(Lançamentos!$G:$G,Lançamentos!$A:$A,GZ$19,Lançamentos!$C:$C,"INSS / FGTS")</f>
        <v>0</v>
      </c>
      <c r="HA72" s="39">
        <f>SUMIFS(Lançamentos!$G:$G,Lançamentos!$A:$A,HA$19,Lançamentos!$C:$C,"INSS / FGTS")</f>
        <v>0</v>
      </c>
      <c r="HB72" s="39">
        <f>SUMIFS(Lançamentos!$G:$G,Lançamentos!$A:$A,HB$19,Lançamentos!$C:$C,"INSS / FGTS")</f>
        <v>0</v>
      </c>
      <c r="HC72" s="39">
        <f>SUMIFS(Lançamentos!$G:$G,Lançamentos!$A:$A,HC$19,Lançamentos!$C:$C,"INSS / FGTS")</f>
        <v>0</v>
      </c>
      <c r="HD72" s="39">
        <f>SUMIFS(Lançamentos!$G:$G,Lançamentos!$A:$A,HD$19,Lançamentos!$C:$C,"INSS / FGTS")</f>
        <v>0</v>
      </c>
      <c r="HE72" s="39">
        <f>SUMIFS(Lançamentos!$G:$G,Lançamentos!$A:$A,HE$19,Lançamentos!$C:$C,"INSS / FGTS")</f>
        <v>0</v>
      </c>
      <c r="HF72" s="39">
        <f>SUMIFS(Lançamentos!$G:$G,Lançamentos!$A:$A,HF$19,Lançamentos!$C:$C,"INSS / FGTS")</f>
        <v>0</v>
      </c>
      <c r="HG72" s="39">
        <f>SUMIFS(Lançamentos!$G:$G,Lançamentos!$A:$A,HG$19,Lançamentos!$C:$C,"INSS / FGTS")</f>
        <v>0</v>
      </c>
      <c r="HH72" s="39">
        <f>SUMIFS(Lançamentos!$G:$G,Lançamentos!$A:$A,HH$19,Lançamentos!$C:$C,"INSS / FGTS")</f>
        <v>0</v>
      </c>
      <c r="HI72" s="39">
        <f>SUMIFS(Lançamentos!$G:$G,Lançamentos!$A:$A,HI$19,Lançamentos!$C:$C,"INSS / FGTS")</f>
        <v>0</v>
      </c>
      <c r="HJ72" s="39">
        <f>SUMIFS(Lançamentos!$G:$G,Lançamentos!$A:$A,HJ$19,Lançamentos!$C:$C,"INSS / FGTS")</f>
        <v>0</v>
      </c>
      <c r="HK72" s="39">
        <f>SUMIFS(Lançamentos!$G:$G,Lançamentos!$A:$A,HK$19,Lançamentos!$C:$C,"INSS / FGTS")</f>
        <v>0</v>
      </c>
      <c r="HL72" s="39">
        <f>SUMIFS(Lançamentos!$G:$G,Lançamentos!$A:$A,HL$19,Lançamentos!$C:$C,"INSS / FGTS")</f>
        <v>0</v>
      </c>
      <c r="HM72" s="39">
        <f>SUMIFS(Lançamentos!$G:$G,Lançamentos!$A:$A,HM$19,Lançamentos!$C:$C,"INSS / FGTS")</f>
        <v>0</v>
      </c>
      <c r="HN72" s="39">
        <f>SUMIFS(Lançamentos!$G:$G,Lançamentos!$A:$A,HN$19,Lançamentos!$C:$C,"INSS / FGTS")</f>
        <v>0</v>
      </c>
      <c r="HO72" s="39">
        <f>SUMIFS(Lançamentos!$G:$G,Lançamentos!$A:$A,HO$19,Lançamentos!$C:$C,"INSS / FGTS")</f>
        <v>0</v>
      </c>
      <c r="HP72" s="39">
        <f>SUMIFS(Lançamentos!$G:$G,Lançamentos!$A:$A,HP$19,Lançamentos!$C:$C,"INSS / FGTS")</f>
        <v>0</v>
      </c>
      <c r="HQ72" s="39">
        <f>SUMIFS(Lançamentos!$G:$G,Lançamentos!$A:$A,HQ$19,Lançamentos!$C:$C,"INSS / FGTS")</f>
        <v>0</v>
      </c>
      <c r="HR72" s="39">
        <f>SUMIFS(Lançamentos!$G:$G,Lançamentos!$A:$A,HR$19,Lançamentos!$C:$C,"INSS / FGTS")</f>
        <v>0</v>
      </c>
      <c r="HS72" s="39">
        <f>SUMIFS(Lançamentos!$G:$G,Lançamentos!$A:$A,HS$19,Lançamentos!$C:$C,"INSS / FGTS")</f>
        <v>0</v>
      </c>
      <c r="HT72" s="39">
        <f>SUMIFS(Lançamentos!$G:$G,Lançamentos!$A:$A,HT$19,Lançamentos!$C:$C,"INSS / FGTS")</f>
        <v>0</v>
      </c>
      <c r="HU72" s="39">
        <f>SUMIFS(Lançamentos!$G:$G,Lançamentos!$A:$A,HU$19,Lançamentos!$C:$C,"INSS / FGTS")</f>
        <v>0</v>
      </c>
      <c r="HV72" s="39">
        <f>SUMIFS(Lançamentos!$G:$G,Lançamentos!$A:$A,HV$19,Lançamentos!$C:$C,"INSS / FGTS")</f>
        <v>0</v>
      </c>
      <c r="HW72" s="39">
        <f>SUMIFS(Lançamentos!$G:$G,Lançamentos!$A:$A,HW$19,Lançamentos!$C:$C,"INSS / FGTS")</f>
        <v>0</v>
      </c>
      <c r="HX72" s="39">
        <f>SUMIFS(Lançamentos!$G:$G,Lançamentos!$A:$A,HX$19,Lançamentos!$C:$C,"INSS / FGTS")</f>
        <v>0</v>
      </c>
      <c r="HY72" s="39">
        <f>SUMIFS(Lançamentos!$G:$G,Lançamentos!$A:$A,HY$19,Lançamentos!$C:$C,"INSS / FGTS")</f>
        <v>0</v>
      </c>
      <c r="HZ72" s="39">
        <f>SUMIFS(Lançamentos!$G:$G,Lançamentos!$A:$A,HZ$19,Lançamentos!$C:$C,"INSS / FGTS")</f>
        <v>0</v>
      </c>
      <c r="IA72" s="39">
        <f>SUMIFS(Lançamentos!$G:$G,Lançamentos!$A:$A,IA$19,Lançamentos!$C:$C,"INSS / FGTS")</f>
        <v>0</v>
      </c>
      <c r="IB72" s="39">
        <f>SUMIFS(Lançamentos!$G:$G,Lançamentos!$A:$A,IB$19,Lançamentos!$C:$C,"INSS / FGTS")</f>
        <v>0</v>
      </c>
      <c r="IC72" s="39">
        <f>SUMIFS(Lançamentos!$G:$G,Lançamentos!$A:$A,IC$19,Lançamentos!$C:$C,"INSS / FGTS")</f>
        <v>0</v>
      </c>
      <c r="ID72" s="39">
        <f>SUMIFS(Lançamentos!$G:$G,Lançamentos!$A:$A,ID$19,Lançamentos!$C:$C,"INSS / FGTS")</f>
        <v>0</v>
      </c>
      <c r="IE72" s="39">
        <f>SUMIFS(Lançamentos!$G:$G,Lançamentos!$A:$A,IE$19,Lançamentos!$C:$C,"INSS / FGTS")</f>
        <v>0</v>
      </c>
      <c r="IF72" s="39">
        <f>SUMIFS(Lançamentos!$G:$G,Lançamentos!$A:$A,IF$19,Lançamentos!$C:$C,"INSS / FGTS")</f>
        <v>0</v>
      </c>
      <c r="IG72" s="39">
        <f>SUMIFS(Lançamentos!$G:$G,Lançamentos!$A:$A,IG$19,Lançamentos!$C:$C,"INSS / FGTS")</f>
        <v>0</v>
      </c>
      <c r="IH72" s="39">
        <f>SUMIFS(Lançamentos!$G:$G,Lançamentos!$A:$A,IH$19,Lançamentos!$C:$C,"INSS / FGTS")</f>
        <v>0</v>
      </c>
      <c r="II72" s="39">
        <f>SUMIFS(Lançamentos!$G:$G,Lançamentos!$A:$A,II$19,Lançamentos!$C:$C,"INSS / FGTS")</f>
        <v>0</v>
      </c>
      <c r="IJ72" s="39">
        <f>SUMIFS(Lançamentos!$G:$G,Lançamentos!$A:$A,IJ$19,Lançamentos!$C:$C,"INSS / FGTS")</f>
        <v>0</v>
      </c>
      <c r="IK72" s="39">
        <f>SUMIFS(Lançamentos!$G:$G,Lançamentos!$A:$A,IK$19,Lançamentos!$C:$C,"INSS / FGTS")</f>
        <v>0</v>
      </c>
      <c r="IL72" s="39">
        <f>SUMIFS(Lançamentos!$G:$G,Lançamentos!$A:$A,IL$19,Lançamentos!$C:$C,"INSS / FGTS")</f>
        <v>0</v>
      </c>
    </row>
    <row r="73" spans="1:246" x14ac:dyDescent="0.3">
      <c r="A73" t="s">
        <v>118</v>
      </c>
      <c r="B73" s="39">
        <f>SUMIFS(Lançamentos!$G:$G,Lançamentos!$A:$A,B$19,Lançamentos!$C:$C,"Simples Nacional / DAS")</f>
        <v>0</v>
      </c>
      <c r="C73" s="39">
        <f>SUMIFS(Lançamentos!$G:$G,Lançamentos!$A:$A,C$19,Lançamentos!$C:$C,"Simples Nacional / DAS")</f>
        <v>0</v>
      </c>
      <c r="D73" s="39">
        <f>SUMIFS(Lançamentos!$G:$G,Lançamentos!$A:$A,D$19,Lançamentos!$C:$C,"Simples Nacional / DAS")</f>
        <v>0</v>
      </c>
      <c r="E73" s="39">
        <f>SUMIFS(Lançamentos!$G:$G,Lançamentos!$A:$A,E$19,Lançamentos!$C:$C,"Simples Nacional / DAS")</f>
        <v>0</v>
      </c>
      <c r="F73" s="39">
        <f>SUMIFS(Lançamentos!$G:$G,Lançamentos!$A:$A,F$19,Lançamentos!$C:$C,"Simples Nacional / DAS")</f>
        <v>0</v>
      </c>
      <c r="G73" s="39">
        <f>SUMIFS(Lançamentos!$G:$G,Lançamentos!$A:$A,G$19,Lançamentos!$C:$C,"Simples Nacional / DAS")</f>
        <v>0</v>
      </c>
      <c r="H73" s="39">
        <f>SUMIFS(Lançamentos!$G:$G,Lançamentos!$A:$A,H$19,Lançamentos!$C:$C,"Simples Nacional / DAS")</f>
        <v>0</v>
      </c>
      <c r="I73" s="39">
        <f>SUMIFS(Lançamentos!$G:$G,Lançamentos!$A:$A,I$19,Lançamentos!$C:$C,"Simples Nacional / DAS")</f>
        <v>0</v>
      </c>
      <c r="J73" s="39">
        <f>SUMIFS(Lançamentos!$G:$G,Lançamentos!$A:$A,J$19,Lançamentos!$C:$C,"Simples Nacional / DAS")</f>
        <v>0</v>
      </c>
      <c r="K73" s="39">
        <f>SUMIFS(Lançamentos!$G:$G,Lançamentos!$A:$A,K$19,Lançamentos!$C:$C,"Simples Nacional / DAS")</f>
        <v>0</v>
      </c>
      <c r="L73" s="39">
        <f>SUMIFS(Lançamentos!$G:$G,Lançamentos!$A:$A,L$19,Lançamentos!$C:$C,"Simples Nacional / DAS")</f>
        <v>0</v>
      </c>
      <c r="M73" s="39">
        <f>SUMIFS(Lançamentos!$G:$G,Lançamentos!$A:$A,M$19,Lançamentos!$C:$C,"Simples Nacional / DAS")</f>
        <v>0</v>
      </c>
      <c r="N73" s="39">
        <f>SUMIFS(Lançamentos!$G:$G,Lançamentos!$A:$A,N$19,Lançamentos!$C:$C,"Simples Nacional / DAS")</f>
        <v>0</v>
      </c>
      <c r="O73" s="39">
        <f>SUMIFS(Lançamentos!$G:$G,Lançamentos!$A:$A,O$19,Lançamentos!$C:$C,"Simples Nacional / DAS")</f>
        <v>0</v>
      </c>
      <c r="P73" s="39">
        <f>SUMIFS(Lançamentos!$G:$G,Lançamentos!$A:$A,P$19,Lançamentos!$C:$C,"Simples Nacional / DAS")</f>
        <v>0</v>
      </c>
      <c r="Q73" s="39">
        <f>SUMIFS(Lançamentos!$G:$G,Lançamentos!$A:$A,Q$19,Lançamentos!$C:$C,"Simples Nacional / DAS")</f>
        <v>0</v>
      </c>
      <c r="R73" s="39">
        <f>SUMIFS(Lançamentos!$G:$G,Lançamentos!$A:$A,R$19,Lançamentos!$C:$C,"Simples Nacional / DAS")</f>
        <v>0</v>
      </c>
      <c r="S73" s="39">
        <f>SUMIFS(Lançamentos!$G:$G,Lançamentos!$A:$A,S$19,Lançamentos!$C:$C,"Simples Nacional / DAS")</f>
        <v>0</v>
      </c>
      <c r="T73" s="39">
        <f>SUMIFS(Lançamentos!$G:$G,Lançamentos!$A:$A,T$19,Lançamentos!$C:$C,"Simples Nacional / DAS")</f>
        <v>0</v>
      </c>
      <c r="U73" s="39">
        <f>SUMIFS(Lançamentos!$G:$G,Lançamentos!$A:$A,U$19,Lançamentos!$C:$C,"Simples Nacional / DAS")</f>
        <v>0</v>
      </c>
      <c r="V73" s="39">
        <f>SUMIFS(Lançamentos!$G:$G,Lançamentos!$A:$A,V$19,Lançamentos!$C:$C,"Simples Nacional / DAS")</f>
        <v>0</v>
      </c>
      <c r="W73" s="39">
        <f>SUMIFS(Lançamentos!$G:$G,Lançamentos!$A:$A,W$19,Lançamentos!$C:$C,"Simples Nacional / DAS")</f>
        <v>0</v>
      </c>
      <c r="X73" s="39">
        <f>SUMIFS(Lançamentos!$G:$G,Lançamentos!$A:$A,X$19,Lançamentos!$C:$C,"Simples Nacional / DAS")</f>
        <v>0</v>
      </c>
      <c r="Y73" s="39">
        <f>SUMIFS(Lançamentos!$G:$G,Lançamentos!$A:$A,Y$19,Lançamentos!$C:$C,"Simples Nacional / DAS")</f>
        <v>0</v>
      </c>
      <c r="Z73" s="39">
        <f>SUMIFS(Lançamentos!$G:$G,Lançamentos!$A:$A,Z$19,Lançamentos!$C:$C,"Simples Nacional / DAS")</f>
        <v>0</v>
      </c>
      <c r="AA73" s="39">
        <f>SUMIFS(Lançamentos!$G:$G,Lançamentos!$A:$A,AA$19,Lançamentos!$C:$C,"Simples Nacional / DAS")</f>
        <v>0</v>
      </c>
      <c r="AB73" s="39">
        <f>SUMIFS(Lançamentos!$G:$G,Lançamentos!$A:$A,AB$19,Lançamentos!$C:$C,"Simples Nacional / DAS")</f>
        <v>0</v>
      </c>
      <c r="AC73" s="39">
        <f>SUMIFS(Lançamentos!$G:$G,Lançamentos!$A:$A,AC$19,Lançamentos!$C:$C,"Simples Nacional / DAS")</f>
        <v>0</v>
      </c>
      <c r="AD73" s="39">
        <f>SUMIFS(Lançamentos!$G:$G,Lançamentos!$A:$A,AD$19,Lançamentos!$C:$C,"Simples Nacional / DAS")</f>
        <v>0</v>
      </c>
      <c r="AE73" s="39">
        <f>SUMIFS(Lançamentos!$G:$G,Lançamentos!$A:$A,AE$19,Lançamentos!$C:$C,"Simples Nacional / DAS")</f>
        <v>0</v>
      </c>
      <c r="AF73" s="39">
        <f>SUMIFS(Lançamentos!$G:$G,Lançamentos!$A:$A,AF$19,Lançamentos!$C:$C,"Simples Nacional / DAS")</f>
        <v>0</v>
      </c>
      <c r="AG73" s="39">
        <f>SUMIFS(Lançamentos!$G:$G,Lançamentos!$A:$A,AG$19,Lançamentos!$C:$C,"Simples Nacional / DAS")</f>
        <v>0</v>
      </c>
      <c r="AH73" s="39">
        <f>SUMIFS(Lançamentos!$G:$G,Lançamentos!$A:$A,AH$19,Lançamentos!$C:$C,"Simples Nacional / DAS")</f>
        <v>0</v>
      </c>
      <c r="AI73" s="39">
        <f>SUMIFS(Lançamentos!$G:$G,Lançamentos!$A:$A,AI$19,Lançamentos!$C:$C,"Simples Nacional / DAS")</f>
        <v>0</v>
      </c>
      <c r="AJ73" s="39">
        <f>SUMIFS(Lançamentos!$G:$G,Lançamentos!$A:$A,AJ$19,Lançamentos!$C:$C,"Simples Nacional / DAS")</f>
        <v>0</v>
      </c>
      <c r="AK73" s="39">
        <f>SUMIFS(Lançamentos!$G:$G,Lançamentos!$A:$A,AK$19,Lançamentos!$C:$C,"Simples Nacional / DAS")</f>
        <v>0</v>
      </c>
      <c r="AL73" s="39">
        <f>SUMIFS(Lançamentos!$G:$G,Lançamentos!$A:$A,AL$19,Lançamentos!$C:$C,"Simples Nacional / DAS")</f>
        <v>0</v>
      </c>
      <c r="AM73" s="39">
        <f>SUMIFS(Lançamentos!$G:$G,Lançamentos!$A:$A,AM$19,Lançamentos!$C:$C,"Simples Nacional / DAS")</f>
        <v>0</v>
      </c>
      <c r="AN73" s="39">
        <f>SUMIFS(Lançamentos!$G:$G,Lançamentos!$A:$A,AN$19,Lançamentos!$C:$C,"Simples Nacional / DAS")</f>
        <v>0</v>
      </c>
      <c r="AO73" s="39">
        <f>SUMIFS(Lançamentos!$G:$G,Lançamentos!$A:$A,AO$19,Lançamentos!$C:$C,"Simples Nacional / DAS")</f>
        <v>0</v>
      </c>
      <c r="AP73" s="39">
        <f>SUMIFS(Lançamentos!$G:$G,Lançamentos!$A:$A,AP$19,Lançamentos!$C:$C,"Simples Nacional / DAS")</f>
        <v>0</v>
      </c>
      <c r="AQ73" s="39">
        <f>SUMIFS(Lançamentos!$G:$G,Lançamentos!$A:$A,AQ$19,Lançamentos!$C:$C,"Simples Nacional / DAS")</f>
        <v>0</v>
      </c>
      <c r="AR73" s="39">
        <f>SUMIFS(Lançamentos!$G:$G,Lançamentos!$A:$A,AR$19,Lançamentos!$C:$C,"Simples Nacional / DAS")</f>
        <v>0</v>
      </c>
      <c r="AS73" s="39">
        <f>SUMIFS(Lançamentos!$G:$G,Lançamentos!$A:$A,AS$19,Lançamentos!$C:$C,"Simples Nacional / DAS")</f>
        <v>0</v>
      </c>
      <c r="AT73" s="39">
        <f>SUMIFS(Lançamentos!$G:$G,Lançamentos!$A:$A,AT$19,Lançamentos!$C:$C,"Simples Nacional / DAS")</f>
        <v>0</v>
      </c>
      <c r="AU73" s="39">
        <f>SUMIFS(Lançamentos!$G:$G,Lançamentos!$A:$A,AU$19,Lançamentos!$C:$C,"Simples Nacional / DAS")</f>
        <v>0</v>
      </c>
      <c r="AV73" s="39">
        <f>SUMIFS(Lançamentos!$G:$G,Lançamentos!$A:$A,AV$19,Lançamentos!$C:$C,"Simples Nacional / DAS")</f>
        <v>0</v>
      </c>
      <c r="AW73" s="39">
        <f>SUMIFS(Lançamentos!$G:$G,Lançamentos!$A:$A,AW$19,Lançamentos!$C:$C,"Simples Nacional / DAS")</f>
        <v>0</v>
      </c>
      <c r="AX73" s="39">
        <f>SUMIFS(Lançamentos!$G:$G,Lançamentos!$A:$A,AX$19,Lançamentos!$C:$C,"Simples Nacional / DAS")</f>
        <v>0</v>
      </c>
      <c r="AY73" s="39">
        <f>SUMIFS(Lançamentos!$G:$G,Lançamentos!$A:$A,AY$19,Lançamentos!$C:$C,"Simples Nacional / DAS")</f>
        <v>0</v>
      </c>
      <c r="AZ73" s="39">
        <f>SUMIFS(Lançamentos!$G:$G,Lançamentos!$A:$A,AZ$19,Lançamentos!$C:$C,"Simples Nacional / DAS")</f>
        <v>0</v>
      </c>
      <c r="BA73" s="39">
        <f>SUMIFS(Lançamentos!$G:$G,Lançamentos!$A:$A,BA$19,Lançamentos!$C:$C,"Simples Nacional / DAS")</f>
        <v>0</v>
      </c>
      <c r="BB73" s="39">
        <f>SUMIFS(Lançamentos!$G:$G,Lançamentos!$A:$A,BB$19,Lançamentos!$C:$C,"Simples Nacional / DAS")</f>
        <v>0</v>
      </c>
      <c r="BC73" s="39">
        <f>SUMIFS(Lançamentos!$G:$G,Lançamentos!$A:$A,BC$19,Lançamentos!$C:$C,"Simples Nacional / DAS")</f>
        <v>0</v>
      </c>
      <c r="BD73" s="39">
        <f>SUMIFS(Lançamentos!$G:$G,Lançamentos!$A:$A,BD$19,Lançamentos!$C:$C,"Simples Nacional / DAS")</f>
        <v>0</v>
      </c>
      <c r="BE73" s="39">
        <f>SUMIFS(Lançamentos!$G:$G,Lançamentos!$A:$A,BE$19,Lançamentos!$C:$C,"Simples Nacional / DAS")</f>
        <v>0</v>
      </c>
      <c r="BF73" s="39">
        <f>SUMIFS(Lançamentos!$G:$G,Lançamentos!$A:$A,BF$19,Lançamentos!$C:$C,"Simples Nacional / DAS")</f>
        <v>0</v>
      </c>
      <c r="BG73" s="39">
        <f>SUMIFS(Lançamentos!$G:$G,Lançamentos!$A:$A,BG$19,Lançamentos!$C:$C,"Simples Nacional / DAS")</f>
        <v>0</v>
      </c>
      <c r="BH73" s="39">
        <f>SUMIFS(Lançamentos!$G:$G,Lançamentos!$A:$A,BH$19,Lançamentos!$C:$C,"Simples Nacional / DAS")</f>
        <v>0</v>
      </c>
      <c r="BI73" s="39">
        <f>SUMIFS(Lançamentos!$G:$G,Lançamentos!$A:$A,BI$19,Lançamentos!$C:$C,"Simples Nacional / DAS")</f>
        <v>0</v>
      </c>
      <c r="BJ73" s="39">
        <f>SUMIFS(Lançamentos!$G:$G,Lançamentos!$A:$A,BJ$19,Lançamentos!$C:$C,"Simples Nacional / DAS")</f>
        <v>0</v>
      </c>
      <c r="BK73" s="39">
        <f>SUMIFS(Lançamentos!$G:$G,Lançamentos!$A:$A,BK$19,Lançamentos!$C:$C,"Simples Nacional / DAS")</f>
        <v>0</v>
      </c>
      <c r="BL73" s="39">
        <f>SUMIFS(Lançamentos!$G:$G,Lançamentos!$A:$A,BL$19,Lançamentos!$C:$C,"Simples Nacional / DAS")</f>
        <v>0</v>
      </c>
      <c r="BM73" s="39">
        <f>SUMIFS(Lançamentos!$G:$G,Lançamentos!$A:$A,BM$19,Lançamentos!$C:$C,"Simples Nacional / DAS")</f>
        <v>0</v>
      </c>
      <c r="BN73" s="39">
        <f>SUMIFS(Lançamentos!$G:$G,Lançamentos!$A:$A,BN$19,Lançamentos!$C:$C,"Simples Nacional / DAS")</f>
        <v>0</v>
      </c>
      <c r="BO73" s="39">
        <f>SUMIFS(Lançamentos!$G:$G,Lançamentos!$A:$A,BO$19,Lançamentos!$C:$C,"Simples Nacional / DAS")</f>
        <v>0</v>
      </c>
      <c r="BP73" s="39">
        <f>SUMIFS(Lançamentos!$G:$G,Lançamentos!$A:$A,BP$19,Lançamentos!$C:$C,"Simples Nacional / DAS")</f>
        <v>0</v>
      </c>
      <c r="BQ73" s="39">
        <f>SUMIFS(Lançamentos!$G:$G,Lançamentos!$A:$A,BQ$19,Lançamentos!$C:$C,"Simples Nacional / DAS")</f>
        <v>0</v>
      </c>
      <c r="BR73" s="39">
        <f>SUMIFS(Lançamentos!$G:$G,Lançamentos!$A:$A,BR$19,Lançamentos!$C:$C,"Simples Nacional / DAS")</f>
        <v>0</v>
      </c>
      <c r="BS73" s="39">
        <f>SUMIFS(Lançamentos!$G:$G,Lançamentos!$A:$A,BS$19,Lançamentos!$C:$C,"Simples Nacional / DAS")</f>
        <v>0</v>
      </c>
      <c r="BT73" s="39">
        <f>SUMIFS(Lançamentos!$G:$G,Lançamentos!$A:$A,BT$19,Lançamentos!$C:$C,"Simples Nacional / DAS")</f>
        <v>0</v>
      </c>
      <c r="BU73" s="39">
        <f>SUMIFS(Lançamentos!$G:$G,Lançamentos!$A:$A,BU$19,Lançamentos!$C:$C,"Simples Nacional / DAS")</f>
        <v>0</v>
      </c>
      <c r="BV73" s="39">
        <f>SUMIFS(Lançamentos!$G:$G,Lançamentos!$A:$A,BV$19,Lançamentos!$C:$C,"Simples Nacional / DAS")</f>
        <v>0</v>
      </c>
      <c r="BW73" s="39">
        <f>SUMIFS(Lançamentos!$G:$G,Lançamentos!$A:$A,BW$19,Lançamentos!$C:$C,"Simples Nacional / DAS")</f>
        <v>0</v>
      </c>
      <c r="BX73" s="39">
        <f>SUMIFS(Lançamentos!$G:$G,Lançamentos!$A:$A,BX$19,Lançamentos!$C:$C,"Simples Nacional / DAS")</f>
        <v>0</v>
      </c>
      <c r="BY73" s="39">
        <f>SUMIFS(Lançamentos!$G:$G,Lançamentos!$A:$A,BY$19,Lançamentos!$C:$C,"Simples Nacional / DAS")</f>
        <v>0</v>
      </c>
      <c r="BZ73" s="39">
        <f>SUMIFS(Lançamentos!$G:$G,Lançamentos!$A:$A,BZ$19,Lançamentos!$C:$C,"Simples Nacional / DAS")</f>
        <v>0</v>
      </c>
      <c r="CA73" s="39">
        <f>SUMIFS(Lançamentos!$G:$G,Lançamentos!$A:$A,CA$19,Lançamentos!$C:$C,"Simples Nacional / DAS")</f>
        <v>0</v>
      </c>
      <c r="CB73" s="39">
        <f>SUMIFS(Lançamentos!$G:$G,Lançamentos!$A:$A,CB$19,Lançamentos!$C:$C,"Simples Nacional / DAS")</f>
        <v>0</v>
      </c>
      <c r="CC73" s="39">
        <f>SUMIFS(Lançamentos!$G:$G,Lançamentos!$A:$A,CC$19,Lançamentos!$C:$C,"Simples Nacional / DAS")</f>
        <v>0</v>
      </c>
      <c r="CD73" s="39">
        <f>SUMIFS(Lançamentos!$G:$G,Lançamentos!$A:$A,CD$19,Lançamentos!$C:$C,"Simples Nacional / DAS")</f>
        <v>0</v>
      </c>
      <c r="CE73" s="39">
        <f>SUMIFS(Lançamentos!$G:$G,Lançamentos!$A:$A,CE$19,Lançamentos!$C:$C,"Simples Nacional / DAS")</f>
        <v>0</v>
      </c>
      <c r="CF73" s="39">
        <f>SUMIFS(Lançamentos!$G:$G,Lançamentos!$A:$A,CF$19,Lançamentos!$C:$C,"Simples Nacional / DAS")</f>
        <v>0</v>
      </c>
      <c r="CG73" s="39">
        <f>SUMIFS(Lançamentos!$G:$G,Lançamentos!$A:$A,CG$19,Lançamentos!$C:$C,"Simples Nacional / DAS")</f>
        <v>0</v>
      </c>
      <c r="CH73" s="39">
        <f>SUMIFS(Lançamentos!$G:$G,Lançamentos!$A:$A,CH$19,Lançamentos!$C:$C,"Simples Nacional / DAS")</f>
        <v>0</v>
      </c>
      <c r="CI73" s="39">
        <f>SUMIFS(Lançamentos!$G:$G,Lançamentos!$A:$A,CI$19,Lançamentos!$C:$C,"Simples Nacional / DAS")</f>
        <v>0</v>
      </c>
      <c r="CJ73" s="39">
        <f>SUMIFS(Lançamentos!$G:$G,Lançamentos!$A:$A,CJ$19,Lançamentos!$C:$C,"Simples Nacional / DAS")</f>
        <v>0</v>
      </c>
      <c r="CK73" s="39">
        <f>SUMIFS(Lançamentos!$G:$G,Lançamentos!$A:$A,CK$19,Lançamentos!$C:$C,"Simples Nacional / DAS")</f>
        <v>0</v>
      </c>
      <c r="CL73" s="39">
        <f>SUMIFS(Lançamentos!$G:$G,Lançamentos!$A:$A,CL$19,Lançamentos!$C:$C,"Simples Nacional / DAS")</f>
        <v>0</v>
      </c>
      <c r="CM73" s="39">
        <f>SUMIFS(Lançamentos!$G:$G,Lançamentos!$A:$A,CM$19,Lançamentos!$C:$C,"Simples Nacional / DAS")</f>
        <v>0</v>
      </c>
      <c r="CN73" s="39">
        <f>SUMIFS(Lançamentos!$G:$G,Lançamentos!$A:$A,CN$19,Lançamentos!$C:$C,"Simples Nacional / DAS")</f>
        <v>0</v>
      </c>
      <c r="CO73" s="39">
        <f>SUMIFS(Lançamentos!$G:$G,Lançamentos!$A:$A,CO$19,Lançamentos!$C:$C,"Simples Nacional / DAS")</f>
        <v>0</v>
      </c>
      <c r="CP73" s="39">
        <f>SUMIFS(Lançamentos!$G:$G,Lançamentos!$A:$A,CP$19,Lançamentos!$C:$C,"Simples Nacional / DAS")</f>
        <v>0</v>
      </c>
      <c r="CQ73" s="39">
        <f>SUMIFS(Lançamentos!$G:$G,Lançamentos!$A:$A,CQ$19,Lançamentos!$C:$C,"Simples Nacional / DAS")</f>
        <v>0</v>
      </c>
      <c r="CR73" s="39">
        <f>SUMIFS(Lançamentos!$G:$G,Lançamentos!$A:$A,CR$19,Lançamentos!$C:$C,"Simples Nacional / DAS")</f>
        <v>0</v>
      </c>
      <c r="CS73" s="39">
        <f>SUMIFS(Lançamentos!$G:$G,Lançamentos!$A:$A,CS$19,Lançamentos!$C:$C,"Simples Nacional / DAS")</f>
        <v>0</v>
      </c>
      <c r="CT73" s="39">
        <f>SUMIFS(Lançamentos!$G:$G,Lançamentos!$A:$A,CT$19,Lançamentos!$C:$C,"Simples Nacional / DAS")</f>
        <v>0</v>
      </c>
      <c r="CU73" s="39">
        <f>SUMIFS(Lançamentos!$G:$G,Lançamentos!$A:$A,CU$19,Lançamentos!$C:$C,"Simples Nacional / DAS")</f>
        <v>0</v>
      </c>
      <c r="CV73" s="39">
        <f>SUMIFS(Lançamentos!$G:$G,Lançamentos!$A:$A,CV$19,Lançamentos!$C:$C,"Simples Nacional / DAS")</f>
        <v>0</v>
      </c>
      <c r="CW73" s="39">
        <f>SUMIFS(Lançamentos!$G:$G,Lançamentos!$A:$A,CW$19,Lançamentos!$C:$C,"Simples Nacional / DAS")</f>
        <v>0</v>
      </c>
      <c r="CX73" s="39">
        <f>SUMIFS(Lançamentos!$G:$G,Lançamentos!$A:$A,CX$19,Lançamentos!$C:$C,"Simples Nacional / DAS")</f>
        <v>0</v>
      </c>
      <c r="CY73" s="39">
        <f>SUMIFS(Lançamentos!$G:$G,Lançamentos!$A:$A,CY$19,Lançamentos!$C:$C,"Simples Nacional / DAS")</f>
        <v>0</v>
      </c>
      <c r="CZ73" s="39">
        <f>SUMIFS(Lançamentos!$G:$G,Lançamentos!$A:$A,CZ$19,Lançamentos!$C:$C,"Simples Nacional / DAS")</f>
        <v>0</v>
      </c>
      <c r="DA73" s="39">
        <f>SUMIFS(Lançamentos!$G:$G,Lançamentos!$A:$A,DA$19,Lançamentos!$C:$C,"Simples Nacional / DAS")</f>
        <v>0</v>
      </c>
      <c r="DB73" s="39">
        <f>SUMIFS(Lançamentos!$G:$G,Lançamentos!$A:$A,DB$19,Lançamentos!$C:$C,"Simples Nacional / DAS")</f>
        <v>0</v>
      </c>
      <c r="DC73" s="39">
        <f>SUMIFS(Lançamentos!$G:$G,Lançamentos!$A:$A,DC$19,Lançamentos!$C:$C,"Simples Nacional / DAS")</f>
        <v>0</v>
      </c>
      <c r="DD73" s="39">
        <f>SUMIFS(Lançamentos!$G:$G,Lançamentos!$A:$A,DD$19,Lançamentos!$C:$C,"Simples Nacional / DAS")</f>
        <v>0</v>
      </c>
      <c r="DE73" s="39">
        <f>SUMIFS(Lançamentos!$G:$G,Lançamentos!$A:$A,DE$19,Lançamentos!$C:$C,"Simples Nacional / DAS")</f>
        <v>0</v>
      </c>
      <c r="DF73" s="39">
        <f>SUMIFS(Lançamentos!$G:$G,Lançamentos!$A:$A,DF$19,Lançamentos!$C:$C,"Simples Nacional / DAS")</f>
        <v>0</v>
      </c>
      <c r="DG73" s="39">
        <f>SUMIFS(Lançamentos!$G:$G,Lançamentos!$A:$A,DG$19,Lançamentos!$C:$C,"Simples Nacional / DAS")</f>
        <v>0</v>
      </c>
      <c r="DH73" s="39">
        <f>SUMIFS(Lançamentos!$G:$G,Lançamentos!$A:$A,DH$19,Lançamentos!$C:$C,"Simples Nacional / DAS")</f>
        <v>0</v>
      </c>
      <c r="DI73" s="39">
        <f>SUMIFS(Lançamentos!$G:$G,Lançamentos!$A:$A,DI$19,Lançamentos!$C:$C,"Simples Nacional / DAS")</f>
        <v>0</v>
      </c>
      <c r="DJ73" s="39">
        <f>SUMIFS(Lançamentos!$G:$G,Lançamentos!$A:$A,DJ$19,Lançamentos!$C:$C,"Simples Nacional / DAS")</f>
        <v>0</v>
      </c>
      <c r="DK73" s="39">
        <f>SUMIFS(Lançamentos!$G:$G,Lançamentos!$A:$A,DK$19,Lançamentos!$C:$C,"Simples Nacional / DAS")</f>
        <v>0</v>
      </c>
      <c r="DL73" s="39">
        <f>SUMIFS(Lançamentos!$G:$G,Lançamentos!$A:$A,DL$19,Lançamentos!$C:$C,"Simples Nacional / DAS")</f>
        <v>0</v>
      </c>
      <c r="DM73" s="39">
        <f>SUMIFS(Lançamentos!$G:$G,Lançamentos!$A:$A,DM$19,Lançamentos!$C:$C,"Simples Nacional / DAS")</f>
        <v>0</v>
      </c>
      <c r="DN73" s="39">
        <f>SUMIFS(Lançamentos!$G:$G,Lançamentos!$A:$A,DN$19,Lançamentos!$C:$C,"Simples Nacional / DAS")</f>
        <v>0</v>
      </c>
      <c r="DO73" s="39">
        <f>SUMIFS(Lançamentos!$G:$G,Lançamentos!$A:$A,DO$19,Lançamentos!$C:$C,"Simples Nacional / DAS")</f>
        <v>0</v>
      </c>
      <c r="DP73" s="39">
        <f>SUMIFS(Lançamentos!$G:$G,Lançamentos!$A:$A,DP$19,Lançamentos!$C:$C,"Simples Nacional / DAS")</f>
        <v>0</v>
      </c>
      <c r="DQ73" s="39">
        <f>SUMIFS(Lançamentos!$G:$G,Lançamentos!$A:$A,DQ$19,Lançamentos!$C:$C,"Simples Nacional / DAS")</f>
        <v>0</v>
      </c>
      <c r="DR73" s="39">
        <f>SUMIFS(Lançamentos!$G:$G,Lançamentos!$A:$A,DR$19,Lançamentos!$C:$C,"Simples Nacional / DAS")</f>
        <v>0</v>
      </c>
      <c r="DS73" s="39">
        <f>SUMIFS(Lançamentos!$G:$G,Lançamentos!$A:$A,DS$19,Lançamentos!$C:$C,"Simples Nacional / DAS")</f>
        <v>0</v>
      </c>
      <c r="DT73" s="39">
        <f>SUMIFS(Lançamentos!$G:$G,Lançamentos!$A:$A,DT$19,Lançamentos!$C:$C,"Simples Nacional / DAS")</f>
        <v>0</v>
      </c>
      <c r="DU73" s="39">
        <f>SUMIFS(Lançamentos!$G:$G,Lançamentos!$A:$A,DU$19,Lançamentos!$C:$C,"Simples Nacional / DAS")</f>
        <v>0</v>
      </c>
      <c r="DV73" s="39">
        <f>SUMIFS(Lançamentos!$G:$G,Lançamentos!$A:$A,DV$19,Lançamentos!$C:$C,"Simples Nacional / DAS")</f>
        <v>0</v>
      </c>
      <c r="DW73" s="39">
        <f>SUMIFS(Lançamentos!$G:$G,Lançamentos!$A:$A,DW$19,Lançamentos!$C:$C,"Simples Nacional / DAS")</f>
        <v>0</v>
      </c>
      <c r="DX73" s="39">
        <f>SUMIFS(Lançamentos!$G:$G,Lançamentos!$A:$A,DX$19,Lançamentos!$C:$C,"Simples Nacional / DAS")</f>
        <v>0</v>
      </c>
      <c r="DY73" s="39">
        <f>SUMIFS(Lançamentos!$G:$G,Lançamentos!$A:$A,DY$19,Lançamentos!$C:$C,"Simples Nacional / DAS")</f>
        <v>0</v>
      </c>
      <c r="DZ73" s="39">
        <f>SUMIFS(Lançamentos!$G:$G,Lançamentos!$A:$A,DZ$19,Lançamentos!$C:$C,"Simples Nacional / DAS")</f>
        <v>0</v>
      </c>
      <c r="EA73" s="39">
        <f>SUMIFS(Lançamentos!$G:$G,Lançamentos!$A:$A,EA$19,Lançamentos!$C:$C,"Simples Nacional / DAS")</f>
        <v>0</v>
      </c>
      <c r="EB73" s="39">
        <f>SUMIFS(Lançamentos!$G:$G,Lançamentos!$A:$A,EB$19,Lançamentos!$C:$C,"Simples Nacional / DAS")</f>
        <v>0</v>
      </c>
      <c r="EC73" s="39">
        <f>SUMIFS(Lançamentos!$G:$G,Lançamentos!$A:$A,EC$19,Lançamentos!$C:$C,"Simples Nacional / DAS")</f>
        <v>0</v>
      </c>
      <c r="ED73" s="39">
        <f>SUMIFS(Lançamentos!$G:$G,Lançamentos!$A:$A,ED$19,Lançamentos!$C:$C,"Simples Nacional / DAS")</f>
        <v>0</v>
      </c>
      <c r="EE73" s="39">
        <f>SUMIFS(Lançamentos!$G:$G,Lançamentos!$A:$A,EE$19,Lançamentos!$C:$C,"Simples Nacional / DAS")</f>
        <v>0</v>
      </c>
      <c r="EF73" s="39">
        <f>SUMIFS(Lançamentos!$G:$G,Lançamentos!$A:$A,EF$19,Lançamentos!$C:$C,"Simples Nacional / DAS")</f>
        <v>0</v>
      </c>
      <c r="EG73" s="39">
        <f>SUMIFS(Lançamentos!$G:$G,Lançamentos!$A:$A,EG$19,Lançamentos!$C:$C,"Simples Nacional / DAS")</f>
        <v>0</v>
      </c>
      <c r="EH73" s="39">
        <f>SUMIFS(Lançamentos!$G:$G,Lançamentos!$A:$A,EH$19,Lançamentos!$C:$C,"Simples Nacional / DAS")</f>
        <v>0</v>
      </c>
      <c r="EI73" s="39">
        <f>SUMIFS(Lançamentos!$G:$G,Lançamentos!$A:$A,EI$19,Lançamentos!$C:$C,"Simples Nacional / DAS")</f>
        <v>0</v>
      </c>
      <c r="EJ73" s="39">
        <f>SUMIFS(Lançamentos!$G:$G,Lançamentos!$A:$A,EJ$19,Lançamentos!$C:$C,"Simples Nacional / DAS")</f>
        <v>0</v>
      </c>
      <c r="EK73" s="39">
        <f>SUMIFS(Lançamentos!$G:$G,Lançamentos!$A:$A,EK$19,Lançamentos!$C:$C,"Simples Nacional / DAS")</f>
        <v>0</v>
      </c>
      <c r="EL73" s="39">
        <f>SUMIFS(Lançamentos!$G:$G,Lançamentos!$A:$A,EL$19,Lançamentos!$C:$C,"Simples Nacional / DAS")</f>
        <v>0</v>
      </c>
      <c r="EM73" s="39">
        <f>SUMIFS(Lançamentos!$G:$G,Lançamentos!$A:$A,EM$19,Lançamentos!$C:$C,"Simples Nacional / DAS")</f>
        <v>0</v>
      </c>
      <c r="EN73" s="39">
        <f>SUMIFS(Lançamentos!$G:$G,Lançamentos!$A:$A,EN$19,Lançamentos!$C:$C,"Simples Nacional / DAS")</f>
        <v>0</v>
      </c>
      <c r="EO73" s="39">
        <f>SUMIFS(Lançamentos!$G:$G,Lançamentos!$A:$A,EO$19,Lançamentos!$C:$C,"Simples Nacional / DAS")</f>
        <v>0</v>
      </c>
      <c r="EP73" s="39">
        <f>SUMIFS(Lançamentos!$G:$G,Lançamentos!$A:$A,EP$19,Lançamentos!$C:$C,"Simples Nacional / DAS")</f>
        <v>0</v>
      </c>
      <c r="EQ73" s="39">
        <f>SUMIFS(Lançamentos!$G:$G,Lançamentos!$A:$A,EQ$19,Lançamentos!$C:$C,"Simples Nacional / DAS")</f>
        <v>0</v>
      </c>
      <c r="ER73" s="39">
        <f>SUMIFS(Lançamentos!$G:$G,Lançamentos!$A:$A,ER$19,Lançamentos!$C:$C,"Simples Nacional / DAS")</f>
        <v>0</v>
      </c>
      <c r="ES73" s="39">
        <f>SUMIFS(Lançamentos!$G:$G,Lançamentos!$A:$A,ES$19,Lançamentos!$C:$C,"Simples Nacional / DAS")</f>
        <v>0</v>
      </c>
      <c r="ET73" s="39">
        <f>SUMIFS(Lançamentos!$G:$G,Lançamentos!$A:$A,ET$19,Lançamentos!$C:$C,"Simples Nacional / DAS")</f>
        <v>0</v>
      </c>
      <c r="EU73" s="39">
        <f>SUMIFS(Lançamentos!$G:$G,Lançamentos!$A:$A,EU$19,Lançamentos!$C:$C,"Simples Nacional / DAS")</f>
        <v>0</v>
      </c>
      <c r="EV73" s="39">
        <f>SUMIFS(Lançamentos!$G:$G,Lançamentos!$A:$A,EV$19,Lançamentos!$C:$C,"Simples Nacional / DAS")</f>
        <v>0</v>
      </c>
      <c r="EW73" s="39">
        <f>SUMIFS(Lançamentos!$G:$G,Lançamentos!$A:$A,EW$19,Lançamentos!$C:$C,"Simples Nacional / DAS")</f>
        <v>0</v>
      </c>
      <c r="EX73" s="39">
        <f>SUMIFS(Lançamentos!$G:$G,Lançamentos!$A:$A,EX$19,Lançamentos!$C:$C,"Simples Nacional / DAS")</f>
        <v>0</v>
      </c>
      <c r="EY73" s="39">
        <f>SUMIFS(Lançamentos!$G:$G,Lançamentos!$A:$A,EY$19,Lançamentos!$C:$C,"Simples Nacional / DAS")</f>
        <v>0</v>
      </c>
      <c r="EZ73" s="39">
        <f>SUMIFS(Lançamentos!$G:$G,Lançamentos!$A:$A,EZ$19,Lançamentos!$C:$C,"Simples Nacional / DAS")</f>
        <v>0</v>
      </c>
      <c r="FA73" s="39">
        <f>SUMIFS(Lançamentos!$G:$G,Lançamentos!$A:$A,FA$19,Lançamentos!$C:$C,"Simples Nacional / DAS")</f>
        <v>0</v>
      </c>
      <c r="FB73" s="39">
        <f>SUMIFS(Lançamentos!$G:$G,Lançamentos!$A:$A,FB$19,Lançamentos!$C:$C,"Simples Nacional / DAS")</f>
        <v>0</v>
      </c>
      <c r="FC73" s="39">
        <f>SUMIFS(Lançamentos!$G:$G,Lançamentos!$A:$A,FC$19,Lançamentos!$C:$C,"Simples Nacional / DAS")</f>
        <v>0</v>
      </c>
      <c r="FD73" s="39">
        <f>SUMIFS(Lançamentos!$G:$G,Lançamentos!$A:$A,FD$19,Lançamentos!$C:$C,"Simples Nacional / DAS")</f>
        <v>0</v>
      </c>
      <c r="FE73" s="39">
        <f>SUMIFS(Lançamentos!$G:$G,Lançamentos!$A:$A,FE$19,Lançamentos!$C:$C,"Simples Nacional / DAS")</f>
        <v>0</v>
      </c>
      <c r="FF73" s="39">
        <f>SUMIFS(Lançamentos!$G:$G,Lançamentos!$A:$A,FF$19,Lançamentos!$C:$C,"Simples Nacional / DAS")</f>
        <v>0</v>
      </c>
      <c r="FG73" s="39">
        <f>SUMIFS(Lançamentos!$G:$G,Lançamentos!$A:$A,FG$19,Lançamentos!$C:$C,"Simples Nacional / DAS")</f>
        <v>0</v>
      </c>
      <c r="FH73" s="39">
        <f>SUMIFS(Lançamentos!$G:$G,Lançamentos!$A:$A,FH$19,Lançamentos!$C:$C,"Simples Nacional / DAS")</f>
        <v>0</v>
      </c>
      <c r="FI73" s="39">
        <f>SUMIFS(Lançamentos!$G:$G,Lançamentos!$A:$A,FI$19,Lançamentos!$C:$C,"Simples Nacional / DAS")</f>
        <v>0</v>
      </c>
      <c r="FJ73" s="39">
        <f>SUMIFS(Lançamentos!$G:$G,Lançamentos!$A:$A,FJ$19,Lançamentos!$C:$C,"Simples Nacional / DAS")</f>
        <v>0</v>
      </c>
      <c r="FK73" s="39">
        <f>SUMIFS(Lançamentos!$G:$G,Lançamentos!$A:$A,FK$19,Lançamentos!$C:$C,"Simples Nacional / DAS")</f>
        <v>0</v>
      </c>
      <c r="FL73" s="39">
        <f>SUMIFS(Lançamentos!$G:$G,Lançamentos!$A:$A,FL$19,Lançamentos!$C:$C,"Simples Nacional / DAS")</f>
        <v>0</v>
      </c>
      <c r="FM73" s="39">
        <f>SUMIFS(Lançamentos!$G:$G,Lançamentos!$A:$A,FM$19,Lançamentos!$C:$C,"Simples Nacional / DAS")</f>
        <v>0</v>
      </c>
      <c r="FN73" s="39">
        <f>SUMIFS(Lançamentos!$G:$G,Lançamentos!$A:$A,FN$19,Lançamentos!$C:$C,"Simples Nacional / DAS")</f>
        <v>0</v>
      </c>
      <c r="FO73" s="39">
        <f>SUMIFS(Lançamentos!$G:$G,Lançamentos!$A:$A,FO$19,Lançamentos!$C:$C,"Simples Nacional / DAS")</f>
        <v>0</v>
      </c>
      <c r="FP73" s="39">
        <f>SUMIFS(Lançamentos!$G:$G,Lançamentos!$A:$A,FP$19,Lançamentos!$C:$C,"Simples Nacional / DAS")</f>
        <v>0</v>
      </c>
      <c r="FQ73" s="39">
        <f>SUMIFS(Lançamentos!$G:$G,Lançamentos!$A:$A,FQ$19,Lançamentos!$C:$C,"Simples Nacional / DAS")</f>
        <v>0</v>
      </c>
      <c r="FR73" s="39">
        <f>SUMIFS(Lançamentos!$G:$G,Lançamentos!$A:$A,FR$19,Lançamentos!$C:$C,"Simples Nacional / DAS")</f>
        <v>0</v>
      </c>
      <c r="FS73" s="39">
        <f>SUMIFS(Lançamentos!$G:$G,Lançamentos!$A:$A,FS$19,Lançamentos!$C:$C,"Simples Nacional / DAS")</f>
        <v>0</v>
      </c>
      <c r="FT73" s="39">
        <f>SUMIFS(Lançamentos!$G:$G,Lançamentos!$A:$A,FT$19,Lançamentos!$C:$C,"Simples Nacional / DAS")</f>
        <v>0</v>
      </c>
      <c r="FU73" s="39">
        <f>SUMIFS(Lançamentos!$G:$G,Lançamentos!$A:$A,FU$19,Lançamentos!$C:$C,"Simples Nacional / DAS")</f>
        <v>0</v>
      </c>
      <c r="FV73" s="39">
        <f>SUMIFS(Lançamentos!$G:$G,Lançamentos!$A:$A,FV$19,Lançamentos!$C:$C,"Simples Nacional / DAS")</f>
        <v>0</v>
      </c>
      <c r="FW73" s="39">
        <f>SUMIFS(Lançamentos!$G:$G,Lançamentos!$A:$A,FW$19,Lançamentos!$C:$C,"Simples Nacional / DAS")</f>
        <v>0</v>
      </c>
      <c r="FX73" s="39">
        <f>SUMIFS(Lançamentos!$G:$G,Lançamentos!$A:$A,FX$19,Lançamentos!$C:$C,"Simples Nacional / DAS")</f>
        <v>0</v>
      </c>
      <c r="FY73" s="39">
        <f>SUMIFS(Lançamentos!$G:$G,Lançamentos!$A:$A,FY$19,Lançamentos!$C:$C,"Simples Nacional / DAS")</f>
        <v>0</v>
      </c>
      <c r="FZ73" s="39">
        <f>SUMIFS(Lançamentos!$G:$G,Lançamentos!$A:$A,FZ$19,Lançamentos!$C:$C,"Simples Nacional / DAS")</f>
        <v>0</v>
      </c>
      <c r="GA73" s="39">
        <f>SUMIFS(Lançamentos!$G:$G,Lançamentos!$A:$A,GA$19,Lançamentos!$C:$C,"Simples Nacional / DAS")</f>
        <v>0</v>
      </c>
      <c r="GB73" s="39">
        <f>SUMIFS(Lançamentos!$G:$G,Lançamentos!$A:$A,GB$19,Lançamentos!$C:$C,"Simples Nacional / DAS")</f>
        <v>0</v>
      </c>
      <c r="GC73" s="39">
        <f>SUMIFS(Lançamentos!$G:$G,Lançamentos!$A:$A,GC$19,Lançamentos!$C:$C,"Simples Nacional / DAS")</f>
        <v>0</v>
      </c>
      <c r="GD73" s="39">
        <f>SUMIFS(Lançamentos!$G:$G,Lançamentos!$A:$A,GD$19,Lançamentos!$C:$C,"Simples Nacional / DAS")</f>
        <v>0</v>
      </c>
      <c r="GE73" s="39">
        <f>SUMIFS(Lançamentos!$G:$G,Lançamentos!$A:$A,GE$19,Lançamentos!$C:$C,"Simples Nacional / DAS")</f>
        <v>0</v>
      </c>
      <c r="GF73" s="39">
        <f>SUMIFS(Lançamentos!$G:$G,Lançamentos!$A:$A,GF$19,Lançamentos!$C:$C,"Simples Nacional / DAS")</f>
        <v>0</v>
      </c>
      <c r="GG73" s="39">
        <f>SUMIFS(Lançamentos!$G:$G,Lançamentos!$A:$A,GG$19,Lançamentos!$C:$C,"Simples Nacional / DAS")</f>
        <v>0</v>
      </c>
      <c r="GH73" s="39">
        <f>SUMIFS(Lançamentos!$G:$G,Lançamentos!$A:$A,GH$19,Lançamentos!$C:$C,"Simples Nacional / DAS")</f>
        <v>0</v>
      </c>
      <c r="GI73" s="39">
        <f>SUMIFS(Lançamentos!$G:$G,Lançamentos!$A:$A,GI$19,Lançamentos!$C:$C,"Simples Nacional / DAS")</f>
        <v>0</v>
      </c>
      <c r="GJ73" s="39">
        <f>SUMIFS(Lançamentos!$G:$G,Lançamentos!$A:$A,GJ$19,Lançamentos!$C:$C,"Simples Nacional / DAS")</f>
        <v>0</v>
      </c>
      <c r="GK73" s="39">
        <f>SUMIFS(Lançamentos!$G:$G,Lançamentos!$A:$A,GK$19,Lançamentos!$C:$C,"Simples Nacional / DAS")</f>
        <v>0</v>
      </c>
      <c r="GL73" s="39">
        <f>SUMIFS(Lançamentos!$G:$G,Lançamentos!$A:$A,GL$19,Lançamentos!$C:$C,"Simples Nacional / DAS")</f>
        <v>0</v>
      </c>
      <c r="GM73" s="39">
        <f>SUMIFS(Lançamentos!$G:$G,Lançamentos!$A:$A,GM$19,Lançamentos!$C:$C,"Simples Nacional / DAS")</f>
        <v>0</v>
      </c>
      <c r="GN73" s="39">
        <f>SUMIFS(Lançamentos!$G:$G,Lançamentos!$A:$A,GN$19,Lançamentos!$C:$C,"Simples Nacional / DAS")</f>
        <v>0</v>
      </c>
      <c r="GO73" s="39">
        <f>SUMIFS(Lançamentos!$G:$G,Lançamentos!$A:$A,GO$19,Lançamentos!$C:$C,"Simples Nacional / DAS")</f>
        <v>0</v>
      </c>
      <c r="GP73" s="39">
        <f>SUMIFS(Lançamentos!$G:$G,Lançamentos!$A:$A,GP$19,Lançamentos!$C:$C,"Simples Nacional / DAS")</f>
        <v>0</v>
      </c>
      <c r="GQ73" s="39">
        <f>SUMIFS(Lançamentos!$G:$G,Lançamentos!$A:$A,GQ$19,Lançamentos!$C:$C,"Simples Nacional / DAS")</f>
        <v>0</v>
      </c>
      <c r="GR73" s="39">
        <f>SUMIFS(Lançamentos!$G:$G,Lançamentos!$A:$A,GR$19,Lançamentos!$C:$C,"Simples Nacional / DAS")</f>
        <v>0</v>
      </c>
      <c r="GS73" s="39">
        <f>SUMIFS(Lançamentos!$G:$G,Lançamentos!$A:$A,GS$19,Lançamentos!$C:$C,"Simples Nacional / DAS")</f>
        <v>0</v>
      </c>
      <c r="GT73" s="39">
        <f>SUMIFS(Lançamentos!$G:$G,Lançamentos!$A:$A,GT$19,Lançamentos!$C:$C,"Simples Nacional / DAS")</f>
        <v>0</v>
      </c>
      <c r="GU73" s="39">
        <f>SUMIFS(Lançamentos!$G:$G,Lançamentos!$A:$A,GU$19,Lançamentos!$C:$C,"Simples Nacional / DAS")</f>
        <v>0</v>
      </c>
      <c r="GV73" s="39">
        <f>SUMIFS(Lançamentos!$G:$G,Lançamentos!$A:$A,GV$19,Lançamentos!$C:$C,"Simples Nacional / DAS")</f>
        <v>0</v>
      </c>
      <c r="GW73" s="39">
        <f>SUMIFS(Lançamentos!$G:$G,Lançamentos!$A:$A,GW$19,Lançamentos!$C:$C,"Simples Nacional / DAS")</f>
        <v>0</v>
      </c>
      <c r="GX73" s="39">
        <f>SUMIFS(Lançamentos!$G:$G,Lançamentos!$A:$A,GX$19,Lançamentos!$C:$C,"Simples Nacional / DAS")</f>
        <v>0</v>
      </c>
      <c r="GY73" s="39">
        <f>SUMIFS(Lançamentos!$G:$G,Lançamentos!$A:$A,GY$19,Lançamentos!$C:$C,"Simples Nacional / DAS")</f>
        <v>0</v>
      </c>
      <c r="GZ73" s="39">
        <f>SUMIFS(Lançamentos!$G:$G,Lançamentos!$A:$A,GZ$19,Lançamentos!$C:$C,"Simples Nacional / DAS")</f>
        <v>0</v>
      </c>
      <c r="HA73" s="39">
        <f>SUMIFS(Lançamentos!$G:$G,Lançamentos!$A:$A,HA$19,Lançamentos!$C:$C,"Simples Nacional / DAS")</f>
        <v>0</v>
      </c>
      <c r="HB73" s="39">
        <f>SUMIFS(Lançamentos!$G:$G,Lançamentos!$A:$A,HB$19,Lançamentos!$C:$C,"Simples Nacional / DAS")</f>
        <v>0</v>
      </c>
      <c r="HC73" s="39">
        <f>SUMIFS(Lançamentos!$G:$G,Lançamentos!$A:$A,HC$19,Lançamentos!$C:$C,"Simples Nacional / DAS")</f>
        <v>0</v>
      </c>
      <c r="HD73" s="39">
        <f>SUMIFS(Lançamentos!$G:$G,Lançamentos!$A:$A,HD$19,Lançamentos!$C:$C,"Simples Nacional / DAS")</f>
        <v>0</v>
      </c>
      <c r="HE73" s="39">
        <f>SUMIFS(Lançamentos!$G:$G,Lançamentos!$A:$A,HE$19,Lançamentos!$C:$C,"Simples Nacional / DAS")</f>
        <v>0</v>
      </c>
      <c r="HF73" s="39">
        <f>SUMIFS(Lançamentos!$G:$G,Lançamentos!$A:$A,HF$19,Lançamentos!$C:$C,"Simples Nacional / DAS")</f>
        <v>0</v>
      </c>
      <c r="HG73" s="39">
        <f>SUMIFS(Lançamentos!$G:$G,Lançamentos!$A:$A,HG$19,Lançamentos!$C:$C,"Simples Nacional / DAS")</f>
        <v>0</v>
      </c>
      <c r="HH73" s="39">
        <f>SUMIFS(Lançamentos!$G:$G,Lançamentos!$A:$A,HH$19,Lançamentos!$C:$C,"Simples Nacional / DAS")</f>
        <v>0</v>
      </c>
      <c r="HI73" s="39">
        <f>SUMIFS(Lançamentos!$G:$G,Lançamentos!$A:$A,HI$19,Lançamentos!$C:$C,"Simples Nacional / DAS")</f>
        <v>0</v>
      </c>
      <c r="HJ73" s="39">
        <f>SUMIFS(Lançamentos!$G:$G,Lançamentos!$A:$A,HJ$19,Lançamentos!$C:$C,"Simples Nacional / DAS")</f>
        <v>0</v>
      </c>
      <c r="HK73" s="39">
        <f>SUMIFS(Lançamentos!$G:$G,Lançamentos!$A:$A,HK$19,Lançamentos!$C:$C,"Simples Nacional / DAS")</f>
        <v>0</v>
      </c>
      <c r="HL73" s="39">
        <f>SUMIFS(Lançamentos!$G:$G,Lançamentos!$A:$A,HL$19,Lançamentos!$C:$C,"Simples Nacional / DAS")</f>
        <v>0</v>
      </c>
      <c r="HM73" s="39">
        <f>SUMIFS(Lançamentos!$G:$G,Lançamentos!$A:$A,HM$19,Lançamentos!$C:$C,"Simples Nacional / DAS")</f>
        <v>0</v>
      </c>
      <c r="HN73" s="39">
        <f>SUMIFS(Lançamentos!$G:$G,Lançamentos!$A:$A,HN$19,Lançamentos!$C:$C,"Simples Nacional / DAS")</f>
        <v>0</v>
      </c>
      <c r="HO73" s="39">
        <f>SUMIFS(Lançamentos!$G:$G,Lançamentos!$A:$A,HO$19,Lançamentos!$C:$C,"Simples Nacional / DAS")</f>
        <v>0</v>
      </c>
      <c r="HP73" s="39">
        <f>SUMIFS(Lançamentos!$G:$G,Lançamentos!$A:$A,HP$19,Lançamentos!$C:$C,"Simples Nacional / DAS")</f>
        <v>0</v>
      </c>
      <c r="HQ73" s="39">
        <f>SUMIFS(Lançamentos!$G:$G,Lançamentos!$A:$A,HQ$19,Lançamentos!$C:$C,"Simples Nacional / DAS")</f>
        <v>0</v>
      </c>
      <c r="HR73" s="39">
        <f>SUMIFS(Lançamentos!$G:$G,Lançamentos!$A:$A,HR$19,Lançamentos!$C:$C,"Simples Nacional / DAS")</f>
        <v>0</v>
      </c>
      <c r="HS73" s="39">
        <f>SUMIFS(Lançamentos!$G:$G,Lançamentos!$A:$A,HS$19,Lançamentos!$C:$C,"Simples Nacional / DAS")</f>
        <v>0</v>
      </c>
      <c r="HT73" s="39">
        <f>SUMIFS(Lançamentos!$G:$G,Lançamentos!$A:$A,HT$19,Lançamentos!$C:$C,"Simples Nacional / DAS")</f>
        <v>0</v>
      </c>
      <c r="HU73" s="39">
        <f>SUMIFS(Lançamentos!$G:$G,Lançamentos!$A:$A,HU$19,Lançamentos!$C:$C,"Simples Nacional / DAS")</f>
        <v>0</v>
      </c>
      <c r="HV73" s="39">
        <f>SUMIFS(Lançamentos!$G:$G,Lançamentos!$A:$A,HV$19,Lançamentos!$C:$C,"Simples Nacional / DAS")</f>
        <v>0</v>
      </c>
      <c r="HW73" s="39">
        <f>SUMIFS(Lançamentos!$G:$G,Lançamentos!$A:$A,HW$19,Lançamentos!$C:$C,"Simples Nacional / DAS")</f>
        <v>0</v>
      </c>
      <c r="HX73" s="39">
        <f>SUMIFS(Lançamentos!$G:$G,Lançamentos!$A:$A,HX$19,Lançamentos!$C:$C,"Simples Nacional / DAS")</f>
        <v>0</v>
      </c>
      <c r="HY73" s="39">
        <f>SUMIFS(Lançamentos!$G:$G,Lançamentos!$A:$A,HY$19,Lançamentos!$C:$C,"Simples Nacional / DAS")</f>
        <v>0</v>
      </c>
      <c r="HZ73" s="39">
        <f>SUMIFS(Lançamentos!$G:$G,Lançamentos!$A:$A,HZ$19,Lançamentos!$C:$C,"Simples Nacional / DAS")</f>
        <v>0</v>
      </c>
      <c r="IA73" s="39">
        <f>SUMIFS(Lançamentos!$G:$G,Lançamentos!$A:$A,IA$19,Lançamentos!$C:$C,"Simples Nacional / DAS")</f>
        <v>0</v>
      </c>
      <c r="IB73" s="39">
        <f>SUMIFS(Lançamentos!$G:$G,Lançamentos!$A:$A,IB$19,Lançamentos!$C:$C,"Simples Nacional / DAS")</f>
        <v>0</v>
      </c>
      <c r="IC73" s="39">
        <f>SUMIFS(Lançamentos!$G:$G,Lançamentos!$A:$A,IC$19,Lançamentos!$C:$C,"Simples Nacional / DAS")</f>
        <v>0</v>
      </c>
      <c r="ID73" s="39">
        <f>SUMIFS(Lançamentos!$G:$G,Lançamentos!$A:$A,ID$19,Lançamentos!$C:$C,"Simples Nacional / DAS")</f>
        <v>0</v>
      </c>
      <c r="IE73" s="39">
        <f>SUMIFS(Lançamentos!$G:$G,Lançamentos!$A:$A,IE$19,Lançamentos!$C:$C,"Simples Nacional / DAS")</f>
        <v>0</v>
      </c>
      <c r="IF73" s="39">
        <f>SUMIFS(Lançamentos!$G:$G,Lançamentos!$A:$A,IF$19,Lançamentos!$C:$C,"Simples Nacional / DAS")</f>
        <v>0</v>
      </c>
      <c r="IG73" s="39">
        <f>SUMIFS(Lançamentos!$G:$G,Lançamentos!$A:$A,IG$19,Lançamentos!$C:$C,"Simples Nacional / DAS")</f>
        <v>0</v>
      </c>
      <c r="IH73" s="39">
        <f>SUMIFS(Lançamentos!$G:$G,Lançamentos!$A:$A,IH$19,Lançamentos!$C:$C,"Simples Nacional / DAS")</f>
        <v>0</v>
      </c>
      <c r="II73" s="39">
        <f>SUMIFS(Lançamentos!$G:$G,Lançamentos!$A:$A,II$19,Lançamentos!$C:$C,"Simples Nacional / DAS")</f>
        <v>0</v>
      </c>
      <c r="IJ73" s="39">
        <f>SUMIFS(Lançamentos!$G:$G,Lançamentos!$A:$A,IJ$19,Lançamentos!$C:$C,"Simples Nacional / DAS")</f>
        <v>0</v>
      </c>
      <c r="IK73" s="39">
        <f>SUMIFS(Lançamentos!$G:$G,Lançamentos!$A:$A,IK$19,Lançamentos!$C:$C,"Simples Nacional / DAS")</f>
        <v>0</v>
      </c>
      <c r="IL73" s="39">
        <f>SUMIFS(Lançamentos!$G:$G,Lançamentos!$A:$A,IL$19,Lançamentos!$C:$C,"Simples Nacional / DAS")</f>
        <v>0</v>
      </c>
    </row>
    <row r="74" spans="1:246" x14ac:dyDescent="0.3">
      <c r="A74" t="s">
        <v>119</v>
      </c>
      <c r="B74" s="39">
        <f>SUMIFS(Lançamentos!$G:$G,Lançamentos!$A:$A,B$19,Lançamentos!$C:$C,"ISS")</f>
        <v>0</v>
      </c>
      <c r="C74" s="39">
        <f>SUMIFS(Lançamentos!$G:$G,Lançamentos!$A:$A,C$19,Lançamentos!$C:$C,"ISS")</f>
        <v>0</v>
      </c>
      <c r="D74" s="39">
        <f>SUMIFS(Lançamentos!$G:$G,Lançamentos!$A:$A,D$19,Lançamentos!$C:$C,"ISS")</f>
        <v>0</v>
      </c>
      <c r="E74" s="39">
        <f>SUMIFS(Lançamentos!$G:$G,Lançamentos!$A:$A,E$19,Lançamentos!$C:$C,"ISS")</f>
        <v>0</v>
      </c>
      <c r="F74" s="39">
        <f>SUMIFS(Lançamentos!$G:$G,Lançamentos!$A:$A,F$19,Lançamentos!$C:$C,"ISS")</f>
        <v>0</v>
      </c>
      <c r="G74" s="39">
        <f>SUMIFS(Lançamentos!$G:$G,Lançamentos!$A:$A,G$19,Lançamentos!$C:$C,"ISS")</f>
        <v>0</v>
      </c>
      <c r="H74" s="39">
        <f>SUMIFS(Lançamentos!$G:$G,Lançamentos!$A:$A,H$19,Lançamentos!$C:$C,"ISS")</f>
        <v>0</v>
      </c>
      <c r="I74" s="39">
        <f>SUMIFS(Lançamentos!$G:$G,Lançamentos!$A:$A,I$19,Lançamentos!$C:$C,"ISS")</f>
        <v>0</v>
      </c>
      <c r="J74" s="39">
        <f>SUMIFS(Lançamentos!$G:$G,Lançamentos!$A:$A,J$19,Lançamentos!$C:$C,"ISS")</f>
        <v>0</v>
      </c>
      <c r="K74" s="39">
        <f>SUMIFS(Lançamentos!$G:$G,Lançamentos!$A:$A,K$19,Lançamentos!$C:$C,"ISS")</f>
        <v>0</v>
      </c>
      <c r="L74" s="39">
        <f>SUMIFS(Lançamentos!$G:$G,Lançamentos!$A:$A,L$19,Lançamentos!$C:$C,"ISS")</f>
        <v>0</v>
      </c>
      <c r="M74" s="39">
        <f>SUMIFS(Lançamentos!$G:$G,Lançamentos!$A:$A,M$19,Lançamentos!$C:$C,"ISS")</f>
        <v>0</v>
      </c>
      <c r="N74" s="39">
        <f>SUMIFS(Lançamentos!$G:$G,Lançamentos!$A:$A,N$19,Lançamentos!$C:$C,"ISS")</f>
        <v>0</v>
      </c>
      <c r="O74" s="39">
        <f>SUMIFS(Lançamentos!$G:$G,Lançamentos!$A:$A,O$19,Lançamentos!$C:$C,"ISS")</f>
        <v>0</v>
      </c>
      <c r="P74" s="39">
        <f>SUMIFS(Lançamentos!$G:$G,Lançamentos!$A:$A,P$19,Lançamentos!$C:$C,"ISS")</f>
        <v>0</v>
      </c>
      <c r="Q74" s="39">
        <f>SUMIFS(Lançamentos!$G:$G,Lançamentos!$A:$A,Q$19,Lançamentos!$C:$C,"ISS")</f>
        <v>0</v>
      </c>
      <c r="R74" s="39">
        <f>SUMIFS(Lançamentos!$G:$G,Lançamentos!$A:$A,R$19,Lançamentos!$C:$C,"ISS")</f>
        <v>0</v>
      </c>
      <c r="S74" s="39">
        <f>SUMIFS(Lançamentos!$G:$G,Lançamentos!$A:$A,S$19,Lançamentos!$C:$C,"ISS")</f>
        <v>0</v>
      </c>
      <c r="T74" s="39">
        <f>SUMIFS(Lançamentos!$G:$G,Lançamentos!$A:$A,T$19,Lançamentos!$C:$C,"ISS")</f>
        <v>0</v>
      </c>
      <c r="U74" s="39">
        <f>SUMIFS(Lançamentos!$G:$G,Lançamentos!$A:$A,U$19,Lançamentos!$C:$C,"ISS")</f>
        <v>0</v>
      </c>
      <c r="V74" s="39">
        <f>SUMIFS(Lançamentos!$G:$G,Lançamentos!$A:$A,V$19,Lançamentos!$C:$C,"ISS")</f>
        <v>0</v>
      </c>
      <c r="W74" s="39">
        <f>SUMIFS(Lançamentos!$G:$G,Lançamentos!$A:$A,W$19,Lançamentos!$C:$C,"ISS")</f>
        <v>0</v>
      </c>
      <c r="X74" s="39">
        <f>SUMIFS(Lançamentos!$G:$G,Lançamentos!$A:$A,X$19,Lançamentos!$C:$C,"ISS")</f>
        <v>0</v>
      </c>
      <c r="Y74" s="39">
        <f>SUMIFS(Lançamentos!$G:$G,Lançamentos!$A:$A,Y$19,Lançamentos!$C:$C,"ISS")</f>
        <v>0</v>
      </c>
      <c r="Z74" s="39">
        <f>SUMIFS(Lançamentos!$G:$G,Lançamentos!$A:$A,Z$19,Lançamentos!$C:$C,"ISS")</f>
        <v>0</v>
      </c>
      <c r="AA74" s="39">
        <f>SUMIFS(Lançamentos!$G:$G,Lançamentos!$A:$A,AA$19,Lançamentos!$C:$C,"ISS")</f>
        <v>0</v>
      </c>
      <c r="AB74" s="39">
        <f>SUMIFS(Lançamentos!$G:$G,Lançamentos!$A:$A,AB$19,Lançamentos!$C:$C,"ISS")</f>
        <v>0</v>
      </c>
      <c r="AC74" s="39">
        <f>SUMIFS(Lançamentos!$G:$G,Lançamentos!$A:$A,AC$19,Lançamentos!$C:$C,"ISS")</f>
        <v>0</v>
      </c>
      <c r="AD74" s="39">
        <f>SUMIFS(Lançamentos!$G:$G,Lançamentos!$A:$A,AD$19,Lançamentos!$C:$C,"ISS")</f>
        <v>0</v>
      </c>
      <c r="AE74" s="39">
        <f>SUMIFS(Lançamentos!$G:$G,Lançamentos!$A:$A,AE$19,Lançamentos!$C:$C,"ISS")</f>
        <v>0</v>
      </c>
      <c r="AF74" s="39">
        <f>SUMIFS(Lançamentos!$G:$G,Lançamentos!$A:$A,AF$19,Lançamentos!$C:$C,"ISS")</f>
        <v>0</v>
      </c>
      <c r="AG74" s="39">
        <f>SUMIFS(Lançamentos!$G:$G,Lançamentos!$A:$A,AG$19,Lançamentos!$C:$C,"ISS")</f>
        <v>0</v>
      </c>
      <c r="AH74" s="39">
        <f>SUMIFS(Lançamentos!$G:$G,Lançamentos!$A:$A,AH$19,Lançamentos!$C:$C,"ISS")</f>
        <v>0</v>
      </c>
      <c r="AI74" s="39">
        <f>SUMIFS(Lançamentos!$G:$G,Lançamentos!$A:$A,AI$19,Lançamentos!$C:$C,"ISS")</f>
        <v>0</v>
      </c>
      <c r="AJ74" s="39">
        <f>SUMIFS(Lançamentos!$G:$G,Lançamentos!$A:$A,AJ$19,Lançamentos!$C:$C,"ISS")</f>
        <v>0</v>
      </c>
      <c r="AK74" s="39">
        <f>SUMIFS(Lançamentos!$G:$G,Lançamentos!$A:$A,AK$19,Lançamentos!$C:$C,"ISS")</f>
        <v>0</v>
      </c>
      <c r="AL74" s="39">
        <f>SUMIFS(Lançamentos!$G:$G,Lançamentos!$A:$A,AL$19,Lançamentos!$C:$C,"ISS")</f>
        <v>0</v>
      </c>
      <c r="AM74" s="39">
        <f>SUMIFS(Lançamentos!$G:$G,Lançamentos!$A:$A,AM$19,Lançamentos!$C:$C,"ISS")</f>
        <v>0</v>
      </c>
      <c r="AN74" s="39">
        <f>SUMIFS(Lançamentos!$G:$G,Lançamentos!$A:$A,AN$19,Lançamentos!$C:$C,"ISS")</f>
        <v>0</v>
      </c>
      <c r="AO74" s="39">
        <f>SUMIFS(Lançamentos!$G:$G,Lançamentos!$A:$A,AO$19,Lançamentos!$C:$C,"ISS")</f>
        <v>0</v>
      </c>
      <c r="AP74" s="39">
        <f>SUMIFS(Lançamentos!$G:$G,Lançamentos!$A:$A,AP$19,Lançamentos!$C:$C,"ISS")</f>
        <v>0</v>
      </c>
      <c r="AQ74" s="39">
        <f>SUMIFS(Lançamentos!$G:$G,Lançamentos!$A:$A,AQ$19,Lançamentos!$C:$C,"ISS")</f>
        <v>0</v>
      </c>
      <c r="AR74" s="39">
        <f>SUMIFS(Lançamentos!$G:$G,Lançamentos!$A:$A,AR$19,Lançamentos!$C:$C,"ISS")</f>
        <v>0</v>
      </c>
      <c r="AS74" s="39">
        <f>SUMIFS(Lançamentos!$G:$G,Lançamentos!$A:$A,AS$19,Lançamentos!$C:$C,"ISS")</f>
        <v>0</v>
      </c>
      <c r="AT74" s="39">
        <f>SUMIFS(Lançamentos!$G:$G,Lançamentos!$A:$A,AT$19,Lançamentos!$C:$C,"ISS")</f>
        <v>0</v>
      </c>
      <c r="AU74" s="39">
        <f>SUMIFS(Lançamentos!$G:$G,Lançamentos!$A:$A,AU$19,Lançamentos!$C:$C,"ISS")</f>
        <v>0</v>
      </c>
      <c r="AV74" s="39">
        <f>SUMIFS(Lançamentos!$G:$G,Lançamentos!$A:$A,AV$19,Lançamentos!$C:$C,"ISS")</f>
        <v>0</v>
      </c>
      <c r="AW74" s="39">
        <f>SUMIFS(Lançamentos!$G:$G,Lançamentos!$A:$A,AW$19,Lançamentos!$C:$C,"ISS")</f>
        <v>0</v>
      </c>
      <c r="AX74" s="39">
        <f>SUMIFS(Lançamentos!$G:$G,Lançamentos!$A:$A,AX$19,Lançamentos!$C:$C,"ISS")</f>
        <v>0</v>
      </c>
      <c r="AY74" s="39">
        <f>SUMIFS(Lançamentos!$G:$G,Lançamentos!$A:$A,AY$19,Lançamentos!$C:$C,"ISS")</f>
        <v>0</v>
      </c>
      <c r="AZ74" s="39">
        <f>SUMIFS(Lançamentos!$G:$G,Lançamentos!$A:$A,AZ$19,Lançamentos!$C:$C,"ISS")</f>
        <v>0</v>
      </c>
      <c r="BA74" s="39">
        <f>SUMIFS(Lançamentos!$G:$G,Lançamentos!$A:$A,BA$19,Lançamentos!$C:$C,"ISS")</f>
        <v>0</v>
      </c>
      <c r="BB74" s="39">
        <f>SUMIFS(Lançamentos!$G:$G,Lançamentos!$A:$A,BB$19,Lançamentos!$C:$C,"ISS")</f>
        <v>0</v>
      </c>
      <c r="BC74" s="39">
        <f>SUMIFS(Lançamentos!$G:$G,Lançamentos!$A:$A,BC$19,Lançamentos!$C:$C,"ISS")</f>
        <v>0</v>
      </c>
      <c r="BD74" s="39">
        <f>SUMIFS(Lançamentos!$G:$G,Lançamentos!$A:$A,BD$19,Lançamentos!$C:$C,"ISS")</f>
        <v>0</v>
      </c>
      <c r="BE74" s="39">
        <f>SUMIFS(Lançamentos!$G:$G,Lançamentos!$A:$A,BE$19,Lançamentos!$C:$C,"ISS")</f>
        <v>0</v>
      </c>
      <c r="BF74" s="39">
        <f>SUMIFS(Lançamentos!$G:$G,Lançamentos!$A:$A,BF$19,Lançamentos!$C:$C,"ISS")</f>
        <v>0</v>
      </c>
      <c r="BG74" s="39">
        <f>SUMIFS(Lançamentos!$G:$G,Lançamentos!$A:$A,BG$19,Lançamentos!$C:$C,"ISS")</f>
        <v>0</v>
      </c>
      <c r="BH74" s="39">
        <f>SUMIFS(Lançamentos!$G:$G,Lançamentos!$A:$A,BH$19,Lançamentos!$C:$C,"ISS")</f>
        <v>0</v>
      </c>
      <c r="BI74" s="39">
        <f>SUMIFS(Lançamentos!$G:$G,Lançamentos!$A:$A,BI$19,Lançamentos!$C:$C,"ISS")</f>
        <v>0</v>
      </c>
      <c r="BJ74" s="39">
        <f>SUMIFS(Lançamentos!$G:$G,Lançamentos!$A:$A,BJ$19,Lançamentos!$C:$C,"ISS")</f>
        <v>0</v>
      </c>
      <c r="BK74" s="39">
        <f>SUMIFS(Lançamentos!$G:$G,Lançamentos!$A:$A,BK$19,Lançamentos!$C:$C,"ISS")</f>
        <v>0</v>
      </c>
      <c r="BL74" s="39">
        <f>SUMIFS(Lançamentos!$G:$G,Lançamentos!$A:$A,BL$19,Lançamentos!$C:$C,"ISS")</f>
        <v>0</v>
      </c>
      <c r="BM74" s="39">
        <f>SUMIFS(Lançamentos!$G:$G,Lançamentos!$A:$A,BM$19,Lançamentos!$C:$C,"ISS")</f>
        <v>0</v>
      </c>
      <c r="BN74" s="39">
        <f>SUMIFS(Lançamentos!$G:$G,Lançamentos!$A:$A,BN$19,Lançamentos!$C:$C,"ISS")</f>
        <v>0</v>
      </c>
      <c r="BO74" s="39">
        <f>SUMIFS(Lançamentos!$G:$G,Lançamentos!$A:$A,BO$19,Lançamentos!$C:$C,"ISS")</f>
        <v>0</v>
      </c>
      <c r="BP74" s="39">
        <f>SUMIFS(Lançamentos!$G:$G,Lançamentos!$A:$A,BP$19,Lançamentos!$C:$C,"ISS")</f>
        <v>0</v>
      </c>
      <c r="BQ74" s="39">
        <f>SUMIFS(Lançamentos!$G:$G,Lançamentos!$A:$A,BQ$19,Lançamentos!$C:$C,"ISS")</f>
        <v>0</v>
      </c>
      <c r="BR74" s="39">
        <f>SUMIFS(Lançamentos!$G:$G,Lançamentos!$A:$A,BR$19,Lançamentos!$C:$C,"ISS")</f>
        <v>0</v>
      </c>
      <c r="BS74" s="39">
        <f>SUMIFS(Lançamentos!$G:$G,Lançamentos!$A:$A,BS$19,Lançamentos!$C:$C,"ISS")</f>
        <v>0</v>
      </c>
      <c r="BT74" s="39">
        <f>SUMIFS(Lançamentos!$G:$G,Lançamentos!$A:$A,BT$19,Lançamentos!$C:$C,"ISS")</f>
        <v>0</v>
      </c>
      <c r="BU74" s="39">
        <f>SUMIFS(Lançamentos!$G:$G,Lançamentos!$A:$A,BU$19,Lançamentos!$C:$C,"ISS")</f>
        <v>0</v>
      </c>
      <c r="BV74" s="39">
        <f>SUMIFS(Lançamentos!$G:$G,Lançamentos!$A:$A,BV$19,Lançamentos!$C:$C,"ISS")</f>
        <v>0</v>
      </c>
      <c r="BW74" s="39">
        <f>SUMIFS(Lançamentos!$G:$G,Lançamentos!$A:$A,BW$19,Lançamentos!$C:$C,"ISS")</f>
        <v>0</v>
      </c>
      <c r="BX74" s="39">
        <f>SUMIFS(Lançamentos!$G:$G,Lançamentos!$A:$A,BX$19,Lançamentos!$C:$C,"ISS")</f>
        <v>0</v>
      </c>
      <c r="BY74" s="39">
        <f>SUMIFS(Lançamentos!$G:$G,Lançamentos!$A:$A,BY$19,Lançamentos!$C:$C,"ISS")</f>
        <v>0</v>
      </c>
      <c r="BZ74" s="39">
        <f>SUMIFS(Lançamentos!$G:$G,Lançamentos!$A:$A,BZ$19,Lançamentos!$C:$C,"ISS")</f>
        <v>0</v>
      </c>
      <c r="CA74" s="39">
        <f>SUMIFS(Lançamentos!$G:$G,Lançamentos!$A:$A,CA$19,Lançamentos!$C:$C,"ISS")</f>
        <v>0</v>
      </c>
      <c r="CB74" s="39">
        <f>SUMIFS(Lançamentos!$G:$G,Lançamentos!$A:$A,CB$19,Lançamentos!$C:$C,"ISS")</f>
        <v>0</v>
      </c>
      <c r="CC74" s="39">
        <f>SUMIFS(Lançamentos!$G:$G,Lançamentos!$A:$A,CC$19,Lançamentos!$C:$C,"ISS")</f>
        <v>0</v>
      </c>
      <c r="CD74" s="39">
        <f>SUMIFS(Lançamentos!$G:$G,Lançamentos!$A:$A,CD$19,Lançamentos!$C:$C,"ISS")</f>
        <v>0</v>
      </c>
      <c r="CE74" s="39">
        <f>SUMIFS(Lançamentos!$G:$G,Lançamentos!$A:$A,CE$19,Lançamentos!$C:$C,"ISS")</f>
        <v>0</v>
      </c>
      <c r="CF74" s="39">
        <f>SUMIFS(Lançamentos!$G:$G,Lançamentos!$A:$A,CF$19,Lançamentos!$C:$C,"ISS")</f>
        <v>0</v>
      </c>
      <c r="CG74" s="39">
        <f>SUMIFS(Lançamentos!$G:$G,Lançamentos!$A:$A,CG$19,Lançamentos!$C:$C,"ISS")</f>
        <v>0</v>
      </c>
      <c r="CH74" s="39">
        <f>SUMIFS(Lançamentos!$G:$G,Lançamentos!$A:$A,CH$19,Lançamentos!$C:$C,"ISS")</f>
        <v>0</v>
      </c>
      <c r="CI74" s="39">
        <f>SUMIFS(Lançamentos!$G:$G,Lançamentos!$A:$A,CI$19,Lançamentos!$C:$C,"ISS")</f>
        <v>0</v>
      </c>
      <c r="CJ74" s="39">
        <f>SUMIFS(Lançamentos!$G:$G,Lançamentos!$A:$A,CJ$19,Lançamentos!$C:$C,"ISS")</f>
        <v>0</v>
      </c>
      <c r="CK74" s="39">
        <f>SUMIFS(Lançamentos!$G:$G,Lançamentos!$A:$A,CK$19,Lançamentos!$C:$C,"ISS")</f>
        <v>0</v>
      </c>
      <c r="CL74" s="39">
        <f>SUMIFS(Lançamentos!$G:$G,Lançamentos!$A:$A,CL$19,Lançamentos!$C:$C,"ISS")</f>
        <v>0</v>
      </c>
      <c r="CM74" s="39">
        <f>SUMIFS(Lançamentos!$G:$G,Lançamentos!$A:$A,CM$19,Lançamentos!$C:$C,"ISS")</f>
        <v>0</v>
      </c>
      <c r="CN74" s="39">
        <f>SUMIFS(Lançamentos!$G:$G,Lançamentos!$A:$A,CN$19,Lançamentos!$C:$C,"ISS")</f>
        <v>0</v>
      </c>
      <c r="CO74" s="39">
        <f>SUMIFS(Lançamentos!$G:$G,Lançamentos!$A:$A,CO$19,Lançamentos!$C:$C,"ISS")</f>
        <v>0</v>
      </c>
      <c r="CP74" s="39">
        <f>SUMIFS(Lançamentos!$G:$G,Lançamentos!$A:$A,CP$19,Lançamentos!$C:$C,"ISS")</f>
        <v>0</v>
      </c>
      <c r="CQ74" s="39">
        <f>SUMIFS(Lançamentos!$G:$G,Lançamentos!$A:$A,CQ$19,Lançamentos!$C:$C,"ISS")</f>
        <v>0</v>
      </c>
      <c r="CR74" s="39">
        <f>SUMIFS(Lançamentos!$G:$G,Lançamentos!$A:$A,CR$19,Lançamentos!$C:$C,"ISS")</f>
        <v>0</v>
      </c>
      <c r="CS74" s="39">
        <f>SUMIFS(Lançamentos!$G:$G,Lançamentos!$A:$A,CS$19,Lançamentos!$C:$C,"ISS")</f>
        <v>0</v>
      </c>
      <c r="CT74" s="39">
        <f>SUMIFS(Lançamentos!$G:$G,Lançamentos!$A:$A,CT$19,Lançamentos!$C:$C,"ISS")</f>
        <v>0</v>
      </c>
      <c r="CU74" s="39">
        <f>SUMIFS(Lançamentos!$G:$G,Lançamentos!$A:$A,CU$19,Lançamentos!$C:$C,"ISS")</f>
        <v>0</v>
      </c>
      <c r="CV74" s="39">
        <f>SUMIFS(Lançamentos!$G:$G,Lançamentos!$A:$A,CV$19,Lançamentos!$C:$C,"ISS")</f>
        <v>0</v>
      </c>
      <c r="CW74" s="39">
        <f>SUMIFS(Lançamentos!$G:$G,Lançamentos!$A:$A,CW$19,Lançamentos!$C:$C,"ISS")</f>
        <v>0</v>
      </c>
      <c r="CX74" s="39">
        <f>SUMIFS(Lançamentos!$G:$G,Lançamentos!$A:$A,CX$19,Lançamentos!$C:$C,"ISS")</f>
        <v>0</v>
      </c>
      <c r="CY74" s="39">
        <f>SUMIFS(Lançamentos!$G:$G,Lançamentos!$A:$A,CY$19,Lançamentos!$C:$C,"ISS")</f>
        <v>0</v>
      </c>
      <c r="CZ74" s="39">
        <f>SUMIFS(Lançamentos!$G:$G,Lançamentos!$A:$A,CZ$19,Lançamentos!$C:$C,"ISS")</f>
        <v>0</v>
      </c>
      <c r="DA74" s="39">
        <f>SUMIFS(Lançamentos!$G:$G,Lançamentos!$A:$A,DA$19,Lançamentos!$C:$C,"ISS")</f>
        <v>0</v>
      </c>
      <c r="DB74" s="39">
        <f>SUMIFS(Lançamentos!$G:$G,Lançamentos!$A:$A,DB$19,Lançamentos!$C:$C,"ISS")</f>
        <v>0</v>
      </c>
      <c r="DC74" s="39">
        <f>SUMIFS(Lançamentos!$G:$G,Lançamentos!$A:$A,DC$19,Lançamentos!$C:$C,"ISS")</f>
        <v>0</v>
      </c>
      <c r="DD74" s="39">
        <f>SUMIFS(Lançamentos!$G:$G,Lançamentos!$A:$A,DD$19,Lançamentos!$C:$C,"ISS")</f>
        <v>0</v>
      </c>
      <c r="DE74" s="39">
        <f>SUMIFS(Lançamentos!$G:$G,Lançamentos!$A:$A,DE$19,Lançamentos!$C:$C,"ISS")</f>
        <v>0</v>
      </c>
      <c r="DF74" s="39">
        <f>SUMIFS(Lançamentos!$G:$G,Lançamentos!$A:$A,DF$19,Lançamentos!$C:$C,"ISS")</f>
        <v>0</v>
      </c>
      <c r="DG74" s="39">
        <f>SUMIFS(Lançamentos!$G:$G,Lançamentos!$A:$A,DG$19,Lançamentos!$C:$C,"ISS")</f>
        <v>0</v>
      </c>
      <c r="DH74" s="39">
        <f>SUMIFS(Lançamentos!$G:$G,Lançamentos!$A:$A,DH$19,Lançamentos!$C:$C,"ISS")</f>
        <v>0</v>
      </c>
      <c r="DI74" s="39">
        <f>SUMIFS(Lançamentos!$G:$G,Lançamentos!$A:$A,DI$19,Lançamentos!$C:$C,"ISS")</f>
        <v>0</v>
      </c>
      <c r="DJ74" s="39">
        <f>SUMIFS(Lançamentos!$G:$G,Lançamentos!$A:$A,DJ$19,Lançamentos!$C:$C,"ISS")</f>
        <v>0</v>
      </c>
      <c r="DK74" s="39">
        <f>SUMIFS(Lançamentos!$G:$G,Lançamentos!$A:$A,DK$19,Lançamentos!$C:$C,"ISS")</f>
        <v>0</v>
      </c>
      <c r="DL74" s="39">
        <f>SUMIFS(Lançamentos!$G:$G,Lançamentos!$A:$A,DL$19,Lançamentos!$C:$C,"ISS")</f>
        <v>0</v>
      </c>
      <c r="DM74" s="39">
        <f>SUMIFS(Lançamentos!$G:$G,Lançamentos!$A:$A,DM$19,Lançamentos!$C:$C,"ISS")</f>
        <v>0</v>
      </c>
      <c r="DN74" s="39">
        <f>SUMIFS(Lançamentos!$G:$G,Lançamentos!$A:$A,DN$19,Lançamentos!$C:$C,"ISS")</f>
        <v>0</v>
      </c>
      <c r="DO74" s="39">
        <f>SUMIFS(Lançamentos!$G:$G,Lançamentos!$A:$A,DO$19,Lançamentos!$C:$C,"ISS")</f>
        <v>0</v>
      </c>
      <c r="DP74" s="39">
        <f>SUMIFS(Lançamentos!$G:$G,Lançamentos!$A:$A,DP$19,Lançamentos!$C:$C,"ISS")</f>
        <v>0</v>
      </c>
      <c r="DQ74" s="39">
        <f>SUMIFS(Lançamentos!$G:$G,Lançamentos!$A:$A,DQ$19,Lançamentos!$C:$C,"ISS")</f>
        <v>0</v>
      </c>
      <c r="DR74" s="39">
        <f>SUMIFS(Lançamentos!$G:$G,Lançamentos!$A:$A,DR$19,Lançamentos!$C:$C,"ISS")</f>
        <v>0</v>
      </c>
      <c r="DS74" s="39">
        <f>SUMIFS(Lançamentos!$G:$G,Lançamentos!$A:$A,DS$19,Lançamentos!$C:$C,"ISS")</f>
        <v>0</v>
      </c>
      <c r="DT74" s="39">
        <f>SUMIFS(Lançamentos!$G:$G,Lançamentos!$A:$A,DT$19,Lançamentos!$C:$C,"ISS")</f>
        <v>0</v>
      </c>
      <c r="DU74" s="39">
        <f>SUMIFS(Lançamentos!$G:$G,Lançamentos!$A:$A,DU$19,Lançamentos!$C:$C,"ISS")</f>
        <v>0</v>
      </c>
      <c r="DV74" s="39">
        <f>SUMIFS(Lançamentos!$G:$G,Lançamentos!$A:$A,DV$19,Lançamentos!$C:$C,"ISS")</f>
        <v>0</v>
      </c>
      <c r="DW74" s="39">
        <f>SUMIFS(Lançamentos!$G:$G,Lançamentos!$A:$A,DW$19,Lançamentos!$C:$C,"ISS")</f>
        <v>0</v>
      </c>
      <c r="DX74" s="39">
        <f>SUMIFS(Lançamentos!$G:$G,Lançamentos!$A:$A,DX$19,Lançamentos!$C:$C,"ISS")</f>
        <v>0</v>
      </c>
      <c r="DY74" s="39">
        <f>SUMIFS(Lançamentos!$G:$G,Lançamentos!$A:$A,DY$19,Lançamentos!$C:$C,"ISS")</f>
        <v>0</v>
      </c>
      <c r="DZ74" s="39">
        <f>SUMIFS(Lançamentos!$G:$G,Lançamentos!$A:$A,DZ$19,Lançamentos!$C:$C,"ISS")</f>
        <v>0</v>
      </c>
      <c r="EA74" s="39">
        <f>SUMIFS(Lançamentos!$G:$G,Lançamentos!$A:$A,EA$19,Lançamentos!$C:$C,"ISS")</f>
        <v>0</v>
      </c>
      <c r="EB74" s="39">
        <f>SUMIFS(Lançamentos!$G:$G,Lançamentos!$A:$A,EB$19,Lançamentos!$C:$C,"ISS")</f>
        <v>0</v>
      </c>
      <c r="EC74" s="39">
        <f>SUMIFS(Lançamentos!$G:$G,Lançamentos!$A:$A,EC$19,Lançamentos!$C:$C,"ISS")</f>
        <v>0</v>
      </c>
      <c r="ED74" s="39">
        <f>SUMIFS(Lançamentos!$G:$G,Lançamentos!$A:$A,ED$19,Lançamentos!$C:$C,"ISS")</f>
        <v>0</v>
      </c>
      <c r="EE74" s="39">
        <f>SUMIFS(Lançamentos!$G:$G,Lançamentos!$A:$A,EE$19,Lançamentos!$C:$C,"ISS")</f>
        <v>0</v>
      </c>
      <c r="EF74" s="39">
        <f>SUMIFS(Lançamentos!$G:$G,Lançamentos!$A:$A,EF$19,Lançamentos!$C:$C,"ISS")</f>
        <v>0</v>
      </c>
      <c r="EG74" s="39">
        <f>SUMIFS(Lançamentos!$G:$G,Lançamentos!$A:$A,EG$19,Lançamentos!$C:$C,"ISS")</f>
        <v>0</v>
      </c>
      <c r="EH74" s="39">
        <f>SUMIFS(Lançamentos!$G:$G,Lançamentos!$A:$A,EH$19,Lançamentos!$C:$C,"ISS")</f>
        <v>0</v>
      </c>
      <c r="EI74" s="39">
        <f>SUMIFS(Lançamentos!$G:$G,Lançamentos!$A:$A,EI$19,Lançamentos!$C:$C,"ISS")</f>
        <v>0</v>
      </c>
      <c r="EJ74" s="39">
        <f>SUMIFS(Lançamentos!$G:$G,Lançamentos!$A:$A,EJ$19,Lançamentos!$C:$C,"ISS")</f>
        <v>0</v>
      </c>
      <c r="EK74" s="39">
        <f>SUMIFS(Lançamentos!$G:$G,Lançamentos!$A:$A,EK$19,Lançamentos!$C:$C,"ISS")</f>
        <v>0</v>
      </c>
      <c r="EL74" s="39">
        <f>SUMIFS(Lançamentos!$G:$G,Lançamentos!$A:$A,EL$19,Lançamentos!$C:$C,"ISS")</f>
        <v>0</v>
      </c>
      <c r="EM74" s="39">
        <f>SUMIFS(Lançamentos!$G:$G,Lançamentos!$A:$A,EM$19,Lançamentos!$C:$C,"ISS")</f>
        <v>0</v>
      </c>
      <c r="EN74" s="39">
        <f>SUMIFS(Lançamentos!$G:$G,Lançamentos!$A:$A,EN$19,Lançamentos!$C:$C,"ISS")</f>
        <v>0</v>
      </c>
      <c r="EO74" s="39">
        <f>SUMIFS(Lançamentos!$G:$G,Lançamentos!$A:$A,EO$19,Lançamentos!$C:$C,"ISS")</f>
        <v>0</v>
      </c>
      <c r="EP74" s="39">
        <f>SUMIFS(Lançamentos!$G:$G,Lançamentos!$A:$A,EP$19,Lançamentos!$C:$C,"ISS")</f>
        <v>0</v>
      </c>
      <c r="EQ74" s="39">
        <f>SUMIFS(Lançamentos!$G:$G,Lançamentos!$A:$A,EQ$19,Lançamentos!$C:$C,"ISS")</f>
        <v>0</v>
      </c>
      <c r="ER74" s="39">
        <f>SUMIFS(Lançamentos!$G:$G,Lançamentos!$A:$A,ER$19,Lançamentos!$C:$C,"ISS")</f>
        <v>0</v>
      </c>
      <c r="ES74" s="39">
        <f>SUMIFS(Lançamentos!$G:$G,Lançamentos!$A:$A,ES$19,Lançamentos!$C:$C,"ISS")</f>
        <v>0</v>
      </c>
      <c r="ET74" s="39">
        <f>SUMIFS(Lançamentos!$G:$G,Lançamentos!$A:$A,ET$19,Lançamentos!$C:$C,"ISS")</f>
        <v>0</v>
      </c>
      <c r="EU74" s="39">
        <f>SUMIFS(Lançamentos!$G:$G,Lançamentos!$A:$A,EU$19,Lançamentos!$C:$C,"ISS")</f>
        <v>0</v>
      </c>
      <c r="EV74" s="39">
        <f>SUMIFS(Lançamentos!$G:$G,Lançamentos!$A:$A,EV$19,Lançamentos!$C:$C,"ISS")</f>
        <v>0</v>
      </c>
      <c r="EW74" s="39">
        <f>SUMIFS(Lançamentos!$G:$G,Lançamentos!$A:$A,EW$19,Lançamentos!$C:$C,"ISS")</f>
        <v>0</v>
      </c>
      <c r="EX74" s="39">
        <f>SUMIFS(Lançamentos!$G:$G,Lançamentos!$A:$A,EX$19,Lançamentos!$C:$C,"ISS")</f>
        <v>0</v>
      </c>
      <c r="EY74" s="39">
        <f>SUMIFS(Lançamentos!$G:$G,Lançamentos!$A:$A,EY$19,Lançamentos!$C:$C,"ISS")</f>
        <v>0</v>
      </c>
      <c r="EZ74" s="39">
        <f>SUMIFS(Lançamentos!$G:$G,Lançamentos!$A:$A,EZ$19,Lançamentos!$C:$C,"ISS")</f>
        <v>0</v>
      </c>
      <c r="FA74" s="39">
        <f>SUMIFS(Lançamentos!$G:$G,Lançamentos!$A:$A,FA$19,Lançamentos!$C:$C,"ISS")</f>
        <v>0</v>
      </c>
      <c r="FB74" s="39">
        <f>SUMIFS(Lançamentos!$G:$G,Lançamentos!$A:$A,FB$19,Lançamentos!$C:$C,"ISS")</f>
        <v>0</v>
      </c>
      <c r="FC74" s="39">
        <f>SUMIFS(Lançamentos!$G:$G,Lançamentos!$A:$A,FC$19,Lançamentos!$C:$C,"ISS")</f>
        <v>0</v>
      </c>
      <c r="FD74" s="39">
        <f>SUMIFS(Lançamentos!$G:$G,Lançamentos!$A:$A,FD$19,Lançamentos!$C:$C,"ISS")</f>
        <v>0</v>
      </c>
      <c r="FE74" s="39">
        <f>SUMIFS(Lançamentos!$G:$G,Lançamentos!$A:$A,FE$19,Lançamentos!$C:$C,"ISS")</f>
        <v>0</v>
      </c>
      <c r="FF74" s="39">
        <f>SUMIFS(Lançamentos!$G:$G,Lançamentos!$A:$A,FF$19,Lançamentos!$C:$C,"ISS")</f>
        <v>0</v>
      </c>
      <c r="FG74" s="39">
        <f>SUMIFS(Lançamentos!$G:$G,Lançamentos!$A:$A,FG$19,Lançamentos!$C:$C,"ISS")</f>
        <v>0</v>
      </c>
      <c r="FH74" s="39">
        <f>SUMIFS(Lançamentos!$G:$G,Lançamentos!$A:$A,FH$19,Lançamentos!$C:$C,"ISS")</f>
        <v>0</v>
      </c>
      <c r="FI74" s="39">
        <f>SUMIFS(Lançamentos!$G:$G,Lançamentos!$A:$A,FI$19,Lançamentos!$C:$C,"ISS")</f>
        <v>0</v>
      </c>
      <c r="FJ74" s="39">
        <f>SUMIFS(Lançamentos!$G:$G,Lançamentos!$A:$A,FJ$19,Lançamentos!$C:$C,"ISS")</f>
        <v>0</v>
      </c>
      <c r="FK74" s="39">
        <f>SUMIFS(Lançamentos!$G:$G,Lançamentos!$A:$A,FK$19,Lançamentos!$C:$C,"ISS")</f>
        <v>0</v>
      </c>
      <c r="FL74" s="39">
        <f>SUMIFS(Lançamentos!$G:$G,Lançamentos!$A:$A,FL$19,Lançamentos!$C:$C,"ISS")</f>
        <v>0</v>
      </c>
      <c r="FM74" s="39">
        <f>SUMIFS(Lançamentos!$G:$G,Lançamentos!$A:$A,FM$19,Lançamentos!$C:$C,"ISS")</f>
        <v>0</v>
      </c>
      <c r="FN74" s="39">
        <f>SUMIFS(Lançamentos!$G:$G,Lançamentos!$A:$A,FN$19,Lançamentos!$C:$C,"ISS")</f>
        <v>0</v>
      </c>
      <c r="FO74" s="39">
        <f>SUMIFS(Lançamentos!$G:$G,Lançamentos!$A:$A,FO$19,Lançamentos!$C:$C,"ISS")</f>
        <v>0</v>
      </c>
      <c r="FP74" s="39">
        <f>SUMIFS(Lançamentos!$G:$G,Lançamentos!$A:$A,FP$19,Lançamentos!$C:$C,"ISS")</f>
        <v>0</v>
      </c>
      <c r="FQ74" s="39">
        <f>SUMIFS(Lançamentos!$G:$G,Lançamentos!$A:$A,FQ$19,Lançamentos!$C:$C,"ISS")</f>
        <v>0</v>
      </c>
      <c r="FR74" s="39">
        <f>SUMIFS(Lançamentos!$G:$G,Lançamentos!$A:$A,FR$19,Lançamentos!$C:$C,"ISS")</f>
        <v>0</v>
      </c>
      <c r="FS74" s="39">
        <f>SUMIFS(Lançamentos!$G:$G,Lançamentos!$A:$A,FS$19,Lançamentos!$C:$C,"ISS")</f>
        <v>0</v>
      </c>
      <c r="FT74" s="39">
        <f>SUMIFS(Lançamentos!$G:$G,Lançamentos!$A:$A,FT$19,Lançamentos!$C:$C,"ISS")</f>
        <v>0</v>
      </c>
      <c r="FU74" s="39">
        <f>SUMIFS(Lançamentos!$G:$G,Lançamentos!$A:$A,FU$19,Lançamentos!$C:$C,"ISS")</f>
        <v>0</v>
      </c>
      <c r="FV74" s="39">
        <f>SUMIFS(Lançamentos!$G:$G,Lançamentos!$A:$A,FV$19,Lançamentos!$C:$C,"ISS")</f>
        <v>0</v>
      </c>
      <c r="FW74" s="39">
        <f>SUMIFS(Lançamentos!$G:$G,Lançamentos!$A:$A,FW$19,Lançamentos!$C:$C,"ISS")</f>
        <v>0</v>
      </c>
      <c r="FX74" s="39">
        <f>SUMIFS(Lançamentos!$G:$G,Lançamentos!$A:$A,FX$19,Lançamentos!$C:$C,"ISS")</f>
        <v>0</v>
      </c>
      <c r="FY74" s="39">
        <f>SUMIFS(Lançamentos!$G:$G,Lançamentos!$A:$A,FY$19,Lançamentos!$C:$C,"ISS")</f>
        <v>0</v>
      </c>
      <c r="FZ74" s="39">
        <f>SUMIFS(Lançamentos!$G:$G,Lançamentos!$A:$A,FZ$19,Lançamentos!$C:$C,"ISS")</f>
        <v>0</v>
      </c>
      <c r="GA74" s="39">
        <f>SUMIFS(Lançamentos!$G:$G,Lançamentos!$A:$A,GA$19,Lançamentos!$C:$C,"ISS")</f>
        <v>0</v>
      </c>
      <c r="GB74" s="39">
        <f>SUMIFS(Lançamentos!$G:$G,Lançamentos!$A:$A,GB$19,Lançamentos!$C:$C,"ISS")</f>
        <v>0</v>
      </c>
      <c r="GC74" s="39">
        <f>SUMIFS(Lançamentos!$G:$G,Lançamentos!$A:$A,GC$19,Lançamentos!$C:$C,"ISS")</f>
        <v>0</v>
      </c>
      <c r="GD74" s="39">
        <f>SUMIFS(Lançamentos!$G:$G,Lançamentos!$A:$A,GD$19,Lançamentos!$C:$C,"ISS")</f>
        <v>0</v>
      </c>
      <c r="GE74" s="39">
        <f>SUMIFS(Lançamentos!$G:$G,Lançamentos!$A:$A,GE$19,Lançamentos!$C:$C,"ISS")</f>
        <v>0</v>
      </c>
      <c r="GF74" s="39">
        <f>SUMIFS(Lançamentos!$G:$G,Lançamentos!$A:$A,GF$19,Lançamentos!$C:$C,"ISS")</f>
        <v>0</v>
      </c>
      <c r="GG74" s="39">
        <f>SUMIFS(Lançamentos!$G:$G,Lançamentos!$A:$A,GG$19,Lançamentos!$C:$C,"ISS")</f>
        <v>0</v>
      </c>
      <c r="GH74" s="39">
        <f>SUMIFS(Lançamentos!$G:$G,Lançamentos!$A:$A,GH$19,Lançamentos!$C:$C,"ISS")</f>
        <v>0</v>
      </c>
      <c r="GI74" s="39">
        <f>SUMIFS(Lançamentos!$G:$G,Lançamentos!$A:$A,GI$19,Lançamentos!$C:$C,"ISS")</f>
        <v>0</v>
      </c>
      <c r="GJ74" s="39">
        <f>SUMIFS(Lançamentos!$G:$G,Lançamentos!$A:$A,GJ$19,Lançamentos!$C:$C,"ISS")</f>
        <v>0</v>
      </c>
      <c r="GK74" s="39">
        <f>SUMIFS(Lançamentos!$G:$G,Lançamentos!$A:$A,GK$19,Lançamentos!$C:$C,"ISS")</f>
        <v>0</v>
      </c>
      <c r="GL74" s="39">
        <f>SUMIFS(Lançamentos!$G:$G,Lançamentos!$A:$A,GL$19,Lançamentos!$C:$C,"ISS")</f>
        <v>0</v>
      </c>
      <c r="GM74" s="39">
        <f>SUMIFS(Lançamentos!$G:$G,Lançamentos!$A:$A,GM$19,Lançamentos!$C:$C,"ISS")</f>
        <v>0</v>
      </c>
      <c r="GN74" s="39">
        <f>SUMIFS(Lançamentos!$G:$G,Lançamentos!$A:$A,GN$19,Lançamentos!$C:$C,"ISS")</f>
        <v>0</v>
      </c>
      <c r="GO74" s="39">
        <f>SUMIFS(Lançamentos!$G:$G,Lançamentos!$A:$A,GO$19,Lançamentos!$C:$C,"ISS")</f>
        <v>0</v>
      </c>
      <c r="GP74" s="39">
        <f>SUMIFS(Lançamentos!$G:$G,Lançamentos!$A:$A,GP$19,Lançamentos!$C:$C,"ISS")</f>
        <v>0</v>
      </c>
      <c r="GQ74" s="39">
        <f>SUMIFS(Lançamentos!$G:$G,Lançamentos!$A:$A,GQ$19,Lançamentos!$C:$C,"ISS")</f>
        <v>0</v>
      </c>
      <c r="GR74" s="39">
        <f>SUMIFS(Lançamentos!$G:$G,Lançamentos!$A:$A,GR$19,Lançamentos!$C:$C,"ISS")</f>
        <v>0</v>
      </c>
      <c r="GS74" s="39">
        <f>SUMIFS(Lançamentos!$G:$G,Lançamentos!$A:$A,GS$19,Lançamentos!$C:$C,"ISS")</f>
        <v>0</v>
      </c>
      <c r="GT74" s="39">
        <f>SUMIFS(Lançamentos!$G:$G,Lançamentos!$A:$A,GT$19,Lançamentos!$C:$C,"ISS")</f>
        <v>0</v>
      </c>
      <c r="GU74" s="39">
        <f>SUMIFS(Lançamentos!$G:$G,Lançamentos!$A:$A,GU$19,Lançamentos!$C:$C,"ISS")</f>
        <v>0</v>
      </c>
      <c r="GV74" s="39">
        <f>SUMIFS(Lançamentos!$G:$G,Lançamentos!$A:$A,GV$19,Lançamentos!$C:$C,"ISS")</f>
        <v>0</v>
      </c>
      <c r="GW74" s="39">
        <f>SUMIFS(Lançamentos!$G:$G,Lançamentos!$A:$A,GW$19,Lançamentos!$C:$C,"ISS")</f>
        <v>0</v>
      </c>
      <c r="GX74" s="39">
        <f>SUMIFS(Lançamentos!$G:$G,Lançamentos!$A:$A,GX$19,Lançamentos!$C:$C,"ISS")</f>
        <v>0</v>
      </c>
      <c r="GY74" s="39">
        <f>SUMIFS(Lançamentos!$G:$G,Lançamentos!$A:$A,GY$19,Lançamentos!$C:$C,"ISS")</f>
        <v>0</v>
      </c>
      <c r="GZ74" s="39">
        <f>SUMIFS(Lançamentos!$G:$G,Lançamentos!$A:$A,GZ$19,Lançamentos!$C:$C,"ISS")</f>
        <v>0</v>
      </c>
      <c r="HA74" s="39">
        <f>SUMIFS(Lançamentos!$G:$G,Lançamentos!$A:$A,HA$19,Lançamentos!$C:$C,"ISS")</f>
        <v>0</v>
      </c>
      <c r="HB74" s="39">
        <f>SUMIFS(Lançamentos!$G:$G,Lançamentos!$A:$A,HB$19,Lançamentos!$C:$C,"ISS")</f>
        <v>0</v>
      </c>
      <c r="HC74" s="39">
        <f>SUMIFS(Lançamentos!$G:$G,Lançamentos!$A:$A,HC$19,Lançamentos!$C:$C,"ISS")</f>
        <v>0</v>
      </c>
      <c r="HD74" s="39">
        <f>SUMIFS(Lançamentos!$G:$G,Lançamentos!$A:$A,HD$19,Lançamentos!$C:$C,"ISS")</f>
        <v>0</v>
      </c>
      <c r="HE74" s="39">
        <f>SUMIFS(Lançamentos!$G:$G,Lançamentos!$A:$A,HE$19,Lançamentos!$C:$C,"ISS")</f>
        <v>0</v>
      </c>
      <c r="HF74" s="39">
        <f>SUMIFS(Lançamentos!$G:$G,Lançamentos!$A:$A,HF$19,Lançamentos!$C:$C,"ISS")</f>
        <v>0</v>
      </c>
      <c r="HG74" s="39">
        <f>SUMIFS(Lançamentos!$G:$G,Lançamentos!$A:$A,HG$19,Lançamentos!$C:$C,"ISS")</f>
        <v>0</v>
      </c>
      <c r="HH74" s="39">
        <f>SUMIFS(Lançamentos!$G:$G,Lançamentos!$A:$A,HH$19,Lançamentos!$C:$C,"ISS")</f>
        <v>0</v>
      </c>
      <c r="HI74" s="39">
        <f>SUMIFS(Lançamentos!$G:$G,Lançamentos!$A:$A,HI$19,Lançamentos!$C:$C,"ISS")</f>
        <v>0</v>
      </c>
      <c r="HJ74" s="39">
        <f>SUMIFS(Lançamentos!$G:$G,Lançamentos!$A:$A,HJ$19,Lançamentos!$C:$C,"ISS")</f>
        <v>0</v>
      </c>
      <c r="HK74" s="39">
        <f>SUMIFS(Lançamentos!$G:$G,Lançamentos!$A:$A,HK$19,Lançamentos!$C:$C,"ISS")</f>
        <v>0</v>
      </c>
      <c r="HL74" s="39">
        <f>SUMIFS(Lançamentos!$G:$G,Lançamentos!$A:$A,HL$19,Lançamentos!$C:$C,"ISS")</f>
        <v>0</v>
      </c>
      <c r="HM74" s="39">
        <f>SUMIFS(Lançamentos!$G:$G,Lançamentos!$A:$A,HM$19,Lançamentos!$C:$C,"ISS")</f>
        <v>0</v>
      </c>
      <c r="HN74" s="39">
        <f>SUMIFS(Lançamentos!$G:$G,Lançamentos!$A:$A,HN$19,Lançamentos!$C:$C,"ISS")</f>
        <v>0</v>
      </c>
      <c r="HO74" s="39">
        <f>SUMIFS(Lançamentos!$G:$G,Lançamentos!$A:$A,HO$19,Lançamentos!$C:$C,"ISS")</f>
        <v>0</v>
      </c>
      <c r="HP74" s="39">
        <f>SUMIFS(Lançamentos!$G:$G,Lançamentos!$A:$A,HP$19,Lançamentos!$C:$C,"ISS")</f>
        <v>0</v>
      </c>
      <c r="HQ74" s="39">
        <f>SUMIFS(Lançamentos!$G:$G,Lançamentos!$A:$A,HQ$19,Lançamentos!$C:$C,"ISS")</f>
        <v>0</v>
      </c>
      <c r="HR74" s="39">
        <f>SUMIFS(Lançamentos!$G:$G,Lançamentos!$A:$A,HR$19,Lançamentos!$C:$C,"ISS")</f>
        <v>0</v>
      </c>
      <c r="HS74" s="39">
        <f>SUMIFS(Lançamentos!$G:$G,Lançamentos!$A:$A,HS$19,Lançamentos!$C:$C,"ISS")</f>
        <v>0</v>
      </c>
      <c r="HT74" s="39">
        <f>SUMIFS(Lançamentos!$G:$G,Lançamentos!$A:$A,HT$19,Lançamentos!$C:$C,"ISS")</f>
        <v>0</v>
      </c>
      <c r="HU74" s="39">
        <f>SUMIFS(Lançamentos!$G:$G,Lançamentos!$A:$A,HU$19,Lançamentos!$C:$C,"ISS")</f>
        <v>0</v>
      </c>
      <c r="HV74" s="39">
        <f>SUMIFS(Lançamentos!$G:$G,Lançamentos!$A:$A,HV$19,Lançamentos!$C:$C,"ISS")</f>
        <v>0</v>
      </c>
      <c r="HW74" s="39">
        <f>SUMIFS(Lançamentos!$G:$G,Lançamentos!$A:$A,HW$19,Lançamentos!$C:$C,"ISS")</f>
        <v>0</v>
      </c>
      <c r="HX74" s="39">
        <f>SUMIFS(Lançamentos!$G:$G,Lançamentos!$A:$A,HX$19,Lançamentos!$C:$C,"ISS")</f>
        <v>0</v>
      </c>
      <c r="HY74" s="39">
        <f>SUMIFS(Lançamentos!$G:$G,Lançamentos!$A:$A,HY$19,Lançamentos!$C:$C,"ISS")</f>
        <v>0</v>
      </c>
      <c r="HZ74" s="39">
        <f>SUMIFS(Lançamentos!$G:$G,Lançamentos!$A:$A,HZ$19,Lançamentos!$C:$C,"ISS")</f>
        <v>0</v>
      </c>
      <c r="IA74" s="39">
        <f>SUMIFS(Lançamentos!$G:$G,Lançamentos!$A:$A,IA$19,Lançamentos!$C:$C,"ISS")</f>
        <v>0</v>
      </c>
      <c r="IB74" s="39">
        <f>SUMIFS(Lançamentos!$G:$G,Lançamentos!$A:$A,IB$19,Lançamentos!$C:$C,"ISS")</f>
        <v>0</v>
      </c>
      <c r="IC74" s="39">
        <f>SUMIFS(Lançamentos!$G:$G,Lançamentos!$A:$A,IC$19,Lançamentos!$C:$C,"ISS")</f>
        <v>0</v>
      </c>
      <c r="ID74" s="39">
        <f>SUMIFS(Lançamentos!$G:$G,Lançamentos!$A:$A,ID$19,Lançamentos!$C:$C,"ISS")</f>
        <v>0</v>
      </c>
      <c r="IE74" s="39">
        <f>SUMIFS(Lançamentos!$G:$G,Lançamentos!$A:$A,IE$19,Lançamentos!$C:$C,"ISS")</f>
        <v>0</v>
      </c>
      <c r="IF74" s="39">
        <f>SUMIFS(Lançamentos!$G:$G,Lançamentos!$A:$A,IF$19,Lançamentos!$C:$C,"ISS")</f>
        <v>0</v>
      </c>
      <c r="IG74" s="39">
        <f>SUMIFS(Lançamentos!$G:$G,Lançamentos!$A:$A,IG$19,Lançamentos!$C:$C,"ISS")</f>
        <v>0</v>
      </c>
      <c r="IH74" s="39">
        <f>SUMIFS(Lançamentos!$G:$G,Lançamentos!$A:$A,IH$19,Lançamentos!$C:$C,"ISS")</f>
        <v>0</v>
      </c>
      <c r="II74" s="39">
        <f>SUMIFS(Lançamentos!$G:$G,Lançamentos!$A:$A,II$19,Lançamentos!$C:$C,"ISS")</f>
        <v>0</v>
      </c>
      <c r="IJ74" s="39">
        <f>SUMIFS(Lançamentos!$G:$G,Lançamentos!$A:$A,IJ$19,Lançamentos!$C:$C,"ISS")</f>
        <v>0</v>
      </c>
      <c r="IK74" s="39">
        <f>SUMIFS(Lançamentos!$G:$G,Lançamentos!$A:$A,IK$19,Lançamentos!$C:$C,"ISS")</f>
        <v>0</v>
      </c>
      <c r="IL74" s="39">
        <f>SUMIFS(Lançamentos!$G:$G,Lançamentos!$A:$A,IL$19,Lançamentos!$C:$C,"ISS")</f>
        <v>0</v>
      </c>
    </row>
    <row r="75" spans="1:246" x14ac:dyDescent="0.3">
      <c r="A75" t="s">
        <v>120</v>
      </c>
      <c r="B75" s="39">
        <f>SUMIFS(Lançamentos!$G:$G,Lançamentos!$A:$A,B$19,Lançamentos!$C:$C,"ICMS")</f>
        <v>0</v>
      </c>
      <c r="C75" s="39">
        <f>SUMIFS(Lançamentos!$G:$G,Lançamentos!$A:$A,C$19,Lançamentos!$C:$C,"ICMS")</f>
        <v>0</v>
      </c>
      <c r="D75" s="39">
        <f>SUMIFS(Lançamentos!$G:$G,Lançamentos!$A:$A,D$19,Lançamentos!$C:$C,"ICMS")</f>
        <v>0</v>
      </c>
      <c r="E75" s="39">
        <f>SUMIFS(Lançamentos!$G:$G,Lançamentos!$A:$A,E$19,Lançamentos!$C:$C,"ICMS")</f>
        <v>0</v>
      </c>
      <c r="F75" s="39">
        <f>SUMIFS(Lançamentos!$G:$G,Lançamentos!$A:$A,F$19,Lançamentos!$C:$C,"ICMS")</f>
        <v>0</v>
      </c>
      <c r="G75" s="39">
        <f>SUMIFS(Lançamentos!$G:$G,Lançamentos!$A:$A,G$19,Lançamentos!$C:$C,"ICMS")</f>
        <v>0</v>
      </c>
      <c r="H75" s="39">
        <f>SUMIFS(Lançamentos!$G:$G,Lançamentos!$A:$A,H$19,Lançamentos!$C:$C,"ICMS")</f>
        <v>0</v>
      </c>
      <c r="I75" s="39">
        <f>SUMIFS(Lançamentos!$G:$G,Lançamentos!$A:$A,I$19,Lançamentos!$C:$C,"ICMS")</f>
        <v>0</v>
      </c>
      <c r="J75" s="39">
        <f>SUMIFS(Lançamentos!$G:$G,Lançamentos!$A:$A,J$19,Lançamentos!$C:$C,"ICMS")</f>
        <v>0</v>
      </c>
      <c r="K75" s="39">
        <f>SUMIFS(Lançamentos!$G:$G,Lançamentos!$A:$A,K$19,Lançamentos!$C:$C,"ICMS")</f>
        <v>0</v>
      </c>
      <c r="L75" s="39">
        <f>SUMIFS(Lançamentos!$G:$G,Lançamentos!$A:$A,L$19,Lançamentos!$C:$C,"ICMS")</f>
        <v>0</v>
      </c>
      <c r="M75" s="39">
        <f>SUMIFS(Lançamentos!$G:$G,Lançamentos!$A:$A,M$19,Lançamentos!$C:$C,"ICMS")</f>
        <v>0</v>
      </c>
      <c r="N75" s="39">
        <f>SUMIFS(Lançamentos!$G:$G,Lançamentos!$A:$A,N$19,Lançamentos!$C:$C,"ICMS")</f>
        <v>0</v>
      </c>
      <c r="O75" s="39">
        <f>SUMIFS(Lançamentos!$G:$G,Lançamentos!$A:$A,O$19,Lançamentos!$C:$C,"ICMS")</f>
        <v>0</v>
      </c>
      <c r="P75" s="39">
        <f>SUMIFS(Lançamentos!$G:$G,Lançamentos!$A:$A,P$19,Lançamentos!$C:$C,"ICMS")</f>
        <v>0</v>
      </c>
      <c r="Q75" s="39">
        <f>SUMIFS(Lançamentos!$G:$G,Lançamentos!$A:$A,Q$19,Lançamentos!$C:$C,"ICMS")</f>
        <v>0</v>
      </c>
      <c r="R75" s="39">
        <f>SUMIFS(Lançamentos!$G:$G,Lançamentos!$A:$A,R$19,Lançamentos!$C:$C,"ICMS")</f>
        <v>0</v>
      </c>
      <c r="S75" s="39">
        <f>SUMIFS(Lançamentos!$G:$G,Lançamentos!$A:$A,S$19,Lançamentos!$C:$C,"ICMS")</f>
        <v>0</v>
      </c>
      <c r="T75" s="39">
        <f>SUMIFS(Lançamentos!$G:$G,Lançamentos!$A:$A,T$19,Lançamentos!$C:$C,"ICMS")</f>
        <v>0</v>
      </c>
      <c r="U75" s="39">
        <f>SUMIFS(Lançamentos!$G:$G,Lançamentos!$A:$A,U$19,Lançamentos!$C:$C,"ICMS")</f>
        <v>0</v>
      </c>
      <c r="V75" s="39">
        <f>SUMIFS(Lançamentos!$G:$G,Lançamentos!$A:$A,V$19,Lançamentos!$C:$C,"ICMS")</f>
        <v>0</v>
      </c>
      <c r="W75" s="39">
        <f>SUMIFS(Lançamentos!$G:$G,Lançamentos!$A:$A,W$19,Lançamentos!$C:$C,"ICMS")</f>
        <v>0</v>
      </c>
      <c r="X75" s="39">
        <f>SUMIFS(Lançamentos!$G:$G,Lançamentos!$A:$A,X$19,Lançamentos!$C:$C,"ICMS")</f>
        <v>0</v>
      </c>
      <c r="Y75" s="39">
        <f>SUMIFS(Lançamentos!$G:$G,Lançamentos!$A:$A,Y$19,Lançamentos!$C:$C,"ICMS")</f>
        <v>0</v>
      </c>
      <c r="Z75" s="39">
        <f>SUMIFS(Lançamentos!$G:$G,Lançamentos!$A:$A,Z$19,Lançamentos!$C:$C,"ICMS")</f>
        <v>0</v>
      </c>
      <c r="AA75" s="39">
        <f>SUMIFS(Lançamentos!$G:$G,Lançamentos!$A:$A,AA$19,Lançamentos!$C:$C,"ICMS")</f>
        <v>0</v>
      </c>
      <c r="AB75" s="39">
        <f>SUMIFS(Lançamentos!$G:$G,Lançamentos!$A:$A,AB$19,Lançamentos!$C:$C,"ICMS")</f>
        <v>0</v>
      </c>
      <c r="AC75" s="39">
        <f>SUMIFS(Lançamentos!$G:$G,Lançamentos!$A:$A,AC$19,Lançamentos!$C:$C,"ICMS")</f>
        <v>0</v>
      </c>
      <c r="AD75" s="39">
        <f>SUMIFS(Lançamentos!$G:$G,Lançamentos!$A:$A,AD$19,Lançamentos!$C:$C,"ICMS")</f>
        <v>0</v>
      </c>
      <c r="AE75" s="39">
        <f>SUMIFS(Lançamentos!$G:$G,Lançamentos!$A:$A,AE$19,Lançamentos!$C:$C,"ICMS")</f>
        <v>0</v>
      </c>
      <c r="AF75" s="39">
        <f>SUMIFS(Lançamentos!$G:$G,Lançamentos!$A:$A,AF$19,Lançamentos!$C:$C,"ICMS")</f>
        <v>0</v>
      </c>
      <c r="AG75" s="39">
        <f>SUMIFS(Lançamentos!$G:$G,Lançamentos!$A:$A,AG$19,Lançamentos!$C:$C,"ICMS")</f>
        <v>0</v>
      </c>
      <c r="AH75" s="39">
        <f>SUMIFS(Lançamentos!$G:$G,Lançamentos!$A:$A,AH$19,Lançamentos!$C:$C,"ICMS")</f>
        <v>0</v>
      </c>
      <c r="AI75" s="39">
        <f>SUMIFS(Lançamentos!$G:$G,Lançamentos!$A:$A,AI$19,Lançamentos!$C:$C,"ICMS")</f>
        <v>0</v>
      </c>
      <c r="AJ75" s="39">
        <f>SUMIFS(Lançamentos!$G:$G,Lançamentos!$A:$A,AJ$19,Lançamentos!$C:$C,"ICMS")</f>
        <v>0</v>
      </c>
      <c r="AK75" s="39">
        <f>SUMIFS(Lançamentos!$G:$G,Lançamentos!$A:$A,AK$19,Lançamentos!$C:$C,"ICMS")</f>
        <v>0</v>
      </c>
      <c r="AL75" s="39">
        <f>SUMIFS(Lançamentos!$G:$G,Lançamentos!$A:$A,AL$19,Lançamentos!$C:$C,"ICMS")</f>
        <v>0</v>
      </c>
      <c r="AM75" s="39">
        <f>SUMIFS(Lançamentos!$G:$G,Lançamentos!$A:$A,AM$19,Lançamentos!$C:$C,"ICMS")</f>
        <v>0</v>
      </c>
      <c r="AN75" s="39">
        <f>SUMIFS(Lançamentos!$G:$G,Lançamentos!$A:$A,AN$19,Lançamentos!$C:$C,"ICMS")</f>
        <v>0</v>
      </c>
      <c r="AO75" s="39">
        <f>SUMIFS(Lançamentos!$G:$G,Lançamentos!$A:$A,AO$19,Lançamentos!$C:$C,"ICMS")</f>
        <v>0</v>
      </c>
      <c r="AP75" s="39">
        <f>SUMIFS(Lançamentos!$G:$G,Lançamentos!$A:$A,AP$19,Lançamentos!$C:$C,"ICMS")</f>
        <v>0</v>
      </c>
      <c r="AQ75" s="39">
        <f>SUMIFS(Lançamentos!$G:$G,Lançamentos!$A:$A,AQ$19,Lançamentos!$C:$C,"ICMS")</f>
        <v>0</v>
      </c>
      <c r="AR75" s="39">
        <f>SUMIFS(Lançamentos!$G:$G,Lançamentos!$A:$A,AR$19,Lançamentos!$C:$C,"ICMS")</f>
        <v>0</v>
      </c>
      <c r="AS75" s="39">
        <f>SUMIFS(Lançamentos!$G:$G,Lançamentos!$A:$A,AS$19,Lançamentos!$C:$C,"ICMS")</f>
        <v>0</v>
      </c>
      <c r="AT75" s="39">
        <f>SUMIFS(Lançamentos!$G:$G,Lançamentos!$A:$A,AT$19,Lançamentos!$C:$C,"ICMS")</f>
        <v>0</v>
      </c>
      <c r="AU75" s="39">
        <f>SUMIFS(Lançamentos!$G:$G,Lançamentos!$A:$A,AU$19,Lançamentos!$C:$C,"ICMS")</f>
        <v>0</v>
      </c>
      <c r="AV75" s="39">
        <f>SUMIFS(Lançamentos!$G:$G,Lançamentos!$A:$A,AV$19,Lançamentos!$C:$C,"ICMS")</f>
        <v>0</v>
      </c>
      <c r="AW75" s="39">
        <f>SUMIFS(Lançamentos!$G:$G,Lançamentos!$A:$A,AW$19,Lançamentos!$C:$C,"ICMS")</f>
        <v>0</v>
      </c>
      <c r="AX75" s="39">
        <f>SUMIFS(Lançamentos!$G:$G,Lançamentos!$A:$A,AX$19,Lançamentos!$C:$C,"ICMS")</f>
        <v>0</v>
      </c>
      <c r="AY75" s="39">
        <f>SUMIFS(Lançamentos!$G:$G,Lançamentos!$A:$A,AY$19,Lançamentos!$C:$C,"ICMS")</f>
        <v>0</v>
      </c>
      <c r="AZ75" s="39">
        <f>SUMIFS(Lançamentos!$G:$G,Lançamentos!$A:$A,AZ$19,Lançamentos!$C:$C,"ICMS")</f>
        <v>0</v>
      </c>
      <c r="BA75" s="39">
        <f>SUMIFS(Lançamentos!$G:$G,Lançamentos!$A:$A,BA$19,Lançamentos!$C:$C,"ICMS")</f>
        <v>0</v>
      </c>
      <c r="BB75" s="39">
        <f>SUMIFS(Lançamentos!$G:$G,Lançamentos!$A:$A,BB$19,Lançamentos!$C:$C,"ICMS")</f>
        <v>0</v>
      </c>
      <c r="BC75" s="39">
        <f>SUMIFS(Lançamentos!$G:$G,Lançamentos!$A:$A,BC$19,Lançamentos!$C:$C,"ICMS")</f>
        <v>0</v>
      </c>
      <c r="BD75" s="39">
        <f>SUMIFS(Lançamentos!$G:$G,Lançamentos!$A:$A,BD$19,Lançamentos!$C:$C,"ICMS")</f>
        <v>0</v>
      </c>
      <c r="BE75" s="39">
        <f>SUMIFS(Lançamentos!$G:$G,Lançamentos!$A:$A,BE$19,Lançamentos!$C:$C,"ICMS")</f>
        <v>0</v>
      </c>
      <c r="BF75" s="39">
        <f>SUMIFS(Lançamentos!$G:$G,Lançamentos!$A:$A,BF$19,Lançamentos!$C:$C,"ICMS")</f>
        <v>0</v>
      </c>
      <c r="BG75" s="39">
        <f>SUMIFS(Lançamentos!$G:$G,Lançamentos!$A:$A,BG$19,Lançamentos!$C:$C,"ICMS")</f>
        <v>0</v>
      </c>
      <c r="BH75" s="39">
        <f>SUMIFS(Lançamentos!$G:$G,Lançamentos!$A:$A,BH$19,Lançamentos!$C:$C,"ICMS")</f>
        <v>0</v>
      </c>
      <c r="BI75" s="39">
        <f>SUMIFS(Lançamentos!$G:$G,Lançamentos!$A:$A,BI$19,Lançamentos!$C:$C,"ICMS")</f>
        <v>0</v>
      </c>
      <c r="BJ75" s="39">
        <f>SUMIFS(Lançamentos!$G:$G,Lançamentos!$A:$A,BJ$19,Lançamentos!$C:$C,"ICMS")</f>
        <v>0</v>
      </c>
      <c r="BK75" s="39">
        <f>SUMIFS(Lançamentos!$G:$G,Lançamentos!$A:$A,BK$19,Lançamentos!$C:$C,"ICMS")</f>
        <v>0</v>
      </c>
      <c r="BL75" s="39">
        <f>SUMIFS(Lançamentos!$G:$G,Lançamentos!$A:$A,BL$19,Lançamentos!$C:$C,"ICMS")</f>
        <v>0</v>
      </c>
      <c r="BM75" s="39">
        <f>SUMIFS(Lançamentos!$G:$G,Lançamentos!$A:$A,BM$19,Lançamentos!$C:$C,"ICMS")</f>
        <v>0</v>
      </c>
      <c r="BN75" s="39">
        <f>SUMIFS(Lançamentos!$G:$G,Lançamentos!$A:$A,BN$19,Lançamentos!$C:$C,"ICMS")</f>
        <v>0</v>
      </c>
      <c r="BO75" s="39">
        <f>SUMIFS(Lançamentos!$G:$G,Lançamentos!$A:$A,BO$19,Lançamentos!$C:$C,"ICMS")</f>
        <v>0</v>
      </c>
      <c r="BP75" s="39">
        <f>SUMIFS(Lançamentos!$G:$G,Lançamentos!$A:$A,BP$19,Lançamentos!$C:$C,"ICMS")</f>
        <v>0</v>
      </c>
      <c r="BQ75" s="39">
        <f>SUMIFS(Lançamentos!$G:$G,Lançamentos!$A:$A,BQ$19,Lançamentos!$C:$C,"ICMS")</f>
        <v>0</v>
      </c>
      <c r="BR75" s="39">
        <f>SUMIFS(Lançamentos!$G:$G,Lançamentos!$A:$A,BR$19,Lançamentos!$C:$C,"ICMS")</f>
        <v>0</v>
      </c>
      <c r="BS75" s="39">
        <f>SUMIFS(Lançamentos!$G:$G,Lançamentos!$A:$A,BS$19,Lançamentos!$C:$C,"ICMS")</f>
        <v>0</v>
      </c>
      <c r="BT75" s="39">
        <f>SUMIFS(Lançamentos!$G:$G,Lançamentos!$A:$A,BT$19,Lançamentos!$C:$C,"ICMS")</f>
        <v>0</v>
      </c>
      <c r="BU75" s="39">
        <f>SUMIFS(Lançamentos!$G:$G,Lançamentos!$A:$A,BU$19,Lançamentos!$C:$C,"ICMS")</f>
        <v>0</v>
      </c>
      <c r="BV75" s="39">
        <f>SUMIFS(Lançamentos!$G:$G,Lançamentos!$A:$A,BV$19,Lançamentos!$C:$C,"ICMS")</f>
        <v>0</v>
      </c>
      <c r="BW75" s="39">
        <f>SUMIFS(Lançamentos!$G:$G,Lançamentos!$A:$A,BW$19,Lançamentos!$C:$C,"ICMS")</f>
        <v>0</v>
      </c>
      <c r="BX75" s="39">
        <f>SUMIFS(Lançamentos!$G:$G,Lançamentos!$A:$A,BX$19,Lançamentos!$C:$C,"ICMS")</f>
        <v>0</v>
      </c>
      <c r="BY75" s="39">
        <f>SUMIFS(Lançamentos!$G:$G,Lançamentos!$A:$A,BY$19,Lançamentos!$C:$C,"ICMS")</f>
        <v>0</v>
      </c>
      <c r="BZ75" s="39">
        <f>SUMIFS(Lançamentos!$G:$G,Lançamentos!$A:$A,BZ$19,Lançamentos!$C:$C,"ICMS")</f>
        <v>0</v>
      </c>
      <c r="CA75" s="39">
        <f>SUMIFS(Lançamentos!$G:$G,Lançamentos!$A:$A,CA$19,Lançamentos!$C:$C,"ICMS")</f>
        <v>0</v>
      </c>
      <c r="CB75" s="39">
        <f>SUMIFS(Lançamentos!$G:$G,Lançamentos!$A:$A,CB$19,Lançamentos!$C:$C,"ICMS")</f>
        <v>0</v>
      </c>
      <c r="CC75" s="39">
        <f>SUMIFS(Lançamentos!$G:$G,Lançamentos!$A:$A,CC$19,Lançamentos!$C:$C,"ICMS")</f>
        <v>0</v>
      </c>
      <c r="CD75" s="39">
        <f>SUMIFS(Lançamentos!$G:$G,Lançamentos!$A:$A,CD$19,Lançamentos!$C:$C,"ICMS")</f>
        <v>0</v>
      </c>
      <c r="CE75" s="39">
        <f>SUMIFS(Lançamentos!$G:$G,Lançamentos!$A:$A,CE$19,Lançamentos!$C:$C,"ICMS")</f>
        <v>0</v>
      </c>
      <c r="CF75" s="39">
        <f>SUMIFS(Lançamentos!$G:$G,Lançamentos!$A:$A,CF$19,Lançamentos!$C:$C,"ICMS")</f>
        <v>0</v>
      </c>
      <c r="CG75" s="39">
        <f>SUMIFS(Lançamentos!$G:$G,Lançamentos!$A:$A,CG$19,Lançamentos!$C:$C,"ICMS")</f>
        <v>0</v>
      </c>
      <c r="CH75" s="39">
        <f>SUMIFS(Lançamentos!$G:$G,Lançamentos!$A:$A,CH$19,Lançamentos!$C:$C,"ICMS")</f>
        <v>0</v>
      </c>
      <c r="CI75" s="39">
        <f>SUMIFS(Lançamentos!$G:$G,Lançamentos!$A:$A,CI$19,Lançamentos!$C:$C,"ICMS")</f>
        <v>0</v>
      </c>
      <c r="CJ75" s="39">
        <f>SUMIFS(Lançamentos!$G:$G,Lançamentos!$A:$A,CJ$19,Lançamentos!$C:$C,"ICMS")</f>
        <v>0</v>
      </c>
      <c r="CK75" s="39">
        <f>SUMIFS(Lançamentos!$G:$G,Lançamentos!$A:$A,CK$19,Lançamentos!$C:$C,"ICMS")</f>
        <v>0</v>
      </c>
      <c r="CL75" s="39">
        <f>SUMIFS(Lançamentos!$G:$G,Lançamentos!$A:$A,CL$19,Lançamentos!$C:$C,"ICMS")</f>
        <v>0</v>
      </c>
      <c r="CM75" s="39">
        <f>SUMIFS(Lançamentos!$G:$G,Lançamentos!$A:$A,CM$19,Lançamentos!$C:$C,"ICMS")</f>
        <v>0</v>
      </c>
      <c r="CN75" s="39">
        <f>SUMIFS(Lançamentos!$G:$G,Lançamentos!$A:$A,CN$19,Lançamentos!$C:$C,"ICMS")</f>
        <v>0</v>
      </c>
      <c r="CO75" s="39">
        <f>SUMIFS(Lançamentos!$G:$G,Lançamentos!$A:$A,CO$19,Lançamentos!$C:$C,"ICMS")</f>
        <v>0</v>
      </c>
      <c r="CP75" s="39">
        <f>SUMIFS(Lançamentos!$G:$G,Lançamentos!$A:$A,CP$19,Lançamentos!$C:$C,"ICMS")</f>
        <v>0</v>
      </c>
      <c r="CQ75" s="39">
        <f>SUMIFS(Lançamentos!$G:$G,Lançamentos!$A:$A,CQ$19,Lançamentos!$C:$C,"ICMS")</f>
        <v>0</v>
      </c>
      <c r="CR75" s="39">
        <f>SUMIFS(Lançamentos!$G:$G,Lançamentos!$A:$A,CR$19,Lançamentos!$C:$C,"ICMS")</f>
        <v>0</v>
      </c>
      <c r="CS75" s="39">
        <f>SUMIFS(Lançamentos!$G:$G,Lançamentos!$A:$A,CS$19,Lançamentos!$C:$C,"ICMS")</f>
        <v>0</v>
      </c>
      <c r="CT75" s="39">
        <f>SUMIFS(Lançamentos!$G:$G,Lançamentos!$A:$A,CT$19,Lançamentos!$C:$C,"ICMS")</f>
        <v>0</v>
      </c>
      <c r="CU75" s="39">
        <f>SUMIFS(Lançamentos!$G:$G,Lançamentos!$A:$A,CU$19,Lançamentos!$C:$C,"ICMS")</f>
        <v>0</v>
      </c>
      <c r="CV75" s="39">
        <f>SUMIFS(Lançamentos!$G:$G,Lançamentos!$A:$A,CV$19,Lançamentos!$C:$C,"ICMS")</f>
        <v>0</v>
      </c>
      <c r="CW75" s="39">
        <f>SUMIFS(Lançamentos!$G:$G,Lançamentos!$A:$A,CW$19,Lançamentos!$C:$C,"ICMS")</f>
        <v>0</v>
      </c>
      <c r="CX75" s="39">
        <f>SUMIFS(Lançamentos!$G:$G,Lançamentos!$A:$A,CX$19,Lançamentos!$C:$C,"ICMS")</f>
        <v>0</v>
      </c>
      <c r="CY75" s="39">
        <f>SUMIFS(Lançamentos!$G:$G,Lançamentos!$A:$A,CY$19,Lançamentos!$C:$C,"ICMS")</f>
        <v>0</v>
      </c>
      <c r="CZ75" s="39">
        <f>SUMIFS(Lançamentos!$G:$G,Lançamentos!$A:$A,CZ$19,Lançamentos!$C:$C,"ICMS")</f>
        <v>0</v>
      </c>
      <c r="DA75" s="39">
        <f>SUMIFS(Lançamentos!$G:$G,Lançamentos!$A:$A,DA$19,Lançamentos!$C:$C,"ICMS")</f>
        <v>0</v>
      </c>
      <c r="DB75" s="39">
        <f>SUMIFS(Lançamentos!$G:$G,Lançamentos!$A:$A,DB$19,Lançamentos!$C:$C,"ICMS")</f>
        <v>0</v>
      </c>
      <c r="DC75" s="39">
        <f>SUMIFS(Lançamentos!$G:$G,Lançamentos!$A:$A,DC$19,Lançamentos!$C:$C,"ICMS")</f>
        <v>0</v>
      </c>
      <c r="DD75" s="39">
        <f>SUMIFS(Lançamentos!$G:$G,Lançamentos!$A:$A,DD$19,Lançamentos!$C:$C,"ICMS")</f>
        <v>0</v>
      </c>
      <c r="DE75" s="39">
        <f>SUMIFS(Lançamentos!$G:$G,Lançamentos!$A:$A,DE$19,Lançamentos!$C:$C,"ICMS")</f>
        <v>0</v>
      </c>
      <c r="DF75" s="39">
        <f>SUMIFS(Lançamentos!$G:$G,Lançamentos!$A:$A,DF$19,Lançamentos!$C:$C,"ICMS")</f>
        <v>0</v>
      </c>
      <c r="DG75" s="39">
        <f>SUMIFS(Lançamentos!$G:$G,Lançamentos!$A:$A,DG$19,Lançamentos!$C:$C,"ICMS")</f>
        <v>0</v>
      </c>
      <c r="DH75" s="39">
        <f>SUMIFS(Lançamentos!$G:$G,Lançamentos!$A:$A,DH$19,Lançamentos!$C:$C,"ICMS")</f>
        <v>0</v>
      </c>
      <c r="DI75" s="39">
        <f>SUMIFS(Lançamentos!$G:$G,Lançamentos!$A:$A,DI$19,Lançamentos!$C:$C,"ICMS")</f>
        <v>0</v>
      </c>
      <c r="DJ75" s="39">
        <f>SUMIFS(Lançamentos!$G:$G,Lançamentos!$A:$A,DJ$19,Lançamentos!$C:$C,"ICMS")</f>
        <v>0</v>
      </c>
      <c r="DK75" s="39">
        <f>SUMIFS(Lançamentos!$G:$G,Lançamentos!$A:$A,DK$19,Lançamentos!$C:$C,"ICMS")</f>
        <v>0</v>
      </c>
      <c r="DL75" s="39">
        <f>SUMIFS(Lançamentos!$G:$G,Lançamentos!$A:$A,DL$19,Lançamentos!$C:$C,"ICMS")</f>
        <v>0</v>
      </c>
      <c r="DM75" s="39">
        <f>SUMIFS(Lançamentos!$G:$G,Lançamentos!$A:$A,DM$19,Lançamentos!$C:$C,"ICMS")</f>
        <v>0</v>
      </c>
      <c r="DN75" s="39">
        <f>SUMIFS(Lançamentos!$G:$G,Lançamentos!$A:$A,DN$19,Lançamentos!$C:$C,"ICMS")</f>
        <v>0</v>
      </c>
      <c r="DO75" s="39">
        <f>SUMIFS(Lançamentos!$G:$G,Lançamentos!$A:$A,DO$19,Lançamentos!$C:$C,"ICMS")</f>
        <v>0</v>
      </c>
      <c r="DP75" s="39">
        <f>SUMIFS(Lançamentos!$G:$G,Lançamentos!$A:$A,DP$19,Lançamentos!$C:$C,"ICMS")</f>
        <v>0</v>
      </c>
      <c r="DQ75" s="39">
        <f>SUMIFS(Lançamentos!$G:$G,Lançamentos!$A:$A,DQ$19,Lançamentos!$C:$C,"ICMS")</f>
        <v>0</v>
      </c>
      <c r="DR75" s="39">
        <f>SUMIFS(Lançamentos!$G:$G,Lançamentos!$A:$A,DR$19,Lançamentos!$C:$C,"ICMS")</f>
        <v>0</v>
      </c>
      <c r="DS75" s="39">
        <f>SUMIFS(Lançamentos!$G:$G,Lançamentos!$A:$A,DS$19,Lançamentos!$C:$C,"ICMS")</f>
        <v>0</v>
      </c>
      <c r="DT75" s="39">
        <f>SUMIFS(Lançamentos!$G:$G,Lançamentos!$A:$A,DT$19,Lançamentos!$C:$C,"ICMS")</f>
        <v>0</v>
      </c>
      <c r="DU75" s="39">
        <f>SUMIFS(Lançamentos!$G:$G,Lançamentos!$A:$A,DU$19,Lançamentos!$C:$C,"ICMS")</f>
        <v>0</v>
      </c>
      <c r="DV75" s="39">
        <f>SUMIFS(Lançamentos!$G:$G,Lançamentos!$A:$A,DV$19,Lançamentos!$C:$C,"ICMS")</f>
        <v>0</v>
      </c>
      <c r="DW75" s="39">
        <f>SUMIFS(Lançamentos!$G:$G,Lançamentos!$A:$A,DW$19,Lançamentos!$C:$C,"ICMS")</f>
        <v>0</v>
      </c>
      <c r="DX75" s="39">
        <f>SUMIFS(Lançamentos!$G:$G,Lançamentos!$A:$A,DX$19,Lançamentos!$C:$C,"ICMS")</f>
        <v>0</v>
      </c>
      <c r="DY75" s="39">
        <f>SUMIFS(Lançamentos!$G:$G,Lançamentos!$A:$A,DY$19,Lançamentos!$C:$C,"ICMS")</f>
        <v>0</v>
      </c>
      <c r="DZ75" s="39">
        <f>SUMIFS(Lançamentos!$G:$G,Lançamentos!$A:$A,DZ$19,Lançamentos!$C:$C,"ICMS")</f>
        <v>0</v>
      </c>
      <c r="EA75" s="39">
        <f>SUMIFS(Lançamentos!$G:$G,Lançamentos!$A:$A,EA$19,Lançamentos!$C:$C,"ICMS")</f>
        <v>0</v>
      </c>
      <c r="EB75" s="39">
        <f>SUMIFS(Lançamentos!$G:$G,Lançamentos!$A:$A,EB$19,Lançamentos!$C:$C,"ICMS")</f>
        <v>0</v>
      </c>
      <c r="EC75" s="39">
        <f>SUMIFS(Lançamentos!$G:$G,Lançamentos!$A:$A,EC$19,Lançamentos!$C:$C,"ICMS")</f>
        <v>0</v>
      </c>
      <c r="ED75" s="39">
        <f>SUMIFS(Lançamentos!$G:$G,Lançamentos!$A:$A,ED$19,Lançamentos!$C:$C,"ICMS")</f>
        <v>0</v>
      </c>
      <c r="EE75" s="39">
        <f>SUMIFS(Lançamentos!$G:$G,Lançamentos!$A:$A,EE$19,Lançamentos!$C:$C,"ICMS")</f>
        <v>0</v>
      </c>
      <c r="EF75" s="39">
        <f>SUMIFS(Lançamentos!$G:$G,Lançamentos!$A:$A,EF$19,Lançamentos!$C:$C,"ICMS")</f>
        <v>0</v>
      </c>
      <c r="EG75" s="39">
        <f>SUMIFS(Lançamentos!$G:$G,Lançamentos!$A:$A,EG$19,Lançamentos!$C:$C,"ICMS")</f>
        <v>0</v>
      </c>
      <c r="EH75" s="39">
        <f>SUMIFS(Lançamentos!$G:$G,Lançamentos!$A:$A,EH$19,Lançamentos!$C:$C,"ICMS")</f>
        <v>0</v>
      </c>
      <c r="EI75" s="39">
        <f>SUMIFS(Lançamentos!$G:$G,Lançamentos!$A:$A,EI$19,Lançamentos!$C:$C,"ICMS")</f>
        <v>0</v>
      </c>
      <c r="EJ75" s="39">
        <f>SUMIFS(Lançamentos!$G:$G,Lançamentos!$A:$A,EJ$19,Lançamentos!$C:$C,"ICMS")</f>
        <v>0</v>
      </c>
      <c r="EK75" s="39">
        <f>SUMIFS(Lançamentos!$G:$G,Lançamentos!$A:$A,EK$19,Lançamentos!$C:$C,"ICMS")</f>
        <v>0</v>
      </c>
      <c r="EL75" s="39">
        <f>SUMIFS(Lançamentos!$G:$G,Lançamentos!$A:$A,EL$19,Lançamentos!$C:$C,"ICMS")</f>
        <v>0</v>
      </c>
      <c r="EM75" s="39">
        <f>SUMIFS(Lançamentos!$G:$G,Lançamentos!$A:$A,EM$19,Lançamentos!$C:$C,"ICMS")</f>
        <v>0</v>
      </c>
      <c r="EN75" s="39">
        <f>SUMIFS(Lançamentos!$G:$G,Lançamentos!$A:$A,EN$19,Lançamentos!$C:$C,"ICMS")</f>
        <v>0</v>
      </c>
      <c r="EO75" s="39">
        <f>SUMIFS(Lançamentos!$G:$G,Lançamentos!$A:$A,EO$19,Lançamentos!$C:$C,"ICMS")</f>
        <v>0</v>
      </c>
      <c r="EP75" s="39">
        <f>SUMIFS(Lançamentos!$G:$G,Lançamentos!$A:$A,EP$19,Lançamentos!$C:$C,"ICMS")</f>
        <v>0</v>
      </c>
      <c r="EQ75" s="39">
        <f>SUMIFS(Lançamentos!$G:$G,Lançamentos!$A:$A,EQ$19,Lançamentos!$C:$C,"ICMS")</f>
        <v>0</v>
      </c>
      <c r="ER75" s="39">
        <f>SUMIFS(Lançamentos!$G:$G,Lançamentos!$A:$A,ER$19,Lançamentos!$C:$C,"ICMS")</f>
        <v>0</v>
      </c>
      <c r="ES75" s="39">
        <f>SUMIFS(Lançamentos!$G:$G,Lançamentos!$A:$A,ES$19,Lançamentos!$C:$C,"ICMS")</f>
        <v>0</v>
      </c>
      <c r="ET75" s="39">
        <f>SUMIFS(Lançamentos!$G:$G,Lançamentos!$A:$A,ET$19,Lançamentos!$C:$C,"ICMS")</f>
        <v>0</v>
      </c>
      <c r="EU75" s="39">
        <f>SUMIFS(Lançamentos!$G:$G,Lançamentos!$A:$A,EU$19,Lançamentos!$C:$C,"ICMS")</f>
        <v>0</v>
      </c>
      <c r="EV75" s="39">
        <f>SUMIFS(Lançamentos!$G:$G,Lançamentos!$A:$A,EV$19,Lançamentos!$C:$C,"ICMS")</f>
        <v>0</v>
      </c>
      <c r="EW75" s="39">
        <f>SUMIFS(Lançamentos!$G:$G,Lançamentos!$A:$A,EW$19,Lançamentos!$C:$C,"ICMS")</f>
        <v>0</v>
      </c>
      <c r="EX75" s="39">
        <f>SUMIFS(Lançamentos!$G:$G,Lançamentos!$A:$A,EX$19,Lançamentos!$C:$C,"ICMS")</f>
        <v>0</v>
      </c>
      <c r="EY75" s="39">
        <f>SUMIFS(Lançamentos!$G:$G,Lançamentos!$A:$A,EY$19,Lançamentos!$C:$C,"ICMS")</f>
        <v>0</v>
      </c>
      <c r="EZ75" s="39">
        <f>SUMIFS(Lançamentos!$G:$G,Lançamentos!$A:$A,EZ$19,Lançamentos!$C:$C,"ICMS")</f>
        <v>0</v>
      </c>
      <c r="FA75" s="39">
        <f>SUMIFS(Lançamentos!$G:$G,Lançamentos!$A:$A,FA$19,Lançamentos!$C:$C,"ICMS")</f>
        <v>0</v>
      </c>
      <c r="FB75" s="39">
        <f>SUMIFS(Lançamentos!$G:$G,Lançamentos!$A:$A,FB$19,Lançamentos!$C:$C,"ICMS")</f>
        <v>0</v>
      </c>
      <c r="FC75" s="39">
        <f>SUMIFS(Lançamentos!$G:$G,Lançamentos!$A:$A,FC$19,Lançamentos!$C:$C,"ICMS")</f>
        <v>0</v>
      </c>
      <c r="FD75" s="39">
        <f>SUMIFS(Lançamentos!$G:$G,Lançamentos!$A:$A,FD$19,Lançamentos!$C:$C,"ICMS")</f>
        <v>0</v>
      </c>
      <c r="FE75" s="39">
        <f>SUMIFS(Lançamentos!$G:$G,Lançamentos!$A:$A,FE$19,Lançamentos!$C:$C,"ICMS")</f>
        <v>0</v>
      </c>
      <c r="FF75" s="39">
        <f>SUMIFS(Lançamentos!$G:$G,Lançamentos!$A:$A,FF$19,Lançamentos!$C:$C,"ICMS")</f>
        <v>0</v>
      </c>
      <c r="FG75" s="39">
        <f>SUMIFS(Lançamentos!$G:$G,Lançamentos!$A:$A,FG$19,Lançamentos!$C:$C,"ICMS")</f>
        <v>0</v>
      </c>
      <c r="FH75" s="39">
        <f>SUMIFS(Lançamentos!$G:$G,Lançamentos!$A:$A,FH$19,Lançamentos!$C:$C,"ICMS")</f>
        <v>0</v>
      </c>
      <c r="FI75" s="39">
        <f>SUMIFS(Lançamentos!$G:$G,Lançamentos!$A:$A,FI$19,Lançamentos!$C:$C,"ICMS")</f>
        <v>0</v>
      </c>
      <c r="FJ75" s="39">
        <f>SUMIFS(Lançamentos!$G:$G,Lançamentos!$A:$A,FJ$19,Lançamentos!$C:$C,"ICMS")</f>
        <v>0</v>
      </c>
      <c r="FK75" s="39">
        <f>SUMIFS(Lançamentos!$G:$G,Lançamentos!$A:$A,FK$19,Lançamentos!$C:$C,"ICMS")</f>
        <v>0</v>
      </c>
      <c r="FL75" s="39">
        <f>SUMIFS(Lançamentos!$G:$G,Lançamentos!$A:$A,FL$19,Lançamentos!$C:$C,"ICMS")</f>
        <v>0</v>
      </c>
      <c r="FM75" s="39">
        <f>SUMIFS(Lançamentos!$G:$G,Lançamentos!$A:$A,FM$19,Lançamentos!$C:$C,"ICMS")</f>
        <v>0</v>
      </c>
      <c r="FN75" s="39">
        <f>SUMIFS(Lançamentos!$G:$G,Lançamentos!$A:$A,FN$19,Lançamentos!$C:$C,"ICMS")</f>
        <v>0</v>
      </c>
      <c r="FO75" s="39">
        <f>SUMIFS(Lançamentos!$G:$G,Lançamentos!$A:$A,FO$19,Lançamentos!$C:$C,"ICMS")</f>
        <v>0</v>
      </c>
      <c r="FP75" s="39">
        <f>SUMIFS(Lançamentos!$G:$G,Lançamentos!$A:$A,FP$19,Lançamentos!$C:$C,"ICMS")</f>
        <v>0</v>
      </c>
      <c r="FQ75" s="39">
        <f>SUMIFS(Lançamentos!$G:$G,Lançamentos!$A:$A,FQ$19,Lançamentos!$C:$C,"ICMS")</f>
        <v>0</v>
      </c>
      <c r="FR75" s="39">
        <f>SUMIFS(Lançamentos!$G:$G,Lançamentos!$A:$A,FR$19,Lançamentos!$C:$C,"ICMS")</f>
        <v>0</v>
      </c>
      <c r="FS75" s="39">
        <f>SUMIFS(Lançamentos!$G:$G,Lançamentos!$A:$A,FS$19,Lançamentos!$C:$C,"ICMS")</f>
        <v>0</v>
      </c>
      <c r="FT75" s="39">
        <f>SUMIFS(Lançamentos!$G:$G,Lançamentos!$A:$A,FT$19,Lançamentos!$C:$C,"ICMS")</f>
        <v>0</v>
      </c>
      <c r="FU75" s="39">
        <f>SUMIFS(Lançamentos!$G:$G,Lançamentos!$A:$A,FU$19,Lançamentos!$C:$C,"ICMS")</f>
        <v>0</v>
      </c>
      <c r="FV75" s="39">
        <f>SUMIFS(Lançamentos!$G:$G,Lançamentos!$A:$A,FV$19,Lançamentos!$C:$C,"ICMS")</f>
        <v>0</v>
      </c>
      <c r="FW75" s="39">
        <f>SUMIFS(Lançamentos!$G:$G,Lançamentos!$A:$A,FW$19,Lançamentos!$C:$C,"ICMS")</f>
        <v>0</v>
      </c>
      <c r="FX75" s="39">
        <f>SUMIFS(Lançamentos!$G:$G,Lançamentos!$A:$A,FX$19,Lançamentos!$C:$C,"ICMS")</f>
        <v>0</v>
      </c>
      <c r="FY75" s="39">
        <f>SUMIFS(Lançamentos!$G:$G,Lançamentos!$A:$A,FY$19,Lançamentos!$C:$C,"ICMS")</f>
        <v>0</v>
      </c>
      <c r="FZ75" s="39">
        <f>SUMIFS(Lançamentos!$G:$G,Lançamentos!$A:$A,FZ$19,Lançamentos!$C:$C,"ICMS")</f>
        <v>0</v>
      </c>
      <c r="GA75" s="39">
        <f>SUMIFS(Lançamentos!$G:$G,Lançamentos!$A:$A,GA$19,Lançamentos!$C:$C,"ICMS")</f>
        <v>0</v>
      </c>
      <c r="GB75" s="39">
        <f>SUMIFS(Lançamentos!$G:$G,Lançamentos!$A:$A,GB$19,Lançamentos!$C:$C,"ICMS")</f>
        <v>0</v>
      </c>
      <c r="GC75" s="39">
        <f>SUMIFS(Lançamentos!$G:$G,Lançamentos!$A:$A,GC$19,Lançamentos!$C:$C,"ICMS")</f>
        <v>0</v>
      </c>
      <c r="GD75" s="39">
        <f>SUMIFS(Lançamentos!$G:$G,Lançamentos!$A:$A,GD$19,Lançamentos!$C:$C,"ICMS")</f>
        <v>0</v>
      </c>
      <c r="GE75" s="39">
        <f>SUMIFS(Lançamentos!$G:$G,Lançamentos!$A:$A,GE$19,Lançamentos!$C:$C,"ICMS")</f>
        <v>0</v>
      </c>
      <c r="GF75" s="39">
        <f>SUMIFS(Lançamentos!$G:$G,Lançamentos!$A:$A,GF$19,Lançamentos!$C:$C,"ICMS")</f>
        <v>0</v>
      </c>
      <c r="GG75" s="39">
        <f>SUMIFS(Lançamentos!$G:$G,Lançamentos!$A:$A,GG$19,Lançamentos!$C:$C,"ICMS")</f>
        <v>0</v>
      </c>
      <c r="GH75" s="39">
        <f>SUMIFS(Lançamentos!$G:$G,Lançamentos!$A:$A,GH$19,Lançamentos!$C:$C,"ICMS")</f>
        <v>0</v>
      </c>
      <c r="GI75" s="39">
        <f>SUMIFS(Lançamentos!$G:$G,Lançamentos!$A:$A,GI$19,Lançamentos!$C:$C,"ICMS")</f>
        <v>0</v>
      </c>
      <c r="GJ75" s="39">
        <f>SUMIFS(Lançamentos!$G:$G,Lançamentos!$A:$A,GJ$19,Lançamentos!$C:$C,"ICMS")</f>
        <v>0</v>
      </c>
      <c r="GK75" s="39">
        <f>SUMIFS(Lançamentos!$G:$G,Lançamentos!$A:$A,GK$19,Lançamentos!$C:$C,"ICMS")</f>
        <v>0</v>
      </c>
      <c r="GL75" s="39">
        <f>SUMIFS(Lançamentos!$G:$G,Lançamentos!$A:$A,GL$19,Lançamentos!$C:$C,"ICMS")</f>
        <v>0</v>
      </c>
      <c r="GM75" s="39">
        <f>SUMIFS(Lançamentos!$G:$G,Lançamentos!$A:$A,GM$19,Lançamentos!$C:$C,"ICMS")</f>
        <v>0</v>
      </c>
      <c r="GN75" s="39">
        <f>SUMIFS(Lançamentos!$G:$G,Lançamentos!$A:$A,GN$19,Lançamentos!$C:$C,"ICMS")</f>
        <v>0</v>
      </c>
      <c r="GO75" s="39">
        <f>SUMIFS(Lançamentos!$G:$G,Lançamentos!$A:$A,GO$19,Lançamentos!$C:$C,"ICMS")</f>
        <v>0</v>
      </c>
      <c r="GP75" s="39">
        <f>SUMIFS(Lançamentos!$G:$G,Lançamentos!$A:$A,GP$19,Lançamentos!$C:$C,"ICMS")</f>
        <v>0</v>
      </c>
      <c r="GQ75" s="39">
        <f>SUMIFS(Lançamentos!$G:$G,Lançamentos!$A:$A,GQ$19,Lançamentos!$C:$C,"ICMS")</f>
        <v>0</v>
      </c>
      <c r="GR75" s="39">
        <f>SUMIFS(Lançamentos!$G:$G,Lançamentos!$A:$A,GR$19,Lançamentos!$C:$C,"ICMS")</f>
        <v>0</v>
      </c>
      <c r="GS75" s="39">
        <f>SUMIFS(Lançamentos!$G:$G,Lançamentos!$A:$A,GS$19,Lançamentos!$C:$C,"ICMS")</f>
        <v>0</v>
      </c>
      <c r="GT75" s="39">
        <f>SUMIFS(Lançamentos!$G:$G,Lançamentos!$A:$A,GT$19,Lançamentos!$C:$C,"ICMS")</f>
        <v>0</v>
      </c>
      <c r="GU75" s="39">
        <f>SUMIFS(Lançamentos!$G:$G,Lançamentos!$A:$A,GU$19,Lançamentos!$C:$C,"ICMS")</f>
        <v>0</v>
      </c>
      <c r="GV75" s="39">
        <f>SUMIFS(Lançamentos!$G:$G,Lançamentos!$A:$A,GV$19,Lançamentos!$C:$C,"ICMS")</f>
        <v>0</v>
      </c>
      <c r="GW75" s="39">
        <f>SUMIFS(Lançamentos!$G:$G,Lançamentos!$A:$A,GW$19,Lançamentos!$C:$C,"ICMS")</f>
        <v>0</v>
      </c>
      <c r="GX75" s="39">
        <f>SUMIFS(Lançamentos!$G:$G,Lançamentos!$A:$A,GX$19,Lançamentos!$C:$C,"ICMS")</f>
        <v>0</v>
      </c>
      <c r="GY75" s="39">
        <f>SUMIFS(Lançamentos!$G:$G,Lançamentos!$A:$A,GY$19,Lançamentos!$C:$C,"ICMS")</f>
        <v>0</v>
      </c>
      <c r="GZ75" s="39">
        <f>SUMIFS(Lançamentos!$G:$G,Lançamentos!$A:$A,GZ$19,Lançamentos!$C:$C,"ICMS")</f>
        <v>0</v>
      </c>
      <c r="HA75" s="39">
        <f>SUMIFS(Lançamentos!$G:$G,Lançamentos!$A:$A,HA$19,Lançamentos!$C:$C,"ICMS")</f>
        <v>0</v>
      </c>
      <c r="HB75" s="39">
        <f>SUMIFS(Lançamentos!$G:$G,Lançamentos!$A:$A,HB$19,Lançamentos!$C:$C,"ICMS")</f>
        <v>0</v>
      </c>
      <c r="HC75" s="39">
        <f>SUMIFS(Lançamentos!$G:$G,Lançamentos!$A:$A,HC$19,Lançamentos!$C:$C,"ICMS")</f>
        <v>0</v>
      </c>
      <c r="HD75" s="39">
        <f>SUMIFS(Lançamentos!$G:$G,Lançamentos!$A:$A,HD$19,Lançamentos!$C:$C,"ICMS")</f>
        <v>0</v>
      </c>
      <c r="HE75" s="39">
        <f>SUMIFS(Lançamentos!$G:$G,Lançamentos!$A:$A,HE$19,Lançamentos!$C:$C,"ICMS")</f>
        <v>0</v>
      </c>
      <c r="HF75" s="39">
        <f>SUMIFS(Lançamentos!$G:$G,Lançamentos!$A:$A,HF$19,Lançamentos!$C:$C,"ICMS")</f>
        <v>0</v>
      </c>
      <c r="HG75" s="39">
        <f>SUMIFS(Lançamentos!$G:$G,Lançamentos!$A:$A,HG$19,Lançamentos!$C:$C,"ICMS")</f>
        <v>0</v>
      </c>
      <c r="HH75" s="39">
        <f>SUMIFS(Lançamentos!$G:$G,Lançamentos!$A:$A,HH$19,Lançamentos!$C:$C,"ICMS")</f>
        <v>0</v>
      </c>
      <c r="HI75" s="39">
        <f>SUMIFS(Lançamentos!$G:$G,Lançamentos!$A:$A,HI$19,Lançamentos!$C:$C,"ICMS")</f>
        <v>0</v>
      </c>
      <c r="HJ75" s="39">
        <f>SUMIFS(Lançamentos!$G:$G,Lançamentos!$A:$A,HJ$19,Lançamentos!$C:$C,"ICMS")</f>
        <v>0</v>
      </c>
      <c r="HK75" s="39">
        <f>SUMIFS(Lançamentos!$G:$G,Lançamentos!$A:$A,HK$19,Lançamentos!$C:$C,"ICMS")</f>
        <v>0</v>
      </c>
      <c r="HL75" s="39">
        <f>SUMIFS(Lançamentos!$G:$G,Lançamentos!$A:$A,HL$19,Lançamentos!$C:$C,"ICMS")</f>
        <v>0</v>
      </c>
      <c r="HM75" s="39">
        <f>SUMIFS(Lançamentos!$G:$G,Lançamentos!$A:$A,HM$19,Lançamentos!$C:$C,"ICMS")</f>
        <v>0</v>
      </c>
      <c r="HN75" s="39">
        <f>SUMIFS(Lançamentos!$G:$G,Lançamentos!$A:$A,HN$19,Lançamentos!$C:$C,"ICMS")</f>
        <v>0</v>
      </c>
      <c r="HO75" s="39">
        <f>SUMIFS(Lançamentos!$G:$G,Lançamentos!$A:$A,HO$19,Lançamentos!$C:$C,"ICMS")</f>
        <v>0</v>
      </c>
      <c r="HP75" s="39">
        <f>SUMIFS(Lançamentos!$G:$G,Lançamentos!$A:$A,HP$19,Lançamentos!$C:$C,"ICMS")</f>
        <v>0</v>
      </c>
      <c r="HQ75" s="39">
        <f>SUMIFS(Lançamentos!$G:$G,Lançamentos!$A:$A,HQ$19,Lançamentos!$C:$C,"ICMS")</f>
        <v>0</v>
      </c>
      <c r="HR75" s="39">
        <f>SUMIFS(Lançamentos!$G:$G,Lançamentos!$A:$A,HR$19,Lançamentos!$C:$C,"ICMS")</f>
        <v>0</v>
      </c>
      <c r="HS75" s="39">
        <f>SUMIFS(Lançamentos!$G:$G,Lançamentos!$A:$A,HS$19,Lançamentos!$C:$C,"ICMS")</f>
        <v>0</v>
      </c>
      <c r="HT75" s="39">
        <f>SUMIFS(Lançamentos!$G:$G,Lançamentos!$A:$A,HT$19,Lançamentos!$C:$C,"ICMS")</f>
        <v>0</v>
      </c>
      <c r="HU75" s="39">
        <f>SUMIFS(Lançamentos!$G:$G,Lançamentos!$A:$A,HU$19,Lançamentos!$C:$C,"ICMS")</f>
        <v>0</v>
      </c>
      <c r="HV75" s="39">
        <f>SUMIFS(Lançamentos!$G:$G,Lançamentos!$A:$A,HV$19,Lançamentos!$C:$C,"ICMS")</f>
        <v>0</v>
      </c>
      <c r="HW75" s="39">
        <f>SUMIFS(Lançamentos!$G:$G,Lançamentos!$A:$A,HW$19,Lançamentos!$C:$C,"ICMS")</f>
        <v>0</v>
      </c>
      <c r="HX75" s="39">
        <f>SUMIFS(Lançamentos!$G:$G,Lançamentos!$A:$A,HX$19,Lançamentos!$C:$C,"ICMS")</f>
        <v>0</v>
      </c>
      <c r="HY75" s="39">
        <f>SUMIFS(Lançamentos!$G:$G,Lançamentos!$A:$A,HY$19,Lançamentos!$C:$C,"ICMS")</f>
        <v>0</v>
      </c>
      <c r="HZ75" s="39">
        <f>SUMIFS(Lançamentos!$G:$G,Lançamentos!$A:$A,HZ$19,Lançamentos!$C:$C,"ICMS")</f>
        <v>0</v>
      </c>
      <c r="IA75" s="39">
        <f>SUMIFS(Lançamentos!$G:$G,Lançamentos!$A:$A,IA$19,Lançamentos!$C:$C,"ICMS")</f>
        <v>0</v>
      </c>
      <c r="IB75" s="39">
        <f>SUMIFS(Lançamentos!$G:$G,Lançamentos!$A:$A,IB$19,Lançamentos!$C:$C,"ICMS")</f>
        <v>0</v>
      </c>
      <c r="IC75" s="39">
        <f>SUMIFS(Lançamentos!$G:$G,Lançamentos!$A:$A,IC$19,Lançamentos!$C:$C,"ICMS")</f>
        <v>0</v>
      </c>
      <c r="ID75" s="39">
        <f>SUMIFS(Lançamentos!$G:$G,Lançamentos!$A:$A,ID$19,Lançamentos!$C:$C,"ICMS")</f>
        <v>0</v>
      </c>
      <c r="IE75" s="39">
        <f>SUMIFS(Lançamentos!$G:$G,Lançamentos!$A:$A,IE$19,Lançamentos!$C:$C,"ICMS")</f>
        <v>0</v>
      </c>
      <c r="IF75" s="39">
        <f>SUMIFS(Lançamentos!$G:$G,Lançamentos!$A:$A,IF$19,Lançamentos!$C:$C,"ICMS")</f>
        <v>0</v>
      </c>
      <c r="IG75" s="39">
        <f>SUMIFS(Lançamentos!$G:$G,Lançamentos!$A:$A,IG$19,Lançamentos!$C:$C,"ICMS")</f>
        <v>0</v>
      </c>
      <c r="IH75" s="39">
        <f>SUMIFS(Lançamentos!$G:$G,Lançamentos!$A:$A,IH$19,Lançamentos!$C:$C,"ICMS")</f>
        <v>0</v>
      </c>
      <c r="II75" s="39">
        <f>SUMIFS(Lançamentos!$G:$G,Lançamentos!$A:$A,II$19,Lançamentos!$C:$C,"ICMS")</f>
        <v>0</v>
      </c>
      <c r="IJ75" s="39">
        <f>SUMIFS(Lançamentos!$G:$G,Lançamentos!$A:$A,IJ$19,Lançamentos!$C:$C,"ICMS")</f>
        <v>0</v>
      </c>
      <c r="IK75" s="39">
        <f>SUMIFS(Lançamentos!$G:$G,Lançamentos!$A:$A,IK$19,Lançamentos!$C:$C,"ICMS")</f>
        <v>0</v>
      </c>
      <c r="IL75" s="39">
        <f>SUMIFS(Lançamentos!$G:$G,Lançamentos!$A:$A,IL$19,Lançamentos!$C:$C,"ICMS")</f>
        <v>0</v>
      </c>
    </row>
    <row r="76" spans="1:246" x14ac:dyDescent="0.3">
      <c r="A76" t="s">
        <v>121</v>
      </c>
      <c r="B76" s="39">
        <f>SUMIFS(Lançamentos!$G:$G,Lançamentos!$A:$A,B$19,Lançamentos!$C:$C,"PIS/COFINS")</f>
        <v>0</v>
      </c>
      <c r="C76" s="39">
        <f>SUMIFS(Lançamentos!$G:$G,Lançamentos!$A:$A,C$19,Lançamentos!$C:$C,"PIS/COFINS")</f>
        <v>0</v>
      </c>
      <c r="D76" s="39">
        <f>SUMIFS(Lançamentos!$G:$G,Lançamentos!$A:$A,D$19,Lançamentos!$C:$C,"PIS/COFINS")</f>
        <v>0</v>
      </c>
      <c r="E76" s="39">
        <f>SUMIFS(Lançamentos!$G:$G,Lançamentos!$A:$A,E$19,Lançamentos!$C:$C,"PIS/COFINS")</f>
        <v>0</v>
      </c>
      <c r="F76" s="39">
        <f>SUMIFS(Lançamentos!$G:$G,Lançamentos!$A:$A,F$19,Lançamentos!$C:$C,"PIS/COFINS")</f>
        <v>0</v>
      </c>
      <c r="G76" s="39">
        <f>SUMIFS(Lançamentos!$G:$G,Lançamentos!$A:$A,G$19,Lançamentos!$C:$C,"PIS/COFINS")</f>
        <v>0</v>
      </c>
      <c r="H76" s="39">
        <f>SUMIFS(Lançamentos!$G:$G,Lançamentos!$A:$A,H$19,Lançamentos!$C:$C,"PIS/COFINS")</f>
        <v>0</v>
      </c>
      <c r="I76" s="39">
        <f>SUMIFS(Lançamentos!$G:$G,Lançamentos!$A:$A,I$19,Lançamentos!$C:$C,"PIS/COFINS")</f>
        <v>0</v>
      </c>
      <c r="J76" s="39">
        <f>SUMIFS(Lançamentos!$G:$G,Lançamentos!$A:$A,J$19,Lançamentos!$C:$C,"PIS/COFINS")</f>
        <v>0</v>
      </c>
      <c r="K76" s="39">
        <f>SUMIFS(Lançamentos!$G:$G,Lançamentos!$A:$A,K$19,Lançamentos!$C:$C,"PIS/COFINS")</f>
        <v>0</v>
      </c>
      <c r="L76" s="39">
        <f>SUMIFS(Lançamentos!$G:$G,Lançamentos!$A:$A,L$19,Lançamentos!$C:$C,"PIS/COFINS")</f>
        <v>0</v>
      </c>
      <c r="M76" s="39">
        <f>SUMIFS(Lançamentos!$G:$G,Lançamentos!$A:$A,M$19,Lançamentos!$C:$C,"PIS/COFINS")</f>
        <v>0</v>
      </c>
      <c r="N76" s="39">
        <f>SUMIFS(Lançamentos!$G:$G,Lançamentos!$A:$A,N$19,Lançamentos!$C:$C,"PIS/COFINS")</f>
        <v>0</v>
      </c>
      <c r="O76" s="39">
        <f>SUMIFS(Lançamentos!$G:$G,Lançamentos!$A:$A,O$19,Lançamentos!$C:$C,"PIS/COFINS")</f>
        <v>0</v>
      </c>
      <c r="P76" s="39">
        <f>SUMIFS(Lançamentos!$G:$G,Lançamentos!$A:$A,P$19,Lançamentos!$C:$C,"PIS/COFINS")</f>
        <v>0</v>
      </c>
      <c r="Q76" s="39">
        <f>SUMIFS(Lançamentos!$G:$G,Lançamentos!$A:$A,Q$19,Lançamentos!$C:$C,"PIS/COFINS")</f>
        <v>0</v>
      </c>
      <c r="R76" s="39">
        <f>SUMIFS(Lançamentos!$G:$G,Lançamentos!$A:$A,R$19,Lançamentos!$C:$C,"PIS/COFINS")</f>
        <v>0</v>
      </c>
      <c r="S76" s="39">
        <f>SUMIFS(Lançamentos!$G:$G,Lançamentos!$A:$A,S$19,Lançamentos!$C:$C,"PIS/COFINS")</f>
        <v>0</v>
      </c>
      <c r="T76" s="39">
        <f>SUMIFS(Lançamentos!$G:$G,Lançamentos!$A:$A,T$19,Lançamentos!$C:$C,"PIS/COFINS")</f>
        <v>0</v>
      </c>
      <c r="U76" s="39">
        <f>SUMIFS(Lançamentos!$G:$G,Lançamentos!$A:$A,U$19,Lançamentos!$C:$C,"PIS/COFINS")</f>
        <v>0</v>
      </c>
      <c r="V76" s="39">
        <f>SUMIFS(Lançamentos!$G:$G,Lançamentos!$A:$A,V$19,Lançamentos!$C:$C,"PIS/COFINS")</f>
        <v>0</v>
      </c>
      <c r="W76" s="39">
        <f>SUMIFS(Lançamentos!$G:$G,Lançamentos!$A:$A,W$19,Lançamentos!$C:$C,"PIS/COFINS")</f>
        <v>0</v>
      </c>
      <c r="X76" s="39">
        <f>SUMIFS(Lançamentos!$G:$G,Lançamentos!$A:$A,X$19,Lançamentos!$C:$C,"PIS/COFINS")</f>
        <v>0</v>
      </c>
      <c r="Y76" s="39">
        <f>SUMIFS(Lançamentos!$G:$G,Lançamentos!$A:$A,Y$19,Lançamentos!$C:$C,"PIS/COFINS")</f>
        <v>0</v>
      </c>
      <c r="Z76" s="39">
        <f>SUMIFS(Lançamentos!$G:$G,Lançamentos!$A:$A,Z$19,Lançamentos!$C:$C,"PIS/COFINS")</f>
        <v>0</v>
      </c>
      <c r="AA76" s="39">
        <f>SUMIFS(Lançamentos!$G:$G,Lançamentos!$A:$A,AA$19,Lançamentos!$C:$C,"PIS/COFINS")</f>
        <v>0</v>
      </c>
      <c r="AB76" s="39">
        <f>SUMIFS(Lançamentos!$G:$G,Lançamentos!$A:$A,AB$19,Lançamentos!$C:$C,"PIS/COFINS")</f>
        <v>0</v>
      </c>
      <c r="AC76" s="39">
        <f>SUMIFS(Lançamentos!$G:$G,Lançamentos!$A:$A,AC$19,Lançamentos!$C:$C,"PIS/COFINS")</f>
        <v>0</v>
      </c>
      <c r="AD76" s="39">
        <f>SUMIFS(Lançamentos!$G:$G,Lançamentos!$A:$A,AD$19,Lançamentos!$C:$C,"PIS/COFINS")</f>
        <v>0</v>
      </c>
      <c r="AE76" s="39">
        <f>SUMIFS(Lançamentos!$G:$G,Lançamentos!$A:$A,AE$19,Lançamentos!$C:$C,"PIS/COFINS")</f>
        <v>0</v>
      </c>
      <c r="AF76" s="39">
        <f>SUMIFS(Lançamentos!$G:$G,Lançamentos!$A:$A,AF$19,Lançamentos!$C:$C,"PIS/COFINS")</f>
        <v>0</v>
      </c>
      <c r="AG76" s="39">
        <f>SUMIFS(Lançamentos!$G:$G,Lançamentos!$A:$A,AG$19,Lançamentos!$C:$C,"PIS/COFINS")</f>
        <v>0</v>
      </c>
      <c r="AH76" s="39">
        <f>SUMIFS(Lançamentos!$G:$G,Lançamentos!$A:$A,AH$19,Lançamentos!$C:$C,"PIS/COFINS")</f>
        <v>0</v>
      </c>
      <c r="AI76" s="39">
        <f>SUMIFS(Lançamentos!$G:$G,Lançamentos!$A:$A,AI$19,Lançamentos!$C:$C,"PIS/COFINS")</f>
        <v>0</v>
      </c>
      <c r="AJ76" s="39">
        <f>SUMIFS(Lançamentos!$G:$G,Lançamentos!$A:$A,AJ$19,Lançamentos!$C:$C,"PIS/COFINS")</f>
        <v>0</v>
      </c>
      <c r="AK76" s="39">
        <f>SUMIFS(Lançamentos!$G:$G,Lançamentos!$A:$A,AK$19,Lançamentos!$C:$C,"PIS/COFINS")</f>
        <v>0</v>
      </c>
      <c r="AL76" s="39">
        <f>SUMIFS(Lançamentos!$G:$G,Lançamentos!$A:$A,AL$19,Lançamentos!$C:$C,"PIS/COFINS")</f>
        <v>0</v>
      </c>
      <c r="AM76" s="39">
        <f>SUMIFS(Lançamentos!$G:$G,Lançamentos!$A:$A,AM$19,Lançamentos!$C:$C,"PIS/COFINS")</f>
        <v>0</v>
      </c>
      <c r="AN76" s="39">
        <f>SUMIFS(Lançamentos!$G:$G,Lançamentos!$A:$A,AN$19,Lançamentos!$C:$C,"PIS/COFINS")</f>
        <v>0</v>
      </c>
      <c r="AO76" s="39">
        <f>SUMIFS(Lançamentos!$G:$G,Lançamentos!$A:$A,AO$19,Lançamentos!$C:$C,"PIS/COFINS")</f>
        <v>0</v>
      </c>
      <c r="AP76" s="39">
        <f>SUMIFS(Lançamentos!$G:$G,Lançamentos!$A:$A,AP$19,Lançamentos!$C:$C,"PIS/COFINS")</f>
        <v>0</v>
      </c>
      <c r="AQ76" s="39">
        <f>SUMIFS(Lançamentos!$G:$G,Lançamentos!$A:$A,AQ$19,Lançamentos!$C:$C,"PIS/COFINS")</f>
        <v>0</v>
      </c>
      <c r="AR76" s="39">
        <f>SUMIFS(Lançamentos!$G:$G,Lançamentos!$A:$A,AR$19,Lançamentos!$C:$C,"PIS/COFINS")</f>
        <v>0</v>
      </c>
      <c r="AS76" s="39">
        <f>SUMIFS(Lançamentos!$G:$G,Lançamentos!$A:$A,AS$19,Lançamentos!$C:$C,"PIS/COFINS")</f>
        <v>0</v>
      </c>
      <c r="AT76" s="39">
        <f>SUMIFS(Lançamentos!$G:$G,Lançamentos!$A:$A,AT$19,Lançamentos!$C:$C,"PIS/COFINS")</f>
        <v>0</v>
      </c>
      <c r="AU76" s="39">
        <f>SUMIFS(Lançamentos!$G:$G,Lançamentos!$A:$A,AU$19,Lançamentos!$C:$C,"PIS/COFINS")</f>
        <v>0</v>
      </c>
      <c r="AV76" s="39">
        <f>SUMIFS(Lançamentos!$G:$G,Lançamentos!$A:$A,AV$19,Lançamentos!$C:$C,"PIS/COFINS")</f>
        <v>0</v>
      </c>
      <c r="AW76" s="39">
        <f>SUMIFS(Lançamentos!$G:$G,Lançamentos!$A:$A,AW$19,Lançamentos!$C:$C,"PIS/COFINS")</f>
        <v>0</v>
      </c>
      <c r="AX76" s="39">
        <f>SUMIFS(Lançamentos!$G:$G,Lançamentos!$A:$A,AX$19,Lançamentos!$C:$C,"PIS/COFINS")</f>
        <v>0</v>
      </c>
      <c r="AY76" s="39">
        <f>SUMIFS(Lançamentos!$G:$G,Lançamentos!$A:$A,AY$19,Lançamentos!$C:$C,"PIS/COFINS")</f>
        <v>0</v>
      </c>
      <c r="AZ76" s="39">
        <f>SUMIFS(Lançamentos!$G:$G,Lançamentos!$A:$A,AZ$19,Lançamentos!$C:$C,"PIS/COFINS")</f>
        <v>0</v>
      </c>
      <c r="BA76" s="39">
        <f>SUMIFS(Lançamentos!$G:$G,Lançamentos!$A:$A,BA$19,Lançamentos!$C:$C,"PIS/COFINS")</f>
        <v>0</v>
      </c>
      <c r="BB76" s="39">
        <f>SUMIFS(Lançamentos!$G:$G,Lançamentos!$A:$A,BB$19,Lançamentos!$C:$C,"PIS/COFINS")</f>
        <v>0</v>
      </c>
      <c r="BC76" s="39">
        <f>SUMIFS(Lançamentos!$G:$G,Lançamentos!$A:$A,BC$19,Lançamentos!$C:$C,"PIS/COFINS")</f>
        <v>0</v>
      </c>
      <c r="BD76" s="39">
        <f>SUMIFS(Lançamentos!$G:$G,Lançamentos!$A:$A,BD$19,Lançamentos!$C:$C,"PIS/COFINS")</f>
        <v>0</v>
      </c>
      <c r="BE76" s="39">
        <f>SUMIFS(Lançamentos!$G:$G,Lançamentos!$A:$A,BE$19,Lançamentos!$C:$C,"PIS/COFINS")</f>
        <v>0</v>
      </c>
      <c r="BF76" s="39">
        <f>SUMIFS(Lançamentos!$G:$G,Lançamentos!$A:$A,BF$19,Lançamentos!$C:$C,"PIS/COFINS")</f>
        <v>0</v>
      </c>
      <c r="BG76" s="39">
        <f>SUMIFS(Lançamentos!$G:$G,Lançamentos!$A:$A,BG$19,Lançamentos!$C:$C,"PIS/COFINS")</f>
        <v>0</v>
      </c>
      <c r="BH76" s="39">
        <f>SUMIFS(Lançamentos!$G:$G,Lançamentos!$A:$A,BH$19,Lançamentos!$C:$C,"PIS/COFINS")</f>
        <v>0</v>
      </c>
      <c r="BI76" s="39">
        <f>SUMIFS(Lançamentos!$G:$G,Lançamentos!$A:$A,BI$19,Lançamentos!$C:$C,"PIS/COFINS")</f>
        <v>0</v>
      </c>
      <c r="BJ76" s="39">
        <f>SUMIFS(Lançamentos!$G:$G,Lançamentos!$A:$A,BJ$19,Lançamentos!$C:$C,"PIS/COFINS")</f>
        <v>0</v>
      </c>
      <c r="BK76" s="39">
        <f>SUMIFS(Lançamentos!$G:$G,Lançamentos!$A:$A,BK$19,Lançamentos!$C:$C,"PIS/COFINS")</f>
        <v>0</v>
      </c>
      <c r="BL76" s="39">
        <f>SUMIFS(Lançamentos!$G:$G,Lançamentos!$A:$A,BL$19,Lançamentos!$C:$C,"PIS/COFINS")</f>
        <v>0</v>
      </c>
      <c r="BM76" s="39">
        <f>SUMIFS(Lançamentos!$G:$G,Lançamentos!$A:$A,BM$19,Lançamentos!$C:$C,"PIS/COFINS")</f>
        <v>0</v>
      </c>
      <c r="BN76" s="39">
        <f>SUMIFS(Lançamentos!$G:$G,Lançamentos!$A:$A,BN$19,Lançamentos!$C:$C,"PIS/COFINS")</f>
        <v>0</v>
      </c>
      <c r="BO76" s="39">
        <f>SUMIFS(Lançamentos!$G:$G,Lançamentos!$A:$A,BO$19,Lançamentos!$C:$C,"PIS/COFINS")</f>
        <v>0</v>
      </c>
      <c r="BP76" s="39">
        <f>SUMIFS(Lançamentos!$G:$G,Lançamentos!$A:$A,BP$19,Lançamentos!$C:$C,"PIS/COFINS")</f>
        <v>0</v>
      </c>
      <c r="BQ76" s="39">
        <f>SUMIFS(Lançamentos!$G:$G,Lançamentos!$A:$A,BQ$19,Lançamentos!$C:$C,"PIS/COFINS")</f>
        <v>0</v>
      </c>
      <c r="BR76" s="39">
        <f>SUMIFS(Lançamentos!$G:$G,Lançamentos!$A:$A,BR$19,Lançamentos!$C:$C,"PIS/COFINS")</f>
        <v>0</v>
      </c>
      <c r="BS76" s="39">
        <f>SUMIFS(Lançamentos!$G:$G,Lançamentos!$A:$A,BS$19,Lançamentos!$C:$C,"PIS/COFINS")</f>
        <v>0</v>
      </c>
      <c r="BT76" s="39">
        <f>SUMIFS(Lançamentos!$G:$G,Lançamentos!$A:$A,BT$19,Lançamentos!$C:$C,"PIS/COFINS")</f>
        <v>0</v>
      </c>
      <c r="BU76" s="39">
        <f>SUMIFS(Lançamentos!$G:$G,Lançamentos!$A:$A,BU$19,Lançamentos!$C:$C,"PIS/COFINS")</f>
        <v>0</v>
      </c>
      <c r="BV76" s="39">
        <f>SUMIFS(Lançamentos!$G:$G,Lançamentos!$A:$A,BV$19,Lançamentos!$C:$C,"PIS/COFINS")</f>
        <v>0</v>
      </c>
      <c r="BW76" s="39">
        <f>SUMIFS(Lançamentos!$G:$G,Lançamentos!$A:$A,BW$19,Lançamentos!$C:$C,"PIS/COFINS")</f>
        <v>0</v>
      </c>
      <c r="BX76" s="39">
        <f>SUMIFS(Lançamentos!$G:$G,Lançamentos!$A:$A,BX$19,Lançamentos!$C:$C,"PIS/COFINS")</f>
        <v>0</v>
      </c>
      <c r="BY76" s="39">
        <f>SUMIFS(Lançamentos!$G:$G,Lançamentos!$A:$A,BY$19,Lançamentos!$C:$C,"PIS/COFINS")</f>
        <v>0</v>
      </c>
      <c r="BZ76" s="39">
        <f>SUMIFS(Lançamentos!$G:$G,Lançamentos!$A:$A,BZ$19,Lançamentos!$C:$C,"PIS/COFINS")</f>
        <v>0</v>
      </c>
      <c r="CA76" s="39">
        <f>SUMIFS(Lançamentos!$G:$G,Lançamentos!$A:$A,CA$19,Lançamentos!$C:$C,"PIS/COFINS")</f>
        <v>0</v>
      </c>
      <c r="CB76" s="39">
        <f>SUMIFS(Lançamentos!$G:$G,Lançamentos!$A:$A,CB$19,Lançamentos!$C:$C,"PIS/COFINS")</f>
        <v>0</v>
      </c>
      <c r="CC76" s="39">
        <f>SUMIFS(Lançamentos!$G:$G,Lançamentos!$A:$A,CC$19,Lançamentos!$C:$C,"PIS/COFINS")</f>
        <v>0</v>
      </c>
      <c r="CD76" s="39">
        <f>SUMIFS(Lançamentos!$G:$G,Lançamentos!$A:$A,CD$19,Lançamentos!$C:$C,"PIS/COFINS")</f>
        <v>0</v>
      </c>
      <c r="CE76" s="39">
        <f>SUMIFS(Lançamentos!$G:$G,Lançamentos!$A:$A,CE$19,Lançamentos!$C:$C,"PIS/COFINS")</f>
        <v>0</v>
      </c>
      <c r="CF76" s="39">
        <f>SUMIFS(Lançamentos!$G:$G,Lançamentos!$A:$A,CF$19,Lançamentos!$C:$C,"PIS/COFINS")</f>
        <v>0</v>
      </c>
      <c r="CG76" s="39">
        <f>SUMIFS(Lançamentos!$G:$G,Lançamentos!$A:$A,CG$19,Lançamentos!$C:$C,"PIS/COFINS")</f>
        <v>0</v>
      </c>
      <c r="CH76" s="39">
        <f>SUMIFS(Lançamentos!$G:$G,Lançamentos!$A:$A,CH$19,Lançamentos!$C:$C,"PIS/COFINS")</f>
        <v>0</v>
      </c>
      <c r="CI76" s="39">
        <f>SUMIFS(Lançamentos!$G:$G,Lançamentos!$A:$A,CI$19,Lançamentos!$C:$C,"PIS/COFINS")</f>
        <v>0</v>
      </c>
      <c r="CJ76" s="39">
        <f>SUMIFS(Lançamentos!$G:$G,Lançamentos!$A:$A,CJ$19,Lançamentos!$C:$C,"PIS/COFINS")</f>
        <v>0</v>
      </c>
      <c r="CK76" s="39">
        <f>SUMIFS(Lançamentos!$G:$G,Lançamentos!$A:$A,CK$19,Lançamentos!$C:$C,"PIS/COFINS")</f>
        <v>0</v>
      </c>
      <c r="CL76" s="39">
        <f>SUMIFS(Lançamentos!$G:$G,Lançamentos!$A:$A,CL$19,Lançamentos!$C:$C,"PIS/COFINS")</f>
        <v>0</v>
      </c>
      <c r="CM76" s="39">
        <f>SUMIFS(Lançamentos!$G:$G,Lançamentos!$A:$A,CM$19,Lançamentos!$C:$C,"PIS/COFINS")</f>
        <v>0</v>
      </c>
      <c r="CN76" s="39">
        <f>SUMIFS(Lançamentos!$G:$G,Lançamentos!$A:$A,CN$19,Lançamentos!$C:$C,"PIS/COFINS")</f>
        <v>0</v>
      </c>
      <c r="CO76" s="39">
        <f>SUMIFS(Lançamentos!$G:$G,Lançamentos!$A:$A,CO$19,Lançamentos!$C:$C,"PIS/COFINS")</f>
        <v>0</v>
      </c>
      <c r="CP76" s="39">
        <f>SUMIFS(Lançamentos!$G:$G,Lançamentos!$A:$A,CP$19,Lançamentos!$C:$C,"PIS/COFINS")</f>
        <v>0</v>
      </c>
      <c r="CQ76" s="39">
        <f>SUMIFS(Lançamentos!$G:$G,Lançamentos!$A:$A,CQ$19,Lançamentos!$C:$C,"PIS/COFINS")</f>
        <v>0</v>
      </c>
      <c r="CR76" s="39">
        <f>SUMIFS(Lançamentos!$G:$G,Lançamentos!$A:$A,CR$19,Lançamentos!$C:$C,"PIS/COFINS")</f>
        <v>0</v>
      </c>
      <c r="CS76" s="39">
        <f>SUMIFS(Lançamentos!$G:$G,Lançamentos!$A:$A,CS$19,Lançamentos!$C:$C,"PIS/COFINS")</f>
        <v>0</v>
      </c>
      <c r="CT76" s="39">
        <f>SUMIFS(Lançamentos!$G:$G,Lançamentos!$A:$A,CT$19,Lançamentos!$C:$C,"PIS/COFINS")</f>
        <v>0</v>
      </c>
      <c r="CU76" s="39">
        <f>SUMIFS(Lançamentos!$G:$G,Lançamentos!$A:$A,CU$19,Lançamentos!$C:$C,"PIS/COFINS")</f>
        <v>0</v>
      </c>
      <c r="CV76" s="39">
        <f>SUMIFS(Lançamentos!$G:$G,Lançamentos!$A:$A,CV$19,Lançamentos!$C:$C,"PIS/COFINS")</f>
        <v>0</v>
      </c>
      <c r="CW76" s="39">
        <f>SUMIFS(Lançamentos!$G:$G,Lançamentos!$A:$A,CW$19,Lançamentos!$C:$C,"PIS/COFINS")</f>
        <v>0</v>
      </c>
      <c r="CX76" s="39">
        <f>SUMIFS(Lançamentos!$G:$G,Lançamentos!$A:$A,CX$19,Lançamentos!$C:$C,"PIS/COFINS")</f>
        <v>0</v>
      </c>
      <c r="CY76" s="39">
        <f>SUMIFS(Lançamentos!$G:$G,Lançamentos!$A:$A,CY$19,Lançamentos!$C:$C,"PIS/COFINS")</f>
        <v>0</v>
      </c>
      <c r="CZ76" s="39">
        <f>SUMIFS(Lançamentos!$G:$G,Lançamentos!$A:$A,CZ$19,Lançamentos!$C:$C,"PIS/COFINS")</f>
        <v>0</v>
      </c>
      <c r="DA76" s="39">
        <f>SUMIFS(Lançamentos!$G:$G,Lançamentos!$A:$A,DA$19,Lançamentos!$C:$C,"PIS/COFINS")</f>
        <v>0</v>
      </c>
      <c r="DB76" s="39">
        <f>SUMIFS(Lançamentos!$G:$G,Lançamentos!$A:$A,DB$19,Lançamentos!$C:$C,"PIS/COFINS")</f>
        <v>0</v>
      </c>
      <c r="DC76" s="39">
        <f>SUMIFS(Lançamentos!$G:$G,Lançamentos!$A:$A,DC$19,Lançamentos!$C:$C,"PIS/COFINS")</f>
        <v>0</v>
      </c>
      <c r="DD76" s="39">
        <f>SUMIFS(Lançamentos!$G:$G,Lançamentos!$A:$A,DD$19,Lançamentos!$C:$C,"PIS/COFINS")</f>
        <v>0</v>
      </c>
      <c r="DE76" s="39">
        <f>SUMIFS(Lançamentos!$G:$G,Lançamentos!$A:$A,DE$19,Lançamentos!$C:$C,"PIS/COFINS")</f>
        <v>0</v>
      </c>
      <c r="DF76" s="39">
        <f>SUMIFS(Lançamentos!$G:$G,Lançamentos!$A:$A,DF$19,Lançamentos!$C:$C,"PIS/COFINS")</f>
        <v>0</v>
      </c>
      <c r="DG76" s="39">
        <f>SUMIFS(Lançamentos!$G:$G,Lançamentos!$A:$A,DG$19,Lançamentos!$C:$C,"PIS/COFINS")</f>
        <v>0</v>
      </c>
      <c r="DH76" s="39">
        <f>SUMIFS(Lançamentos!$G:$G,Lançamentos!$A:$A,DH$19,Lançamentos!$C:$C,"PIS/COFINS")</f>
        <v>0</v>
      </c>
      <c r="DI76" s="39">
        <f>SUMIFS(Lançamentos!$G:$G,Lançamentos!$A:$A,DI$19,Lançamentos!$C:$C,"PIS/COFINS")</f>
        <v>0</v>
      </c>
      <c r="DJ76" s="39">
        <f>SUMIFS(Lançamentos!$G:$G,Lançamentos!$A:$A,DJ$19,Lançamentos!$C:$C,"PIS/COFINS")</f>
        <v>0</v>
      </c>
      <c r="DK76" s="39">
        <f>SUMIFS(Lançamentos!$G:$G,Lançamentos!$A:$A,DK$19,Lançamentos!$C:$C,"PIS/COFINS")</f>
        <v>0</v>
      </c>
      <c r="DL76" s="39">
        <f>SUMIFS(Lançamentos!$G:$G,Lançamentos!$A:$A,DL$19,Lançamentos!$C:$C,"PIS/COFINS")</f>
        <v>0</v>
      </c>
      <c r="DM76" s="39">
        <f>SUMIFS(Lançamentos!$G:$G,Lançamentos!$A:$A,DM$19,Lançamentos!$C:$C,"PIS/COFINS")</f>
        <v>0</v>
      </c>
      <c r="DN76" s="39">
        <f>SUMIFS(Lançamentos!$G:$G,Lançamentos!$A:$A,DN$19,Lançamentos!$C:$C,"PIS/COFINS")</f>
        <v>0</v>
      </c>
      <c r="DO76" s="39">
        <f>SUMIFS(Lançamentos!$G:$G,Lançamentos!$A:$A,DO$19,Lançamentos!$C:$C,"PIS/COFINS")</f>
        <v>0</v>
      </c>
      <c r="DP76" s="39">
        <f>SUMIFS(Lançamentos!$G:$G,Lançamentos!$A:$A,DP$19,Lançamentos!$C:$C,"PIS/COFINS")</f>
        <v>0</v>
      </c>
      <c r="DQ76" s="39">
        <f>SUMIFS(Lançamentos!$G:$G,Lançamentos!$A:$A,DQ$19,Lançamentos!$C:$C,"PIS/COFINS")</f>
        <v>0</v>
      </c>
      <c r="DR76" s="39">
        <f>SUMIFS(Lançamentos!$G:$G,Lançamentos!$A:$A,DR$19,Lançamentos!$C:$C,"PIS/COFINS")</f>
        <v>0</v>
      </c>
      <c r="DS76" s="39">
        <f>SUMIFS(Lançamentos!$G:$G,Lançamentos!$A:$A,DS$19,Lançamentos!$C:$C,"PIS/COFINS")</f>
        <v>0</v>
      </c>
      <c r="DT76" s="39">
        <f>SUMIFS(Lançamentos!$G:$G,Lançamentos!$A:$A,DT$19,Lançamentos!$C:$C,"PIS/COFINS")</f>
        <v>0</v>
      </c>
      <c r="DU76" s="39">
        <f>SUMIFS(Lançamentos!$G:$G,Lançamentos!$A:$A,DU$19,Lançamentos!$C:$C,"PIS/COFINS")</f>
        <v>0</v>
      </c>
      <c r="DV76" s="39">
        <f>SUMIFS(Lançamentos!$G:$G,Lançamentos!$A:$A,DV$19,Lançamentos!$C:$C,"PIS/COFINS")</f>
        <v>0</v>
      </c>
      <c r="DW76" s="39">
        <f>SUMIFS(Lançamentos!$G:$G,Lançamentos!$A:$A,DW$19,Lançamentos!$C:$C,"PIS/COFINS")</f>
        <v>0</v>
      </c>
      <c r="DX76" s="39">
        <f>SUMIFS(Lançamentos!$G:$G,Lançamentos!$A:$A,DX$19,Lançamentos!$C:$C,"PIS/COFINS")</f>
        <v>0</v>
      </c>
      <c r="DY76" s="39">
        <f>SUMIFS(Lançamentos!$G:$G,Lançamentos!$A:$A,DY$19,Lançamentos!$C:$C,"PIS/COFINS")</f>
        <v>0</v>
      </c>
      <c r="DZ76" s="39">
        <f>SUMIFS(Lançamentos!$G:$G,Lançamentos!$A:$A,DZ$19,Lançamentos!$C:$C,"PIS/COFINS")</f>
        <v>0</v>
      </c>
      <c r="EA76" s="39">
        <f>SUMIFS(Lançamentos!$G:$G,Lançamentos!$A:$A,EA$19,Lançamentos!$C:$C,"PIS/COFINS")</f>
        <v>0</v>
      </c>
      <c r="EB76" s="39">
        <f>SUMIFS(Lançamentos!$G:$G,Lançamentos!$A:$A,EB$19,Lançamentos!$C:$C,"PIS/COFINS")</f>
        <v>0</v>
      </c>
      <c r="EC76" s="39">
        <f>SUMIFS(Lançamentos!$G:$G,Lançamentos!$A:$A,EC$19,Lançamentos!$C:$C,"PIS/COFINS")</f>
        <v>0</v>
      </c>
      <c r="ED76" s="39">
        <f>SUMIFS(Lançamentos!$G:$G,Lançamentos!$A:$A,ED$19,Lançamentos!$C:$C,"PIS/COFINS")</f>
        <v>0</v>
      </c>
      <c r="EE76" s="39">
        <f>SUMIFS(Lançamentos!$G:$G,Lançamentos!$A:$A,EE$19,Lançamentos!$C:$C,"PIS/COFINS")</f>
        <v>0</v>
      </c>
      <c r="EF76" s="39">
        <f>SUMIFS(Lançamentos!$G:$G,Lançamentos!$A:$A,EF$19,Lançamentos!$C:$C,"PIS/COFINS")</f>
        <v>0</v>
      </c>
      <c r="EG76" s="39">
        <f>SUMIFS(Lançamentos!$G:$G,Lançamentos!$A:$A,EG$19,Lançamentos!$C:$C,"PIS/COFINS")</f>
        <v>0</v>
      </c>
      <c r="EH76" s="39">
        <f>SUMIFS(Lançamentos!$G:$G,Lançamentos!$A:$A,EH$19,Lançamentos!$C:$C,"PIS/COFINS")</f>
        <v>0</v>
      </c>
      <c r="EI76" s="39">
        <f>SUMIFS(Lançamentos!$G:$G,Lançamentos!$A:$A,EI$19,Lançamentos!$C:$C,"PIS/COFINS")</f>
        <v>0</v>
      </c>
      <c r="EJ76" s="39">
        <f>SUMIFS(Lançamentos!$G:$G,Lançamentos!$A:$A,EJ$19,Lançamentos!$C:$C,"PIS/COFINS")</f>
        <v>0</v>
      </c>
      <c r="EK76" s="39">
        <f>SUMIFS(Lançamentos!$G:$G,Lançamentos!$A:$A,EK$19,Lançamentos!$C:$C,"PIS/COFINS")</f>
        <v>0</v>
      </c>
      <c r="EL76" s="39">
        <f>SUMIFS(Lançamentos!$G:$G,Lançamentos!$A:$A,EL$19,Lançamentos!$C:$C,"PIS/COFINS")</f>
        <v>0</v>
      </c>
      <c r="EM76" s="39">
        <f>SUMIFS(Lançamentos!$G:$G,Lançamentos!$A:$A,EM$19,Lançamentos!$C:$C,"PIS/COFINS")</f>
        <v>0</v>
      </c>
      <c r="EN76" s="39">
        <f>SUMIFS(Lançamentos!$G:$G,Lançamentos!$A:$A,EN$19,Lançamentos!$C:$C,"PIS/COFINS")</f>
        <v>0</v>
      </c>
      <c r="EO76" s="39">
        <f>SUMIFS(Lançamentos!$G:$G,Lançamentos!$A:$A,EO$19,Lançamentos!$C:$C,"PIS/COFINS")</f>
        <v>0</v>
      </c>
      <c r="EP76" s="39">
        <f>SUMIFS(Lançamentos!$G:$G,Lançamentos!$A:$A,EP$19,Lançamentos!$C:$C,"PIS/COFINS")</f>
        <v>0</v>
      </c>
      <c r="EQ76" s="39">
        <f>SUMIFS(Lançamentos!$G:$G,Lançamentos!$A:$A,EQ$19,Lançamentos!$C:$C,"PIS/COFINS")</f>
        <v>0</v>
      </c>
      <c r="ER76" s="39">
        <f>SUMIFS(Lançamentos!$G:$G,Lançamentos!$A:$A,ER$19,Lançamentos!$C:$C,"PIS/COFINS")</f>
        <v>0</v>
      </c>
      <c r="ES76" s="39">
        <f>SUMIFS(Lançamentos!$G:$G,Lançamentos!$A:$A,ES$19,Lançamentos!$C:$C,"PIS/COFINS")</f>
        <v>0</v>
      </c>
      <c r="ET76" s="39">
        <f>SUMIFS(Lançamentos!$G:$G,Lançamentos!$A:$A,ET$19,Lançamentos!$C:$C,"PIS/COFINS")</f>
        <v>0</v>
      </c>
      <c r="EU76" s="39">
        <f>SUMIFS(Lançamentos!$G:$G,Lançamentos!$A:$A,EU$19,Lançamentos!$C:$C,"PIS/COFINS")</f>
        <v>0</v>
      </c>
      <c r="EV76" s="39">
        <f>SUMIFS(Lançamentos!$G:$G,Lançamentos!$A:$A,EV$19,Lançamentos!$C:$C,"PIS/COFINS")</f>
        <v>0</v>
      </c>
      <c r="EW76" s="39">
        <f>SUMIFS(Lançamentos!$G:$G,Lançamentos!$A:$A,EW$19,Lançamentos!$C:$C,"PIS/COFINS")</f>
        <v>0</v>
      </c>
      <c r="EX76" s="39">
        <f>SUMIFS(Lançamentos!$G:$G,Lançamentos!$A:$A,EX$19,Lançamentos!$C:$C,"PIS/COFINS")</f>
        <v>0</v>
      </c>
      <c r="EY76" s="39">
        <f>SUMIFS(Lançamentos!$G:$G,Lançamentos!$A:$A,EY$19,Lançamentos!$C:$C,"PIS/COFINS")</f>
        <v>0</v>
      </c>
      <c r="EZ76" s="39">
        <f>SUMIFS(Lançamentos!$G:$G,Lançamentos!$A:$A,EZ$19,Lançamentos!$C:$C,"PIS/COFINS")</f>
        <v>0</v>
      </c>
      <c r="FA76" s="39">
        <f>SUMIFS(Lançamentos!$G:$G,Lançamentos!$A:$A,FA$19,Lançamentos!$C:$C,"PIS/COFINS")</f>
        <v>0</v>
      </c>
      <c r="FB76" s="39">
        <f>SUMIFS(Lançamentos!$G:$G,Lançamentos!$A:$A,FB$19,Lançamentos!$C:$C,"PIS/COFINS")</f>
        <v>0</v>
      </c>
      <c r="FC76" s="39">
        <f>SUMIFS(Lançamentos!$G:$G,Lançamentos!$A:$A,FC$19,Lançamentos!$C:$C,"PIS/COFINS")</f>
        <v>0</v>
      </c>
      <c r="FD76" s="39">
        <f>SUMIFS(Lançamentos!$G:$G,Lançamentos!$A:$A,FD$19,Lançamentos!$C:$C,"PIS/COFINS")</f>
        <v>0</v>
      </c>
      <c r="FE76" s="39">
        <f>SUMIFS(Lançamentos!$G:$G,Lançamentos!$A:$A,FE$19,Lançamentos!$C:$C,"PIS/COFINS")</f>
        <v>0</v>
      </c>
      <c r="FF76" s="39">
        <f>SUMIFS(Lançamentos!$G:$G,Lançamentos!$A:$A,FF$19,Lançamentos!$C:$C,"PIS/COFINS")</f>
        <v>0</v>
      </c>
      <c r="FG76" s="39">
        <f>SUMIFS(Lançamentos!$G:$G,Lançamentos!$A:$A,FG$19,Lançamentos!$C:$C,"PIS/COFINS")</f>
        <v>0</v>
      </c>
      <c r="FH76" s="39">
        <f>SUMIFS(Lançamentos!$G:$G,Lançamentos!$A:$A,FH$19,Lançamentos!$C:$C,"PIS/COFINS")</f>
        <v>0</v>
      </c>
      <c r="FI76" s="39">
        <f>SUMIFS(Lançamentos!$G:$G,Lançamentos!$A:$A,FI$19,Lançamentos!$C:$C,"PIS/COFINS")</f>
        <v>0</v>
      </c>
      <c r="FJ76" s="39">
        <f>SUMIFS(Lançamentos!$G:$G,Lançamentos!$A:$A,FJ$19,Lançamentos!$C:$C,"PIS/COFINS")</f>
        <v>0</v>
      </c>
      <c r="FK76" s="39">
        <f>SUMIFS(Lançamentos!$G:$G,Lançamentos!$A:$A,FK$19,Lançamentos!$C:$C,"PIS/COFINS")</f>
        <v>0</v>
      </c>
      <c r="FL76" s="39">
        <f>SUMIFS(Lançamentos!$G:$G,Lançamentos!$A:$A,FL$19,Lançamentos!$C:$C,"PIS/COFINS")</f>
        <v>0</v>
      </c>
      <c r="FM76" s="39">
        <f>SUMIFS(Lançamentos!$G:$G,Lançamentos!$A:$A,FM$19,Lançamentos!$C:$C,"PIS/COFINS")</f>
        <v>0</v>
      </c>
      <c r="FN76" s="39">
        <f>SUMIFS(Lançamentos!$G:$G,Lançamentos!$A:$A,FN$19,Lançamentos!$C:$C,"PIS/COFINS")</f>
        <v>0</v>
      </c>
      <c r="FO76" s="39">
        <f>SUMIFS(Lançamentos!$G:$G,Lançamentos!$A:$A,FO$19,Lançamentos!$C:$C,"PIS/COFINS")</f>
        <v>0</v>
      </c>
      <c r="FP76" s="39">
        <f>SUMIFS(Lançamentos!$G:$G,Lançamentos!$A:$A,FP$19,Lançamentos!$C:$C,"PIS/COFINS")</f>
        <v>0</v>
      </c>
      <c r="FQ76" s="39">
        <f>SUMIFS(Lançamentos!$G:$G,Lançamentos!$A:$A,FQ$19,Lançamentos!$C:$C,"PIS/COFINS")</f>
        <v>0</v>
      </c>
      <c r="FR76" s="39">
        <f>SUMIFS(Lançamentos!$G:$G,Lançamentos!$A:$A,FR$19,Lançamentos!$C:$C,"PIS/COFINS")</f>
        <v>0</v>
      </c>
      <c r="FS76" s="39">
        <f>SUMIFS(Lançamentos!$G:$G,Lançamentos!$A:$A,FS$19,Lançamentos!$C:$C,"PIS/COFINS")</f>
        <v>0</v>
      </c>
      <c r="FT76" s="39">
        <f>SUMIFS(Lançamentos!$G:$G,Lançamentos!$A:$A,FT$19,Lançamentos!$C:$C,"PIS/COFINS")</f>
        <v>0</v>
      </c>
      <c r="FU76" s="39">
        <f>SUMIFS(Lançamentos!$G:$G,Lançamentos!$A:$A,FU$19,Lançamentos!$C:$C,"PIS/COFINS")</f>
        <v>0</v>
      </c>
      <c r="FV76" s="39">
        <f>SUMIFS(Lançamentos!$G:$G,Lançamentos!$A:$A,FV$19,Lançamentos!$C:$C,"PIS/COFINS")</f>
        <v>0</v>
      </c>
      <c r="FW76" s="39">
        <f>SUMIFS(Lançamentos!$G:$G,Lançamentos!$A:$A,FW$19,Lançamentos!$C:$C,"PIS/COFINS")</f>
        <v>0</v>
      </c>
      <c r="FX76" s="39">
        <f>SUMIFS(Lançamentos!$G:$G,Lançamentos!$A:$A,FX$19,Lançamentos!$C:$C,"PIS/COFINS")</f>
        <v>0</v>
      </c>
      <c r="FY76" s="39">
        <f>SUMIFS(Lançamentos!$G:$G,Lançamentos!$A:$A,FY$19,Lançamentos!$C:$C,"PIS/COFINS")</f>
        <v>0</v>
      </c>
      <c r="FZ76" s="39">
        <f>SUMIFS(Lançamentos!$G:$G,Lançamentos!$A:$A,FZ$19,Lançamentos!$C:$C,"PIS/COFINS")</f>
        <v>0</v>
      </c>
      <c r="GA76" s="39">
        <f>SUMIFS(Lançamentos!$G:$G,Lançamentos!$A:$A,GA$19,Lançamentos!$C:$C,"PIS/COFINS")</f>
        <v>0</v>
      </c>
      <c r="GB76" s="39">
        <f>SUMIFS(Lançamentos!$G:$G,Lançamentos!$A:$A,GB$19,Lançamentos!$C:$C,"PIS/COFINS")</f>
        <v>0</v>
      </c>
      <c r="GC76" s="39">
        <f>SUMIFS(Lançamentos!$G:$G,Lançamentos!$A:$A,GC$19,Lançamentos!$C:$C,"PIS/COFINS")</f>
        <v>0</v>
      </c>
      <c r="GD76" s="39">
        <f>SUMIFS(Lançamentos!$G:$G,Lançamentos!$A:$A,GD$19,Lançamentos!$C:$C,"PIS/COFINS")</f>
        <v>0</v>
      </c>
      <c r="GE76" s="39">
        <f>SUMIFS(Lançamentos!$G:$G,Lançamentos!$A:$A,GE$19,Lançamentos!$C:$C,"PIS/COFINS")</f>
        <v>0</v>
      </c>
      <c r="GF76" s="39">
        <f>SUMIFS(Lançamentos!$G:$G,Lançamentos!$A:$A,GF$19,Lançamentos!$C:$C,"PIS/COFINS")</f>
        <v>0</v>
      </c>
      <c r="GG76" s="39">
        <f>SUMIFS(Lançamentos!$G:$G,Lançamentos!$A:$A,GG$19,Lançamentos!$C:$C,"PIS/COFINS")</f>
        <v>0</v>
      </c>
      <c r="GH76" s="39">
        <f>SUMIFS(Lançamentos!$G:$G,Lançamentos!$A:$A,GH$19,Lançamentos!$C:$C,"PIS/COFINS")</f>
        <v>0</v>
      </c>
      <c r="GI76" s="39">
        <f>SUMIFS(Lançamentos!$G:$G,Lançamentos!$A:$A,GI$19,Lançamentos!$C:$C,"PIS/COFINS")</f>
        <v>0</v>
      </c>
      <c r="GJ76" s="39">
        <f>SUMIFS(Lançamentos!$G:$G,Lançamentos!$A:$A,GJ$19,Lançamentos!$C:$C,"PIS/COFINS")</f>
        <v>0</v>
      </c>
      <c r="GK76" s="39">
        <f>SUMIFS(Lançamentos!$G:$G,Lançamentos!$A:$A,GK$19,Lançamentos!$C:$C,"PIS/COFINS")</f>
        <v>0</v>
      </c>
      <c r="GL76" s="39">
        <f>SUMIFS(Lançamentos!$G:$G,Lançamentos!$A:$A,GL$19,Lançamentos!$C:$C,"PIS/COFINS")</f>
        <v>0</v>
      </c>
      <c r="GM76" s="39">
        <f>SUMIFS(Lançamentos!$G:$G,Lançamentos!$A:$A,GM$19,Lançamentos!$C:$C,"PIS/COFINS")</f>
        <v>0</v>
      </c>
      <c r="GN76" s="39">
        <f>SUMIFS(Lançamentos!$G:$G,Lançamentos!$A:$A,GN$19,Lançamentos!$C:$C,"PIS/COFINS")</f>
        <v>0</v>
      </c>
      <c r="GO76" s="39">
        <f>SUMIFS(Lançamentos!$G:$G,Lançamentos!$A:$A,GO$19,Lançamentos!$C:$C,"PIS/COFINS")</f>
        <v>0</v>
      </c>
      <c r="GP76" s="39">
        <f>SUMIFS(Lançamentos!$G:$G,Lançamentos!$A:$A,GP$19,Lançamentos!$C:$C,"PIS/COFINS")</f>
        <v>0</v>
      </c>
      <c r="GQ76" s="39">
        <f>SUMIFS(Lançamentos!$G:$G,Lançamentos!$A:$A,GQ$19,Lançamentos!$C:$C,"PIS/COFINS")</f>
        <v>0</v>
      </c>
      <c r="GR76" s="39">
        <f>SUMIFS(Lançamentos!$G:$G,Lançamentos!$A:$A,GR$19,Lançamentos!$C:$C,"PIS/COFINS")</f>
        <v>0</v>
      </c>
      <c r="GS76" s="39">
        <f>SUMIFS(Lançamentos!$G:$G,Lançamentos!$A:$A,GS$19,Lançamentos!$C:$C,"PIS/COFINS")</f>
        <v>0</v>
      </c>
      <c r="GT76" s="39">
        <f>SUMIFS(Lançamentos!$G:$G,Lançamentos!$A:$A,GT$19,Lançamentos!$C:$C,"PIS/COFINS")</f>
        <v>0</v>
      </c>
      <c r="GU76" s="39">
        <f>SUMIFS(Lançamentos!$G:$G,Lançamentos!$A:$A,GU$19,Lançamentos!$C:$C,"PIS/COFINS")</f>
        <v>0</v>
      </c>
      <c r="GV76" s="39">
        <f>SUMIFS(Lançamentos!$G:$G,Lançamentos!$A:$A,GV$19,Lançamentos!$C:$C,"PIS/COFINS")</f>
        <v>0</v>
      </c>
      <c r="GW76" s="39">
        <f>SUMIFS(Lançamentos!$G:$G,Lançamentos!$A:$A,GW$19,Lançamentos!$C:$C,"PIS/COFINS")</f>
        <v>0</v>
      </c>
      <c r="GX76" s="39">
        <f>SUMIFS(Lançamentos!$G:$G,Lançamentos!$A:$A,GX$19,Lançamentos!$C:$C,"PIS/COFINS")</f>
        <v>0</v>
      </c>
      <c r="GY76" s="39">
        <f>SUMIFS(Lançamentos!$G:$G,Lançamentos!$A:$A,GY$19,Lançamentos!$C:$C,"PIS/COFINS")</f>
        <v>0</v>
      </c>
      <c r="GZ76" s="39">
        <f>SUMIFS(Lançamentos!$G:$G,Lançamentos!$A:$A,GZ$19,Lançamentos!$C:$C,"PIS/COFINS")</f>
        <v>0</v>
      </c>
      <c r="HA76" s="39">
        <f>SUMIFS(Lançamentos!$G:$G,Lançamentos!$A:$A,HA$19,Lançamentos!$C:$C,"PIS/COFINS")</f>
        <v>0</v>
      </c>
      <c r="HB76" s="39">
        <f>SUMIFS(Lançamentos!$G:$G,Lançamentos!$A:$A,HB$19,Lançamentos!$C:$C,"PIS/COFINS")</f>
        <v>0</v>
      </c>
      <c r="HC76" s="39">
        <f>SUMIFS(Lançamentos!$G:$G,Lançamentos!$A:$A,HC$19,Lançamentos!$C:$C,"PIS/COFINS")</f>
        <v>0</v>
      </c>
      <c r="HD76" s="39">
        <f>SUMIFS(Lançamentos!$G:$G,Lançamentos!$A:$A,HD$19,Lançamentos!$C:$C,"PIS/COFINS")</f>
        <v>0</v>
      </c>
      <c r="HE76" s="39">
        <f>SUMIFS(Lançamentos!$G:$G,Lançamentos!$A:$A,HE$19,Lançamentos!$C:$C,"PIS/COFINS")</f>
        <v>0</v>
      </c>
      <c r="HF76" s="39">
        <f>SUMIFS(Lançamentos!$G:$G,Lançamentos!$A:$A,HF$19,Lançamentos!$C:$C,"PIS/COFINS")</f>
        <v>0</v>
      </c>
      <c r="HG76" s="39">
        <f>SUMIFS(Lançamentos!$G:$G,Lançamentos!$A:$A,HG$19,Lançamentos!$C:$C,"PIS/COFINS")</f>
        <v>0</v>
      </c>
      <c r="HH76" s="39">
        <f>SUMIFS(Lançamentos!$G:$G,Lançamentos!$A:$A,HH$19,Lançamentos!$C:$C,"PIS/COFINS")</f>
        <v>0</v>
      </c>
      <c r="HI76" s="39">
        <f>SUMIFS(Lançamentos!$G:$G,Lançamentos!$A:$A,HI$19,Lançamentos!$C:$C,"PIS/COFINS")</f>
        <v>0</v>
      </c>
      <c r="HJ76" s="39">
        <f>SUMIFS(Lançamentos!$G:$G,Lançamentos!$A:$A,HJ$19,Lançamentos!$C:$C,"PIS/COFINS")</f>
        <v>0</v>
      </c>
      <c r="HK76" s="39">
        <f>SUMIFS(Lançamentos!$G:$G,Lançamentos!$A:$A,HK$19,Lançamentos!$C:$C,"PIS/COFINS")</f>
        <v>0</v>
      </c>
      <c r="HL76" s="39">
        <f>SUMIFS(Lançamentos!$G:$G,Lançamentos!$A:$A,HL$19,Lançamentos!$C:$C,"PIS/COFINS")</f>
        <v>0</v>
      </c>
      <c r="HM76" s="39">
        <f>SUMIFS(Lançamentos!$G:$G,Lançamentos!$A:$A,HM$19,Lançamentos!$C:$C,"PIS/COFINS")</f>
        <v>0</v>
      </c>
      <c r="HN76" s="39">
        <f>SUMIFS(Lançamentos!$G:$G,Lançamentos!$A:$A,HN$19,Lançamentos!$C:$C,"PIS/COFINS")</f>
        <v>0</v>
      </c>
      <c r="HO76" s="39">
        <f>SUMIFS(Lançamentos!$G:$G,Lançamentos!$A:$A,HO$19,Lançamentos!$C:$C,"PIS/COFINS")</f>
        <v>0</v>
      </c>
      <c r="HP76" s="39">
        <f>SUMIFS(Lançamentos!$G:$G,Lançamentos!$A:$A,HP$19,Lançamentos!$C:$C,"PIS/COFINS")</f>
        <v>0</v>
      </c>
      <c r="HQ76" s="39">
        <f>SUMIFS(Lançamentos!$G:$G,Lançamentos!$A:$A,HQ$19,Lançamentos!$C:$C,"PIS/COFINS")</f>
        <v>0</v>
      </c>
      <c r="HR76" s="39">
        <f>SUMIFS(Lançamentos!$G:$G,Lançamentos!$A:$A,HR$19,Lançamentos!$C:$C,"PIS/COFINS")</f>
        <v>0</v>
      </c>
      <c r="HS76" s="39">
        <f>SUMIFS(Lançamentos!$G:$G,Lançamentos!$A:$A,HS$19,Lançamentos!$C:$C,"PIS/COFINS")</f>
        <v>0</v>
      </c>
      <c r="HT76" s="39">
        <f>SUMIFS(Lançamentos!$G:$G,Lançamentos!$A:$A,HT$19,Lançamentos!$C:$C,"PIS/COFINS")</f>
        <v>0</v>
      </c>
      <c r="HU76" s="39">
        <f>SUMIFS(Lançamentos!$G:$G,Lançamentos!$A:$A,HU$19,Lançamentos!$C:$C,"PIS/COFINS")</f>
        <v>0</v>
      </c>
      <c r="HV76" s="39">
        <f>SUMIFS(Lançamentos!$G:$G,Lançamentos!$A:$A,HV$19,Lançamentos!$C:$C,"PIS/COFINS")</f>
        <v>0</v>
      </c>
      <c r="HW76" s="39">
        <f>SUMIFS(Lançamentos!$G:$G,Lançamentos!$A:$A,HW$19,Lançamentos!$C:$C,"PIS/COFINS")</f>
        <v>0</v>
      </c>
      <c r="HX76" s="39">
        <f>SUMIFS(Lançamentos!$G:$G,Lançamentos!$A:$A,HX$19,Lançamentos!$C:$C,"PIS/COFINS")</f>
        <v>0</v>
      </c>
      <c r="HY76" s="39">
        <f>SUMIFS(Lançamentos!$G:$G,Lançamentos!$A:$A,HY$19,Lançamentos!$C:$C,"PIS/COFINS")</f>
        <v>0</v>
      </c>
      <c r="HZ76" s="39">
        <f>SUMIFS(Lançamentos!$G:$G,Lançamentos!$A:$A,HZ$19,Lançamentos!$C:$C,"PIS/COFINS")</f>
        <v>0</v>
      </c>
      <c r="IA76" s="39">
        <f>SUMIFS(Lançamentos!$G:$G,Lançamentos!$A:$A,IA$19,Lançamentos!$C:$C,"PIS/COFINS")</f>
        <v>0</v>
      </c>
      <c r="IB76" s="39">
        <f>SUMIFS(Lançamentos!$G:$G,Lançamentos!$A:$A,IB$19,Lançamentos!$C:$C,"PIS/COFINS")</f>
        <v>0</v>
      </c>
      <c r="IC76" s="39">
        <f>SUMIFS(Lançamentos!$G:$G,Lançamentos!$A:$A,IC$19,Lançamentos!$C:$C,"PIS/COFINS")</f>
        <v>0</v>
      </c>
      <c r="ID76" s="39">
        <f>SUMIFS(Lançamentos!$G:$G,Lançamentos!$A:$A,ID$19,Lançamentos!$C:$C,"PIS/COFINS")</f>
        <v>0</v>
      </c>
      <c r="IE76" s="39">
        <f>SUMIFS(Lançamentos!$G:$G,Lançamentos!$A:$A,IE$19,Lançamentos!$C:$C,"PIS/COFINS")</f>
        <v>0</v>
      </c>
      <c r="IF76" s="39">
        <f>SUMIFS(Lançamentos!$G:$G,Lançamentos!$A:$A,IF$19,Lançamentos!$C:$C,"PIS/COFINS")</f>
        <v>0</v>
      </c>
      <c r="IG76" s="39">
        <f>SUMIFS(Lançamentos!$G:$G,Lançamentos!$A:$A,IG$19,Lançamentos!$C:$C,"PIS/COFINS")</f>
        <v>0</v>
      </c>
      <c r="IH76" s="39">
        <f>SUMIFS(Lançamentos!$G:$G,Lançamentos!$A:$A,IH$19,Lançamentos!$C:$C,"PIS/COFINS")</f>
        <v>0</v>
      </c>
      <c r="II76" s="39">
        <f>SUMIFS(Lançamentos!$G:$G,Lançamentos!$A:$A,II$19,Lançamentos!$C:$C,"PIS/COFINS")</f>
        <v>0</v>
      </c>
      <c r="IJ76" s="39">
        <f>SUMIFS(Lançamentos!$G:$G,Lançamentos!$A:$A,IJ$19,Lançamentos!$C:$C,"PIS/COFINS")</f>
        <v>0</v>
      </c>
      <c r="IK76" s="39">
        <f>SUMIFS(Lançamentos!$G:$G,Lançamentos!$A:$A,IK$19,Lançamentos!$C:$C,"PIS/COFINS")</f>
        <v>0</v>
      </c>
      <c r="IL76" s="39">
        <f>SUMIFS(Lançamentos!$G:$G,Lançamentos!$A:$A,IL$19,Lançamentos!$C:$C,"PIS/COFINS")</f>
        <v>0</v>
      </c>
    </row>
    <row r="77" spans="1:246" x14ac:dyDescent="0.3">
      <c r="A77" s="50" t="s">
        <v>128</v>
      </c>
      <c r="B77" s="51">
        <f t="shared" ref="B77:BM77" si="11">SUM(B35:B76)</f>
        <v>0</v>
      </c>
      <c r="C77" s="51">
        <f t="shared" si="11"/>
        <v>0</v>
      </c>
      <c r="D77" s="51">
        <f t="shared" si="11"/>
        <v>0</v>
      </c>
      <c r="E77" s="51">
        <f t="shared" si="11"/>
        <v>0</v>
      </c>
      <c r="F77" s="51">
        <f t="shared" si="11"/>
        <v>0</v>
      </c>
      <c r="G77" s="51">
        <f t="shared" si="11"/>
        <v>0</v>
      </c>
      <c r="H77" s="51">
        <f t="shared" si="11"/>
        <v>0</v>
      </c>
      <c r="I77" s="51">
        <f t="shared" si="11"/>
        <v>0</v>
      </c>
      <c r="J77" s="51">
        <f t="shared" si="11"/>
        <v>0</v>
      </c>
      <c r="K77" s="51">
        <f t="shared" si="11"/>
        <v>0</v>
      </c>
      <c r="L77" s="51">
        <f t="shared" si="11"/>
        <v>0</v>
      </c>
      <c r="M77" s="51">
        <f t="shared" si="11"/>
        <v>0</v>
      </c>
      <c r="N77" s="51">
        <f t="shared" si="11"/>
        <v>0</v>
      </c>
      <c r="O77" s="51">
        <f t="shared" si="11"/>
        <v>0</v>
      </c>
      <c r="P77" s="51">
        <f t="shared" si="11"/>
        <v>0</v>
      </c>
      <c r="Q77" s="51">
        <f t="shared" si="11"/>
        <v>0</v>
      </c>
      <c r="R77" s="51">
        <f t="shared" si="11"/>
        <v>0</v>
      </c>
      <c r="S77" s="51">
        <f t="shared" si="11"/>
        <v>0</v>
      </c>
      <c r="T77" s="51">
        <f t="shared" si="11"/>
        <v>0</v>
      </c>
      <c r="U77" s="51">
        <f t="shared" si="11"/>
        <v>0</v>
      </c>
      <c r="V77" s="51">
        <f t="shared" si="11"/>
        <v>0</v>
      </c>
      <c r="W77" s="51">
        <f t="shared" si="11"/>
        <v>0</v>
      </c>
      <c r="X77" s="51">
        <f t="shared" si="11"/>
        <v>0</v>
      </c>
      <c r="Y77" s="51">
        <f t="shared" si="11"/>
        <v>0</v>
      </c>
      <c r="Z77" s="51">
        <f t="shared" si="11"/>
        <v>0</v>
      </c>
      <c r="AA77" s="51">
        <f t="shared" si="11"/>
        <v>0</v>
      </c>
      <c r="AB77" s="51">
        <f t="shared" si="11"/>
        <v>0</v>
      </c>
      <c r="AC77" s="51">
        <f t="shared" si="11"/>
        <v>0</v>
      </c>
      <c r="AD77" s="51">
        <f t="shared" si="11"/>
        <v>0</v>
      </c>
      <c r="AE77" s="51">
        <f t="shared" si="11"/>
        <v>0</v>
      </c>
      <c r="AF77" s="51">
        <f t="shared" si="11"/>
        <v>0</v>
      </c>
      <c r="AG77" s="51">
        <f t="shared" si="11"/>
        <v>0</v>
      </c>
      <c r="AH77" s="51">
        <f t="shared" si="11"/>
        <v>0</v>
      </c>
      <c r="AI77" s="51">
        <f t="shared" si="11"/>
        <v>0</v>
      </c>
      <c r="AJ77" s="51">
        <f t="shared" si="11"/>
        <v>0</v>
      </c>
      <c r="AK77" s="51">
        <f t="shared" si="11"/>
        <v>0</v>
      </c>
      <c r="AL77" s="51">
        <f t="shared" si="11"/>
        <v>0</v>
      </c>
      <c r="AM77" s="51">
        <f t="shared" si="11"/>
        <v>0</v>
      </c>
      <c r="AN77" s="51">
        <f t="shared" si="11"/>
        <v>0</v>
      </c>
      <c r="AO77" s="51">
        <f t="shared" si="11"/>
        <v>0</v>
      </c>
      <c r="AP77" s="51">
        <f t="shared" si="11"/>
        <v>0</v>
      </c>
      <c r="AQ77" s="51">
        <f t="shared" si="11"/>
        <v>0</v>
      </c>
      <c r="AR77" s="51">
        <f t="shared" si="11"/>
        <v>0</v>
      </c>
      <c r="AS77" s="51">
        <f t="shared" si="11"/>
        <v>0</v>
      </c>
      <c r="AT77" s="51">
        <f t="shared" si="11"/>
        <v>0</v>
      </c>
      <c r="AU77" s="51">
        <f t="shared" si="11"/>
        <v>0</v>
      </c>
      <c r="AV77" s="51">
        <f t="shared" si="11"/>
        <v>0</v>
      </c>
      <c r="AW77" s="51">
        <f t="shared" si="11"/>
        <v>0</v>
      </c>
      <c r="AX77" s="51">
        <f t="shared" si="11"/>
        <v>0</v>
      </c>
      <c r="AY77" s="51">
        <f t="shared" si="11"/>
        <v>0</v>
      </c>
      <c r="AZ77" s="51">
        <f t="shared" si="11"/>
        <v>0</v>
      </c>
      <c r="BA77" s="51">
        <f t="shared" si="11"/>
        <v>0</v>
      </c>
      <c r="BB77" s="51">
        <f t="shared" si="11"/>
        <v>0</v>
      </c>
      <c r="BC77" s="51">
        <f t="shared" si="11"/>
        <v>0</v>
      </c>
      <c r="BD77" s="51">
        <f t="shared" si="11"/>
        <v>0</v>
      </c>
      <c r="BE77" s="51">
        <f t="shared" si="11"/>
        <v>0</v>
      </c>
      <c r="BF77" s="51">
        <f t="shared" si="11"/>
        <v>0</v>
      </c>
      <c r="BG77" s="51">
        <f t="shared" si="11"/>
        <v>0</v>
      </c>
      <c r="BH77" s="51">
        <f t="shared" si="11"/>
        <v>0</v>
      </c>
      <c r="BI77" s="51">
        <f t="shared" si="11"/>
        <v>0</v>
      </c>
      <c r="BJ77" s="51">
        <f t="shared" si="11"/>
        <v>0</v>
      </c>
      <c r="BK77" s="51">
        <f t="shared" si="11"/>
        <v>0</v>
      </c>
      <c r="BL77" s="51">
        <f t="shared" si="11"/>
        <v>0</v>
      </c>
      <c r="BM77" s="51">
        <f t="shared" si="11"/>
        <v>0</v>
      </c>
      <c r="BN77" s="51">
        <f t="shared" ref="BN77:DY77" si="12">SUM(BN35:BN76)</f>
        <v>0</v>
      </c>
      <c r="BO77" s="51">
        <f t="shared" si="12"/>
        <v>0</v>
      </c>
      <c r="BP77" s="51">
        <f t="shared" si="12"/>
        <v>0</v>
      </c>
      <c r="BQ77" s="51">
        <f t="shared" si="12"/>
        <v>0</v>
      </c>
      <c r="BR77" s="51">
        <f t="shared" si="12"/>
        <v>0</v>
      </c>
      <c r="BS77" s="51">
        <f t="shared" si="12"/>
        <v>0</v>
      </c>
      <c r="BT77" s="51">
        <f t="shared" si="12"/>
        <v>0</v>
      </c>
      <c r="BU77" s="51">
        <f t="shared" si="12"/>
        <v>0</v>
      </c>
      <c r="BV77" s="51">
        <f t="shared" si="12"/>
        <v>0</v>
      </c>
      <c r="BW77" s="51">
        <f t="shared" si="12"/>
        <v>0</v>
      </c>
      <c r="BX77" s="51">
        <f t="shared" si="12"/>
        <v>0</v>
      </c>
      <c r="BY77" s="51">
        <f t="shared" si="12"/>
        <v>0</v>
      </c>
      <c r="BZ77" s="51">
        <f t="shared" si="12"/>
        <v>0</v>
      </c>
      <c r="CA77" s="51">
        <f t="shared" si="12"/>
        <v>0</v>
      </c>
      <c r="CB77" s="51">
        <f t="shared" si="12"/>
        <v>0</v>
      </c>
      <c r="CC77" s="51">
        <f t="shared" si="12"/>
        <v>0</v>
      </c>
      <c r="CD77" s="51">
        <f t="shared" si="12"/>
        <v>0</v>
      </c>
      <c r="CE77" s="51">
        <f t="shared" si="12"/>
        <v>0</v>
      </c>
      <c r="CF77" s="51">
        <f t="shared" si="12"/>
        <v>0</v>
      </c>
      <c r="CG77" s="51">
        <f t="shared" si="12"/>
        <v>0</v>
      </c>
      <c r="CH77" s="51">
        <f t="shared" si="12"/>
        <v>0</v>
      </c>
      <c r="CI77" s="51">
        <f t="shared" si="12"/>
        <v>0</v>
      </c>
      <c r="CJ77" s="51">
        <f t="shared" si="12"/>
        <v>0</v>
      </c>
      <c r="CK77" s="51">
        <f t="shared" si="12"/>
        <v>0</v>
      </c>
      <c r="CL77" s="51">
        <f t="shared" si="12"/>
        <v>0</v>
      </c>
      <c r="CM77" s="51">
        <f t="shared" si="12"/>
        <v>0</v>
      </c>
      <c r="CN77" s="51">
        <f t="shared" si="12"/>
        <v>0</v>
      </c>
      <c r="CO77" s="51">
        <f t="shared" si="12"/>
        <v>0</v>
      </c>
      <c r="CP77" s="51">
        <f t="shared" si="12"/>
        <v>0</v>
      </c>
      <c r="CQ77" s="51">
        <f t="shared" si="12"/>
        <v>0</v>
      </c>
      <c r="CR77" s="51">
        <f t="shared" si="12"/>
        <v>0</v>
      </c>
      <c r="CS77" s="51">
        <f t="shared" si="12"/>
        <v>0</v>
      </c>
      <c r="CT77" s="51">
        <f t="shared" si="12"/>
        <v>0</v>
      </c>
      <c r="CU77" s="51">
        <f t="shared" si="12"/>
        <v>0</v>
      </c>
      <c r="CV77" s="51">
        <f t="shared" si="12"/>
        <v>0</v>
      </c>
      <c r="CW77" s="51">
        <f t="shared" si="12"/>
        <v>0</v>
      </c>
      <c r="CX77" s="51">
        <f t="shared" si="12"/>
        <v>0</v>
      </c>
      <c r="CY77" s="51">
        <f t="shared" si="12"/>
        <v>0</v>
      </c>
      <c r="CZ77" s="51">
        <f t="shared" si="12"/>
        <v>0</v>
      </c>
      <c r="DA77" s="51">
        <f t="shared" si="12"/>
        <v>0</v>
      </c>
      <c r="DB77" s="51">
        <f t="shared" si="12"/>
        <v>0</v>
      </c>
      <c r="DC77" s="51">
        <f t="shared" si="12"/>
        <v>0</v>
      </c>
      <c r="DD77" s="51">
        <f t="shared" si="12"/>
        <v>0</v>
      </c>
      <c r="DE77" s="51">
        <f t="shared" si="12"/>
        <v>0</v>
      </c>
      <c r="DF77" s="51">
        <f t="shared" si="12"/>
        <v>0</v>
      </c>
      <c r="DG77" s="51">
        <f t="shared" si="12"/>
        <v>0</v>
      </c>
      <c r="DH77" s="51">
        <f t="shared" si="12"/>
        <v>0</v>
      </c>
      <c r="DI77" s="51">
        <f t="shared" si="12"/>
        <v>0</v>
      </c>
      <c r="DJ77" s="51">
        <f t="shared" si="12"/>
        <v>0</v>
      </c>
      <c r="DK77" s="51">
        <f t="shared" si="12"/>
        <v>0</v>
      </c>
      <c r="DL77" s="51">
        <f t="shared" si="12"/>
        <v>0</v>
      </c>
      <c r="DM77" s="51">
        <f t="shared" si="12"/>
        <v>0</v>
      </c>
      <c r="DN77" s="51">
        <f t="shared" si="12"/>
        <v>0</v>
      </c>
      <c r="DO77" s="51">
        <f t="shared" si="12"/>
        <v>0</v>
      </c>
      <c r="DP77" s="51">
        <f t="shared" si="12"/>
        <v>0</v>
      </c>
      <c r="DQ77" s="51">
        <f t="shared" si="12"/>
        <v>0</v>
      </c>
      <c r="DR77" s="51">
        <f t="shared" si="12"/>
        <v>0</v>
      </c>
      <c r="DS77" s="51">
        <f t="shared" si="12"/>
        <v>0</v>
      </c>
      <c r="DT77" s="51">
        <f t="shared" si="12"/>
        <v>0</v>
      </c>
      <c r="DU77" s="51">
        <f t="shared" si="12"/>
        <v>0</v>
      </c>
      <c r="DV77" s="51">
        <f t="shared" si="12"/>
        <v>0</v>
      </c>
      <c r="DW77" s="51">
        <f t="shared" si="12"/>
        <v>0</v>
      </c>
      <c r="DX77" s="51">
        <f t="shared" si="12"/>
        <v>0</v>
      </c>
      <c r="DY77" s="51">
        <f t="shared" si="12"/>
        <v>0</v>
      </c>
      <c r="DZ77" s="51">
        <f t="shared" ref="DZ77:GK77" si="13">SUM(DZ35:DZ76)</f>
        <v>0</v>
      </c>
      <c r="EA77" s="51">
        <f t="shared" si="13"/>
        <v>0</v>
      </c>
      <c r="EB77" s="51">
        <f t="shared" si="13"/>
        <v>0</v>
      </c>
      <c r="EC77" s="51">
        <f t="shared" si="13"/>
        <v>0</v>
      </c>
      <c r="ED77" s="51">
        <f t="shared" si="13"/>
        <v>0</v>
      </c>
      <c r="EE77" s="51">
        <f t="shared" si="13"/>
        <v>0</v>
      </c>
      <c r="EF77" s="51">
        <f t="shared" si="13"/>
        <v>0</v>
      </c>
      <c r="EG77" s="51">
        <f t="shared" si="13"/>
        <v>0</v>
      </c>
      <c r="EH77" s="51">
        <f t="shared" si="13"/>
        <v>0</v>
      </c>
      <c r="EI77" s="51">
        <f t="shared" si="13"/>
        <v>0</v>
      </c>
      <c r="EJ77" s="51">
        <f t="shared" si="13"/>
        <v>0</v>
      </c>
      <c r="EK77" s="51">
        <f t="shared" si="13"/>
        <v>0</v>
      </c>
      <c r="EL77" s="51">
        <f t="shared" si="13"/>
        <v>0</v>
      </c>
      <c r="EM77" s="51">
        <f t="shared" si="13"/>
        <v>0</v>
      </c>
      <c r="EN77" s="51">
        <f t="shared" si="13"/>
        <v>0</v>
      </c>
      <c r="EO77" s="51">
        <f t="shared" si="13"/>
        <v>0</v>
      </c>
      <c r="EP77" s="51">
        <f t="shared" si="13"/>
        <v>0</v>
      </c>
      <c r="EQ77" s="51">
        <f t="shared" si="13"/>
        <v>0</v>
      </c>
      <c r="ER77" s="51">
        <f t="shared" si="13"/>
        <v>0</v>
      </c>
      <c r="ES77" s="51">
        <f t="shared" si="13"/>
        <v>0</v>
      </c>
      <c r="ET77" s="51">
        <f t="shared" si="13"/>
        <v>0</v>
      </c>
      <c r="EU77" s="51">
        <f t="shared" si="13"/>
        <v>0</v>
      </c>
      <c r="EV77" s="51">
        <f t="shared" si="13"/>
        <v>0</v>
      </c>
      <c r="EW77" s="51">
        <f t="shared" si="13"/>
        <v>0</v>
      </c>
      <c r="EX77" s="51">
        <f t="shared" si="13"/>
        <v>0</v>
      </c>
      <c r="EY77" s="51">
        <f t="shared" si="13"/>
        <v>0</v>
      </c>
      <c r="EZ77" s="51">
        <f t="shared" si="13"/>
        <v>0</v>
      </c>
      <c r="FA77" s="51">
        <f t="shared" si="13"/>
        <v>0</v>
      </c>
      <c r="FB77" s="51">
        <f t="shared" si="13"/>
        <v>0</v>
      </c>
      <c r="FC77" s="51">
        <f t="shared" si="13"/>
        <v>0</v>
      </c>
      <c r="FD77" s="51">
        <f t="shared" si="13"/>
        <v>0</v>
      </c>
      <c r="FE77" s="51">
        <f t="shared" si="13"/>
        <v>0</v>
      </c>
      <c r="FF77" s="51">
        <f t="shared" si="13"/>
        <v>0</v>
      </c>
      <c r="FG77" s="51">
        <f t="shared" si="13"/>
        <v>0</v>
      </c>
      <c r="FH77" s="51">
        <f t="shared" si="13"/>
        <v>0</v>
      </c>
      <c r="FI77" s="51">
        <f t="shared" si="13"/>
        <v>0</v>
      </c>
      <c r="FJ77" s="51">
        <f t="shared" si="13"/>
        <v>0</v>
      </c>
      <c r="FK77" s="51">
        <f t="shared" si="13"/>
        <v>0</v>
      </c>
      <c r="FL77" s="51">
        <f t="shared" si="13"/>
        <v>0</v>
      </c>
      <c r="FM77" s="51">
        <f t="shared" si="13"/>
        <v>0</v>
      </c>
      <c r="FN77" s="51">
        <f t="shared" si="13"/>
        <v>0</v>
      </c>
      <c r="FO77" s="51">
        <f t="shared" si="13"/>
        <v>0</v>
      </c>
      <c r="FP77" s="51">
        <f t="shared" si="13"/>
        <v>0</v>
      </c>
      <c r="FQ77" s="51">
        <f t="shared" si="13"/>
        <v>0</v>
      </c>
      <c r="FR77" s="51">
        <f t="shared" si="13"/>
        <v>0</v>
      </c>
      <c r="FS77" s="51">
        <f t="shared" si="13"/>
        <v>0</v>
      </c>
      <c r="FT77" s="51">
        <f t="shared" si="13"/>
        <v>0</v>
      </c>
      <c r="FU77" s="51">
        <f t="shared" si="13"/>
        <v>0</v>
      </c>
      <c r="FV77" s="51">
        <f t="shared" si="13"/>
        <v>0</v>
      </c>
      <c r="FW77" s="51">
        <f t="shared" si="13"/>
        <v>0</v>
      </c>
      <c r="FX77" s="51">
        <f t="shared" si="13"/>
        <v>0</v>
      </c>
      <c r="FY77" s="51">
        <f t="shared" si="13"/>
        <v>0</v>
      </c>
      <c r="FZ77" s="51">
        <f t="shared" si="13"/>
        <v>0</v>
      </c>
      <c r="GA77" s="51">
        <f t="shared" si="13"/>
        <v>0</v>
      </c>
      <c r="GB77" s="51">
        <f t="shared" si="13"/>
        <v>0</v>
      </c>
      <c r="GC77" s="51">
        <f t="shared" si="13"/>
        <v>0</v>
      </c>
      <c r="GD77" s="51">
        <f t="shared" si="13"/>
        <v>0</v>
      </c>
      <c r="GE77" s="51">
        <f t="shared" si="13"/>
        <v>0</v>
      </c>
      <c r="GF77" s="51">
        <f t="shared" si="13"/>
        <v>0</v>
      </c>
      <c r="GG77" s="51">
        <f t="shared" si="13"/>
        <v>0</v>
      </c>
      <c r="GH77" s="51">
        <f t="shared" si="13"/>
        <v>0</v>
      </c>
      <c r="GI77" s="51">
        <f t="shared" si="13"/>
        <v>0</v>
      </c>
      <c r="GJ77" s="51">
        <f t="shared" si="13"/>
        <v>0</v>
      </c>
      <c r="GK77" s="51">
        <f t="shared" si="13"/>
        <v>0</v>
      </c>
      <c r="GL77" s="51">
        <f t="shared" ref="GL77:IL77" si="14">SUM(GL35:GL76)</f>
        <v>0</v>
      </c>
      <c r="GM77" s="51">
        <f t="shared" si="14"/>
        <v>0</v>
      </c>
      <c r="GN77" s="51">
        <f t="shared" si="14"/>
        <v>0</v>
      </c>
      <c r="GO77" s="51">
        <f t="shared" si="14"/>
        <v>0</v>
      </c>
      <c r="GP77" s="51">
        <f t="shared" si="14"/>
        <v>0</v>
      </c>
      <c r="GQ77" s="51">
        <f t="shared" si="14"/>
        <v>0</v>
      </c>
      <c r="GR77" s="51">
        <f t="shared" si="14"/>
        <v>0</v>
      </c>
      <c r="GS77" s="51">
        <f t="shared" si="14"/>
        <v>0</v>
      </c>
      <c r="GT77" s="51">
        <f t="shared" si="14"/>
        <v>0</v>
      </c>
      <c r="GU77" s="51">
        <f t="shared" si="14"/>
        <v>0</v>
      </c>
      <c r="GV77" s="51">
        <f t="shared" si="14"/>
        <v>0</v>
      </c>
      <c r="GW77" s="51">
        <f t="shared" si="14"/>
        <v>0</v>
      </c>
      <c r="GX77" s="51">
        <f t="shared" si="14"/>
        <v>0</v>
      </c>
      <c r="GY77" s="51">
        <f t="shared" si="14"/>
        <v>0</v>
      </c>
      <c r="GZ77" s="51">
        <f t="shared" si="14"/>
        <v>0</v>
      </c>
      <c r="HA77" s="51">
        <f t="shared" si="14"/>
        <v>0</v>
      </c>
      <c r="HB77" s="51">
        <f t="shared" si="14"/>
        <v>0</v>
      </c>
      <c r="HC77" s="51">
        <f t="shared" si="14"/>
        <v>0</v>
      </c>
      <c r="HD77" s="51">
        <f t="shared" si="14"/>
        <v>0</v>
      </c>
      <c r="HE77" s="51">
        <f t="shared" si="14"/>
        <v>0</v>
      </c>
      <c r="HF77" s="51">
        <f t="shared" si="14"/>
        <v>0</v>
      </c>
      <c r="HG77" s="51">
        <f t="shared" si="14"/>
        <v>0</v>
      </c>
      <c r="HH77" s="51">
        <f t="shared" si="14"/>
        <v>0</v>
      </c>
      <c r="HI77" s="51">
        <f t="shared" si="14"/>
        <v>0</v>
      </c>
      <c r="HJ77" s="51">
        <f t="shared" si="14"/>
        <v>0</v>
      </c>
      <c r="HK77" s="51">
        <f t="shared" si="14"/>
        <v>0</v>
      </c>
      <c r="HL77" s="51">
        <f t="shared" si="14"/>
        <v>0</v>
      </c>
      <c r="HM77" s="51">
        <f t="shared" si="14"/>
        <v>0</v>
      </c>
      <c r="HN77" s="51">
        <f t="shared" si="14"/>
        <v>0</v>
      </c>
      <c r="HO77" s="51">
        <f t="shared" si="14"/>
        <v>0</v>
      </c>
      <c r="HP77" s="51">
        <f t="shared" si="14"/>
        <v>0</v>
      </c>
      <c r="HQ77" s="51">
        <f t="shared" si="14"/>
        <v>0</v>
      </c>
      <c r="HR77" s="51">
        <f t="shared" si="14"/>
        <v>0</v>
      </c>
      <c r="HS77" s="51">
        <f t="shared" si="14"/>
        <v>0</v>
      </c>
      <c r="HT77" s="51">
        <f t="shared" si="14"/>
        <v>0</v>
      </c>
      <c r="HU77" s="51">
        <f t="shared" si="14"/>
        <v>0</v>
      </c>
      <c r="HV77" s="51">
        <f t="shared" si="14"/>
        <v>0</v>
      </c>
      <c r="HW77" s="51">
        <f t="shared" si="14"/>
        <v>0</v>
      </c>
      <c r="HX77" s="51">
        <f t="shared" si="14"/>
        <v>0</v>
      </c>
      <c r="HY77" s="51">
        <f t="shared" si="14"/>
        <v>0</v>
      </c>
      <c r="HZ77" s="51">
        <f t="shared" si="14"/>
        <v>0</v>
      </c>
      <c r="IA77" s="51">
        <f t="shared" si="14"/>
        <v>0</v>
      </c>
      <c r="IB77" s="51">
        <f t="shared" si="14"/>
        <v>0</v>
      </c>
      <c r="IC77" s="51">
        <f t="shared" si="14"/>
        <v>0</v>
      </c>
      <c r="ID77" s="51">
        <f t="shared" si="14"/>
        <v>0</v>
      </c>
      <c r="IE77" s="51">
        <f t="shared" si="14"/>
        <v>0</v>
      </c>
      <c r="IF77" s="51">
        <f t="shared" si="14"/>
        <v>0</v>
      </c>
      <c r="IG77" s="51">
        <f t="shared" si="14"/>
        <v>0</v>
      </c>
      <c r="IH77" s="51">
        <f t="shared" si="14"/>
        <v>0</v>
      </c>
      <c r="II77" s="51">
        <f t="shared" si="14"/>
        <v>0</v>
      </c>
      <c r="IJ77" s="51">
        <f t="shared" si="14"/>
        <v>0</v>
      </c>
      <c r="IK77" s="51">
        <f t="shared" si="14"/>
        <v>0</v>
      </c>
      <c r="IL77" s="51">
        <f t="shared" si="14"/>
        <v>0</v>
      </c>
    </row>
    <row r="78" spans="1:246" x14ac:dyDescent="0.3">
      <c r="A78" s="52" t="s">
        <v>129</v>
      </c>
      <c r="B78" s="41">
        <f t="shared" ref="B78:BM78" si="15">B33-B77</f>
        <v>0</v>
      </c>
      <c r="C78" s="41">
        <f t="shared" si="15"/>
        <v>0</v>
      </c>
      <c r="D78" s="41">
        <f t="shared" si="15"/>
        <v>0</v>
      </c>
      <c r="E78" s="41">
        <f t="shared" si="15"/>
        <v>0</v>
      </c>
      <c r="F78" s="41">
        <f t="shared" si="15"/>
        <v>0</v>
      </c>
      <c r="G78" s="41">
        <f t="shared" si="15"/>
        <v>0</v>
      </c>
      <c r="H78" s="41">
        <f t="shared" si="15"/>
        <v>0</v>
      </c>
      <c r="I78" s="41">
        <f t="shared" si="15"/>
        <v>0</v>
      </c>
      <c r="J78" s="41">
        <f t="shared" si="15"/>
        <v>0</v>
      </c>
      <c r="K78" s="41">
        <f t="shared" si="15"/>
        <v>25000</v>
      </c>
      <c r="L78" s="41">
        <f t="shared" si="15"/>
        <v>0</v>
      </c>
      <c r="M78" s="41">
        <f t="shared" si="15"/>
        <v>0</v>
      </c>
      <c r="N78" s="41">
        <f t="shared" si="15"/>
        <v>0</v>
      </c>
      <c r="O78" s="41">
        <f t="shared" si="15"/>
        <v>0</v>
      </c>
      <c r="P78" s="41">
        <f t="shared" si="15"/>
        <v>0</v>
      </c>
      <c r="Q78" s="41">
        <f t="shared" si="15"/>
        <v>0</v>
      </c>
      <c r="R78" s="41">
        <f t="shared" si="15"/>
        <v>0</v>
      </c>
      <c r="S78" s="41">
        <f t="shared" si="15"/>
        <v>0</v>
      </c>
      <c r="T78" s="41">
        <f t="shared" si="15"/>
        <v>0</v>
      </c>
      <c r="U78" s="41">
        <f t="shared" si="15"/>
        <v>0</v>
      </c>
      <c r="V78" s="41">
        <f t="shared" si="15"/>
        <v>0</v>
      </c>
      <c r="W78" s="41">
        <f t="shared" si="15"/>
        <v>0</v>
      </c>
      <c r="X78" s="41">
        <f t="shared" si="15"/>
        <v>0</v>
      </c>
      <c r="Y78" s="41">
        <f t="shared" si="15"/>
        <v>0</v>
      </c>
      <c r="Z78" s="41">
        <f t="shared" si="15"/>
        <v>0</v>
      </c>
      <c r="AA78" s="41">
        <f t="shared" si="15"/>
        <v>0</v>
      </c>
      <c r="AB78" s="41">
        <f t="shared" si="15"/>
        <v>0</v>
      </c>
      <c r="AC78" s="41">
        <f t="shared" si="15"/>
        <v>0</v>
      </c>
      <c r="AD78" s="41">
        <f t="shared" si="15"/>
        <v>0</v>
      </c>
      <c r="AE78" s="41">
        <f t="shared" si="15"/>
        <v>0</v>
      </c>
      <c r="AF78" s="41">
        <f t="shared" si="15"/>
        <v>0</v>
      </c>
      <c r="AG78" s="41">
        <f t="shared" si="15"/>
        <v>0</v>
      </c>
      <c r="AH78" s="41">
        <f t="shared" si="15"/>
        <v>0</v>
      </c>
      <c r="AI78" s="41">
        <f t="shared" si="15"/>
        <v>0</v>
      </c>
      <c r="AJ78" s="41">
        <f t="shared" si="15"/>
        <v>0</v>
      </c>
      <c r="AK78" s="41">
        <f t="shared" si="15"/>
        <v>0</v>
      </c>
      <c r="AL78" s="41">
        <f t="shared" si="15"/>
        <v>0</v>
      </c>
      <c r="AM78" s="41">
        <f t="shared" si="15"/>
        <v>0</v>
      </c>
      <c r="AN78" s="41">
        <f t="shared" si="15"/>
        <v>0</v>
      </c>
      <c r="AO78" s="41">
        <f t="shared" si="15"/>
        <v>0</v>
      </c>
      <c r="AP78" s="41">
        <f t="shared" si="15"/>
        <v>0</v>
      </c>
      <c r="AQ78" s="41">
        <f t="shared" si="15"/>
        <v>0</v>
      </c>
      <c r="AR78" s="41">
        <f t="shared" si="15"/>
        <v>0</v>
      </c>
      <c r="AS78" s="41">
        <f t="shared" si="15"/>
        <v>0</v>
      </c>
      <c r="AT78" s="41">
        <f t="shared" si="15"/>
        <v>0</v>
      </c>
      <c r="AU78" s="41">
        <f t="shared" si="15"/>
        <v>0</v>
      </c>
      <c r="AV78" s="41">
        <f t="shared" si="15"/>
        <v>0</v>
      </c>
      <c r="AW78" s="41">
        <f t="shared" si="15"/>
        <v>0</v>
      </c>
      <c r="AX78" s="41">
        <f t="shared" si="15"/>
        <v>0</v>
      </c>
      <c r="AY78" s="41">
        <f t="shared" si="15"/>
        <v>0</v>
      </c>
      <c r="AZ78" s="41">
        <f t="shared" si="15"/>
        <v>0</v>
      </c>
      <c r="BA78" s="41">
        <f t="shared" si="15"/>
        <v>0</v>
      </c>
      <c r="BB78" s="41">
        <f t="shared" si="15"/>
        <v>0</v>
      </c>
      <c r="BC78" s="41">
        <f t="shared" si="15"/>
        <v>0</v>
      </c>
      <c r="BD78" s="41">
        <f t="shared" si="15"/>
        <v>0</v>
      </c>
      <c r="BE78" s="41">
        <f t="shared" si="15"/>
        <v>0</v>
      </c>
      <c r="BF78" s="41">
        <f t="shared" si="15"/>
        <v>0</v>
      </c>
      <c r="BG78" s="41">
        <f t="shared" si="15"/>
        <v>0</v>
      </c>
      <c r="BH78" s="41">
        <f t="shared" si="15"/>
        <v>0</v>
      </c>
      <c r="BI78" s="41">
        <f t="shared" si="15"/>
        <v>0</v>
      </c>
      <c r="BJ78" s="41">
        <f t="shared" si="15"/>
        <v>0</v>
      </c>
      <c r="BK78" s="41">
        <f t="shared" si="15"/>
        <v>0</v>
      </c>
      <c r="BL78" s="41">
        <f t="shared" si="15"/>
        <v>0</v>
      </c>
      <c r="BM78" s="41">
        <f t="shared" si="15"/>
        <v>0</v>
      </c>
      <c r="BN78" s="41">
        <f t="shared" ref="BN78:DY78" si="16">BN33-BN77</f>
        <v>0</v>
      </c>
      <c r="BO78" s="41">
        <f t="shared" si="16"/>
        <v>0</v>
      </c>
      <c r="BP78" s="41">
        <f t="shared" si="16"/>
        <v>0</v>
      </c>
      <c r="BQ78" s="41">
        <f t="shared" si="16"/>
        <v>0</v>
      </c>
      <c r="BR78" s="41">
        <f t="shared" si="16"/>
        <v>0</v>
      </c>
      <c r="BS78" s="41">
        <f t="shared" si="16"/>
        <v>0</v>
      </c>
      <c r="BT78" s="41">
        <f t="shared" si="16"/>
        <v>0</v>
      </c>
      <c r="BU78" s="41">
        <f t="shared" si="16"/>
        <v>0</v>
      </c>
      <c r="BV78" s="41">
        <f t="shared" si="16"/>
        <v>0</v>
      </c>
      <c r="BW78" s="41">
        <f t="shared" si="16"/>
        <v>0</v>
      </c>
      <c r="BX78" s="41">
        <f t="shared" si="16"/>
        <v>0</v>
      </c>
      <c r="BY78" s="41">
        <f t="shared" si="16"/>
        <v>0</v>
      </c>
      <c r="BZ78" s="41">
        <f t="shared" si="16"/>
        <v>0</v>
      </c>
      <c r="CA78" s="41">
        <f t="shared" si="16"/>
        <v>0</v>
      </c>
      <c r="CB78" s="41">
        <f t="shared" si="16"/>
        <v>0</v>
      </c>
      <c r="CC78" s="41">
        <f t="shared" si="16"/>
        <v>0</v>
      </c>
      <c r="CD78" s="41">
        <f t="shared" si="16"/>
        <v>0</v>
      </c>
      <c r="CE78" s="41">
        <f t="shared" si="16"/>
        <v>0</v>
      </c>
      <c r="CF78" s="41">
        <f t="shared" si="16"/>
        <v>0</v>
      </c>
      <c r="CG78" s="41">
        <f t="shared" si="16"/>
        <v>0</v>
      </c>
      <c r="CH78" s="41">
        <f t="shared" si="16"/>
        <v>0</v>
      </c>
      <c r="CI78" s="41">
        <f t="shared" si="16"/>
        <v>0</v>
      </c>
      <c r="CJ78" s="41">
        <f t="shared" si="16"/>
        <v>0</v>
      </c>
      <c r="CK78" s="41">
        <f t="shared" si="16"/>
        <v>0</v>
      </c>
      <c r="CL78" s="41">
        <f t="shared" si="16"/>
        <v>0</v>
      </c>
      <c r="CM78" s="41">
        <f t="shared" si="16"/>
        <v>0</v>
      </c>
      <c r="CN78" s="41">
        <f t="shared" si="16"/>
        <v>0</v>
      </c>
      <c r="CO78" s="41">
        <f t="shared" si="16"/>
        <v>0</v>
      </c>
      <c r="CP78" s="41">
        <f t="shared" si="16"/>
        <v>0</v>
      </c>
      <c r="CQ78" s="41">
        <f t="shared" si="16"/>
        <v>0</v>
      </c>
      <c r="CR78" s="41">
        <f t="shared" si="16"/>
        <v>0</v>
      </c>
      <c r="CS78" s="41">
        <f t="shared" si="16"/>
        <v>0</v>
      </c>
      <c r="CT78" s="41">
        <f t="shared" si="16"/>
        <v>0</v>
      </c>
      <c r="CU78" s="41">
        <f t="shared" si="16"/>
        <v>0</v>
      </c>
      <c r="CV78" s="41">
        <f t="shared" si="16"/>
        <v>0</v>
      </c>
      <c r="CW78" s="41">
        <f t="shared" si="16"/>
        <v>0</v>
      </c>
      <c r="CX78" s="41">
        <f t="shared" si="16"/>
        <v>0</v>
      </c>
      <c r="CY78" s="41">
        <f t="shared" si="16"/>
        <v>0</v>
      </c>
      <c r="CZ78" s="41">
        <f t="shared" si="16"/>
        <v>0</v>
      </c>
      <c r="DA78" s="41">
        <f t="shared" si="16"/>
        <v>0</v>
      </c>
      <c r="DB78" s="41">
        <f t="shared" si="16"/>
        <v>0</v>
      </c>
      <c r="DC78" s="41">
        <f t="shared" si="16"/>
        <v>0</v>
      </c>
      <c r="DD78" s="41">
        <f t="shared" si="16"/>
        <v>0</v>
      </c>
      <c r="DE78" s="41">
        <f t="shared" si="16"/>
        <v>0</v>
      </c>
      <c r="DF78" s="41">
        <f t="shared" si="16"/>
        <v>0</v>
      </c>
      <c r="DG78" s="41">
        <f t="shared" si="16"/>
        <v>0</v>
      </c>
      <c r="DH78" s="41">
        <f t="shared" si="16"/>
        <v>0</v>
      </c>
      <c r="DI78" s="41">
        <f t="shared" si="16"/>
        <v>0</v>
      </c>
      <c r="DJ78" s="41">
        <f t="shared" si="16"/>
        <v>0</v>
      </c>
      <c r="DK78" s="41">
        <f t="shared" si="16"/>
        <v>0</v>
      </c>
      <c r="DL78" s="41">
        <f t="shared" si="16"/>
        <v>0</v>
      </c>
      <c r="DM78" s="41">
        <f t="shared" si="16"/>
        <v>0</v>
      </c>
      <c r="DN78" s="41">
        <f t="shared" si="16"/>
        <v>0</v>
      </c>
      <c r="DO78" s="41">
        <f t="shared" si="16"/>
        <v>0</v>
      </c>
      <c r="DP78" s="41">
        <f t="shared" si="16"/>
        <v>0</v>
      </c>
      <c r="DQ78" s="41">
        <f t="shared" si="16"/>
        <v>0</v>
      </c>
      <c r="DR78" s="41">
        <f t="shared" si="16"/>
        <v>0</v>
      </c>
      <c r="DS78" s="41">
        <f t="shared" si="16"/>
        <v>0</v>
      </c>
      <c r="DT78" s="41">
        <f t="shared" si="16"/>
        <v>0</v>
      </c>
      <c r="DU78" s="41">
        <f t="shared" si="16"/>
        <v>0</v>
      </c>
      <c r="DV78" s="41">
        <f t="shared" si="16"/>
        <v>0</v>
      </c>
      <c r="DW78" s="41">
        <f t="shared" si="16"/>
        <v>0</v>
      </c>
      <c r="DX78" s="41">
        <f t="shared" si="16"/>
        <v>0</v>
      </c>
      <c r="DY78" s="41">
        <f t="shared" si="16"/>
        <v>0</v>
      </c>
      <c r="DZ78" s="41">
        <f t="shared" ref="DZ78:GK78" si="17">DZ33-DZ77</f>
        <v>0</v>
      </c>
      <c r="EA78" s="41">
        <f t="shared" si="17"/>
        <v>0</v>
      </c>
      <c r="EB78" s="41">
        <f t="shared" si="17"/>
        <v>0</v>
      </c>
      <c r="EC78" s="41">
        <f t="shared" si="17"/>
        <v>0</v>
      </c>
      <c r="ED78" s="41">
        <f t="shared" si="17"/>
        <v>0</v>
      </c>
      <c r="EE78" s="41">
        <f t="shared" si="17"/>
        <v>0</v>
      </c>
      <c r="EF78" s="41">
        <f t="shared" si="17"/>
        <v>0</v>
      </c>
      <c r="EG78" s="41">
        <f t="shared" si="17"/>
        <v>0</v>
      </c>
      <c r="EH78" s="41">
        <f t="shared" si="17"/>
        <v>0</v>
      </c>
      <c r="EI78" s="41">
        <f t="shared" si="17"/>
        <v>0</v>
      </c>
      <c r="EJ78" s="41">
        <f t="shared" si="17"/>
        <v>0</v>
      </c>
      <c r="EK78" s="41">
        <f t="shared" si="17"/>
        <v>0</v>
      </c>
      <c r="EL78" s="41">
        <f t="shared" si="17"/>
        <v>0</v>
      </c>
      <c r="EM78" s="41">
        <f t="shared" si="17"/>
        <v>0</v>
      </c>
      <c r="EN78" s="41">
        <f t="shared" si="17"/>
        <v>0</v>
      </c>
      <c r="EO78" s="41">
        <f t="shared" si="17"/>
        <v>0</v>
      </c>
      <c r="EP78" s="41">
        <f t="shared" si="17"/>
        <v>0</v>
      </c>
      <c r="EQ78" s="41">
        <f t="shared" si="17"/>
        <v>0</v>
      </c>
      <c r="ER78" s="41">
        <f t="shared" si="17"/>
        <v>0</v>
      </c>
      <c r="ES78" s="41">
        <f t="shared" si="17"/>
        <v>0</v>
      </c>
      <c r="ET78" s="41">
        <f t="shared" si="17"/>
        <v>0</v>
      </c>
      <c r="EU78" s="41">
        <f t="shared" si="17"/>
        <v>0</v>
      </c>
      <c r="EV78" s="41">
        <f t="shared" si="17"/>
        <v>0</v>
      </c>
      <c r="EW78" s="41">
        <f t="shared" si="17"/>
        <v>0</v>
      </c>
      <c r="EX78" s="41">
        <f t="shared" si="17"/>
        <v>0</v>
      </c>
      <c r="EY78" s="41">
        <f t="shared" si="17"/>
        <v>0</v>
      </c>
      <c r="EZ78" s="41">
        <f t="shared" si="17"/>
        <v>0</v>
      </c>
      <c r="FA78" s="41">
        <f t="shared" si="17"/>
        <v>0</v>
      </c>
      <c r="FB78" s="41">
        <f t="shared" si="17"/>
        <v>0</v>
      </c>
      <c r="FC78" s="41">
        <f t="shared" si="17"/>
        <v>0</v>
      </c>
      <c r="FD78" s="41">
        <f t="shared" si="17"/>
        <v>0</v>
      </c>
      <c r="FE78" s="41">
        <f t="shared" si="17"/>
        <v>0</v>
      </c>
      <c r="FF78" s="41">
        <f t="shared" si="17"/>
        <v>0</v>
      </c>
      <c r="FG78" s="41">
        <f t="shared" si="17"/>
        <v>0</v>
      </c>
      <c r="FH78" s="41">
        <f t="shared" si="17"/>
        <v>0</v>
      </c>
      <c r="FI78" s="41">
        <f t="shared" si="17"/>
        <v>0</v>
      </c>
      <c r="FJ78" s="41">
        <f t="shared" si="17"/>
        <v>0</v>
      </c>
      <c r="FK78" s="41">
        <f t="shared" si="17"/>
        <v>0</v>
      </c>
      <c r="FL78" s="41">
        <f t="shared" si="17"/>
        <v>0</v>
      </c>
      <c r="FM78" s="41">
        <f t="shared" si="17"/>
        <v>0</v>
      </c>
      <c r="FN78" s="41">
        <f t="shared" si="17"/>
        <v>0</v>
      </c>
      <c r="FO78" s="41">
        <f t="shared" si="17"/>
        <v>0</v>
      </c>
      <c r="FP78" s="41">
        <f t="shared" si="17"/>
        <v>0</v>
      </c>
      <c r="FQ78" s="41">
        <f t="shared" si="17"/>
        <v>0</v>
      </c>
      <c r="FR78" s="41">
        <f t="shared" si="17"/>
        <v>0</v>
      </c>
      <c r="FS78" s="41">
        <f t="shared" si="17"/>
        <v>0</v>
      </c>
      <c r="FT78" s="41">
        <f t="shared" si="17"/>
        <v>0</v>
      </c>
      <c r="FU78" s="41">
        <f t="shared" si="17"/>
        <v>0</v>
      </c>
      <c r="FV78" s="41">
        <f t="shared" si="17"/>
        <v>0</v>
      </c>
      <c r="FW78" s="41">
        <f t="shared" si="17"/>
        <v>0</v>
      </c>
      <c r="FX78" s="41">
        <f t="shared" si="17"/>
        <v>0</v>
      </c>
      <c r="FY78" s="41">
        <f t="shared" si="17"/>
        <v>0</v>
      </c>
      <c r="FZ78" s="41">
        <f t="shared" si="17"/>
        <v>0</v>
      </c>
      <c r="GA78" s="41">
        <f t="shared" si="17"/>
        <v>0</v>
      </c>
      <c r="GB78" s="41">
        <f t="shared" si="17"/>
        <v>0</v>
      </c>
      <c r="GC78" s="41">
        <f t="shared" si="17"/>
        <v>0</v>
      </c>
      <c r="GD78" s="41">
        <f t="shared" si="17"/>
        <v>0</v>
      </c>
      <c r="GE78" s="41">
        <f t="shared" si="17"/>
        <v>0</v>
      </c>
      <c r="GF78" s="41">
        <f t="shared" si="17"/>
        <v>0</v>
      </c>
      <c r="GG78" s="41">
        <f t="shared" si="17"/>
        <v>0</v>
      </c>
      <c r="GH78" s="41">
        <f t="shared" si="17"/>
        <v>0</v>
      </c>
      <c r="GI78" s="41">
        <f t="shared" si="17"/>
        <v>0</v>
      </c>
      <c r="GJ78" s="41">
        <f t="shared" si="17"/>
        <v>0</v>
      </c>
      <c r="GK78" s="41">
        <f t="shared" si="17"/>
        <v>0</v>
      </c>
      <c r="GL78" s="41">
        <f t="shared" ref="GL78:IL78" si="18">GL33-GL77</f>
        <v>0</v>
      </c>
      <c r="GM78" s="41">
        <f t="shared" si="18"/>
        <v>0</v>
      </c>
      <c r="GN78" s="41">
        <f t="shared" si="18"/>
        <v>0</v>
      </c>
      <c r="GO78" s="41">
        <f t="shared" si="18"/>
        <v>0</v>
      </c>
      <c r="GP78" s="41">
        <f t="shared" si="18"/>
        <v>0</v>
      </c>
      <c r="GQ78" s="41">
        <f t="shared" si="18"/>
        <v>0</v>
      </c>
      <c r="GR78" s="41">
        <f t="shared" si="18"/>
        <v>0</v>
      </c>
      <c r="GS78" s="41">
        <f t="shared" si="18"/>
        <v>0</v>
      </c>
      <c r="GT78" s="41">
        <f t="shared" si="18"/>
        <v>0</v>
      </c>
      <c r="GU78" s="41">
        <f t="shared" si="18"/>
        <v>0</v>
      </c>
      <c r="GV78" s="41">
        <f t="shared" si="18"/>
        <v>0</v>
      </c>
      <c r="GW78" s="41">
        <f t="shared" si="18"/>
        <v>0</v>
      </c>
      <c r="GX78" s="41">
        <f t="shared" si="18"/>
        <v>0</v>
      </c>
      <c r="GY78" s="41">
        <f t="shared" si="18"/>
        <v>0</v>
      </c>
      <c r="GZ78" s="41">
        <f t="shared" si="18"/>
        <v>0</v>
      </c>
      <c r="HA78" s="41">
        <f t="shared" si="18"/>
        <v>0</v>
      </c>
      <c r="HB78" s="41">
        <f t="shared" si="18"/>
        <v>0</v>
      </c>
      <c r="HC78" s="41">
        <f t="shared" si="18"/>
        <v>0</v>
      </c>
      <c r="HD78" s="41">
        <f t="shared" si="18"/>
        <v>0</v>
      </c>
      <c r="HE78" s="41">
        <f t="shared" si="18"/>
        <v>0</v>
      </c>
      <c r="HF78" s="41">
        <f t="shared" si="18"/>
        <v>0</v>
      </c>
      <c r="HG78" s="41">
        <f t="shared" si="18"/>
        <v>0</v>
      </c>
      <c r="HH78" s="41">
        <f t="shared" si="18"/>
        <v>0</v>
      </c>
      <c r="HI78" s="41">
        <f t="shared" si="18"/>
        <v>0</v>
      </c>
      <c r="HJ78" s="41">
        <f t="shared" si="18"/>
        <v>0</v>
      </c>
      <c r="HK78" s="41">
        <f t="shared" si="18"/>
        <v>0</v>
      </c>
      <c r="HL78" s="41">
        <f t="shared" si="18"/>
        <v>0</v>
      </c>
      <c r="HM78" s="41">
        <f t="shared" si="18"/>
        <v>0</v>
      </c>
      <c r="HN78" s="41">
        <f t="shared" si="18"/>
        <v>0</v>
      </c>
      <c r="HO78" s="41">
        <f t="shared" si="18"/>
        <v>0</v>
      </c>
      <c r="HP78" s="41">
        <f t="shared" si="18"/>
        <v>0</v>
      </c>
      <c r="HQ78" s="41">
        <f t="shared" si="18"/>
        <v>0</v>
      </c>
      <c r="HR78" s="41">
        <f t="shared" si="18"/>
        <v>0</v>
      </c>
      <c r="HS78" s="41">
        <f t="shared" si="18"/>
        <v>0</v>
      </c>
      <c r="HT78" s="41">
        <f t="shared" si="18"/>
        <v>0</v>
      </c>
      <c r="HU78" s="41">
        <f t="shared" si="18"/>
        <v>0</v>
      </c>
      <c r="HV78" s="41">
        <f t="shared" si="18"/>
        <v>0</v>
      </c>
      <c r="HW78" s="41">
        <f t="shared" si="18"/>
        <v>0</v>
      </c>
      <c r="HX78" s="41">
        <f t="shared" si="18"/>
        <v>0</v>
      </c>
      <c r="HY78" s="41">
        <f t="shared" si="18"/>
        <v>0</v>
      </c>
      <c r="HZ78" s="41">
        <f t="shared" si="18"/>
        <v>0</v>
      </c>
      <c r="IA78" s="41">
        <f t="shared" si="18"/>
        <v>0</v>
      </c>
      <c r="IB78" s="41">
        <f t="shared" si="18"/>
        <v>0</v>
      </c>
      <c r="IC78" s="41">
        <f t="shared" si="18"/>
        <v>0</v>
      </c>
      <c r="ID78" s="41">
        <f t="shared" si="18"/>
        <v>0</v>
      </c>
      <c r="IE78" s="41">
        <f t="shared" si="18"/>
        <v>0</v>
      </c>
      <c r="IF78" s="41">
        <f t="shared" si="18"/>
        <v>0</v>
      </c>
      <c r="IG78" s="41">
        <f t="shared" si="18"/>
        <v>0</v>
      </c>
      <c r="IH78" s="41">
        <f t="shared" si="18"/>
        <v>0</v>
      </c>
      <c r="II78" s="41">
        <f t="shared" si="18"/>
        <v>0</v>
      </c>
      <c r="IJ78" s="41">
        <f t="shared" si="18"/>
        <v>0</v>
      </c>
      <c r="IK78" s="41">
        <f t="shared" si="18"/>
        <v>0</v>
      </c>
      <c r="IL78" s="41">
        <f t="shared" si="18"/>
        <v>0</v>
      </c>
    </row>
    <row r="79" spans="1:246" x14ac:dyDescent="0.3">
      <c r="A79" s="1" t="s">
        <v>130</v>
      </c>
      <c r="B79" s="40">
        <f t="shared" ref="B79:BM79" si="19">B20+B78</f>
        <v>7500</v>
      </c>
      <c r="C79" s="40">
        <f t="shared" si="19"/>
        <v>7500</v>
      </c>
      <c r="D79" s="40">
        <f t="shared" si="19"/>
        <v>7500</v>
      </c>
      <c r="E79" s="40">
        <f t="shared" si="19"/>
        <v>7500</v>
      </c>
      <c r="F79" s="40">
        <f t="shared" si="19"/>
        <v>7500</v>
      </c>
      <c r="G79" s="40">
        <f t="shared" si="19"/>
        <v>7500</v>
      </c>
      <c r="H79" s="40">
        <f t="shared" si="19"/>
        <v>7500</v>
      </c>
      <c r="I79" s="40">
        <f t="shared" si="19"/>
        <v>7500</v>
      </c>
      <c r="J79" s="40">
        <f t="shared" si="19"/>
        <v>7500</v>
      </c>
      <c r="K79" s="40">
        <f t="shared" si="19"/>
        <v>32500</v>
      </c>
      <c r="L79" s="40">
        <f t="shared" si="19"/>
        <v>32500</v>
      </c>
      <c r="M79" s="40">
        <f t="shared" si="19"/>
        <v>32500</v>
      </c>
      <c r="N79" s="40">
        <f t="shared" si="19"/>
        <v>32500</v>
      </c>
      <c r="O79" s="40">
        <f t="shared" si="19"/>
        <v>32500</v>
      </c>
      <c r="P79" s="40">
        <f t="shared" si="19"/>
        <v>32500</v>
      </c>
      <c r="Q79" s="40">
        <f t="shared" si="19"/>
        <v>32500</v>
      </c>
      <c r="R79" s="40">
        <f t="shared" si="19"/>
        <v>32500</v>
      </c>
      <c r="S79" s="40">
        <f t="shared" si="19"/>
        <v>32500</v>
      </c>
      <c r="T79" s="40">
        <f t="shared" si="19"/>
        <v>32500</v>
      </c>
      <c r="U79" s="40">
        <f t="shared" si="19"/>
        <v>32500</v>
      </c>
      <c r="V79" s="40">
        <f t="shared" si="19"/>
        <v>32500</v>
      </c>
      <c r="W79" s="40">
        <f t="shared" si="19"/>
        <v>32500</v>
      </c>
      <c r="X79" s="40">
        <f t="shared" si="19"/>
        <v>32500</v>
      </c>
      <c r="Y79" s="40">
        <f t="shared" si="19"/>
        <v>32500</v>
      </c>
      <c r="Z79" s="40">
        <f t="shared" si="19"/>
        <v>32500</v>
      </c>
      <c r="AA79" s="40">
        <f t="shared" si="19"/>
        <v>32500</v>
      </c>
      <c r="AB79" s="40">
        <f t="shared" si="19"/>
        <v>32500</v>
      </c>
      <c r="AC79" s="40">
        <f t="shared" si="19"/>
        <v>32500</v>
      </c>
      <c r="AD79" s="40">
        <f t="shared" si="19"/>
        <v>32500</v>
      </c>
      <c r="AE79" s="40">
        <f t="shared" si="19"/>
        <v>32500</v>
      </c>
      <c r="AF79" s="40">
        <f t="shared" si="19"/>
        <v>32500</v>
      </c>
      <c r="AG79" s="40">
        <f t="shared" si="19"/>
        <v>32500</v>
      </c>
      <c r="AH79" s="40">
        <f t="shared" si="19"/>
        <v>32500</v>
      </c>
      <c r="AI79" s="40">
        <f t="shared" si="19"/>
        <v>32500</v>
      </c>
      <c r="AJ79" s="40">
        <f t="shared" si="19"/>
        <v>32500</v>
      </c>
      <c r="AK79" s="40">
        <f t="shared" si="19"/>
        <v>32500</v>
      </c>
      <c r="AL79" s="40">
        <f t="shared" si="19"/>
        <v>32500</v>
      </c>
      <c r="AM79" s="40">
        <f t="shared" si="19"/>
        <v>32500</v>
      </c>
      <c r="AN79" s="40">
        <f t="shared" si="19"/>
        <v>32500</v>
      </c>
      <c r="AO79" s="40">
        <f t="shared" si="19"/>
        <v>32500</v>
      </c>
      <c r="AP79" s="40">
        <f t="shared" si="19"/>
        <v>32500</v>
      </c>
      <c r="AQ79" s="40">
        <f t="shared" si="19"/>
        <v>32500</v>
      </c>
      <c r="AR79" s="40">
        <f t="shared" si="19"/>
        <v>32500</v>
      </c>
      <c r="AS79" s="40">
        <f t="shared" si="19"/>
        <v>32500</v>
      </c>
      <c r="AT79" s="40">
        <f t="shared" si="19"/>
        <v>32500</v>
      </c>
      <c r="AU79" s="40">
        <f t="shared" si="19"/>
        <v>32500</v>
      </c>
      <c r="AV79" s="40">
        <f t="shared" si="19"/>
        <v>32500</v>
      </c>
      <c r="AW79" s="40">
        <f t="shared" si="19"/>
        <v>32500</v>
      </c>
      <c r="AX79" s="40">
        <f t="shared" si="19"/>
        <v>32500</v>
      </c>
      <c r="AY79" s="40">
        <f t="shared" si="19"/>
        <v>32500</v>
      </c>
      <c r="AZ79" s="40">
        <f t="shared" si="19"/>
        <v>32500</v>
      </c>
      <c r="BA79" s="40">
        <f t="shared" si="19"/>
        <v>32500</v>
      </c>
      <c r="BB79" s="40">
        <f t="shared" si="19"/>
        <v>32500</v>
      </c>
      <c r="BC79" s="40">
        <f t="shared" si="19"/>
        <v>32500</v>
      </c>
      <c r="BD79" s="40">
        <f t="shared" si="19"/>
        <v>32500</v>
      </c>
      <c r="BE79" s="40">
        <f t="shared" si="19"/>
        <v>32500</v>
      </c>
      <c r="BF79" s="40">
        <f t="shared" si="19"/>
        <v>32500</v>
      </c>
      <c r="BG79" s="40">
        <f t="shared" si="19"/>
        <v>32500</v>
      </c>
      <c r="BH79" s="40">
        <f t="shared" si="19"/>
        <v>32500</v>
      </c>
      <c r="BI79" s="40">
        <f t="shared" si="19"/>
        <v>32500</v>
      </c>
      <c r="BJ79" s="40">
        <f t="shared" si="19"/>
        <v>32500</v>
      </c>
      <c r="BK79" s="40">
        <f t="shared" si="19"/>
        <v>32500</v>
      </c>
      <c r="BL79" s="40">
        <f t="shared" si="19"/>
        <v>32500</v>
      </c>
      <c r="BM79" s="40">
        <f t="shared" si="19"/>
        <v>32500</v>
      </c>
      <c r="BN79" s="40">
        <f t="shared" ref="BN79:DY79" si="20">BN20+BN78</f>
        <v>32500</v>
      </c>
      <c r="BO79" s="40">
        <f t="shared" si="20"/>
        <v>32500</v>
      </c>
      <c r="BP79" s="40">
        <f t="shared" si="20"/>
        <v>32500</v>
      </c>
      <c r="BQ79" s="40">
        <f t="shared" si="20"/>
        <v>32500</v>
      </c>
      <c r="BR79" s="40">
        <f t="shared" si="20"/>
        <v>32500</v>
      </c>
      <c r="BS79" s="40">
        <f t="shared" si="20"/>
        <v>32500</v>
      </c>
      <c r="BT79" s="40">
        <f t="shared" si="20"/>
        <v>32500</v>
      </c>
      <c r="BU79" s="40">
        <f t="shared" si="20"/>
        <v>32500</v>
      </c>
      <c r="BV79" s="40">
        <f t="shared" si="20"/>
        <v>32500</v>
      </c>
      <c r="BW79" s="40">
        <f t="shared" si="20"/>
        <v>32500</v>
      </c>
      <c r="BX79" s="40">
        <f t="shared" si="20"/>
        <v>32500</v>
      </c>
      <c r="BY79" s="40">
        <f t="shared" si="20"/>
        <v>32500</v>
      </c>
      <c r="BZ79" s="40">
        <f t="shared" si="20"/>
        <v>32500</v>
      </c>
      <c r="CA79" s="40">
        <f t="shared" si="20"/>
        <v>32500</v>
      </c>
      <c r="CB79" s="40">
        <f t="shared" si="20"/>
        <v>32500</v>
      </c>
      <c r="CC79" s="40">
        <f t="shared" si="20"/>
        <v>32500</v>
      </c>
      <c r="CD79" s="40">
        <f t="shared" si="20"/>
        <v>32500</v>
      </c>
      <c r="CE79" s="40">
        <f t="shared" si="20"/>
        <v>32500</v>
      </c>
      <c r="CF79" s="40">
        <f t="shared" si="20"/>
        <v>32500</v>
      </c>
      <c r="CG79" s="40">
        <f t="shared" si="20"/>
        <v>32500</v>
      </c>
      <c r="CH79" s="40">
        <f t="shared" si="20"/>
        <v>32500</v>
      </c>
      <c r="CI79" s="40">
        <f t="shared" si="20"/>
        <v>32500</v>
      </c>
      <c r="CJ79" s="40">
        <f t="shared" si="20"/>
        <v>32500</v>
      </c>
      <c r="CK79" s="40">
        <f t="shared" si="20"/>
        <v>32500</v>
      </c>
      <c r="CL79" s="40">
        <f t="shared" si="20"/>
        <v>32500</v>
      </c>
      <c r="CM79" s="40">
        <f t="shared" si="20"/>
        <v>32500</v>
      </c>
      <c r="CN79" s="40">
        <f t="shared" si="20"/>
        <v>32500</v>
      </c>
      <c r="CO79" s="40">
        <f t="shared" si="20"/>
        <v>32500</v>
      </c>
      <c r="CP79" s="40">
        <f t="shared" si="20"/>
        <v>32500</v>
      </c>
      <c r="CQ79" s="40">
        <f t="shared" si="20"/>
        <v>32500</v>
      </c>
      <c r="CR79" s="40">
        <f t="shared" si="20"/>
        <v>32500</v>
      </c>
      <c r="CS79" s="40">
        <f t="shared" si="20"/>
        <v>32500</v>
      </c>
      <c r="CT79" s="40">
        <f t="shared" si="20"/>
        <v>32500</v>
      </c>
      <c r="CU79" s="40">
        <f t="shared" si="20"/>
        <v>32500</v>
      </c>
      <c r="CV79" s="40">
        <f t="shared" si="20"/>
        <v>32500</v>
      </c>
      <c r="CW79" s="40">
        <f t="shared" si="20"/>
        <v>32500</v>
      </c>
      <c r="CX79" s="40">
        <f t="shared" si="20"/>
        <v>32500</v>
      </c>
      <c r="CY79" s="40">
        <f t="shared" si="20"/>
        <v>32500</v>
      </c>
      <c r="CZ79" s="40">
        <f t="shared" si="20"/>
        <v>32500</v>
      </c>
      <c r="DA79" s="40">
        <f t="shared" si="20"/>
        <v>32500</v>
      </c>
      <c r="DB79" s="40">
        <f t="shared" si="20"/>
        <v>32500</v>
      </c>
      <c r="DC79" s="40">
        <f t="shared" si="20"/>
        <v>32500</v>
      </c>
      <c r="DD79" s="40">
        <f t="shared" si="20"/>
        <v>32500</v>
      </c>
      <c r="DE79" s="40">
        <f t="shared" si="20"/>
        <v>32500</v>
      </c>
      <c r="DF79" s="40">
        <f t="shared" si="20"/>
        <v>32500</v>
      </c>
      <c r="DG79" s="40">
        <f t="shared" si="20"/>
        <v>32500</v>
      </c>
      <c r="DH79" s="40">
        <f t="shared" si="20"/>
        <v>32500</v>
      </c>
      <c r="DI79" s="40">
        <f t="shared" si="20"/>
        <v>32500</v>
      </c>
      <c r="DJ79" s="40">
        <f t="shared" si="20"/>
        <v>32500</v>
      </c>
      <c r="DK79" s="40">
        <f t="shared" si="20"/>
        <v>32500</v>
      </c>
      <c r="DL79" s="40">
        <f t="shared" si="20"/>
        <v>32500</v>
      </c>
      <c r="DM79" s="40">
        <f t="shared" si="20"/>
        <v>32500</v>
      </c>
      <c r="DN79" s="40">
        <f t="shared" si="20"/>
        <v>32500</v>
      </c>
      <c r="DO79" s="40">
        <f t="shared" si="20"/>
        <v>32500</v>
      </c>
      <c r="DP79" s="40">
        <f t="shared" si="20"/>
        <v>32500</v>
      </c>
      <c r="DQ79" s="40">
        <f t="shared" si="20"/>
        <v>32500</v>
      </c>
      <c r="DR79" s="40">
        <f t="shared" si="20"/>
        <v>32500</v>
      </c>
      <c r="DS79" s="40">
        <f t="shared" si="20"/>
        <v>32500</v>
      </c>
      <c r="DT79" s="40">
        <f t="shared" si="20"/>
        <v>32500</v>
      </c>
      <c r="DU79" s="40">
        <f t="shared" si="20"/>
        <v>32500</v>
      </c>
      <c r="DV79" s="40">
        <f t="shared" si="20"/>
        <v>32500</v>
      </c>
      <c r="DW79" s="40">
        <f t="shared" si="20"/>
        <v>32500</v>
      </c>
      <c r="DX79" s="40">
        <f t="shared" si="20"/>
        <v>32500</v>
      </c>
      <c r="DY79" s="40">
        <f t="shared" si="20"/>
        <v>32500</v>
      </c>
      <c r="DZ79" s="40">
        <f t="shared" ref="DZ79:GK79" si="21">DZ20+DZ78</f>
        <v>32500</v>
      </c>
      <c r="EA79" s="40">
        <f t="shared" si="21"/>
        <v>32500</v>
      </c>
      <c r="EB79" s="40">
        <f t="shared" si="21"/>
        <v>32500</v>
      </c>
      <c r="EC79" s="40">
        <f t="shared" si="21"/>
        <v>32500</v>
      </c>
      <c r="ED79" s="40">
        <f t="shared" si="21"/>
        <v>32500</v>
      </c>
      <c r="EE79" s="40">
        <f t="shared" si="21"/>
        <v>32500</v>
      </c>
      <c r="EF79" s="40">
        <f t="shared" si="21"/>
        <v>32500</v>
      </c>
      <c r="EG79" s="40">
        <f t="shared" si="21"/>
        <v>32500</v>
      </c>
      <c r="EH79" s="40">
        <f t="shared" si="21"/>
        <v>32500</v>
      </c>
      <c r="EI79" s="40">
        <f t="shared" si="21"/>
        <v>32500</v>
      </c>
      <c r="EJ79" s="40">
        <f t="shared" si="21"/>
        <v>32500</v>
      </c>
      <c r="EK79" s="40">
        <f t="shared" si="21"/>
        <v>32500</v>
      </c>
      <c r="EL79" s="40">
        <f t="shared" si="21"/>
        <v>32500</v>
      </c>
      <c r="EM79" s="40">
        <f t="shared" si="21"/>
        <v>32500</v>
      </c>
      <c r="EN79" s="40">
        <f t="shared" si="21"/>
        <v>32500</v>
      </c>
      <c r="EO79" s="40">
        <f t="shared" si="21"/>
        <v>32500</v>
      </c>
      <c r="EP79" s="40">
        <f t="shared" si="21"/>
        <v>32500</v>
      </c>
      <c r="EQ79" s="40">
        <f t="shared" si="21"/>
        <v>32500</v>
      </c>
      <c r="ER79" s="40">
        <f t="shared" si="21"/>
        <v>32500</v>
      </c>
      <c r="ES79" s="40">
        <f t="shared" si="21"/>
        <v>32500</v>
      </c>
      <c r="ET79" s="40">
        <f t="shared" si="21"/>
        <v>32500</v>
      </c>
      <c r="EU79" s="40">
        <f t="shared" si="21"/>
        <v>32500</v>
      </c>
      <c r="EV79" s="40">
        <f t="shared" si="21"/>
        <v>32500</v>
      </c>
      <c r="EW79" s="40">
        <f t="shared" si="21"/>
        <v>32500</v>
      </c>
      <c r="EX79" s="40">
        <f t="shared" si="21"/>
        <v>32500</v>
      </c>
      <c r="EY79" s="40">
        <f t="shared" si="21"/>
        <v>32500</v>
      </c>
      <c r="EZ79" s="40">
        <f t="shared" si="21"/>
        <v>32500</v>
      </c>
      <c r="FA79" s="40">
        <f t="shared" si="21"/>
        <v>32500</v>
      </c>
      <c r="FB79" s="40">
        <f t="shared" si="21"/>
        <v>32500</v>
      </c>
      <c r="FC79" s="40">
        <f t="shared" si="21"/>
        <v>32500</v>
      </c>
      <c r="FD79" s="40">
        <f t="shared" si="21"/>
        <v>32500</v>
      </c>
      <c r="FE79" s="40">
        <f t="shared" si="21"/>
        <v>32500</v>
      </c>
      <c r="FF79" s="40">
        <f t="shared" si="21"/>
        <v>32500</v>
      </c>
      <c r="FG79" s="40">
        <f t="shared" si="21"/>
        <v>32500</v>
      </c>
      <c r="FH79" s="40">
        <f t="shared" si="21"/>
        <v>32500</v>
      </c>
      <c r="FI79" s="40">
        <f t="shared" si="21"/>
        <v>32500</v>
      </c>
      <c r="FJ79" s="40">
        <f t="shared" si="21"/>
        <v>32500</v>
      </c>
      <c r="FK79" s="40">
        <f t="shared" si="21"/>
        <v>32500</v>
      </c>
      <c r="FL79" s="40">
        <f t="shared" si="21"/>
        <v>32500</v>
      </c>
      <c r="FM79" s="40">
        <f t="shared" si="21"/>
        <v>32500</v>
      </c>
      <c r="FN79" s="40">
        <f t="shared" si="21"/>
        <v>32500</v>
      </c>
      <c r="FO79" s="40">
        <f t="shared" si="21"/>
        <v>32500</v>
      </c>
      <c r="FP79" s="40">
        <f t="shared" si="21"/>
        <v>32500</v>
      </c>
      <c r="FQ79" s="40">
        <f t="shared" si="21"/>
        <v>32500</v>
      </c>
      <c r="FR79" s="40">
        <f t="shared" si="21"/>
        <v>32500</v>
      </c>
      <c r="FS79" s="40">
        <f t="shared" si="21"/>
        <v>32500</v>
      </c>
      <c r="FT79" s="40">
        <f t="shared" si="21"/>
        <v>32500</v>
      </c>
      <c r="FU79" s="40">
        <f t="shared" si="21"/>
        <v>32500</v>
      </c>
      <c r="FV79" s="40">
        <f t="shared" si="21"/>
        <v>32500</v>
      </c>
      <c r="FW79" s="40">
        <f t="shared" si="21"/>
        <v>32500</v>
      </c>
      <c r="FX79" s="40">
        <f t="shared" si="21"/>
        <v>32500</v>
      </c>
      <c r="FY79" s="40">
        <f t="shared" si="21"/>
        <v>32500</v>
      </c>
      <c r="FZ79" s="40">
        <f t="shared" si="21"/>
        <v>32500</v>
      </c>
      <c r="GA79" s="40">
        <f t="shared" si="21"/>
        <v>32500</v>
      </c>
      <c r="GB79" s="40">
        <f t="shared" si="21"/>
        <v>32500</v>
      </c>
      <c r="GC79" s="40">
        <f t="shared" si="21"/>
        <v>32500</v>
      </c>
      <c r="GD79" s="40">
        <f t="shared" si="21"/>
        <v>32500</v>
      </c>
      <c r="GE79" s="40">
        <f t="shared" si="21"/>
        <v>32500</v>
      </c>
      <c r="GF79" s="40">
        <f t="shared" si="21"/>
        <v>32500</v>
      </c>
      <c r="GG79" s="40">
        <f t="shared" si="21"/>
        <v>32500</v>
      </c>
      <c r="GH79" s="40">
        <f t="shared" si="21"/>
        <v>32500</v>
      </c>
      <c r="GI79" s="40">
        <f t="shared" si="21"/>
        <v>32500</v>
      </c>
      <c r="GJ79" s="40">
        <f t="shared" si="21"/>
        <v>32500</v>
      </c>
      <c r="GK79" s="40">
        <f t="shared" si="21"/>
        <v>32500</v>
      </c>
      <c r="GL79" s="40">
        <f t="shared" ref="GL79:IL79" si="22">GL20+GL78</f>
        <v>32500</v>
      </c>
      <c r="GM79" s="40">
        <f t="shared" si="22"/>
        <v>32500</v>
      </c>
      <c r="GN79" s="40">
        <f t="shared" si="22"/>
        <v>32500</v>
      </c>
      <c r="GO79" s="40">
        <f t="shared" si="22"/>
        <v>32500</v>
      </c>
      <c r="GP79" s="40">
        <f t="shared" si="22"/>
        <v>32500</v>
      </c>
      <c r="GQ79" s="40">
        <f t="shared" si="22"/>
        <v>32500</v>
      </c>
      <c r="GR79" s="40">
        <f t="shared" si="22"/>
        <v>32500</v>
      </c>
      <c r="GS79" s="40">
        <f t="shared" si="22"/>
        <v>32500</v>
      </c>
      <c r="GT79" s="40">
        <f t="shared" si="22"/>
        <v>32500</v>
      </c>
      <c r="GU79" s="40">
        <f t="shared" si="22"/>
        <v>32500</v>
      </c>
      <c r="GV79" s="40">
        <f t="shared" si="22"/>
        <v>32500</v>
      </c>
      <c r="GW79" s="40">
        <f t="shared" si="22"/>
        <v>32500</v>
      </c>
      <c r="GX79" s="40">
        <f t="shared" si="22"/>
        <v>32500</v>
      </c>
      <c r="GY79" s="40">
        <f t="shared" si="22"/>
        <v>32500</v>
      </c>
      <c r="GZ79" s="40">
        <f t="shared" si="22"/>
        <v>32500</v>
      </c>
      <c r="HA79" s="40">
        <f t="shared" si="22"/>
        <v>32500</v>
      </c>
      <c r="HB79" s="40">
        <f t="shared" si="22"/>
        <v>32500</v>
      </c>
      <c r="HC79" s="40">
        <f t="shared" si="22"/>
        <v>32500</v>
      </c>
      <c r="HD79" s="40">
        <f t="shared" si="22"/>
        <v>32500</v>
      </c>
      <c r="HE79" s="40">
        <f t="shared" si="22"/>
        <v>32500</v>
      </c>
      <c r="HF79" s="40">
        <f t="shared" si="22"/>
        <v>32500</v>
      </c>
      <c r="HG79" s="40">
        <f t="shared" si="22"/>
        <v>32500</v>
      </c>
      <c r="HH79" s="40">
        <f t="shared" si="22"/>
        <v>32500</v>
      </c>
      <c r="HI79" s="40">
        <f t="shared" si="22"/>
        <v>32500</v>
      </c>
      <c r="HJ79" s="40">
        <f t="shared" si="22"/>
        <v>32500</v>
      </c>
      <c r="HK79" s="40">
        <f t="shared" si="22"/>
        <v>32500</v>
      </c>
      <c r="HL79" s="40">
        <f t="shared" si="22"/>
        <v>32500</v>
      </c>
      <c r="HM79" s="40">
        <f t="shared" si="22"/>
        <v>32500</v>
      </c>
      <c r="HN79" s="40">
        <f t="shared" si="22"/>
        <v>32500</v>
      </c>
      <c r="HO79" s="40">
        <f t="shared" si="22"/>
        <v>32500</v>
      </c>
      <c r="HP79" s="40">
        <f t="shared" si="22"/>
        <v>32500</v>
      </c>
      <c r="HQ79" s="40">
        <f t="shared" si="22"/>
        <v>32500</v>
      </c>
      <c r="HR79" s="40">
        <f t="shared" si="22"/>
        <v>32500</v>
      </c>
      <c r="HS79" s="40">
        <f t="shared" si="22"/>
        <v>32500</v>
      </c>
      <c r="HT79" s="40">
        <f t="shared" si="22"/>
        <v>32500</v>
      </c>
      <c r="HU79" s="40">
        <f t="shared" si="22"/>
        <v>32500</v>
      </c>
      <c r="HV79" s="40">
        <f t="shared" si="22"/>
        <v>32500</v>
      </c>
      <c r="HW79" s="40">
        <f t="shared" si="22"/>
        <v>32500</v>
      </c>
      <c r="HX79" s="40">
        <f t="shared" si="22"/>
        <v>32500</v>
      </c>
      <c r="HY79" s="40">
        <f t="shared" si="22"/>
        <v>32500</v>
      </c>
      <c r="HZ79" s="40">
        <f t="shared" si="22"/>
        <v>32500</v>
      </c>
      <c r="IA79" s="40">
        <f t="shared" si="22"/>
        <v>32500</v>
      </c>
      <c r="IB79" s="40">
        <f t="shared" si="22"/>
        <v>32500</v>
      </c>
      <c r="IC79" s="40">
        <f t="shared" si="22"/>
        <v>32500</v>
      </c>
      <c r="ID79" s="40">
        <f t="shared" si="22"/>
        <v>32500</v>
      </c>
      <c r="IE79" s="40">
        <f t="shared" si="22"/>
        <v>32500</v>
      </c>
      <c r="IF79" s="40">
        <f t="shared" si="22"/>
        <v>32500</v>
      </c>
      <c r="IG79" s="40">
        <f t="shared" si="22"/>
        <v>32500</v>
      </c>
      <c r="IH79" s="40">
        <f t="shared" si="22"/>
        <v>32500</v>
      </c>
      <c r="II79" s="40">
        <f t="shared" si="22"/>
        <v>32500</v>
      </c>
      <c r="IJ79" s="40">
        <f t="shared" si="22"/>
        <v>32500</v>
      </c>
      <c r="IK79" s="40">
        <f t="shared" si="22"/>
        <v>32500</v>
      </c>
      <c r="IL79" s="40">
        <f t="shared" si="22"/>
        <v>32500</v>
      </c>
    </row>
    <row r="81" spans="1:246" ht="17.399999999999999" x14ac:dyDescent="0.35">
      <c r="A81" s="76" t="s">
        <v>131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46" x14ac:dyDescent="0.3">
      <c r="A82" s="53" t="s">
        <v>123</v>
      </c>
      <c r="B82" s="54">
        <f t="shared" ref="B82:BM82" si="23">B19</f>
        <v>46143</v>
      </c>
      <c r="C82" s="54">
        <f t="shared" si="23"/>
        <v>46144</v>
      </c>
      <c r="D82" s="54">
        <f t="shared" si="23"/>
        <v>46145</v>
      </c>
      <c r="E82" s="54">
        <f t="shared" si="23"/>
        <v>46146</v>
      </c>
      <c r="F82" s="54">
        <f t="shared" si="23"/>
        <v>46147</v>
      </c>
      <c r="G82" s="54">
        <f t="shared" si="23"/>
        <v>46148</v>
      </c>
      <c r="H82" s="54">
        <f t="shared" si="23"/>
        <v>46149</v>
      </c>
      <c r="I82" s="54">
        <f t="shared" si="23"/>
        <v>46150</v>
      </c>
      <c r="J82" s="54">
        <f t="shared" si="23"/>
        <v>46151</v>
      </c>
      <c r="K82" s="54">
        <f t="shared" si="23"/>
        <v>46152</v>
      </c>
      <c r="L82" s="54">
        <f t="shared" si="23"/>
        <v>46153</v>
      </c>
      <c r="M82" s="54">
        <f t="shared" si="23"/>
        <v>46154</v>
      </c>
      <c r="N82" s="54">
        <f t="shared" si="23"/>
        <v>46155</v>
      </c>
      <c r="O82" s="54">
        <f t="shared" si="23"/>
        <v>46156</v>
      </c>
      <c r="P82" s="54">
        <f t="shared" si="23"/>
        <v>46157</v>
      </c>
      <c r="Q82" s="54">
        <f t="shared" si="23"/>
        <v>46158</v>
      </c>
      <c r="R82" s="54">
        <f t="shared" si="23"/>
        <v>46159</v>
      </c>
      <c r="S82" s="54">
        <f t="shared" si="23"/>
        <v>46160</v>
      </c>
      <c r="T82" s="54">
        <f t="shared" si="23"/>
        <v>46161</v>
      </c>
      <c r="U82" s="54">
        <f t="shared" si="23"/>
        <v>46162</v>
      </c>
      <c r="V82" s="54">
        <f t="shared" si="23"/>
        <v>46163</v>
      </c>
      <c r="W82" s="54">
        <f t="shared" si="23"/>
        <v>46164</v>
      </c>
      <c r="X82" s="54">
        <f t="shared" si="23"/>
        <v>46165</v>
      </c>
      <c r="Y82" s="54">
        <f t="shared" si="23"/>
        <v>46166</v>
      </c>
      <c r="Z82" s="54">
        <f t="shared" si="23"/>
        <v>46167</v>
      </c>
      <c r="AA82" s="54">
        <f t="shared" si="23"/>
        <v>46168</v>
      </c>
      <c r="AB82" s="54">
        <f t="shared" si="23"/>
        <v>46169</v>
      </c>
      <c r="AC82" s="54">
        <f t="shared" si="23"/>
        <v>46170</v>
      </c>
      <c r="AD82" s="54">
        <f t="shared" si="23"/>
        <v>46171</v>
      </c>
      <c r="AE82" s="54">
        <f t="shared" si="23"/>
        <v>46172</v>
      </c>
      <c r="AF82" s="54">
        <f t="shared" si="23"/>
        <v>46173</v>
      </c>
      <c r="AG82" s="54">
        <f t="shared" si="23"/>
        <v>46174</v>
      </c>
      <c r="AH82" s="54">
        <f t="shared" si="23"/>
        <v>46175</v>
      </c>
      <c r="AI82" s="54">
        <f t="shared" si="23"/>
        <v>46176</v>
      </c>
      <c r="AJ82" s="54">
        <f t="shared" si="23"/>
        <v>46177</v>
      </c>
      <c r="AK82" s="54">
        <f t="shared" si="23"/>
        <v>46178</v>
      </c>
      <c r="AL82" s="54">
        <f t="shared" si="23"/>
        <v>46179</v>
      </c>
      <c r="AM82" s="54">
        <f t="shared" si="23"/>
        <v>46180</v>
      </c>
      <c r="AN82" s="54">
        <f t="shared" si="23"/>
        <v>46181</v>
      </c>
      <c r="AO82" s="54">
        <f t="shared" si="23"/>
        <v>46182</v>
      </c>
      <c r="AP82" s="54">
        <f t="shared" si="23"/>
        <v>46183</v>
      </c>
      <c r="AQ82" s="54">
        <f t="shared" si="23"/>
        <v>46184</v>
      </c>
      <c r="AR82" s="54">
        <f t="shared" si="23"/>
        <v>46185</v>
      </c>
      <c r="AS82" s="54">
        <f t="shared" si="23"/>
        <v>46186</v>
      </c>
      <c r="AT82" s="54">
        <f t="shared" si="23"/>
        <v>46187</v>
      </c>
      <c r="AU82" s="54">
        <f t="shared" si="23"/>
        <v>46188</v>
      </c>
      <c r="AV82" s="54">
        <f t="shared" si="23"/>
        <v>46189</v>
      </c>
      <c r="AW82" s="54">
        <f t="shared" si="23"/>
        <v>46190</v>
      </c>
      <c r="AX82" s="54">
        <f t="shared" si="23"/>
        <v>46191</v>
      </c>
      <c r="AY82" s="54">
        <f t="shared" si="23"/>
        <v>46192</v>
      </c>
      <c r="AZ82" s="54">
        <f t="shared" si="23"/>
        <v>46193</v>
      </c>
      <c r="BA82" s="54">
        <f t="shared" si="23"/>
        <v>46194</v>
      </c>
      <c r="BB82" s="54">
        <f t="shared" si="23"/>
        <v>46195</v>
      </c>
      <c r="BC82" s="54">
        <f t="shared" si="23"/>
        <v>46196</v>
      </c>
      <c r="BD82" s="54">
        <f t="shared" si="23"/>
        <v>46197</v>
      </c>
      <c r="BE82" s="54">
        <f t="shared" si="23"/>
        <v>46198</v>
      </c>
      <c r="BF82" s="54">
        <f t="shared" si="23"/>
        <v>46199</v>
      </c>
      <c r="BG82" s="54">
        <f t="shared" si="23"/>
        <v>46200</v>
      </c>
      <c r="BH82" s="54">
        <f t="shared" si="23"/>
        <v>46201</v>
      </c>
      <c r="BI82" s="54">
        <f t="shared" si="23"/>
        <v>46202</v>
      </c>
      <c r="BJ82" s="54">
        <f t="shared" si="23"/>
        <v>46203</v>
      </c>
      <c r="BK82" s="54">
        <f t="shared" si="23"/>
        <v>46204</v>
      </c>
      <c r="BL82" s="54">
        <f t="shared" si="23"/>
        <v>46205</v>
      </c>
      <c r="BM82" s="54">
        <f t="shared" si="23"/>
        <v>46206</v>
      </c>
      <c r="BN82" s="54">
        <f t="shared" ref="BN82:DY82" si="24">BN19</f>
        <v>46207</v>
      </c>
      <c r="BO82" s="54">
        <f t="shared" si="24"/>
        <v>46208</v>
      </c>
      <c r="BP82" s="54">
        <f t="shared" si="24"/>
        <v>46209</v>
      </c>
      <c r="BQ82" s="54">
        <f t="shared" si="24"/>
        <v>46210</v>
      </c>
      <c r="BR82" s="54">
        <f t="shared" si="24"/>
        <v>46211</v>
      </c>
      <c r="BS82" s="54">
        <f t="shared" si="24"/>
        <v>46212</v>
      </c>
      <c r="BT82" s="54">
        <f t="shared" si="24"/>
        <v>46213</v>
      </c>
      <c r="BU82" s="54">
        <f t="shared" si="24"/>
        <v>46214</v>
      </c>
      <c r="BV82" s="54">
        <f t="shared" si="24"/>
        <v>46215</v>
      </c>
      <c r="BW82" s="54">
        <f t="shared" si="24"/>
        <v>46216</v>
      </c>
      <c r="BX82" s="54">
        <f t="shared" si="24"/>
        <v>46217</v>
      </c>
      <c r="BY82" s="54">
        <f t="shared" si="24"/>
        <v>46218</v>
      </c>
      <c r="BZ82" s="54">
        <f t="shared" si="24"/>
        <v>46219</v>
      </c>
      <c r="CA82" s="54">
        <f t="shared" si="24"/>
        <v>46220</v>
      </c>
      <c r="CB82" s="54">
        <f t="shared" si="24"/>
        <v>46221</v>
      </c>
      <c r="CC82" s="54">
        <f t="shared" si="24"/>
        <v>46222</v>
      </c>
      <c r="CD82" s="54">
        <f t="shared" si="24"/>
        <v>46223</v>
      </c>
      <c r="CE82" s="54">
        <f t="shared" si="24"/>
        <v>46224</v>
      </c>
      <c r="CF82" s="54">
        <f t="shared" si="24"/>
        <v>46225</v>
      </c>
      <c r="CG82" s="54">
        <f t="shared" si="24"/>
        <v>46226</v>
      </c>
      <c r="CH82" s="54">
        <f t="shared" si="24"/>
        <v>46227</v>
      </c>
      <c r="CI82" s="54">
        <f t="shared" si="24"/>
        <v>46228</v>
      </c>
      <c r="CJ82" s="54">
        <f t="shared" si="24"/>
        <v>46229</v>
      </c>
      <c r="CK82" s="54">
        <f t="shared" si="24"/>
        <v>46230</v>
      </c>
      <c r="CL82" s="54">
        <f t="shared" si="24"/>
        <v>46231</v>
      </c>
      <c r="CM82" s="54">
        <f t="shared" si="24"/>
        <v>46232</v>
      </c>
      <c r="CN82" s="54">
        <f t="shared" si="24"/>
        <v>46233</v>
      </c>
      <c r="CO82" s="54">
        <f t="shared" si="24"/>
        <v>46234</v>
      </c>
      <c r="CP82" s="54">
        <f t="shared" si="24"/>
        <v>46235</v>
      </c>
      <c r="CQ82" s="54">
        <f t="shared" si="24"/>
        <v>46236</v>
      </c>
      <c r="CR82" s="54">
        <f t="shared" si="24"/>
        <v>46237</v>
      </c>
      <c r="CS82" s="54">
        <f t="shared" si="24"/>
        <v>46238</v>
      </c>
      <c r="CT82" s="54">
        <f t="shared" si="24"/>
        <v>46239</v>
      </c>
      <c r="CU82" s="54">
        <f t="shared" si="24"/>
        <v>46240</v>
      </c>
      <c r="CV82" s="54">
        <f t="shared" si="24"/>
        <v>46241</v>
      </c>
      <c r="CW82" s="54">
        <f t="shared" si="24"/>
        <v>46242</v>
      </c>
      <c r="CX82" s="54">
        <f t="shared" si="24"/>
        <v>46243</v>
      </c>
      <c r="CY82" s="54">
        <f t="shared" si="24"/>
        <v>46244</v>
      </c>
      <c r="CZ82" s="54">
        <f t="shared" si="24"/>
        <v>46245</v>
      </c>
      <c r="DA82" s="54">
        <f t="shared" si="24"/>
        <v>46246</v>
      </c>
      <c r="DB82" s="54">
        <f t="shared" si="24"/>
        <v>46247</v>
      </c>
      <c r="DC82" s="54">
        <f t="shared" si="24"/>
        <v>46248</v>
      </c>
      <c r="DD82" s="54">
        <f t="shared" si="24"/>
        <v>46249</v>
      </c>
      <c r="DE82" s="54">
        <f t="shared" si="24"/>
        <v>46250</v>
      </c>
      <c r="DF82" s="54">
        <f t="shared" si="24"/>
        <v>46251</v>
      </c>
      <c r="DG82" s="54">
        <f t="shared" si="24"/>
        <v>46252</v>
      </c>
      <c r="DH82" s="54">
        <f t="shared" si="24"/>
        <v>46253</v>
      </c>
      <c r="DI82" s="54">
        <f t="shared" si="24"/>
        <v>46254</v>
      </c>
      <c r="DJ82" s="54">
        <f t="shared" si="24"/>
        <v>46255</v>
      </c>
      <c r="DK82" s="54">
        <f t="shared" si="24"/>
        <v>46256</v>
      </c>
      <c r="DL82" s="54">
        <f t="shared" si="24"/>
        <v>46257</v>
      </c>
      <c r="DM82" s="54">
        <f t="shared" si="24"/>
        <v>46258</v>
      </c>
      <c r="DN82" s="54">
        <f t="shared" si="24"/>
        <v>46259</v>
      </c>
      <c r="DO82" s="54">
        <f t="shared" si="24"/>
        <v>46260</v>
      </c>
      <c r="DP82" s="54">
        <f t="shared" si="24"/>
        <v>46261</v>
      </c>
      <c r="DQ82" s="54">
        <f t="shared" si="24"/>
        <v>46262</v>
      </c>
      <c r="DR82" s="54">
        <f t="shared" si="24"/>
        <v>46263</v>
      </c>
      <c r="DS82" s="54">
        <f t="shared" si="24"/>
        <v>46264</v>
      </c>
      <c r="DT82" s="54">
        <f t="shared" si="24"/>
        <v>46265</v>
      </c>
      <c r="DU82" s="54">
        <f t="shared" si="24"/>
        <v>46266</v>
      </c>
      <c r="DV82" s="54">
        <f t="shared" si="24"/>
        <v>46267</v>
      </c>
      <c r="DW82" s="54">
        <f t="shared" si="24"/>
        <v>46268</v>
      </c>
      <c r="DX82" s="54">
        <f t="shared" si="24"/>
        <v>46269</v>
      </c>
      <c r="DY82" s="54">
        <f t="shared" si="24"/>
        <v>46270</v>
      </c>
      <c r="DZ82" s="54">
        <f t="shared" ref="DZ82:GK82" si="25">DZ19</f>
        <v>46271</v>
      </c>
      <c r="EA82" s="54">
        <f t="shared" si="25"/>
        <v>46272</v>
      </c>
      <c r="EB82" s="54">
        <f t="shared" si="25"/>
        <v>46273</v>
      </c>
      <c r="EC82" s="54">
        <f t="shared" si="25"/>
        <v>46274</v>
      </c>
      <c r="ED82" s="54">
        <f t="shared" si="25"/>
        <v>46275</v>
      </c>
      <c r="EE82" s="54">
        <f t="shared" si="25"/>
        <v>46276</v>
      </c>
      <c r="EF82" s="54">
        <f t="shared" si="25"/>
        <v>46277</v>
      </c>
      <c r="EG82" s="54">
        <f t="shared" si="25"/>
        <v>46278</v>
      </c>
      <c r="EH82" s="54">
        <f t="shared" si="25"/>
        <v>46279</v>
      </c>
      <c r="EI82" s="54">
        <f t="shared" si="25"/>
        <v>46280</v>
      </c>
      <c r="EJ82" s="54">
        <f t="shared" si="25"/>
        <v>46281</v>
      </c>
      <c r="EK82" s="54">
        <f t="shared" si="25"/>
        <v>46282</v>
      </c>
      <c r="EL82" s="54">
        <f t="shared" si="25"/>
        <v>46283</v>
      </c>
      <c r="EM82" s="54">
        <f t="shared" si="25"/>
        <v>46284</v>
      </c>
      <c r="EN82" s="54">
        <f t="shared" si="25"/>
        <v>46285</v>
      </c>
      <c r="EO82" s="54">
        <f t="shared" si="25"/>
        <v>46286</v>
      </c>
      <c r="EP82" s="54">
        <f t="shared" si="25"/>
        <v>46287</v>
      </c>
      <c r="EQ82" s="54">
        <f t="shared" si="25"/>
        <v>46288</v>
      </c>
      <c r="ER82" s="54">
        <f t="shared" si="25"/>
        <v>46289</v>
      </c>
      <c r="ES82" s="54">
        <f t="shared" si="25"/>
        <v>46290</v>
      </c>
      <c r="ET82" s="54">
        <f t="shared" si="25"/>
        <v>46291</v>
      </c>
      <c r="EU82" s="54">
        <f t="shared" si="25"/>
        <v>46292</v>
      </c>
      <c r="EV82" s="54">
        <f t="shared" si="25"/>
        <v>46293</v>
      </c>
      <c r="EW82" s="54">
        <f t="shared" si="25"/>
        <v>46294</v>
      </c>
      <c r="EX82" s="54">
        <f t="shared" si="25"/>
        <v>46295</v>
      </c>
      <c r="EY82" s="54">
        <f t="shared" si="25"/>
        <v>46296</v>
      </c>
      <c r="EZ82" s="54">
        <f t="shared" si="25"/>
        <v>46297</v>
      </c>
      <c r="FA82" s="54">
        <f t="shared" si="25"/>
        <v>46298</v>
      </c>
      <c r="FB82" s="54">
        <f t="shared" si="25"/>
        <v>46299</v>
      </c>
      <c r="FC82" s="54">
        <f t="shared" si="25"/>
        <v>46300</v>
      </c>
      <c r="FD82" s="54">
        <f t="shared" si="25"/>
        <v>46301</v>
      </c>
      <c r="FE82" s="54">
        <f t="shared" si="25"/>
        <v>46302</v>
      </c>
      <c r="FF82" s="54">
        <f t="shared" si="25"/>
        <v>46303</v>
      </c>
      <c r="FG82" s="54">
        <f t="shared" si="25"/>
        <v>46304</v>
      </c>
      <c r="FH82" s="54">
        <f t="shared" si="25"/>
        <v>46305</v>
      </c>
      <c r="FI82" s="54">
        <f t="shared" si="25"/>
        <v>46306</v>
      </c>
      <c r="FJ82" s="54">
        <f t="shared" si="25"/>
        <v>46307</v>
      </c>
      <c r="FK82" s="54">
        <f t="shared" si="25"/>
        <v>46308</v>
      </c>
      <c r="FL82" s="54">
        <f t="shared" si="25"/>
        <v>46309</v>
      </c>
      <c r="FM82" s="54">
        <f t="shared" si="25"/>
        <v>46310</v>
      </c>
      <c r="FN82" s="54">
        <f t="shared" si="25"/>
        <v>46311</v>
      </c>
      <c r="FO82" s="54">
        <f t="shared" si="25"/>
        <v>46312</v>
      </c>
      <c r="FP82" s="54">
        <f t="shared" si="25"/>
        <v>46313</v>
      </c>
      <c r="FQ82" s="54">
        <f t="shared" si="25"/>
        <v>46314</v>
      </c>
      <c r="FR82" s="54">
        <f t="shared" si="25"/>
        <v>46315</v>
      </c>
      <c r="FS82" s="54">
        <f t="shared" si="25"/>
        <v>46316</v>
      </c>
      <c r="FT82" s="54">
        <f t="shared" si="25"/>
        <v>46317</v>
      </c>
      <c r="FU82" s="54">
        <f t="shared" si="25"/>
        <v>46318</v>
      </c>
      <c r="FV82" s="54">
        <f t="shared" si="25"/>
        <v>46319</v>
      </c>
      <c r="FW82" s="54">
        <f t="shared" si="25"/>
        <v>46320</v>
      </c>
      <c r="FX82" s="54">
        <f t="shared" si="25"/>
        <v>46321</v>
      </c>
      <c r="FY82" s="54">
        <f t="shared" si="25"/>
        <v>46322</v>
      </c>
      <c r="FZ82" s="54">
        <f t="shared" si="25"/>
        <v>46323</v>
      </c>
      <c r="GA82" s="54">
        <f t="shared" si="25"/>
        <v>46324</v>
      </c>
      <c r="GB82" s="54">
        <f t="shared" si="25"/>
        <v>46325</v>
      </c>
      <c r="GC82" s="54">
        <f t="shared" si="25"/>
        <v>46326</v>
      </c>
      <c r="GD82" s="54">
        <f t="shared" si="25"/>
        <v>46327</v>
      </c>
      <c r="GE82" s="54">
        <f t="shared" si="25"/>
        <v>46328</v>
      </c>
      <c r="GF82" s="54">
        <f t="shared" si="25"/>
        <v>46329</v>
      </c>
      <c r="GG82" s="54">
        <f t="shared" si="25"/>
        <v>46330</v>
      </c>
      <c r="GH82" s="54">
        <f t="shared" si="25"/>
        <v>46331</v>
      </c>
      <c r="GI82" s="54">
        <f t="shared" si="25"/>
        <v>46332</v>
      </c>
      <c r="GJ82" s="54">
        <f t="shared" si="25"/>
        <v>46333</v>
      </c>
      <c r="GK82" s="54">
        <f t="shared" si="25"/>
        <v>46334</v>
      </c>
      <c r="GL82" s="54">
        <f t="shared" ref="GL82:IL82" si="26">GL19</f>
        <v>46335</v>
      </c>
      <c r="GM82" s="54">
        <f t="shared" si="26"/>
        <v>46336</v>
      </c>
      <c r="GN82" s="54">
        <f t="shared" si="26"/>
        <v>46337</v>
      </c>
      <c r="GO82" s="54">
        <f t="shared" si="26"/>
        <v>46338</v>
      </c>
      <c r="GP82" s="54">
        <f t="shared" si="26"/>
        <v>46339</v>
      </c>
      <c r="GQ82" s="54">
        <f t="shared" si="26"/>
        <v>46340</v>
      </c>
      <c r="GR82" s="54">
        <f t="shared" si="26"/>
        <v>46341</v>
      </c>
      <c r="GS82" s="54">
        <f t="shared" si="26"/>
        <v>46342</v>
      </c>
      <c r="GT82" s="54">
        <f t="shared" si="26"/>
        <v>46343</v>
      </c>
      <c r="GU82" s="54">
        <f t="shared" si="26"/>
        <v>46344</v>
      </c>
      <c r="GV82" s="54">
        <f t="shared" si="26"/>
        <v>46345</v>
      </c>
      <c r="GW82" s="54">
        <f t="shared" si="26"/>
        <v>46346</v>
      </c>
      <c r="GX82" s="54">
        <f t="shared" si="26"/>
        <v>46347</v>
      </c>
      <c r="GY82" s="54">
        <f t="shared" si="26"/>
        <v>46348</v>
      </c>
      <c r="GZ82" s="54">
        <f t="shared" si="26"/>
        <v>46349</v>
      </c>
      <c r="HA82" s="54">
        <f t="shared" si="26"/>
        <v>46350</v>
      </c>
      <c r="HB82" s="54">
        <f t="shared" si="26"/>
        <v>46351</v>
      </c>
      <c r="HC82" s="54">
        <f t="shared" si="26"/>
        <v>46352</v>
      </c>
      <c r="HD82" s="54">
        <f t="shared" si="26"/>
        <v>46353</v>
      </c>
      <c r="HE82" s="54">
        <f t="shared" si="26"/>
        <v>46354</v>
      </c>
      <c r="HF82" s="54">
        <f t="shared" si="26"/>
        <v>46355</v>
      </c>
      <c r="HG82" s="54">
        <f t="shared" si="26"/>
        <v>46356</v>
      </c>
      <c r="HH82" s="54">
        <f t="shared" si="26"/>
        <v>46357</v>
      </c>
      <c r="HI82" s="54">
        <f t="shared" si="26"/>
        <v>46358</v>
      </c>
      <c r="HJ82" s="54">
        <f t="shared" si="26"/>
        <v>46359</v>
      </c>
      <c r="HK82" s="54">
        <f t="shared" si="26"/>
        <v>46360</v>
      </c>
      <c r="HL82" s="54">
        <f t="shared" si="26"/>
        <v>46361</v>
      </c>
      <c r="HM82" s="54">
        <f t="shared" si="26"/>
        <v>46362</v>
      </c>
      <c r="HN82" s="54">
        <f t="shared" si="26"/>
        <v>46363</v>
      </c>
      <c r="HO82" s="54">
        <f t="shared" si="26"/>
        <v>46364</v>
      </c>
      <c r="HP82" s="54">
        <f t="shared" si="26"/>
        <v>46365</v>
      </c>
      <c r="HQ82" s="54">
        <f t="shared" si="26"/>
        <v>46366</v>
      </c>
      <c r="HR82" s="54">
        <f t="shared" si="26"/>
        <v>46367</v>
      </c>
      <c r="HS82" s="54">
        <f t="shared" si="26"/>
        <v>46368</v>
      </c>
      <c r="HT82" s="54">
        <f t="shared" si="26"/>
        <v>46369</v>
      </c>
      <c r="HU82" s="54">
        <f t="shared" si="26"/>
        <v>46370</v>
      </c>
      <c r="HV82" s="54">
        <f t="shared" si="26"/>
        <v>46371</v>
      </c>
      <c r="HW82" s="54">
        <f t="shared" si="26"/>
        <v>46372</v>
      </c>
      <c r="HX82" s="54">
        <f t="shared" si="26"/>
        <v>46373</v>
      </c>
      <c r="HY82" s="54">
        <f t="shared" si="26"/>
        <v>46374</v>
      </c>
      <c r="HZ82" s="54">
        <f t="shared" si="26"/>
        <v>46375</v>
      </c>
      <c r="IA82" s="54">
        <f t="shared" si="26"/>
        <v>46376</v>
      </c>
      <c r="IB82" s="54">
        <f t="shared" si="26"/>
        <v>46377</v>
      </c>
      <c r="IC82" s="54">
        <f t="shared" si="26"/>
        <v>46378</v>
      </c>
      <c r="ID82" s="54">
        <f t="shared" si="26"/>
        <v>46379</v>
      </c>
      <c r="IE82" s="54">
        <f t="shared" si="26"/>
        <v>46380</v>
      </c>
      <c r="IF82" s="54">
        <f t="shared" si="26"/>
        <v>46381</v>
      </c>
      <c r="IG82" s="54">
        <f t="shared" si="26"/>
        <v>46382</v>
      </c>
      <c r="IH82" s="54">
        <f t="shared" si="26"/>
        <v>46383</v>
      </c>
      <c r="II82" s="54">
        <f t="shared" si="26"/>
        <v>46384</v>
      </c>
      <c r="IJ82" s="54">
        <f t="shared" si="26"/>
        <v>46385</v>
      </c>
      <c r="IK82" s="54">
        <f t="shared" si="26"/>
        <v>46386</v>
      </c>
      <c r="IL82" s="54">
        <f t="shared" si="26"/>
        <v>46387</v>
      </c>
    </row>
    <row r="83" spans="1:246" x14ac:dyDescent="0.3">
      <c r="A83" s="55" t="s">
        <v>132</v>
      </c>
      <c r="B83" s="56">
        <f>SUM(Categorias!$F$2:$F$4)</f>
        <v>0</v>
      </c>
      <c r="C83" s="56">
        <f t="shared" ref="C83:BN83" si="27">B142</f>
        <v>9416.23</v>
      </c>
      <c r="D83" s="56">
        <f t="shared" si="27"/>
        <v>9416.23</v>
      </c>
      <c r="E83" s="56">
        <f t="shared" si="27"/>
        <v>9416.23</v>
      </c>
      <c r="F83" s="56">
        <f t="shared" si="27"/>
        <v>18824.82</v>
      </c>
      <c r="G83" s="56">
        <f t="shared" si="27"/>
        <v>27634.34</v>
      </c>
      <c r="H83" s="56">
        <f t="shared" si="27"/>
        <v>37202.839999999997</v>
      </c>
      <c r="I83" s="56">
        <f t="shared" si="27"/>
        <v>46329.45</v>
      </c>
      <c r="J83" s="56">
        <f t="shared" si="27"/>
        <v>56035.149999999994</v>
      </c>
      <c r="K83" s="56">
        <f t="shared" si="27"/>
        <v>56035.149999999994</v>
      </c>
      <c r="L83" s="56">
        <f t="shared" si="27"/>
        <v>56035.149999999994</v>
      </c>
      <c r="M83" s="56">
        <f t="shared" si="27"/>
        <v>65600.45</v>
      </c>
      <c r="N83" s="56">
        <f t="shared" si="27"/>
        <v>74749.38</v>
      </c>
      <c r="O83" s="56">
        <f t="shared" si="27"/>
        <v>83746.400000000009</v>
      </c>
      <c r="P83" s="56">
        <f t="shared" si="27"/>
        <v>93131.1</v>
      </c>
      <c r="Q83" s="56">
        <f t="shared" si="27"/>
        <v>102374.95000000001</v>
      </c>
      <c r="R83" s="56">
        <f t="shared" si="27"/>
        <v>102374.95000000001</v>
      </c>
      <c r="S83" s="56">
        <f t="shared" si="27"/>
        <v>102374.95000000001</v>
      </c>
      <c r="T83" s="56">
        <f t="shared" si="27"/>
        <v>111884.52000000002</v>
      </c>
      <c r="U83" s="56">
        <f t="shared" si="27"/>
        <v>121510.35000000002</v>
      </c>
      <c r="V83" s="56">
        <f t="shared" si="27"/>
        <v>131025.83000000002</v>
      </c>
      <c r="W83" s="56">
        <f t="shared" si="27"/>
        <v>140739.82</v>
      </c>
      <c r="X83" s="56">
        <f t="shared" si="27"/>
        <v>149920.96000000002</v>
      </c>
      <c r="Y83" s="56">
        <f t="shared" si="27"/>
        <v>149920.96000000002</v>
      </c>
      <c r="Z83" s="56">
        <f t="shared" si="27"/>
        <v>149920.96000000002</v>
      </c>
      <c r="AA83" s="56">
        <f t="shared" si="27"/>
        <v>159565.45000000001</v>
      </c>
      <c r="AB83" s="56">
        <f t="shared" si="27"/>
        <v>169199.09000000003</v>
      </c>
      <c r="AC83" s="56">
        <f t="shared" si="27"/>
        <v>178600.42000000004</v>
      </c>
      <c r="AD83" s="56">
        <f t="shared" si="27"/>
        <v>188064.85000000003</v>
      </c>
      <c r="AE83" s="56">
        <f t="shared" si="27"/>
        <v>197090.60000000003</v>
      </c>
      <c r="AF83" s="56">
        <f t="shared" si="27"/>
        <v>197090.60000000003</v>
      </c>
      <c r="AG83" s="56">
        <f t="shared" si="27"/>
        <v>197090.60000000003</v>
      </c>
      <c r="AH83" s="56">
        <f t="shared" si="27"/>
        <v>206313.66000000003</v>
      </c>
      <c r="AI83" s="56">
        <f t="shared" si="27"/>
        <v>215771.15000000002</v>
      </c>
      <c r="AJ83" s="56">
        <f t="shared" si="27"/>
        <v>224699.29000000004</v>
      </c>
      <c r="AK83" s="56">
        <f t="shared" si="27"/>
        <v>234559.43000000005</v>
      </c>
      <c r="AL83" s="56">
        <f t="shared" si="27"/>
        <v>244034.25000000006</v>
      </c>
      <c r="AM83" s="56">
        <f t="shared" si="27"/>
        <v>244034.25000000006</v>
      </c>
      <c r="AN83" s="56">
        <f t="shared" si="27"/>
        <v>244034.25000000006</v>
      </c>
      <c r="AO83" s="56">
        <f t="shared" si="27"/>
        <v>253382.16000000006</v>
      </c>
      <c r="AP83" s="56">
        <f t="shared" si="27"/>
        <v>262885.23000000004</v>
      </c>
      <c r="AQ83" s="56">
        <f t="shared" si="27"/>
        <v>272704.42000000004</v>
      </c>
      <c r="AR83" s="56">
        <f t="shared" si="27"/>
        <v>281611.85000000003</v>
      </c>
      <c r="AS83" s="56">
        <f t="shared" si="27"/>
        <v>291168.16000000003</v>
      </c>
      <c r="AT83" s="56">
        <f t="shared" si="27"/>
        <v>291168.16000000003</v>
      </c>
      <c r="AU83" s="56">
        <f t="shared" si="27"/>
        <v>291168.16000000003</v>
      </c>
      <c r="AV83" s="56">
        <f t="shared" si="27"/>
        <v>300696.26</v>
      </c>
      <c r="AW83" s="56">
        <f t="shared" si="27"/>
        <v>309897.29000000004</v>
      </c>
      <c r="AX83" s="56">
        <f t="shared" si="27"/>
        <v>319203.53000000003</v>
      </c>
      <c r="AY83" s="56">
        <f t="shared" si="27"/>
        <v>328397.75</v>
      </c>
      <c r="AZ83" s="56">
        <f t="shared" si="27"/>
        <v>337752.47</v>
      </c>
      <c r="BA83" s="56">
        <f t="shared" si="27"/>
        <v>337752.47</v>
      </c>
      <c r="BB83" s="56">
        <f t="shared" si="27"/>
        <v>337752.47</v>
      </c>
      <c r="BC83" s="56">
        <f t="shared" si="27"/>
        <v>347312.93</v>
      </c>
      <c r="BD83" s="56">
        <f t="shared" si="27"/>
        <v>356813.39999999997</v>
      </c>
      <c r="BE83" s="56">
        <f t="shared" si="27"/>
        <v>366255.17</v>
      </c>
      <c r="BF83" s="56">
        <f t="shared" si="27"/>
        <v>375264.87</v>
      </c>
      <c r="BG83" s="56">
        <f t="shared" si="27"/>
        <v>384743.32</v>
      </c>
      <c r="BH83" s="56">
        <f t="shared" si="27"/>
        <v>384743.32</v>
      </c>
      <c r="BI83" s="56">
        <f t="shared" si="27"/>
        <v>384743.32</v>
      </c>
      <c r="BJ83" s="56">
        <f t="shared" si="27"/>
        <v>393769.35000000003</v>
      </c>
      <c r="BK83" s="56">
        <f t="shared" si="27"/>
        <v>402504.30000000005</v>
      </c>
      <c r="BL83" s="56">
        <f t="shared" si="27"/>
        <v>412177.80000000005</v>
      </c>
      <c r="BM83" s="56">
        <f t="shared" si="27"/>
        <v>421844.9</v>
      </c>
      <c r="BN83" s="56">
        <f t="shared" si="27"/>
        <v>430770.38</v>
      </c>
      <c r="BO83" s="56">
        <f t="shared" ref="BO83:DZ83" si="28">BN142</f>
        <v>430770.38</v>
      </c>
      <c r="BP83" s="56">
        <f t="shared" si="28"/>
        <v>430770.38</v>
      </c>
      <c r="BQ83" s="56">
        <f t="shared" si="28"/>
        <v>439743.53</v>
      </c>
      <c r="BR83" s="56">
        <f t="shared" si="28"/>
        <v>448849</v>
      </c>
      <c r="BS83" s="56">
        <f t="shared" si="28"/>
        <v>458396.13</v>
      </c>
      <c r="BT83" s="56">
        <f t="shared" si="28"/>
        <v>467563.47000000003</v>
      </c>
      <c r="BU83" s="56">
        <f t="shared" si="28"/>
        <v>476776.55000000005</v>
      </c>
      <c r="BV83" s="56">
        <f t="shared" si="28"/>
        <v>476776.55000000005</v>
      </c>
      <c r="BW83" s="56">
        <f t="shared" si="28"/>
        <v>476776.55000000005</v>
      </c>
      <c r="BX83" s="56">
        <f t="shared" si="28"/>
        <v>485896.72000000003</v>
      </c>
      <c r="BY83" s="56">
        <f t="shared" si="28"/>
        <v>494906.07</v>
      </c>
      <c r="BZ83" s="56">
        <f t="shared" si="28"/>
        <v>503969.82</v>
      </c>
      <c r="CA83" s="56">
        <f t="shared" si="28"/>
        <v>513495.58</v>
      </c>
      <c r="CB83" s="56">
        <f t="shared" si="28"/>
        <v>523033.02</v>
      </c>
      <c r="CC83" s="56">
        <f t="shared" si="28"/>
        <v>523033.02</v>
      </c>
      <c r="CD83" s="56">
        <f t="shared" si="28"/>
        <v>523033.02</v>
      </c>
      <c r="CE83" s="56">
        <f t="shared" si="28"/>
        <v>532611.09</v>
      </c>
      <c r="CF83" s="56">
        <f t="shared" si="28"/>
        <v>541511.6</v>
      </c>
      <c r="CG83" s="56">
        <f t="shared" si="28"/>
        <v>550937.71</v>
      </c>
      <c r="CH83" s="56">
        <f t="shared" si="28"/>
        <v>560004.31999999995</v>
      </c>
      <c r="CI83" s="56">
        <f t="shared" si="28"/>
        <v>569309.66999999993</v>
      </c>
      <c r="CJ83" s="56">
        <f t="shared" si="28"/>
        <v>569309.66999999993</v>
      </c>
      <c r="CK83" s="56">
        <f t="shared" si="28"/>
        <v>569309.66999999993</v>
      </c>
      <c r="CL83" s="56">
        <f t="shared" si="28"/>
        <v>578370.22</v>
      </c>
      <c r="CM83" s="56">
        <f t="shared" si="28"/>
        <v>587766.09</v>
      </c>
      <c r="CN83" s="56">
        <f t="shared" si="28"/>
        <v>597128.14</v>
      </c>
      <c r="CO83" s="56">
        <f t="shared" si="28"/>
        <v>606674.12</v>
      </c>
      <c r="CP83" s="56">
        <f t="shared" si="28"/>
        <v>616276.67000000004</v>
      </c>
      <c r="CQ83" s="56">
        <f t="shared" si="28"/>
        <v>616276.67000000004</v>
      </c>
      <c r="CR83" s="56">
        <f t="shared" si="28"/>
        <v>616276.67000000004</v>
      </c>
      <c r="CS83" s="56">
        <f t="shared" si="28"/>
        <v>625329.9</v>
      </c>
      <c r="CT83" s="56">
        <f t="shared" si="28"/>
        <v>634278.62</v>
      </c>
      <c r="CU83" s="56">
        <f t="shared" si="28"/>
        <v>643843.73</v>
      </c>
      <c r="CV83" s="56">
        <f t="shared" si="28"/>
        <v>652976.1</v>
      </c>
      <c r="CW83" s="56">
        <f t="shared" si="28"/>
        <v>662218.18999999994</v>
      </c>
      <c r="CX83" s="56">
        <f t="shared" si="28"/>
        <v>662218.18999999994</v>
      </c>
      <c r="CY83" s="56">
        <f t="shared" si="28"/>
        <v>662218.18999999994</v>
      </c>
      <c r="CZ83" s="56">
        <f t="shared" si="28"/>
        <v>671425.94</v>
      </c>
      <c r="DA83" s="56">
        <f t="shared" si="28"/>
        <v>680639.84</v>
      </c>
      <c r="DB83" s="56">
        <f t="shared" si="28"/>
        <v>689848.90999999992</v>
      </c>
      <c r="DC83" s="56">
        <f t="shared" si="28"/>
        <v>699494.95</v>
      </c>
      <c r="DD83" s="56">
        <f t="shared" si="28"/>
        <v>708854.85</v>
      </c>
      <c r="DE83" s="56">
        <f t="shared" si="28"/>
        <v>708854.85</v>
      </c>
      <c r="DF83" s="56">
        <f t="shared" si="28"/>
        <v>708854.85</v>
      </c>
      <c r="DG83" s="56">
        <f t="shared" si="28"/>
        <v>718168.9</v>
      </c>
      <c r="DH83" s="56">
        <f t="shared" si="28"/>
        <v>727210</v>
      </c>
      <c r="DI83" s="56">
        <f t="shared" si="28"/>
        <v>736281.63</v>
      </c>
      <c r="DJ83" s="56">
        <f t="shared" si="28"/>
        <v>745497.62</v>
      </c>
      <c r="DK83" s="56">
        <f t="shared" si="28"/>
        <v>754938.05</v>
      </c>
      <c r="DL83" s="56">
        <f t="shared" si="28"/>
        <v>754938.05</v>
      </c>
      <c r="DM83" s="56">
        <f t="shared" si="28"/>
        <v>754938.05</v>
      </c>
      <c r="DN83" s="56">
        <f t="shared" si="28"/>
        <v>764470.05</v>
      </c>
      <c r="DO83" s="56">
        <f t="shared" si="28"/>
        <v>773676.05</v>
      </c>
      <c r="DP83" s="56">
        <f t="shared" si="28"/>
        <v>783038.02</v>
      </c>
      <c r="DQ83" s="56">
        <f t="shared" si="28"/>
        <v>792308.35</v>
      </c>
      <c r="DR83" s="56">
        <f t="shared" si="28"/>
        <v>801249.27</v>
      </c>
      <c r="DS83" s="56">
        <f t="shared" si="28"/>
        <v>801249.27</v>
      </c>
      <c r="DT83" s="56">
        <f t="shared" si="28"/>
        <v>801249.27</v>
      </c>
      <c r="DU83" s="56">
        <f t="shared" si="28"/>
        <v>810292.31</v>
      </c>
      <c r="DV83" s="56">
        <f t="shared" si="28"/>
        <v>819567.16</v>
      </c>
      <c r="DW83" s="56">
        <f t="shared" si="28"/>
        <v>829122.1</v>
      </c>
      <c r="DX83" s="56">
        <f t="shared" si="28"/>
        <v>838694.71</v>
      </c>
      <c r="DY83" s="56">
        <f t="shared" si="28"/>
        <v>848236.34</v>
      </c>
      <c r="DZ83" s="56">
        <f t="shared" si="28"/>
        <v>848236.34</v>
      </c>
      <c r="EA83" s="56">
        <f t="shared" ref="EA83:GL83" si="29">DZ142</f>
        <v>848236.34</v>
      </c>
      <c r="EB83" s="56">
        <f t="shared" si="29"/>
        <v>857418.02</v>
      </c>
      <c r="EC83" s="56">
        <f t="shared" si="29"/>
        <v>866667.07000000007</v>
      </c>
      <c r="ED83" s="56">
        <f t="shared" si="29"/>
        <v>876080.43</v>
      </c>
      <c r="EE83" s="56">
        <f t="shared" si="29"/>
        <v>885133.46000000008</v>
      </c>
      <c r="EF83" s="56">
        <f t="shared" si="29"/>
        <v>894669.99000000011</v>
      </c>
      <c r="EG83" s="56">
        <f t="shared" si="29"/>
        <v>894669.99000000011</v>
      </c>
      <c r="EH83" s="56">
        <f t="shared" si="29"/>
        <v>894669.99000000011</v>
      </c>
      <c r="EI83" s="56">
        <f t="shared" si="29"/>
        <v>904234.55000000016</v>
      </c>
      <c r="EJ83" s="56">
        <f t="shared" si="29"/>
        <v>913781.93000000017</v>
      </c>
      <c r="EK83" s="56">
        <f t="shared" si="29"/>
        <v>922993.36000000022</v>
      </c>
      <c r="EL83" s="56">
        <f t="shared" si="29"/>
        <v>932304.90000000026</v>
      </c>
      <c r="EM83" s="56">
        <f t="shared" si="29"/>
        <v>941572.99000000022</v>
      </c>
      <c r="EN83" s="56">
        <f t="shared" si="29"/>
        <v>941572.99000000022</v>
      </c>
      <c r="EO83" s="56">
        <f t="shared" si="29"/>
        <v>941572.99000000022</v>
      </c>
      <c r="EP83" s="56">
        <f t="shared" si="29"/>
        <v>950822.73000000021</v>
      </c>
      <c r="EQ83" s="56">
        <f t="shared" si="29"/>
        <v>959764.7100000002</v>
      </c>
      <c r="ER83" s="56">
        <f t="shared" si="29"/>
        <v>969336.27000000025</v>
      </c>
      <c r="ES83" s="56">
        <f t="shared" si="29"/>
        <v>979003.64000000025</v>
      </c>
      <c r="ET83" s="56">
        <f t="shared" si="29"/>
        <v>988441.54000000027</v>
      </c>
      <c r="EU83" s="56">
        <f t="shared" si="29"/>
        <v>988441.54000000027</v>
      </c>
      <c r="EV83" s="56">
        <f t="shared" si="29"/>
        <v>988441.54000000027</v>
      </c>
      <c r="EW83" s="56">
        <f t="shared" si="29"/>
        <v>997494.09000000032</v>
      </c>
      <c r="EX83" s="56">
        <f t="shared" si="29"/>
        <v>1006439.0800000003</v>
      </c>
      <c r="EY83" s="56">
        <f t="shared" si="29"/>
        <v>1016438.1700000003</v>
      </c>
      <c r="EZ83" s="56">
        <f t="shared" si="29"/>
        <v>1025910.9600000003</v>
      </c>
      <c r="FA83" s="56">
        <f t="shared" si="29"/>
        <v>1035658.9500000003</v>
      </c>
      <c r="FB83" s="56">
        <f t="shared" si="29"/>
        <v>1035658.9500000003</v>
      </c>
      <c r="FC83" s="56">
        <f t="shared" si="29"/>
        <v>1035658.9500000003</v>
      </c>
      <c r="FD83" s="56">
        <f t="shared" si="29"/>
        <v>1044944.9400000003</v>
      </c>
      <c r="FE83" s="56">
        <f t="shared" si="29"/>
        <v>1054480.2500000002</v>
      </c>
      <c r="FF83" s="56">
        <f t="shared" si="29"/>
        <v>1064042.9300000002</v>
      </c>
      <c r="FG83" s="56">
        <f t="shared" si="29"/>
        <v>1073547.08</v>
      </c>
      <c r="FH83" s="56">
        <f t="shared" si="29"/>
        <v>1082941.8800000001</v>
      </c>
      <c r="FI83" s="56">
        <f t="shared" si="29"/>
        <v>1082941.8800000001</v>
      </c>
      <c r="FJ83" s="56">
        <f t="shared" si="29"/>
        <v>1082941.8800000001</v>
      </c>
      <c r="FK83" s="56">
        <f t="shared" si="29"/>
        <v>1092042.3500000001</v>
      </c>
      <c r="FL83" s="56">
        <f t="shared" si="29"/>
        <v>1101679.83</v>
      </c>
      <c r="FM83" s="56">
        <f t="shared" si="29"/>
        <v>1111339.54</v>
      </c>
      <c r="FN83" s="56">
        <f t="shared" si="29"/>
        <v>1120212.93</v>
      </c>
      <c r="FO83" s="56">
        <f t="shared" si="29"/>
        <v>1129534.92</v>
      </c>
      <c r="FP83" s="56">
        <f t="shared" si="29"/>
        <v>1129534.92</v>
      </c>
      <c r="FQ83" s="56">
        <f t="shared" si="29"/>
        <v>1129534.92</v>
      </c>
      <c r="FR83" s="56">
        <f t="shared" si="29"/>
        <v>1138819.74</v>
      </c>
      <c r="FS83" s="56">
        <f t="shared" si="29"/>
        <v>1148190.58</v>
      </c>
      <c r="FT83" s="56">
        <f t="shared" si="29"/>
        <v>1157012.9500000002</v>
      </c>
      <c r="FU83" s="56">
        <f t="shared" si="29"/>
        <v>1166122.2900000003</v>
      </c>
      <c r="FV83" s="56">
        <f t="shared" si="29"/>
        <v>1175794.1200000003</v>
      </c>
      <c r="FW83" s="56">
        <f t="shared" si="29"/>
        <v>1175794.1200000003</v>
      </c>
      <c r="FX83" s="56">
        <f t="shared" si="29"/>
        <v>1175794.1200000003</v>
      </c>
      <c r="FY83" s="56">
        <f t="shared" si="29"/>
        <v>1185152.6200000003</v>
      </c>
      <c r="FZ83" s="56">
        <f t="shared" si="29"/>
        <v>1194059.1900000004</v>
      </c>
      <c r="GA83" s="56">
        <f t="shared" si="29"/>
        <v>1203522.3600000003</v>
      </c>
      <c r="GB83" s="56">
        <f t="shared" si="29"/>
        <v>1212856.9800000004</v>
      </c>
      <c r="GC83" s="56">
        <f t="shared" si="29"/>
        <v>1221762.1100000003</v>
      </c>
      <c r="GD83" s="56">
        <f t="shared" si="29"/>
        <v>1221762.1100000003</v>
      </c>
      <c r="GE83" s="56">
        <f t="shared" si="29"/>
        <v>1221762.1100000003</v>
      </c>
      <c r="GF83" s="56">
        <f t="shared" si="29"/>
        <v>1231574.7300000004</v>
      </c>
      <c r="GG83" s="56">
        <f t="shared" si="29"/>
        <v>1241056.8300000005</v>
      </c>
      <c r="GH83" s="56">
        <f t="shared" si="29"/>
        <v>1250441.0700000005</v>
      </c>
      <c r="GI83" s="56">
        <f t="shared" si="29"/>
        <v>1259658.6100000006</v>
      </c>
      <c r="GJ83" s="56">
        <f t="shared" si="29"/>
        <v>1269058.6600000006</v>
      </c>
      <c r="GK83" s="56">
        <f t="shared" si="29"/>
        <v>1269058.6600000006</v>
      </c>
      <c r="GL83" s="56">
        <f t="shared" si="29"/>
        <v>1269058.6600000006</v>
      </c>
      <c r="GM83" s="56">
        <f t="shared" ref="GM83:IL83" si="30">GL142</f>
        <v>1277893.1100000006</v>
      </c>
      <c r="GN83" s="56">
        <f t="shared" si="30"/>
        <v>1287558.6600000006</v>
      </c>
      <c r="GO83" s="56">
        <f t="shared" si="30"/>
        <v>1297062.6900000006</v>
      </c>
      <c r="GP83" s="56">
        <f t="shared" si="30"/>
        <v>1306207.8900000006</v>
      </c>
      <c r="GQ83" s="56">
        <f t="shared" si="30"/>
        <v>1315145.1700000006</v>
      </c>
      <c r="GR83" s="56">
        <f t="shared" si="30"/>
        <v>1315145.1700000006</v>
      </c>
      <c r="GS83" s="56">
        <f t="shared" si="30"/>
        <v>1315145.1700000006</v>
      </c>
      <c r="GT83" s="56">
        <f t="shared" si="30"/>
        <v>1324307.9000000006</v>
      </c>
      <c r="GU83" s="56">
        <f t="shared" si="30"/>
        <v>1333437.3100000005</v>
      </c>
      <c r="GV83" s="56">
        <f t="shared" si="30"/>
        <v>1342577.7000000004</v>
      </c>
      <c r="GW83" s="56">
        <f t="shared" si="30"/>
        <v>1351765.6200000003</v>
      </c>
      <c r="GX83" s="56">
        <f t="shared" si="30"/>
        <v>1360810.6600000004</v>
      </c>
      <c r="GY83" s="56">
        <f t="shared" si="30"/>
        <v>1360810.6600000004</v>
      </c>
      <c r="GZ83" s="56">
        <f t="shared" si="30"/>
        <v>1360810.6600000004</v>
      </c>
      <c r="HA83" s="56">
        <f t="shared" si="30"/>
        <v>1370552.2800000005</v>
      </c>
      <c r="HB83" s="56">
        <f t="shared" si="30"/>
        <v>1379927.3000000005</v>
      </c>
      <c r="HC83" s="56">
        <f t="shared" si="30"/>
        <v>1389503.4200000006</v>
      </c>
      <c r="HD83" s="56">
        <f t="shared" si="30"/>
        <v>1398762.7200000007</v>
      </c>
      <c r="HE83" s="56">
        <f t="shared" si="30"/>
        <v>1408252.5700000008</v>
      </c>
      <c r="HF83" s="56">
        <f t="shared" si="30"/>
        <v>1408252.5700000008</v>
      </c>
      <c r="HG83" s="56">
        <f t="shared" si="30"/>
        <v>1408252.5700000008</v>
      </c>
      <c r="HH83" s="56">
        <f t="shared" si="30"/>
        <v>1417837.4400000009</v>
      </c>
      <c r="HI83" s="56">
        <f t="shared" si="30"/>
        <v>1426422.9200000009</v>
      </c>
      <c r="HJ83" s="56">
        <f t="shared" si="30"/>
        <v>1435500.8700000008</v>
      </c>
      <c r="HK83" s="56">
        <f t="shared" si="30"/>
        <v>1444708.4300000009</v>
      </c>
      <c r="HL83" s="56">
        <f t="shared" si="30"/>
        <v>1454070.6400000008</v>
      </c>
      <c r="HM83" s="56">
        <f t="shared" si="30"/>
        <v>1454070.6400000008</v>
      </c>
      <c r="HN83" s="56">
        <f t="shared" si="30"/>
        <v>1454070.6400000008</v>
      </c>
      <c r="HO83" s="56">
        <f t="shared" si="30"/>
        <v>1463476.6500000008</v>
      </c>
      <c r="HP83" s="56">
        <f t="shared" si="30"/>
        <v>1472694.2300000009</v>
      </c>
      <c r="HQ83" s="56">
        <f t="shared" si="30"/>
        <v>1482621.7100000009</v>
      </c>
      <c r="HR83" s="56">
        <f t="shared" si="30"/>
        <v>1492424.6100000008</v>
      </c>
      <c r="HS83" s="56">
        <f t="shared" si="30"/>
        <v>1501856.4400000009</v>
      </c>
      <c r="HT83" s="56">
        <f t="shared" si="30"/>
        <v>1501856.4400000009</v>
      </c>
      <c r="HU83" s="56">
        <f t="shared" si="30"/>
        <v>1501856.4400000009</v>
      </c>
      <c r="HV83" s="56">
        <f t="shared" si="30"/>
        <v>1511569.7500000009</v>
      </c>
      <c r="HW83" s="56">
        <f t="shared" si="30"/>
        <v>1520915.330000001</v>
      </c>
      <c r="HX83" s="56">
        <f t="shared" si="30"/>
        <v>1529719.3900000011</v>
      </c>
      <c r="HY83" s="56">
        <f t="shared" si="30"/>
        <v>1539066.360000001</v>
      </c>
      <c r="HZ83" s="56">
        <f t="shared" si="30"/>
        <v>1548955.7500000009</v>
      </c>
      <c r="IA83" s="56">
        <f t="shared" si="30"/>
        <v>1548955.7500000009</v>
      </c>
      <c r="IB83" s="56">
        <f t="shared" si="30"/>
        <v>1548955.7500000009</v>
      </c>
      <c r="IC83" s="56">
        <f t="shared" si="30"/>
        <v>1558417.120000001</v>
      </c>
      <c r="ID83" s="56">
        <f t="shared" si="30"/>
        <v>1567634.7700000009</v>
      </c>
      <c r="IE83" s="56">
        <f t="shared" si="30"/>
        <v>1576504.590000001</v>
      </c>
      <c r="IF83" s="56">
        <f t="shared" si="30"/>
        <v>1585812.570000001</v>
      </c>
      <c r="IG83" s="56">
        <f t="shared" si="30"/>
        <v>1595085.2100000009</v>
      </c>
      <c r="IH83" s="56">
        <f t="shared" si="30"/>
        <v>1595085.2100000009</v>
      </c>
      <c r="II83" s="56">
        <f t="shared" si="30"/>
        <v>1595085.2100000009</v>
      </c>
      <c r="IJ83" s="56">
        <f t="shared" si="30"/>
        <v>1604344.3400000008</v>
      </c>
      <c r="IK83" s="56">
        <f t="shared" si="30"/>
        <v>1613458.8400000008</v>
      </c>
      <c r="IL83" s="56">
        <f t="shared" si="30"/>
        <v>1622793.8100000008</v>
      </c>
    </row>
    <row r="84" spans="1:246" x14ac:dyDescent="0.3">
      <c r="A84" s="57" t="s">
        <v>133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  <c r="GL84" s="58"/>
      <c r="GM84" s="58"/>
      <c r="GN84" s="58"/>
      <c r="GO84" s="58"/>
      <c r="GP84" s="58"/>
      <c r="GQ84" s="58"/>
      <c r="GR84" s="58"/>
      <c r="GS84" s="58"/>
      <c r="GT84" s="58"/>
      <c r="GU84" s="58"/>
      <c r="GV84" s="58"/>
      <c r="GW84" s="58"/>
      <c r="GX84" s="58"/>
      <c r="GY84" s="58"/>
      <c r="GZ84" s="58"/>
      <c r="HA84" s="58"/>
      <c r="HB84" s="58"/>
      <c r="HC84" s="58"/>
      <c r="HD84" s="58"/>
      <c r="HE84" s="58"/>
      <c r="HF84" s="58"/>
      <c r="HG84" s="58"/>
      <c r="HH84" s="58"/>
      <c r="HI84" s="58"/>
      <c r="HJ84" s="58"/>
      <c r="HK84" s="58"/>
      <c r="HL84" s="58"/>
      <c r="HM84" s="58"/>
      <c r="HN84" s="58"/>
      <c r="HO84" s="58"/>
      <c r="HP84" s="58"/>
      <c r="HQ84" s="58"/>
      <c r="HR84" s="58"/>
      <c r="HS84" s="58"/>
      <c r="HT84" s="58"/>
      <c r="HU84" s="58"/>
      <c r="HV84" s="58"/>
      <c r="HW84" s="58"/>
      <c r="HX84" s="58"/>
      <c r="HY84" s="58"/>
      <c r="HZ84" s="58"/>
      <c r="IA84" s="58"/>
      <c r="IB84" s="58"/>
      <c r="IC84" s="58"/>
      <c r="ID84" s="58"/>
      <c r="IE84" s="58"/>
      <c r="IF84" s="58"/>
      <c r="IG84" s="58"/>
      <c r="IH84" s="58"/>
      <c r="II84" s="58"/>
      <c r="IJ84" s="58"/>
      <c r="IK84" s="58"/>
      <c r="IL84" s="58"/>
    </row>
    <row r="85" spans="1:246" x14ac:dyDescent="0.3">
      <c r="A85" t="s">
        <v>3</v>
      </c>
      <c r="B85" s="39">
        <f>IF(WEEKDAY(B$82,2)&gt;5,0,1584.93)</f>
        <v>1584.93</v>
      </c>
      <c r="C85" s="39">
        <f>IF(WEEKDAY(C$82,2)&gt;5,0,1369.05)</f>
        <v>0</v>
      </c>
      <c r="D85" s="39">
        <f>IF(WEEKDAY(D$82,2)&gt;5,0,1632.77)</f>
        <v>0</v>
      </c>
      <c r="E85" s="39">
        <f>IF(WEEKDAY(E$82,2)&gt;5,0,1690.81)</f>
        <v>1690.81</v>
      </c>
      <c r="F85" s="39">
        <f>IF(WEEKDAY(F$82,2)&gt;5,0,1386.73)</f>
        <v>1386.73</v>
      </c>
      <c r="G85" s="39">
        <f>IF(WEEKDAY(G$82,2)&gt;5,0,1513.7)</f>
        <v>1513.7</v>
      </c>
      <c r="H85" s="39">
        <f>IF(WEEKDAY(H$82,2)&gt;5,0,1604.25)</f>
        <v>1604.25</v>
      </c>
      <c r="I85" s="39">
        <f>IF(WEEKDAY(I$82,2)&gt;5,0,1664.58)</f>
        <v>1664.58</v>
      </c>
      <c r="J85" s="39">
        <f>IF(WEEKDAY(J$82,2)&gt;5,0,1467.26)</f>
        <v>0</v>
      </c>
      <c r="K85" s="39">
        <f>IF(WEEKDAY(K$82,2)&gt;5,0,1514.78)</f>
        <v>0</v>
      </c>
      <c r="L85" s="39">
        <f>IF(WEEKDAY(L$82,2)&gt;5,0,1433.47)</f>
        <v>1433.47</v>
      </c>
      <c r="M85" s="39">
        <f>IF(WEEKDAY(M$82,2)&gt;5,0,1666.25)</f>
        <v>1666.25</v>
      </c>
      <c r="N85" s="39">
        <f>IF(WEEKDAY(N$82,2)&gt;5,0,1350.33)</f>
        <v>1350.33</v>
      </c>
      <c r="O85" s="39">
        <f>IF(WEEKDAY(O$82,2)&gt;5,0,1413.89)</f>
        <v>1413.89</v>
      </c>
      <c r="P85" s="39">
        <f>IF(WEEKDAY(P$82,2)&gt;5,0,1528.32)</f>
        <v>1528.32</v>
      </c>
      <c r="Q85" s="39">
        <f>IF(WEEKDAY(Q$82,2)&gt;5,0,1573.35)</f>
        <v>0</v>
      </c>
      <c r="R85" s="39">
        <f>IF(WEEKDAY(R$82,2)&gt;5,0,1579.46)</f>
        <v>0</v>
      </c>
      <c r="S85" s="39">
        <f>IF(WEEKDAY(S$82,2)&gt;5,0,1481.71)</f>
        <v>1481.71</v>
      </c>
      <c r="T85" s="39">
        <f>IF(WEEKDAY(T$82,2)&gt;5,0,1694.24)</f>
        <v>1694.24</v>
      </c>
      <c r="U85" s="39">
        <f>IF(WEEKDAY(U$82,2)&gt;5,0,1372.19)</f>
        <v>1372.19</v>
      </c>
      <c r="V85" s="39">
        <f>IF(WEEKDAY(V$82,2)&gt;5,0,1625.55)</f>
        <v>1625.55</v>
      </c>
      <c r="W85" s="39">
        <f>IF(WEEKDAY(W$82,2)&gt;5,0,1599.95)</f>
        <v>1599.95</v>
      </c>
      <c r="X85" s="39">
        <f>IF(WEEKDAY(X$82,2)&gt;5,0,1499.52)</f>
        <v>0</v>
      </c>
      <c r="Y85" s="39">
        <f>IF(WEEKDAY(Y$82,2)&gt;5,0,1658.97)</f>
        <v>0</v>
      </c>
      <c r="Z85" s="39">
        <f>IF(WEEKDAY(Z$82,2)&gt;5,0,1677.1)</f>
        <v>1677.1</v>
      </c>
      <c r="AA85" s="39">
        <f>IF(WEEKDAY(AA$82,2)&gt;5,0,1682.39)</f>
        <v>1682.39</v>
      </c>
      <c r="AB85" s="39">
        <f>IF(WEEKDAY(AB$82,2)&gt;5,0,1675.17)</f>
        <v>1675.17</v>
      </c>
      <c r="AC85" s="39">
        <f>IF(WEEKDAY(AC$82,2)&gt;5,0,1444.51)</f>
        <v>1444.51</v>
      </c>
      <c r="AD85" s="39">
        <f>IF(WEEKDAY(AD$82,2)&gt;5,0,1277.2)</f>
        <v>1277.2</v>
      </c>
      <c r="AE85" s="39">
        <f>IF(WEEKDAY(AE$82,2)&gt;5,0,1519.18)</f>
        <v>0</v>
      </c>
      <c r="AF85" s="39">
        <f>IF(WEEKDAY(AF$82,2)&gt;5,0,1587.97)</f>
        <v>0</v>
      </c>
      <c r="AG85" s="39">
        <f>IF(WEEKDAY(AG$82,2)&gt;5,0,1470.53)</f>
        <v>1470.53</v>
      </c>
      <c r="AH85" s="39">
        <f>IF(WEEKDAY(AH$82,2)&gt;5,0,1645.32)</f>
        <v>1645.32</v>
      </c>
      <c r="AI85" s="39">
        <f>IF(WEEKDAY(AI$82,2)&gt;5,0,1378.3)</f>
        <v>1378.3</v>
      </c>
      <c r="AJ85" s="39">
        <f>IF(WEEKDAY(AJ$82,2)&gt;5,0,1648.66)</f>
        <v>1648.66</v>
      </c>
      <c r="AK85" s="39">
        <f>IF(WEEKDAY(AK$82,2)&gt;5,0,1723.58)</f>
        <v>1723.58</v>
      </c>
      <c r="AL85" s="39">
        <f>IF(WEEKDAY(AL$82,2)&gt;5,0,1318.98)</f>
        <v>0</v>
      </c>
      <c r="AM85" s="39">
        <f>IF(WEEKDAY(AM$82,2)&gt;5,0,1536.97)</f>
        <v>0</v>
      </c>
      <c r="AN85" s="39">
        <f>IF(WEEKDAY(AN$82,2)&gt;5,0,1366.22)</f>
        <v>1366.22</v>
      </c>
      <c r="AO85" s="39">
        <f>IF(WEEKDAY(AO$82,2)&gt;5,0,1473.33)</f>
        <v>1473.33</v>
      </c>
      <c r="AP85" s="39">
        <f>IF(WEEKDAY(AP$82,2)&gt;5,0,1671.58)</f>
        <v>1671.58</v>
      </c>
      <c r="AQ85" s="39">
        <f>IF(WEEKDAY(AQ$82,2)&gt;5,0,1469.33)</f>
        <v>1469.33</v>
      </c>
      <c r="AR85" s="39">
        <f>IF(WEEKDAY(AR$82,2)&gt;5,0,1681.94)</f>
        <v>1681.94</v>
      </c>
      <c r="AS85" s="39">
        <f>IF(WEEKDAY(AS$82,2)&gt;5,0,1689.94)</f>
        <v>0</v>
      </c>
      <c r="AT85" s="39">
        <f>IF(WEEKDAY(AT$82,2)&gt;5,0,1537.34)</f>
        <v>0</v>
      </c>
      <c r="AU85" s="39">
        <f>IF(WEEKDAY(AU$82,2)&gt;5,0,1541.55)</f>
        <v>1541.55</v>
      </c>
      <c r="AV85" s="39">
        <f>IF(WEEKDAY(AV$82,2)&gt;5,0,1521.04)</f>
        <v>1521.04</v>
      </c>
      <c r="AW85" s="39">
        <f>IF(WEEKDAY(AW$82,2)&gt;5,0,1521.92)</f>
        <v>1521.92</v>
      </c>
      <c r="AX85" s="39">
        <f>IF(WEEKDAY(AX$82,2)&gt;5,0,1508.25)</f>
        <v>1508.25</v>
      </c>
      <c r="AY85" s="39">
        <f>IF(WEEKDAY(AY$82,2)&gt;5,0,1567.09)</f>
        <v>1567.09</v>
      </c>
      <c r="AZ85" s="39">
        <f>IF(WEEKDAY(AZ$82,2)&gt;5,0,1699.55)</f>
        <v>0</v>
      </c>
      <c r="BA85" s="39">
        <f>IF(WEEKDAY(BA$82,2)&gt;5,0,1667.75)</f>
        <v>0</v>
      </c>
      <c r="BB85" s="39">
        <f>IF(WEEKDAY(BB$82,2)&gt;5,0,1449.25)</f>
        <v>1449.25</v>
      </c>
      <c r="BC85" s="39">
        <f>IF(WEEKDAY(BC$82,2)&gt;5,0,1531.81)</f>
        <v>1531.81</v>
      </c>
      <c r="BD85" s="39">
        <f>IF(WEEKDAY(BD$82,2)&gt;5,0,1522.93)</f>
        <v>1522.93</v>
      </c>
      <c r="BE85" s="39">
        <f>IF(WEEKDAY(BE$82,2)&gt;5,0,1295.28)</f>
        <v>1295.28</v>
      </c>
      <c r="BF85" s="39">
        <f>IF(WEEKDAY(BF$82,2)&gt;5,0,1460.11)</f>
        <v>1460.11</v>
      </c>
      <c r="BG85" s="39">
        <f>IF(WEEKDAY(BG$82,2)&gt;5,0,1572.98)</f>
        <v>0</v>
      </c>
      <c r="BH85" s="39">
        <f>IF(WEEKDAY(BH$82,2)&gt;5,0,1562.48)</f>
        <v>0</v>
      </c>
      <c r="BI85" s="39">
        <f>IF(WEEKDAY(BI$82,2)&gt;5,0,1602.92)</f>
        <v>1602.92</v>
      </c>
      <c r="BJ85" s="39">
        <f>IF(WEEKDAY(BJ$82,2)&gt;5,0,1298.76)</f>
        <v>1298.76</v>
      </c>
      <c r="BK85" s="39">
        <f>IF(WEEKDAY(BK$82,2)&gt;5,0,1595.31)</f>
        <v>1595.31</v>
      </c>
      <c r="BL85" s="39">
        <f>IF(WEEKDAY(BL$82,2)&gt;5,0,1559.13)</f>
        <v>1559.13</v>
      </c>
      <c r="BM85" s="39">
        <f>IF(WEEKDAY(BM$82,2)&gt;5,0,1384.88)</f>
        <v>1384.88</v>
      </c>
      <c r="BN85" s="39">
        <f>IF(WEEKDAY(BN$82,2)&gt;5,0,1455.53)</f>
        <v>0</v>
      </c>
      <c r="BO85" s="39">
        <f>IF(WEEKDAY(BO$82,2)&gt;5,0,1385.17)</f>
        <v>0</v>
      </c>
      <c r="BP85" s="39">
        <f>IF(WEEKDAY(BP$82,2)&gt;5,0,1415.15)</f>
        <v>1415.15</v>
      </c>
      <c r="BQ85" s="39">
        <f>IF(WEEKDAY(BQ$82,2)&gt;5,0,1431.67)</f>
        <v>1431.67</v>
      </c>
      <c r="BR85" s="39">
        <f>IF(WEEKDAY(BR$82,2)&gt;5,0,1522.53)</f>
        <v>1522.53</v>
      </c>
      <c r="BS85" s="39">
        <f>IF(WEEKDAY(BS$82,2)&gt;5,0,1307.48)</f>
        <v>1307.48</v>
      </c>
      <c r="BT85" s="39">
        <f>IF(WEEKDAY(BT$82,2)&gt;5,0,1484.77)</f>
        <v>1484.77</v>
      </c>
      <c r="BU85" s="39">
        <f>IF(WEEKDAY(BU$82,2)&gt;5,0,1447.52)</f>
        <v>0</v>
      </c>
      <c r="BV85" s="39">
        <f>IF(WEEKDAY(BV$82,2)&gt;5,0,1603.84)</f>
        <v>0</v>
      </c>
      <c r="BW85" s="39">
        <f>IF(WEEKDAY(BW$82,2)&gt;5,0,1366.52)</f>
        <v>1366.52</v>
      </c>
      <c r="BX85" s="39">
        <f>IF(WEEKDAY(BX$82,2)&gt;5,0,1485.04)</f>
        <v>1485.04</v>
      </c>
      <c r="BY85" s="39">
        <f>IF(WEEKDAY(BY$82,2)&gt;5,0,1474.79)</f>
        <v>1474.79</v>
      </c>
      <c r="BZ85" s="39">
        <f>IF(WEEKDAY(BZ$82,2)&gt;5,0,1569.51)</f>
        <v>1569.51</v>
      </c>
      <c r="CA85" s="39">
        <f>IF(WEEKDAY(CA$82,2)&gt;5,0,1606.92)</f>
        <v>1606.92</v>
      </c>
      <c r="CB85" s="39">
        <f>IF(WEEKDAY(CB$82,2)&gt;5,0,1356.23)</f>
        <v>0</v>
      </c>
      <c r="CC85" s="39">
        <f>IF(WEEKDAY(CC$82,2)&gt;5,0,1467.84)</f>
        <v>0</v>
      </c>
      <c r="CD85" s="39">
        <f>IF(WEEKDAY(CD$82,2)&gt;5,0,1692.33)</f>
        <v>1692.33</v>
      </c>
      <c r="CE85" s="39">
        <f>IF(WEEKDAY(CE$82,2)&gt;5,0,1313.02)</f>
        <v>1313.02</v>
      </c>
      <c r="CF85" s="39">
        <f>IF(WEEKDAY(CF$82,2)&gt;5,0,1384.95)</f>
        <v>1384.95</v>
      </c>
      <c r="CG85" s="39">
        <f>IF(WEEKDAY(CG$82,2)&gt;5,0,1537.76)</f>
        <v>1537.76</v>
      </c>
      <c r="CH85" s="39">
        <f>IF(WEEKDAY(CH$82,2)&gt;5,0,1540.12)</f>
        <v>1540.12</v>
      </c>
      <c r="CI85" s="39">
        <f>IF(WEEKDAY(CI$82,2)&gt;5,0,1621.79)</f>
        <v>0</v>
      </c>
      <c r="CJ85" s="39">
        <f>IF(WEEKDAY(CJ$82,2)&gt;5,0,1685.13)</f>
        <v>0</v>
      </c>
      <c r="CK85" s="39">
        <f>IF(WEEKDAY(CK$82,2)&gt;5,0,1406.92)</f>
        <v>1406.92</v>
      </c>
      <c r="CL85" s="39">
        <f>IF(WEEKDAY(CL$82,2)&gt;5,0,1676.31)</f>
        <v>1676.31</v>
      </c>
      <c r="CM85" s="39">
        <f>IF(WEEKDAY(CM$82,2)&gt;5,0,1432.75)</f>
        <v>1432.75</v>
      </c>
      <c r="CN85" s="39">
        <f>IF(WEEKDAY(CN$82,2)&gt;5,0,1585.31)</f>
        <v>1585.31</v>
      </c>
      <c r="CO85" s="39">
        <f>IF(WEEKDAY(CO$82,2)&gt;5,0,1712.47)</f>
        <v>1712.47</v>
      </c>
      <c r="CP85" s="39">
        <f>IF(WEEKDAY(CP$82,2)&gt;5,0,1314.62)</f>
        <v>0</v>
      </c>
      <c r="CQ85" s="39">
        <f>IF(WEEKDAY(CQ$82,2)&gt;5,0,1412.61)</f>
        <v>0</v>
      </c>
      <c r="CR85" s="39">
        <f>IF(WEEKDAY(CR$82,2)&gt;5,0,1591.54)</f>
        <v>1591.54</v>
      </c>
      <c r="CS85" s="39">
        <f>IF(WEEKDAY(CS$82,2)&gt;5,0,1398.73)</f>
        <v>1398.73</v>
      </c>
      <c r="CT85" s="39">
        <f>IF(WEEKDAY(CT$82,2)&gt;5,0,1421.58)</f>
        <v>1421.58</v>
      </c>
      <c r="CU85" s="39">
        <f>IF(WEEKDAY(CU$82,2)&gt;5,0,1438.14)</f>
        <v>1438.14</v>
      </c>
      <c r="CV85" s="39">
        <f>IF(WEEKDAY(CV$82,2)&gt;5,0,1538.92)</f>
        <v>1538.92</v>
      </c>
      <c r="CW85" s="39">
        <f>IF(WEEKDAY(CW$82,2)&gt;5,0,1623.55)</f>
        <v>0</v>
      </c>
      <c r="CX85" s="39">
        <f>IF(WEEKDAY(CX$82,2)&gt;5,0,1700.98)</f>
        <v>0</v>
      </c>
      <c r="CY85" s="39">
        <f>IF(WEEKDAY(CY$82,2)&gt;5,0,1467.54)</f>
        <v>1467.54</v>
      </c>
      <c r="CZ85" s="39">
        <f>IF(WEEKDAY(CZ$82,2)&gt;5,0,1329.3)</f>
        <v>1329.3</v>
      </c>
      <c r="DA85" s="39">
        <f>IF(WEEKDAY(DA$82,2)&gt;5,0,1340.82)</f>
        <v>1340.82</v>
      </c>
      <c r="DB85" s="39">
        <f>IF(WEEKDAY(DB$82,2)&gt;5,0,1575.27)</f>
        <v>1575.27</v>
      </c>
      <c r="DC85" s="39">
        <f>IF(WEEKDAY(DC$82,2)&gt;5,0,1596.05)</f>
        <v>1596.05</v>
      </c>
      <c r="DD85" s="39">
        <f>IF(WEEKDAY(DD$82,2)&gt;5,0,1413.35)</f>
        <v>0</v>
      </c>
      <c r="DE85" s="39">
        <f>IF(WEEKDAY(DE$82,2)&gt;5,0,1663.6)</f>
        <v>0</v>
      </c>
      <c r="DF85" s="39">
        <f>IF(WEEKDAY(DF$82,2)&gt;5,0,1692.6)</f>
        <v>1692.6</v>
      </c>
      <c r="DG85" s="39">
        <f>IF(WEEKDAY(DG$82,2)&gt;5,0,1448.29)</f>
        <v>1448.29</v>
      </c>
      <c r="DH85" s="39">
        <f>IF(WEEKDAY(DH$82,2)&gt;5,0,1297.17)</f>
        <v>1297.17</v>
      </c>
      <c r="DI85" s="39">
        <f>IF(WEEKDAY(DI$82,2)&gt;5,0,1533.34)</f>
        <v>1533.34</v>
      </c>
      <c r="DJ85" s="39">
        <f>IF(WEEKDAY(DJ$82,2)&gt;5,0,1393.57)</f>
        <v>1393.57</v>
      </c>
      <c r="DK85" s="39">
        <f>IF(WEEKDAY(DK$82,2)&gt;5,0,1481.14)</f>
        <v>0</v>
      </c>
      <c r="DL85" s="39">
        <f>IF(WEEKDAY(DL$82,2)&gt;5,0,1594.5)</f>
        <v>0</v>
      </c>
      <c r="DM85" s="39">
        <f>IF(WEEKDAY(DM$82,2)&gt;5,0,1679.24)</f>
        <v>1679.24</v>
      </c>
      <c r="DN85" s="39">
        <f>IF(WEEKDAY(DN$82,2)&gt;5,0,1672.84)</f>
        <v>1672.84</v>
      </c>
      <c r="DO85" s="39">
        <f>IF(WEEKDAY(DO$82,2)&gt;5,0,1362.59)</f>
        <v>1362.59</v>
      </c>
      <c r="DP85" s="39">
        <f>IF(WEEKDAY(DP$82,2)&gt;5,0,1306.87)</f>
        <v>1306.8699999999999</v>
      </c>
      <c r="DQ85" s="39">
        <f>IF(WEEKDAY(DQ$82,2)&gt;5,0,1576.86)</f>
        <v>1576.86</v>
      </c>
      <c r="DR85" s="39">
        <f>IF(WEEKDAY(DR$82,2)&gt;5,0,1450.87)</f>
        <v>0</v>
      </c>
      <c r="DS85" s="39">
        <f>IF(WEEKDAY(DS$82,2)&gt;5,0,1594.43)</f>
        <v>0</v>
      </c>
      <c r="DT85" s="39">
        <f>IF(WEEKDAY(DT$82,2)&gt;5,0,1418.32)</f>
        <v>1418.32</v>
      </c>
      <c r="DU85" s="39">
        <f>IF(WEEKDAY(DU$82,2)&gt;5,0,1600.36)</f>
        <v>1600.36</v>
      </c>
      <c r="DV85" s="39">
        <f>IF(WEEKDAY(DV$82,2)&gt;5,0,1614.24)</f>
        <v>1614.24</v>
      </c>
      <c r="DW85" s="39">
        <f>IF(WEEKDAY(DW$82,2)&gt;5,0,1673.47)</f>
        <v>1673.47</v>
      </c>
      <c r="DX85" s="39">
        <f>IF(WEEKDAY(DX$82,2)&gt;5,0,1512.93)</f>
        <v>1512.93</v>
      </c>
      <c r="DY85" s="39">
        <f>IF(WEEKDAY(DY$82,2)&gt;5,0,1535.13)</f>
        <v>0</v>
      </c>
      <c r="DZ85" s="39">
        <f>IF(WEEKDAY(DZ$82,2)&gt;5,0,1631.7)</f>
        <v>0</v>
      </c>
      <c r="EA85" s="39">
        <f>IF(WEEKDAY(EA$82,2)&gt;5,0,1662.86)</f>
        <v>1662.86</v>
      </c>
      <c r="EB85" s="39">
        <f>IF(WEEKDAY(EB$82,2)&gt;5,0,1381.42)</f>
        <v>1381.42</v>
      </c>
      <c r="EC85" s="39">
        <f>IF(WEEKDAY(EC$82,2)&gt;5,0,1619.35)</f>
        <v>1619.35</v>
      </c>
      <c r="ED85" s="39">
        <f>IF(WEEKDAY(ED$82,2)&gt;5,0,1549.46)</f>
        <v>1549.46</v>
      </c>
      <c r="EE85" s="39">
        <f>IF(WEEKDAY(EE$82,2)&gt;5,0,1557.18)</f>
        <v>1557.18</v>
      </c>
      <c r="EF85" s="39">
        <f>IF(WEEKDAY(EF$82,2)&gt;5,0,1639.14)</f>
        <v>0</v>
      </c>
      <c r="EG85" s="39">
        <f>IF(WEEKDAY(EG$82,2)&gt;5,0,1674.75)</f>
        <v>0</v>
      </c>
      <c r="EH85" s="39">
        <f>IF(WEEKDAY(EH$82,2)&gt;5,0,1646.58)</f>
        <v>1646.58</v>
      </c>
      <c r="EI85" s="39">
        <f>IF(WEEKDAY(EI$82,2)&gt;5,0,1559.68)</f>
        <v>1559.68</v>
      </c>
      <c r="EJ85" s="39">
        <f>IF(WEEKDAY(EJ$82,2)&gt;5,0,1301.58)</f>
        <v>1301.58</v>
      </c>
      <c r="EK85" s="39">
        <f>IF(WEEKDAY(EK$82,2)&gt;5,0,1447.78)</f>
        <v>1447.78</v>
      </c>
      <c r="EL85" s="39">
        <f>IF(WEEKDAY(EL$82,2)&gt;5,0,1445.4)</f>
        <v>1445.4</v>
      </c>
      <c r="EM85" s="39">
        <f>IF(WEEKDAY(EM$82,2)&gt;5,0,1506.08)</f>
        <v>0</v>
      </c>
      <c r="EN85" s="39">
        <f>IF(WEEKDAY(EN$82,2)&gt;5,0,1711.57)</f>
        <v>0</v>
      </c>
      <c r="EO85" s="39">
        <f>IF(WEEKDAY(EO$82,2)&gt;5,0,1530.02)</f>
        <v>1530.02</v>
      </c>
      <c r="EP85" s="39">
        <f>IF(WEEKDAY(EP$82,2)&gt;5,0,1422.9)</f>
        <v>1422.9</v>
      </c>
      <c r="EQ85" s="39">
        <f>IF(WEEKDAY(EQ$82,2)&gt;5,0,1681.89)</f>
        <v>1681.89</v>
      </c>
      <c r="ER85" s="39">
        <f>IF(WEEKDAY(ER$82,2)&gt;5,0,1461.08)</f>
        <v>1461.08</v>
      </c>
      <c r="ES85" s="39">
        <f>IF(WEEKDAY(ES$82,2)&gt;5,0,1497.55)</f>
        <v>1497.55</v>
      </c>
      <c r="ET85" s="39">
        <f>IF(WEEKDAY(ET$82,2)&gt;5,0,1700.28)</f>
        <v>0</v>
      </c>
      <c r="EU85" s="39">
        <f>IF(WEEKDAY(EU$82,2)&gt;5,0,1483.18)</f>
        <v>0</v>
      </c>
      <c r="EV85" s="39">
        <f>IF(WEEKDAY(EV$82,2)&gt;5,0,1373.22)</f>
        <v>1373.22</v>
      </c>
      <c r="EW85" s="39">
        <f>IF(WEEKDAY(EW$82,2)&gt;5,0,1290.1)</f>
        <v>1290.0999999999999</v>
      </c>
      <c r="EX85" s="39">
        <f>IF(WEEKDAY(EX$82,2)&gt;5,0,1690.52)</f>
        <v>1690.52</v>
      </c>
      <c r="EY85" s="39">
        <f>IF(WEEKDAY(EY$82,2)&gt;5,0,1356.63)</f>
        <v>1356.63</v>
      </c>
      <c r="EZ85" s="39">
        <f>IF(WEEKDAY(EZ$82,2)&gt;5,0,1589.55)</f>
        <v>1589.55</v>
      </c>
      <c r="FA85" s="39">
        <f>IF(WEEKDAY(FA$82,2)&gt;5,0,1586.02)</f>
        <v>0</v>
      </c>
      <c r="FB85" s="39">
        <f>IF(WEEKDAY(FB$82,2)&gt;5,0,1722.73)</f>
        <v>0</v>
      </c>
      <c r="FC85" s="39">
        <f>IF(WEEKDAY(FC$82,2)&gt;5,0,1551.66)</f>
        <v>1551.66</v>
      </c>
      <c r="FD85" s="39">
        <f>IF(WEEKDAY(FD$82,2)&gt;5,0,1506)</f>
        <v>1506</v>
      </c>
      <c r="FE85" s="39">
        <f>IF(WEEKDAY(FE$82,2)&gt;5,0,1576.09)</f>
        <v>1576.09</v>
      </c>
      <c r="FF85" s="39">
        <f>IF(WEEKDAY(FF$82,2)&gt;5,0,1716.6)</f>
        <v>1716.6</v>
      </c>
      <c r="FG85" s="39">
        <f>IF(WEEKDAY(FG$82,2)&gt;5,0,1371.87)</f>
        <v>1371.87</v>
      </c>
      <c r="FH85" s="39">
        <f>IF(WEEKDAY(FH$82,2)&gt;5,0,1539.49)</f>
        <v>0</v>
      </c>
      <c r="FI85" s="39">
        <f>IF(WEEKDAY(FI$82,2)&gt;5,0,1425.46)</f>
        <v>0</v>
      </c>
      <c r="FJ85" s="39">
        <f>IF(WEEKDAY(FJ$82,2)&gt;5,0,1289)</f>
        <v>1289</v>
      </c>
      <c r="FK85" s="39">
        <f>IF(WEEKDAY(FK$82,2)&gt;5,0,1696.04)</f>
        <v>1696.04</v>
      </c>
      <c r="FL85" s="39">
        <f>IF(WEEKDAY(FL$82,2)&gt;5,0,1447.36)</f>
        <v>1447.36</v>
      </c>
      <c r="FM85" s="39">
        <f>IF(WEEKDAY(FM$82,2)&gt;5,0,1279.17)</f>
        <v>1279.17</v>
      </c>
      <c r="FN85" s="39">
        <f>IF(WEEKDAY(FN$82,2)&gt;5,0,1337.5)</f>
        <v>1337.5</v>
      </c>
      <c r="FO85" s="39">
        <f>IF(WEEKDAY(FO$82,2)&gt;5,0,1611.08)</f>
        <v>0</v>
      </c>
      <c r="FP85" s="39">
        <f>IF(WEEKDAY(FP$82,2)&gt;5,0,1612.97)</f>
        <v>0</v>
      </c>
      <c r="FQ85" s="39">
        <f>IF(WEEKDAY(FQ$82,2)&gt;5,0,1638.45)</f>
        <v>1638.45</v>
      </c>
      <c r="FR85" s="39">
        <f>IF(WEEKDAY(FR$82,2)&gt;5,0,1349.04)</f>
        <v>1349.04</v>
      </c>
      <c r="FS85" s="39">
        <f>IF(WEEKDAY(FS$82,2)&gt;5,0,1388.75)</f>
        <v>1388.75</v>
      </c>
      <c r="FT85" s="39">
        <f>IF(WEEKDAY(FT$82,2)&gt;5,0,1453.89)</f>
        <v>1453.89</v>
      </c>
      <c r="FU85" s="39">
        <f>IF(WEEKDAY(FU$82,2)&gt;5,0,1418.74)</f>
        <v>1418.74</v>
      </c>
      <c r="FV85" s="39">
        <f>IF(WEEKDAY(FV$82,2)&gt;5,0,1448.44)</f>
        <v>0</v>
      </c>
      <c r="FW85" s="39">
        <f>IF(WEEKDAY(FW$82,2)&gt;5,0,1623.38)</f>
        <v>0</v>
      </c>
      <c r="FX85" s="39">
        <f>IF(WEEKDAY(FX$82,2)&gt;5,0,1457.56)</f>
        <v>1457.56</v>
      </c>
      <c r="FY85" s="39">
        <f>IF(WEEKDAY(FY$82,2)&gt;5,0,1299.98)</f>
        <v>1299.98</v>
      </c>
      <c r="FZ85" s="39">
        <f>IF(WEEKDAY(FZ$82,2)&gt;5,0,1308.48)</f>
        <v>1308.48</v>
      </c>
      <c r="GA85" s="39">
        <f>IF(WEEKDAY(GA$82,2)&gt;5,0,1632.68)</f>
        <v>1632.68</v>
      </c>
      <c r="GB85" s="39">
        <f>IF(WEEKDAY(GB$82,2)&gt;5,0,1365.8)</f>
        <v>1365.8</v>
      </c>
      <c r="GC85" s="39">
        <f>IF(WEEKDAY(GC$82,2)&gt;5,0,1561.6)</f>
        <v>0</v>
      </c>
      <c r="GD85" s="39">
        <f>IF(WEEKDAY(GD$82,2)&gt;5,0,1723.13)</f>
        <v>0</v>
      </c>
      <c r="GE85" s="39">
        <f>IF(WEEKDAY(GE$82,2)&gt;5,0,1687.31)</f>
        <v>1687.31</v>
      </c>
      <c r="GF85" s="39">
        <f>IF(WEEKDAY(GF$82,2)&gt;5,0,1464.93)</f>
        <v>1464.93</v>
      </c>
      <c r="GG85" s="39">
        <f>IF(WEEKDAY(GG$82,2)&gt;5,0,1534.18)</f>
        <v>1534.18</v>
      </c>
      <c r="GH85" s="39">
        <f>IF(WEEKDAY(GH$82,2)&gt;5,0,1481.86)</f>
        <v>1481.86</v>
      </c>
      <c r="GI85" s="39">
        <f>IF(WEEKDAY(GI$82,2)&gt;5,0,1404.3)</f>
        <v>1404.3</v>
      </c>
      <c r="GJ85" s="39">
        <f>IF(WEEKDAY(GJ$82,2)&gt;5,0,1301.66)</f>
        <v>0</v>
      </c>
      <c r="GK85" s="39">
        <f>IF(WEEKDAY(GK$82,2)&gt;5,0,1472.1)</f>
        <v>0</v>
      </c>
      <c r="GL85" s="39">
        <f>IF(WEEKDAY(GL$82,2)&gt;5,0,1354.64)</f>
        <v>1354.64</v>
      </c>
      <c r="GM85" s="39">
        <f>IF(WEEKDAY(GM$82,2)&gt;5,0,1715.15)</f>
        <v>1715.15</v>
      </c>
      <c r="GN85" s="39">
        <f>IF(WEEKDAY(GN$82,2)&gt;5,0,1661.11)</f>
        <v>1661.11</v>
      </c>
      <c r="GO85" s="39">
        <f>IF(WEEKDAY(GO$82,2)&gt;5,0,1524.72)</f>
        <v>1524.72</v>
      </c>
      <c r="GP85" s="39">
        <f>IF(WEEKDAY(GP$82,2)&gt;5,0,1484)</f>
        <v>1484</v>
      </c>
      <c r="GQ85" s="39">
        <f>IF(WEEKDAY(GQ$82,2)&gt;5,0,1652.98)</f>
        <v>0</v>
      </c>
      <c r="GR85" s="39">
        <f>IF(WEEKDAY(GR$82,2)&gt;5,0,1318.84)</f>
        <v>0</v>
      </c>
      <c r="GS85" s="39">
        <f>IF(WEEKDAY(GS$82,2)&gt;5,0,1435.54)</f>
        <v>1435.54</v>
      </c>
      <c r="GT85" s="39">
        <f>IF(WEEKDAY(GT$82,2)&gt;5,0,1307.97)</f>
        <v>1307.97</v>
      </c>
      <c r="GU85" s="39">
        <f>IF(WEEKDAY(GU$82,2)&gt;5,0,1487.53)</f>
        <v>1487.53</v>
      </c>
      <c r="GV85" s="39">
        <f>IF(WEEKDAY(GV$82,2)&gt;5,0,1603.18)</f>
        <v>1603.18</v>
      </c>
      <c r="GW85" s="39">
        <f>IF(WEEKDAY(GW$82,2)&gt;5,0,1436.98)</f>
        <v>1436.98</v>
      </c>
      <c r="GX85" s="39">
        <f>IF(WEEKDAY(GX$82,2)&gt;5,0,1487.96)</f>
        <v>0</v>
      </c>
      <c r="GY85" s="39">
        <f>IF(WEEKDAY(GY$82,2)&gt;5,0,1287.66)</f>
        <v>0</v>
      </c>
      <c r="GZ85" s="39">
        <f>IF(WEEKDAY(GZ$82,2)&gt;5,0,1555.08)</f>
        <v>1555.08</v>
      </c>
      <c r="HA85" s="39">
        <f>IF(WEEKDAY(HA$82,2)&gt;5,0,1295.3)</f>
        <v>1295.3</v>
      </c>
      <c r="HB85" s="39">
        <f>IF(WEEKDAY(HB$82,2)&gt;5,0,1663.22)</f>
        <v>1663.22</v>
      </c>
      <c r="HC85" s="39">
        <f>IF(WEEKDAY(HC$82,2)&gt;5,0,1328.29)</f>
        <v>1328.29</v>
      </c>
      <c r="HD85" s="39">
        <f>IF(WEEKDAY(HD$82,2)&gt;5,0,1716.25)</f>
        <v>1716.25</v>
      </c>
      <c r="HE85" s="39">
        <f>IF(WEEKDAY(HE$82,2)&gt;5,0,1549.68)</f>
        <v>0</v>
      </c>
      <c r="HF85" s="39">
        <f>IF(WEEKDAY(HF$82,2)&gt;5,0,1394.75)</f>
        <v>0</v>
      </c>
      <c r="HG85" s="39">
        <f>IF(WEEKDAY(HG$82,2)&gt;5,0,1606.39)</f>
        <v>1606.39</v>
      </c>
      <c r="HH85" s="39">
        <f>IF(WEEKDAY(HH$82,2)&gt;5,0,1298.63)</f>
        <v>1298.6300000000001</v>
      </c>
      <c r="HI85" s="39">
        <f>IF(WEEKDAY(HI$82,2)&gt;5,0,1280.88)</f>
        <v>1280.8800000000001</v>
      </c>
      <c r="HJ85" s="39">
        <f>IF(WEEKDAY(HJ$82,2)&gt;5,0,1367.52)</f>
        <v>1367.52</v>
      </c>
      <c r="HK85" s="39">
        <f>IF(WEEKDAY(HK$82,2)&gt;5,0,1379.5)</f>
        <v>1379.5</v>
      </c>
      <c r="HL85" s="39">
        <f>IF(WEEKDAY(HL$82,2)&gt;5,0,1410.71)</f>
        <v>0</v>
      </c>
      <c r="HM85" s="39">
        <f>IF(WEEKDAY(HM$82,2)&gt;5,0,1468.95)</f>
        <v>0</v>
      </c>
      <c r="HN85" s="39">
        <f>IF(WEEKDAY(HN$82,2)&gt;5,0,1442.67)</f>
        <v>1442.67</v>
      </c>
      <c r="HO85" s="39">
        <f>IF(WEEKDAY(HO$82,2)&gt;5,0,1718.79)</f>
        <v>1718.79</v>
      </c>
      <c r="HP85" s="39">
        <f>IF(WEEKDAY(HP$82,2)&gt;5,0,1651.99)</f>
        <v>1651.99</v>
      </c>
      <c r="HQ85" s="39">
        <f>IF(WEEKDAY(HQ$82,2)&gt;5,0,1657.96)</f>
        <v>1657.96</v>
      </c>
      <c r="HR85" s="39">
        <f>IF(WEEKDAY(HR$82,2)&gt;5,0,1495.59)</f>
        <v>1495.59</v>
      </c>
      <c r="HS85" s="39">
        <f>IF(WEEKDAY(HS$82,2)&gt;5,0,1514.66)</f>
        <v>0</v>
      </c>
      <c r="HT85" s="39">
        <f>IF(WEEKDAY(HT$82,2)&gt;5,0,1383.09)</f>
        <v>0</v>
      </c>
      <c r="HU85" s="39">
        <f>IF(WEEKDAY(HU$82,2)&gt;5,0,1663.66)</f>
        <v>1663.66</v>
      </c>
      <c r="HV85" s="39">
        <f>IF(WEEKDAY(HV$82,2)&gt;5,0,1484.89)</f>
        <v>1484.89</v>
      </c>
      <c r="HW85" s="39">
        <f>IF(WEEKDAY(HW$82,2)&gt;5,0,1350.71)</f>
        <v>1350.71</v>
      </c>
      <c r="HX85" s="39">
        <f>IF(WEEKDAY(HX$82,2)&gt;5,0,1475)</f>
        <v>1475</v>
      </c>
      <c r="HY85" s="39">
        <f>IF(WEEKDAY(HY$82,2)&gt;5,0,1664.79)</f>
        <v>1664.79</v>
      </c>
      <c r="HZ85" s="39">
        <f>IF(WEEKDAY(HZ$82,2)&gt;5,0,1551.58)</f>
        <v>0</v>
      </c>
      <c r="IA85" s="39">
        <f>IF(WEEKDAY(IA$82,2)&gt;5,0,1332.88)</f>
        <v>0</v>
      </c>
      <c r="IB85" s="39">
        <f>IF(WEEKDAY(IB$82,2)&gt;5,0,1605.8)</f>
        <v>1605.8</v>
      </c>
      <c r="IC85" s="39">
        <f>IF(WEEKDAY(IC$82,2)&gt;5,0,1488.78)</f>
        <v>1488.78</v>
      </c>
      <c r="ID85" s="39">
        <f>IF(WEEKDAY(ID$82,2)&gt;5,0,1287.86)</f>
        <v>1287.8599999999999</v>
      </c>
      <c r="IE85" s="39">
        <f>IF(WEEKDAY(IE$82,2)&gt;5,0,1560.3)</f>
        <v>1560.3</v>
      </c>
      <c r="IF85" s="39">
        <f>IF(WEEKDAY(IF$82,2)&gt;5,0,1331.88)</f>
        <v>1331.88</v>
      </c>
      <c r="IG85" s="39">
        <f>IF(WEEKDAY(IG$82,2)&gt;5,0,1418.76)</f>
        <v>0</v>
      </c>
      <c r="IH85" s="39">
        <f>IF(WEEKDAY(IH$82,2)&gt;5,0,1453)</f>
        <v>0</v>
      </c>
      <c r="II85" s="39">
        <f>IF(WEEKDAY(II$82,2)&gt;5,0,1432.94)</f>
        <v>1432.94</v>
      </c>
      <c r="IJ85" s="39">
        <f>IF(WEEKDAY(IJ$82,2)&gt;5,0,1438.06)</f>
        <v>1438.06</v>
      </c>
      <c r="IK85" s="39">
        <f>IF(WEEKDAY(IK$82,2)&gt;5,0,1719.61)</f>
        <v>1719.61</v>
      </c>
      <c r="IL85" s="39">
        <f>IF(WEEKDAY(IL$82,2)&gt;5,0,1282.16)</f>
        <v>1282.1600000000001</v>
      </c>
    </row>
    <row r="86" spans="1:246" x14ac:dyDescent="0.3">
      <c r="A86" t="s">
        <v>6</v>
      </c>
      <c r="B86" s="39">
        <f>IF(WEEKDAY(B$82,2)&gt;5,0,841.7)</f>
        <v>841.7</v>
      </c>
      <c r="C86" s="39">
        <f>IF(WEEKDAY(C$82,2)&gt;5,0,887.11)</f>
        <v>0</v>
      </c>
      <c r="D86" s="39">
        <f>IF(WEEKDAY(D$82,2)&gt;5,0,865.84)</f>
        <v>0</v>
      </c>
      <c r="E86" s="39">
        <f>IF(WEEKDAY(E$82,2)&gt;5,0,840.02)</f>
        <v>840.02</v>
      </c>
      <c r="F86" s="39">
        <f>IF(WEEKDAY(F$82,2)&gt;5,0,738.66)</f>
        <v>738.66</v>
      </c>
      <c r="G86" s="39">
        <f>IF(WEEKDAY(G$82,2)&gt;5,0,855.87)</f>
        <v>855.87</v>
      </c>
      <c r="H86" s="39">
        <f>IF(WEEKDAY(H$82,2)&gt;5,0,698.04)</f>
        <v>698.04</v>
      </c>
      <c r="I86" s="39">
        <f>IF(WEEKDAY(I$82,2)&gt;5,0,845.1)</f>
        <v>845.1</v>
      </c>
      <c r="J86" s="39">
        <f>IF(WEEKDAY(J$82,2)&gt;5,0,703.35)</f>
        <v>0</v>
      </c>
      <c r="K86" s="39">
        <f>IF(WEEKDAY(K$82,2)&gt;5,0,856.53)</f>
        <v>0</v>
      </c>
      <c r="L86" s="39">
        <f>IF(WEEKDAY(L$82,2)&gt;5,0,909.66)</f>
        <v>909.66</v>
      </c>
      <c r="M86" s="39">
        <f>IF(WEEKDAY(M$82,2)&gt;5,0,846.08)</f>
        <v>846.08</v>
      </c>
      <c r="N86" s="39">
        <f>IF(WEEKDAY(N$82,2)&gt;5,0,688.69)</f>
        <v>688.69</v>
      </c>
      <c r="O86" s="39">
        <f>IF(WEEKDAY(O$82,2)&gt;5,0,772.06)</f>
        <v>772.06</v>
      </c>
      <c r="P86" s="39">
        <f>IF(WEEKDAY(P$82,2)&gt;5,0,889.96)</f>
        <v>889.96</v>
      </c>
      <c r="Q86" s="39">
        <f>IF(WEEKDAY(Q$82,2)&gt;5,0,766.2)</f>
        <v>0</v>
      </c>
      <c r="R86" s="39">
        <f>IF(WEEKDAY(R$82,2)&gt;5,0,706.64)</f>
        <v>0</v>
      </c>
      <c r="S86" s="39">
        <f>IF(WEEKDAY(S$82,2)&gt;5,0,840.55)</f>
        <v>840.55</v>
      </c>
      <c r="T86" s="39">
        <f>IF(WEEKDAY(T$82,2)&gt;5,0,827.77)</f>
        <v>827.77</v>
      </c>
      <c r="U86" s="39">
        <f>IF(WEEKDAY(U$82,2)&gt;5,0,812.34)</f>
        <v>812.34</v>
      </c>
      <c r="V86" s="39">
        <f>IF(WEEKDAY(V$82,2)&gt;5,0,892.46)</f>
        <v>892.46</v>
      </c>
      <c r="W86" s="39">
        <f>IF(WEEKDAY(W$82,2)&gt;5,0,746.21)</f>
        <v>746.21</v>
      </c>
      <c r="X86" s="39">
        <f>IF(WEEKDAY(X$82,2)&gt;5,0,849.7)</f>
        <v>0</v>
      </c>
      <c r="Y86" s="39">
        <f>IF(WEEKDAY(Y$82,2)&gt;5,0,747.35)</f>
        <v>0</v>
      </c>
      <c r="Z86" s="39">
        <f>IF(WEEKDAY(Z$82,2)&gt;5,0,789.97)</f>
        <v>789.97</v>
      </c>
      <c r="AA86" s="39">
        <f>IF(WEEKDAY(AA$82,2)&gt;5,0,780.98)</f>
        <v>780.98</v>
      </c>
      <c r="AB86" s="39">
        <f>IF(WEEKDAY(AB$82,2)&gt;5,0,875.92)</f>
        <v>875.92</v>
      </c>
      <c r="AC86" s="39">
        <f>IF(WEEKDAY(AC$82,2)&gt;5,0,914.88)</f>
        <v>914.88</v>
      </c>
      <c r="AD86" s="39">
        <f>IF(WEEKDAY(AD$82,2)&gt;5,0,709.09)</f>
        <v>709.09</v>
      </c>
      <c r="AE86" s="39">
        <f>IF(WEEKDAY(AE$82,2)&gt;5,0,821.32)</f>
        <v>0</v>
      </c>
      <c r="AF86" s="39">
        <f>IF(WEEKDAY(AF$82,2)&gt;5,0,778.29)</f>
        <v>0</v>
      </c>
      <c r="AG86" s="39">
        <f>IF(WEEKDAY(AG$82,2)&gt;5,0,767.31)</f>
        <v>767.31</v>
      </c>
      <c r="AH86" s="39">
        <f>IF(WEEKDAY(AH$82,2)&gt;5,0,905.85)</f>
        <v>905.85</v>
      </c>
      <c r="AI86" s="39">
        <f>IF(WEEKDAY(AI$82,2)&gt;5,0,825.79)</f>
        <v>825.79</v>
      </c>
      <c r="AJ86" s="39">
        <f>IF(WEEKDAY(AJ$82,2)&gt;5,0,892.13)</f>
        <v>892.13</v>
      </c>
      <c r="AK86" s="39">
        <f>IF(WEEKDAY(AK$82,2)&gt;5,0,793.36)</f>
        <v>793.36</v>
      </c>
      <c r="AL86" s="39">
        <f>IF(WEEKDAY(AL$82,2)&gt;5,0,754.13)</f>
        <v>0</v>
      </c>
      <c r="AM86" s="39">
        <f>IF(WEEKDAY(AM$82,2)&gt;5,0,854.4)</f>
        <v>0</v>
      </c>
      <c r="AN86" s="39">
        <f>IF(WEEKDAY(AN$82,2)&gt;5,0,883.7)</f>
        <v>883.7</v>
      </c>
      <c r="AO86" s="39">
        <f>IF(WEEKDAY(AO$82,2)&gt;5,0,873.38)</f>
        <v>873.38</v>
      </c>
      <c r="AP86" s="39">
        <f>IF(WEEKDAY(AP$82,2)&gt;5,0,866.81)</f>
        <v>866.81</v>
      </c>
      <c r="AQ86" s="39">
        <f>IF(WEEKDAY(AQ$82,2)&gt;5,0,821.58)</f>
        <v>821.58</v>
      </c>
      <c r="AR86" s="39">
        <f>IF(WEEKDAY(AR$82,2)&gt;5,0,700.02)</f>
        <v>700.02</v>
      </c>
      <c r="AS86" s="39">
        <f>IF(WEEKDAY(AS$82,2)&gt;5,0,843.67)</f>
        <v>0</v>
      </c>
      <c r="AT86" s="39">
        <f>IF(WEEKDAY(AT$82,2)&gt;5,0,817.25)</f>
        <v>0</v>
      </c>
      <c r="AU86" s="39">
        <f>IF(WEEKDAY(AU$82,2)&gt;5,0,842.59)</f>
        <v>842.59</v>
      </c>
      <c r="AV86" s="39">
        <f>IF(WEEKDAY(AV$82,2)&gt;5,0,872.34)</f>
        <v>872.34</v>
      </c>
      <c r="AW86" s="39">
        <f>IF(WEEKDAY(AW$82,2)&gt;5,0,784.96)</f>
        <v>784.96</v>
      </c>
      <c r="AX86" s="39">
        <f>IF(WEEKDAY(AX$82,2)&gt;5,0,789.24)</f>
        <v>789.24</v>
      </c>
      <c r="AY86" s="39">
        <f>IF(WEEKDAY(AY$82,2)&gt;5,0,733.24)</f>
        <v>733.24</v>
      </c>
      <c r="AZ86" s="39">
        <f>IF(WEEKDAY(AZ$82,2)&gt;5,0,757.97)</f>
        <v>0</v>
      </c>
      <c r="BA86" s="39">
        <f>IF(WEEKDAY(BA$82,2)&gt;5,0,813.1)</f>
        <v>0</v>
      </c>
      <c r="BB86" s="39">
        <f>IF(WEEKDAY(BB$82,2)&gt;5,0,806.53)</f>
        <v>806.53</v>
      </c>
      <c r="BC86" s="39">
        <f>IF(WEEKDAY(BC$82,2)&gt;5,0,833.81)</f>
        <v>833.81</v>
      </c>
      <c r="BD86" s="39">
        <f>IF(WEEKDAY(BD$82,2)&gt;5,0,712.85)</f>
        <v>712.85</v>
      </c>
      <c r="BE86" s="39">
        <f>IF(WEEKDAY(BE$82,2)&gt;5,0,838.42)</f>
        <v>838.42</v>
      </c>
      <c r="BF86" s="39">
        <f>IF(WEEKDAY(BF$82,2)&gt;5,0,838.2)</f>
        <v>838.2</v>
      </c>
      <c r="BG86" s="39">
        <f>IF(WEEKDAY(BG$82,2)&gt;5,0,913.15)</f>
        <v>0</v>
      </c>
      <c r="BH86" s="39">
        <f>IF(WEEKDAY(BH$82,2)&gt;5,0,906.15)</f>
        <v>0</v>
      </c>
      <c r="BI86" s="39">
        <f>IF(WEEKDAY(BI$82,2)&gt;5,0,724.59)</f>
        <v>724.59</v>
      </c>
      <c r="BJ86" s="39">
        <f>IF(WEEKDAY(BJ$82,2)&gt;5,0,751.23)</f>
        <v>751.23</v>
      </c>
      <c r="BK86" s="39">
        <f>IF(WEEKDAY(BK$82,2)&gt;5,0,910.3)</f>
        <v>910.3</v>
      </c>
      <c r="BL86" s="39">
        <f>IF(WEEKDAY(BL$82,2)&gt;5,0,862.24)</f>
        <v>862.24</v>
      </c>
      <c r="BM86" s="39">
        <f>IF(WEEKDAY(BM$82,2)&gt;5,0,892.3)</f>
        <v>892.3</v>
      </c>
      <c r="BN86" s="39">
        <f>IF(WEEKDAY(BN$82,2)&gt;5,0,752.48)</f>
        <v>0</v>
      </c>
      <c r="BO86" s="39">
        <f>IF(WEEKDAY(BO$82,2)&gt;5,0,771.56)</f>
        <v>0</v>
      </c>
      <c r="BP86" s="39">
        <f>IF(WEEKDAY(BP$82,2)&gt;5,0,884.38)</f>
        <v>884.38</v>
      </c>
      <c r="BQ86" s="39">
        <f>IF(WEEKDAY(BQ$82,2)&gt;5,0,829.91)</f>
        <v>829.91</v>
      </c>
      <c r="BR86" s="39">
        <f>IF(WEEKDAY(BR$82,2)&gt;5,0,687.68)</f>
        <v>687.68</v>
      </c>
      <c r="BS86" s="39">
        <f>IF(WEEKDAY(BS$82,2)&gt;5,0,724.1)</f>
        <v>724.1</v>
      </c>
      <c r="BT86" s="39">
        <f>IF(WEEKDAY(BT$82,2)&gt;5,0,742.64)</f>
        <v>742.64</v>
      </c>
      <c r="BU86" s="39">
        <f>IF(WEEKDAY(BU$82,2)&gt;5,0,691.2)</f>
        <v>0</v>
      </c>
      <c r="BV86" s="39">
        <f>IF(WEEKDAY(BV$82,2)&gt;5,0,753.4)</f>
        <v>0</v>
      </c>
      <c r="BW86" s="39">
        <f>IF(WEEKDAY(BW$82,2)&gt;5,0,867.25)</f>
        <v>867.25</v>
      </c>
      <c r="BX86" s="39">
        <f>IF(WEEKDAY(BX$82,2)&gt;5,0,874.71)</f>
        <v>874.71</v>
      </c>
      <c r="BY86" s="39">
        <f>IF(WEEKDAY(BY$82,2)&gt;5,0,723.29)</f>
        <v>723.29</v>
      </c>
      <c r="BZ86" s="39">
        <f>IF(WEEKDAY(BZ$82,2)&gt;5,0,782.92)</f>
        <v>782.92</v>
      </c>
      <c r="CA86" s="39">
        <f>IF(WEEKDAY(CA$82,2)&gt;5,0,827.08)</f>
        <v>827.08</v>
      </c>
      <c r="CB86" s="39">
        <f>IF(WEEKDAY(CB$82,2)&gt;5,0,852.66)</f>
        <v>0</v>
      </c>
      <c r="CC86" s="39">
        <f>IF(WEEKDAY(CC$82,2)&gt;5,0,865.92)</f>
        <v>0</v>
      </c>
      <c r="CD86" s="39">
        <f>IF(WEEKDAY(CD$82,2)&gt;5,0,748.29)</f>
        <v>748.29</v>
      </c>
      <c r="CE86" s="39">
        <f>IF(WEEKDAY(CE$82,2)&gt;5,0,842.79)</f>
        <v>842.79</v>
      </c>
      <c r="CF86" s="39">
        <f>IF(WEEKDAY(CF$82,2)&gt;5,0,888.8)</f>
        <v>888.8</v>
      </c>
      <c r="CG86" s="39">
        <f>IF(WEEKDAY(CG$82,2)&gt;5,0,891.67)</f>
        <v>891.67</v>
      </c>
      <c r="CH86" s="39">
        <f>IF(WEEKDAY(CH$82,2)&gt;5,0,890.77)</f>
        <v>890.77</v>
      </c>
      <c r="CI86" s="39">
        <f>IF(WEEKDAY(CI$82,2)&gt;5,0,842.82)</f>
        <v>0</v>
      </c>
      <c r="CJ86" s="39">
        <f>IF(WEEKDAY(CJ$82,2)&gt;5,0,723.66)</f>
        <v>0</v>
      </c>
      <c r="CK86" s="39">
        <f>IF(WEEKDAY(CK$82,2)&gt;5,0,849.41)</f>
        <v>849.41</v>
      </c>
      <c r="CL86" s="39">
        <f>IF(WEEKDAY(CL$82,2)&gt;5,0,866.16)</f>
        <v>866.16</v>
      </c>
      <c r="CM86" s="39">
        <f>IF(WEEKDAY(CM$82,2)&gt;5,0,902.46)</f>
        <v>902.46</v>
      </c>
      <c r="CN86" s="39">
        <f>IF(WEEKDAY(CN$82,2)&gt;5,0,728.31)</f>
        <v>728.31</v>
      </c>
      <c r="CO86" s="39">
        <f>IF(WEEKDAY(CO$82,2)&gt;5,0,882.81)</f>
        <v>882.81</v>
      </c>
      <c r="CP86" s="39">
        <f>IF(WEEKDAY(CP$82,2)&gt;5,0,781.27)</f>
        <v>0</v>
      </c>
      <c r="CQ86" s="39">
        <f>IF(WEEKDAY(CQ$82,2)&gt;5,0,681.18)</f>
        <v>0</v>
      </c>
      <c r="CR86" s="39">
        <f>IF(WEEKDAY(CR$82,2)&gt;5,0,813.95)</f>
        <v>813.95</v>
      </c>
      <c r="CS86" s="39">
        <f>IF(WEEKDAY(CS$82,2)&gt;5,0,899.96)</f>
        <v>899.96</v>
      </c>
      <c r="CT86" s="39">
        <f>IF(WEEKDAY(CT$82,2)&gt;5,0,732.24)</f>
        <v>732.24</v>
      </c>
      <c r="CU86" s="39">
        <f>IF(WEEKDAY(CU$82,2)&gt;5,0,790.54)</f>
        <v>790.54</v>
      </c>
      <c r="CV86" s="39">
        <f>IF(WEEKDAY(CV$82,2)&gt;5,0,860.29)</f>
        <v>860.29</v>
      </c>
      <c r="CW86" s="39">
        <f>IF(WEEKDAY(CW$82,2)&gt;5,0,759.81)</f>
        <v>0</v>
      </c>
      <c r="CX86" s="39">
        <f>IF(WEEKDAY(CX$82,2)&gt;5,0,767.28)</f>
        <v>0</v>
      </c>
      <c r="CY86" s="39">
        <f>IF(WEEKDAY(CY$82,2)&gt;5,0,905.78)</f>
        <v>905.78</v>
      </c>
      <c r="CZ86" s="39">
        <f>IF(WEEKDAY(CZ$82,2)&gt;5,0,721.37)</f>
        <v>721.37</v>
      </c>
      <c r="DA86" s="39">
        <f>IF(WEEKDAY(DA$82,2)&gt;5,0,793.92)</f>
        <v>793.92</v>
      </c>
      <c r="DB86" s="39">
        <f>IF(WEEKDAY(DB$82,2)&gt;5,0,710.8)</f>
        <v>710.8</v>
      </c>
      <c r="DC86" s="39">
        <f>IF(WEEKDAY(DC$82,2)&gt;5,0,810.41)</f>
        <v>810.41</v>
      </c>
      <c r="DD86" s="39">
        <f>IF(WEEKDAY(DD$82,2)&gt;5,0,882.28)</f>
        <v>0</v>
      </c>
      <c r="DE86" s="39">
        <f>IF(WEEKDAY(DE$82,2)&gt;5,0,877.15)</f>
        <v>0</v>
      </c>
      <c r="DF86" s="39">
        <f>IF(WEEKDAY(DF$82,2)&gt;5,0,749.22)</f>
        <v>749.22</v>
      </c>
      <c r="DG86" s="39">
        <f>IF(WEEKDAY(DG$82,2)&gt;5,0,728.49)</f>
        <v>728.49</v>
      </c>
      <c r="DH86" s="39">
        <f>IF(WEEKDAY(DH$82,2)&gt;5,0,752.38)</f>
        <v>752.38</v>
      </c>
      <c r="DI86" s="39">
        <f>IF(WEEKDAY(DI$82,2)&gt;5,0,707.17)</f>
        <v>707.17</v>
      </c>
      <c r="DJ86" s="39">
        <f>IF(WEEKDAY(DJ$82,2)&gt;5,0,892.74)</f>
        <v>892.74</v>
      </c>
      <c r="DK86" s="39">
        <f>IF(WEEKDAY(DK$82,2)&gt;5,0,918.63)</f>
        <v>0</v>
      </c>
      <c r="DL86" s="39">
        <f>IF(WEEKDAY(DL$82,2)&gt;5,0,836.45)</f>
        <v>0</v>
      </c>
      <c r="DM86" s="39">
        <f>IF(WEEKDAY(DM$82,2)&gt;5,0,704.76)</f>
        <v>704.76</v>
      </c>
      <c r="DN86" s="39">
        <f>IF(WEEKDAY(DN$82,2)&gt;5,0,723.11)</f>
        <v>723.11</v>
      </c>
      <c r="DO86" s="39">
        <f>IF(WEEKDAY(DO$82,2)&gt;5,0,772.04)</f>
        <v>772.04</v>
      </c>
      <c r="DP86" s="39">
        <f>IF(WEEKDAY(DP$82,2)&gt;5,0,836.48)</f>
        <v>836.48</v>
      </c>
      <c r="DQ86" s="39">
        <f>IF(WEEKDAY(DQ$82,2)&gt;5,0,883.02)</f>
        <v>883.02</v>
      </c>
      <c r="DR86" s="39">
        <f>IF(WEEKDAY(DR$82,2)&gt;5,0,819.44)</f>
        <v>0</v>
      </c>
      <c r="DS86" s="39">
        <f>IF(WEEKDAY(DS$82,2)&gt;5,0,720.8)</f>
        <v>0</v>
      </c>
      <c r="DT86" s="39">
        <f>IF(WEEKDAY(DT$82,2)&gt;5,0,744.74)</f>
        <v>744.74</v>
      </c>
      <c r="DU86" s="39">
        <f>IF(WEEKDAY(DU$82,2)&gt;5,0,893.81)</f>
        <v>893.81</v>
      </c>
      <c r="DV86" s="39">
        <f>IF(WEEKDAY(DV$82,2)&gt;5,0,866.04)</f>
        <v>866.04</v>
      </c>
      <c r="DW86" s="39">
        <f>IF(WEEKDAY(DW$82,2)&gt;5,0,721.74)</f>
        <v>721.74</v>
      </c>
      <c r="DX86" s="39">
        <f>IF(WEEKDAY(DX$82,2)&gt;5,0,836.91)</f>
        <v>836.91</v>
      </c>
      <c r="DY86" s="39">
        <f>IF(WEEKDAY(DY$82,2)&gt;5,0,880.87)</f>
        <v>0</v>
      </c>
      <c r="DZ86" s="39">
        <f>IF(WEEKDAY(DZ$82,2)&gt;5,0,700.59)</f>
        <v>0</v>
      </c>
      <c r="EA86" s="39">
        <f>IF(WEEKDAY(EA$82,2)&gt;5,0,718.07)</f>
        <v>718.07</v>
      </c>
      <c r="EB86" s="39">
        <f>IF(WEEKDAY(EB$82,2)&gt;5,0,833.01)</f>
        <v>833.01</v>
      </c>
      <c r="EC86" s="39">
        <f>IF(WEEKDAY(EC$82,2)&gt;5,0,849.83)</f>
        <v>849.83</v>
      </c>
      <c r="ED86" s="39">
        <f>IF(WEEKDAY(ED$82,2)&gt;5,0,736.13)</f>
        <v>736.13</v>
      </c>
      <c r="EE86" s="39">
        <f>IF(WEEKDAY(EE$82,2)&gt;5,0,820.44)</f>
        <v>820.44</v>
      </c>
      <c r="EF86" s="39">
        <f>IF(WEEKDAY(EF$82,2)&gt;5,0,859.5)</f>
        <v>0</v>
      </c>
      <c r="EG86" s="39">
        <f>IF(WEEKDAY(EG$82,2)&gt;5,0,811.17)</f>
        <v>0</v>
      </c>
      <c r="EH86" s="39">
        <f>IF(WEEKDAY(EH$82,2)&gt;5,0,878.86)</f>
        <v>878.86</v>
      </c>
      <c r="EI86" s="39">
        <f>IF(WEEKDAY(EI$82,2)&gt;5,0,800.48)</f>
        <v>800.48</v>
      </c>
      <c r="EJ86" s="39">
        <f>IF(WEEKDAY(EJ$82,2)&gt;5,0,864.74)</f>
        <v>864.74</v>
      </c>
      <c r="EK86" s="39">
        <f>IF(WEEKDAY(EK$82,2)&gt;5,0,813.25)</f>
        <v>813.25</v>
      </c>
      <c r="EL86" s="39">
        <f>IF(WEEKDAY(EL$82,2)&gt;5,0,725.94)</f>
        <v>725.94</v>
      </c>
      <c r="EM86" s="39">
        <f>IF(WEEKDAY(EM$82,2)&gt;5,0,894.03)</f>
        <v>0</v>
      </c>
      <c r="EN86" s="39">
        <f>IF(WEEKDAY(EN$82,2)&gt;5,0,901.1)</f>
        <v>0</v>
      </c>
      <c r="EO86" s="39">
        <f>IF(WEEKDAY(EO$82,2)&gt;5,0,769.43)</f>
        <v>769.43</v>
      </c>
      <c r="EP86" s="39">
        <f>IF(WEEKDAY(EP$82,2)&gt;5,0,681.66)</f>
        <v>681.66</v>
      </c>
      <c r="EQ86" s="39">
        <f>IF(WEEKDAY(EQ$82,2)&gt;5,0,745.11)</f>
        <v>745.11</v>
      </c>
      <c r="ER86" s="39">
        <f>IF(WEEKDAY(ER$82,2)&gt;5,0,820.54)</f>
        <v>820.54</v>
      </c>
      <c r="ES86" s="39">
        <f>IF(WEEKDAY(ES$82,2)&gt;5,0,790.97)</f>
        <v>790.97</v>
      </c>
      <c r="ET86" s="39">
        <f>IF(WEEKDAY(ET$82,2)&gt;5,0,863.04)</f>
        <v>0</v>
      </c>
      <c r="EU86" s="39">
        <f>IF(WEEKDAY(EU$82,2)&gt;5,0,848.11)</f>
        <v>0</v>
      </c>
      <c r="EV86" s="39">
        <f>IF(WEEKDAY(EV$82,2)&gt;5,0,752.58)</f>
        <v>752.58</v>
      </c>
      <c r="EW86" s="39">
        <f>IF(WEEKDAY(EW$82,2)&gt;5,0,833.11)</f>
        <v>833.11</v>
      </c>
      <c r="EX86" s="39">
        <f>IF(WEEKDAY(EX$82,2)&gt;5,0,862.69)</f>
        <v>862.69</v>
      </c>
      <c r="EY86" s="39">
        <f>IF(WEEKDAY(EY$82,2)&gt;5,0,829.24)</f>
        <v>829.24</v>
      </c>
      <c r="EZ86" s="39">
        <f>IF(WEEKDAY(EZ$82,2)&gt;5,0,802.51)</f>
        <v>802.51</v>
      </c>
      <c r="FA86" s="39">
        <f>IF(WEEKDAY(FA$82,2)&gt;5,0,758.04)</f>
        <v>0</v>
      </c>
      <c r="FB86" s="39">
        <f>IF(WEEKDAY(FB$82,2)&gt;5,0,716.14)</f>
        <v>0</v>
      </c>
      <c r="FC86" s="39">
        <f>IF(WEEKDAY(FC$82,2)&gt;5,0,741.48)</f>
        <v>741.48</v>
      </c>
      <c r="FD86" s="39">
        <f>IF(WEEKDAY(FD$82,2)&gt;5,0,773.42)</f>
        <v>773.42</v>
      </c>
      <c r="FE86" s="39">
        <f>IF(WEEKDAY(FE$82,2)&gt;5,0,757.66)</f>
        <v>757.66</v>
      </c>
      <c r="FF86" s="39">
        <f>IF(WEEKDAY(FF$82,2)&gt;5,0,749.58)</f>
        <v>749.58</v>
      </c>
      <c r="FG86" s="39">
        <f>IF(WEEKDAY(FG$82,2)&gt;5,0,872.79)</f>
        <v>872.79</v>
      </c>
      <c r="FH86" s="39">
        <f>IF(WEEKDAY(FH$82,2)&gt;5,0,800.74)</f>
        <v>0</v>
      </c>
      <c r="FI86" s="39">
        <f>IF(WEEKDAY(FI$82,2)&gt;5,0,763.42)</f>
        <v>0</v>
      </c>
      <c r="FJ86" s="39">
        <f>IF(WEEKDAY(FJ$82,2)&gt;5,0,828.9)</f>
        <v>828.9</v>
      </c>
      <c r="FK86" s="39">
        <f>IF(WEEKDAY(FK$82,2)&gt;5,0,715.58)</f>
        <v>715.58</v>
      </c>
      <c r="FL86" s="39">
        <f>IF(WEEKDAY(FL$82,2)&gt;5,0,839.05)</f>
        <v>839.05</v>
      </c>
      <c r="FM86" s="39">
        <f>IF(WEEKDAY(FM$82,2)&gt;5,0,698.94)</f>
        <v>698.94</v>
      </c>
      <c r="FN86" s="39">
        <f>IF(WEEKDAY(FN$82,2)&gt;5,0,811.29)</f>
        <v>811.29</v>
      </c>
      <c r="FO86" s="39">
        <f>IF(WEEKDAY(FO$82,2)&gt;5,0,737.4)</f>
        <v>0</v>
      </c>
      <c r="FP86" s="39">
        <f>IF(WEEKDAY(FP$82,2)&gt;5,0,840.48)</f>
        <v>0</v>
      </c>
      <c r="FQ86" s="39">
        <f>IF(WEEKDAY(FQ$82,2)&gt;5,0,876.76)</f>
        <v>876.76</v>
      </c>
      <c r="FR86" s="39">
        <f>IF(WEEKDAY(FR$82,2)&gt;5,0,753.02)</f>
        <v>753.02</v>
      </c>
      <c r="FS86" s="39">
        <f>IF(WEEKDAY(FS$82,2)&gt;5,0,690.49)</f>
        <v>690.49</v>
      </c>
      <c r="FT86" s="39">
        <f>IF(WEEKDAY(FT$82,2)&gt;5,0,700.82)</f>
        <v>700.82</v>
      </c>
      <c r="FU86" s="39">
        <f>IF(WEEKDAY(FU$82,2)&gt;5,0,825.71)</f>
        <v>825.71</v>
      </c>
      <c r="FV86" s="39">
        <f>IF(WEEKDAY(FV$82,2)&gt;5,0,798.16)</f>
        <v>0</v>
      </c>
      <c r="FW86" s="39">
        <f>IF(WEEKDAY(FW$82,2)&gt;5,0,799.73)</f>
        <v>0</v>
      </c>
      <c r="FX86" s="39">
        <f>IF(WEEKDAY(FX$82,2)&gt;5,0,766.04)</f>
        <v>766.04</v>
      </c>
      <c r="FY86" s="39">
        <f>IF(WEEKDAY(FY$82,2)&gt;5,0,820.32)</f>
        <v>820.32</v>
      </c>
      <c r="FZ86" s="39">
        <f>IF(WEEKDAY(FZ$82,2)&gt;5,0,763.04)</f>
        <v>763.04</v>
      </c>
      <c r="GA86" s="39">
        <f>IF(WEEKDAY(GA$82,2)&gt;5,0,831.37)</f>
        <v>831.37</v>
      </c>
      <c r="GB86" s="39">
        <f>IF(WEEKDAY(GB$82,2)&gt;5,0,812.51)</f>
        <v>812.51</v>
      </c>
      <c r="GC86" s="39">
        <f>IF(WEEKDAY(GC$82,2)&gt;5,0,809.73)</f>
        <v>0</v>
      </c>
      <c r="GD86" s="39">
        <f>IF(WEEKDAY(GD$82,2)&gt;5,0,755.49)</f>
        <v>0</v>
      </c>
      <c r="GE86" s="39">
        <f>IF(WEEKDAY(GE$82,2)&gt;5,0,892.31)</f>
        <v>892.31</v>
      </c>
      <c r="GF86" s="39">
        <f>IF(WEEKDAY(GF$82,2)&gt;5,0,812.87)</f>
        <v>812.87</v>
      </c>
      <c r="GG86" s="39">
        <f>IF(WEEKDAY(GG$82,2)&gt;5,0,855.65)</f>
        <v>855.65</v>
      </c>
      <c r="GH86" s="39">
        <f>IF(WEEKDAY(GH$82,2)&gt;5,0,724.76)</f>
        <v>724.76</v>
      </c>
      <c r="GI86" s="39">
        <f>IF(WEEKDAY(GI$82,2)&gt;5,0,829.09)</f>
        <v>829.09</v>
      </c>
      <c r="GJ86" s="39">
        <f>IF(WEEKDAY(GJ$82,2)&gt;5,0,812.15)</f>
        <v>0</v>
      </c>
      <c r="GK86" s="39">
        <f>IF(WEEKDAY(GK$82,2)&gt;5,0,711.69)</f>
        <v>0</v>
      </c>
      <c r="GL86" s="39">
        <f>IF(WEEKDAY(GL$82,2)&gt;5,0,826.06)</f>
        <v>826.06</v>
      </c>
      <c r="GM86" s="39">
        <f>IF(WEEKDAY(GM$82,2)&gt;5,0,861.84)</f>
        <v>861.84</v>
      </c>
      <c r="GN86" s="39">
        <f>IF(WEEKDAY(GN$82,2)&gt;5,0,726.05)</f>
        <v>726.05</v>
      </c>
      <c r="GO86" s="39">
        <f>IF(WEEKDAY(GO$82,2)&gt;5,0,798.79)</f>
        <v>798.79</v>
      </c>
      <c r="GP86" s="39">
        <f>IF(WEEKDAY(GP$82,2)&gt;5,0,814.84)</f>
        <v>814.84</v>
      </c>
      <c r="GQ86" s="39">
        <f>IF(WEEKDAY(GQ$82,2)&gt;5,0,823.83)</f>
        <v>0</v>
      </c>
      <c r="GR86" s="39">
        <f>IF(WEEKDAY(GR$82,2)&gt;5,0,782.46)</f>
        <v>0</v>
      </c>
      <c r="GS86" s="39">
        <f>IF(WEEKDAY(GS$82,2)&gt;5,0,706.53)</f>
        <v>706.53</v>
      </c>
      <c r="GT86" s="39">
        <f>IF(WEEKDAY(GT$82,2)&gt;5,0,769.11)</f>
        <v>769.11</v>
      </c>
      <c r="GU86" s="39">
        <f>IF(WEEKDAY(GU$82,2)&gt;5,0,832.54)</f>
        <v>832.54</v>
      </c>
      <c r="GV86" s="39">
        <f>IF(WEEKDAY(GV$82,2)&gt;5,0,802.26)</f>
        <v>802.26</v>
      </c>
      <c r="GW86" s="39">
        <f>IF(WEEKDAY(GW$82,2)&gt;5,0,734.46)</f>
        <v>734.46</v>
      </c>
      <c r="GX86" s="39">
        <f>IF(WEEKDAY(GX$82,2)&gt;5,0,837.98)</f>
        <v>0</v>
      </c>
      <c r="GY86" s="39">
        <f>IF(WEEKDAY(GY$82,2)&gt;5,0,863.19)</f>
        <v>0</v>
      </c>
      <c r="GZ86" s="39">
        <f>IF(WEEKDAY(GZ$82,2)&gt;5,0,899.82)</f>
        <v>899.82</v>
      </c>
      <c r="HA86" s="39">
        <f>IF(WEEKDAY(HA$82,2)&gt;5,0,832.53)</f>
        <v>832.53</v>
      </c>
      <c r="HB86" s="39">
        <f>IF(WEEKDAY(HB$82,2)&gt;5,0,762.69)</f>
        <v>762.69</v>
      </c>
      <c r="HC86" s="39">
        <f>IF(WEEKDAY(HC$82,2)&gt;5,0,778.05)</f>
        <v>778.05</v>
      </c>
      <c r="HD86" s="39">
        <f>IF(WEEKDAY(HD$82,2)&gt;5,0,695.82)</f>
        <v>695.82</v>
      </c>
      <c r="HE86" s="39">
        <f>IF(WEEKDAY(HE$82,2)&gt;5,0,808.59)</f>
        <v>0</v>
      </c>
      <c r="HF86" s="39">
        <f>IF(WEEKDAY(HF$82,2)&gt;5,0,846.67)</f>
        <v>0</v>
      </c>
      <c r="HG86" s="39">
        <f>IF(WEEKDAY(HG$82,2)&gt;5,0,837.92)</f>
        <v>837.92</v>
      </c>
      <c r="HH86" s="39">
        <f>IF(WEEKDAY(HH$82,2)&gt;5,0,696.79)</f>
        <v>696.79</v>
      </c>
      <c r="HI86" s="39">
        <f>IF(WEEKDAY(HI$82,2)&gt;5,0,889.7)</f>
        <v>889.7</v>
      </c>
      <c r="HJ86" s="39">
        <f>IF(WEEKDAY(HJ$82,2)&gt;5,0,855.96)</f>
        <v>855.96</v>
      </c>
      <c r="HK86" s="39">
        <f>IF(WEEKDAY(HK$82,2)&gt;5,0,808.08)</f>
        <v>808.08</v>
      </c>
      <c r="HL86" s="39">
        <f>IF(WEEKDAY(HL$82,2)&gt;5,0,712.52)</f>
        <v>0</v>
      </c>
      <c r="HM86" s="39">
        <f>IF(WEEKDAY(HM$82,2)&gt;5,0,828.29)</f>
        <v>0</v>
      </c>
      <c r="HN86" s="39">
        <f>IF(WEEKDAY(HN$82,2)&gt;5,0,694.44)</f>
        <v>694.44</v>
      </c>
      <c r="HO86" s="39">
        <f>IF(WEEKDAY(HO$82,2)&gt;5,0,904.23)</f>
        <v>904.23</v>
      </c>
      <c r="HP86" s="39">
        <f>IF(WEEKDAY(HP$82,2)&gt;5,0,841.82)</f>
        <v>841.82</v>
      </c>
      <c r="HQ86" s="39">
        <f>IF(WEEKDAY(HQ$82,2)&gt;5,0,816.6)</f>
        <v>816.6</v>
      </c>
      <c r="HR86" s="39">
        <f>IF(WEEKDAY(HR$82,2)&gt;5,0,779.92)</f>
        <v>779.92</v>
      </c>
      <c r="HS86" s="39">
        <f>IF(WEEKDAY(HS$82,2)&gt;5,0,718.14)</f>
        <v>0</v>
      </c>
      <c r="HT86" s="39">
        <f>IF(WEEKDAY(HT$82,2)&gt;5,0,837.35)</f>
        <v>0</v>
      </c>
      <c r="HU86" s="39">
        <f>IF(WEEKDAY(HU$82,2)&gt;5,0,786.3)</f>
        <v>786.3</v>
      </c>
      <c r="HV86" s="39">
        <f>IF(WEEKDAY(HV$82,2)&gt;5,0,682.17)</f>
        <v>682.17</v>
      </c>
      <c r="HW86" s="39">
        <f>IF(WEEKDAY(HW$82,2)&gt;5,0,681.81)</f>
        <v>681.81</v>
      </c>
      <c r="HX86" s="39">
        <f>IF(WEEKDAY(HX$82,2)&gt;5,0,740.59)</f>
        <v>740.59</v>
      </c>
      <c r="HY86" s="39">
        <f>IF(WEEKDAY(HY$82,2)&gt;5,0,776.31)</f>
        <v>776.31</v>
      </c>
      <c r="HZ86" s="39">
        <f>IF(WEEKDAY(HZ$82,2)&gt;5,0,745.73)</f>
        <v>0</v>
      </c>
      <c r="IA86" s="39">
        <f>IF(WEEKDAY(IA$82,2)&gt;5,0,905.74)</f>
        <v>0</v>
      </c>
      <c r="IB86" s="39">
        <f>IF(WEEKDAY(IB$82,2)&gt;5,0,730.43)</f>
        <v>730.43</v>
      </c>
      <c r="IC86" s="39">
        <f>IF(WEEKDAY(IC$82,2)&gt;5,0,743.04)</f>
        <v>743.04</v>
      </c>
      <c r="ID86" s="39">
        <f>IF(WEEKDAY(ID$82,2)&gt;5,0,711.9)</f>
        <v>711.9</v>
      </c>
      <c r="IE86" s="39">
        <f>IF(WEEKDAY(IE$82,2)&gt;5,0,871.77)</f>
        <v>871.77</v>
      </c>
      <c r="IF86" s="39">
        <f>IF(WEEKDAY(IF$82,2)&gt;5,0,733.88)</f>
        <v>733.88</v>
      </c>
      <c r="IG86" s="39">
        <f>IF(WEEKDAY(IG$82,2)&gt;5,0,742.93)</f>
        <v>0</v>
      </c>
      <c r="IH86" s="39">
        <f>IF(WEEKDAY(IH$82,2)&gt;5,0,758.13)</f>
        <v>0</v>
      </c>
      <c r="II86" s="39">
        <f>IF(WEEKDAY(II$82,2)&gt;5,0,689.14)</f>
        <v>689.14</v>
      </c>
      <c r="IJ86" s="39">
        <f>IF(WEEKDAY(IJ$82,2)&gt;5,0,725.97)</f>
        <v>725.97</v>
      </c>
      <c r="IK86" s="39">
        <f>IF(WEEKDAY(IK$82,2)&gt;5,0,818.89)</f>
        <v>818.89</v>
      </c>
      <c r="IL86" s="39">
        <f>IF(WEEKDAY(IL$82,2)&gt;5,0,686.13)</f>
        <v>686.13</v>
      </c>
    </row>
    <row r="87" spans="1:246" x14ac:dyDescent="0.3">
      <c r="A87" t="s">
        <v>7</v>
      </c>
      <c r="B87" s="39">
        <f>IF(WEEKDAY(B$82,2)&gt;5,0,52.41)</f>
        <v>52.41</v>
      </c>
      <c r="C87" s="39">
        <f>IF(WEEKDAY(C$82,2)&gt;5,0,55.89)</f>
        <v>0</v>
      </c>
      <c r="D87" s="39">
        <f>IF(WEEKDAY(D$82,2)&gt;5,0,55.02)</f>
        <v>0</v>
      </c>
      <c r="E87" s="39">
        <f>IF(WEEKDAY(E$82,2)&gt;5,0,44.72)</f>
        <v>44.72</v>
      </c>
      <c r="F87" s="39">
        <f>IF(WEEKDAY(F$82,2)&gt;5,0,45.5)</f>
        <v>45.5</v>
      </c>
      <c r="G87" s="39">
        <f>IF(WEEKDAY(G$82,2)&gt;5,0,46.36)</f>
        <v>46.36</v>
      </c>
      <c r="H87" s="39">
        <f>IF(WEEKDAY(H$82,2)&gt;5,0,44.6)</f>
        <v>44.6</v>
      </c>
      <c r="I87" s="39">
        <f>IF(WEEKDAY(I$82,2)&gt;5,0,46.1)</f>
        <v>46.1</v>
      </c>
      <c r="J87" s="39">
        <f>IF(WEEKDAY(J$82,2)&gt;5,0,56.91)</f>
        <v>0</v>
      </c>
      <c r="K87" s="39">
        <f>IF(WEEKDAY(K$82,2)&gt;5,0,47.62)</f>
        <v>0</v>
      </c>
      <c r="L87" s="39">
        <f>IF(WEEKDAY(L$82,2)&gt;5,0,47.04)</f>
        <v>47.04</v>
      </c>
      <c r="M87" s="39">
        <f>IF(WEEKDAY(M$82,2)&gt;5,0,49.86)</f>
        <v>49.86</v>
      </c>
      <c r="N87" s="39">
        <f>IF(WEEKDAY(N$82,2)&gt;5,0,45.34)</f>
        <v>45.34</v>
      </c>
      <c r="O87" s="39">
        <f>IF(WEEKDAY(O$82,2)&gt;5,0,51.13)</f>
        <v>51.13</v>
      </c>
      <c r="P87" s="39">
        <f>IF(WEEKDAY(P$82,2)&gt;5,0,48.11)</f>
        <v>48.11</v>
      </c>
      <c r="Q87" s="39">
        <f>IF(WEEKDAY(Q$82,2)&gt;5,0,46.62)</f>
        <v>0</v>
      </c>
      <c r="R87" s="39">
        <f>IF(WEEKDAY(R$82,2)&gt;5,0,43.99)</f>
        <v>0</v>
      </c>
      <c r="S87" s="39">
        <f>IF(WEEKDAY(S$82,2)&gt;5,0,46.78)</f>
        <v>46.78</v>
      </c>
      <c r="T87" s="39">
        <f>IF(WEEKDAY(T$82,2)&gt;5,0,47.54)</f>
        <v>47.54</v>
      </c>
      <c r="U87" s="39">
        <f>IF(WEEKDAY(U$82,2)&gt;5,0,55.33)</f>
        <v>55.33</v>
      </c>
      <c r="V87" s="39">
        <f>IF(WEEKDAY(V$82,2)&gt;5,0,47.27)</f>
        <v>47.27</v>
      </c>
      <c r="W87" s="39">
        <f>IF(WEEKDAY(W$82,2)&gt;5,0,47.45)</f>
        <v>47.45</v>
      </c>
      <c r="X87" s="39">
        <f>IF(WEEKDAY(X$82,2)&gt;5,0,46.88)</f>
        <v>0</v>
      </c>
      <c r="Y87" s="39">
        <f>IF(WEEKDAY(Y$82,2)&gt;5,0,43.19)</f>
        <v>0</v>
      </c>
      <c r="Z87" s="39">
        <f>IF(WEEKDAY(Z$82,2)&gt;5,0,46.68)</f>
        <v>46.68</v>
      </c>
      <c r="AA87" s="39">
        <f>IF(WEEKDAY(AA$82,2)&gt;5,0,45.28)</f>
        <v>45.28</v>
      </c>
      <c r="AB87" s="39">
        <f>IF(WEEKDAY(AB$82,2)&gt;5,0,48.09)</f>
        <v>48.09</v>
      </c>
      <c r="AC87" s="39">
        <f>IF(WEEKDAY(AC$82,2)&gt;5,0,50.06)</f>
        <v>50.06</v>
      </c>
      <c r="AD87" s="39">
        <f>IF(WEEKDAY(AD$82,2)&gt;5,0,53.61)</f>
        <v>53.61</v>
      </c>
      <c r="AE87" s="39">
        <f>IF(WEEKDAY(AE$82,2)&gt;5,0,51.75)</f>
        <v>0</v>
      </c>
      <c r="AF87" s="39">
        <f>IF(WEEKDAY(AF$82,2)&gt;5,0,54.01)</f>
        <v>0</v>
      </c>
      <c r="AG87" s="39">
        <f>IF(WEEKDAY(AG$82,2)&gt;5,0,45.98)</f>
        <v>45.98</v>
      </c>
      <c r="AH87" s="39">
        <f>IF(WEEKDAY(AH$82,2)&gt;5,0,44.3)</f>
        <v>44.3</v>
      </c>
      <c r="AI87" s="39">
        <f>IF(WEEKDAY(AI$82,2)&gt;5,0,55.58)</f>
        <v>55.58</v>
      </c>
      <c r="AJ87" s="39">
        <f>IF(WEEKDAY(AJ$82,2)&gt;5,0,51.31)</f>
        <v>51.31</v>
      </c>
      <c r="AK87" s="39">
        <f>IF(WEEKDAY(AK$82,2)&gt;5,0,45.96)</f>
        <v>45.96</v>
      </c>
      <c r="AL87" s="39">
        <f>IF(WEEKDAY(AL$82,2)&gt;5,0,47.02)</f>
        <v>0</v>
      </c>
      <c r="AM87" s="39">
        <f>IF(WEEKDAY(AM$82,2)&gt;5,0,44.21)</f>
        <v>0</v>
      </c>
      <c r="AN87" s="39">
        <f>IF(WEEKDAY(AN$82,2)&gt;5,0,56.5)</f>
        <v>56.5</v>
      </c>
      <c r="AO87" s="39">
        <f>IF(WEEKDAY(AO$82,2)&gt;5,0,53.03)</f>
        <v>53.03</v>
      </c>
      <c r="AP87" s="39">
        <f>IF(WEEKDAY(AP$82,2)&gt;5,0,42.88)</f>
        <v>42.88</v>
      </c>
      <c r="AQ87" s="39">
        <f>IF(WEEKDAY(AQ$82,2)&gt;5,0,55.23)</f>
        <v>55.23</v>
      </c>
      <c r="AR87" s="39">
        <f>IF(WEEKDAY(AR$82,2)&gt;5,0,43.05)</f>
        <v>43.05</v>
      </c>
      <c r="AS87" s="39">
        <f>IF(WEEKDAY(AS$82,2)&gt;5,0,45.21)</f>
        <v>0</v>
      </c>
      <c r="AT87" s="39">
        <f>IF(WEEKDAY(AT$82,2)&gt;5,0,55.59)</f>
        <v>0</v>
      </c>
      <c r="AU87" s="39">
        <f>IF(WEEKDAY(AU$82,2)&gt;5,0,49.54)</f>
        <v>49.54</v>
      </c>
      <c r="AV87" s="39">
        <f>IF(WEEKDAY(AV$82,2)&gt;5,0,50.34)</f>
        <v>50.34</v>
      </c>
      <c r="AW87" s="39">
        <f>IF(WEEKDAY(AW$82,2)&gt;5,0,52.45)</f>
        <v>52.45</v>
      </c>
      <c r="AX87" s="39">
        <f>IF(WEEKDAY(AX$82,2)&gt;5,0,44.38)</f>
        <v>44.38</v>
      </c>
      <c r="AY87" s="39">
        <f>IF(WEEKDAY(AY$82,2)&gt;5,0,54.35)</f>
        <v>54.35</v>
      </c>
      <c r="AZ87" s="39">
        <f>IF(WEEKDAY(AZ$82,2)&gt;5,0,48.62)</f>
        <v>0</v>
      </c>
      <c r="BA87" s="39">
        <f>IF(WEEKDAY(BA$82,2)&gt;5,0,49.15)</f>
        <v>0</v>
      </c>
      <c r="BB87" s="39">
        <f>IF(WEEKDAY(BB$82,2)&gt;5,0,50.89)</f>
        <v>50.89</v>
      </c>
      <c r="BC87" s="39">
        <f>IF(WEEKDAY(BC$82,2)&gt;5,0,45.43)</f>
        <v>45.43</v>
      </c>
      <c r="BD87" s="39">
        <f>IF(WEEKDAY(BD$82,2)&gt;5,0,52.4)</f>
        <v>52.4</v>
      </c>
      <c r="BE87" s="39">
        <f>IF(WEEKDAY(BE$82,2)&gt;5,0,44.57)</f>
        <v>44.57</v>
      </c>
      <c r="BF87" s="39">
        <f>IF(WEEKDAY(BF$82,2)&gt;5,0,46.09)</f>
        <v>46.09</v>
      </c>
      <c r="BG87" s="39">
        <f>IF(WEEKDAY(BG$82,2)&gt;5,0,56.43)</f>
        <v>0</v>
      </c>
      <c r="BH87" s="39">
        <f>IF(WEEKDAY(BH$82,2)&gt;5,0,43.62)</f>
        <v>0</v>
      </c>
      <c r="BI87" s="39">
        <f>IF(WEEKDAY(BI$82,2)&gt;5,0,54.69)</f>
        <v>54.69</v>
      </c>
      <c r="BJ87" s="39">
        <f>IF(WEEKDAY(BJ$82,2)&gt;5,0,42.79)</f>
        <v>42.79</v>
      </c>
      <c r="BK87" s="39">
        <f>IF(WEEKDAY(BK$82,2)&gt;5,0,55.08)</f>
        <v>55.08</v>
      </c>
      <c r="BL87" s="39">
        <f>IF(WEEKDAY(BL$82,2)&gt;5,0,51.47)</f>
        <v>51.47</v>
      </c>
      <c r="BM87" s="39">
        <f>IF(WEEKDAY(BM$82,2)&gt;5,0,56.98)</f>
        <v>56.98</v>
      </c>
      <c r="BN87" s="39">
        <f>IF(WEEKDAY(BN$82,2)&gt;5,0,54.34)</f>
        <v>0</v>
      </c>
      <c r="BO87" s="39">
        <f>IF(WEEKDAY(BO$82,2)&gt;5,0,52.55)</f>
        <v>0</v>
      </c>
      <c r="BP87" s="39">
        <f>IF(WEEKDAY(BP$82,2)&gt;5,0,46.18)</f>
        <v>46.18</v>
      </c>
      <c r="BQ87" s="39">
        <f>IF(WEEKDAY(BQ$82,2)&gt;5,0,43.74)</f>
        <v>43.74</v>
      </c>
      <c r="BR87" s="39">
        <f>IF(WEEKDAY(BR$82,2)&gt;5,0,45.26)</f>
        <v>45.26</v>
      </c>
      <c r="BS87" s="39">
        <f>IF(WEEKDAY(BS$82,2)&gt;5,0,45.99)</f>
        <v>45.99</v>
      </c>
      <c r="BT87" s="39">
        <f>IF(WEEKDAY(BT$82,2)&gt;5,0,56.54)</f>
        <v>56.54</v>
      </c>
      <c r="BU87" s="39">
        <f>IF(WEEKDAY(BU$82,2)&gt;5,0,47.25)</f>
        <v>0</v>
      </c>
      <c r="BV87" s="39">
        <f>IF(WEEKDAY(BV$82,2)&gt;5,0,44.41)</f>
        <v>0</v>
      </c>
      <c r="BW87" s="39">
        <f>IF(WEEKDAY(BW$82,2)&gt;5,0,49.47)</f>
        <v>49.47</v>
      </c>
      <c r="BX87" s="39">
        <f>IF(WEEKDAY(BX$82,2)&gt;5,0,54.3)</f>
        <v>54.3</v>
      </c>
      <c r="BY87" s="39">
        <f>IF(WEEKDAY(BY$82,2)&gt;5,0,49.94)</f>
        <v>49.94</v>
      </c>
      <c r="BZ87" s="39">
        <f>IF(WEEKDAY(BZ$82,2)&gt;5,0,43.52)</f>
        <v>43.52</v>
      </c>
      <c r="CA87" s="39">
        <f>IF(WEEKDAY(CA$82,2)&gt;5,0,56.04)</f>
        <v>56.04</v>
      </c>
      <c r="CB87" s="39">
        <f>IF(WEEKDAY(CB$82,2)&gt;5,0,53.38)</f>
        <v>0</v>
      </c>
      <c r="CC87" s="39">
        <f>IF(WEEKDAY(CC$82,2)&gt;5,0,50.58)</f>
        <v>0</v>
      </c>
      <c r="CD87" s="39">
        <f>IF(WEEKDAY(CD$82,2)&gt;5,0,53.91)</f>
        <v>53.91</v>
      </c>
      <c r="CE87" s="39">
        <f>IF(WEEKDAY(CE$82,2)&gt;5,0,51.68)</f>
        <v>51.68</v>
      </c>
      <c r="CF87" s="39">
        <f>IF(WEEKDAY(CF$82,2)&gt;5,0,48.02)</f>
        <v>48.02</v>
      </c>
      <c r="CG87" s="39">
        <f>IF(WEEKDAY(CG$82,2)&gt;5,0,54.4)</f>
        <v>54.4</v>
      </c>
      <c r="CH87" s="39">
        <f>IF(WEEKDAY(CH$82,2)&gt;5,0,53.57)</f>
        <v>53.57</v>
      </c>
      <c r="CI87" s="39">
        <f>IF(WEEKDAY(CI$82,2)&gt;5,0,44.66)</f>
        <v>0</v>
      </c>
      <c r="CJ87" s="39">
        <f>IF(WEEKDAY(CJ$82,2)&gt;5,0,55.86)</f>
        <v>0</v>
      </c>
      <c r="CK87" s="39">
        <f>IF(WEEKDAY(CK$82,2)&gt;5,0,55.13)</f>
        <v>55.13</v>
      </c>
      <c r="CL87" s="39">
        <f>IF(WEEKDAY(CL$82,2)&gt;5,0,51.54)</f>
        <v>51.54</v>
      </c>
      <c r="CM87" s="39">
        <f>IF(WEEKDAY(CM$82,2)&gt;5,0,54.98)</f>
        <v>54.98</v>
      </c>
      <c r="CN87" s="39">
        <f>IF(WEEKDAY(CN$82,2)&gt;5,0,48.44)</f>
        <v>48.44</v>
      </c>
      <c r="CO87" s="39">
        <f>IF(WEEKDAY(CO$82,2)&gt;5,0,50.94)</f>
        <v>50.94</v>
      </c>
      <c r="CP87" s="39">
        <f>IF(WEEKDAY(CP$82,2)&gt;5,0,53.66)</f>
        <v>0</v>
      </c>
      <c r="CQ87" s="39">
        <f>IF(WEEKDAY(CQ$82,2)&gt;5,0,52.68)</f>
        <v>0</v>
      </c>
      <c r="CR87" s="39">
        <f>IF(WEEKDAY(CR$82,2)&gt;5,0,45.69)</f>
        <v>45.69</v>
      </c>
      <c r="CS87" s="39">
        <f>IF(WEEKDAY(CS$82,2)&gt;5,0,55.41)</f>
        <v>55.41</v>
      </c>
      <c r="CT87" s="39">
        <f>IF(WEEKDAY(CT$82,2)&gt;5,0,45.98)</f>
        <v>45.98</v>
      </c>
      <c r="CU87" s="39">
        <f>IF(WEEKDAY(CU$82,2)&gt;5,0,50.88)</f>
        <v>50.88</v>
      </c>
      <c r="CV87" s="39">
        <f>IF(WEEKDAY(CV$82,2)&gt;5,0,52.16)</f>
        <v>52.16</v>
      </c>
      <c r="CW87" s="39">
        <f>IF(WEEKDAY(CW$82,2)&gt;5,0,46.32)</f>
        <v>0</v>
      </c>
      <c r="CX87" s="39">
        <f>IF(WEEKDAY(CX$82,2)&gt;5,0,56.64)</f>
        <v>0</v>
      </c>
      <c r="CY87" s="39">
        <f>IF(WEEKDAY(CY$82,2)&gt;5,0,45.4)</f>
        <v>45.4</v>
      </c>
      <c r="CZ87" s="39">
        <f>IF(WEEKDAY(CZ$82,2)&gt;5,0,47.2)</f>
        <v>47.2</v>
      </c>
      <c r="DA87" s="39">
        <f>IF(WEEKDAY(DA$82,2)&gt;5,0,48.47)</f>
        <v>48.47</v>
      </c>
      <c r="DB87" s="39">
        <f>IF(WEEKDAY(DB$82,2)&gt;5,0,43.89)</f>
        <v>43.89</v>
      </c>
      <c r="DC87" s="39">
        <f>IF(WEEKDAY(DC$82,2)&gt;5,0,42.98)</f>
        <v>42.98</v>
      </c>
      <c r="DD87" s="39">
        <f>IF(WEEKDAY(DD$82,2)&gt;5,0,51.78)</f>
        <v>0</v>
      </c>
      <c r="DE87" s="39">
        <f>IF(WEEKDAY(DE$82,2)&gt;5,0,53.07)</f>
        <v>0</v>
      </c>
      <c r="DF87" s="39">
        <f>IF(WEEKDAY(DF$82,2)&gt;5,0,53.76)</f>
        <v>53.76</v>
      </c>
      <c r="DG87" s="39">
        <f>IF(WEEKDAY(DG$82,2)&gt;5,0,45.41)</f>
        <v>45.41</v>
      </c>
      <c r="DH87" s="39">
        <f>IF(WEEKDAY(DH$82,2)&gt;5,0,52.7)</f>
        <v>52.7</v>
      </c>
      <c r="DI87" s="39">
        <f>IF(WEEKDAY(DI$82,2)&gt;5,0,55.61)</f>
        <v>55.61</v>
      </c>
      <c r="DJ87" s="39">
        <f>IF(WEEKDAY(DJ$82,2)&gt;5,0,50.86)</f>
        <v>50.86</v>
      </c>
      <c r="DK87" s="39">
        <f>IF(WEEKDAY(DK$82,2)&gt;5,0,44.61)</f>
        <v>0</v>
      </c>
      <c r="DL87" s="39">
        <f>IF(WEEKDAY(DL$82,2)&gt;5,0,54.99)</f>
        <v>0</v>
      </c>
      <c r="DM87" s="39">
        <f>IF(WEEKDAY(DM$82,2)&gt;5,0,49.45)</f>
        <v>49.45</v>
      </c>
      <c r="DN87" s="39">
        <f>IF(WEEKDAY(DN$82,2)&gt;5,0,52.83)</f>
        <v>52.83</v>
      </c>
      <c r="DO87" s="39">
        <f>IF(WEEKDAY(DO$82,2)&gt;5,0,43.92)</f>
        <v>43.92</v>
      </c>
      <c r="DP87" s="39">
        <f>IF(WEEKDAY(DP$82,2)&gt;5,0,55.59)</f>
        <v>55.59</v>
      </c>
      <c r="DQ87" s="39">
        <f>IF(WEEKDAY(DQ$82,2)&gt;5,0,52.14)</f>
        <v>52.14</v>
      </c>
      <c r="DR87" s="39">
        <f>IF(WEEKDAY(DR$82,2)&gt;5,0,54.27)</f>
        <v>0</v>
      </c>
      <c r="DS87" s="39">
        <f>IF(WEEKDAY(DS$82,2)&gt;5,0,52.98)</f>
        <v>0</v>
      </c>
      <c r="DT87" s="39">
        <f>IF(WEEKDAY(DT$82,2)&gt;5,0,52.16)</f>
        <v>52.16</v>
      </c>
      <c r="DU87" s="39">
        <f>IF(WEEKDAY(DU$82,2)&gt;5,0,57.15)</f>
        <v>57.15</v>
      </c>
      <c r="DV87" s="39">
        <f>IF(WEEKDAY(DV$82,2)&gt;5,0,50.42)</f>
        <v>50.42</v>
      </c>
      <c r="DW87" s="39">
        <f>IF(WEEKDAY(DW$82,2)&gt;5,0,44.49)</f>
        <v>44.49</v>
      </c>
      <c r="DX87" s="39">
        <f>IF(WEEKDAY(DX$82,2)&gt;5,0,51.28)</f>
        <v>51.28</v>
      </c>
      <c r="DY87" s="39">
        <f>IF(WEEKDAY(DY$82,2)&gt;5,0,51.84)</f>
        <v>0</v>
      </c>
      <c r="DZ87" s="39">
        <f>IF(WEEKDAY(DZ$82,2)&gt;5,0,43.62)</f>
        <v>0</v>
      </c>
      <c r="EA87" s="39">
        <f>IF(WEEKDAY(EA$82,2)&gt;5,0,43.55)</f>
        <v>43.55</v>
      </c>
      <c r="EB87" s="39">
        <f>IF(WEEKDAY(EB$82,2)&gt;5,0,53.96)</f>
        <v>53.96</v>
      </c>
      <c r="EC87" s="39">
        <f>IF(WEEKDAY(EC$82,2)&gt;5,0,55.82)</f>
        <v>55.82</v>
      </c>
      <c r="ED87" s="39">
        <f>IF(WEEKDAY(ED$82,2)&gt;5,0,54.68)</f>
        <v>54.68</v>
      </c>
      <c r="EE87" s="39">
        <f>IF(WEEKDAY(EE$82,2)&gt;5,0,47.21)</f>
        <v>47.21</v>
      </c>
      <c r="EF87" s="39">
        <f>IF(WEEKDAY(EF$82,2)&gt;5,0,55.48)</f>
        <v>0</v>
      </c>
      <c r="EG87" s="39">
        <f>IF(WEEKDAY(EG$82,2)&gt;5,0,51.69)</f>
        <v>0</v>
      </c>
      <c r="EH87" s="39">
        <f>IF(WEEKDAY(EH$82,2)&gt;5,0,47.81)</f>
        <v>47.81</v>
      </c>
      <c r="EI87" s="39">
        <f>IF(WEEKDAY(EI$82,2)&gt;5,0,51.82)</f>
        <v>51.82</v>
      </c>
      <c r="EJ87" s="39">
        <f>IF(WEEKDAY(EJ$82,2)&gt;5,0,46.9)</f>
        <v>46.9</v>
      </c>
      <c r="EK87" s="39">
        <f>IF(WEEKDAY(EK$82,2)&gt;5,0,54.52)</f>
        <v>54.52</v>
      </c>
      <c r="EL87" s="39">
        <f>IF(WEEKDAY(EL$82,2)&gt;5,0,55.75)</f>
        <v>55.75</v>
      </c>
      <c r="EM87" s="39">
        <f>IF(WEEKDAY(EM$82,2)&gt;5,0,49.89)</f>
        <v>0</v>
      </c>
      <c r="EN87" s="39">
        <f>IF(WEEKDAY(EN$82,2)&gt;5,0,44.26)</f>
        <v>0</v>
      </c>
      <c r="EO87" s="39">
        <f>IF(WEEKDAY(EO$82,2)&gt;5,0,45.61)</f>
        <v>45.61</v>
      </c>
      <c r="EP87" s="39">
        <f>IF(WEEKDAY(EP$82,2)&gt;5,0,44.14)</f>
        <v>44.14</v>
      </c>
      <c r="EQ87" s="39">
        <f>IF(WEEKDAY(EQ$82,2)&gt;5,0,42.92)</f>
        <v>42.92</v>
      </c>
      <c r="ER87" s="39">
        <f>IF(WEEKDAY(ER$82,2)&gt;5,0,48.53)</f>
        <v>48.53</v>
      </c>
      <c r="ES87" s="39">
        <f>IF(WEEKDAY(ES$82,2)&gt;5,0,47.78)</f>
        <v>47.78</v>
      </c>
      <c r="ET87" s="39">
        <f>IF(WEEKDAY(ET$82,2)&gt;5,0,53.62)</f>
        <v>0</v>
      </c>
      <c r="EU87" s="39">
        <f>IF(WEEKDAY(EU$82,2)&gt;5,0,44.12)</f>
        <v>0</v>
      </c>
      <c r="EV87" s="39">
        <f>IF(WEEKDAY(EV$82,2)&gt;5,0,48.52)</f>
        <v>48.52</v>
      </c>
      <c r="EW87" s="39">
        <f>IF(WEEKDAY(EW$82,2)&gt;5,0,44.29)</f>
        <v>44.29</v>
      </c>
      <c r="EX87" s="39">
        <f>IF(WEEKDAY(EX$82,2)&gt;5,0,47.98)</f>
        <v>47.98</v>
      </c>
      <c r="EY87" s="39">
        <f>IF(WEEKDAY(EY$82,2)&gt;5,0,55.62)</f>
        <v>55.62</v>
      </c>
      <c r="EZ87" s="39">
        <f>IF(WEEKDAY(EZ$82,2)&gt;5,0,46.96)</f>
        <v>46.96</v>
      </c>
      <c r="FA87" s="39">
        <f>IF(WEEKDAY(FA$82,2)&gt;5,0,47.04)</f>
        <v>0</v>
      </c>
      <c r="FB87" s="39">
        <f>IF(WEEKDAY(FB$82,2)&gt;5,0,44.73)</f>
        <v>0</v>
      </c>
      <c r="FC87" s="39">
        <f>IF(WEEKDAY(FC$82,2)&gt;5,0,47.37)</f>
        <v>47.37</v>
      </c>
      <c r="FD87" s="39">
        <f>IF(WEEKDAY(FD$82,2)&gt;5,0,55.51)</f>
        <v>55.51</v>
      </c>
      <c r="FE87" s="39">
        <f>IF(WEEKDAY(FE$82,2)&gt;5,0,49.05)</f>
        <v>49.05</v>
      </c>
      <c r="FF87" s="39">
        <f>IF(WEEKDAY(FF$82,2)&gt;5,0,43.42)</f>
        <v>43.42</v>
      </c>
      <c r="FG87" s="39">
        <f>IF(WEEKDAY(FG$82,2)&gt;5,0,47.07)</f>
        <v>47.07</v>
      </c>
      <c r="FH87" s="39">
        <f>IF(WEEKDAY(FH$82,2)&gt;5,0,50.04)</f>
        <v>0</v>
      </c>
      <c r="FI87" s="39">
        <f>IF(WEEKDAY(FI$82,2)&gt;5,0,54.08)</f>
        <v>0</v>
      </c>
      <c r="FJ87" s="39">
        <f>IF(WEEKDAY(FJ$82,2)&gt;5,0,44.06)</f>
        <v>44.06</v>
      </c>
      <c r="FK87" s="39">
        <f>IF(WEEKDAY(FK$82,2)&gt;5,0,55.6)</f>
        <v>55.6</v>
      </c>
      <c r="FL87" s="39">
        <f>IF(WEEKDAY(FL$82,2)&gt;5,0,50.83)</f>
        <v>50.83</v>
      </c>
      <c r="FM87" s="39">
        <f>IF(WEEKDAY(FM$82,2)&gt;5,0,42.76)</f>
        <v>42.76</v>
      </c>
      <c r="FN87" s="39">
        <f>IF(WEEKDAY(FN$82,2)&gt;5,0,44.94)</f>
        <v>44.94</v>
      </c>
      <c r="FO87" s="39">
        <f>IF(WEEKDAY(FO$82,2)&gt;5,0,43.71)</f>
        <v>0</v>
      </c>
      <c r="FP87" s="39">
        <f>IF(WEEKDAY(FP$82,2)&gt;5,0,46.34)</f>
        <v>0</v>
      </c>
      <c r="FQ87" s="39">
        <f>IF(WEEKDAY(FQ$82,2)&gt;5,0,44.53)</f>
        <v>44.53</v>
      </c>
      <c r="FR87" s="39">
        <f>IF(WEEKDAY(FR$82,2)&gt;5,0,43.09)</f>
        <v>43.09</v>
      </c>
      <c r="FS87" s="39">
        <f>IF(WEEKDAY(FS$82,2)&gt;5,0,45.22)</f>
        <v>45.22</v>
      </c>
      <c r="FT87" s="39">
        <f>IF(WEEKDAY(FT$82,2)&gt;5,0,49.25)</f>
        <v>49.25</v>
      </c>
      <c r="FU87" s="39">
        <f>IF(WEEKDAY(FU$82,2)&gt;5,0,43.98)</f>
        <v>43.98</v>
      </c>
      <c r="FV87" s="39">
        <f>IF(WEEKDAY(FV$82,2)&gt;5,0,44.78)</f>
        <v>0</v>
      </c>
      <c r="FW87" s="39">
        <f>IF(WEEKDAY(FW$82,2)&gt;5,0,44.42)</f>
        <v>0</v>
      </c>
      <c r="FX87" s="39">
        <f>IF(WEEKDAY(FX$82,2)&gt;5,0,52.76)</f>
        <v>52.76</v>
      </c>
      <c r="FY87" s="39">
        <f>IF(WEEKDAY(FY$82,2)&gt;5,0,42.76)</f>
        <v>42.76</v>
      </c>
      <c r="FZ87" s="39">
        <f>IF(WEEKDAY(FZ$82,2)&gt;5,0,56.81)</f>
        <v>56.81</v>
      </c>
      <c r="GA87" s="39">
        <f>IF(WEEKDAY(GA$82,2)&gt;5,0,44.73)</f>
        <v>44.73</v>
      </c>
      <c r="GB87" s="39">
        <f>IF(WEEKDAY(GB$82,2)&gt;5,0,45.82)</f>
        <v>45.82</v>
      </c>
      <c r="GC87" s="39">
        <f>IF(WEEKDAY(GC$82,2)&gt;5,0,44.87)</f>
        <v>0</v>
      </c>
      <c r="GD87" s="39">
        <f>IF(WEEKDAY(GD$82,2)&gt;5,0,55.86)</f>
        <v>0</v>
      </c>
      <c r="GE87" s="39">
        <f>IF(WEEKDAY(GE$82,2)&gt;5,0,49.91)</f>
        <v>49.91</v>
      </c>
      <c r="GF87" s="39">
        <f>IF(WEEKDAY(GF$82,2)&gt;5,0,56.7)</f>
        <v>56.7</v>
      </c>
      <c r="GG87" s="39">
        <f>IF(WEEKDAY(GG$82,2)&gt;5,0,55.47)</f>
        <v>55.47</v>
      </c>
      <c r="GH87" s="39">
        <f>IF(WEEKDAY(GH$82,2)&gt;5,0,54.2)</f>
        <v>54.2</v>
      </c>
      <c r="GI87" s="39">
        <f>IF(WEEKDAY(GI$82,2)&gt;5,0,49.15)</f>
        <v>49.15</v>
      </c>
      <c r="GJ87" s="39">
        <f>IF(WEEKDAY(GJ$82,2)&gt;5,0,51.34)</f>
        <v>0</v>
      </c>
      <c r="GK87" s="39">
        <f>IF(WEEKDAY(GK$82,2)&gt;5,0,45.27)</f>
        <v>0</v>
      </c>
      <c r="GL87" s="39">
        <f>IF(WEEKDAY(GL$82,2)&gt;5,0,52.11)</f>
        <v>52.11</v>
      </c>
      <c r="GM87" s="39">
        <f>IF(WEEKDAY(GM$82,2)&gt;5,0,54.62)</f>
        <v>54.62</v>
      </c>
      <c r="GN87" s="39">
        <f>IF(WEEKDAY(GN$82,2)&gt;5,0,49.48)</f>
        <v>49.48</v>
      </c>
      <c r="GO87" s="39">
        <f>IF(WEEKDAY(GO$82,2)&gt;5,0,43.19)</f>
        <v>43.19</v>
      </c>
      <c r="GP87" s="39">
        <f>IF(WEEKDAY(GP$82,2)&gt;5,0,46.29)</f>
        <v>46.29</v>
      </c>
      <c r="GQ87" s="39">
        <f>IF(WEEKDAY(GQ$82,2)&gt;5,0,46.58)</f>
        <v>0</v>
      </c>
      <c r="GR87" s="39">
        <f>IF(WEEKDAY(GR$82,2)&gt;5,0,55.04)</f>
        <v>0</v>
      </c>
      <c r="GS87" s="39">
        <f>IF(WEEKDAY(GS$82,2)&gt;5,0,49.28)</f>
        <v>49.28</v>
      </c>
      <c r="GT87" s="39">
        <f>IF(WEEKDAY(GT$82,2)&gt;5,0,45.37)</f>
        <v>45.37</v>
      </c>
      <c r="GU87" s="39">
        <f>IF(WEEKDAY(GU$82,2)&gt;5,0,43.83)</f>
        <v>43.83</v>
      </c>
      <c r="GV87" s="39">
        <f>IF(WEEKDAY(GV$82,2)&gt;5,0,49.11)</f>
        <v>49.11</v>
      </c>
      <c r="GW87" s="39">
        <f>IF(WEEKDAY(GW$82,2)&gt;5,0,44.79)</f>
        <v>44.79</v>
      </c>
      <c r="GX87" s="39">
        <f>IF(WEEKDAY(GX$82,2)&gt;5,0,48.15)</f>
        <v>0</v>
      </c>
      <c r="GY87" s="39">
        <f>IF(WEEKDAY(GY$82,2)&gt;5,0,53.68)</f>
        <v>0</v>
      </c>
      <c r="GZ87" s="39">
        <f>IF(WEEKDAY(GZ$82,2)&gt;5,0,45.36)</f>
        <v>45.36</v>
      </c>
      <c r="HA87" s="39">
        <f>IF(WEEKDAY(HA$82,2)&gt;5,0,51.55)</f>
        <v>51.55</v>
      </c>
      <c r="HB87" s="39">
        <f>IF(WEEKDAY(HB$82,2)&gt;5,0,53.3)</f>
        <v>53.3</v>
      </c>
      <c r="HC87" s="39">
        <f>IF(WEEKDAY(HC$82,2)&gt;5,0,47.33)</f>
        <v>47.33</v>
      </c>
      <c r="HD87" s="39">
        <f>IF(WEEKDAY(HD$82,2)&gt;5,0,55.7)</f>
        <v>55.7</v>
      </c>
      <c r="HE87" s="39">
        <f>IF(WEEKDAY(HE$82,2)&gt;5,0,54.77)</f>
        <v>0</v>
      </c>
      <c r="HF87" s="39">
        <f>IF(WEEKDAY(HF$82,2)&gt;5,0,55.7)</f>
        <v>0</v>
      </c>
      <c r="HG87" s="39">
        <f>IF(WEEKDAY(HG$82,2)&gt;5,0,50.99)</f>
        <v>50.99</v>
      </c>
      <c r="HH87" s="39">
        <f>IF(WEEKDAY(HH$82,2)&gt;5,0,49.41)</f>
        <v>49.41</v>
      </c>
      <c r="HI87" s="39">
        <f>IF(WEEKDAY(HI$82,2)&gt;5,0,47.52)</f>
        <v>47.52</v>
      </c>
      <c r="HJ87" s="39">
        <f>IF(WEEKDAY(HJ$82,2)&gt;5,0,47.27)</f>
        <v>47.27</v>
      </c>
      <c r="HK87" s="39">
        <f>IF(WEEKDAY(HK$82,2)&gt;5,0,44.97)</f>
        <v>44.97</v>
      </c>
      <c r="HL87" s="39">
        <f>IF(WEEKDAY(HL$82,2)&gt;5,0,47.28)</f>
        <v>0</v>
      </c>
      <c r="HM87" s="39">
        <f>IF(WEEKDAY(HM$82,2)&gt;5,0,43.24)</f>
        <v>0</v>
      </c>
      <c r="HN87" s="39">
        <f>IF(WEEKDAY(HN$82,2)&gt;5,0,52.62)</f>
        <v>52.62</v>
      </c>
      <c r="HO87" s="39">
        <f>IF(WEEKDAY(HO$82,2)&gt;5,0,45.15)</f>
        <v>45.15</v>
      </c>
      <c r="HP87" s="39">
        <f>IF(WEEKDAY(HP$82,2)&gt;5,0,55.72)</f>
        <v>55.72</v>
      </c>
      <c r="HQ87" s="39">
        <f>IF(WEEKDAY(HQ$82,2)&gt;5,0,56.08)</f>
        <v>56.08</v>
      </c>
      <c r="HR87" s="39">
        <f>IF(WEEKDAY(HR$82,2)&gt;5,0,43.27)</f>
        <v>43.27</v>
      </c>
      <c r="HS87" s="39">
        <f>IF(WEEKDAY(HS$82,2)&gt;5,0,45.04)</f>
        <v>0</v>
      </c>
      <c r="HT87" s="39">
        <f>IF(WEEKDAY(HT$82,2)&gt;5,0,43.99)</f>
        <v>0</v>
      </c>
      <c r="HU87" s="39">
        <f>IF(WEEKDAY(HU$82,2)&gt;5,0,52.5)</f>
        <v>52.5</v>
      </c>
      <c r="HV87" s="39">
        <f>IF(WEEKDAY(HV$82,2)&gt;5,0,53.68)</f>
        <v>53.68</v>
      </c>
      <c r="HW87" s="39">
        <f>IF(WEEKDAY(HW$82,2)&gt;5,0,55.16)</f>
        <v>55.16</v>
      </c>
      <c r="HX87" s="39">
        <f>IF(WEEKDAY(HX$82,2)&gt;5,0,48.72)</f>
        <v>48.72</v>
      </c>
      <c r="HY87" s="39">
        <f>IF(WEEKDAY(HY$82,2)&gt;5,0,53.04)</f>
        <v>53.04</v>
      </c>
      <c r="HZ87" s="39">
        <f>IF(WEEKDAY(HZ$82,2)&gt;5,0,46.3)</f>
        <v>0</v>
      </c>
      <c r="IA87" s="39">
        <f>IF(WEEKDAY(IA$82,2)&gt;5,0,57.14)</f>
        <v>0</v>
      </c>
      <c r="IB87" s="39">
        <f>IF(WEEKDAY(IB$82,2)&gt;5,0,47.4)</f>
        <v>47.4</v>
      </c>
      <c r="IC87" s="39">
        <f>IF(WEEKDAY(IC$82,2)&gt;5,0,56.04)</f>
        <v>56.04</v>
      </c>
      <c r="ID87" s="39">
        <f>IF(WEEKDAY(ID$82,2)&gt;5,0,43.37)</f>
        <v>43.37</v>
      </c>
      <c r="IE87" s="39">
        <f>IF(WEEKDAY(IE$82,2)&gt;5,0,51.4)</f>
        <v>51.4</v>
      </c>
      <c r="IF87" s="39">
        <f>IF(WEEKDAY(IF$82,2)&gt;5,0,46.98)</f>
        <v>46.98</v>
      </c>
      <c r="IG87" s="39">
        <f>IF(WEEKDAY(IG$82,2)&gt;5,0,56.3)</f>
        <v>0</v>
      </c>
      <c r="IH87" s="39">
        <f>IF(WEEKDAY(IH$82,2)&gt;5,0,50.17)</f>
        <v>0</v>
      </c>
      <c r="II87" s="39">
        <f>IF(WEEKDAY(II$82,2)&gt;5,0,56.17)</f>
        <v>56.17</v>
      </c>
      <c r="IJ87" s="39">
        <f>IF(WEEKDAY(IJ$82,2)&gt;5,0,57.32)</f>
        <v>57.32</v>
      </c>
      <c r="IK87" s="39">
        <f>IF(WEEKDAY(IK$82,2)&gt;5,0,54.3)</f>
        <v>54.3</v>
      </c>
      <c r="IL87" s="39">
        <f>IF(WEEKDAY(IL$82,2)&gt;5,0,49.31)</f>
        <v>49.31</v>
      </c>
    </row>
    <row r="88" spans="1:246" x14ac:dyDescent="0.3">
      <c r="A88" t="s">
        <v>27</v>
      </c>
      <c r="B88" s="39">
        <f>IF(WEEKDAY(B$82,2)&gt;5,0,34.32)</f>
        <v>34.32</v>
      </c>
      <c r="C88" s="39">
        <f>IF(WEEKDAY(C$82,2)&gt;5,0,29.04)</f>
        <v>0</v>
      </c>
      <c r="D88" s="39">
        <f>IF(WEEKDAY(D$82,2)&gt;5,0,29.91)</f>
        <v>0</v>
      </c>
      <c r="E88" s="39">
        <f>IF(WEEKDAY(E$82,2)&gt;5,0,31.69)</f>
        <v>31.69</v>
      </c>
      <c r="F88" s="39">
        <f>IF(WEEKDAY(F$82,2)&gt;5,0,29.29)</f>
        <v>29.29</v>
      </c>
      <c r="G88" s="39">
        <f>IF(WEEKDAY(G$82,2)&gt;5,0,34.11)</f>
        <v>34.11</v>
      </c>
      <c r="H88" s="39">
        <f>IF(WEEKDAY(H$82,2)&gt;5,0,34.06)</f>
        <v>34.06</v>
      </c>
      <c r="I88" s="39">
        <f>IF(WEEKDAY(I$82,2)&gt;5,0,29.41)</f>
        <v>29.41</v>
      </c>
      <c r="J88" s="39">
        <f>IF(WEEKDAY(J$82,2)&gt;5,0,31.22)</f>
        <v>0</v>
      </c>
      <c r="K88" s="39">
        <f>IF(WEEKDAY(K$82,2)&gt;5,0,26.43)</f>
        <v>0</v>
      </c>
      <c r="L88" s="39">
        <f>IF(WEEKDAY(L$82,2)&gt;5,0,28.97)</f>
        <v>28.97</v>
      </c>
      <c r="M88" s="39">
        <f>IF(WEEKDAY(M$82,2)&gt;5,0,33.16)</f>
        <v>33.159999999999997</v>
      </c>
      <c r="N88" s="39">
        <f>IF(WEEKDAY(N$82,2)&gt;5,0,28.97)</f>
        <v>28.97</v>
      </c>
      <c r="O88" s="39">
        <f>IF(WEEKDAY(O$82,2)&gt;5,0,30.84)</f>
        <v>30.84</v>
      </c>
      <c r="P88" s="39">
        <f>IF(WEEKDAY(P$82,2)&gt;5,0,27.13)</f>
        <v>27.13</v>
      </c>
      <c r="Q88" s="39">
        <f>IF(WEEKDAY(Q$82,2)&gt;5,0,34.14)</f>
        <v>0</v>
      </c>
      <c r="R88" s="39">
        <f>IF(WEEKDAY(R$82,2)&gt;5,0,27.54)</f>
        <v>0</v>
      </c>
      <c r="S88" s="39">
        <f>IF(WEEKDAY(S$82,2)&gt;5,0,29.17)</f>
        <v>29.17</v>
      </c>
      <c r="T88" s="39">
        <f>IF(WEEKDAY(T$82,2)&gt;5,0,26.65)</f>
        <v>26.65</v>
      </c>
      <c r="U88" s="39">
        <f>IF(WEEKDAY(U$82,2)&gt;5,0,26.29)</f>
        <v>26.29</v>
      </c>
      <c r="V88" s="39">
        <f>IF(WEEKDAY(V$82,2)&gt;5,0,29.82)</f>
        <v>29.82</v>
      </c>
      <c r="W88" s="39">
        <f>IF(WEEKDAY(W$82,2)&gt;5,0,30.8)</f>
        <v>30.8</v>
      </c>
      <c r="X88" s="39">
        <f>IF(WEEKDAY(X$82,2)&gt;5,0,30.42)</f>
        <v>0</v>
      </c>
      <c r="Y88" s="39">
        <f>IF(WEEKDAY(Y$82,2)&gt;5,0,28.18)</f>
        <v>0</v>
      </c>
      <c r="Z88" s="39">
        <f>IF(WEEKDAY(Z$82,2)&gt;5,0,28.58)</f>
        <v>28.58</v>
      </c>
      <c r="AA88" s="39">
        <f>IF(WEEKDAY(AA$82,2)&gt;5,0,31.83)</f>
        <v>31.83</v>
      </c>
      <c r="AB88" s="39">
        <f>IF(WEEKDAY(AB$82,2)&gt;5,0,33.75)</f>
        <v>33.75</v>
      </c>
      <c r="AC88" s="39">
        <f>IF(WEEKDAY(AC$82,2)&gt;5,0,34.21)</f>
        <v>34.21</v>
      </c>
      <c r="AD88" s="39">
        <f>IF(WEEKDAY(AD$82,2)&gt;5,0,31.68)</f>
        <v>31.68</v>
      </c>
      <c r="AE88" s="39">
        <f>IF(WEEKDAY(AE$82,2)&gt;5,0,30.8)</f>
        <v>0</v>
      </c>
      <c r="AF88" s="39">
        <f>IF(WEEKDAY(AF$82,2)&gt;5,0,31.13)</f>
        <v>0</v>
      </c>
      <c r="AG88" s="39">
        <f>IF(WEEKDAY(AG$82,2)&gt;5,0,25.81)</f>
        <v>25.81</v>
      </c>
      <c r="AH88" s="39">
        <f>IF(WEEKDAY(AH$82,2)&gt;5,0,27)</f>
        <v>27</v>
      </c>
      <c r="AI88" s="39">
        <f>IF(WEEKDAY(AI$82,2)&gt;5,0,30.52)</f>
        <v>30.52</v>
      </c>
      <c r="AJ88" s="39">
        <f>IF(WEEKDAY(AJ$82,2)&gt;5,0,30.07)</f>
        <v>30.07</v>
      </c>
      <c r="AK88" s="39">
        <f>IF(WEEKDAY(AK$82,2)&gt;5,0,29.74)</f>
        <v>29.74</v>
      </c>
      <c r="AL88" s="39">
        <f>IF(WEEKDAY(AL$82,2)&gt;5,0,30.91)</f>
        <v>0</v>
      </c>
      <c r="AM88" s="39">
        <f>IF(WEEKDAY(AM$82,2)&gt;5,0,27.57)</f>
        <v>0</v>
      </c>
      <c r="AN88" s="39">
        <f>IF(WEEKDAY(AN$82,2)&gt;5,0,29.14)</f>
        <v>29.14</v>
      </c>
      <c r="AO88" s="39">
        <f>IF(WEEKDAY(AO$82,2)&gt;5,0,28.07)</f>
        <v>28.07</v>
      </c>
      <c r="AP88" s="39">
        <f>IF(WEEKDAY(AP$82,2)&gt;5,0,26.66)</f>
        <v>26.66</v>
      </c>
      <c r="AQ88" s="39">
        <f>IF(WEEKDAY(AQ$82,2)&gt;5,0,31.04)</f>
        <v>31.04</v>
      </c>
      <c r="AR88" s="39">
        <f>IF(WEEKDAY(AR$82,2)&gt;5,0,28.15)</f>
        <v>28.15</v>
      </c>
      <c r="AS88" s="39">
        <f>IF(WEEKDAY(AS$82,2)&gt;5,0,27.09)</f>
        <v>0</v>
      </c>
      <c r="AT88" s="39">
        <f>IF(WEEKDAY(AT$82,2)&gt;5,0,25.51)</f>
        <v>0</v>
      </c>
      <c r="AU88" s="39">
        <f>IF(WEEKDAY(AU$82,2)&gt;5,0,28.55)</f>
        <v>28.55</v>
      </c>
      <c r="AV88" s="39">
        <f>IF(WEEKDAY(AV$82,2)&gt;5,0,32.47)</f>
        <v>32.47</v>
      </c>
      <c r="AW88" s="39">
        <f>IF(WEEKDAY(AW$82,2)&gt;5,0,28.79)</f>
        <v>28.79</v>
      </c>
      <c r="AX88" s="39">
        <f>IF(WEEKDAY(AX$82,2)&gt;5,0,29.54)</f>
        <v>29.54</v>
      </c>
      <c r="AY88" s="39">
        <f>IF(WEEKDAY(AY$82,2)&gt;5,0,26.47)</f>
        <v>26.47</v>
      </c>
      <c r="AZ88" s="39">
        <f>IF(WEEKDAY(AZ$82,2)&gt;5,0,30.96)</f>
        <v>0</v>
      </c>
      <c r="BA88" s="39">
        <f>IF(WEEKDAY(BA$82,2)&gt;5,0,27.99)</f>
        <v>0</v>
      </c>
      <c r="BB88" s="39">
        <f>IF(WEEKDAY(BB$82,2)&gt;5,0,29.9)</f>
        <v>29.9</v>
      </c>
      <c r="BC88" s="39">
        <f>IF(WEEKDAY(BC$82,2)&gt;5,0,26.18)</f>
        <v>26.18</v>
      </c>
      <c r="BD88" s="39">
        <f>IF(WEEKDAY(BD$82,2)&gt;5,0,29.31)</f>
        <v>29.31</v>
      </c>
      <c r="BE88" s="39">
        <f>IF(WEEKDAY(BE$82,2)&gt;5,0,28.21)</f>
        <v>28.21</v>
      </c>
      <c r="BF88" s="39">
        <f>IF(WEEKDAY(BF$82,2)&gt;5,0,33.32)</f>
        <v>33.32</v>
      </c>
      <c r="BG88" s="39">
        <f>IF(WEEKDAY(BG$82,2)&gt;5,0,31.73)</f>
        <v>0</v>
      </c>
      <c r="BH88" s="39">
        <f>IF(WEEKDAY(BH$82,2)&gt;5,0,30.63)</f>
        <v>0</v>
      </c>
      <c r="BI88" s="39">
        <f>IF(WEEKDAY(BI$82,2)&gt;5,0,26.65)</f>
        <v>26.65</v>
      </c>
      <c r="BJ88" s="39">
        <f>IF(WEEKDAY(BJ$82,2)&gt;5,0,26.69)</f>
        <v>26.69</v>
      </c>
      <c r="BK88" s="39">
        <f>IF(WEEKDAY(BK$82,2)&gt;5,0,26.49)</f>
        <v>26.49</v>
      </c>
      <c r="BL88" s="39">
        <f>IF(WEEKDAY(BL$82,2)&gt;5,0,30.4)</f>
        <v>30.4</v>
      </c>
      <c r="BM88" s="39">
        <f>IF(WEEKDAY(BM$82,2)&gt;5,0,34.26)</f>
        <v>34.26</v>
      </c>
      <c r="BN88" s="39">
        <f>IF(WEEKDAY(BN$82,2)&gt;5,0,33.35)</f>
        <v>0</v>
      </c>
      <c r="BO88" s="39">
        <f>IF(WEEKDAY(BO$82,2)&gt;5,0,27.55)</f>
        <v>0</v>
      </c>
      <c r="BP88" s="39">
        <f>IF(WEEKDAY(BP$82,2)&gt;5,0,27.01)</f>
        <v>27.01</v>
      </c>
      <c r="BQ88" s="39">
        <f>IF(WEEKDAY(BQ$82,2)&gt;5,0,29.42)</f>
        <v>29.42</v>
      </c>
      <c r="BR88" s="39">
        <f>IF(WEEKDAY(BR$82,2)&gt;5,0,30.02)</f>
        <v>30.02</v>
      </c>
      <c r="BS88" s="39">
        <f>IF(WEEKDAY(BS$82,2)&gt;5,0,30.97)</f>
        <v>30.97</v>
      </c>
      <c r="BT88" s="39">
        <f>IF(WEEKDAY(BT$82,2)&gt;5,0,26.15)</f>
        <v>26.15</v>
      </c>
      <c r="BU88" s="39">
        <f>IF(WEEKDAY(BU$82,2)&gt;5,0,26.58)</f>
        <v>0</v>
      </c>
      <c r="BV88" s="39">
        <f>IF(WEEKDAY(BV$82,2)&gt;5,0,32.18)</f>
        <v>0</v>
      </c>
      <c r="BW88" s="39">
        <f>IF(WEEKDAY(BW$82,2)&gt;5,0,33.08)</f>
        <v>33.08</v>
      </c>
      <c r="BX88" s="39">
        <f>IF(WEEKDAY(BX$82,2)&gt;5,0,33.33)</f>
        <v>33.33</v>
      </c>
      <c r="BY88" s="39">
        <f>IF(WEEKDAY(BY$82,2)&gt;5,0,33)</f>
        <v>33</v>
      </c>
      <c r="BZ88" s="39">
        <f>IF(WEEKDAY(BZ$82,2)&gt;5,0,26.89)</f>
        <v>26.89</v>
      </c>
      <c r="CA88" s="39">
        <f>IF(WEEKDAY(CA$82,2)&gt;5,0,26.91)</f>
        <v>26.91</v>
      </c>
      <c r="CB88" s="39">
        <f>IF(WEEKDAY(CB$82,2)&gt;5,0,27.96)</f>
        <v>0</v>
      </c>
      <c r="CC88" s="39">
        <f>IF(WEEKDAY(CC$82,2)&gt;5,0,26.67)</f>
        <v>0</v>
      </c>
      <c r="CD88" s="39">
        <f>IF(WEEKDAY(CD$82,2)&gt;5,0,27.18)</f>
        <v>27.18</v>
      </c>
      <c r="CE88" s="39">
        <f>IF(WEEKDAY(CE$82,2)&gt;5,0,25.64)</f>
        <v>25.64</v>
      </c>
      <c r="CF88" s="39">
        <f>IF(WEEKDAY(CF$82,2)&gt;5,0,30.88)</f>
        <v>30.88</v>
      </c>
      <c r="CG88" s="39">
        <f>IF(WEEKDAY(CG$82,2)&gt;5,0,27.84)</f>
        <v>27.84</v>
      </c>
      <c r="CH88" s="39">
        <f>IF(WEEKDAY(CH$82,2)&gt;5,0,26.52)</f>
        <v>26.52</v>
      </c>
      <c r="CI88" s="39">
        <f>IF(WEEKDAY(CI$82,2)&gt;5,0,32.23)</f>
        <v>0</v>
      </c>
      <c r="CJ88" s="39">
        <f>IF(WEEKDAY(CJ$82,2)&gt;5,0,31.72)</f>
        <v>0</v>
      </c>
      <c r="CK88" s="39">
        <f>IF(WEEKDAY(CK$82,2)&gt;5,0,31.09)</f>
        <v>31.09</v>
      </c>
      <c r="CL88" s="39">
        <f>IF(WEEKDAY(CL$82,2)&gt;5,0,32.11)</f>
        <v>32.11</v>
      </c>
      <c r="CM88" s="39">
        <f>IF(WEEKDAY(CM$82,2)&gt;5,0,27.62)</f>
        <v>27.62</v>
      </c>
      <c r="CN88" s="39">
        <f>IF(WEEKDAY(CN$82,2)&gt;5,0,29.85)</f>
        <v>29.85</v>
      </c>
      <c r="CO88" s="39">
        <f>IF(WEEKDAY(CO$82,2)&gt;5,0,31.35)</f>
        <v>31.35</v>
      </c>
      <c r="CP88" s="39">
        <f>IF(WEEKDAY(CP$82,2)&gt;5,0,29.63)</f>
        <v>0</v>
      </c>
      <c r="CQ88" s="39">
        <f>IF(WEEKDAY(CQ$82,2)&gt;5,0,29.58)</f>
        <v>0</v>
      </c>
      <c r="CR88" s="39">
        <f>IF(WEEKDAY(CR$82,2)&gt;5,0,34.21)</f>
        <v>34.21</v>
      </c>
      <c r="CS88" s="39">
        <f>IF(WEEKDAY(CS$82,2)&gt;5,0,33.82)</f>
        <v>33.82</v>
      </c>
      <c r="CT88" s="39">
        <f>IF(WEEKDAY(CT$82,2)&gt;5,0,29.75)</f>
        <v>29.75</v>
      </c>
      <c r="CU88" s="39">
        <f>IF(WEEKDAY(CU$82,2)&gt;5,0,26.49)</f>
        <v>26.49</v>
      </c>
      <c r="CV88" s="39">
        <f>IF(WEEKDAY(CV$82,2)&gt;5,0,31.37)</f>
        <v>31.37</v>
      </c>
      <c r="CW88" s="39">
        <f>IF(WEEKDAY(CW$82,2)&gt;5,0,30.92)</f>
        <v>0</v>
      </c>
      <c r="CX88" s="39">
        <f>IF(WEEKDAY(CX$82,2)&gt;5,0,27.81)</f>
        <v>0</v>
      </c>
      <c r="CY88" s="39">
        <f>IF(WEEKDAY(CY$82,2)&gt;5,0,29.29)</f>
        <v>29.29</v>
      </c>
      <c r="CZ88" s="39">
        <f>IF(WEEKDAY(CZ$82,2)&gt;5,0,27.78)</f>
        <v>27.78</v>
      </c>
      <c r="DA88" s="39">
        <f>IF(WEEKDAY(DA$82,2)&gt;5,0,33.29)</f>
        <v>33.29</v>
      </c>
      <c r="DB88" s="39">
        <f>IF(WEEKDAY(DB$82,2)&gt;5,0,31.16)</f>
        <v>31.16</v>
      </c>
      <c r="DC88" s="39">
        <f>IF(WEEKDAY(DC$82,2)&gt;5,0,34.47)</f>
        <v>34.47</v>
      </c>
      <c r="DD88" s="39">
        <f>IF(WEEKDAY(DD$82,2)&gt;5,0,27.03)</f>
        <v>0</v>
      </c>
      <c r="DE88" s="39">
        <f>IF(WEEKDAY(DE$82,2)&gt;5,0,33.08)</f>
        <v>0</v>
      </c>
      <c r="DF88" s="39">
        <f>IF(WEEKDAY(DF$82,2)&gt;5,0,32.99)</f>
        <v>32.99</v>
      </c>
      <c r="DG88" s="39">
        <f>IF(WEEKDAY(DG$82,2)&gt;5,0,28.68)</f>
        <v>28.68</v>
      </c>
      <c r="DH88" s="39">
        <f>IF(WEEKDAY(DH$82,2)&gt;5,0,32.48)</f>
        <v>32.479999999999997</v>
      </c>
      <c r="DI88" s="39">
        <f>IF(WEEKDAY(DI$82,2)&gt;5,0,28.63)</f>
        <v>28.63</v>
      </c>
      <c r="DJ88" s="39">
        <f>IF(WEEKDAY(DJ$82,2)&gt;5,0,31.7)</f>
        <v>31.7</v>
      </c>
      <c r="DK88" s="39">
        <f>IF(WEEKDAY(DK$82,2)&gt;5,0,31.64)</f>
        <v>0</v>
      </c>
      <c r="DL88" s="39">
        <f>IF(WEEKDAY(DL$82,2)&gt;5,0,26.43)</f>
        <v>0</v>
      </c>
      <c r="DM88" s="39">
        <f>IF(WEEKDAY(DM$82,2)&gt;5,0,34.25)</f>
        <v>34.25</v>
      </c>
      <c r="DN88" s="39">
        <f>IF(WEEKDAY(DN$82,2)&gt;5,0,27.52)</f>
        <v>27.52</v>
      </c>
      <c r="DO88" s="39">
        <f>IF(WEEKDAY(DO$82,2)&gt;5,0,27.36)</f>
        <v>27.36</v>
      </c>
      <c r="DP88" s="39">
        <f>IF(WEEKDAY(DP$82,2)&gt;5,0,28.52)</f>
        <v>28.52</v>
      </c>
      <c r="DQ88" s="39">
        <f>IF(WEEKDAY(DQ$82,2)&gt;5,0,31.27)</f>
        <v>31.27</v>
      </c>
      <c r="DR88" s="39">
        <f>IF(WEEKDAY(DR$82,2)&gt;5,0,29.1)</f>
        <v>0</v>
      </c>
      <c r="DS88" s="39">
        <f>IF(WEEKDAY(DS$82,2)&gt;5,0,26.47)</f>
        <v>0</v>
      </c>
      <c r="DT88" s="39">
        <f>IF(WEEKDAY(DT$82,2)&gt;5,0,26.29)</f>
        <v>26.29</v>
      </c>
      <c r="DU88" s="39">
        <f>IF(WEEKDAY(DU$82,2)&gt;5,0,27.35)</f>
        <v>27.35</v>
      </c>
      <c r="DV88" s="39">
        <f>IF(WEEKDAY(DV$82,2)&gt;5,0,31.25)</f>
        <v>31.25</v>
      </c>
      <c r="DW88" s="39">
        <f>IF(WEEKDAY(DW$82,2)&gt;5,0,33.18)</f>
        <v>33.18</v>
      </c>
      <c r="DX88" s="39">
        <f>IF(WEEKDAY(DX$82,2)&gt;5,0,29.26)</f>
        <v>29.26</v>
      </c>
      <c r="DY88" s="39">
        <f>IF(WEEKDAY(DY$82,2)&gt;5,0,28.58)</f>
        <v>0</v>
      </c>
      <c r="DZ88" s="39">
        <f>IF(WEEKDAY(DZ$82,2)&gt;5,0,28.07)</f>
        <v>0</v>
      </c>
      <c r="EA88" s="39">
        <f>IF(WEEKDAY(EA$82,2)&gt;5,0,26.73)</f>
        <v>26.73</v>
      </c>
      <c r="EB88" s="39">
        <f>IF(WEEKDAY(EB$82,2)&gt;5,0,31.29)</f>
        <v>31.29</v>
      </c>
      <c r="EC88" s="39">
        <f>IF(WEEKDAY(EC$82,2)&gt;5,0,30.1)</f>
        <v>30.1</v>
      </c>
      <c r="ED88" s="39">
        <f>IF(WEEKDAY(ED$82,2)&gt;5,0,29.26)</f>
        <v>29.26</v>
      </c>
      <c r="EE88" s="39">
        <f>IF(WEEKDAY(EE$82,2)&gt;5,0,28.98)</f>
        <v>28.98</v>
      </c>
      <c r="EF88" s="39">
        <f>IF(WEEKDAY(EF$82,2)&gt;5,0,28.27)</f>
        <v>0</v>
      </c>
      <c r="EG88" s="39">
        <f>IF(WEEKDAY(EG$82,2)&gt;5,0,27.77)</f>
        <v>0</v>
      </c>
      <c r="EH88" s="39">
        <f>IF(WEEKDAY(EH$82,2)&gt;5,0,31.19)</f>
        <v>31.19</v>
      </c>
      <c r="EI88" s="39">
        <f>IF(WEEKDAY(EI$82,2)&gt;5,0,28.04)</f>
        <v>28.04</v>
      </c>
      <c r="EJ88" s="39">
        <f>IF(WEEKDAY(EJ$82,2)&gt;5,0,30.79)</f>
        <v>30.79</v>
      </c>
      <c r="EK88" s="39">
        <f>IF(WEEKDAY(EK$82,2)&gt;5,0,28.42)</f>
        <v>28.42</v>
      </c>
      <c r="EL88" s="39">
        <f>IF(WEEKDAY(EL$82,2)&gt;5,0,25.91)</f>
        <v>25.91</v>
      </c>
      <c r="EM88" s="39">
        <f>IF(WEEKDAY(EM$82,2)&gt;5,0,30.26)</f>
        <v>0</v>
      </c>
      <c r="EN88" s="39">
        <f>IF(WEEKDAY(EN$82,2)&gt;5,0,28.19)</f>
        <v>0</v>
      </c>
      <c r="EO88" s="39">
        <f>IF(WEEKDAY(EO$82,2)&gt;5,0,31.34)</f>
        <v>31.34</v>
      </c>
      <c r="EP88" s="39">
        <f>IF(WEEKDAY(EP$82,2)&gt;5,0,28.45)</f>
        <v>28.45</v>
      </c>
      <c r="EQ88" s="39">
        <f>IF(WEEKDAY(EQ$82,2)&gt;5,0,28.18)</f>
        <v>28.18</v>
      </c>
      <c r="ER88" s="39">
        <f>IF(WEEKDAY(ER$82,2)&gt;5,0,32.41)</f>
        <v>32.409999999999997</v>
      </c>
      <c r="ES88" s="39">
        <f>IF(WEEKDAY(ES$82,2)&gt;5,0,28.84)</f>
        <v>28.84</v>
      </c>
      <c r="ET88" s="39">
        <f>IF(WEEKDAY(ET$82,2)&gt;5,0,25.52)</f>
        <v>0</v>
      </c>
      <c r="EU88" s="39">
        <f>IF(WEEKDAY(EU$82,2)&gt;5,0,30.32)</f>
        <v>0</v>
      </c>
      <c r="EV88" s="39">
        <f>IF(WEEKDAY(EV$82,2)&gt;5,0,33.76)</f>
        <v>33.76</v>
      </c>
      <c r="EW88" s="39">
        <f>IF(WEEKDAY(EW$82,2)&gt;5,0,29.27)</f>
        <v>29.27</v>
      </c>
      <c r="EX88" s="39">
        <f>IF(WEEKDAY(EX$82,2)&gt;5,0,26.3)</f>
        <v>26.3</v>
      </c>
      <c r="EY88" s="39">
        <f>IF(WEEKDAY(EY$82,2)&gt;5,0,25.98)</f>
        <v>25.98</v>
      </c>
      <c r="EZ88" s="39">
        <f>IF(WEEKDAY(EZ$82,2)&gt;5,0,26.19)</f>
        <v>26.19</v>
      </c>
      <c r="FA88" s="39">
        <f>IF(WEEKDAY(FA$82,2)&gt;5,0,33.91)</f>
        <v>0</v>
      </c>
      <c r="FB88" s="39">
        <f>IF(WEEKDAY(FB$82,2)&gt;5,0,30.55)</f>
        <v>0</v>
      </c>
      <c r="FC88" s="39">
        <f>IF(WEEKDAY(FC$82,2)&gt;5,0,34.36)</f>
        <v>34.36</v>
      </c>
      <c r="FD88" s="39">
        <f>IF(WEEKDAY(FD$82,2)&gt;5,0,34.11)</f>
        <v>34.11</v>
      </c>
      <c r="FE88" s="39">
        <f>IF(WEEKDAY(FE$82,2)&gt;5,0,30.59)</f>
        <v>30.59</v>
      </c>
      <c r="FF88" s="39">
        <f>IF(WEEKDAY(FF$82,2)&gt;5,0,32.06)</f>
        <v>32.06</v>
      </c>
      <c r="FG88" s="39">
        <f>IF(WEEKDAY(FG$82,2)&gt;5,0,32.87)</f>
        <v>32.869999999999997</v>
      </c>
      <c r="FH88" s="39">
        <f>IF(WEEKDAY(FH$82,2)&gt;5,0,32.48)</f>
        <v>0</v>
      </c>
      <c r="FI88" s="39">
        <f>IF(WEEKDAY(FI$82,2)&gt;5,0,32.13)</f>
        <v>0</v>
      </c>
      <c r="FJ88" s="39">
        <f>IF(WEEKDAY(FJ$82,2)&gt;5,0,31.64)</f>
        <v>31.64</v>
      </c>
      <c r="FK88" s="39">
        <f>IF(WEEKDAY(FK$82,2)&gt;5,0,26.13)</f>
        <v>26.13</v>
      </c>
      <c r="FL88" s="39">
        <f>IF(WEEKDAY(FL$82,2)&gt;5,0,30.73)</f>
        <v>30.73</v>
      </c>
      <c r="FM88" s="39">
        <f>IF(WEEKDAY(FM$82,2)&gt;5,0,33.14)</f>
        <v>33.14</v>
      </c>
      <c r="FN88" s="39">
        <f>IF(WEEKDAY(FN$82,2)&gt;5,0,30.2)</f>
        <v>30.2</v>
      </c>
      <c r="FO88" s="39">
        <f>IF(WEEKDAY(FO$82,2)&gt;5,0,25.56)</f>
        <v>0</v>
      </c>
      <c r="FP88" s="39">
        <f>IF(WEEKDAY(FP$82,2)&gt;5,0,33.49)</f>
        <v>0</v>
      </c>
      <c r="FQ88" s="39">
        <f>IF(WEEKDAY(FQ$82,2)&gt;5,0,28.98)</f>
        <v>28.98</v>
      </c>
      <c r="FR88" s="39">
        <f>IF(WEEKDAY(FR$82,2)&gt;5,0,27.72)</f>
        <v>27.72</v>
      </c>
      <c r="FS88" s="39">
        <f>IF(WEEKDAY(FS$82,2)&gt;5,0,29.7)</f>
        <v>29.7</v>
      </c>
      <c r="FT88" s="39">
        <f>IF(WEEKDAY(FT$82,2)&gt;5,0,26.59)</f>
        <v>26.59</v>
      </c>
      <c r="FU88" s="39">
        <f>IF(WEEKDAY(FU$82,2)&gt;5,0,33.86)</f>
        <v>33.86</v>
      </c>
      <c r="FV88" s="39">
        <f>IF(WEEKDAY(FV$82,2)&gt;5,0,33.77)</f>
        <v>0</v>
      </c>
      <c r="FW88" s="39">
        <f>IF(WEEKDAY(FW$82,2)&gt;5,0,26.38)</f>
        <v>0</v>
      </c>
      <c r="FX88" s="39">
        <f>IF(WEEKDAY(FX$82,2)&gt;5,0,32.61)</f>
        <v>32.61</v>
      </c>
      <c r="FY88" s="39">
        <f>IF(WEEKDAY(FY$82,2)&gt;5,0,30.36)</f>
        <v>30.36</v>
      </c>
      <c r="FZ88" s="39">
        <f>IF(WEEKDAY(FZ$82,2)&gt;5,0,30.76)</f>
        <v>30.76</v>
      </c>
      <c r="GA88" s="39">
        <f>IF(WEEKDAY(GA$82,2)&gt;5,0,32.25)</f>
        <v>32.25</v>
      </c>
      <c r="GB88" s="39">
        <f>IF(WEEKDAY(GB$82,2)&gt;5,0,30.03)</f>
        <v>30.03</v>
      </c>
      <c r="GC88" s="39">
        <f>IF(WEEKDAY(GC$82,2)&gt;5,0,29.26)</f>
        <v>0</v>
      </c>
      <c r="GD88" s="39">
        <f>IF(WEEKDAY(GD$82,2)&gt;5,0,33.65)</f>
        <v>0</v>
      </c>
      <c r="GE88" s="39">
        <f>IF(WEEKDAY(GE$82,2)&gt;5,0,28.64)</f>
        <v>28.64</v>
      </c>
      <c r="GF88" s="39">
        <f>IF(WEEKDAY(GF$82,2)&gt;5,0,26.88)</f>
        <v>26.88</v>
      </c>
      <c r="GG88" s="39">
        <f>IF(WEEKDAY(GG$82,2)&gt;5,0,27.03)</f>
        <v>27.03</v>
      </c>
      <c r="GH88" s="39">
        <f>IF(WEEKDAY(GH$82,2)&gt;5,0,28.27)</f>
        <v>28.27</v>
      </c>
      <c r="GI88" s="39">
        <f>IF(WEEKDAY(GI$82,2)&gt;5,0,30.56)</f>
        <v>30.56</v>
      </c>
      <c r="GJ88" s="39">
        <f>IF(WEEKDAY(GJ$82,2)&gt;5,0,33.49)</f>
        <v>0</v>
      </c>
      <c r="GK88" s="39">
        <f>IF(WEEKDAY(GK$82,2)&gt;5,0,26.61)</f>
        <v>0</v>
      </c>
      <c r="GL88" s="39">
        <f>IF(WEEKDAY(GL$82,2)&gt;5,0,30.98)</f>
        <v>30.98</v>
      </c>
      <c r="GM88" s="39">
        <f>IF(WEEKDAY(GM$82,2)&gt;5,0,32.78)</f>
        <v>32.78</v>
      </c>
      <c r="GN88" s="39">
        <f>IF(WEEKDAY(GN$82,2)&gt;5,0,31.76)</f>
        <v>31.76</v>
      </c>
      <c r="GO88" s="39">
        <f>IF(WEEKDAY(GO$82,2)&gt;5,0,29.69)</f>
        <v>29.69</v>
      </c>
      <c r="GP88" s="39">
        <f>IF(WEEKDAY(GP$82,2)&gt;5,0,25.53)</f>
        <v>25.53</v>
      </c>
      <c r="GQ88" s="39">
        <f>IF(WEEKDAY(GQ$82,2)&gt;5,0,32.9)</f>
        <v>0</v>
      </c>
      <c r="GR88" s="39">
        <f>IF(WEEKDAY(GR$82,2)&gt;5,0,33.4)</f>
        <v>0</v>
      </c>
      <c r="GS88" s="39">
        <f>IF(WEEKDAY(GS$82,2)&gt;5,0,29.42)</f>
        <v>29.42</v>
      </c>
      <c r="GT88" s="39">
        <f>IF(WEEKDAY(GT$82,2)&gt;5,0,25.63)</f>
        <v>25.63</v>
      </c>
      <c r="GU88" s="39">
        <f>IF(WEEKDAY(GU$82,2)&gt;5,0,30.58)</f>
        <v>30.58</v>
      </c>
      <c r="GV88" s="39">
        <f>IF(WEEKDAY(GV$82,2)&gt;5,0,26.67)</f>
        <v>26.67</v>
      </c>
      <c r="GW88" s="39">
        <f>IF(WEEKDAY(GW$82,2)&gt;5,0,26.09)</f>
        <v>26.09</v>
      </c>
      <c r="GX88" s="39">
        <f>IF(WEEKDAY(GX$82,2)&gt;5,0,32.61)</f>
        <v>0</v>
      </c>
      <c r="GY88" s="39">
        <f>IF(WEEKDAY(GY$82,2)&gt;5,0,31.17)</f>
        <v>0</v>
      </c>
      <c r="GZ88" s="39">
        <f>IF(WEEKDAY(GZ$82,2)&gt;5,0,30.29)</f>
        <v>30.29</v>
      </c>
      <c r="HA88" s="39">
        <f>IF(WEEKDAY(HA$82,2)&gt;5,0,30.66)</f>
        <v>30.66</v>
      </c>
      <c r="HB88" s="39">
        <f>IF(WEEKDAY(HB$82,2)&gt;5,0,31.89)</f>
        <v>31.89</v>
      </c>
      <c r="HC88" s="39">
        <f>IF(WEEKDAY(HC$82,2)&gt;5,0,26.67)</f>
        <v>26.67</v>
      </c>
      <c r="HD88" s="39">
        <f>IF(WEEKDAY(HD$82,2)&gt;5,0,26.64)</f>
        <v>26.64</v>
      </c>
      <c r="HE88" s="39">
        <f>IF(WEEKDAY(HE$82,2)&gt;5,0,31.53)</f>
        <v>0</v>
      </c>
      <c r="HF88" s="39">
        <f>IF(WEEKDAY(HF$82,2)&gt;5,0,26.59)</f>
        <v>0</v>
      </c>
      <c r="HG88" s="39">
        <f>IF(WEEKDAY(HG$82,2)&gt;5,0,31.36)</f>
        <v>31.36</v>
      </c>
      <c r="HH88" s="39">
        <f>IF(WEEKDAY(HH$82,2)&gt;5,0,29.37)</f>
        <v>29.37</v>
      </c>
      <c r="HI88" s="39">
        <f>IF(WEEKDAY(HI$82,2)&gt;5,0,28.26)</f>
        <v>28.26</v>
      </c>
      <c r="HJ88" s="39">
        <f>IF(WEEKDAY(HJ$82,2)&gt;5,0,27.7)</f>
        <v>27.7</v>
      </c>
      <c r="HK88" s="39">
        <f>IF(WEEKDAY(HK$82,2)&gt;5,0,27.15)</f>
        <v>27.15</v>
      </c>
      <c r="HL88" s="39">
        <f>IF(WEEKDAY(HL$82,2)&gt;5,0,31.21)</f>
        <v>0</v>
      </c>
      <c r="HM88" s="39">
        <f>IF(WEEKDAY(HM$82,2)&gt;5,0,30.96)</f>
        <v>0</v>
      </c>
      <c r="HN88" s="39">
        <f>IF(WEEKDAY(HN$82,2)&gt;5,0,28.91)</f>
        <v>28.91</v>
      </c>
      <c r="HO88" s="39">
        <f>IF(WEEKDAY(HO$82,2)&gt;5,0,28.72)</f>
        <v>28.72</v>
      </c>
      <c r="HP88" s="39">
        <f>IF(WEEKDAY(HP$82,2)&gt;5,0,27.41)</f>
        <v>27.41</v>
      </c>
      <c r="HQ88" s="39">
        <f>IF(WEEKDAY(HQ$82,2)&gt;5,0,32.72)</f>
        <v>32.72</v>
      </c>
      <c r="HR88" s="39">
        <f>IF(WEEKDAY(HR$82,2)&gt;5,0,25.96)</f>
        <v>25.96</v>
      </c>
      <c r="HS88" s="39">
        <f>IF(WEEKDAY(HS$82,2)&gt;5,0,26.82)</f>
        <v>0</v>
      </c>
      <c r="HT88" s="39">
        <f>IF(WEEKDAY(HT$82,2)&gt;5,0,27.76)</f>
        <v>0</v>
      </c>
      <c r="HU88" s="39">
        <f>IF(WEEKDAY(HU$82,2)&gt;5,0,27.58)</f>
        <v>27.58</v>
      </c>
      <c r="HV88" s="39">
        <f>IF(WEEKDAY(HV$82,2)&gt;5,0,31.26)</f>
        <v>31.26</v>
      </c>
      <c r="HW88" s="39">
        <f>IF(WEEKDAY(HW$82,2)&gt;5,0,29.94)</f>
        <v>29.94</v>
      </c>
      <c r="HX88" s="39">
        <f>IF(WEEKDAY(HX$82,2)&gt;5,0,30.8)</f>
        <v>30.8</v>
      </c>
      <c r="HY88" s="39">
        <f>IF(WEEKDAY(HY$82,2)&gt;5,0,33.3)</f>
        <v>33.299999999999997</v>
      </c>
      <c r="HZ88" s="39">
        <f>IF(WEEKDAY(HZ$82,2)&gt;5,0,32.41)</f>
        <v>0</v>
      </c>
      <c r="IA88" s="39">
        <f>IF(WEEKDAY(IA$82,2)&gt;5,0,30)</f>
        <v>0</v>
      </c>
      <c r="IB88" s="39">
        <f>IF(WEEKDAY(IB$82,2)&gt;5,0,30)</f>
        <v>30</v>
      </c>
      <c r="IC88" s="39">
        <f>IF(WEEKDAY(IC$82,2)&gt;5,0,33)</f>
        <v>33</v>
      </c>
      <c r="ID88" s="39">
        <f>IF(WEEKDAY(ID$82,2)&gt;5,0,26.11)</f>
        <v>26.11</v>
      </c>
      <c r="IE88" s="39">
        <f>IF(WEEKDAY(IE$82,2)&gt;5,0,27.36)</f>
        <v>27.36</v>
      </c>
      <c r="IF88" s="39">
        <f>IF(WEEKDAY(IF$82,2)&gt;5,0,31.49)</f>
        <v>31.49</v>
      </c>
      <c r="IG88" s="39">
        <f>IF(WEEKDAY(IG$82,2)&gt;5,0,26.98)</f>
        <v>0</v>
      </c>
      <c r="IH88" s="39">
        <f>IF(WEEKDAY(IH$82,2)&gt;5,0,32.81)</f>
        <v>0</v>
      </c>
      <c r="II88" s="39">
        <f>IF(WEEKDAY(II$82,2)&gt;5,0,28.29)</f>
        <v>28.29</v>
      </c>
      <c r="IJ88" s="39">
        <f>IF(WEEKDAY(IJ$82,2)&gt;5,0,30.46)</f>
        <v>30.46</v>
      </c>
      <c r="IK88" s="39">
        <f>IF(WEEKDAY(IK$82,2)&gt;5,0,29.93)</f>
        <v>29.93</v>
      </c>
      <c r="IL88" s="39">
        <f>IF(WEEKDAY(IL$82,2)&gt;5,0,31.17)</f>
        <v>31.17</v>
      </c>
    </row>
    <row r="89" spans="1:246" x14ac:dyDescent="0.3">
      <c r="A89" t="s">
        <v>88</v>
      </c>
      <c r="B89" s="39">
        <f>IF(WEEKDAY(B$82,2)&gt;5,0,1914.15)</f>
        <v>1914.15</v>
      </c>
      <c r="C89" s="39">
        <f>IF(WEEKDAY(C$82,2)&gt;5,0,2038.34)</f>
        <v>0</v>
      </c>
      <c r="D89" s="39">
        <f>IF(WEEKDAY(D$82,2)&gt;5,0,2242.84)</f>
        <v>0</v>
      </c>
      <c r="E89" s="39">
        <f>IF(WEEKDAY(E$82,2)&gt;5,0,1917.6)</f>
        <v>1917.6</v>
      </c>
      <c r="F89" s="39">
        <f>IF(WEEKDAY(F$82,2)&gt;5,0,1790.81)</f>
        <v>1790.81</v>
      </c>
      <c r="G89" s="39">
        <f>IF(WEEKDAY(G$82,2)&gt;5,0,2014.72)</f>
        <v>2014.72</v>
      </c>
      <c r="H89" s="39">
        <f>IF(WEEKDAY(H$82,2)&gt;5,0,1888.69)</f>
        <v>1888.69</v>
      </c>
      <c r="I89" s="39">
        <f>IF(WEEKDAY(I$82,2)&gt;5,0,2183.39)</f>
        <v>2183.39</v>
      </c>
      <c r="J89" s="39">
        <f>IF(WEEKDAY(J$82,2)&gt;5,0,1736.92)</f>
        <v>0</v>
      </c>
      <c r="K89" s="39">
        <f>IF(WEEKDAY(K$82,2)&gt;5,0,1815.58)</f>
        <v>0</v>
      </c>
      <c r="L89" s="39">
        <f>IF(WEEKDAY(L$82,2)&gt;5,0,2191.06)</f>
        <v>2191.06</v>
      </c>
      <c r="M89" s="39">
        <f>IF(WEEKDAY(M$82,2)&gt;5,0,1781.59)</f>
        <v>1781.59</v>
      </c>
      <c r="N89" s="39">
        <f>IF(WEEKDAY(N$82,2)&gt;5,0,1868.56)</f>
        <v>1868.56</v>
      </c>
      <c r="O89" s="39">
        <f>IF(WEEKDAY(O$82,2)&gt;5,0,2109.72)</f>
        <v>2109.7199999999998</v>
      </c>
      <c r="P89" s="39">
        <f>IF(WEEKDAY(P$82,2)&gt;5,0,1917.66)</f>
        <v>1917.66</v>
      </c>
      <c r="Q89" s="39">
        <f>IF(WEEKDAY(Q$82,2)&gt;5,0,2136.02)</f>
        <v>0</v>
      </c>
      <c r="R89" s="39">
        <f>IF(WEEKDAY(R$82,2)&gt;5,0,2204.07)</f>
        <v>0</v>
      </c>
      <c r="S89" s="39">
        <f>IF(WEEKDAY(S$82,2)&gt;5,0,2149.18)</f>
        <v>2149.1799999999998</v>
      </c>
      <c r="T89" s="39">
        <f>IF(WEEKDAY(T$82,2)&gt;5,0,1923.45)</f>
        <v>1923.45</v>
      </c>
      <c r="U89" s="39">
        <f>IF(WEEKDAY(U$82,2)&gt;5,0,2266.75)</f>
        <v>2266.75</v>
      </c>
      <c r="V89" s="39">
        <f>IF(WEEKDAY(V$82,2)&gt;5,0,2170.92)</f>
        <v>2170.92</v>
      </c>
      <c r="W89" s="39">
        <f>IF(WEEKDAY(W$82,2)&gt;5,0,1989.79)</f>
        <v>1989.79</v>
      </c>
      <c r="X89" s="39">
        <f>IF(WEEKDAY(X$82,2)&gt;5,0,2237.91)</f>
        <v>0</v>
      </c>
      <c r="Y89" s="39">
        <f>IF(WEEKDAY(Y$82,2)&gt;5,0,2236.61)</f>
        <v>0</v>
      </c>
      <c r="Z89" s="39">
        <f>IF(WEEKDAY(Z$82,2)&gt;5,0,2222.68)</f>
        <v>2222.6799999999998</v>
      </c>
      <c r="AA89" s="39">
        <f>IF(WEEKDAY(AA$82,2)&gt;5,0,2145)</f>
        <v>2145</v>
      </c>
      <c r="AB89" s="39">
        <f>IF(WEEKDAY(AB$82,2)&gt;5,0,1829.95)</f>
        <v>1829.95</v>
      </c>
      <c r="AC89" s="39">
        <f>IF(WEEKDAY(AC$82,2)&gt;5,0,1986.07)</f>
        <v>1986.07</v>
      </c>
      <c r="AD89" s="39">
        <f>IF(WEEKDAY(AD$82,2)&gt;5,0,2094.36)</f>
        <v>2094.36</v>
      </c>
      <c r="AE89" s="39">
        <f>IF(WEEKDAY(AE$82,2)&gt;5,0,2220.82)</f>
        <v>0</v>
      </c>
      <c r="AF89" s="39">
        <f>IF(WEEKDAY(AF$82,2)&gt;5,0,2200.22)</f>
        <v>0</v>
      </c>
      <c r="AG89" s="39">
        <f>IF(WEEKDAY(AG$82,2)&gt;5,0,1825.64)</f>
        <v>1825.64</v>
      </c>
      <c r="AH89" s="39">
        <f>IF(WEEKDAY(AH$82,2)&gt;5,0,1996.72)</f>
        <v>1996.72</v>
      </c>
      <c r="AI89" s="39">
        <f>IF(WEEKDAY(AI$82,2)&gt;5,0,1721.41)</f>
        <v>1721.41</v>
      </c>
      <c r="AJ89" s="39">
        <f>IF(WEEKDAY(AJ$82,2)&gt;5,0,2113.55)</f>
        <v>2113.5500000000002</v>
      </c>
      <c r="AK89" s="39">
        <f>IF(WEEKDAY(AK$82,2)&gt;5,0,1819.05)</f>
        <v>1819.05</v>
      </c>
      <c r="AL89" s="39">
        <f>IF(WEEKDAY(AL$82,2)&gt;5,0,2044.72)</f>
        <v>0</v>
      </c>
      <c r="AM89" s="39">
        <f>IF(WEEKDAY(AM$82,2)&gt;5,0,1840.82)</f>
        <v>0</v>
      </c>
      <c r="AN89" s="39">
        <f>IF(WEEKDAY(AN$82,2)&gt;5,0,1924.82)</f>
        <v>1924.82</v>
      </c>
      <c r="AO89" s="39">
        <f>IF(WEEKDAY(AO$82,2)&gt;5,0,2081.79)</f>
        <v>2081.79</v>
      </c>
      <c r="AP89" s="39">
        <f>IF(WEEKDAY(AP$82,2)&gt;5,0,2028.4)</f>
        <v>2028.4</v>
      </c>
      <c r="AQ89" s="39">
        <f>IF(WEEKDAY(AQ$82,2)&gt;5,0,1815.4)</f>
        <v>1815.4</v>
      </c>
      <c r="AR89" s="39">
        <f>IF(WEEKDAY(AR$82,2)&gt;5,0,2105.5)</f>
        <v>2105.5</v>
      </c>
      <c r="AS89" s="39">
        <f>IF(WEEKDAY(AS$82,2)&gt;5,0,1715.71)</f>
        <v>0</v>
      </c>
      <c r="AT89" s="39">
        <f>IF(WEEKDAY(AT$82,2)&gt;5,0,2004.33)</f>
        <v>0</v>
      </c>
      <c r="AU89" s="39">
        <f>IF(WEEKDAY(AU$82,2)&gt;5,0,2093.93)</f>
        <v>2093.9299999999998</v>
      </c>
      <c r="AV89" s="39">
        <f>IF(WEEKDAY(AV$82,2)&gt;5,0,1815.79)</f>
        <v>1815.79</v>
      </c>
      <c r="AW89" s="39">
        <f>IF(WEEKDAY(AW$82,2)&gt;5,0,1971.68)</f>
        <v>1971.68</v>
      </c>
      <c r="AX89" s="39">
        <f>IF(WEEKDAY(AX$82,2)&gt;5,0,1971.9)</f>
        <v>1971.9</v>
      </c>
      <c r="AY89" s="39">
        <f>IF(WEEKDAY(AY$82,2)&gt;5,0,2106.19)</f>
        <v>2106.19</v>
      </c>
      <c r="AZ89" s="39">
        <f>IF(WEEKDAY(AZ$82,2)&gt;5,0,2262.74)</f>
        <v>0</v>
      </c>
      <c r="BA89" s="39">
        <f>IF(WEEKDAY(BA$82,2)&gt;5,0,1866.53)</f>
        <v>0</v>
      </c>
      <c r="BB89" s="39">
        <f>IF(WEEKDAY(BB$82,2)&gt;5,0,2106.31)</f>
        <v>2106.31</v>
      </c>
      <c r="BC89" s="39">
        <f>IF(WEEKDAY(BC$82,2)&gt;5,0,2023.58)</f>
        <v>2023.58</v>
      </c>
      <c r="BD89" s="39">
        <f>IF(WEEKDAY(BD$82,2)&gt;5,0,2213.24)</f>
        <v>2213.2399999999998</v>
      </c>
      <c r="BE89" s="39">
        <f>IF(WEEKDAY(BE$82,2)&gt;5,0,2032.55)</f>
        <v>2032.55</v>
      </c>
      <c r="BF89" s="39">
        <f>IF(WEEKDAY(BF$82,2)&gt;5,0,2298.69)</f>
        <v>2298.69</v>
      </c>
      <c r="BG89" s="39">
        <f>IF(WEEKDAY(BG$82,2)&gt;5,0,2012.66)</f>
        <v>0</v>
      </c>
      <c r="BH89" s="39">
        <f>IF(WEEKDAY(BH$82,2)&gt;5,0,2090.2)</f>
        <v>0</v>
      </c>
      <c r="BI89" s="39">
        <f>IF(WEEKDAY(BI$82,2)&gt;5,0,1880.88)</f>
        <v>1880.88</v>
      </c>
      <c r="BJ89" s="39">
        <f>IF(WEEKDAY(BJ$82,2)&gt;5,0,1826.78)</f>
        <v>1826.78</v>
      </c>
      <c r="BK89" s="39">
        <f>IF(WEEKDAY(BK$82,2)&gt;5,0,2272.05)</f>
        <v>2272.0500000000002</v>
      </c>
      <c r="BL89" s="39">
        <f>IF(WEEKDAY(BL$82,2)&gt;5,0,2155.55)</f>
        <v>2155.5500000000002</v>
      </c>
      <c r="BM89" s="39">
        <f>IF(WEEKDAY(BM$82,2)&gt;5,0,1709.41)</f>
        <v>1709.41</v>
      </c>
      <c r="BN89" s="39">
        <f>IF(WEEKDAY(BN$82,2)&gt;5,0,2236.06)</f>
        <v>0</v>
      </c>
      <c r="BO89" s="39">
        <f>IF(WEEKDAY(BO$82,2)&gt;5,0,1860.34)</f>
        <v>0</v>
      </c>
      <c r="BP89" s="39">
        <f>IF(WEEKDAY(BP$82,2)&gt;5,0,1750.31)</f>
        <v>1750.31</v>
      </c>
      <c r="BQ89" s="39">
        <f>IF(WEEKDAY(BQ$82,2)&gt;5,0,1775.16)</f>
        <v>1775.16</v>
      </c>
      <c r="BR89" s="39">
        <f>IF(WEEKDAY(BR$82,2)&gt;5,0,2280.75)</f>
        <v>2280.75</v>
      </c>
      <c r="BS89" s="39">
        <f>IF(WEEKDAY(BS$82,2)&gt;5,0,2251.15)</f>
        <v>2251.15</v>
      </c>
      <c r="BT89" s="39">
        <f>IF(WEEKDAY(BT$82,2)&gt;5,0,1854.58)</f>
        <v>1854.58</v>
      </c>
      <c r="BU89" s="39">
        <f>IF(WEEKDAY(BU$82,2)&gt;5,0,1860.59)</f>
        <v>0</v>
      </c>
      <c r="BV89" s="39">
        <f>IF(WEEKDAY(BV$82,2)&gt;5,0,1995.55)</f>
        <v>0</v>
      </c>
      <c r="BW89" s="39">
        <f>IF(WEEKDAY(BW$82,2)&gt;5,0,1781.76)</f>
        <v>1781.76</v>
      </c>
      <c r="BX89" s="39">
        <f>IF(WEEKDAY(BX$82,2)&gt;5,0,1732.32)</f>
        <v>1732.32</v>
      </c>
      <c r="BY89" s="39">
        <f>IF(WEEKDAY(BY$82,2)&gt;5,0,1906.66)</f>
        <v>1906.66</v>
      </c>
      <c r="BZ89" s="39">
        <f>IF(WEEKDAY(BZ$82,2)&gt;5,0,2233.37)</f>
        <v>2233.37</v>
      </c>
      <c r="CA89" s="39">
        <f>IF(WEEKDAY(CA$82,2)&gt;5,0,2183.65)</f>
        <v>2183.65</v>
      </c>
      <c r="CB89" s="39">
        <f>IF(WEEKDAY(CB$82,2)&gt;5,0,1761.21)</f>
        <v>0</v>
      </c>
      <c r="CC89" s="39">
        <f>IF(WEEKDAY(CC$82,2)&gt;5,0,2185.69)</f>
        <v>0</v>
      </c>
      <c r="CD89" s="39">
        <f>IF(WEEKDAY(CD$82,2)&gt;5,0,1988.31)</f>
        <v>1988.31</v>
      </c>
      <c r="CE89" s="39">
        <f>IF(WEEKDAY(CE$82,2)&gt;5,0,1705.5)</f>
        <v>1705.5</v>
      </c>
      <c r="CF89" s="39">
        <f>IF(WEEKDAY(CF$82,2)&gt;5,0,2061.66)</f>
        <v>2061.66</v>
      </c>
      <c r="CG89" s="39">
        <f>IF(WEEKDAY(CG$82,2)&gt;5,0,1915.84)</f>
        <v>1915.84</v>
      </c>
      <c r="CH89" s="39">
        <f>IF(WEEKDAY(CH$82,2)&gt;5,0,1779.02)</f>
        <v>1779.02</v>
      </c>
      <c r="CI89" s="39">
        <f>IF(WEEKDAY(CI$82,2)&gt;5,0,2282.29)</f>
        <v>0</v>
      </c>
      <c r="CJ89" s="39">
        <f>IF(WEEKDAY(CJ$82,2)&gt;5,0,2136.97)</f>
        <v>0</v>
      </c>
      <c r="CK89" s="39">
        <f>IF(WEEKDAY(CK$82,2)&gt;5,0,1843.13)</f>
        <v>1843.13</v>
      </c>
      <c r="CL89" s="39">
        <f>IF(WEEKDAY(CL$82,2)&gt;5,0,1946.07)</f>
        <v>1946.07</v>
      </c>
      <c r="CM89" s="39">
        <f>IF(WEEKDAY(CM$82,2)&gt;5,0,1966.13)</f>
        <v>1966.13</v>
      </c>
      <c r="CN89" s="39">
        <f>IF(WEEKDAY(CN$82,2)&gt;5,0,2127.47)</f>
        <v>2127.4699999999998</v>
      </c>
      <c r="CO89" s="39">
        <f>IF(WEEKDAY(CO$82,2)&gt;5,0,2051.35)</f>
        <v>2051.35</v>
      </c>
      <c r="CP89" s="39">
        <f>IF(WEEKDAY(CP$82,2)&gt;5,0,1988.71)</f>
        <v>0</v>
      </c>
      <c r="CQ89" s="39">
        <f>IF(WEEKDAY(CQ$82,2)&gt;5,0,2029.55)</f>
        <v>0</v>
      </c>
      <c r="CR89" s="39">
        <f>IF(WEEKDAY(CR$82,2)&gt;5,0,1750.39)</f>
        <v>1750.39</v>
      </c>
      <c r="CS89" s="39">
        <f>IF(WEEKDAY(CS$82,2)&gt;5,0,1871.62)</f>
        <v>1871.62</v>
      </c>
      <c r="CT89" s="39">
        <f>IF(WEEKDAY(CT$82,2)&gt;5,0,2280.84)</f>
        <v>2280.84</v>
      </c>
      <c r="CU89" s="39">
        <f>IF(WEEKDAY(CU$82,2)&gt;5,0,1872.41)</f>
        <v>1872.41</v>
      </c>
      <c r="CV89" s="39">
        <f>IF(WEEKDAY(CV$82,2)&gt;5,0,1797.67)</f>
        <v>1797.67</v>
      </c>
      <c r="CW89" s="39">
        <f>IF(WEEKDAY(CW$82,2)&gt;5,0,1805.39)</f>
        <v>0</v>
      </c>
      <c r="CX89" s="39">
        <f>IF(WEEKDAY(CX$82,2)&gt;5,0,2239.03)</f>
        <v>0</v>
      </c>
      <c r="CY89" s="39">
        <f>IF(WEEKDAY(CY$82,2)&gt;5,0,1874.04)</f>
        <v>1874.04</v>
      </c>
      <c r="CZ89" s="39">
        <f>IF(WEEKDAY(CZ$82,2)&gt;5,0,2084.4)</f>
        <v>2084.4</v>
      </c>
      <c r="DA89" s="39">
        <f>IF(WEEKDAY(DA$82,2)&gt;5,0,2193.31)</f>
        <v>2193.31</v>
      </c>
      <c r="DB89" s="39">
        <f>IF(WEEKDAY(DB$82,2)&gt;5,0,2188.59)</f>
        <v>2188.59</v>
      </c>
      <c r="DC89" s="39">
        <f>IF(WEEKDAY(DC$82,2)&gt;5,0,1945.28)</f>
        <v>1945.28</v>
      </c>
      <c r="DD89" s="39">
        <f>IF(WEEKDAY(DD$82,2)&gt;5,0,2046.28)</f>
        <v>0</v>
      </c>
      <c r="DE89" s="39">
        <f>IF(WEEKDAY(DE$82,2)&gt;5,0,1954.93)</f>
        <v>0</v>
      </c>
      <c r="DF89" s="39">
        <f>IF(WEEKDAY(DF$82,2)&gt;5,0,1981.2)</f>
        <v>1981.2</v>
      </c>
      <c r="DG89" s="39">
        <f>IF(WEEKDAY(DG$82,2)&gt;5,0,1749.43)</f>
        <v>1749.43</v>
      </c>
      <c r="DH89" s="39">
        <f>IF(WEEKDAY(DH$82,2)&gt;5,0,2039.14)</f>
        <v>2039.14</v>
      </c>
      <c r="DI89" s="39">
        <f>IF(WEEKDAY(DI$82,2)&gt;5,0,1878.73)</f>
        <v>1878.73</v>
      </c>
      <c r="DJ89" s="39">
        <f>IF(WEEKDAY(DJ$82,2)&gt;5,0,2164.08)</f>
        <v>2164.08</v>
      </c>
      <c r="DK89" s="39">
        <f>IF(WEEKDAY(DK$82,2)&gt;5,0,1742.64)</f>
        <v>0</v>
      </c>
      <c r="DL89" s="39">
        <f>IF(WEEKDAY(DL$82,2)&gt;5,0,2254.28)</f>
        <v>0</v>
      </c>
      <c r="DM89" s="39">
        <f>IF(WEEKDAY(DM$82,2)&gt;5,0,2131.68)</f>
        <v>2131.6799999999998</v>
      </c>
      <c r="DN89" s="39">
        <f>IF(WEEKDAY(DN$82,2)&gt;5,0,1751.62)</f>
        <v>1751.62</v>
      </c>
      <c r="DO89" s="39">
        <f>IF(WEEKDAY(DO$82,2)&gt;5,0,2159.39)</f>
        <v>2159.39</v>
      </c>
      <c r="DP89" s="39">
        <f>IF(WEEKDAY(DP$82,2)&gt;5,0,2027.1)</f>
        <v>2027.1</v>
      </c>
      <c r="DQ89" s="39">
        <f>IF(WEEKDAY(DQ$82,2)&gt;5,0,1718.43)</f>
        <v>1718.43</v>
      </c>
      <c r="DR89" s="39">
        <f>IF(WEEKDAY(DR$82,2)&gt;5,0,2173.49)</f>
        <v>0</v>
      </c>
      <c r="DS89" s="39">
        <f>IF(WEEKDAY(DS$82,2)&gt;5,0,2107.43)</f>
        <v>0</v>
      </c>
      <c r="DT89" s="39">
        <f>IF(WEEKDAY(DT$82,2)&gt;5,0,2040.71)</f>
        <v>2040.71</v>
      </c>
      <c r="DU89" s="39">
        <f>IF(WEEKDAY(DU$82,2)&gt;5,0,1875.65)</f>
        <v>1875.65</v>
      </c>
      <c r="DV89" s="39">
        <f>IF(WEEKDAY(DV$82,2)&gt;5,0,1954.81)</f>
        <v>1954.81</v>
      </c>
      <c r="DW89" s="39">
        <f>IF(WEEKDAY(DW$82,2)&gt;5,0,2104.49)</f>
        <v>2104.4899999999998</v>
      </c>
      <c r="DX89" s="39">
        <f>IF(WEEKDAY(DX$82,2)&gt;5,0,2124.58)</f>
        <v>2124.58</v>
      </c>
      <c r="DY89" s="39">
        <f>IF(WEEKDAY(DY$82,2)&gt;5,0,1748.05)</f>
        <v>0</v>
      </c>
      <c r="DZ89" s="39">
        <f>IF(WEEKDAY(DZ$82,2)&gt;5,0,2200.8)</f>
        <v>0</v>
      </c>
      <c r="EA89" s="39">
        <f>IF(WEEKDAY(EA$82,2)&gt;5,0,1938.45)</f>
        <v>1938.45</v>
      </c>
      <c r="EB89" s="39">
        <f>IF(WEEKDAY(EB$82,2)&gt;5,0,2073.31)</f>
        <v>2073.31</v>
      </c>
      <c r="EC89" s="39">
        <f>IF(WEEKDAY(EC$82,2)&gt;5,0,2039.17)</f>
        <v>2039.17</v>
      </c>
      <c r="ED89" s="39">
        <f>IF(WEEKDAY(ED$82,2)&gt;5,0,1807.46)</f>
        <v>1807.46</v>
      </c>
      <c r="EE89" s="39">
        <f>IF(WEEKDAY(EE$82,2)&gt;5,0,2281.52)</f>
        <v>2281.52</v>
      </c>
      <c r="EF89" s="39">
        <f>IF(WEEKDAY(EF$82,2)&gt;5,0,2046.98)</f>
        <v>0</v>
      </c>
      <c r="EG89" s="39">
        <f>IF(WEEKDAY(EG$82,2)&gt;5,0,2013.95)</f>
        <v>0</v>
      </c>
      <c r="EH89" s="39">
        <f>IF(WEEKDAY(EH$82,2)&gt;5,0,1948.91)</f>
        <v>1948.91</v>
      </c>
      <c r="EI89" s="39">
        <f>IF(WEEKDAY(EI$82,2)&gt;5,0,2059.38)</f>
        <v>2059.38</v>
      </c>
      <c r="EJ89" s="39">
        <f>IF(WEEKDAY(EJ$82,2)&gt;5,0,1944.92)</f>
        <v>1944.92</v>
      </c>
      <c r="EK89" s="39">
        <f>IF(WEEKDAY(EK$82,2)&gt;5,0,1914.86)</f>
        <v>1914.86</v>
      </c>
      <c r="EL89" s="39">
        <f>IF(WEEKDAY(EL$82,2)&gt;5,0,2087.56)</f>
        <v>2087.56</v>
      </c>
      <c r="EM89" s="39">
        <f>IF(WEEKDAY(EM$82,2)&gt;5,0,2092.76)</f>
        <v>0</v>
      </c>
      <c r="EN89" s="39">
        <f>IF(WEEKDAY(EN$82,2)&gt;5,0,1724.73)</f>
        <v>0</v>
      </c>
      <c r="EO89" s="39">
        <f>IF(WEEKDAY(EO$82,2)&gt;5,0,1993.43)</f>
        <v>1993.43</v>
      </c>
      <c r="EP89" s="39">
        <f>IF(WEEKDAY(EP$82,2)&gt;5,0,1975.08)</f>
        <v>1975.08</v>
      </c>
      <c r="EQ89" s="39">
        <f>IF(WEEKDAY(EQ$82,2)&gt;5,0,2121.11)</f>
        <v>2121.11</v>
      </c>
      <c r="ER89" s="39">
        <f>IF(WEEKDAY(ER$82,2)&gt;5,0,2217.68)</f>
        <v>2217.6799999999998</v>
      </c>
      <c r="ES89" s="39">
        <f>IF(WEEKDAY(ES$82,2)&gt;5,0,2128.33)</f>
        <v>2128.33</v>
      </c>
      <c r="ET89" s="39">
        <f>IF(WEEKDAY(ET$82,2)&gt;5,0,2257.04)</f>
        <v>0</v>
      </c>
      <c r="EU89" s="39">
        <f>IF(WEEKDAY(EU$82,2)&gt;5,0,2247.66)</f>
        <v>0</v>
      </c>
      <c r="EV89" s="39">
        <f>IF(WEEKDAY(EV$82,2)&gt;5,0,1981.92)</f>
        <v>1981.92</v>
      </c>
      <c r="EW89" s="39">
        <f>IF(WEEKDAY(EW$82,2)&gt;5,0,1822.85)</f>
        <v>1822.85</v>
      </c>
      <c r="EX89" s="39">
        <f>IF(WEEKDAY(EX$82,2)&gt;5,0,2292.13)</f>
        <v>2292.13</v>
      </c>
      <c r="EY89" s="39">
        <f>IF(WEEKDAY(EY$82,2)&gt;5,0,2250.57)</f>
        <v>2250.5700000000002</v>
      </c>
      <c r="EZ89" s="39">
        <f>IF(WEEKDAY(EZ$82,2)&gt;5,0,2251.67)</f>
        <v>2251.67</v>
      </c>
      <c r="FA89" s="39">
        <f>IF(WEEKDAY(FA$82,2)&gt;5,0,1847.58)</f>
        <v>0</v>
      </c>
      <c r="FB89" s="39">
        <f>IF(WEEKDAY(FB$82,2)&gt;5,0,1943.43)</f>
        <v>0</v>
      </c>
      <c r="FC89" s="39">
        <f>IF(WEEKDAY(FC$82,2)&gt;5,0,1998.51)</f>
        <v>1998.51</v>
      </c>
      <c r="FD89" s="39">
        <f>IF(WEEKDAY(FD$82,2)&gt;5,0,2269.31)</f>
        <v>2269.31</v>
      </c>
      <c r="FE89" s="39">
        <f>IF(WEEKDAY(FE$82,2)&gt;5,0,1981.17)</f>
        <v>1981.17</v>
      </c>
      <c r="FF89" s="39">
        <f>IF(WEEKDAY(FF$82,2)&gt;5,0,2084.55)</f>
        <v>2084.5500000000002</v>
      </c>
      <c r="FG89" s="39">
        <f>IF(WEEKDAY(FG$82,2)&gt;5,0,2149.38)</f>
        <v>2149.38</v>
      </c>
      <c r="FH89" s="39">
        <f>IF(WEEKDAY(FH$82,2)&gt;5,0,1737.42)</f>
        <v>0</v>
      </c>
      <c r="FI89" s="39">
        <f>IF(WEEKDAY(FI$82,2)&gt;5,0,2184.14)</f>
        <v>0</v>
      </c>
      <c r="FJ89" s="39">
        <f>IF(WEEKDAY(FJ$82,2)&gt;5,0,2042.63)</f>
        <v>2042.63</v>
      </c>
      <c r="FK89" s="39">
        <f>IF(WEEKDAY(FK$82,2)&gt;5,0,2136.44)</f>
        <v>2136.44</v>
      </c>
      <c r="FL89" s="39">
        <f>IF(WEEKDAY(FL$82,2)&gt;5,0,2235.26)</f>
        <v>2235.2600000000002</v>
      </c>
      <c r="FM89" s="39">
        <f>IF(WEEKDAY(FM$82,2)&gt;5,0,1912.84)</f>
        <v>1912.84</v>
      </c>
      <c r="FN89" s="39">
        <f>IF(WEEKDAY(FN$82,2)&gt;5,0,2240.02)</f>
        <v>2240.02</v>
      </c>
      <c r="FO89" s="39">
        <f>IF(WEEKDAY(FO$82,2)&gt;5,0,1943.06)</f>
        <v>0</v>
      </c>
      <c r="FP89" s="39">
        <f>IF(WEEKDAY(FP$82,2)&gt;5,0,2101.43)</f>
        <v>0</v>
      </c>
      <c r="FQ89" s="39">
        <f>IF(WEEKDAY(FQ$82,2)&gt;5,0,1924.1)</f>
        <v>1924.1</v>
      </c>
      <c r="FR89" s="39">
        <f>IF(WEEKDAY(FR$82,2)&gt;5,0,2073.16)</f>
        <v>2073.16</v>
      </c>
      <c r="FS89" s="39">
        <f>IF(WEEKDAY(FS$82,2)&gt;5,0,1818.92)</f>
        <v>1818.92</v>
      </c>
      <c r="FT89" s="39">
        <f>IF(WEEKDAY(FT$82,2)&gt;5,0,1971.22)</f>
        <v>1971.22</v>
      </c>
      <c r="FU89" s="39">
        <f>IF(WEEKDAY(FU$82,2)&gt;5,0,2287.16)</f>
        <v>2287.16</v>
      </c>
      <c r="FV89" s="39">
        <f>IF(WEEKDAY(FV$82,2)&gt;5,0,1738.07)</f>
        <v>0</v>
      </c>
      <c r="FW89" s="39">
        <f>IF(WEEKDAY(FW$82,2)&gt;5,0,2201.97)</f>
        <v>0</v>
      </c>
      <c r="FX89" s="39">
        <f>IF(WEEKDAY(FX$82,2)&gt;5,0,2182.17)</f>
        <v>2182.17</v>
      </c>
      <c r="FY89" s="39">
        <f>IF(WEEKDAY(FY$82,2)&gt;5,0,1760.89)</f>
        <v>1760.89</v>
      </c>
      <c r="FZ89" s="39">
        <f>IF(WEEKDAY(FZ$82,2)&gt;5,0,2215.81)</f>
        <v>2215.81</v>
      </c>
      <c r="GA89" s="39">
        <f>IF(WEEKDAY(GA$82,2)&gt;5,0,1908.12)</f>
        <v>1908.12</v>
      </c>
      <c r="GB89" s="39">
        <f>IF(WEEKDAY(GB$82,2)&gt;5,0,1760.72)</f>
        <v>1760.72</v>
      </c>
      <c r="GC89" s="39">
        <f>IF(WEEKDAY(GC$82,2)&gt;5,0,1931.68)</f>
        <v>0</v>
      </c>
      <c r="GD89" s="39">
        <f>IF(WEEKDAY(GD$82,2)&gt;5,0,1865.62)</f>
        <v>0</v>
      </c>
      <c r="GE89" s="39">
        <f>IF(WEEKDAY(GE$82,2)&gt;5,0,2095.63)</f>
        <v>2095.63</v>
      </c>
      <c r="GF89" s="39">
        <f>IF(WEEKDAY(GF$82,2)&gt;5,0,2177.9)</f>
        <v>2177.9</v>
      </c>
      <c r="GG89" s="39">
        <f>IF(WEEKDAY(GG$82,2)&gt;5,0,2149.99)</f>
        <v>2149.9899999999998</v>
      </c>
      <c r="GH89" s="39">
        <f>IF(WEEKDAY(GH$82,2)&gt;5,0,2174.69)</f>
        <v>2174.69</v>
      </c>
      <c r="GI89" s="39">
        <f>IF(WEEKDAY(GI$82,2)&gt;5,0,1996.44)</f>
        <v>1996.44</v>
      </c>
      <c r="GJ89" s="39">
        <f>IF(WEEKDAY(GJ$82,2)&gt;5,0,2209.68)</f>
        <v>0</v>
      </c>
      <c r="GK89" s="39">
        <f>IF(WEEKDAY(GK$82,2)&gt;5,0,2244.32)</f>
        <v>0</v>
      </c>
      <c r="GL89" s="39">
        <f>IF(WEEKDAY(GL$82,2)&gt;5,0,1728.17)</f>
        <v>1728.17</v>
      </c>
      <c r="GM89" s="39">
        <f>IF(WEEKDAY(GM$82,2)&gt;5,0,1944.55)</f>
        <v>1944.55</v>
      </c>
      <c r="GN89" s="39">
        <f>IF(WEEKDAY(GN$82,2)&gt;5,0,2059.81)</f>
        <v>2059.81</v>
      </c>
      <c r="GO89" s="39">
        <f>IF(WEEKDAY(GO$82,2)&gt;5,0,1942.42)</f>
        <v>1942.42</v>
      </c>
      <c r="GP89" s="39">
        <f>IF(WEEKDAY(GP$82,2)&gt;5,0,1955.3)</f>
        <v>1955.3</v>
      </c>
      <c r="GQ89" s="39">
        <f>IF(WEEKDAY(GQ$82,2)&gt;5,0,2215.37)</f>
        <v>0</v>
      </c>
      <c r="GR89" s="39">
        <f>IF(WEEKDAY(GR$82,2)&gt;5,0,2134.1)</f>
        <v>0</v>
      </c>
      <c r="GS89" s="39">
        <f>IF(WEEKDAY(GS$82,2)&gt;5,0,1933.49)</f>
        <v>1933.49</v>
      </c>
      <c r="GT89" s="39">
        <f>IF(WEEKDAY(GT$82,2)&gt;5,0,2181.61)</f>
        <v>2181.61</v>
      </c>
      <c r="GU89" s="39">
        <f>IF(WEEKDAY(GU$82,2)&gt;5,0,1948.11)</f>
        <v>1948.11</v>
      </c>
      <c r="GV89" s="39">
        <f>IF(WEEKDAY(GV$82,2)&gt;5,0,1864.68)</f>
        <v>1864.68</v>
      </c>
      <c r="GW89" s="39">
        <f>IF(WEEKDAY(GW$82,2)&gt;5,0,1742.44)</f>
        <v>1742.44</v>
      </c>
      <c r="GX89" s="39">
        <f>IF(WEEKDAY(GX$82,2)&gt;5,0,1730.92)</f>
        <v>0</v>
      </c>
      <c r="GY89" s="39">
        <f>IF(WEEKDAY(GY$82,2)&gt;5,0,1738.31)</f>
        <v>0</v>
      </c>
      <c r="GZ89" s="39">
        <f>IF(WEEKDAY(GZ$82,2)&gt;5,0,2083.89)</f>
        <v>2083.89</v>
      </c>
      <c r="HA89" s="39">
        <f>IF(WEEKDAY(HA$82,2)&gt;5,0,2179.89)</f>
        <v>2179.89</v>
      </c>
      <c r="HB89" s="39">
        <f>IF(WEEKDAY(HB$82,2)&gt;5,0,2036.92)</f>
        <v>2036.92</v>
      </c>
      <c r="HC89" s="39">
        <f>IF(WEEKDAY(HC$82,2)&gt;5,0,2128.7)</f>
        <v>2128.6999999999998</v>
      </c>
      <c r="HD89" s="39">
        <f>IF(WEEKDAY(HD$82,2)&gt;5,0,2022.93)</f>
        <v>2022.93</v>
      </c>
      <c r="HE89" s="39">
        <f>IF(WEEKDAY(HE$82,2)&gt;5,0,1885.23)</f>
        <v>0</v>
      </c>
      <c r="HF89" s="39">
        <f>IF(WEEKDAY(HF$82,2)&gt;5,0,1992.96)</f>
        <v>0</v>
      </c>
      <c r="HG89" s="39">
        <f>IF(WEEKDAY(HG$82,2)&gt;5,0,2039.61)</f>
        <v>2039.61</v>
      </c>
      <c r="HH89" s="39">
        <f>IF(WEEKDAY(HH$82,2)&gt;5,0,1790.4)</f>
        <v>1790.4</v>
      </c>
      <c r="HI89" s="39">
        <f>IF(WEEKDAY(HI$82,2)&gt;5,0,1875.09)</f>
        <v>1875.09</v>
      </c>
      <c r="HJ89" s="39">
        <f>IF(WEEKDAY(HJ$82,2)&gt;5,0,2071.84)</f>
        <v>2071.84</v>
      </c>
      <c r="HK89" s="39">
        <f>IF(WEEKDAY(HK$82,2)&gt;5,0,2238.54)</f>
        <v>2238.54</v>
      </c>
      <c r="HL89" s="39">
        <f>IF(WEEKDAY(HL$82,2)&gt;5,0,2106.94)</f>
        <v>0</v>
      </c>
      <c r="HM89" s="39">
        <f>IF(WEEKDAY(HM$82,2)&gt;5,0,2249.07)</f>
        <v>0</v>
      </c>
      <c r="HN89" s="39">
        <f>IF(WEEKDAY(HN$82,2)&gt;5,0,2198.11)</f>
        <v>2198.11</v>
      </c>
      <c r="HO89" s="39">
        <f>IF(WEEKDAY(HO$82,2)&gt;5,0,1748.47)</f>
        <v>1748.47</v>
      </c>
      <c r="HP89" s="39">
        <f>IF(WEEKDAY(HP$82,2)&gt;5,0,2242.67)</f>
        <v>2242.67</v>
      </c>
      <c r="HQ89" s="39">
        <f>IF(WEEKDAY(HQ$82,2)&gt;5,0,2299.18)</f>
        <v>2299.1799999999998</v>
      </c>
      <c r="HR89" s="39">
        <f>IF(WEEKDAY(HR$82,2)&gt;5,0,2295.49)</f>
        <v>2295.4899999999998</v>
      </c>
      <c r="HS89" s="39">
        <f>IF(WEEKDAY(HS$82,2)&gt;5,0,2168.97)</f>
        <v>0</v>
      </c>
      <c r="HT89" s="39">
        <f>IF(WEEKDAY(HT$82,2)&gt;5,0,1998.8)</f>
        <v>0</v>
      </c>
      <c r="HU89" s="39">
        <f>IF(WEEKDAY(HU$82,2)&gt;5,0,2268.14)</f>
        <v>2268.14</v>
      </c>
      <c r="HV89" s="39">
        <f>IF(WEEKDAY(HV$82,2)&gt;5,0,2192.11)</f>
        <v>2192.11</v>
      </c>
      <c r="HW89" s="39">
        <f>IF(WEEKDAY(HW$82,2)&gt;5,0,1845.8)</f>
        <v>1845.8</v>
      </c>
      <c r="HX89" s="39">
        <f>IF(WEEKDAY(HX$82,2)&gt;5,0,2033.19)</f>
        <v>2033.19</v>
      </c>
      <c r="HY89" s="39">
        <f>IF(WEEKDAY(HY$82,2)&gt;5,0,2292.48)</f>
        <v>2292.48</v>
      </c>
      <c r="HZ89" s="39">
        <f>IF(WEEKDAY(HZ$82,2)&gt;5,0,2092.79)</f>
        <v>0</v>
      </c>
      <c r="IA89" s="39">
        <f>IF(WEEKDAY(IA$82,2)&gt;5,0,1757.17)</f>
        <v>0</v>
      </c>
      <c r="IB89" s="39">
        <f>IF(WEEKDAY(IB$82,2)&gt;5,0,2073.03)</f>
        <v>2073.0300000000002</v>
      </c>
      <c r="IC89" s="39">
        <f>IF(WEEKDAY(IC$82,2)&gt;5,0,1738.36)</f>
        <v>1738.36</v>
      </c>
      <c r="ID89" s="39">
        <f>IF(WEEKDAY(ID$82,2)&gt;5,0,1746.06)</f>
        <v>1746.06</v>
      </c>
      <c r="IE89" s="39">
        <f>IF(WEEKDAY(IE$82,2)&gt;5,0,1799.94)</f>
        <v>1799.94</v>
      </c>
      <c r="IF89" s="39">
        <f>IF(WEEKDAY(IF$82,2)&gt;5,0,2251.9)</f>
        <v>2251.9</v>
      </c>
      <c r="IG89" s="39">
        <f>IF(WEEKDAY(IG$82,2)&gt;5,0,1813.39)</f>
        <v>0</v>
      </c>
      <c r="IH89" s="39">
        <f>IF(WEEKDAY(IH$82,2)&gt;5,0,1769.73)</f>
        <v>0</v>
      </c>
      <c r="II89" s="39">
        <f>IF(WEEKDAY(II$82,2)&gt;5,0,1958.11)</f>
        <v>1958.11</v>
      </c>
      <c r="IJ89" s="39">
        <f>IF(WEEKDAY(IJ$82,2)&gt;5,0,2075.47)</f>
        <v>2075.4699999999998</v>
      </c>
      <c r="IK89" s="39">
        <f>IF(WEEKDAY(IK$82,2)&gt;5,0,1798.7)</f>
        <v>1798.7</v>
      </c>
      <c r="IL89" s="39">
        <f>IF(WEEKDAY(IL$82,2)&gt;5,0,2243.85)</f>
        <v>2243.85</v>
      </c>
    </row>
    <row r="90" spans="1:246" x14ac:dyDescent="0.3">
      <c r="A90" t="s">
        <v>89</v>
      </c>
      <c r="B90" s="39">
        <f>IF(WEEKDAY(B$82,2)&gt;5,0,571.01)</f>
        <v>571.01</v>
      </c>
      <c r="C90" s="39">
        <f>IF(WEEKDAY(C$82,2)&gt;5,0,615.17)</f>
        <v>0</v>
      </c>
      <c r="D90" s="39">
        <f>IF(WEEKDAY(D$82,2)&gt;5,0,670.57)</f>
        <v>0</v>
      </c>
      <c r="E90" s="39">
        <f>IF(WEEKDAY(E$82,2)&gt;5,0,641.29)</f>
        <v>641.29</v>
      </c>
      <c r="F90" s="39">
        <f>IF(WEEKDAY(F$82,2)&gt;5,0,561.18)</f>
        <v>561.17999999999995</v>
      </c>
      <c r="G90" s="39">
        <f>IF(WEEKDAY(G$82,2)&gt;5,0,649.58)</f>
        <v>649.58000000000004</v>
      </c>
      <c r="H90" s="39">
        <f>IF(WEEKDAY(H$82,2)&gt;5,0,610.54)</f>
        <v>610.54</v>
      </c>
      <c r="I90" s="39">
        <f>IF(WEEKDAY(I$82,2)&gt;5,0,605.08)</f>
        <v>605.08000000000004</v>
      </c>
      <c r="J90" s="39">
        <f>IF(WEEKDAY(J$82,2)&gt;5,0,555.83)</f>
        <v>0</v>
      </c>
      <c r="K90" s="39">
        <f>IF(WEEKDAY(K$82,2)&gt;5,0,606.46)</f>
        <v>0</v>
      </c>
      <c r="L90" s="39">
        <f>IF(WEEKDAY(L$82,2)&gt;5,0,544.23)</f>
        <v>544.23</v>
      </c>
      <c r="M90" s="39">
        <f>IF(WEEKDAY(M$82,2)&gt;5,0,530.37)</f>
        <v>530.37</v>
      </c>
      <c r="N90" s="39">
        <f>IF(WEEKDAY(N$82,2)&gt;5,0,687.47)</f>
        <v>687.47</v>
      </c>
      <c r="O90" s="39">
        <f>IF(WEEKDAY(O$82,2)&gt;5,0,652.39)</f>
        <v>652.39</v>
      </c>
      <c r="P90" s="39">
        <f>IF(WEEKDAY(P$82,2)&gt;5,0,544.26)</f>
        <v>544.26</v>
      </c>
      <c r="Q90" s="39">
        <f>IF(WEEKDAY(Q$82,2)&gt;5,0,661.32)</f>
        <v>0</v>
      </c>
      <c r="R90" s="39">
        <f>IF(WEEKDAY(R$82,2)&gt;5,0,663.81)</f>
        <v>0</v>
      </c>
      <c r="S90" s="39">
        <f>IF(WEEKDAY(S$82,2)&gt;5,0,597.65)</f>
        <v>597.65</v>
      </c>
      <c r="T90" s="39">
        <f>IF(WEEKDAY(T$82,2)&gt;5,0,510.62)</f>
        <v>510.62</v>
      </c>
      <c r="U90" s="39">
        <f>IF(WEEKDAY(U$82,2)&gt;5,0,642.94)</f>
        <v>642.94000000000005</v>
      </c>
      <c r="V90" s="39">
        <f>IF(WEEKDAY(V$82,2)&gt;5,0,533.77)</f>
        <v>533.77</v>
      </c>
      <c r="W90" s="39">
        <f>IF(WEEKDAY(W$82,2)&gt;5,0,580.12)</f>
        <v>580.12</v>
      </c>
      <c r="X90" s="39">
        <f>IF(WEEKDAY(X$82,2)&gt;5,0,528.17)</f>
        <v>0</v>
      </c>
      <c r="Y90" s="39">
        <f>IF(WEEKDAY(Y$82,2)&gt;5,0,578.46)</f>
        <v>0</v>
      </c>
      <c r="Z90" s="39">
        <f>IF(WEEKDAY(Z$82,2)&gt;5,0,536.43)</f>
        <v>536.42999999999995</v>
      </c>
      <c r="AA90" s="39">
        <f>IF(WEEKDAY(AA$82,2)&gt;5,0,536.72)</f>
        <v>536.72</v>
      </c>
      <c r="AB90" s="39">
        <f>IF(WEEKDAY(AB$82,2)&gt;5,0,573.17)</f>
        <v>573.16999999999996</v>
      </c>
      <c r="AC90" s="39">
        <f>IF(WEEKDAY(AC$82,2)&gt;5,0,560.72)</f>
        <v>560.72</v>
      </c>
      <c r="AD90" s="39">
        <f>IF(WEEKDAY(AD$82,2)&gt;5,0,608.39)</f>
        <v>608.39</v>
      </c>
      <c r="AE90" s="39">
        <f>IF(WEEKDAY(AE$82,2)&gt;5,0,557.08)</f>
        <v>0</v>
      </c>
      <c r="AF90" s="39">
        <f>IF(WEEKDAY(AF$82,2)&gt;5,0,673.95)</f>
        <v>0</v>
      </c>
      <c r="AG90" s="39">
        <f>IF(WEEKDAY(AG$82,2)&gt;5,0,680.26)</f>
        <v>680.26</v>
      </c>
      <c r="AH90" s="39">
        <f>IF(WEEKDAY(AH$82,2)&gt;5,0,628.49)</f>
        <v>628.49</v>
      </c>
      <c r="AI90" s="39">
        <f>IF(WEEKDAY(AI$82,2)&gt;5,0,511.63)</f>
        <v>511.63</v>
      </c>
      <c r="AJ90" s="39">
        <f>IF(WEEKDAY(AJ$82,2)&gt;5,0,629.55)</f>
        <v>629.54999999999995</v>
      </c>
      <c r="AK90" s="39">
        <f>IF(WEEKDAY(AK$82,2)&gt;5,0,685.37)</f>
        <v>685.37</v>
      </c>
      <c r="AL90" s="39">
        <f>IF(WEEKDAY(AL$82,2)&gt;5,0,684.51)</f>
        <v>0</v>
      </c>
      <c r="AM90" s="39">
        <f>IF(WEEKDAY(AM$82,2)&gt;5,0,538.27)</f>
        <v>0</v>
      </c>
      <c r="AN90" s="39">
        <f>IF(WEEKDAY(AN$82,2)&gt;5,0,671.19)</f>
        <v>671.19</v>
      </c>
      <c r="AO90" s="39">
        <f>IF(WEEKDAY(AO$82,2)&gt;5,0,678.54)</f>
        <v>678.54</v>
      </c>
      <c r="AP90" s="39">
        <f>IF(WEEKDAY(AP$82,2)&gt;5,0,689.29)</f>
        <v>689.29</v>
      </c>
      <c r="AQ90" s="39">
        <f>IF(WEEKDAY(AQ$82,2)&gt;5,0,516.18)</f>
        <v>516.17999999999995</v>
      </c>
      <c r="AR90" s="39">
        <f>IF(WEEKDAY(AR$82,2)&gt;5,0,624.09)</f>
        <v>624.09</v>
      </c>
      <c r="AS90" s="39">
        <f>IF(WEEKDAY(AS$82,2)&gt;5,0,591.18)</f>
        <v>0</v>
      </c>
      <c r="AT90" s="39">
        <f>IF(WEEKDAY(AT$82,2)&gt;5,0,675.64)</f>
        <v>0</v>
      </c>
      <c r="AU90" s="39">
        <f>IF(WEEKDAY(AU$82,2)&gt;5,0,561.4)</f>
        <v>561.4</v>
      </c>
      <c r="AV90" s="39">
        <f>IF(WEEKDAY(AV$82,2)&gt;5,0,682.31)</f>
        <v>682.31</v>
      </c>
      <c r="AW90" s="39">
        <f>IF(WEEKDAY(AW$82,2)&gt;5,0,577.37)</f>
        <v>577.37</v>
      </c>
      <c r="AX90" s="39">
        <f>IF(WEEKDAY(AX$82,2)&gt;5,0,584.3)</f>
        <v>584.29999999999995</v>
      </c>
      <c r="AY90" s="39">
        <f>IF(WEEKDAY(AY$82,2)&gt;5,0,520.99)</f>
        <v>520.99</v>
      </c>
      <c r="AZ90" s="39">
        <f>IF(WEEKDAY(AZ$82,2)&gt;5,0,511)</f>
        <v>0</v>
      </c>
      <c r="BA90" s="39">
        <f>IF(WEEKDAY(BA$82,2)&gt;5,0,649.18)</f>
        <v>0</v>
      </c>
      <c r="BB90" s="39">
        <f>IF(WEEKDAY(BB$82,2)&gt;5,0,662.94)</f>
        <v>662.94</v>
      </c>
      <c r="BC90" s="39">
        <f>IF(WEEKDAY(BC$82,2)&gt;5,0,619.04)</f>
        <v>619.04</v>
      </c>
      <c r="BD90" s="39">
        <f>IF(WEEKDAY(BD$82,2)&gt;5,0,629.87)</f>
        <v>629.87</v>
      </c>
      <c r="BE90" s="39">
        <f>IF(WEEKDAY(BE$82,2)&gt;5,0,521.01)</f>
        <v>521.01</v>
      </c>
      <c r="BF90" s="39">
        <f>IF(WEEKDAY(BF$82,2)&gt;5,0,514.13)</f>
        <v>514.13</v>
      </c>
      <c r="BG90" s="39">
        <f>IF(WEEKDAY(BG$82,2)&gt;5,0,574.63)</f>
        <v>0</v>
      </c>
      <c r="BH90" s="39">
        <f>IF(WEEKDAY(BH$82,2)&gt;5,0,624.15)</f>
        <v>0</v>
      </c>
      <c r="BI90" s="39">
        <f>IF(WEEKDAY(BI$82,2)&gt;5,0,595.92)</f>
        <v>595.91999999999996</v>
      </c>
      <c r="BJ90" s="39">
        <f>IF(WEEKDAY(BJ$82,2)&gt;5,0,537.34)</f>
        <v>537.34</v>
      </c>
      <c r="BK90" s="39">
        <f>IF(WEEKDAY(BK$82,2)&gt;5,0,574.57)</f>
        <v>574.57000000000005</v>
      </c>
      <c r="BL90" s="39">
        <f>IF(WEEKDAY(BL$82,2)&gt;5,0,586.15)</f>
        <v>586.15</v>
      </c>
      <c r="BM90" s="39">
        <f>IF(WEEKDAY(BM$82,2)&gt;5,0,521.44)</f>
        <v>521.44000000000005</v>
      </c>
      <c r="BN90" s="39">
        <f>IF(WEEKDAY(BN$82,2)&gt;5,0,677.81)</f>
        <v>0</v>
      </c>
      <c r="BO90" s="39">
        <f>IF(WEEKDAY(BO$82,2)&gt;5,0,644.55)</f>
        <v>0</v>
      </c>
      <c r="BP90" s="39">
        <f>IF(WEEKDAY(BP$82,2)&gt;5,0,623.52)</f>
        <v>623.52</v>
      </c>
      <c r="BQ90" s="39">
        <f>IF(WEEKDAY(BQ$82,2)&gt;5,0,540.54)</f>
        <v>540.54</v>
      </c>
      <c r="BR90" s="39">
        <f>IF(WEEKDAY(BR$82,2)&gt;5,0,635.15)</f>
        <v>635.15</v>
      </c>
      <c r="BS90" s="39">
        <f>IF(WEEKDAY(BS$82,2)&gt;5,0,599.04)</f>
        <v>599.04</v>
      </c>
      <c r="BT90" s="39">
        <f>IF(WEEKDAY(BT$82,2)&gt;5,0,648.55)</f>
        <v>648.54999999999995</v>
      </c>
      <c r="BU90" s="39">
        <f>IF(WEEKDAY(BU$82,2)&gt;5,0,671.13)</f>
        <v>0</v>
      </c>
      <c r="BV90" s="39">
        <f>IF(WEEKDAY(BV$82,2)&gt;5,0,684.07)</f>
        <v>0</v>
      </c>
      <c r="BW90" s="39">
        <f>IF(WEEKDAY(BW$82,2)&gt;5,0,644.5)</f>
        <v>644.5</v>
      </c>
      <c r="BX90" s="39">
        <f>IF(WEEKDAY(BX$82,2)&gt;5,0,535.64)</f>
        <v>535.64</v>
      </c>
      <c r="BY90" s="39">
        <f>IF(WEEKDAY(BY$82,2)&gt;5,0,585.4)</f>
        <v>585.4</v>
      </c>
      <c r="BZ90" s="39">
        <f>IF(WEEKDAY(BZ$82,2)&gt;5,0,651.82)</f>
        <v>651.82000000000005</v>
      </c>
      <c r="CA90" s="39">
        <f>IF(WEEKDAY(CA$82,2)&gt;5,0,594.07)</f>
        <v>594.07000000000005</v>
      </c>
      <c r="CB90" s="39">
        <f>IF(WEEKDAY(CB$82,2)&gt;5,0,590.01)</f>
        <v>0</v>
      </c>
      <c r="CC90" s="39">
        <f>IF(WEEKDAY(CC$82,2)&gt;5,0,608.59)</f>
        <v>0</v>
      </c>
      <c r="CD90" s="39">
        <f>IF(WEEKDAY(CD$82,2)&gt;5,0,640.06)</f>
        <v>640.05999999999995</v>
      </c>
      <c r="CE90" s="39">
        <f>IF(WEEKDAY(CE$82,2)&gt;5,0,656.1)</f>
        <v>656.1</v>
      </c>
      <c r="CF90" s="39">
        <f>IF(WEEKDAY(CF$82,2)&gt;5,0,665.22)</f>
        <v>665.22</v>
      </c>
      <c r="CG90" s="39">
        <f>IF(WEEKDAY(CG$82,2)&gt;5,0,565.11)</f>
        <v>565.11</v>
      </c>
      <c r="CH90" s="39">
        <f>IF(WEEKDAY(CH$82,2)&gt;5,0,596.17)</f>
        <v>596.16999999999996</v>
      </c>
      <c r="CI90" s="39">
        <f>IF(WEEKDAY(CI$82,2)&gt;5,0,641.25)</f>
        <v>0</v>
      </c>
      <c r="CJ90" s="39">
        <f>IF(WEEKDAY(CJ$82,2)&gt;5,0,639.6)</f>
        <v>0</v>
      </c>
      <c r="CK90" s="39">
        <f>IF(WEEKDAY(CK$82,2)&gt;5,0,511.09)</f>
        <v>511.09</v>
      </c>
      <c r="CL90" s="39">
        <f>IF(WEEKDAY(CL$82,2)&gt;5,0,579.91)</f>
        <v>579.91</v>
      </c>
      <c r="CM90" s="39">
        <f>IF(WEEKDAY(CM$82,2)&gt;5,0,647.51)</f>
        <v>647.51</v>
      </c>
      <c r="CN90" s="39">
        <f>IF(WEEKDAY(CN$82,2)&gt;5,0,650.12)</f>
        <v>650.12</v>
      </c>
      <c r="CO90" s="39">
        <f>IF(WEEKDAY(CO$82,2)&gt;5,0,572.67)</f>
        <v>572.66999999999996</v>
      </c>
      <c r="CP90" s="39">
        <f>IF(WEEKDAY(CP$82,2)&gt;5,0,526.97)</f>
        <v>0</v>
      </c>
      <c r="CQ90" s="39">
        <f>IF(WEEKDAY(CQ$82,2)&gt;5,0,558.13)</f>
        <v>0</v>
      </c>
      <c r="CR90" s="39">
        <f>IF(WEEKDAY(CR$82,2)&gt;5,0,599.49)</f>
        <v>599.49</v>
      </c>
      <c r="CS90" s="39">
        <f>IF(WEEKDAY(CS$82,2)&gt;5,0,515.79)</f>
        <v>515.79</v>
      </c>
      <c r="CT90" s="39">
        <f>IF(WEEKDAY(CT$82,2)&gt;5,0,573.35)</f>
        <v>573.35</v>
      </c>
      <c r="CU90" s="39">
        <f>IF(WEEKDAY(CU$82,2)&gt;5,0,684.22)</f>
        <v>684.22</v>
      </c>
      <c r="CV90" s="39">
        <f>IF(WEEKDAY(CV$82,2)&gt;5,0,636.02)</f>
        <v>636.02</v>
      </c>
      <c r="CW90" s="39">
        <f>IF(WEEKDAY(CW$82,2)&gt;5,0,581)</f>
        <v>0</v>
      </c>
      <c r="CX90" s="39">
        <f>IF(WEEKDAY(CX$82,2)&gt;5,0,537.8)</f>
        <v>0</v>
      </c>
      <c r="CY90" s="39">
        <f>IF(WEEKDAY(CY$82,2)&gt;5,0,556.17)</f>
        <v>556.16999999999996</v>
      </c>
      <c r="CZ90" s="39">
        <f>IF(WEEKDAY(CZ$82,2)&gt;5,0,511.28)</f>
        <v>511.28</v>
      </c>
      <c r="DA90" s="39">
        <f>IF(WEEKDAY(DA$82,2)&gt;5,0,553.51)</f>
        <v>553.51</v>
      </c>
      <c r="DB90" s="39">
        <f>IF(WEEKDAY(DB$82,2)&gt;5,0,689.11)</f>
        <v>689.11</v>
      </c>
      <c r="DC90" s="39">
        <f>IF(WEEKDAY(DC$82,2)&gt;5,0,626.52)</f>
        <v>626.52</v>
      </c>
      <c r="DD90" s="39">
        <f>IF(WEEKDAY(DD$82,2)&gt;5,0,605.37)</f>
        <v>0</v>
      </c>
      <c r="DE90" s="39">
        <f>IF(WEEKDAY(DE$82,2)&gt;5,0,674.68)</f>
        <v>0</v>
      </c>
      <c r="DF90" s="39">
        <f>IF(WEEKDAY(DF$82,2)&gt;5,0,587.81)</f>
        <v>587.80999999999995</v>
      </c>
      <c r="DG90" s="39">
        <f>IF(WEEKDAY(DG$82,2)&gt;5,0,585.22)</f>
        <v>585.22</v>
      </c>
      <c r="DH90" s="39">
        <f>IF(WEEKDAY(DH$82,2)&gt;5,0,551.82)</f>
        <v>551.82000000000005</v>
      </c>
      <c r="DI90" s="39">
        <f>IF(WEEKDAY(DI$82,2)&gt;5,0,686.05)</f>
        <v>686.05</v>
      </c>
      <c r="DJ90" s="39">
        <f>IF(WEEKDAY(DJ$82,2)&gt;5,0,604.81)</f>
        <v>604.80999999999995</v>
      </c>
      <c r="DK90" s="39">
        <f>IF(WEEKDAY(DK$82,2)&gt;5,0,549.28)</f>
        <v>0</v>
      </c>
      <c r="DL90" s="39">
        <f>IF(WEEKDAY(DL$82,2)&gt;5,0,563.17)</f>
        <v>0</v>
      </c>
      <c r="DM90" s="39">
        <f>IF(WEEKDAY(DM$82,2)&gt;5,0,676.68)</f>
        <v>676.68</v>
      </c>
      <c r="DN90" s="39">
        <f>IF(WEEKDAY(DN$82,2)&gt;5,0,551.9)</f>
        <v>551.9</v>
      </c>
      <c r="DO90" s="39">
        <f>IF(WEEKDAY(DO$82,2)&gt;5,0,579.92)</f>
        <v>579.91999999999996</v>
      </c>
      <c r="DP90" s="39">
        <f>IF(WEEKDAY(DP$82,2)&gt;5,0,643.86)</f>
        <v>643.86</v>
      </c>
      <c r="DQ90" s="39">
        <f>IF(WEEKDAY(DQ$82,2)&gt;5,0,526.71)</f>
        <v>526.71</v>
      </c>
      <c r="DR90" s="39">
        <f>IF(WEEKDAY(DR$82,2)&gt;5,0,570.73)</f>
        <v>0</v>
      </c>
      <c r="DS90" s="39">
        <f>IF(WEEKDAY(DS$82,2)&gt;5,0,590.8)</f>
        <v>0</v>
      </c>
      <c r="DT90" s="39">
        <f>IF(WEEKDAY(DT$82,2)&gt;5,0,525.58)</f>
        <v>525.58000000000004</v>
      </c>
      <c r="DU90" s="39">
        <f>IF(WEEKDAY(DU$82,2)&gt;5,0,620.81)</f>
        <v>620.80999999999995</v>
      </c>
      <c r="DV90" s="39">
        <f>IF(WEEKDAY(DV$82,2)&gt;5,0,656.33)</f>
        <v>656.33</v>
      </c>
      <c r="DW90" s="39">
        <f>IF(WEEKDAY(DW$82,2)&gt;5,0,672.47)</f>
        <v>672.47</v>
      </c>
      <c r="DX90" s="39">
        <f>IF(WEEKDAY(DX$82,2)&gt;5,0,598.5)</f>
        <v>598.5</v>
      </c>
      <c r="DY90" s="39">
        <f>IF(WEEKDAY(DY$82,2)&gt;5,0,677.17)</f>
        <v>0</v>
      </c>
      <c r="DZ90" s="39">
        <f>IF(WEEKDAY(DZ$82,2)&gt;5,0,640.42)</f>
        <v>0</v>
      </c>
      <c r="EA90" s="39">
        <f>IF(WEEKDAY(EA$82,2)&gt;5,0,527.37)</f>
        <v>527.37</v>
      </c>
      <c r="EB90" s="39">
        <f>IF(WEEKDAY(EB$82,2)&gt;5,0,580.49)</f>
        <v>580.49</v>
      </c>
      <c r="EC90" s="39">
        <f>IF(WEEKDAY(EC$82,2)&gt;5,0,549.53)</f>
        <v>549.53</v>
      </c>
      <c r="ED90" s="39">
        <f>IF(WEEKDAY(ED$82,2)&gt;5,0,558.81)</f>
        <v>558.80999999999995</v>
      </c>
      <c r="EE90" s="39">
        <f>IF(WEEKDAY(EE$82,2)&gt;5,0,525.96)</f>
        <v>525.96</v>
      </c>
      <c r="EF90" s="39">
        <f>IF(WEEKDAY(EF$82,2)&gt;5,0,597.69)</f>
        <v>0</v>
      </c>
      <c r="EG90" s="39">
        <f>IF(WEEKDAY(EG$82,2)&gt;5,0,576.86)</f>
        <v>0</v>
      </c>
      <c r="EH90" s="39">
        <f>IF(WEEKDAY(EH$82,2)&gt;5,0,527.76)</f>
        <v>527.76</v>
      </c>
      <c r="EI90" s="39">
        <f>IF(WEEKDAY(EI$82,2)&gt;5,0,603.81)</f>
        <v>603.80999999999995</v>
      </c>
      <c r="EJ90" s="39">
        <f>IF(WEEKDAY(EJ$82,2)&gt;5,0,551.26)</f>
        <v>551.26</v>
      </c>
      <c r="EK90" s="39">
        <f>IF(WEEKDAY(EK$82,2)&gt;5,0,659.31)</f>
        <v>659.31</v>
      </c>
      <c r="EL90" s="39">
        <f>IF(WEEKDAY(EL$82,2)&gt;5,0,602.84)</f>
        <v>602.84</v>
      </c>
      <c r="EM90" s="39">
        <f>IF(WEEKDAY(EM$82,2)&gt;5,0,653.69)</f>
        <v>0</v>
      </c>
      <c r="EN90" s="39">
        <f>IF(WEEKDAY(EN$82,2)&gt;5,0,541.04)</f>
        <v>0</v>
      </c>
      <c r="EO90" s="39">
        <f>IF(WEEKDAY(EO$82,2)&gt;5,0,580.73)</f>
        <v>580.73</v>
      </c>
      <c r="EP90" s="39">
        <f>IF(WEEKDAY(EP$82,2)&gt;5,0,627.88)</f>
        <v>627.88</v>
      </c>
      <c r="EQ90" s="39">
        <f>IF(WEEKDAY(EQ$82,2)&gt;5,0,648.98)</f>
        <v>648.98</v>
      </c>
      <c r="ER90" s="39">
        <f>IF(WEEKDAY(ER$82,2)&gt;5,0,564.21)</f>
        <v>564.21</v>
      </c>
      <c r="ES90" s="39">
        <f>IF(WEEKDAY(ES$82,2)&gt;5,0,580.84)</f>
        <v>580.84</v>
      </c>
      <c r="ET90" s="39">
        <f>IF(WEEKDAY(ET$82,2)&gt;5,0,654.57)</f>
        <v>0</v>
      </c>
      <c r="EU90" s="39">
        <f>IF(WEEKDAY(EU$82,2)&gt;5,0,611.82)</f>
        <v>0</v>
      </c>
      <c r="EV90" s="39">
        <f>IF(WEEKDAY(EV$82,2)&gt;5,0,533.71)</f>
        <v>533.71</v>
      </c>
      <c r="EW90" s="39">
        <f>IF(WEEKDAY(EW$82,2)&gt;5,0,653.46)</f>
        <v>653.46</v>
      </c>
      <c r="EX90" s="39">
        <f>IF(WEEKDAY(EX$82,2)&gt;5,0,547.63)</f>
        <v>547.63</v>
      </c>
      <c r="EY90" s="39">
        <f>IF(WEEKDAY(EY$82,2)&gt;5,0,515.18)</f>
        <v>515.17999999999995</v>
      </c>
      <c r="EZ90" s="39">
        <f>IF(WEEKDAY(EZ$82,2)&gt;5,0,569.49)</f>
        <v>569.49</v>
      </c>
      <c r="FA90" s="39">
        <f>IF(WEEKDAY(FA$82,2)&gt;5,0,561.49)</f>
        <v>0</v>
      </c>
      <c r="FB90" s="39">
        <f>IF(WEEKDAY(FB$82,2)&gt;5,0,614.02)</f>
        <v>0</v>
      </c>
      <c r="FC90" s="39">
        <f>IF(WEEKDAY(FC$82,2)&gt;5,0,546.14)</f>
        <v>546.14</v>
      </c>
      <c r="FD90" s="39">
        <f>IF(WEEKDAY(FD$82,2)&gt;5,0,593.9)</f>
        <v>593.9</v>
      </c>
      <c r="FE90" s="39">
        <f>IF(WEEKDAY(FE$82,2)&gt;5,0,616.68)</f>
        <v>616.67999999999995</v>
      </c>
      <c r="FF90" s="39">
        <f>IF(WEEKDAY(FF$82,2)&gt;5,0,605.62)</f>
        <v>605.62</v>
      </c>
      <c r="FG90" s="39">
        <f>IF(WEEKDAY(FG$82,2)&gt;5,0,520.19)</f>
        <v>520.19000000000005</v>
      </c>
      <c r="FH90" s="39">
        <f>IF(WEEKDAY(FH$82,2)&gt;5,0,568.29)</f>
        <v>0</v>
      </c>
      <c r="FI90" s="39">
        <f>IF(WEEKDAY(FI$82,2)&gt;5,0,561.72)</f>
        <v>0</v>
      </c>
      <c r="FJ90" s="39">
        <f>IF(WEEKDAY(FJ$82,2)&gt;5,0,618.43)</f>
        <v>618.42999999999995</v>
      </c>
      <c r="FK90" s="39">
        <f>IF(WEEKDAY(FK$82,2)&gt;5,0,658.54)</f>
        <v>658.54</v>
      </c>
      <c r="FL90" s="39">
        <f>IF(WEEKDAY(FL$82,2)&gt;5,0,644.36)</f>
        <v>644.36</v>
      </c>
      <c r="FM90" s="39">
        <f>IF(WEEKDAY(FM$82,2)&gt;5,0,675.99)</f>
        <v>675.99</v>
      </c>
      <c r="FN90" s="39">
        <f>IF(WEEKDAY(FN$82,2)&gt;5,0,523.6)</f>
        <v>523.6</v>
      </c>
      <c r="FO90" s="39">
        <f>IF(WEEKDAY(FO$82,2)&gt;5,0,615.79)</f>
        <v>0</v>
      </c>
      <c r="FP90" s="39">
        <f>IF(WEEKDAY(FP$82,2)&gt;5,0,640.53)</f>
        <v>0</v>
      </c>
      <c r="FQ90" s="39">
        <f>IF(WEEKDAY(FQ$82,2)&gt;5,0,529.7)</f>
        <v>529.70000000000005</v>
      </c>
      <c r="FR90" s="39">
        <f>IF(WEEKDAY(FR$82,2)&gt;5,0,650.11)</f>
        <v>650.11</v>
      </c>
      <c r="FS90" s="39">
        <f>IF(WEEKDAY(FS$82,2)&gt;5,0,526.45)</f>
        <v>526.45000000000005</v>
      </c>
      <c r="FT90" s="39">
        <f>IF(WEEKDAY(FT$82,2)&gt;5,0,674.22)</f>
        <v>674.22</v>
      </c>
      <c r="FU90" s="39">
        <f>IF(WEEKDAY(FU$82,2)&gt;5,0,649.52)</f>
        <v>649.52</v>
      </c>
      <c r="FV90" s="39">
        <f>IF(WEEKDAY(FV$82,2)&gt;5,0,529.13)</f>
        <v>0</v>
      </c>
      <c r="FW90" s="39">
        <f>IF(WEEKDAY(FW$82,2)&gt;5,0,568.05)</f>
        <v>0</v>
      </c>
      <c r="FX90" s="39">
        <f>IF(WEEKDAY(FX$82,2)&gt;5,0,523.14)</f>
        <v>523.14</v>
      </c>
      <c r="FY90" s="39">
        <f>IF(WEEKDAY(FY$82,2)&gt;5,0,653.85)</f>
        <v>653.85</v>
      </c>
      <c r="FZ90" s="39">
        <f>IF(WEEKDAY(FZ$82,2)&gt;5,0,539.99)</f>
        <v>539.99</v>
      </c>
      <c r="GA90" s="39">
        <f>IF(WEEKDAY(GA$82,2)&gt;5,0,566.78)</f>
        <v>566.78</v>
      </c>
      <c r="GB90" s="39">
        <f>IF(WEEKDAY(GB$82,2)&gt;5,0,627.52)</f>
        <v>627.52</v>
      </c>
      <c r="GC90" s="39">
        <f>IF(WEEKDAY(GC$82,2)&gt;5,0,582.64)</f>
        <v>0</v>
      </c>
      <c r="GD90" s="39">
        <f>IF(WEEKDAY(GD$82,2)&gt;5,0,598.16)</f>
        <v>0</v>
      </c>
      <c r="GE90" s="39">
        <f>IF(WEEKDAY(GE$82,2)&gt;5,0,633.2)</f>
        <v>633.20000000000005</v>
      </c>
      <c r="GF90" s="39">
        <f>IF(WEEKDAY(GF$82,2)&gt;5,0,600.84)</f>
        <v>600.84</v>
      </c>
      <c r="GG90" s="39">
        <f>IF(WEEKDAY(GG$82,2)&gt;5,0,659.51)</f>
        <v>659.51</v>
      </c>
      <c r="GH90" s="39">
        <f>IF(WEEKDAY(GH$82,2)&gt;5,0,582.94)</f>
        <v>582.94000000000005</v>
      </c>
      <c r="GI90" s="39">
        <f>IF(WEEKDAY(GI$82,2)&gt;5,0,680.74)</f>
        <v>680.74</v>
      </c>
      <c r="GJ90" s="39">
        <f>IF(WEEKDAY(GJ$82,2)&gt;5,0,556.23)</f>
        <v>0</v>
      </c>
      <c r="GK90" s="39">
        <f>IF(WEEKDAY(GK$82,2)&gt;5,0,595.5)</f>
        <v>0</v>
      </c>
      <c r="GL90" s="39">
        <f>IF(WEEKDAY(GL$82,2)&gt;5,0,555.24)</f>
        <v>555.24</v>
      </c>
      <c r="GM90" s="39">
        <f>IF(WEEKDAY(GM$82,2)&gt;5,0,622.51)</f>
        <v>622.51</v>
      </c>
      <c r="GN90" s="39">
        <f>IF(WEEKDAY(GN$82,2)&gt;5,0,645.55)</f>
        <v>645.54999999999995</v>
      </c>
      <c r="GO90" s="39">
        <f>IF(WEEKDAY(GO$82,2)&gt;5,0,534.86)</f>
        <v>534.86</v>
      </c>
      <c r="GP90" s="39">
        <f>IF(WEEKDAY(GP$82,2)&gt;5,0,516.03)</f>
        <v>516.03</v>
      </c>
      <c r="GQ90" s="39">
        <f>IF(WEEKDAY(GQ$82,2)&gt;5,0,659.12)</f>
        <v>0</v>
      </c>
      <c r="GR90" s="39">
        <f>IF(WEEKDAY(GR$82,2)&gt;5,0,590.22)</f>
        <v>0</v>
      </c>
      <c r="GS90" s="39">
        <f>IF(WEEKDAY(GS$82,2)&gt;5,0,552.81)</f>
        <v>552.80999999999995</v>
      </c>
      <c r="GT90" s="39">
        <f>IF(WEEKDAY(GT$82,2)&gt;5,0,578.22)</f>
        <v>578.22</v>
      </c>
      <c r="GU90" s="39">
        <f>IF(WEEKDAY(GU$82,2)&gt;5,0,521.27)</f>
        <v>521.27</v>
      </c>
      <c r="GV90" s="39">
        <f>IF(WEEKDAY(GV$82,2)&gt;5,0,599.94)</f>
        <v>599.94000000000005</v>
      </c>
      <c r="GW90" s="39">
        <f>IF(WEEKDAY(GW$82,2)&gt;5,0,686.14)</f>
        <v>686.14</v>
      </c>
      <c r="GX90" s="39">
        <f>IF(WEEKDAY(GX$82,2)&gt;5,0,675.54)</f>
        <v>0</v>
      </c>
      <c r="GY90" s="39">
        <f>IF(WEEKDAY(GY$82,2)&gt;5,0,633.3)</f>
        <v>0</v>
      </c>
      <c r="GZ90" s="39">
        <f>IF(WEEKDAY(GZ$82,2)&gt;5,0,628.42)</f>
        <v>628.41999999999996</v>
      </c>
      <c r="HA90" s="39">
        <f>IF(WEEKDAY(HA$82,2)&gt;5,0,636.93)</f>
        <v>636.92999999999995</v>
      </c>
      <c r="HB90" s="39">
        <f>IF(WEEKDAY(HB$82,2)&gt;5,0,650.39)</f>
        <v>650.39</v>
      </c>
      <c r="HC90" s="39">
        <f>IF(WEEKDAY(HC$82,2)&gt;5,0,529.42)</f>
        <v>529.41999999999996</v>
      </c>
      <c r="HD90" s="39">
        <f>IF(WEEKDAY(HD$82,2)&gt;5,0,656.74)</f>
        <v>656.74</v>
      </c>
      <c r="HE90" s="39">
        <f>IF(WEEKDAY(HE$82,2)&gt;5,0,537.93)</f>
        <v>0</v>
      </c>
      <c r="HF90" s="39">
        <f>IF(WEEKDAY(HF$82,2)&gt;5,0,559.86)</f>
        <v>0</v>
      </c>
      <c r="HG90" s="39">
        <f>IF(WEEKDAY(HG$82,2)&gt;5,0,670.98)</f>
        <v>670.98</v>
      </c>
      <c r="HH90" s="39">
        <f>IF(WEEKDAY(HH$82,2)&gt;5,0,535.69)</f>
        <v>535.69000000000005</v>
      </c>
      <c r="HI90" s="39">
        <f>IF(WEEKDAY(HI$82,2)&gt;5,0,620.68)</f>
        <v>620.67999999999995</v>
      </c>
      <c r="HJ90" s="39">
        <f>IF(WEEKDAY(HJ$82,2)&gt;5,0,517.75)</f>
        <v>517.75</v>
      </c>
      <c r="HK90" s="39">
        <f>IF(WEEKDAY(HK$82,2)&gt;5,0,615.31)</f>
        <v>615.30999999999995</v>
      </c>
      <c r="HL90" s="39">
        <f>IF(WEEKDAY(HL$82,2)&gt;5,0,525.01)</f>
        <v>0</v>
      </c>
      <c r="HM90" s="39">
        <f>IF(WEEKDAY(HM$82,2)&gt;5,0,541.98)</f>
        <v>0</v>
      </c>
      <c r="HN90" s="39">
        <f>IF(WEEKDAY(HN$82,2)&gt;5,0,642.63)</f>
        <v>642.63</v>
      </c>
      <c r="HO90" s="39">
        <f>IF(WEEKDAY(HO$82,2)&gt;5,0,521)</f>
        <v>521</v>
      </c>
      <c r="HP90" s="39">
        <f>IF(WEEKDAY(HP$82,2)&gt;5,0,661.5)</f>
        <v>661.5</v>
      </c>
      <c r="HQ90" s="39">
        <f>IF(WEEKDAY(HQ$82,2)&gt;5,0,596.33)</f>
        <v>596.33000000000004</v>
      </c>
      <c r="HR90" s="39">
        <f>IF(WEEKDAY(HR$82,2)&gt;5,0,644.62)</f>
        <v>644.62</v>
      </c>
      <c r="HS90" s="39">
        <f>IF(WEEKDAY(HS$82,2)&gt;5,0,565.14)</f>
        <v>0</v>
      </c>
      <c r="HT90" s="39">
        <f>IF(WEEKDAY(HT$82,2)&gt;5,0,574.92)</f>
        <v>0</v>
      </c>
      <c r="HU90" s="39">
        <f>IF(WEEKDAY(HU$82,2)&gt;5,0,632)</f>
        <v>632</v>
      </c>
      <c r="HV90" s="39">
        <f>IF(WEEKDAY(HV$82,2)&gt;5,0,645.67)</f>
        <v>645.66999999999996</v>
      </c>
      <c r="HW90" s="39">
        <f>IF(WEEKDAY(HW$82,2)&gt;5,0,664.94)</f>
        <v>664.94</v>
      </c>
      <c r="HX90" s="39">
        <f>IF(WEEKDAY(HX$82,2)&gt;5,0,534.15)</f>
        <v>534.15</v>
      </c>
      <c r="HY90" s="39">
        <f>IF(WEEKDAY(HY$82,2)&gt;5,0,678.49)</f>
        <v>678.49</v>
      </c>
      <c r="HZ90" s="39">
        <f>IF(WEEKDAY(HZ$82,2)&gt;5,0,601.57)</f>
        <v>0</v>
      </c>
      <c r="IA90" s="39">
        <f>IF(WEEKDAY(IA$82,2)&gt;5,0,574.24)</f>
        <v>0</v>
      </c>
      <c r="IB90" s="39">
        <f>IF(WEEKDAY(IB$82,2)&gt;5,0,653.81)</f>
        <v>653.80999999999995</v>
      </c>
      <c r="IC90" s="39">
        <f>IF(WEEKDAY(IC$82,2)&gt;5,0,623.42)</f>
        <v>623.41999999999996</v>
      </c>
      <c r="ID90" s="39">
        <f>IF(WEEKDAY(ID$82,2)&gt;5,0,580.42)</f>
        <v>580.41999999999996</v>
      </c>
      <c r="IE90" s="39">
        <f>IF(WEEKDAY(IE$82,2)&gt;5,0,599.98)</f>
        <v>599.98</v>
      </c>
      <c r="IF90" s="39">
        <f>IF(WEEKDAY(IF$82,2)&gt;5,0,570.28)</f>
        <v>570.28</v>
      </c>
      <c r="IG90" s="39">
        <f>IF(WEEKDAY(IG$82,2)&gt;5,0,530.86)</f>
        <v>0</v>
      </c>
      <c r="IH90" s="39">
        <f>IF(WEEKDAY(IH$82,2)&gt;5,0,625.7)</f>
        <v>0</v>
      </c>
      <c r="II90" s="39">
        <f>IF(WEEKDAY(II$82,2)&gt;5,0,689.08)</f>
        <v>689.08</v>
      </c>
      <c r="IJ90" s="39">
        <f>IF(WEEKDAY(IJ$82,2)&gt;5,0,529.33)</f>
        <v>529.33000000000004</v>
      </c>
      <c r="IK90" s="39">
        <f>IF(WEEKDAY(IK$82,2)&gt;5,0,628.34)</f>
        <v>628.34</v>
      </c>
      <c r="IL90" s="39">
        <f>IF(WEEKDAY(IL$82,2)&gt;5,0,650.78)</f>
        <v>650.78</v>
      </c>
    </row>
    <row r="91" spans="1:246" x14ac:dyDescent="0.3">
      <c r="A91" t="s">
        <v>90</v>
      </c>
      <c r="B91" s="39">
        <f>IF(WEEKDAY(B$82,2)&gt;5,0,94.54)</f>
        <v>94.54</v>
      </c>
      <c r="C91" s="39">
        <f>IF(WEEKDAY(C$82,2)&gt;5,0,114.97)</f>
        <v>0</v>
      </c>
      <c r="D91" s="39">
        <f>IF(WEEKDAY(D$82,2)&gt;5,0,96.66)</f>
        <v>0</v>
      </c>
      <c r="E91" s="39">
        <f>IF(WEEKDAY(E$82,2)&gt;5,0,102.7)</f>
        <v>102.7</v>
      </c>
      <c r="F91" s="39">
        <f>IF(WEEKDAY(F$82,2)&gt;5,0,98.86)</f>
        <v>98.86</v>
      </c>
      <c r="G91" s="39">
        <f>IF(WEEKDAY(G$82,2)&gt;5,0,96.78)</f>
        <v>96.78</v>
      </c>
      <c r="H91" s="39">
        <f>IF(WEEKDAY(H$82,2)&gt;5,0,99.65)</f>
        <v>99.65</v>
      </c>
      <c r="I91" s="39">
        <f>IF(WEEKDAY(I$82,2)&gt;5,0,87.21)</f>
        <v>87.21</v>
      </c>
      <c r="J91" s="39">
        <f>IF(WEEKDAY(J$82,2)&gt;5,0,110.39)</f>
        <v>0</v>
      </c>
      <c r="K91" s="39">
        <f>IF(WEEKDAY(K$82,2)&gt;5,0,87.72)</f>
        <v>0</v>
      </c>
      <c r="L91" s="39">
        <f>IF(WEEKDAY(L$82,2)&gt;5,0,103.94)</f>
        <v>103.94</v>
      </c>
      <c r="M91" s="39">
        <f>IF(WEEKDAY(M$82,2)&gt;5,0,91.65)</f>
        <v>91.65</v>
      </c>
      <c r="N91" s="39">
        <f>IF(WEEKDAY(N$82,2)&gt;5,0,114.53)</f>
        <v>114.53</v>
      </c>
      <c r="O91" s="39">
        <f>IF(WEEKDAY(O$82,2)&gt;5,0,114.04)</f>
        <v>114.04</v>
      </c>
      <c r="P91" s="39">
        <f>IF(WEEKDAY(P$82,2)&gt;5,0,112.31)</f>
        <v>112.31</v>
      </c>
      <c r="Q91" s="39">
        <f>IF(WEEKDAY(Q$82,2)&gt;5,0,111.33)</f>
        <v>0</v>
      </c>
      <c r="R91" s="39">
        <f>IF(WEEKDAY(R$82,2)&gt;5,0,112.03)</f>
        <v>0</v>
      </c>
      <c r="S91" s="39">
        <f>IF(WEEKDAY(S$82,2)&gt;5,0,103.09)</f>
        <v>103.09</v>
      </c>
      <c r="T91" s="39">
        <f>IF(WEEKDAY(T$82,2)&gt;5,0,110.09)</f>
        <v>110.09</v>
      </c>
      <c r="U91" s="39">
        <f>IF(WEEKDAY(U$82,2)&gt;5,0,110.16)</f>
        <v>110.16</v>
      </c>
      <c r="V91" s="39">
        <f>IF(WEEKDAY(V$82,2)&gt;5,0,85.98)</f>
        <v>85.98</v>
      </c>
      <c r="W91" s="39">
        <f>IF(WEEKDAY(W$82,2)&gt;5,0,96.32)</f>
        <v>96.32</v>
      </c>
      <c r="X91" s="39">
        <f>IF(WEEKDAY(X$82,2)&gt;5,0,110.84)</f>
        <v>0</v>
      </c>
      <c r="Y91" s="39">
        <f>IF(WEEKDAY(Y$82,2)&gt;5,0,104.09)</f>
        <v>0</v>
      </c>
      <c r="Z91" s="39">
        <f>IF(WEEKDAY(Z$82,2)&gt;5,0,102.29)</f>
        <v>102.29</v>
      </c>
      <c r="AA91" s="39">
        <f>IF(WEEKDAY(AA$82,2)&gt;5,0,113.12)</f>
        <v>113.12</v>
      </c>
      <c r="AB91" s="39">
        <f>IF(WEEKDAY(AB$82,2)&gt;5,0,89.06)</f>
        <v>89.06</v>
      </c>
      <c r="AC91" s="39">
        <f>IF(WEEKDAY(AC$82,2)&gt;5,0,100.17)</f>
        <v>100.17</v>
      </c>
      <c r="AD91" s="39">
        <f>IF(WEEKDAY(AD$82,2)&gt;5,0,112.35)</f>
        <v>112.35</v>
      </c>
      <c r="AE91" s="39">
        <f>IF(WEEKDAY(AE$82,2)&gt;5,0,91.59)</f>
        <v>0</v>
      </c>
      <c r="AF91" s="39">
        <f>IF(WEEKDAY(AF$82,2)&gt;5,0,96.82)</f>
        <v>0</v>
      </c>
      <c r="AG91" s="39">
        <f>IF(WEEKDAY(AG$82,2)&gt;5,0,113.29)</f>
        <v>113.29</v>
      </c>
      <c r="AH91" s="39">
        <f>IF(WEEKDAY(AH$82,2)&gt;5,0,90.84)</f>
        <v>90.84</v>
      </c>
      <c r="AI91" s="39">
        <f>IF(WEEKDAY(AI$82,2)&gt;5,0,86.45)</f>
        <v>86.45</v>
      </c>
      <c r="AJ91" s="39">
        <f>IF(WEEKDAY(AJ$82,2)&gt;5,0,101.3)</f>
        <v>101.3</v>
      </c>
      <c r="AK91" s="39">
        <f>IF(WEEKDAY(AK$82,2)&gt;5,0,87.68)</f>
        <v>87.68</v>
      </c>
      <c r="AL91" s="39">
        <f>IF(WEEKDAY(AL$82,2)&gt;5,0,86.3)</f>
        <v>0</v>
      </c>
      <c r="AM91" s="39">
        <f>IF(WEEKDAY(AM$82,2)&gt;5,0,111.78)</f>
        <v>0</v>
      </c>
      <c r="AN91" s="39">
        <f>IF(WEEKDAY(AN$82,2)&gt;5,0,90.6)</f>
        <v>90.6</v>
      </c>
      <c r="AO91" s="39">
        <f>IF(WEEKDAY(AO$82,2)&gt;5,0,95.81)</f>
        <v>95.81</v>
      </c>
      <c r="AP91" s="39">
        <f>IF(WEEKDAY(AP$82,2)&gt;5,0,96.07)</f>
        <v>96.07</v>
      </c>
      <c r="AQ91" s="39">
        <f>IF(WEEKDAY(AQ$82,2)&gt;5,0,89.13)</f>
        <v>89.13</v>
      </c>
      <c r="AR91" s="39">
        <f>IF(WEEKDAY(AR$82,2)&gt;5,0,101.7)</f>
        <v>101.7</v>
      </c>
      <c r="AS91" s="39">
        <f>IF(WEEKDAY(AS$82,2)&gt;5,0,114.63)</f>
        <v>0</v>
      </c>
      <c r="AT91" s="39">
        <f>IF(WEEKDAY(AT$82,2)&gt;5,0,99.81)</f>
        <v>0</v>
      </c>
      <c r="AU91" s="39">
        <f>IF(WEEKDAY(AU$82,2)&gt;5,0,96.45)</f>
        <v>96.45</v>
      </c>
      <c r="AV91" s="39">
        <f>IF(WEEKDAY(AV$82,2)&gt;5,0,91.97)</f>
        <v>91.97</v>
      </c>
      <c r="AW91" s="39">
        <f>IF(WEEKDAY(AW$82,2)&gt;5,0,100.83)</f>
        <v>100.83</v>
      </c>
      <c r="AX91" s="39">
        <f>IF(WEEKDAY(AX$82,2)&gt;5,0,98.53)</f>
        <v>98.53</v>
      </c>
      <c r="AY91" s="39">
        <f>IF(WEEKDAY(AY$82,2)&gt;5,0,97.3)</f>
        <v>97.3</v>
      </c>
      <c r="AZ91" s="39">
        <f>IF(WEEKDAY(AZ$82,2)&gt;5,0,88.65)</f>
        <v>0</v>
      </c>
      <c r="BA91" s="39">
        <f>IF(WEEKDAY(BA$82,2)&gt;5,0,102.93)</f>
        <v>0</v>
      </c>
      <c r="BB91" s="39">
        <f>IF(WEEKDAY(BB$82,2)&gt;5,0,106.71)</f>
        <v>106.71</v>
      </c>
      <c r="BC91" s="39">
        <f>IF(WEEKDAY(BC$82,2)&gt;5,0,104)</f>
        <v>104</v>
      </c>
      <c r="BD91" s="39">
        <f>IF(WEEKDAY(BD$82,2)&gt;5,0,111.24)</f>
        <v>111.24</v>
      </c>
      <c r="BE91" s="39">
        <f>IF(WEEKDAY(BE$82,2)&gt;5,0,95.64)</f>
        <v>95.64</v>
      </c>
      <c r="BF91" s="39">
        <f>IF(WEEKDAY(BF$82,2)&gt;5,0,106.72)</f>
        <v>106.72</v>
      </c>
      <c r="BG91" s="39">
        <f>IF(WEEKDAY(BG$82,2)&gt;5,0,87.76)</f>
        <v>0</v>
      </c>
      <c r="BH91" s="39">
        <f>IF(WEEKDAY(BH$82,2)&gt;5,0,105.47)</f>
        <v>0</v>
      </c>
      <c r="BI91" s="39">
        <f>IF(WEEKDAY(BI$82,2)&gt;5,0,96.76)</f>
        <v>96.76</v>
      </c>
      <c r="BJ91" s="39">
        <f>IF(WEEKDAY(BJ$82,2)&gt;5,0,106.7)</f>
        <v>106.7</v>
      </c>
      <c r="BK91" s="39">
        <f>IF(WEEKDAY(BK$82,2)&gt;5,0,110.61)</f>
        <v>110.61</v>
      </c>
      <c r="BL91" s="39">
        <f>IF(WEEKDAY(BL$82,2)&gt;5,0,85.61)</f>
        <v>85.61</v>
      </c>
      <c r="BM91" s="39">
        <f>IF(WEEKDAY(BM$82,2)&gt;5,0,110.42)</f>
        <v>110.42</v>
      </c>
      <c r="BN91" s="39">
        <f>IF(WEEKDAY(BN$82,2)&gt;5,0,98.71)</f>
        <v>0</v>
      </c>
      <c r="BO91" s="39">
        <f>IF(WEEKDAY(BO$82,2)&gt;5,0,97.93)</f>
        <v>0</v>
      </c>
      <c r="BP91" s="39">
        <f>IF(WEEKDAY(BP$82,2)&gt;5,0,106.52)</f>
        <v>106.52</v>
      </c>
      <c r="BQ91" s="39">
        <f>IF(WEEKDAY(BQ$82,2)&gt;5,0,114.39)</f>
        <v>114.39</v>
      </c>
      <c r="BR91" s="39">
        <f>IF(WEEKDAY(BR$82,2)&gt;5,0,99.58)</f>
        <v>99.58</v>
      </c>
      <c r="BS91" s="39">
        <f>IF(WEEKDAY(BS$82,2)&gt;5,0,103.86)</f>
        <v>103.86</v>
      </c>
      <c r="BT91" s="39">
        <f>IF(WEEKDAY(BT$82,2)&gt;5,0,98.19)</f>
        <v>98.19</v>
      </c>
      <c r="BU91" s="39">
        <f>IF(WEEKDAY(BU$82,2)&gt;5,0,111.62)</f>
        <v>0</v>
      </c>
      <c r="BV91" s="39">
        <f>IF(WEEKDAY(BV$82,2)&gt;5,0,89.72)</f>
        <v>0</v>
      </c>
      <c r="BW91" s="39">
        <f>IF(WEEKDAY(BW$82,2)&gt;5,0,112.4)</f>
        <v>112.4</v>
      </c>
      <c r="BX91" s="39">
        <f>IF(WEEKDAY(BX$82,2)&gt;5,0,107.26)</f>
        <v>107.26</v>
      </c>
      <c r="BY91" s="39">
        <f>IF(WEEKDAY(BY$82,2)&gt;5,0,106.21)</f>
        <v>106.21</v>
      </c>
      <c r="BZ91" s="39">
        <f>IF(WEEKDAY(BZ$82,2)&gt;5,0,109.74)</f>
        <v>109.74</v>
      </c>
      <c r="CA91" s="39">
        <f>IF(WEEKDAY(CA$82,2)&gt;5,0,86.08)</f>
        <v>86.08</v>
      </c>
      <c r="CB91" s="39">
        <f>IF(WEEKDAY(CB$82,2)&gt;5,0,101.44)</f>
        <v>0</v>
      </c>
      <c r="CC91" s="39">
        <f>IF(WEEKDAY(CC$82,2)&gt;5,0,88.95)</f>
        <v>0</v>
      </c>
      <c r="CD91" s="39">
        <f>IF(WEEKDAY(CD$82,2)&gt;5,0,103.2)</f>
        <v>103.2</v>
      </c>
      <c r="CE91" s="39">
        <f>IF(WEEKDAY(CE$82,2)&gt;5,0,90.15)</f>
        <v>90.15</v>
      </c>
      <c r="CF91" s="39">
        <f>IF(WEEKDAY(CF$82,2)&gt;5,0,100.96)</f>
        <v>100.96</v>
      </c>
      <c r="CG91" s="39">
        <f>IF(WEEKDAY(CG$82,2)&gt;5,0,92.79)</f>
        <v>92.79</v>
      </c>
      <c r="CH91" s="39">
        <f>IF(WEEKDAY(CH$82,2)&gt;5,0,98.86)</f>
        <v>98.86</v>
      </c>
      <c r="CI91" s="39">
        <f>IF(WEEKDAY(CI$82,2)&gt;5,0,108.9)</f>
        <v>0</v>
      </c>
      <c r="CJ91" s="39">
        <f>IF(WEEKDAY(CJ$82,2)&gt;5,0,114.64)</f>
        <v>0</v>
      </c>
      <c r="CK91" s="39">
        <f>IF(WEEKDAY(CK$82,2)&gt;5,0,109.5)</f>
        <v>109.5</v>
      </c>
      <c r="CL91" s="39">
        <f>IF(WEEKDAY(CL$82,2)&gt;5,0,96.21)</f>
        <v>96.21</v>
      </c>
      <c r="CM91" s="39">
        <f>IF(WEEKDAY(CM$82,2)&gt;5,0,106.43)</f>
        <v>106.43</v>
      </c>
      <c r="CN91" s="39">
        <f>IF(WEEKDAY(CN$82,2)&gt;5,0,113.16)</f>
        <v>113.16</v>
      </c>
      <c r="CO91" s="39">
        <f>IF(WEEKDAY(CO$82,2)&gt;5,0,94.76)</f>
        <v>94.76</v>
      </c>
      <c r="CP91" s="39">
        <f>IF(WEEKDAY(CP$82,2)&gt;5,0,87.67)</f>
        <v>0</v>
      </c>
      <c r="CQ91" s="39">
        <f>IF(WEEKDAY(CQ$82,2)&gt;5,0,86.53)</f>
        <v>0</v>
      </c>
      <c r="CR91" s="39">
        <f>IF(WEEKDAY(CR$82,2)&gt;5,0,86.2)</f>
        <v>86.2</v>
      </c>
      <c r="CS91" s="39">
        <f>IF(WEEKDAY(CS$82,2)&gt;5,0,100.77)</f>
        <v>100.77</v>
      </c>
      <c r="CT91" s="39">
        <f>IF(WEEKDAY(CT$82,2)&gt;5,0,99.35)</f>
        <v>99.35</v>
      </c>
      <c r="CU91" s="39">
        <f>IF(WEEKDAY(CU$82,2)&gt;5,0,85.75)</f>
        <v>85.75</v>
      </c>
      <c r="CV91" s="39">
        <f>IF(WEEKDAY(CV$82,2)&gt;5,0,102.15)</f>
        <v>102.15</v>
      </c>
      <c r="CW91" s="39">
        <f>IF(WEEKDAY(CW$82,2)&gt;5,0,86.93)</f>
        <v>0</v>
      </c>
      <c r="CX91" s="39">
        <f>IF(WEEKDAY(CX$82,2)&gt;5,0,86.57)</f>
        <v>0</v>
      </c>
      <c r="CY91" s="39">
        <f>IF(WEEKDAY(CY$82,2)&gt;5,0,88.64)</f>
        <v>88.64</v>
      </c>
      <c r="CZ91" s="39">
        <f>IF(WEEKDAY(CZ$82,2)&gt;5,0,105.02)</f>
        <v>105.02</v>
      </c>
      <c r="DA91" s="39">
        <f>IF(WEEKDAY(DA$82,2)&gt;5,0,111.62)</f>
        <v>111.62</v>
      </c>
      <c r="DB91" s="39">
        <f>IF(WEEKDAY(DB$82,2)&gt;5,0,108.99)</f>
        <v>108.99</v>
      </c>
      <c r="DC91" s="39">
        <f>IF(WEEKDAY(DC$82,2)&gt;5,0,111.45)</f>
        <v>111.45</v>
      </c>
      <c r="DD91" s="39">
        <f>IF(WEEKDAY(DD$82,2)&gt;5,0,113.85)</f>
        <v>0</v>
      </c>
      <c r="DE91" s="39">
        <f>IF(WEEKDAY(DE$82,2)&gt;5,0,94.26)</f>
        <v>0</v>
      </c>
      <c r="DF91" s="39">
        <f>IF(WEEKDAY(DF$82,2)&gt;5,0,98.04)</f>
        <v>98.04</v>
      </c>
      <c r="DG91" s="39">
        <f>IF(WEEKDAY(DG$82,2)&gt;5,0,113.05)</f>
        <v>113.05</v>
      </c>
      <c r="DH91" s="39">
        <f>IF(WEEKDAY(DH$82,2)&gt;5,0,107.67)</f>
        <v>107.67</v>
      </c>
      <c r="DI91" s="39">
        <f>IF(WEEKDAY(DI$82,2)&gt;5,0,106.65)</f>
        <v>106.65</v>
      </c>
      <c r="DJ91" s="39">
        <f>IF(WEEKDAY(DJ$82,2)&gt;5,0,97.4)</f>
        <v>97.4</v>
      </c>
      <c r="DK91" s="39">
        <f>IF(WEEKDAY(DK$82,2)&gt;5,0,106.44)</f>
        <v>0</v>
      </c>
      <c r="DL91" s="39">
        <f>IF(WEEKDAY(DL$82,2)&gt;5,0,98.67)</f>
        <v>0</v>
      </c>
      <c r="DM91" s="39">
        <f>IF(WEEKDAY(DM$82,2)&gt;5,0,113.62)</f>
        <v>113.62</v>
      </c>
      <c r="DN91" s="39">
        <f>IF(WEEKDAY(DN$82,2)&gt;5,0,97.76)</f>
        <v>97.76</v>
      </c>
      <c r="DO91" s="39">
        <f>IF(WEEKDAY(DO$82,2)&gt;5,0,94.86)</f>
        <v>94.86</v>
      </c>
      <c r="DP91" s="39">
        <f>IF(WEEKDAY(DP$82,2)&gt;5,0,91.97)</f>
        <v>91.97</v>
      </c>
      <c r="DQ91" s="39">
        <f>IF(WEEKDAY(DQ$82,2)&gt;5,0,102.31)</f>
        <v>102.31</v>
      </c>
      <c r="DR91" s="39">
        <f>IF(WEEKDAY(DR$82,2)&gt;5,0,104.63)</f>
        <v>0</v>
      </c>
      <c r="DS91" s="39">
        <f>IF(WEEKDAY(DS$82,2)&gt;5,0,104.21)</f>
        <v>0</v>
      </c>
      <c r="DT91" s="39">
        <f>IF(WEEKDAY(DT$82,2)&gt;5,0,90.87)</f>
        <v>90.87</v>
      </c>
      <c r="DU91" s="39">
        <f>IF(WEEKDAY(DU$82,2)&gt;5,0,97.15)</f>
        <v>97.15</v>
      </c>
      <c r="DV91" s="39">
        <f>IF(WEEKDAY(DV$82,2)&gt;5,0,113.89)</f>
        <v>113.89</v>
      </c>
      <c r="DW91" s="39">
        <f>IF(WEEKDAY(DW$82,2)&gt;5,0,94.76)</f>
        <v>94.76</v>
      </c>
      <c r="DX91" s="39">
        <f>IF(WEEKDAY(DX$82,2)&gt;5,0,103.24)</f>
        <v>103.24</v>
      </c>
      <c r="DY91" s="39">
        <f>IF(WEEKDAY(DY$82,2)&gt;5,0,90.34)</f>
        <v>0</v>
      </c>
      <c r="DZ91" s="39">
        <f>IF(WEEKDAY(DZ$82,2)&gt;5,0,91.98)</f>
        <v>0</v>
      </c>
      <c r="EA91" s="39">
        <f>IF(WEEKDAY(EA$82,2)&gt;5,0,110.84)</f>
        <v>110.84</v>
      </c>
      <c r="EB91" s="39">
        <f>IF(WEEKDAY(EB$82,2)&gt;5,0,94.9)</f>
        <v>94.9</v>
      </c>
      <c r="EC91" s="39">
        <f>IF(WEEKDAY(EC$82,2)&gt;5,0,85.01)</f>
        <v>85.01</v>
      </c>
      <c r="ED91" s="39">
        <f>IF(WEEKDAY(ED$82,2)&gt;5,0,109.02)</f>
        <v>109.02</v>
      </c>
      <c r="EE91" s="39">
        <f>IF(WEEKDAY(EE$82,2)&gt;5,0,89.2)</f>
        <v>89.2</v>
      </c>
      <c r="EF91" s="39">
        <f>IF(WEEKDAY(EF$82,2)&gt;5,0,110.4)</f>
        <v>0</v>
      </c>
      <c r="EG91" s="39">
        <f>IF(WEEKDAY(EG$82,2)&gt;5,0,103.68)</f>
        <v>0</v>
      </c>
      <c r="EH91" s="39">
        <f>IF(WEEKDAY(EH$82,2)&gt;5,0,105.54)</f>
        <v>105.54</v>
      </c>
      <c r="EI91" s="39">
        <f>IF(WEEKDAY(EI$82,2)&gt;5,0,104.65)</f>
        <v>104.65</v>
      </c>
      <c r="EJ91" s="39">
        <f>IF(WEEKDAY(EJ$82,2)&gt;5,0,96.13)</f>
        <v>96.13</v>
      </c>
      <c r="EK91" s="39">
        <f>IF(WEEKDAY(EK$82,2)&gt;5,0,92.55)</f>
        <v>92.55</v>
      </c>
      <c r="EL91" s="39">
        <f>IF(WEEKDAY(EL$82,2)&gt;5,0,103.04)</f>
        <v>103.04</v>
      </c>
      <c r="EM91" s="39">
        <f>IF(WEEKDAY(EM$82,2)&gt;5,0,104.23)</f>
        <v>0</v>
      </c>
      <c r="EN91" s="39">
        <f>IF(WEEKDAY(EN$82,2)&gt;5,0,97.92)</f>
        <v>0</v>
      </c>
      <c r="EO91" s="39">
        <f>IF(WEEKDAY(EO$82,2)&gt;5,0,104.01)</f>
        <v>104.01</v>
      </c>
      <c r="EP91" s="39">
        <f>IF(WEEKDAY(EP$82,2)&gt;5,0,102.44)</f>
        <v>102.44</v>
      </c>
      <c r="EQ91" s="39">
        <f>IF(WEEKDAY(EQ$82,2)&gt;5,0,113.47)</f>
        <v>113.47</v>
      </c>
      <c r="ER91" s="39">
        <f>IF(WEEKDAY(ER$82,2)&gt;5,0,96.05)</f>
        <v>96.05</v>
      </c>
      <c r="ES91" s="39">
        <f>IF(WEEKDAY(ES$82,2)&gt;5,0,101.39)</f>
        <v>101.39</v>
      </c>
      <c r="ET91" s="39">
        <f>IF(WEEKDAY(ET$82,2)&gt;5,0,106.92)</f>
        <v>0</v>
      </c>
      <c r="EU91" s="39">
        <f>IF(WEEKDAY(EU$82,2)&gt;5,0,109.51)</f>
        <v>0</v>
      </c>
      <c r="EV91" s="39">
        <f>IF(WEEKDAY(EV$82,2)&gt;5,0,112.56)</f>
        <v>112.56</v>
      </c>
      <c r="EW91" s="39">
        <f>IF(WEEKDAY(EW$82,2)&gt;5,0,94.92)</f>
        <v>94.92</v>
      </c>
      <c r="EX91" s="39">
        <f>IF(WEEKDAY(EX$82,2)&gt;5,0,111.41)</f>
        <v>111.41</v>
      </c>
      <c r="EY91" s="39">
        <f>IF(WEEKDAY(EY$82,2)&gt;5,0,86.23)</f>
        <v>86.23</v>
      </c>
      <c r="EZ91" s="39">
        <f>IF(WEEKDAY(EZ$82,2)&gt;5,0,88.76)</f>
        <v>88.76</v>
      </c>
      <c r="FA91" s="39">
        <f>IF(WEEKDAY(FA$82,2)&gt;5,0,86.89)</f>
        <v>0</v>
      </c>
      <c r="FB91" s="39">
        <f>IF(WEEKDAY(FB$82,2)&gt;5,0,97.58)</f>
        <v>0</v>
      </c>
      <c r="FC91" s="39">
        <f>IF(WEEKDAY(FC$82,2)&gt;5,0,88.34)</f>
        <v>88.34</v>
      </c>
      <c r="FD91" s="39">
        <f>IF(WEEKDAY(FD$82,2)&gt;5,0,100.62)</f>
        <v>100.62</v>
      </c>
      <c r="FE91" s="39">
        <f>IF(WEEKDAY(FE$82,2)&gt;5,0,98.55)</f>
        <v>98.55</v>
      </c>
      <c r="FF91" s="39">
        <f>IF(WEEKDAY(FF$82,2)&gt;5,0,113.6)</f>
        <v>113.6</v>
      </c>
      <c r="FG91" s="39">
        <f>IF(WEEKDAY(FG$82,2)&gt;5,0,99.69)</f>
        <v>99.69</v>
      </c>
      <c r="FH91" s="39">
        <f>IF(WEEKDAY(FH$82,2)&gt;5,0,107.12)</f>
        <v>0</v>
      </c>
      <c r="FI91" s="39">
        <f>IF(WEEKDAY(FI$82,2)&gt;5,0,99.98)</f>
        <v>0</v>
      </c>
      <c r="FJ91" s="39">
        <f>IF(WEEKDAY(FJ$82,2)&gt;5,0,114)</f>
        <v>114</v>
      </c>
      <c r="FK91" s="39">
        <f>IF(WEEKDAY(FK$82,2)&gt;5,0,109.97)</f>
        <v>109.97</v>
      </c>
      <c r="FL91" s="39">
        <f>IF(WEEKDAY(FL$82,2)&gt;5,0,99.19)</f>
        <v>99.19</v>
      </c>
      <c r="FM91" s="39">
        <f>IF(WEEKDAY(FM$82,2)&gt;5,0,88.26)</f>
        <v>88.26</v>
      </c>
      <c r="FN91" s="39">
        <f>IF(WEEKDAY(FN$82,2)&gt;5,0,106.66)</f>
        <v>106.66</v>
      </c>
      <c r="FO91" s="39">
        <f>IF(WEEKDAY(FO$82,2)&gt;5,0,85.3)</f>
        <v>0</v>
      </c>
      <c r="FP91" s="39">
        <f>IF(WEEKDAY(FP$82,2)&gt;5,0,103.34)</f>
        <v>0</v>
      </c>
      <c r="FQ91" s="39">
        <f>IF(WEEKDAY(FQ$82,2)&gt;5,0,88.82)</f>
        <v>88.82</v>
      </c>
      <c r="FR91" s="39">
        <f>IF(WEEKDAY(FR$82,2)&gt;5,0,113.7)</f>
        <v>113.7</v>
      </c>
      <c r="FS91" s="39">
        <f>IF(WEEKDAY(FS$82,2)&gt;5,0,102.16)</f>
        <v>102.16</v>
      </c>
      <c r="FT91" s="39">
        <f>IF(WEEKDAY(FT$82,2)&gt;5,0,110.99)</f>
        <v>110.99</v>
      </c>
      <c r="FU91" s="39">
        <f>IF(WEEKDAY(FU$82,2)&gt;5,0,98.61)</f>
        <v>98.61</v>
      </c>
      <c r="FV91" s="39">
        <f>IF(WEEKDAY(FV$82,2)&gt;5,0,96.14)</f>
        <v>0</v>
      </c>
      <c r="FW91" s="39">
        <f>IF(WEEKDAY(FW$82,2)&gt;5,0,92.55)</f>
        <v>0</v>
      </c>
      <c r="FX91" s="39">
        <f>IF(WEEKDAY(FX$82,2)&gt;5,0,102.12)</f>
        <v>102.12</v>
      </c>
      <c r="FY91" s="39">
        <f>IF(WEEKDAY(FY$82,2)&gt;5,0,101.91)</f>
        <v>101.91</v>
      </c>
      <c r="FZ91" s="39">
        <f>IF(WEEKDAY(FZ$82,2)&gt;5,0,92.54)</f>
        <v>92.54</v>
      </c>
      <c r="GA91" s="39">
        <f>IF(WEEKDAY(GA$82,2)&gt;5,0,91.71)</f>
        <v>91.71</v>
      </c>
      <c r="GB91" s="39">
        <f>IF(WEEKDAY(GB$82,2)&gt;5,0,98.82)</f>
        <v>98.82</v>
      </c>
      <c r="GC91" s="39">
        <f>IF(WEEKDAY(GC$82,2)&gt;5,0,86.89)</f>
        <v>0</v>
      </c>
      <c r="GD91" s="39">
        <f>IF(WEEKDAY(GD$82,2)&gt;5,0,98.93)</f>
        <v>0</v>
      </c>
      <c r="GE91" s="39">
        <f>IF(WEEKDAY(GE$82,2)&gt;5,0,107.94)</f>
        <v>107.94</v>
      </c>
      <c r="GF91" s="39">
        <f>IF(WEEKDAY(GF$82,2)&gt;5,0,100.9)</f>
        <v>100.9</v>
      </c>
      <c r="GG91" s="39">
        <f>IF(WEEKDAY(GG$82,2)&gt;5,0,95.86)</f>
        <v>95.86</v>
      </c>
      <c r="GH91" s="39">
        <f>IF(WEEKDAY(GH$82,2)&gt;5,0,86)</f>
        <v>86</v>
      </c>
      <c r="GI91" s="39">
        <f>IF(WEEKDAY(GI$82,2)&gt;5,0,92.71)</f>
        <v>92.71</v>
      </c>
      <c r="GJ91" s="39">
        <f>IF(WEEKDAY(GJ$82,2)&gt;5,0,95.74)</f>
        <v>0</v>
      </c>
      <c r="GK91" s="39">
        <f>IF(WEEKDAY(GK$82,2)&gt;5,0,95.77)</f>
        <v>0</v>
      </c>
      <c r="GL91" s="39">
        <f>IF(WEEKDAY(GL$82,2)&gt;5,0,93.16)</f>
        <v>93.16</v>
      </c>
      <c r="GM91" s="39">
        <f>IF(WEEKDAY(GM$82,2)&gt;5,0,88.84)</f>
        <v>88.84</v>
      </c>
      <c r="GN91" s="39">
        <f>IF(WEEKDAY(GN$82,2)&gt;5,0,108.44)</f>
        <v>108.44</v>
      </c>
      <c r="GO91" s="39">
        <f>IF(WEEKDAY(GO$82,2)&gt;5,0,107.95)</f>
        <v>107.95</v>
      </c>
      <c r="GP91" s="39">
        <f>IF(WEEKDAY(GP$82,2)&gt;5,0,89.18)</f>
        <v>89.18</v>
      </c>
      <c r="GQ91" s="39">
        <f>IF(WEEKDAY(GQ$82,2)&gt;5,0,111.87)</f>
        <v>0</v>
      </c>
      <c r="GR91" s="39">
        <f>IF(WEEKDAY(GR$82,2)&gt;5,0,113.05)</f>
        <v>0</v>
      </c>
      <c r="GS91" s="39">
        <f>IF(WEEKDAY(GS$82,2)&gt;5,0,114.45)</f>
        <v>114.45</v>
      </c>
      <c r="GT91" s="39">
        <f>IF(WEEKDAY(GT$82,2)&gt;5,0,109.08)</f>
        <v>109.08</v>
      </c>
      <c r="GU91" s="39">
        <f>IF(WEEKDAY(GU$82,2)&gt;5,0,90.72)</f>
        <v>90.72</v>
      </c>
      <c r="GV91" s="39">
        <f>IF(WEEKDAY(GV$82,2)&gt;5,0,91.17)</f>
        <v>91.17</v>
      </c>
      <c r="GW91" s="39">
        <f>IF(WEEKDAY(GW$82,2)&gt;5,0,103.43)</f>
        <v>103.43</v>
      </c>
      <c r="GX91" s="39">
        <f>IF(WEEKDAY(GX$82,2)&gt;5,0,105)</f>
        <v>0</v>
      </c>
      <c r="GY91" s="39">
        <f>IF(WEEKDAY(GY$82,2)&gt;5,0,109.89)</f>
        <v>0</v>
      </c>
      <c r="GZ91" s="39">
        <f>IF(WEEKDAY(GZ$82,2)&gt;5,0,93.88)</f>
        <v>93.88</v>
      </c>
      <c r="HA91" s="39">
        <f>IF(WEEKDAY(HA$82,2)&gt;5,0,114.31)</f>
        <v>114.31</v>
      </c>
      <c r="HB91" s="39">
        <f>IF(WEEKDAY(HB$82,2)&gt;5,0,90.99)</f>
        <v>90.99</v>
      </c>
      <c r="HC91" s="39">
        <f>IF(WEEKDAY(HC$82,2)&gt;5,0,98.31)</f>
        <v>98.31</v>
      </c>
      <c r="HD91" s="39">
        <f>IF(WEEKDAY(HD$82,2)&gt;5,0,87.13)</f>
        <v>87.13</v>
      </c>
      <c r="HE91" s="39">
        <f>IF(WEEKDAY(HE$82,2)&gt;5,0,109.95)</f>
        <v>0</v>
      </c>
      <c r="HF91" s="39">
        <f>IF(WEEKDAY(HF$82,2)&gt;5,0,102.89)</f>
        <v>0</v>
      </c>
      <c r="HG91" s="39">
        <f>IF(WEEKDAY(HG$82,2)&gt;5,0,96.26)</f>
        <v>96.26</v>
      </c>
      <c r="HH91" s="39">
        <f>IF(WEEKDAY(HH$82,2)&gt;5,0,113.08)</f>
        <v>113.08</v>
      </c>
      <c r="HI91" s="39">
        <f>IF(WEEKDAY(HI$82,2)&gt;5,0,110.36)</f>
        <v>110.36</v>
      </c>
      <c r="HJ91" s="39">
        <f>IF(WEEKDAY(HJ$82,2)&gt;5,0,90.79)</f>
        <v>90.79</v>
      </c>
      <c r="HK91" s="39">
        <f>IF(WEEKDAY(HK$82,2)&gt;5,0,85.29)</f>
        <v>85.29</v>
      </c>
      <c r="HL91" s="39">
        <f>IF(WEEKDAY(HL$82,2)&gt;5,0,89.31)</f>
        <v>0</v>
      </c>
      <c r="HM91" s="39">
        <f>IF(WEEKDAY(HM$82,2)&gt;5,0,106.26)</f>
        <v>0</v>
      </c>
      <c r="HN91" s="39">
        <f>IF(WEEKDAY(HN$82,2)&gt;5,0,96.4)</f>
        <v>96.4</v>
      </c>
      <c r="HO91" s="39">
        <f>IF(WEEKDAY(HO$82,2)&gt;5,0,98.23)</f>
        <v>98.23</v>
      </c>
      <c r="HP91" s="39">
        <f>IF(WEEKDAY(HP$82,2)&gt;5,0,98.57)</f>
        <v>98.57</v>
      </c>
      <c r="HQ91" s="39">
        <f>IF(WEEKDAY(HQ$82,2)&gt;5,0,85.16)</f>
        <v>85.16</v>
      </c>
      <c r="HR91" s="39">
        <f>IF(WEEKDAY(HR$82,2)&gt;5,0,88.22)</f>
        <v>88.22</v>
      </c>
      <c r="HS91" s="39">
        <f>IF(WEEKDAY(HS$82,2)&gt;5,0,102.24)</f>
        <v>0</v>
      </c>
      <c r="HT91" s="39">
        <f>IF(WEEKDAY(HT$82,2)&gt;5,0,107.19)</f>
        <v>0</v>
      </c>
      <c r="HU91" s="39">
        <f>IF(WEEKDAY(HU$82,2)&gt;5,0,88.19)</f>
        <v>88.19</v>
      </c>
      <c r="HV91" s="39">
        <f>IF(WEEKDAY(HV$82,2)&gt;5,0,89.88)</f>
        <v>89.88</v>
      </c>
      <c r="HW91" s="39">
        <f>IF(WEEKDAY(HW$82,2)&gt;5,0,91.43)</f>
        <v>91.43</v>
      </c>
      <c r="HX91" s="39">
        <f>IF(WEEKDAY(HX$82,2)&gt;5,0,114.14)</f>
        <v>114.14</v>
      </c>
      <c r="HY91" s="39">
        <f>IF(WEEKDAY(HY$82,2)&gt;5,0,98.43)</f>
        <v>98.43</v>
      </c>
      <c r="HZ91" s="39">
        <f>IF(WEEKDAY(HZ$82,2)&gt;5,0,100.04)</f>
        <v>0</v>
      </c>
      <c r="IA91" s="39">
        <f>IF(WEEKDAY(IA$82,2)&gt;5,0,85.14)</f>
        <v>0</v>
      </c>
      <c r="IB91" s="39">
        <f>IF(WEEKDAY(IB$82,2)&gt;5,0,95.02)</f>
        <v>95.02</v>
      </c>
      <c r="IC91" s="39">
        <f>IF(WEEKDAY(IC$82,2)&gt;5,0,89.34)</f>
        <v>89.34</v>
      </c>
      <c r="ID91" s="39">
        <f>IF(WEEKDAY(ID$82,2)&gt;5,0,111.96)</f>
        <v>111.96</v>
      </c>
      <c r="IE91" s="39">
        <f>IF(WEEKDAY(IE$82,2)&gt;5,0,97.46)</f>
        <v>97.46</v>
      </c>
      <c r="IF91" s="39">
        <f>IF(WEEKDAY(IF$82,2)&gt;5,0,90.61)</f>
        <v>90.61</v>
      </c>
      <c r="IG91" s="39">
        <f>IF(WEEKDAY(IG$82,2)&gt;5,0,93.58)</f>
        <v>0</v>
      </c>
      <c r="IH91" s="39">
        <f>IF(WEEKDAY(IH$82,2)&gt;5,0,110.31)</f>
        <v>0</v>
      </c>
      <c r="II91" s="39">
        <f>IF(WEEKDAY(II$82,2)&gt;5,0,95.48)</f>
        <v>95.48</v>
      </c>
      <c r="IJ91" s="39">
        <f>IF(WEEKDAY(IJ$82,2)&gt;5,0,100.15)</f>
        <v>100.15</v>
      </c>
      <c r="IK91" s="39">
        <f>IF(WEEKDAY(IK$82,2)&gt;5,0,86.68)</f>
        <v>86.68</v>
      </c>
      <c r="IL91" s="39">
        <f>IF(WEEKDAY(IL$82,2)&gt;5,0,111.43)</f>
        <v>111.43</v>
      </c>
    </row>
    <row r="92" spans="1:246" x14ac:dyDescent="0.3">
      <c r="A92" t="s">
        <v>91</v>
      </c>
      <c r="B92" s="39">
        <v>0</v>
      </c>
      <c r="C92" s="39">
        <v>0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0</v>
      </c>
      <c r="AJ92" s="39">
        <v>0</v>
      </c>
      <c r="AK92" s="39">
        <v>0</v>
      </c>
      <c r="AL92" s="39">
        <v>0</v>
      </c>
      <c r="AM92" s="39">
        <v>0</v>
      </c>
      <c r="AN92" s="39">
        <v>0</v>
      </c>
      <c r="AO92" s="39">
        <v>0</v>
      </c>
      <c r="AP92" s="39">
        <v>0</v>
      </c>
      <c r="AQ92" s="39">
        <v>0</v>
      </c>
      <c r="AR92" s="39">
        <v>0</v>
      </c>
      <c r="AS92" s="39">
        <v>0</v>
      </c>
      <c r="AT92" s="39">
        <v>0</v>
      </c>
      <c r="AU92" s="39">
        <v>0</v>
      </c>
      <c r="AV92" s="39">
        <v>0</v>
      </c>
      <c r="AW92" s="39">
        <v>0</v>
      </c>
      <c r="AX92" s="39">
        <v>0</v>
      </c>
      <c r="AY92" s="39">
        <v>0</v>
      </c>
      <c r="AZ92" s="39">
        <v>0</v>
      </c>
      <c r="BA92" s="39">
        <v>0</v>
      </c>
      <c r="BB92" s="39">
        <v>0</v>
      </c>
      <c r="BC92" s="39">
        <v>0</v>
      </c>
      <c r="BD92" s="39">
        <v>0</v>
      </c>
      <c r="BE92" s="39">
        <v>0</v>
      </c>
      <c r="BF92" s="39">
        <v>0</v>
      </c>
      <c r="BG92" s="39">
        <v>0</v>
      </c>
      <c r="BH92" s="39">
        <v>0</v>
      </c>
      <c r="BI92" s="39">
        <v>0</v>
      </c>
      <c r="BJ92" s="39">
        <v>0</v>
      </c>
      <c r="BK92" s="39">
        <v>0</v>
      </c>
      <c r="BL92" s="39">
        <v>0</v>
      </c>
      <c r="BM92" s="39">
        <v>0</v>
      </c>
      <c r="BN92" s="39">
        <v>0</v>
      </c>
      <c r="BO92" s="39">
        <v>0</v>
      </c>
      <c r="BP92" s="39">
        <v>0</v>
      </c>
      <c r="BQ92" s="39">
        <v>0</v>
      </c>
      <c r="BR92" s="39">
        <v>0</v>
      </c>
      <c r="BS92" s="39">
        <v>0</v>
      </c>
      <c r="BT92" s="39">
        <v>0</v>
      </c>
      <c r="BU92" s="39">
        <v>0</v>
      </c>
      <c r="BV92" s="39">
        <v>0</v>
      </c>
      <c r="BW92" s="39">
        <v>0</v>
      </c>
      <c r="BX92" s="39">
        <v>0</v>
      </c>
      <c r="BY92" s="39">
        <v>0</v>
      </c>
      <c r="BZ92" s="39">
        <v>0</v>
      </c>
      <c r="CA92" s="39">
        <v>0</v>
      </c>
      <c r="CB92" s="39">
        <v>0</v>
      </c>
      <c r="CC92" s="39">
        <v>0</v>
      </c>
      <c r="CD92" s="39">
        <v>0</v>
      </c>
      <c r="CE92" s="39">
        <v>0</v>
      </c>
      <c r="CF92" s="39">
        <v>0</v>
      </c>
      <c r="CG92" s="39">
        <v>0</v>
      </c>
      <c r="CH92" s="39">
        <v>0</v>
      </c>
      <c r="CI92" s="39">
        <v>0</v>
      </c>
      <c r="CJ92" s="39">
        <v>0</v>
      </c>
      <c r="CK92" s="39">
        <v>0</v>
      </c>
      <c r="CL92" s="39">
        <v>0</v>
      </c>
      <c r="CM92" s="39">
        <v>0</v>
      </c>
      <c r="CN92" s="39">
        <v>0</v>
      </c>
      <c r="CO92" s="39">
        <v>0</v>
      </c>
      <c r="CP92" s="39">
        <v>0</v>
      </c>
      <c r="CQ92" s="39">
        <v>0</v>
      </c>
      <c r="CR92" s="39">
        <v>0</v>
      </c>
      <c r="CS92" s="39">
        <v>0</v>
      </c>
      <c r="CT92" s="39">
        <v>0</v>
      </c>
      <c r="CU92" s="39">
        <v>0</v>
      </c>
      <c r="CV92" s="39">
        <v>0</v>
      </c>
      <c r="CW92" s="39">
        <v>0</v>
      </c>
      <c r="CX92" s="39">
        <v>0</v>
      </c>
      <c r="CY92" s="39">
        <v>0</v>
      </c>
      <c r="CZ92" s="39">
        <v>0</v>
      </c>
      <c r="DA92" s="39">
        <v>0</v>
      </c>
      <c r="DB92" s="39">
        <v>0</v>
      </c>
      <c r="DC92" s="39">
        <v>0</v>
      </c>
      <c r="DD92" s="39">
        <v>0</v>
      </c>
      <c r="DE92" s="39">
        <v>0</v>
      </c>
      <c r="DF92" s="39">
        <v>0</v>
      </c>
      <c r="DG92" s="39">
        <v>0</v>
      </c>
      <c r="DH92" s="39">
        <v>0</v>
      </c>
      <c r="DI92" s="39">
        <v>0</v>
      </c>
      <c r="DJ92" s="39">
        <v>0</v>
      </c>
      <c r="DK92" s="39">
        <v>0</v>
      </c>
      <c r="DL92" s="39">
        <v>0</v>
      </c>
      <c r="DM92" s="39">
        <v>0</v>
      </c>
      <c r="DN92" s="39">
        <v>0</v>
      </c>
      <c r="DO92" s="39">
        <v>0</v>
      </c>
      <c r="DP92" s="39">
        <v>0</v>
      </c>
      <c r="DQ92" s="39">
        <v>0</v>
      </c>
      <c r="DR92" s="39">
        <v>0</v>
      </c>
      <c r="DS92" s="39">
        <v>0</v>
      </c>
      <c r="DT92" s="39">
        <v>0</v>
      </c>
      <c r="DU92" s="39">
        <v>0</v>
      </c>
      <c r="DV92" s="39">
        <v>0</v>
      </c>
      <c r="DW92" s="39">
        <v>0</v>
      </c>
      <c r="DX92" s="39">
        <v>0</v>
      </c>
      <c r="DY92" s="39">
        <v>0</v>
      </c>
      <c r="DZ92" s="39">
        <v>0</v>
      </c>
      <c r="EA92" s="39">
        <v>0</v>
      </c>
      <c r="EB92" s="39">
        <v>0</v>
      </c>
      <c r="EC92" s="39">
        <v>0</v>
      </c>
      <c r="ED92" s="39">
        <v>0</v>
      </c>
      <c r="EE92" s="39">
        <v>0</v>
      </c>
      <c r="EF92" s="39">
        <v>0</v>
      </c>
      <c r="EG92" s="39">
        <v>0</v>
      </c>
      <c r="EH92" s="39">
        <v>0</v>
      </c>
      <c r="EI92" s="39">
        <v>0</v>
      </c>
      <c r="EJ92" s="39">
        <v>0</v>
      </c>
      <c r="EK92" s="39">
        <v>0</v>
      </c>
      <c r="EL92" s="39">
        <v>0</v>
      </c>
      <c r="EM92" s="39">
        <v>0</v>
      </c>
      <c r="EN92" s="39">
        <v>0</v>
      </c>
      <c r="EO92" s="39">
        <v>0</v>
      </c>
      <c r="EP92" s="39">
        <v>0</v>
      </c>
      <c r="EQ92" s="39">
        <v>0</v>
      </c>
      <c r="ER92" s="39">
        <v>0</v>
      </c>
      <c r="ES92" s="39">
        <v>0</v>
      </c>
      <c r="ET92" s="39">
        <v>0</v>
      </c>
      <c r="EU92" s="39">
        <v>0</v>
      </c>
      <c r="EV92" s="39">
        <v>0</v>
      </c>
      <c r="EW92" s="39">
        <v>0</v>
      </c>
      <c r="EX92" s="39">
        <v>0</v>
      </c>
      <c r="EY92" s="39">
        <v>0</v>
      </c>
      <c r="EZ92" s="39">
        <v>0</v>
      </c>
      <c r="FA92" s="39">
        <v>0</v>
      </c>
      <c r="FB92" s="39">
        <v>0</v>
      </c>
      <c r="FC92" s="39">
        <v>0</v>
      </c>
      <c r="FD92" s="39">
        <v>0</v>
      </c>
      <c r="FE92" s="39">
        <v>0</v>
      </c>
      <c r="FF92" s="39">
        <v>0</v>
      </c>
      <c r="FG92" s="39">
        <v>0</v>
      </c>
      <c r="FH92" s="39">
        <v>0</v>
      </c>
      <c r="FI92" s="39">
        <v>0</v>
      </c>
      <c r="FJ92" s="39">
        <v>0</v>
      </c>
      <c r="FK92" s="39">
        <v>0</v>
      </c>
      <c r="FL92" s="39">
        <v>0</v>
      </c>
      <c r="FM92" s="39">
        <v>0</v>
      </c>
      <c r="FN92" s="39">
        <v>0</v>
      </c>
      <c r="FO92" s="39">
        <v>0</v>
      </c>
      <c r="FP92" s="39">
        <v>0</v>
      </c>
      <c r="FQ92" s="39">
        <v>0</v>
      </c>
      <c r="FR92" s="39">
        <v>0</v>
      </c>
      <c r="FS92" s="39">
        <v>0</v>
      </c>
      <c r="FT92" s="39">
        <v>0</v>
      </c>
      <c r="FU92" s="39">
        <v>0</v>
      </c>
      <c r="FV92" s="39">
        <v>0</v>
      </c>
      <c r="FW92" s="39">
        <v>0</v>
      </c>
      <c r="FX92" s="39">
        <v>0</v>
      </c>
      <c r="FY92" s="39">
        <v>0</v>
      </c>
      <c r="FZ92" s="39">
        <v>0</v>
      </c>
      <c r="GA92" s="39">
        <v>0</v>
      </c>
      <c r="GB92" s="39">
        <v>0</v>
      </c>
      <c r="GC92" s="39">
        <v>0</v>
      </c>
      <c r="GD92" s="39">
        <v>0</v>
      </c>
      <c r="GE92" s="39">
        <v>0</v>
      </c>
      <c r="GF92" s="39">
        <v>0</v>
      </c>
      <c r="GG92" s="39">
        <v>0</v>
      </c>
      <c r="GH92" s="39">
        <v>0</v>
      </c>
      <c r="GI92" s="39">
        <v>0</v>
      </c>
      <c r="GJ92" s="39">
        <v>0</v>
      </c>
      <c r="GK92" s="39">
        <v>0</v>
      </c>
      <c r="GL92" s="39">
        <v>0</v>
      </c>
      <c r="GM92" s="39">
        <v>0</v>
      </c>
      <c r="GN92" s="39">
        <v>0</v>
      </c>
      <c r="GO92" s="39">
        <v>0</v>
      </c>
      <c r="GP92" s="39">
        <v>0</v>
      </c>
      <c r="GQ92" s="39">
        <v>0</v>
      </c>
      <c r="GR92" s="39">
        <v>0</v>
      </c>
      <c r="GS92" s="39">
        <v>0</v>
      </c>
      <c r="GT92" s="39">
        <v>0</v>
      </c>
      <c r="GU92" s="39">
        <v>0</v>
      </c>
      <c r="GV92" s="39">
        <v>0</v>
      </c>
      <c r="GW92" s="39">
        <v>0</v>
      </c>
      <c r="GX92" s="39">
        <v>0</v>
      </c>
      <c r="GY92" s="39">
        <v>0</v>
      </c>
      <c r="GZ92" s="39">
        <v>0</v>
      </c>
      <c r="HA92" s="39">
        <v>0</v>
      </c>
      <c r="HB92" s="39">
        <v>0</v>
      </c>
      <c r="HC92" s="39">
        <v>0</v>
      </c>
      <c r="HD92" s="39">
        <v>0</v>
      </c>
      <c r="HE92" s="39">
        <v>0</v>
      </c>
      <c r="HF92" s="39">
        <v>0</v>
      </c>
      <c r="HG92" s="39">
        <v>0</v>
      </c>
      <c r="HH92" s="39">
        <v>0</v>
      </c>
      <c r="HI92" s="39">
        <v>0</v>
      </c>
      <c r="HJ92" s="39">
        <v>0</v>
      </c>
      <c r="HK92" s="39">
        <v>0</v>
      </c>
      <c r="HL92" s="39">
        <v>0</v>
      </c>
      <c r="HM92" s="39">
        <v>0</v>
      </c>
      <c r="HN92" s="39">
        <v>0</v>
      </c>
      <c r="HO92" s="39">
        <v>0</v>
      </c>
      <c r="HP92" s="39">
        <v>0</v>
      </c>
      <c r="HQ92" s="39">
        <v>0</v>
      </c>
      <c r="HR92" s="39">
        <v>0</v>
      </c>
      <c r="HS92" s="39">
        <v>0</v>
      </c>
      <c r="HT92" s="39">
        <v>0</v>
      </c>
      <c r="HU92" s="39">
        <v>0</v>
      </c>
      <c r="HV92" s="39">
        <v>0</v>
      </c>
      <c r="HW92" s="39">
        <v>0</v>
      </c>
      <c r="HX92" s="39">
        <v>0</v>
      </c>
      <c r="HY92" s="39">
        <v>0</v>
      </c>
      <c r="HZ92" s="39">
        <v>0</v>
      </c>
      <c r="IA92" s="39">
        <v>0</v>
      </c>
      <c r="IB92" s="39">
        <v>0</v>
      </c>
      <c r="IC92" s="39">
        <v>0</v>
      </c>
      <c r="ID92" s="39">
        <v>0</v>
      </c>
      <c r="IE92" s="39">
        <v>0</v>
      </c>
      <c r="IF92" s="39">
        <v>0</v>
      </c>
      <c r="IG92" s="39">
        <v>0</v>
      </c>
      <c r="IH92" s="39">
        <v>0</v>
      </c>
      <c r="II92" s="39">
        <v>0</v>
      </c>
      <c r="IJ92" s="39">
        <v>0</v>
      </c>
      <c r="IK92" s="39">
        <v>0</v>
      </c>
      <c r="IL92" s="39">
        <v>0</v>
      </c>
    </row>
    <row r="93" spans="1:246" x14ac:dyDescent="0.3">
      <c r="A93" t="s">
        <v>92</v>
      </c>
      <c r="B93" s="39">
        <f>IF(WEEKDAY(B$82,2)&gt;5,0,18.67)</f>
        <v>18.670000000000002</v>
      </c>
      <c r="C93" s="39">
        <f>IF(WEEKDAY(C$82,2)&gt;5,0,19.53)</f>
        <v>0</v>
      </c>
      <c r="D93" s="39">
        <f>IF(WEEKDAY(D$82,2)&gt;5,0,20.48)</f>
        <v>0</v>
      </c>
      <c r="E93" s="39">
        <f>IF(WEEKDAY(E$82,2)&gt;5,0,21.35)</f>
        <v>21.35</v>
      </c>
      <c r="F93" s="39">
        <f>IF(WEEKDAY(F$82,2)&gt;5,0,19.66)</f>
        <v>19.66</v>
      </c>
      <c r="G93" s="39">
        <f>IF(WEEKDAY(G$82,2)&gt;5,0,17.93)</f>
        <v>17.93</v>
      </c>
      <c r="H93" s="39">
        <f>IF(WEEKDAY(H$82,2)&gt;5,0,19.59)</f>
        <v>19.59</v>
      </c>
      <c r="I93" s="39">
        <f>IF(WEEKDAY(I$82,2)&gt;5,0,20.33)</f>
        <v>20.329999999999998</v>
      </c>
      <c r="J93" s="39">
        <f>IF(WEEKDAY(J$82,2)&gt;5,0,21.66)</f>
        <v>0</v>
      </c>
      <c r="K93" s="39">
        <f>IF(WEEKDAY(K$82,2)&gt;5,0,20.43)</f>
        <v>0</v>
      </c>
      <c r="L93" s="39">
        <f>IF(WEEKDAY(L$82,2)&gt;5,0,20.82)</f>
        <v>20.82</v>
      </c>
      <c r="M93" s="39">
        <f>IF(WEEKDAY(M$82,2)&gt;5,0,17.77)</f>
        <v>17.77</v>
      </c>
      <c r="N93" s="39">
        <f>IF(WEEKDAY(N$82,2)&gt;5,0,17.37)</f>
        <v>17.37</v>
      </c>
      <c r="O93" s="39">
        <f>IF(WEEKDAY(O$82,2)&gt;5,0,22.28)</f>
        <v>22.28</v>
      </c>
      <c r="P93" s="39">
        <f>IF(WEEKDAY(P$82,2)&gt;5,0,20.57)</f>
        <v>20.57</v>
      </c>
      <c r="Q93" s="39">
        <f>IF(WEEKDAY(Q$82,2)&gt;5,0,22.47)</f>
        <v>0</v>
      </c>
      <c r="R93" s="39">
        <f>IF(WEEKDAY(R$82,2)&gt;5,0,20.91)</f>
        <v>0</v>
      </c>
      <c r="S93" s="39">
        <f>IF(WEEKDAY(S$82,2)&gt;5,0,21.72)</f>
        <v>21.72</v>
      </c>
      <c r="T93" s="39">
        <f>IF(WEEKDAY(T$82,2)&gt;5,0,22.39)</f>
        <v>22.39</v>
      </c>
      <c r="U93" s="39">
        <f>IF(WEEKDAY(U$82,2)&gt;5,0,18.03)</f>
        <v>18.03</v>
      </c>
      <c r="V93" s="39">
        <f>IF(WEEKDAY(V$82,2)&gt;5,0,17.41)</f>
        <v>17.41</v>
      </c>
      <c r="W93" s="39">
        <f>IF(WEEKDAY(W$82,2)&gt;5,0,20.8)</f>
        <v>20.8</v>
      </c>
      <c r="X93" s="39">
        <f>IF(WEEKDAY(X$82,2)&gt;5,0,19.62)</f>
        <v>0</v>
      </c>
      <c r="Y93" s="39">
        <f>IF(WEEKDAY(Y$82,2)&gt;5,0,18.64)</f>
        <v>0</v>
      </c>
      <c r="Z93" s="39">
        <f>IF(WEEKDAY(Z$82,2)&gt;5,0,17.83)</f>
        <v>17.829999999999998</v>
      </c>
      <c r="AA93" s="39">
        <f>IF(WEEKDAY(AA$82,2)&gt;5,0,20.22)</f>
        <v>20.22</v>
      </c>
      <c r="AB93" s="39">
        <f>IF(WEEKDAY(AB$82,2)&gt;5,0,22.88)</f>
        <v>22.88</v>
      </c>
      <c r="AC93" s="39">
        <f>IF(WEEKDAY(AC$82,2)&gt;5,0,18.8)</f>
        <v>18.8</v>
      </c>
      <c r="AD93" s="39">
        <f>IF(WEEKDAY(AD$82,2)&gt;5,0,18.22)</f>
        <v>18.22</v>
      </c>
      <c r="AE93" s="39">
        <f>IF(WEEKDAY(AE$82,2)&gt;5,0,18.91)</f>
        <v>0</v>
      </c>
      <c r="AF93" s="39">
        <f>IF(WEEKDAY(AF$82,2)&gt;5,0,18.31)</f>
        <v>0</v>
      </c>
      <c r="AG93" s="39">
        <f>IF(WEEKDAY(AG$82,2)&gt;5,0,20.94)</f>
        <v>20.94</v>
      </c>
      <c r="AH93" s="39">
        <f>IF(WEEKDAY(AH$82,2)&gt;5,0,21.31)</f>
        <v>21.31</v>
      </c>
      <c r="AI93" s="39">
        <f>IF(WEEKDAY(AI$82,2)&gt;5,0,22.36)</f>
        <v>22.36</v>
      </c>
      <c r="AJ93" s="39">
        <f>IF(WEEKDAY(AJ$82,2)&gt;5,0,18.88)</f>
        <v>18.88</v>
      </c>
      <c r="AK93" s="39">
        <f>IF(WEEKDAY(AK$82,2)&gt;5,0,21.42)</f>
        <v>21.42</v>
      </c>
      <c r="AL93" s="39">
        <f>IF(WEEKDAY(AL$82,2)&gt;5,0,18.7)</f>
        <v>0</v>
      </c>
      <c r="AM93" s="39">
        <f>IF(WEEKDAY(AM$82,2)&gt;5,0,19.11)</f>
        <v>0</v>
      </c>
      <c r="AN93" s="39">
        <f>IF(WEEKDAY(AN$82,2)&gt;5,0,17.13)</f>
        <v>17.13</v>
      </c>
      <c r="AO93" s="39">
        <f>IF(WEEKDAY(AO$82,2)&gt;5,0,20.73)</f>
        <v>20.73</v>
      </c>
      <c r="AP93" s="39">
        <f>IF(WEEKDAY(AP$82,2)&gt;5,0,20.43)</f>
        <v>20.43</v>
      </c>
      <c r="AQ93" s="39">
        <f>IF(WEEKDAY(AQ$82,2)&gt;5,0,19)</f>
        <v>19</v>
      </c>
      <c r="AR93" s="39">
        <f>IF(WEEKDAY(AR$82,2)&gt;5,0,18.61)</f>
        <v>18.61</v>
      </c>
      <c r="AS93" s="39">
        <f>IF(WEEKDAY(AS$82,2)&gt;5,0,21.65)</f>
        <v>0</v>
      </c>
      <c r="AT93" s="39">
        <f>IF(WEEKDAY(AT$82,2)&gt;5,0,22.83)</f>
        <v>0</v>
      </c>
      <c r="AU93" s="39">
        <f>IF(WEEKDAY(AU$82,2)&gt;5,0,18.01)</f>
        <v>18.010000000000002</v>
      </c>
      <c r="AV93" s="39">
        <f>IF(WEEKDAY(AV$82,2)&gt;5,0,22.79)</f>
        <v>22.79</v>
      </c>
      <c r="AW93" s="39">
        <f>IF(WEEKDAY(AW$82,2)&gt;5,0,21.36)</f>
        <v>21.36</v>
      </c>
      <c r="AX93" s="39">
        <f>IF(WEEKDAY(AX$82,2)&gt;5,0,21.58)</f>
        <v>21.58</v>
      </c>
      <c r="AY93" s="39">
        <f>IF(WEEKDAY(AY$82,2)&gt;5,0,18.85)</f>
        <v>18.850000000000001</v>
      </c>
      <c r="AZ93" s="39">
        <f>IF(WEEKDAY(AZ$82,2)&gt;5,0,17.23)</f>
        <v>0</v>
      </c>
      <c r="BA93" s="39">
        <f>IF(WEEKDAY(BA$82,2)&gt;5,0,22.28)</f>
        <v>0</v>
      </c>
      <c r="BB93" s="39">
        <f>IF(WEEKDAY(BB$82,2)&gt;5,0,22.75)</f>
        <v>22.75</v>
      </c>
      <c r="BC93" s="39">
        <f>IF(WEEKDAY(BC$82,2)&gt;5,0,19.87)</f>
        <v>19.87</v>
      </c>
      <c r="BD93" s="39">
        <f>IF(WEEKDAY(BD$82,2)&gt;5,0,19.37)</f>
        <v>19.37</v>
      </c>
      <c r="BE93" s="39">
        <f>IF(WEEKDAY(BE$82,2)&gt;5,0,21.34)</f>
        <v>21.34</v>
      </c>
      <c r="BF93" s="39">
        <f>IF(WEEKDAY(BF$82,2)&gt;5,0,20.98)</f>
        <v>20.98</v>
      </c>
      <c r="BG93" s="39">
        <f>IF(WEEKDAY(BG$82,2)&gt;5,0,20.14)</f>
        <v>0</v>
      </c>
      <c r="BH93" s="39">
        <f>IF(WEEKDAY(BH$82,2)&gt;5,0,22.36)</f>
        <v>0</v>
      </c>
      <c r="BI93" s="39">
        <f>IF(WEEKDAY(BI$82,2)&gt;5,0,17.41)</f>
        <v>17.41</v>
      </c>
      <c r="BJ93" s="39">
        <f>IF(WEEKDAY(BJ$82,2)&gt;5,0,21.46)</f>
        <v>21.46</v>
      </c>
      <c r="BK93" s="39">
        <f>IF(WEEKDAY(BK$82,2)&gt;5,0,22.26)</f>
        <v>22.26</v>
      </c>
      <c r="BL93" s="39">
        <f>IF(WEEKDAY(BL$82,2)&gt;5,0,21.51)</f>
        <v>21.51</v>
      </c>
      <c r="BM93" s="39">
        <f>IF(WEEKDAY(BM$82,2)&gt;5,0,17.71)</f>
        <v>17.71</v>
      </c>
      <c r="BN93" s="39">
        <f>IF(WEEKDAY(BN$82,2)&gt;5,0,18.9)</f>
        <v>0</v>
      </c>
      <c r="BO93" s="39">
        <f>IF(WEEKDAY(BO$82,2)&gt;5,0,18.15)</f>
        <v>0</v>
      </c>
      <c r="BP93" s="39">
        <f>IF(WEEKDAY(BP$82,2)&gt;5,0,17.53)</f>
        <v>17.53</v>
      </c>
      <c r="BQ93" s="39">
        <f>IF(WEEKDAY(BQ$82,2)&gt;5,0,18.78)</f>
        <v>18.78</v>
      </c>
      <c r="BR93" s="39">
        <f>IF(WEEKDAY(BR$82,2)&gt;5,0,21.58)</f>
        <v>21.58</v>
      </c>
      <c r="BS93" s="39">
        <f>IF(WEEKDAY(BS$82,2)&gt;5,0,21.48)</f>
        <v>21.48</v>
      </c>
      <c r="BT93" s="39">
        <f>IF(WEEKDAY(BT$82,2)&gt;5,0,17.08)</f>
        <v>17.079999999999998</v>
      </c>
      <c r="BU93" s="39">
        <f>IF(WEEKDAY(BU$82,2)&gt;5,0,17.75)</f>
        <v>0</v>
      </c>
      <c r="BV93" s="39">
        <f>IF(WEEKDAY(BV$82,2)&gt;5,0,18.16)</f>
        <v>0</v>
      </c>
      <c r="BW93" s="39">
        <f>IF(WEEKDAY(BW$82,2)&gt;5,0,20.95)</f>
        <v>20.95</v>
      </c>
      <c r="BX93" s="39">
        <f>IF(WEEKDAY(BX$82,2)&gt;5,0,21.8)</f>
        <v>21.8</v>
      </c>
      <c r="BY93" s="39">
        <f>IF(WEEKDAY(BY$82,2)&gt;5,0,17.43)</f>
        <v>17.43</v>
      </c>
      <c r="BZ93" s="39">
        <f>IF(WEEKDAY(BZ$82,2)&gt;5,0,17.59)</f>
        <v>17.59</v>
      </c>
      <c r="CA93" s="39">
        <f>IF(WEEKDAY(CA$82,2)&gt;5,0,20.63)</f>
        <v>20.63</v>
      </c>
      <c r="CB93" s="39">
        <f>IF(WEEKDAY(CB$82,2)&gt;5,0,20.44)</f>
        <v>0</v>
      </c>
      <c r="CC93" s="39">
        <f>IF(WEEKDAY(CC$82,2)&gt;5,0,17.83)</f>
        <v>0</v>
      </c>
      <c r="CD93" s="39">
        <f>IF(WEEKDAY(CD$82,2)&gt;5,0,18.94)</f>
        <v>18.940000000000001</v>
      </c>
      <c r="CE93" s="39">
        <f>IF(WEEKDAY(CE$82,2)&gt;5,0,22.5)</f>
        <v>22.5</v>
      </c>
      <c r="CF93" s="39">
        <f>IF(WEEKDAY(CF$82,2)&gt;5,0,22.09)</f>
        <v>22.09</v>
      </c>
      <c r="CG93" s="39">
        <f>IF(WEEKDAY(CG$82,2)&gt;5,0,22.96)</f>
        <v>22.96</v>
      </c>
      <c r="CH93" s="39">
        <f>IF(WEEKDAY(CH$82,2)&gt;5,0,21.61)</f>
        <v>21.61</v>
      </c>
      <c r="CI93" s="39">
        <f>IF(WEEKDAY(CI$82,2)&gt;5,0,17.28)</f>
        <v>0</v>
      </c>
      <c r="CJ93" s="39">
        <f>IF(WEEKDAY(CJ$82,2)&gt;5,0,18.49)</f>
        <v>0</v>
      </c>
      <c r="CK93" s="39">
        <f>IF(WEEKDAY(CK$82,2)&gt;5,0,22.46)</f>
        <v>22.46</v>
      </c>
      <c r="CL93" s="39">
        <f>IF(WEEKDAY(CL$82,2)&gt;5,0,22.98)</f>
        <v>22.98</v>
      </c>
      <c r="CM93" s="39">
        <f>IF(WEEKDAY(CM$82,2)&gt;5,0,20.74)</f>
        <v>20.74</v>
      </c>
      <c r="CN93" s="39">
        <f>IF(WEEKDAY(CN$82,2)&gt;5,0,18.7)</f>
        <v>18.7</v>
      </c>
      <c r="CO93" s="39">
        <f>IF(WEEKDAY(CO$82,2)&gt;5,0,17.78)</f>
        <v>17.78</v>
      </c>
      <c r="CP93" s="39">
        <f>IF(WEEKDAY(CP$82,2)&gt;5,0,17.96)</f>
        <v>0</v>
      </c>
      <c r="CQ93" s="39">
        <f>IF(WEEKDAY(CQ$82,2)&gt;5,0,18.43)</f>
        <v>0</v>
      </c>
      <c r="CR93" s="39">
        <f>IF(WEEKDAY(CR$82,2)&gt;5,0,22.47)</f>
        <v>22.47</v>
      </c>
      <c r="CS93" s="39">
        <f>IF(WEEKDAY(CS$82,2)&gt;5,0,20.32)</f>
        <v>20.32</v>
      </c>
      <c r="CT93" s="39">
        <f>IF(WEEKDAY(CT$82,2)&gt;5,0,21.28)</f>
        <v>21.28</v>
      </c>
      <c r="CU93" s="39">
        <f>IF(WEEKDAY(CU$82,2)&gt;5,0,22.37)</f>
        <v>22.37</v>
      </c>
      <c r="CV93" s="39">
        <f>IF(WEEKDAY(CV$82,2)&gt;5,0,21.15)</f>
        <v>21.15</v>
      </c>
      <c r="CW93" s="39">
        <f>IF(WEEKDAY(CW$82,2)&gt;5,0,20.22)</f>
        <v>0</v>
      </c>
      <c r="CX93" s="39">
        <f>IF(WEEKDAY(CX$82,2)&gt;5,0,19.19)</f>
        <v>0</v>
      </c>
      <c r="CY93" s="39">
        <f>IF(WEEKDAY(CY$82,2)&gt;5,0,22.03)</f>
        <v>22.03</v>
      </c>
      <c r="CZ93" s="39">
        <f>IF(WEEKDAY(CZ$82,2)&gt;5,0,20.58)</f>
        <v>20.58</v>
      </c>
      <c r="DA93" s="39">
        <f>IF(WEEKDAY(DA$82,2)&gt;5,0,22.26)</f>
        <v>22.26</v>
      </c>
      <c r="DB93" s="39">
        <f>IF(WEEKDAY(DB$82,2)&gt;5,0,21.38)</f>
        <v>21.38</v>
      </c>
      <c r="DC93" s="39">
        <f>IF(WEEKDAY(DC$82,2)&gt;5,0,19.74)</f>
        <v>19.739999999999998</v>
      </c>
      <c r="DD93" s="39">
        <f>IF(WEEKDAY(DD$82,2)&gt;5,0,20.1)</f>
        <v>0</v>
      </c>
      <c r="DE93" s="39">
        <f>IF(WEEKDAY(DE$82,2)&gt;5,0,19.13)</f>
        <v>0</v>
      </c>
      <c r="DF93" s="39">
        <f>IF(WEEKDAY(DF$82,2)&gt;5,0,22.67)</f>
        <v>22.67</v>
      </c>
      <c r="DG93" s="39">
        <f>IF(WEEKDAY(DG$82,2)&gt;5,0,19.97)</f>
        <v>19.97</v>
      </c>
      <c r="DH93" s="39">
        <f>IF(WEEKDAY(DH$82,2)&gt;5,0,21.39)</f>
        <v>21.39</v>
      </c>
      <c r="DI93" s="39">
        <f>IF(WEEKDAY(DI$82,2)&gt;5,0,19.79)</f>
        <v>19.79</v>
      </c>
      <c r="DJ93" s="39">
        <f>IF(WEEKDAY(DJ$82,2)&gt;5,0,17.43)</f>
        <v>17.43</v>
      </c>
      <c r="DK93" s="39">
        <f>IF(WEEKDAY(DK$82,2)&gt;5,0,17.67)</f>
        <v>0</v>
      </c>
      <c r="DL93" s="39">
        <f>IF(WEEKDAY(DL$82,2)&gt;5,0,22.54)</f>
        <v>0</v>
      </c>
      <c r="DM93" s="39">
        <f>IF(WEEKDAY(DM$82,2)&gt;5,0,18.98)</f>
        <v>18.98</v>
      </c>
      <c r="DN93" s="39">
        <f>IF(WEEKDAY(DN$82,2)&gt;5,0,18.9)</f>
        <v>18.899999999999999</v>
      </c>
      <c r="DO93" s="39">
        <f>IF(WEEKDAY(DO$82,2)&gt;5,0,20.13)</f>
        <v>20.13</v>
      </c>
      <c r="DP93" s="39">
        <f>IF(WEEKDAY(DP$82,2)&gt;5,0,22.31)</f>
        <v>22.31</v>
      </c>
      <c r="DQ93" s="39">
        <f>IF(WEEKDAY(DQ$82,2)&gt;5,0,19.19)</f>
        <v>19.190000000000001</v>
      </c>
      <c r="DR93" s="39">
        <f>IF(WEEKDAY(DR$82,2)&gt;5,0,22.58)</f>
        <v>0</v>
      </c>
      <c r="DS93" s="39">
        <f>IF(WEEKDAY(DS$82,2)&gt;5,0,19.8)</f>
        <v>0</v>
      </c>
      <c r="DT93" s="39">
        <f>IF(WEEKDAY(DT$82,2)&gt;5,0,20.37)</f>
        <v>20.37</v>
      </c>
      <c r="DU93" s="39">
        <f>IF(WEEKDAY(DU$82,2)&gt;5,0,19.32)</f>
        <v>19.32</v>
      </c>
      <c r="DV93" s="39">
        <f>IF(WEEKDAY(DV$82,2)&gt;5,0,22.74)</f>
        <v>22.74</v>
      </c>
      <c r="DW93" s="39">
        <f>IF(WEEKDAY(DW$82,2)&gt;5,0,18.88)</f>
        <v>18.88</v>
      </c>
      <c r="DX93" s="39">
        <f>IF(WEEKDAY(DX$82,2)&gt;5,0,19.44)</f>
        <v>19.440000000000001</v>
      </c>
      <c r="DY93" s="39">
        <f>IF(WEEKDAY(DY$82,2)&gt;5,0,19.08)</f>
        <v>0</v>
      </c>
      <c r="DZ93" s="39">
        <f>IF(WEEKDAY(DZ$82,2)&gt;5,0,18.12)</f>
        <v>0</v>
      </c>
      <c r="EA93" s="39">
        <f>IF(WEEKDAY(EA$82,2)&gt;5,0,18.23)</f>
        <v>18.23</v>
      </c>
      <c r="EB93" s="39">
        <f>IF(WEEKDAY(EB$82,2)&gt;5,0,19.5)</f>
        <v>19.5</v>
      </c>
      <c r="EC93" s="39">
        <f>IF(WEEKDAY(EC$82,2)&gt;5,0,21.24)</f>
        <v>21.24</v>
      </c>
      <c r="ED93" s="39">
        <f>IF(WEEKDAY(ED$82,2)&gt;5,0,21.52)</f>
        <v>21.52</v>
      </c>
      <c r="EE93" s="39">
        <f>IF(WEEKDAY(EE$82,2)&gt;5,0,18.82)</f>
        <v>18.82</v>
      </c>
      <c r="EF93" s="39">
        <f>IF(WEEKDAY(EF$82,2)&gt;5,0,22.22)</f>
        <v>0</v>
      </c>
      <c r="EG93" s="39">
        <f>IF(WEEKDAY(EG$82,2)&gt;5,0,18.55)</f>
        <v>0</v>
      </c>
      <c r="EH93" s="39">
        <f>IF(WEEKDAY(EH$82,2)&gt;5,0,22.44)</f>
        <v>22.44</v>
      </c>
      <c r="EI93" s="39">
        <f>IF(WEEKDAY(EI$82,2)&gt;5,0,21.09)</f>
        <v>21.09</v>
      </c>
      <c r="EJ93" s="39">
        <f>IF(WEEKDAY(EJ$82,2)&gt;5,0,18.8)</f>
        <v>18.8</v>
      </c>
      <c r="EK93" s="39">
        <f>IF(WEEKDAY(EK$82,2)&gt;5,0,20.37)</f>
        <v>20.37</v>
      </c>
      <c r="EL93" s="39">
        <f>IF(WEEKDAY(EL$82,2)&gt;5,0,19.02)</f>
        <v>19.02</v>
      </c>
      <c r="EM93" s="39">
        <f>IF(WEEKDAY(EM$82,2)&gt;5,0,21.45)</f>
        <v>0</v>
      </c>
      <c r="EN93" s="39">
        <f>IF(WEEKDAY(EN$82,2)&gt;5,0,21.26)</f>
        <v>0</v>
      </c>
      <c r="EO93" s="39">
        <f>IF(WEEKDAY(EO$82,2)&gt;5,0,19.08)</f>
        <v>19.079999999999998</v>
      </c>
      <c r="EP93" s="39">
        <f>IF(WEEKDAY(EP$82,2)&gt;5,0,21.59)</f>
        <v>21.59</v>
      </c>
      <c r="EQ93" s="39">
        <f>IF(WEEKDAY(EQ$82,2)&gt;5,0,19.3)</f>
        <v>19.3</v>
      </c>
      <c r="ER93" s="39">
        <f>IF(WEEKDAY(ER$82,2)&gt;5,0,18.31)</f>
        <v>18.309999999999999</v>
      </c>
      <c r="ES93" s="39">
        <f>IF(WEEKDAY(ES$82,2)&gt;5,0,21.27)</f>
        <v>21.27</v>
      </c>
      <c r="ET93" s="39">
        <f>IF(WEEKDAY(ET$82,2)&gt;5,0,21.34)</f>
        <v>0</v>
      </c>
      <c r="EU93" s="39">
        <f>IF(WEEKDAY(EU$82,2)&gt;5,0,22.96)</f>
        <v>0</v>
      </c>
      <c r="EV93" s="39">
        <f>IF(WEEKDAY(EV$82,2)&gt;5,0,20.76)</f>
        <v>20.76</v>
      </c>
      <c r="EW93" s="39">
        <f>IF(WEEKDAY(EW$82,2)&gt;5,0,18.13)</f>
        <v>18.13</v>
      </c>
      <c r="EX93" s="39">
        <f>IF(WEEKDAY(EX$82,2)&gt;5,0,18.71)</f>
        <v>18.71</v>
      </c>
      <c r="EY93" s="39">
        <f>IF(WEEKDAY(EY$82,2)&gt;5,0,20.11)</f>
        <v>20.11</v>
      </c>
      <c r="EZ93" s="39">
        <f>IF(WEEKDAY(EZ$82,2)&gt;5,0,17.89)</f>
        <v>17.89</v>
      </c>
      <c r="FA93" s="39">
        <f>IF(WEEKDAY(FA$82,2)&gt;5,0,22.54)</f>
        <v>0</v>
      </c>
      <c r="FB93" s="39">
        <f>IF(WEEKDAY(FB$82,2)&gt;5,0,22.6)</f>
        <v>0</v>
      </c>
      <c r="FC93" s="39">
        <f>IF(WEEKDAY(FC$82,2)&gt;5,0,21.08)</f>
        <v>21.08</v>
      </c>
      <c r="FD93" s="39">
        <f>IF(WEEKDAY(FD$82,2)&gt;5,0,21.83)</f>
        <v>21.83</v>
      </c>
      <c r="FE93" s="39">
        <f>IF(WEEKDAY(FE$82,2)&gt;5,0,17.4)</f>
        <v>17.399999999999999</v>
      </c>
      <c r="FF93" s="39">
        <f>IF(WEEKDAY(FF$82,2)&gt;5,0,17.88)</f>
        <v>17.88</v>
      </c>
      <c r="FG93" s="39">
        <f>IF(WEEKDAY(FG$82,2)&gt;5,0,20.21)</f>
        <v>20.21</v>
      </c>
      <c r="FH93" s="39">
        <f>IF(WEEKDAY(FH$82,2)&gt;5,0,19.53)</f>
        <v>0</v>
      </c>
      <c r="FI93" s="39">
        <f>IF(WEEKDAY(FI$82,2)&gt;5,0,19.93)</f>
        <v>0</v>
      </c>
      <c r="FJ93" s="39">
        <f>IF(WEEKDAY(FJ$82,2)&gt;5,0,20.42)</f>
        <v>20.420000000000002</v>
      </c>
      <c r="FK93" s="39">
        <f>IF(WEEKDAY(FK$82,2)&gt;5,0,17.16)</f>
        <v>17.16</v>
      </c>
      <c r="FL93" s="39">
        <f>IF(WEEKDAY(FL$82,2)&gt;5,0,18.83)</f>
        <v>18.829999999999998</v>
      </c>
      <c r="FM93" s="39">
        <f>IF(WEEKDAY(FM$82,2)&gt;5,0,18.3)</f>
        <v>18.3</v>
      </c>
      <c r="FN93" s="39">
        <f>IF(WEEKDAY(FN$82,2)&gt;5,0,19.85)</f>
        <v>19.850000000000001</v>
      </c>
      <c r="FO93" s="39">
        <f>IF(WEEKDAY(FO$82,2)&gt;5,0,18.21)</f>
        <v>0</v>
      </c>
      <c r="FP93" s="39">
        <f>IF(WEEKDAY(FP$82,2)&gt;5,0,19.62)</f>
        <v>0</v>
      </c>
      <c r="FQ93" s="39">
        <f>IF(WEEKDAY(FQ$82,2)&gt;5,0,20.2)</f>
        <v>20.2</v>
      </c>
      <c r="FR93" s="39">
        <f>IF(WEEKDAY(FR$82,2)&gt;5,0,19.24)</f>
        <v>19.239999999999998</v>
      </c>
      <c r="FS93" s="39">
        <f>IF(WEEKDAY(FS$82,2)&gt;5,0,20.9)</f>
        <v>20.9</v>
      </c>
      <c r="FT93" s="39">
        <f>IF(WEEKDAY(FT$82,2)&gt;5,0,19.92)</f>
        <v>19.920000000000002</v>
      </c>
      <c r="FU93" s="39">
        <f>IF(WEEKDAY(FU$82,2)&gt;5,0,22.87)</f>
        <v>22.87</v>
      </c>
      <c r="FV93" s="39">
        <f>IF(WEEKDAY(FV$82,2)&gt;5,0,21.87)</f>
        <v>0</v>
      </c>
      <c r="FW93" s="39">
        <f>IF(WEEKDAY(FW$82,2)&gt;5,0,17.82)</f>
        <v>0</v>
      </c>
      <c r="FX93" s="39">
        <f>IF(WEEKDAY(FX$82,2)&gt;5,0,17.68)</f>
        <v>17.68</v>
      </c>
      <c r="FY93" s="39">
        <f>IF(WEEKDAY(FY$82,2)&gt;5,0,20.91)</f>
        <v>20.91</v>
      </c>
      <c r="FZ93" s="39">
        <f>IF(WEEKDAY(FZ$82,2)&gt;5,0,17.79)</f>
        <v>17.79</v>
      </c>
      <c r="GA93" s="39">
        <f>IF(WEEKDAY(GA$82,2)&gt;5,0,17.36)</f>
        <v>17.36</v>
      </c>
      <c r="GB93" s="39">
        <f>IF(WEEKDAY(GB$82,2)&gt;5,0,22.57)</f>
        <v>22.57</v>
      </c>
      <c r="GC93" s="39">
        <f>IF(WEEKDAY(GC$82,2)&gt;5,0,21.74)</f>
        <v>0</v>
      </c>
      <c r="GD93" s="39">
        <f>IF(WEEKDAY(GD$82,2)&gt;5,0,18.99)</f>
        <v>0</v>
      </c>
      <c r="GE93" s="39">
        <f>IF(WEEKDAY(GE$82,2)&gt;5,0,18.82)</f>
        <v>18.82</v>
      </c>
      <c r="GF93" s="39">
        <f>IF(WEEKDAY(GF$82,2)&gt;5,0,18.38)</f>
        <v>18.38</v>
      </c>
      <c r="GG93" s="39">
        <f>IF(WEEKDAY(GG$82,2)&gt;5,0,18.08)</f>
        <v>18.079999999999998</v>
      </c>
      <c r="GH93" s="39">
        <f>IF(WEEKDAY(GH$82,2)&gt;5,0,18.29)</f>
        <v>18.29</v>
      </c>
      <c r="GI93" s="39">
        <f>IF(WEEKDAY(GI$82,2)&gt;5,0,19.68)</f>
        <v>19.68</v>
      </c>
      <c r="GJ93" s="39">
        <f>IF(WEEKDAY(GJ$82,2)&gt;5,0,19.26)</f>
        <v>0</v>
      </c>
      <c r="GK93" s="39">
        <f>IF(WEEKDAY(GK$82,2)&gt;5,0,22.71)</f>
        <v>0</v>
      </c>
      <c r="GL93" s="39">
        <f>IF(WEEKDAY(GL$82,2)&gt;5,0,19.13)</f>
        <v>19.13</v>
      </c>
      <c r="GM93" s="39">
        <f>IF(WEEKDAY(GM$82,2)&gt;5,0,21.19)</f>
        <v>21.19</v>
      </c>
      <c r="GN93" s="39">
        <f>IF(WEEKDAY(GN$82,2)&gt;5,0,20.48)</f>
        <v>20.48</v>
      </c>
      <c r="GO93" s="39">
        <f>IF(WEEKDAY(GO$82,2)&gt;5,0,17.92)</f>
        <v>17.920000000000002</v>
      </c>
      <c r="GP93" s="39">
        <f>IF(WEEKDAY(GP$82,2)&gt;5,0,22.19)</f>
        <v>22.19</v>
      </c>
      <c r="GQ93" s="39">
        <f>IF(WEEKDAY(GQ$82,2)&gt;5,0,19.53)</f>
        <v>0</v>
      </c>
      <c r="GR93" s="39">
        <f>IF(WEEKDAY(GR$82,2)&gt;5,0,21.91)</f>
        <v>0</v>
      </c>
      <c r="GS93" s="39">
        <f>IF(WEEKDAY(GS$82,2)&gt;5,0,18.05)</f>
        <v>18.05</v>
      </c>
      <c r="GT93" s="39">
        <f>IF(WEEKDAY(GT$82,2)&gt;5,0,18.86)</f>
        <v>18.86</v>
      </c>
      <c r="GU93" s="39">
        <f>IF(WEEKDAY(GU$82,2)&gt;5,0,19.38)</f>
        <v>19.38</v>
      </c>
      <c r="GV93" s="39">
        <f>IF(WEEKDAY(GV$82,2)&gt;5,0,21.46)</f>
        <v>21.46</v>
      </c>
      <c r="GW93" s="39">
        <f>IF(WEEKDAY(GW$82,2)&gt;5,0,17.93)</f>
        <v>17.93</v>
      </c>
      <c r="GX93" s="39">
        <f>IF(WEEKDAY(GX$82,2)&gt;5,0,17.67)</f>
        <v>0</v>
      </c>
      <c r="GY93" s="39">
        <f>IF(WEEKDAY(GY$82,2)&gt;5,0,20.2)</f>
        <v>0</v>
      </c>
      <c r="GZ93" s="39">
        <f>IF(WEEKDAY(GZ$82,2)&gt;5,0,22.72)</f>
        <v>22.72</v>
      </c>
      <c r="HA93" s="39">
        <f>IF(WEEKDAY(HA$82,2)&gt;5,0,21.91)</f>
        <v>21.91</v>
      </c>
      <c r="HB93" s="39">
        <f>IF(WEEKDAY(HB$82,2)&gt;5,0,18.33)</f>
        <v>18.329999999999998</v>
      </c>
      <c r="HC93" s="39">
        <f>IF(WEEKDAY(HC$82,2)&gt;5,0,21.95)</f>
        <v>21.95</v>
      </c>
      <c r="HD93" s="39">
        <f>IF(WEEKDAY(HD$82,2)&gt;5,0,22.36)</f>
        <v>22.36</v>
      </c>
      <c r="HE93" s="39">
        <f>IF(WEEKDAY(HE$82,2)&gt;5,0,17.08)</f>
        <v>0</v>
      </c>
      <c r="HF93" s="39">
        <f>IF(WEEKDAY(HF$82,2)&gt;5,0,22.6)</f>
        <v>0</v>
      </c>
      <c r="HG93" s="39">
        <f>IF(WEEKDAY(HG$82,2)&gt;5,0,17.9)</f>
        <v>17.899999999999999</v>
      </c>
      <c r="HH93" s="39">
        <f>IF(WEEKDAY(HH$82,2)&gt;5,0,19.1)</f>
        <v>19.100000000000001</v>
      </c>
      <c r="HI93" s="39">
        <f>IF(WEEKDAY(HI$82,2)&gt;5,0,21.18)</f>
        <v>21.18</v>
      </c>
      <c r="HJ93" s="39">
        <f>IF(WEEKDAY(HJ$82,2)&gt;5,0,21.45)</f>
        <v>21.45</v>
      </c>
      <c r="HK93" s="39">
        <f>IF(WEEKDAY(HK$82,2)&gt;5,0,22.21)</f>
        <v>22.21</v>
      </c>
      <c r="HL93" s="39">
        <f>IF(WEEKDAY(HL$82,2)&gt;5,0,17.24)</f>
        <v>0</v>
      </c>
      <c r="HM93" s="39">
        <f>IF(WEEKDAY(HM$82,2)&gt;5,0,18.8)</f>
        <v>0</v>
      </c>
      <c r="HN93" s="39">
        <f>IF(WEEKDAY(HN$82,2)&gt;5,0,18.33)</f>
        <v>18.329999999999998</v>
      </c>
      <c r="HO93" s="39">
        <f>IF(WEEKDAY(HO$82,2)&gt;5,0,18.02)</f>
        <v>18.02</v>
      </c>
      <c r="HP93" s="39">
        <f>IF(WEEKDAY(HP$82,2)&gt;5,0,20.41)</f>
        <v>20.41</v>
      </c>
      <c r="HQ93" s="39">
        <f>IF(WEEKDAY(HQ$82,2)&gt;5,0,17.52)</f>
        <v>17.52</v>
      </c>
      <c r="HR93" s="39">
        <f>IF(WEEKDAY(HR$82,2)&gt;5,0,17.15)</f>
        <v>17.149999999999999</v>
      </c>
      <c r="HS93" s="39">
        <f>IF(WEEKDAY(HS$82,2)&gt;5,0,17.97)</f>
        <v>0</v>
      </c>
      <c r="HT93" s="39">
        <f>IF(WEEKDAY(HT$82,2)&gt;5,0,21.18)</f>
        <v>0</v>
      </c>
      <c r="HU93" s="39">
        <f>IF(WEEKDAY(HU$82,2)&gt;5,0,21.08)</f>
        <v>21.08</v>
      </c>
      <c r="HV93" s="39">
        <f>IF(WEEKDAY(HV$82,2)&gt;5,0,22.71)</f>
        <v>22.71</v>
      </c>
      <c r="HW93" s="39">
        <f>IF(WEEKDAY(HW$82,2)&gt;5,0,20.83)</f>
        <v>20.83</v>
      </c>
      <c r="HX93" s="39">
        <f>IF(WEEKDAY(HX$82,2)&gt;5,0,21.01)</f>
        <v>21.01</v>
      </c>
      <c r="HY93" s="39">
        <f>IF(WEEKDAY(HY$82,2)&gt;5,0,22.86)</f>
        <v>22.86</v>
      </c>
      <c r="HZ93" s="39">
        <f>IF(WEEKDAY(HZ$82,2)&gt;5,0,21.7)</f>
        <v>0</v>
      </c>
      <c r="IA93" s="39">
        <f>IF(WEEKDAY(IA$82,2)&gt;5,0,17.52)</f>
        <v>0</v>
      </c>
      <c r="IB93" s="39">
        <f>IF(WEEKDAY(IB$82,2)&gt;5,0,22.39)</f>
        <v>22.39</v>
      </c>
      <c r="IC93" s="39">
        <f>IF(WEEKDAY(IC$82,2)&gt;5,0,22.02)</f>
        <v>22.02</v>
      </c>
      <c r="ID93" s="39">
        <f>IF(WEEKDAY(ID$82,2)&gt;5,0,17.96)</f>
        <v>17.96</v>
      </c>
      <c r="IE93" s="39">
        <f>IF(WEEKDAY(IE$82,2)&gt;5,0,21.24)</f>
        <v>21.24</v>
      </c>
      <c r="IF93" s="39">
        <f>IF(WEEKDAY(IF$82,2)&gt;5,0,21.64)</f>
        <v>21.64</v>
      </c>
      <c r="IG93" s="39">
        <f>IF(WEEKDAY(IG$82,2)&gt;5,0,18.56)</f>
        <v>0</v>
      </c>
      <c r="IH93" s="39">
        <f>IF(WEEKDAY(IH$82,2)&gt;5,0,19.69)</f>
        <v>0</v>
      </c>
      <c r="II93" s="39">
        <f>IF(WEEKDAY(II$82,2)&gt;5,0,19.09)</f>
        <v>19.09</v>
      </c>
      <c r="IJ93" s="39">
        <f>IF(WEEKDAY(IJ$82,2)&gt;5,0,21.36)</f>
        <v>21.36</v>
      </c>
      <c r="IK93" s="39">
        <f>IF(WEEKDAY(IK$82,2)&gt;5,0,22.31)</f>
        <v>22.31</v>
      </c>
      <c r="IL93" s="39">
        <f>IF(WEEKDAY(IL$82,2)&gt;5,0,22.04)</f>
        <v>22.04</v>
      </c>
    </row>
    <row r="94" spans="1:246" x14ac:dyDescent="0.3">
      <c r="A94" t="s">
        <v>93</v>
      </c>
      <c r="B94" s="39">
        <v>0</v>
      </c>
      <c r="C94" s="39">
        <v>0</v>
      </c>
      <c r="D94" s="39">
        <v>0</v>
      </c>
      <c r="E94" s="39">
        <v>0</v>
      </c>
      <c r="F94" s="39">
        <v>0</v>
      </c>
      <c r="G94" s="39">
        <v>0</v>
      </c>
      <c r="H94" s="39">
        <v>0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v>0</v>
      </c>
      <c r="AI94" s="39">
        <v>0</v>
      </c>
      <c r="AJ94" s="39">
        <v>0</v>
      </c>
      <c r="AK94" s="39">
        <v>0</v>
      </c>
      <c r="AL94" s="39">
        <v>0</v>
      </c>
      <c r="AM94" s="39">
        <v>0</v>
      </c>
      <c r="AN94" s="39">
        <v>0</v>
      </c>
      <c r="AO94" s="39">
        <v>0</v>
      </c>
      <c r="AP94" s="39">
        <v>0</v>
      </c>
      <c r="AQ94" s="39">
        <v>0</v>
      </c>
      <c r="AR94" s="39">
        <v>0</v>
      </c>
      <c r="AS94" s="39">
        <v>0</v>
      </c>
      <c r="AT94" s="39">
        <v>0</v>
      </c>
      <c r="AU94" s="39">
        <v>0</v>
      </c>
      <c r="AV94" s="39">
        <v>0</v>
      </c>
      <c r="AW94" s="39">
        <v>0</v>
      </c>
      <c r="AX94" s="39">
        <v>0</v>
      </c>
      <c r="AY94" s="39">
        <v>0</v>
      </c>
      <c r="AZ94" s="39">
        <v>0</v>
      </c>
      <c r="BA94" s="39">
        <v>0</v>
      </c>
      <c r="BB94" s="39">
        <v>0</v>
      </c>
      <c r="BC94" s="39">
        <v>0</v>
      </c>
      <c r="BD94" s="39">
        <v>0</v>
      </c>
      <c r="BE94" s="39">
        <v>0</v>
      </c>
      <c r="BF94" s="39">
        <v>0</v>
      </c>
      <c r="BG94" s="39">
        <v>0</v>
      </c>
      <c r="BH94" s="39">
        <v>0</v>
      </c>
      <c r="BI94" s="39">
        <v>0</v>
      </c>
      <c r="BJ94" s="39">
        <v>0</v>
      </c>
      <c r="BK94" s="39">
        <v>0</v>
      </c>
      <c r="BL94" s="39">
        <v>0</v>
      </c>
      <c r="BM94" s="39">
        <v>0</v>
      </c>
      <c r="BN94" s="39">
        <v>0</v>
      </c>
      <c r="BO94" s="39">
        <v>0</v>
      </c>
      <c r="BP94" s="39">
        <v>0</v>
      </c>
      <c r="BQ94" s="39">
        <v>0</v>
      </c>
      <c r="BR94" s="39">
        <v>0</v>
      </c>
      <c r="BS94" s="39">
        <v>0</v>
      </c>
      <c r="BT94" s="39">
        <v>0</v>
      </c>
      <c r="BU94" s="39">
        <v>0</v>
      </c>
      <c r="BV94" s="39">
        <v>0</v>
      </c>
      <c r="BW94" s="39">
        <v>0</v>
      </c>
      <c r="BX94" s="39">
        <v>0</v>
      </c>
      <c r="BY94" s="39">
        <v>0</v>
      </c>
      <c r="BZ94" s="39">
        <v>0</v>
      </c>
      <c r="CA94" s="39">
        <v>0</v>
      </c>
      <c r="CB94" s="39">
        <v>0</v>
      </c>
      <c r="CC94" s="39">
        <v>0</v>
      </c>
      <c r="CD94" s="39">
        <v>0</v>
      </c>
      <c r="CE94" s="39">
        <v>0</v>
      </c>
      <c r="CF94" s="39">
        <v>0</v>
      </c>
      <c r="CG94" s="39">
        <v>0</v>
      </c>
      <c r="CH94" s="39">
        <v>0</v>
      </c>
      <c r="CI94" s="39">
        <v>0</v>
      </c>
      <c r="CJ94" s="39">
        <v>0</v>
      </c>
      <c r="CK94" s="39">
        <v>0</v>
      </c>
      <c r="CL94" s="39">
        <v>0</v>
      </c>
      <c r="CM94" s="39">
        <v>0</v>
      </c>
      <c r="CN94" s="39">
        <v>0</v>
      </c>
      <c r="CO94" s="39">
        <v>0</v>
      </c>
      <c r="CP94" s="39">
        <v>0</v>
      </c>
      <c r="CQ94" s="39">
        <v>0</v>
      </c>
      <c r="CR94" s="39">
        <v>0</v>
      </c>
      <c r="CS94" s="39">
        <v>0</v>
      </c>
      <c r="CT94" s="39">
        <v>0</v>
      </c>
      <c r="CU94" s="39">
        <v>0</v>
      </c>
      <c r="CV94" s="39">
        <v>0</v>
      </c>
      <c r="CW94" s="39">
        <v>0</v>
      </c>
      <c r="CX94" s="39">
        <v>0</v>
      </c>
      <c r="CY94" s="39">
        <v>0</v>
      </c>
      <c r="CZ94" s="39">
        <v>0</v>
      </c>
      <c r="DA94" s="39">
        <v>0</v>
      </c>
      <c r="DB94" s="39">
        <v>0</v>
      </c>
      <c r="DC94" s="39">
        <v>0</v>
      </c>
      <c r="DD94" s="39">
        <v>0</v>
      </c>
      <c r="DE94" s="39">
        <v>0</v>
      </c>
      <c r="DF94" s="39">
        <v>0</v>
      </c>
      <c r="DG94" s="39">
        <v>0</v>
      </c>
      <c r="DH94" s="39">
        <v>0</v>
      </c>
      <c r="DI94" s="39">
        <v>0</v>
      </c>
      <c r="DJ94" s="39">
        <v>0</v>
      </c>
      <c r="DK94" s="39">
        <v>0</v>
      </c>
      <c r="DL94" s="39">
        <v>0</v>
      </c>
      <c r="DM94" s="39">
        <v>0</v>
      </c>
      <c r="DN94" s="39">
        <v>0</v>
      </c>
      <c r="DO94" s="39">
        <v>0</v>
      </c>
      <c r="DP94" s="39">
        <v>0</v>
      </c>
      <c r="DQ94" s="39">
        <v>0</v>
      </c>
      <c r="DR94" s="39">
        <v>0</v>
      </c>
      <c r="DS94" s="39">
        <v>0</v>
      </c>
      <c r="DT94" s="39">
        <v>0</v>
      </c>
      <c r="DU94" s="39">
        <v>0</v>
      </c>
      <c r="DV94" s="39">
        <v>0</v>
      </c>
      <c r="DW94" s="39">
        <v>0</v>
      </c>
      <c r="DX94" s="39">
        <v>0</v>
      </c>
      <c r="DY94" s="39">
        <v>0</v>
      </c>
      <c r="DZ94" s="39">
        <v>0</v>
      </c>
      <c r="EA94" s="39">
        <v>0</v>
      </c>
      <c r="EB94" s="39">
        <v>0</v>
      </c>
      <c r="EC94" s="39">
        <v>0</v>
      </c>
      <c r="ED94" s="39">
        <v>0</v>
      </c>
      <c r="EE94" s="39">
        <v>0</v>
      </c>
      <c r="EF94" s="39">
        <v>0</v>
      </c>
      <c r="EG94" s="39">
        <v>0</v>
      </c>
      <c r="EH94" s="39">
        <v>0</v>
      </c>
      <c r="EI94" s="39">
        <v>0</v>
      </c>
      <c r="EJ94" s="39">
        <v>0</v>
      </c>
      <c r="EK94" s="39">
        <v>0</v>
      </c>
      <c r="EL94" s="39">
        <v>0</v>
      </c>
      <c r="EM94" s="39">
        <v>0</v>
      </c>
      <c r="EN94" s="39">
        <v>0</v>
      </c>
      <c r="EO94" s="39">
        <v>0</v>
      </c>
      <c r="EP94" s="39">
        <v>0</v>
      </c>
      <c r="EQ94" s="39">
        <v>0</v>
      </c>
      <c r="ER94" s="39">
        <v>0</v>
      </c>
      <c r="ES94" s="39">
        <v>0</v>
      </c>
      <c r="ET94" s="39">
        <v>0</v>
      </c>
      <c r="EU94" s="39">
        <v>0</v>
      </c>
      <c r="EV94" s="39">
        <v>0</v>
      </c>
      <c r="EW94" s="39">
        <v>0</v>
      </c>
      <c r="EX94" s="39">
        <v>0</v>
      </c>
      <c r="EY94" s="39">
        <v>0</v>
      </c>
      <c r="EZ94" s="39">
        <v>0</v>
      </c>
      <c r="FA94" s="39">
        <v>0</v>
      </c>
      <c r="FB94" s="39">
        <v>0</v>
      </c>
      <c r="FC94" s="39">
        <v>0</v>
      </c>
      <c r="FD94" s="39">
        <v>0</v>
      </c>
      <c r="FE94" s="39">
        <v>0</v>
      </c>
      <c r="FF94" s="39">
        <v>0</v>
      </c>
      <c r="FG94" s="39">
        <v>0</v>
      </c>
      <c r="FH94" s="39">
        <v>0</v>
      </c>
      <c r="FI94" s="39">
        <v>0</v>
      </c>
      <c r="FJ94" s="39">
        <v>0</v>
      </c>
      <c r="FK94" s="39">
        <v>0</v>
      </c>
      <c r="FL94" s="39">
        <v>0</v>
      </c>
      <c r="FM94" s="39">
        <v>0</v>
      </c>
      <c r="FN94" s="39">
        <v>0</v>
      </c>
      <c r="FO94" s="39">
        <v>0</v>
      </c>
      <c r="FP94" s="39">
        <v>0</v>
      </c>
      <c r="FQ94" s="39">
        <v>0</v>
      </c>
      <c r="FR94" s="39">
        <v>0</v>
      </c>
      <c r="FS94" s="39">
        <v>0</v>
      </c>
      <c r="FT94" s="39">
        <v>0</v>
      </c>
      <c r="FU94" s="39">
        <v>0</v>
      </c>
      <c r="FV94" s="39">
        <v>0</v>
      </c>
      <c r="FW94" s="39">
        <v>0</v>
      </c>
      <c r="FX94" s="39">
        <v>0</v>
      </c>
      <c r="FY94" s="39">
        <v>0</v>
      </c>
      <c r="FZ94" s="39">
        <v>0</v>
      </c>
      <c r="GA94" s="39">
        <v>0</v>
      </c>
      <c r="GB94" s="39">
        <v>0</v>
      </c>
      <c r="GC94" s="39">
        <v>0</v>
      </c>
      <c r="GD94" s="39">
        <v>0</v>
      </c>
      <c r="GE94" s="39">
        <v>0</v>
      </c>
      <c r="GF94" s="39">
        <v>0</v>
      </c>
      <c r="GG94" s="39">
        <v>0</v>
      </c>
      <c r="GH94" s="39">
        <v>0</v>
      </c>
      <c r="GI94" s="39">
        <v>0</v>
      </c>
      <c r="GJ94" s="39">
        <v>0</v>
      </c>
      <c r="GK94" s="39">
        <v>0</v>
      </c>
      <c r="GL94" s="39">
        <v>0</v>
      </c>
      <c r="GM94" s="39">
        <v>0</v>
      </c>
      <c r="GN94" s="39">
        <v>0</v>
      </c>
      <c r="GO94" s="39">
        <v>0</v>
      </c>
      <c r="GP94" s="39">
        <v>0</v>
      </c>
      <c r="GQ94" s="39">
        <v>0</v>
      </c>
      <c r="GR94" s="39">
        <v>0</v>
      </c>
      <c r="GS94" s="39">
        <v>0</v>
      </c>
      <c r="GT94" s="39">
        <v>0</v>
      </c>
      <c r="GU94" s="39">
        <v>0</v>
      </c>
      <c r="GV94" s="39">
        <v>0</v>
      </c>
      <c r="GW94" s="39">
        <v>0</v>
      </c>
      <c r="GX94" s="39">
        <v>0</v>
      </c>
      <c r="GY94" s="39">
        <v>0</v>
      </c>
      <c r="GZ94" s="39">
        <v>0</v>
      </c>
      <c r="HA94" s="39">
        <v>0</v>
      </c>
      <c r="HB94" s="39">
        <v>0</v>
      </c>
      <c r="HC94" s="39">
        <v>0</v>
      </c>
      <c r="HD94" s="39">
        <v>0</v>
      </c>
      <c r="HE94" s="39">
        <v>0</v>
      </c>
      <c r="HF94" s="39">
        <v>0</v>
      </c>
      <c r="HG94" s="39">
        <v>0</v>
      </c>
      <c r="HH94" s="39">
        <v>0</v>
      </c>
      <c r="HI94" s="39">
        <v>0</v>
      </c>
      <c r="HJ94" s="39">
        <v>0</v>
      </c>
      <c r="HK94" s="39">
        <v>0</v>
      </c>
      <c r="HL94" s="39">
        <v>0</v>
      </c>
      <c r="HM94" s="39">
        <v>0</v>
      </c>
      <c r="HN94" s="39">
        <v>0</v>
      </c>
      <c r="HO94" s="39">
        <v>0</v>
      </c>
      <c r="HP94" s="39">
        <v>0</v>
      </c>
      <c r="HQ94" s="39">
        <v>0</v>
      </c>
      <c r="HR94" s="39">
        <v>0</v>
      </c>
      <c r="HS94" s="39">
        <v>0</v>
      </c>
      <c r="HT94" s="39">
        <v>0</v>
      </c>
      <c r="HU94" s="39">
        <v>0</v>
      </c>
      <c r="HV94" s="39">
        <v>0</v>
      </c>
      <c r="HW94" s="39">
        <v>0</v>
      </c>
      <c r="HX94" s="39">
        <v>0</v>
      </c>
      <c r="HY94" s="39">
        <v>0</v>
      </c>
      <c r="HZ94" s="39">
        <v>0</v>
      </c>
      <c r="IA94" s="39">
        <v>0</v>
      </c>
      <c r="IB94" s="39">
        <v>0</v>
      </c>
      <c r="IC94" s="39">
        <v>0</v>
      </c>
      <c r="ID94" s="39">
        <v>0</v>
      </c>
      <c r="IE94" s="39">
        <v>0</v>
      </c>
      <c r="IF94" s="39">
        <v>0</v>
      </c>
      <c r="IG94" s="39">
        <v>0</v>
      </c>
      <c r="IH94" s="39">
        <v>0</v>
      </c>
      <c r="II94" s="39">
        <v>0</v>
      </c>
      <c r="IJ94" s="39">
        <v>0</v>
      </c>
      <c r="IK94" s="39">
        <v>0</v>
      </c>
      <c r="IL94" s="39">
        <v>0</v>
      </c>
    </row>
    <row r="95" spans="1:246" x14ac:dyDescent="0.3">
      <c r="A95" t="s">
        <v>94</v>
      </c>
      <c r="B95" s="39">
        <v>0</v>
      </c>
      <c r="C95" s="39">
        <v>0</v>
      </c>
      <c r="D95" s="39">
        <v>0</v>
      </c>
      <c r="E95" s="39">
        <v>0</v>
      </c>
      <c r="F95" s="39">
        <v>0</v>
      </c>
      <c r="G95" s="39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v>0</v>
      </c>
      <c r="AI95" s="39">
        <v>0</v>
      </c>
      <c r="AJ95" s="39">
        <v>0</v>
      </c>
      <c r="AK95" s="39">
        <v>0</v>
      </c>
      <c r="AL95" s="39">
        <v>0</v>
      </c>
      <c r="AM95" s="39">
        <v>0</v>
      </c>
      <c r="AN95" s="39">
        <v>0</v>
      </c>
      <c r="AO95" s="39">
        <v>0</v>
      </c>
      <c r="AP95" s="39">
        <v>0</v>
      </c>
      <c r="AQ95" s="39">
        <v>0</v>
      </c>
      <c r="AR95" s="39">
        <v>0</v>
      </c>
      <c r="AS95" s="39">
        <v>0</v>
      </c>
      <c r="AT95" s="39">
        <v>0</v>
      </c>
      <c r="AU95" s="39">
        <v>0</v>
      </c>
      <c r="AV95" s="39">
        <v>0</v>
      </c>
      <c r="AW95" s="39">
        <v>0</v>
      </c>
      <c r="AX95" s="39">
        <v>0</v>
      </c>
      <c r="AY95" s="39">
        <v>0</v>
      </c>
      <c r="AZ95" s="39">
        <v>0</v>
      </c>
      <c r="BA95" s="39">
        <v>0</v>
      </c>
      <c r="BB95" s="39">
        <v>0</v>
      </c>
      <c r="BC95" s="39">
        <v>0</v>
      </c>
      <c r="BD95" s="39">
        <v>0</v>
      </c>
      <c r="BE95" s="39">
        <v>0</v>
      </c>
      <c r="BF95" s="39">
        <v>0</v>
      </c>
      <c r="BG95" s="39">
        <v>0</v>
      </c>
      <c r="BH95" s="39">
        <v>0</v>
      </c>
      <c r="BI95" s="39">
        <v>0</v>
      </c>
      <c r="BJ95" s="39">
        <v>0</v>
      </c>
      <c r="BK95" s="39">
        <v>0</v>
      </c>
      <c r="BL95" s="39">
        <v>0</v>
      </c>
      <c r="BM95" s="39">
        <v>0</v>
      </c>
      <c r="BN95" s="39">
        <v>0</v>
      </c>
      <c r="BO95" s="39">
        <v>0</v>
      </c>
      <c r="BP95" s="39">
        <v>0</v>
      </c>
      <c r="BQ95" s="39">
        <v>0</v>
      </c>
      <c r="BR95" s="39">
        <v>0</v>
      </c>
      <c r="BS95" s="39">
        <v>0</v>
      </c>
      <c r="BT95" s="39">
        <v>0</v>
      </c>
      <c r="BU95" s="39">
        <v>0</v>
      </c>
      <c r="BV95" s="39">
        <v>0</v>
      </c>
      <c r="BW95" s="39">
        <v>0</v>
      </c>
      <c r="BX95" s="39">
        <v>0</v>
      </c>
      <c r="BY95" s="39">
        <v>0</v>
      </c>
      <c r="BZ95" s="39">
        <v>0</v>
      </c>
      <c r="CA95" s="39">
        <v>0</v>
      </c>
      <c r="CB95" s="39">
        <v>0</v>
      </c>
      <c r="CC95" s="39">
        <v>0</v>
      </c>
      <c r="CD95" s="39">
        <v>0</v>
      </c>
      <c r="CE95" s="39">
        <v>0</v>
      </c>
      <c r="CF95" s="39">
        <v>0</v>
      </c>
      <c r="CG95" s="39">
        <v>0</v>
      </c>
      <c r="CH95" s="39">
        <v>0</v>
      </c>
      <c r="CI95" s="39">
        <v>0</v>
      </c>
      <c r="CJ95" s="39">
        <v>0</v>
      </c>
      <c r="CK95" s="39">
        <v>0</v>
      </c>
      <c r="CL95" s="39">
        <v>0</v>
      </c>
      <c r="CM95" s="39">
        <v>0</v>
      </c>
      <c r="CN95" s="39">
        <v>0</v>
      </c>
      <c r="CO95" s="39">
        <v>0</v>
      </c>
      <c r="CP95" s="39">
        <v>0</v>
      </c>
      <c r="CQ95" s="39">
        <v>0</v>
      </c>
      <c r="CR95" s="39">
        <v>0</v>
      </c>
      <c r="CS95" s="39">
        <v>0</v>
      </c>
      <c r="CT95" s="39">
        <v>0</v>
      </c>
      <c r="CU95" s="39">
        <v>0</v>
      </c>
      <c r="CV95" s="39">
        <v>0</v>
      </c>
      <c r="CW95" s="39">
        <v>0</v>
      </c>
      <c r="CX95" s="39">
        <v>0</v>
      </c>
      <c r="CY95" s="39">
        <v>0</v>
      </c>
      <c r="CZ95" s="39">
        <v>0</v>
      </c>
      <c r="DA95" s="39">
        <v>0</v>
      </c>
      <c r="DB95" s="39">
        <v>0</v>
      </c>
      <c r="DC95" s="39">
        <v>0</v>
      </c>
      <c r="DD95" s="39">
        <v>0</v>
      </c>
      <c r="DE95" s="39">
        <v>0</v>
      </c>
      <c r="DF95" s="39">
        <v>0</v>
      </c>
      <c r="DG95" s="39">
        <v>0</v>
      </c>
      <c r="DH95" s="39">
        <v>0</v>
      </c>
      <c r="DI95" s="39">
        <v>0</v>
      </c>
      <c r="DJ95" s="39">
        <v>0</v>
      </c>
      <c r="DK95" s="39">
        <v>0</v>
      </c>
      <c r="DL95" s="39">
        <v>0</v>
      </c>
      <c r="DM95" s="39">
        <v>0</v>
      </c>
      <c r="DN95" s="39">
        <v>0</v>
      </c>
      <c r="DO95" s="39">
        <v>0</v>
      </c>
      <c r="DP95" s="39">
        <v>0</v>
      </c>
      <c r="DQ95" s="39">
        <v>0</v>
      </c>
      <c r="DR95" s="39">
        <v>0</v>
      </c>
      <c r="DS95" s="39">
        <v>0</v>
      </c>
      <c r="DT95" s="39">
        <v>0</v>
      </c>
      <c r="DU95" s="39">
        <v>0</v>
      </c>
      <c r="DV95" s="39">
        <v>0</v>
      </c>
      <c r="DW95" s="39">
        <v>0</v>
      </c>
      <c r="DX95" s="39">
        <v>0</v>
      </c>
      <c r="DY95" s="39">
        <v>0</v>
      </c>
      <c r="DZ95" s="39">
        <v>0</v>
      </c>
      <c r="EA95" s="39">
        <v>0</v>
      </c>
      <c r="EB95" s="39">
        <v>0</v>
      </c>
      <c r="EC95" s="39">
        <v>0</v>
      </c>
      <c r="ED95" s="39">
        <v>0</v>
      </c>
      <c r="EE95" s="39">
        <v>0</v>
      </c>
      <c r="EF95" s="39">
        <v>0</v>
      </c>
      <c r="EG95" s="39">
        <v>0</v>
      </c>
      <c r="EH95" s="39">
        <v>0</v>
      </c>
      <c r="EI95" s="39">
        <v>0</v>
      </c>
      <c r="EJ95" s="39">
        <v>0</v>
      </c>
      <c r="EK95" s="39">
        <v>0</v>
      </c>
      <c r="EL95" s="39">
        <v>0</v>
      </c>
      <c r="EM95" s="39">
        <v>0</v>
      </c>
      <c r="EN95" s="39">
        <v>0</v>
      </c>
      <c r="EO95" s="39">
        <v>0</v>
      </c>
      <c r="EP95" s="39">
        <v>0</v>
      </c>
      <c r="EQ95" s="39">
        <v>0</v>
      </c>
      <c r="ER95" s="39">
        <v>0</v>
      </c>
      <c r="ES95" s="39">
        <v>0</v>
      </c>
      <c r="ET95" s="39">
        <v>0</v>
      </c>
      <c r="EU95" s="39">
        <v>0</v>
      </c>
      <c r="EV95" s="39">
        <v>0</v>
      </c>
      <c r="EW95" s="39">
        <v>0</v>
      </c>
      <c r="EX95" s="39">
        <v>0</v>
      </c>
      <c r="EY95" s="39">
        <v>0</v>
      </c>
      <c r="EZ95" s="39">
        <v>0</v>
      </c>
      <c r="FA95" s="39">
        <v>0</v>
      </c>
      <c r="FB95" s="39">
        <v>0</v>
      </c>
      <c r="FC95" s="39">
        <v>0</v>
      </c>
      <c r="FD95" s="39">
        <v>0</v>
      </c>
      <c r="FE95" s="39">
        <v>0</v>
      </c>
      <c r="FF95" s="39">
        <v>0</v>
      </c>
      <c r="FG95" s="39">
        <v>0</v>
      </c>
      <c r="FH95" s="39">
        <v>0</v>
      </c>
      <c r="FI95" s="39">
        <v>0</v>
      </c>
      <c r="FJ95" s="39">
        <v>0</v>
      </c>
      <c r="FK95" s="39">
        <v>0</v>
      </c>
      <c r="FL95" s="39">
        <v>0</v>
      </c>
      <c r="FM95" s="39">
        <v>0</v>
      </c>
      <c r="FN95" s="39">
        <v>0</v>
      </c>
      <c r="FO95" s="39">
        <v>0</v>
      </c>
      <c r="FP95" s="39">
        <v>0</v>
      </c>
      <c r="FQ95" s="39">
        <v>0</v>
      </c>
      <c r="FR95" s="39">
        <v>0</v>
      </c>
      <c r="FS95" s="39">
        <v>0</v>
      </c>
      <c r="FT95" s="39">
        <v>0</v>
      </c>
      <c r="FU95" s="39">
        <v>0</v>
      </c>
      <c r="FV95" s="39">
        <v>0</v>
      </c>
      <c r="FW95" s="39">
        <v>0</v>
      </c>
      <c r="FX95" s="39">
        <v>0</v>
      </c>
      <c r="FY95" s="39">
        <v>0</v>
      </c>
      <c r="FZ95" s="39">
        <v>0</v>
      </c>
      <c r="GA95" s="39">
        <v>0</v>
      </c>
      <c r="GB95" s="39">
        <v>0</v>
      </c>
      <c r="GC95" s="39">
        <v>0</v>
      </c>
      <c r="GD95" s="39">
        <v>0</v>
      </c>
      <c r="GE95" s="39">
        <v>0</v>
      </c>
      <c r="GF95" s="39">
        <v>0</v>
      </c>
      <c r="GG95" s="39">
        <v>0</v>
      </c>
      <c r="GH95" s="39">
        <v>0</v>
      </c>
      <c r="GI95" s="39">
        <v>0</v>
      </c>
      <c r="GJ95" s="39">
        <v>0</v>
      </c>
      <c r="GK95" s="39">
        <v>0</v>
      </c>
      <c r="GL95" s="39">
        <v>0</v>
      </c>
      <c r="GM95" s="39">
        <v>0</v>
      </c>
      <c r="GN95" s="39">
        <v>0</v>
      </c>
      <c r="GO95" s="39">
        <v>0</v>
      </c>
      <c r="GP95" s="39">
        <v>0</v>
      </c>
      <c r="GQ95" s="39">
        <v>0</v>
      </c>
      <c r="GR95" s="39">
        <v>0</v>
      </c>
      <c r="GS95" s="39">
        <v>0</v>
      </c>
      <c r="GT95" s="39">
        <v>0</v>
      </c>
      <c r="GU95" s="39">
        <v>0</v>
      </c>
      <c r="GV95" s="39">
        <v>0</v>
      </c>
      <c r="GW95" s="39">
        <v>0</v>
      </c>
      <c r="GX95" s="39">
        <v>0</v>
      </c>
      <c r="GY95" s="39">
        <v>0</v>
      </c>
      <c r="GZ95" s="39">
        <v>0</v>
      </c>
      <c r="HA95" s="39">
        <v>0</v>
      </c>
      <c r="HB95" s="39">
        <v>0</v>
      </c>
      <c r="HC95" s="39">
        <v>0</v>
      </c>
      <c r="HD95" s="39">
        <v>0</v>
      </c>
      <c r="HE95" s="39">
        <v>0</v>
      </c>
      <c r="HF95" s="39">
        <v>0</v>
      </c>
      <c r="HG95" s="39">
        <v>0</v>
      </c>
      <c r="HH95" s="39">
        <v>0</v>
      </c>
      <c r="HI95" s="39">
        <v>0</v>
      </c>
      <c r="HJ95" s="39">
        <v>0</v>
      </c>
      <c r="HK95" s="39">
        <v>0</v>
      </c>
      <c r="HL95" s="39">
        <v>0</v>
      </c>
      <c r="HM95" s="39">
        <v>0</v>
      </c>
      <c r="HN95" s="39">
        <v>0</v>
      </c>
      <c r="HO95" s="39">
        <v>0</v>
      </c>
      <c r="HP95" s="39">
        <v>0</v>
      </c>
      <c r="HQ95" s="39">
        <v>0</v>
      </c>
      <c r="HR95" s="39">
        <v>0</v>
      </c>
      <c r="HS95" s="39">
        <v>0</v>
      </c>
      <c r="HT95" s="39">
        <v>0</v>
      </c>
      <c r="HU95" s="39">
        <v>0</v>
      </c>
      <c r="HV95" s="39">
        <v>0</v>
      </c>
      <c r="HW95" s="39">
        <v>0</v>
      </c>
      <c r="HX95" s="39">
        <v>0</v>
      </c>
      <c r="HY95" s="39">
        <v>0</v>
      </c>
      <c r="HZ95" s="39">
        <v>0</v>
      </c>
      <c r="IA95" s="39">
        <v>0</v>
      </c>
      <c r="IB95" s="39">
        <v>0</v>
      </c>
      <c r="IC95" s="39">
        <v>0</v>
      </c>
      <c r="ID95" s="39">
        <v>0</v>
      </c>
      <c r="IE95" s="39">
        <v>0</v>
      </c>
      <c r="IF95" s="39">
        <v>0</v>
      </c>
      <c r="IG95" s="39">
        <v>0</v>
      </c>
      <c r="IH95" s="39">
        <v>0</v>
      </c>
      <c r="II95" s="39">
        <v>0</v>
      </c>
      <c r="IJ95" s="39">
        <v>0</v>
      </c>
      <c r="IK95" s="39">
        <v>0</v>
      </c>
      <c r="IL95" s="39">
        <v>0</v>
      </c>
    </row>
    <row r="96" spans="1:246" x14ac:dyDescent="0.3">
      <c r="A96" s="55" t="s">
        <v>134</v>
      </c>
      <c r="B96" s="56">
        <f t="shared" ref="B96:BM96" si="31">SUM(B85:B95)</f>
        <v>5111.7300000000005</v>
      </c>
      <c r="C96" s="56">
        <f t="shared" si="31"/>
        <v>0</v>
      </c>
      <c r="D96" s="56">
        <f t="shared" si="31"/>
        <v>0</v>
      </c>
      <c r="E96" s="56">
        <f t="shared" si="31"/>
        <v>5290.18</v>
      </c>
      <c r="F96" s="56">
        <f t="shared" si="31"/>
        <v>4670.6899999999996</v>
      </c>
      <c r="G96" s="56">
        <f t="shared" si="31"/>
        <v>5229.05</v>
      </c>
      <c r="H96" s="56">
        <f t="shared" si="31"/>
        <v>4999.4199999999992</v>
      </c>
      <c r="I96" s="56">
        <f t="shared" si="31"/>
        <v>5481.2</v>
      </c>
      <c r="J96" s="56">
        <f t="shared" si="31"/>
        <v>0</v>
      </c>
      <c r="K96" s="56">
        <f t="shared" si="31"/>
        <v>0</v>
      </c>
      <c r="L96" s="56">
        <f t="shared" si="31"/>
        <v>5279.19</v>
      </c>
      <c r="M96" s="56">
        <f t="shared" si="31"/>
        <v>5016.7299999999996</v>
      </c>
      <c r="N96" s="56">
        <f t="shared" si="31"/>
        <v>4801.2599999999993</v>
      </c>
      <c r="O96" s="56">
        <f t="shared" si="31"/>
        <v>5166.3499999999995</v>
      </c>
      <c r="P96" s="56">
        <f t="shared" si="31"/>
        <v>5088.3200000000006</v>
      </c>
      <c r="Q96" s="56">
        <f t="shared" si="31"/>
        <v>0</v>
      </c>
      <c r="R96" s="56">
        <f t="shared" si="31"/>
        <v>0</v>
      </c>
      <c r="S96" s="56">
        <f t="shared" si="31"/>
        <v>5269.85</v>
      </c>
      <c r="T96" s="56">
        <f t="shared" si="31"/>
        <v>5162.7500000000009</v>
      </c>
      <c r="U96" s="56">
        <f t="shared" si="31"/>
        <v>5304.03</v>
      </c>
      <c r="V96" s="56">
        <f t="shared" si="31"/>
        <v>5403.18</v>
      </c>
      <c r="W96" s="56">
        <f t="shared" si="31"/>
        <v>5111.4399999999996</v>
      </c>
      <c r="X96" s="56">
        <f t="shared" si="31"/>
        <v>0</v>
      </c>
      <c r="Y96" s="56">
        <f t="shared" si="31"/>
        <v>0</v>
      </c>
      <c r="Z96" s="56">
        <f t="shared" si="31"/>
        <v>5421.5599999999995</v>
      </c>
      <c r="AA96" s="56">
        <f t="shared" si="31"/>
        <v>5355.54</v>
      </c>
      <c r="AB96" s="56">
        <f t="shared" si="31"/>
        <v>5147.9900000000007</v>
      </c>
      <c r="AC96" s="56">
        <f t="shared" si="31"/>
        <v>5109.42</v>
      </c>
      <c r="AD96" s="56">
        <f t="shared" si="31"/>
        <v>4904.9000000000015</v>
      </c>
      <c r="AE96" s="56">
        <f t="shared" si="31"/>
        <v>0</v>
      </c>
      <c r="AF96" s="56">
        <f t="shared" si="31"/>
        <v>0</v>
      </c>
      <c r="AG96" s="56">
        <f t="shared" si="31"/>
        <v>4949.76</v>
      </c>
      <c r="AH96" s="56">
        <f t="shared" si="31"/>
        <v>5359.8300000000008</v>
      </c>
      <c r="AI96" s="56">
        <f t="shared" si="31"/>
        <v>4632.04</v>
      </c>
      <c r="AJ96" s="56">
        <f t="shared" si="31"/>
        <v>5485.4500000000007</v>
      </c>
      <c r="AK96" s="56">
        <f t="shared" si="31"/>
        <v>5206.16</v>
      </c>
      <c r="AL96" s="56">
        <f t="shared" si="31"/>
        <v>0</v>
      </c>
      <c r="AM96" s="56">
        <f t="shared" si="31"/>
        <v>0</v>
      </c>
      <c r="AN96" s="56">
        <f t="shared" si="31"/>
        <v>5039.3</v>
      </c>
      <c r="AO96" s="56">
        <f t="shared" si="31"/>
        <v>5304.68</v>
      </c>
      <c r="AP96" s="56">
        <f t="shared" si="31"/>
        <v>5442.12</v>
      </c>
      <c r="AQ96" s="56">
        <f t="shared" si="31"/>
        <v>4816.8900000000003</v>
      </c>
      <c r="AR96" s="56">
        <f t="shared" si="31"/>
        <v>5303.0599999999995</v>
      </c>
      <c r="AS96" s="56">
        <f t="shared" si="31"/>
        <v>0</v>
      </c>
      <c r="AT96" s="56">
        <f t="shared" si="31"/>
        <v>0</v>
      </c>
      <c r="AU96" s="56">
        <f t="shared" si="31"/>
        <v>5232.0199999999995</v>
      </c>
      <c r="AV96" s="56">
        <f t="shared" si="31"/>
        <v>5089.0499999999993</v>
      </c>
      <c r="AW96" s="56">
        <f t="shared" si="31"/>
        <v>5059.3599999999997</v>
      </c>
      <c r="AX96" s="56">
        <f t="shared" si="31"/>
        <v>5047.7199999999993</v>
      </c>
      <c r="AY96" s="56">
        <f t="shared" si="31"/>
        <v>5124.4800000000005</v>
      </c>
      <c r="AZ96" s="56">
        <f t="shared" si="31"/>
        <v>0</v>
      </c>
      <c r="BA96" s="56">
        <f t="shared" si="31"/>
        <v>0</v>
      </c>
      <c r="BB96" s="56">
        <f t="shared" si="31"/>
        <v>5235.28</v>
      </c>
      <c r="BC96" s="56">
        <f t="shared" si="31"/>
        <v>5203.7199999999993</v>
      </c>
      <c r="BD96" s="56">
        <f t="shared" si="31"/>
        <v>5291.2099999999991</v>
      </c>
      <c r="BE96" s="56">
        <f t="shared" si="31"/>
        <v>4877.0200000000004</v>
      </c>
      <c r="BF96" s="56">
        <f t="shared" si="31"/>
        <v>5318.24</v>
      </c>
      <c r="BG96" s="56">
        <f t="shared" si="31"/>
        <v>0</v>
      </c>
      <c r="BH96" s="56">
        <f t="shared" si="31"/>
        <v>0</v>
      </c>
      <c r="BI96" s="56">
        <f t="shared" si="31"/>
        <v>4999.8200000000006</v>
      </c>
      <c r="BJ96" s="56">
        <f t="shared" si="31"/>
        <v>4611.75</v>
      </c>
      <c r="BK96" s="56">
        <f t="shared" si="31"/>
        <v>5566.6699999999992</v>
      </c>
      <c r="BL96" s="56">
        <f t="shared" si="31"/>
        <v>5352.0599999999995</v>
      </c>
      <c r="BM96" s="56">
        <f t="shared" si="31"/>
        <v>4727.4000000000005</v>
      </c>
      <c r="BN96" s="56">
        <f t="shared" ref="BN96:DY96" si="32">SUM(BN85:BN95)</f>
        <v>0</v>
      </c>
      <c r="BO96" s="56">
        <f t="shared" si="32"/>
        <v>0</v>
      </c>
      <c r="BP96" s="56">
        <f t="shared" si="32"/>
        <v>4870.6000000000013</v>
      </c>
      <c r="BQ96" s="56">
        <f t="shared" si="32"/>
        <v>4783.6099999999997</v>
      </c>
      <c r="BR96" s="56">
        <f t="shared" si="32"/>
        <v>5322.5499999999993</v>
      </c>
      <c r="BS96" s="56">
        <f t="shared" si="32"/>
        <v>5084.0699999999988</v>
      </c>
      <c r="BT96" s="56">
        <f t="shared" si="32"/>
        <v>4928.5</v>
      </c>
      <c r="BU96" s="56">
        <f t="shared" si="32"/>
        <v>0</v>
      </c>
      <c r="BV96" s="56">
        <f t="shared" si="32"/>
        <v>0</v>
      </c>
      <c r="BW96" s="56">
        <f t="shared" si="32"/>
        <v>4875.9299999999994</v>
      </c>
      <c r="BX96" s="56">
        <f t="shared" si="32"/>
        <v>4844.4000000000005</v>
      </c>
      <c r="BY96" s="56">
        <f t="shared" si="32"/>
        <v>4896.72</v>
      </c>
      <c r="BZ96" s="56">
        <f t="shared" si="32"/>
        <v>5435.3599999999988</v>
      </c>
      <c r="CA96" s="56">
        <f t="shared" si="32"/>
        <v>5401.38</v>
      </c>
      <c r="CB96" s="56">
        <f t="shared" si="32"/>
        <v>0</v>
      </c>
      <c r="CC96" s="56">
        <f t="shared" si="32"/>
        <v>0</v>
      </c>
      <c r="CD96" s="56">
        <f t="shared" si="32"/>
        <v>5272.2199999999993</v>
      </c>
      <c r="CE96" s="56">
        <f t="shared" si="32"/>
        <v>4707.3799999999992</v>
      </c>
      <c r="CF96" s="56">
        <f t="shared" si="32"/>
        <v>5202.58</v>
      </c>
      <c r="CG96" s="56">
        <f t="shared" si="32"/>
        <v>5108.37</v>
      </c>
      <c r="CH96" s="56">
        <f t="shared" si="32"/>
        <v>5006.6399999999994</v>
      </c>
      <c r="CI96" s="56">
        <f t="shared" si="32"/>
        <v>0</v>
      </c>
      <c r="CJ96" s="56">
        <f t="shared" si="32"/>
        <v>0</v>
      </c>
      <c r="CK96" s="56">
        <f t="shared" si="32"/>
        <v>4828.7300000000005</v>
      </c>
      <c r="CL96" s="56">
        <f t="shared" si="32"/>
        <v>5271.2899999999991</v>
      </c>
      <c r="CM96" s="56">
        <f t="shared" si="32"/>
        <v>5158.6200000000008</v>
      </c>
      <c r="CN96" s="56">
        <f t="shared" si="32"/>
        <v>5301.3599999999988</v>
      </c>
      <c r="CO96" s="56">
        <f t="shared" si="32"/>
        <v>5414.13</v>
      </c>
      <c r="CP96" s="56">
        <f t="shared" si="32"/>
        <v>0</v>
      </c>
      <c r="CQ96" s="56">
        <f t="shared" si="32"/>
        <v>0</v>
      </c>
      <c r="CR96" s="56">
        <f t="shared" si="32"/>
        <v>4943.9399999999996</v>
      </c>
      <c r="CS96" s="56">
        <f t="shared" si="32"/>
        <v>4896.42</v>
      </c>
      <c r="CT96" s="56">
        <f t="shared" si="32"/>
        <v>5204.37</v>
      </c>
      <c r="CU96" s="56">
        <f t="shared" si="32"/>
        <v>4970.8</v>
      </c>
      <c r="CV96" s="56">
        <f t="shared" si="32"/>
        <v>5039.7299999999996</v>
      </c>
      <c r="CW96" s="56">
        <f t="shared" si="32"/>
        <v>0</v>
      </c>
      <c r="CX96" s="56">
        <f t="shared" si="32"/>
        <v>0</v>
      </c>
      <c r="CY96" s="56">
        <f t="shared" si="32"/>
        <v>4988.8899999999994</v>
      </c>
      <c r="CZ96" s="56">
        <f t="shared" si="32"/>
        <v>4846.93</v>
      </c>
      <c r="DA96" s="56">
        <f t="shared" si="32"/>
        <v>5097.2</v>
      </c>
      <c r="DB96" s="56">
        <f t="shared" si="32"/>
        <v>5369.1899999999987</v>
      </c>
      <c r="DC96" s="56">
        <f t="shared" si="32"/>
        <v>5186.8999999999987</v>
      </c>
      <c r="DD96" s="56">
        <f t="shared" si="32"/>
        <v>0</v>
      </c>
      <c r="DE96" s="56">
        <f t="shared" si="32"/>
        <v>0</v>
      </c>
      <c r="DF96" s="56">
        <f t="shared" si="32"/>
        <v>5218.29</v>
      </c>
      <c r="DG96" s="56">
        <f t="shared" si="32"/>
        <v>4718.54</v>
      </c>
      <c r="DH96" s="56">
        <f t="shared" si="32"/>
        <v>4854.75</v>
      </c>
      <c r="DI96" s="56">
        <f t="shared" si="32"/>
        <v>5015.9699999999993</v>
      </c>
      <c r="DJ96" s="56">
        <f t="shared" si="32"/>
        <v>5252.59</v>
      </c>
      <c r="DK96" s="56">
        <f t="shared" si="32"/>
        <v>0</v>
      </c>
      <c r="DL96" s="56">
        <f t="shared" si="32"/>
        <v>0</v>
      </c>
      <c r="DM96" s="56">
        <f t="shared" si="32"/>
        <v>5408.6599999999989</v>
      </c>
      <c r="DN96" s="56">
        <f t="shared" si="32"/>
        <v>4896.4799999999996</v>
      </c>
      <c r="DO96" s="56">
        <f t="shared" si="32"/>
        <v>5060.21</v>
      </c>
      <c r="DP96" s="56">
        <f t="shared" si="32"/>
        <v>5012.7</v>
      </c>
      <c r="DQ96" s="56">
        <f t="shared" si="32"/>
        <v>4909.93</v>
      </c>
      <c r="DR96" s="56">
        <f t="shared" si="32"/>
        <v>0</v>
      </c>
      <c r="DS96" s="56">
        <f t="shared" si="32"/>
        <v>0</v>
      </c>
      <c r="DT96" s="56">
        <f t="shared" si="32"/>
        <v>4919.0399999999991</v>
      </c>
      <c r="DU96" s="56">
        <f t="shared" si="32"/>
        <v>5191.5999999999985</v>
      </c>
      <c r="DV96" s="56">
        <f t="shared" si="32"/>
        <v>5309.72</v>
      </c>
      <c r="DW96" s="56">
        <f t="shared" si="32"/>
        <v>5363.48</v>
      </c>
      <c r="DX96" s="56">
        <f t="shared" si="32"/>
        <v>5276.14</v>
      </c>
      <c r="DY96" s="56">
        <f t="shared" si="32"/>
        <v>0</v>
      </c>
      <c r="DZ96" s="56">
        <f t="shared" ref="DZ96:GK96" si="33">SUM(DZ85:DZ95)</f>
        <v>0</v>
      </c>
      <c r="EA96" s="56">
        <f t="shared" si="33"/>
        <v>5046.0999999999995</v>
      </c>
      <c r="EB96" s="56">
        <f t="shared" si="33"/>
        <v>5067.8799999999992</v>
      </c>
      <c r="EC96" s="56">
        <f t="shared" si="33"/>
        <v>5250.05</v>
      </c>
      <c r="ED96" s="56">
        <f t="shared" si="33"/>
        <v>4866.34</v>
      </c>
      <c r="EE96" s="56">
        <f t="shared" si="33"/>
        <v>5369.3099999999995</v>
      </c>
      <c r="EF96" s="56">
        <f t="shared" si="33"/>
        <v>0</v>
      </c>
      <c r="EG96" s="56">
        <f t="shared" si="33"/>
        <v>0</v>
      </c>
      <c r="EH96" s="56">
        <f t="shared" si="33"/>
        <v>5209.09</v>
      </c>
      <c r="EI96" s="56">
        <f t="shared" si="33"/>
        <v>5228.9499999999989</v>
      </c>
      <c r="EJ96" s="56">
        <f t="shared" si="33"/>
        <v>4855.1200000000008</v>
      </c>
      <c r="EK96" s="56">
        <f t="shared" si="33"/>
        <v>5031.0599999999995</v>
      </c>
      <c r="EL96" s="56">
        <f t="shared" si="33"/>
        <v>5065.46</v>
      </c>
      <c r="EM96" s="56">
        <f t="shared" si="33"/>
        <v>0</v>
      </c>
      <c r="EN96" s="56">
        <f t="shared" si="33"/>
        <v>0</v>
      </c>
      <c r="EO96" s="56">
        <f t="shared" si="33"/>
        <v>5073.6499999999996</v>
      </c>
      <c r="EP96" s="56">
        <f t="shared" si="33"/>
        <v>4904.1399999999994</v>
      </c>
      <c r="EQ96" s="56">
        <f t="shared" si="33"/>
        <v>5400.9600000000009</v>
      </c>
      <c r="ER96" s="56">
        <f t="shared" si="33"/>
        <v>5258.81</v>
      </c>
      <c r="ES96" s="56">
        <f t="shared" si="33"/>
        <v>5196.9700000000012</v>
      </c>
      <c r="ET96" s="56">
        <f t="shared" si="33"/>
        <v>0</v>
      </c>
      <c r="EU96" s="56">
        <f t="shared" si="33"/>
        <v>0</v>
      </c>
      <c r="EV96" s="56">
        <f t="shared" si="33"/>
        <v>4857.0300000000007</v>
      </c>
      <c r="EW96" s="56">
        <f t="shared" si="33"/>
        <v>4786.13</v>
      </c>
      <c r="EX96" s="56">
        <f t="shared" si="33"/>
        <v>5597.3700000000008</v>
      </c>
      <c r="EY96" s="56">
        <f t="shared" si="33"/>
        <v>5139.5599999999995</v>
      </c>
      <c r="EZ96" s="56">
        <f t="shared" si="33"/>
        <v>5393.02</v>
      </c>
      <c r="FA96" s="56">
        <f t="shared" si="33"/>
        <v>0</v>
      </c>
      <c r="FB96" s="56">
        <f t="shared" si="33"/>
        <v>0</v>
      </c>
      <c r="FC96" s="56">
        <f t="shared" si="33"/>
        <v>5028.9400000000005</v>
      </c>
      <c r="FD96" s="56">
        <f t="shared" si="33"/>
        <v>5354.7</v>
      </c>
      <c r="FE96" s="56">
        <f t="shared" si="33"/>
        <v>5127.1900000000005</v>
      </c>
      <c r="FF96" s="56">
        <f t="shared" si="33"/>
        <v>5363.31</v>
      </c>
      <c r="FG96" s="56">
        <f t="shared" si="33"/>
        <v>5114.07</v>
      </c>
      <c r="FH96" s="56">
        <f t="shared" si="33"/>
        <v>0</v>
      </c>
      <c r="FI96" s="56">
        <f t="shared" si="33"/>
        <v>0</v>
      </c>
      <c r="FJ96" s="56">
        <f t="shared" si="33"/>
        <v>4989.08</v>
      </c>
      <c r="FK96" s="56">
        <f t="shared" si="33"/>
        <v>5415.46</v>
      </c>
      <c r="FL96" s="56">
        <f t="shared" si="33"/>
        <v>5365.6099999999988</v>
      </c>
      <c r="FM96" s="56">
        <f t="shared" si="33"/>
        <v>4749.4000000000005</v>
      </c>
      <c r="FN96" s="56">
        <f t="shared" si="33"/>
        <v>5114.0600000000004</v>
      </c>
      <c r="FO96" s="56">
        <f t="shared" si="33"/>
        <v>0</v>
      </c>
      <c r="FP96" s="56">
        <f t="shared" si="33"/>
        <v>0</v>
      </c>
      <c r="FQ96" s="56">
        <f t="shared" si="33"/>
        <v>5151.5399999999991</v>
      </c>
      <c r="FR96" s="56">
        <f t="shared" si="33"/>
        <v>5029.079999999999</v>
      </c>
      <c r="FS96" s="56">
        <f t="shared" si="33"/>
        <v>4622.5899999999992</v>
      </c>
      <c r="FT96" s="56">
        <f t="shared" si="33"/>
        <v>5006.9000000000005</v>
      </c>
      <c r="FU96" s="56">
        <f t="shared" si="33"/>
        <v>5380.4499999999989</v>
      </c>
      <c r="FV96" s="56">
        <f t="shared" si="33"/>
        <v>0</v>
      </c>
      <c r="FW96" s="56">
        <f t="shared" si="33"/>
        <v>0</v>
      </c>
      <c r="FX96" s="56">
        <f t="shared" si="33"/>
        <v>5134.0800000000008</v>
      </c>
      <c r="FY96" s="56">
        <f t="shared" si="33"/>
        <v>4730.9800000000005</v>
      </c>
      <c r="FZ96" s="56">
        <f t="shared" si="33"/>
        <v>5025.2199999999993</v>
      </c>
      <c r="GA96" s="56">
        <f t="shared" si="33"/>
        <v>5124.9999999999991</v>
      </c>
      <c r="GB96" s="56">
        <f t="shared" si="33"/>
        <v>4763.7899999999991</v>
      </c>
      <c r="GC96" s="56">
        <f t="shared" si="33"/>
        <v>0</v>
      </c>
      <c r="GD96" s="56">
        <f t="shared" si="33"/>
        <v>0</v>
      </c>
      <c r="GE96" s="56">
        <f t="shared" si="33"/>
        <v>5513.7599999999984</v>
      </c>
      <c r="GF96" s="56">
        <f t="shared" si="33"/>
        <v>5259.4000000000005</v>
      </c>
      <c r="GG96" s="56">
        <f t="shared" si="33"/>
        <v>5395.7699999999995</v>
      </c>
      <c r="GH96" s="56">
        <f t="shared" si="33"/>
        <v>5151.0099999999993</v>
      </c>
      <c r="GI96" s="56">
        <f t="shared" si="33"/>
        <v>5102.67</v>
      </c>
      <c r="GJ96" s="56">
        <f t="shared" si="33"/>
        <v>0</v>
      </c>
      <c r="GK96" s="56">
        <f t="shared" si="33"/>
        <v>0</v>
      </c>
      <c r="GL96" s="56">
        <f t="shared" ref="GL96:IL96" si="34">SUM(GL85:GL95)</f>
        <v>4659.49</v>
      </c>
      <c r="GM96" s="56">
        <f t="shared" si="34"/>
        <v>5341.4800000000005</v>
      </c>
      <c r="GN96" s="56">
        <f t="shared" si="34"/>
        <v>5302.6799999999994</v>
      </c>
      <c r="GO96" s="56">
        <f t="shared" si="34"/>
        <v>4999.54</v>
      </c>
      <c r="GP96" s="56">
        <f t="shared" si="34"/>
        <v>4953.3599999999997</v>
      </c>
      <c r="GQ96" s="56">
        <f t="shared" si="34"/>
        <v>0</v>
      </c>
      <c r="GR96" s="56">
        <f t="shared" si="34"/>
        <v>0</v>
      </c>
      <c r="GS96" s="56">
        <f t="shared" si="34"/>
        <v>4839.57</v>
      </c>
      <c r="GT96" s="56">
        <f t="shared" si="34"/>
        <v>5035.8500000000004</v>
      </c>
      <c r="GU96" s="56">
        <f t="shared" si="34"/>
        <v>4973.9599999999991</v>
      </c>
      <c r="GV96" s="56">
        <f t="shared" si="34"/>
        <v>5058.47</v>
      </c>
      <c r="GW96" s="56">
        <f t="shared" si="34"/>
        <v>4792.2600000000011</v>
      </c>
      <c r="GX96" s="56">
        <f t="shared" si="34"/>
        <v>0</v>
      </c>
      <c r="GY96" s="56">
        <f t="shared" si="34"/>
        <v>0</v>
      </c>
      <c r="GZ96" s="56">
        <f t="shared" si="34"/>
        <v>5359.4600000000009</v>
      </c>
      <c r="HA96" s="56">
        <f t="shared" si="34"/>
        <v>5163.0800000000008</v>
      </c>
      <c r="HB96" s="56">
        <f t="shared" si="34"/>
        <v>5307.7300000000005</v>
      </c>
      <c r="HC96" s="56">
        <f t="shared" si="34"/>
        <v>4958.72</v>
      </c>
      <c r="HD96" s="56">
        <f t="shared" si="34"/>
        <v>5283.57</v>
      </c>
      <c r="HE96" s="56">
        <f t="shared" si="34"/>
        <v>0</v>
      </c>
      <c r="HF96" s="56">
        <f t="shared" si="34"/>
        <v>0</v>
      </c>
      <c r="HG96" s="56">
        <f t="shared" si="34"/>
        <v>5351.41</v>
      </c>
      <c r="HH96" s="56">
        <f t="shared" si="34"/>
        <v>4532.4700000000012</v>
      </c>
      <c r="HI96" s="56">
        <f t="shared" si="34"/>
        <v>4873.67</v>
      </c>
      <c r="HJ96" s="56">
        <f t="shared" si="34"/>
        <v>5000.28</v>
      </c>
      <c r="HK96" s="56">
        <f t="shared" si="34"/>
        <v>5221.0499999999993</v>
      </c>
      <c r="HL96" s="56">
        <f t="shared" si="34"/>
        <v>0</v>
      </c>
      <c r="HM96" s="56">
        <f t="shared" si="34"/>
        <v>0</v>
      </c>
      <c r="HN96" s="56">
        <f t="shared" si="34"/>
        <v>5174.1099999999997</v>
      </c>
      <c r="HO96" s="56">
        <f t="shared" si="34"/>
        <v>5082.6099999999997</v>
      </c>
      <c r="HP96" s="56">
        <f t="shared" si="34"/>
        <v>5600.0899999999992</v>
      </c>
      <c r="HQ96" s="56">
        <f t="shared" si="34"/>
        <v>5561.5499999999993</v>
      </c>
      <c r="HR96" s="56">
        <f t="shared" si="34"/>
        <v>5390.2199999999993</v>
      </c>
      <c r="HS96" s="56">
        <f t="shared" si="34"/>
        <v>0</v>
      </c>
      <c r="HT96" s="56">
        <f t="shared" si="34"/>
        <v>0</v>
      </c>
      <c r="HU96" s="56">
        <f t="shared" si="34"/>
        <v>5539.45</v>
      </c>
      <c r="HV96" s="56">
        <f t="shared" si="34"/>
        <v>5202.3700000000008</v>
      </c>
      <c r="HW96" s="56">
        <f t="shared" si="34"/>
        <v>4740.6200000000008</v>
      </c>
      <c r="HX96" s="56">
        <f t="shared" si="34"/>
        <v>4997.6000000000004</v>
      </c>
      <c r="HY96" s="56">
        <f t="shared" si="34"/>
        <v>5619.7</v>
      </c>
      <c r="HZ96" s="56">
        <f t="shared" si="34"/>
        <v>0</v>
      </c>
      <c r="IA96" s="56">
        <f t="shared" si="34"/>
        <v>0</v>
      </c>
      <c r="IB96" s="56">
        <f t="shared" si="34"/>
        <v>5257.88</v>
      </c>
      <c r="IC96" s="56">
        <f t="shared" si="34"/>
        <v>4794</v>
      </c>
      <c r="ID96" s="56">
        <f t="shared" si="34"/>
        <v>4525.6399999999994</v>
      </c>
      <c r="IE96" s="56">
        <f t="shared" si="34"/>
        <v>5029.45</v>
      </c>
      <c r="IF96" s="56">
        <f t="shared" si="34"/>
        <v>5078.66</v>
      </c>
      <c r="IG96" s="56">
        <f t="shared" si="34"/>
        <v>0</v>
      </c>
      <c r="IH96" s="56">
        <f t="shared" si="34"/>
        <v>0</v>
      </c>
      <c r="II96" s="56">
        <f t="shared" si="34"/>
        <v>4968.2999999999993</v>
      </c>
      <c r="IJ96" s="56">
        <f t="shared" si="34"/>
        <v>4978.119999999999</v>
      </c>
      <c r="IK96" s="56">
        <f t="shared" si="34"/>
        <v>5158.7600000000011</v>
      </c>
      <c r="IL96" s="56">
        <f t="shared" si="34"/>
        <v>5076.87</v>
      </c>
    </row>
    <row r="97" spans="1:246" x14ac:dyDescent="0.3">
      <c r="A97" s="53" t="s">
        <v>135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59"/>
      <c r="GD97" s="59"/>
      <c r="GE97" s="59"/>
      <c r="GF97" s="59"/>
      <c r="GG97" s="59"/>
      <c r="GH97" s="59"/>
      <c r="GI97" s="59"/>
      <c r="GJ97" s="59"/>
      <c r="GK97" s="59"/>
      <c r="GL97" s="59"/>
      <c r="GM97" s="59"/>
      <c r="GN97" s="59"/>
      <c r="GO97" s="59"/>
      <c r="GP97" s="59"/>
      <c r="GQ97" s="59"/>
      <c r="GR97" s="59"/>
      <c r="GS97" s="59"/>
      <c r="GT97" s="59"/>
      <c r="GU97" s="59"/>
      <c r="GV97" s="59"/>
      <c r="GW97" s="59"/>
      <c r="GX97" s="59"/>
      <c r="GY97" s="59"/>
      <c r="GZ97" s="59"/>
      <c r="HA97" s="59"/>
      <c r="HB97" s="59"/>
      <c r="HC97" s="59"/>
      <c r="HD97" s="59"/>
      <c r="HE97" s="59"/>
      <c r="HF97" s="59"/>
      <c r="HG97" s="59"/>
      <c r="HH97" s="59"/>
      <c r="HI97" s="59"/>
      <c r="HJ97" s="59"/>
      <c r="HK97" s="59"/>
      <c r="HL97" s="59"/>
      <c r="HM97" s="59"/>
      <c r="HN97" s="59"/>
      <c r="HO97" s="59"/>
      <c r="HP97" s="59"/>
      <c r="HQ97" s="59"/>
      <c r="HR97" s="59"/>
      <c r="HS97" s="59"/>
      <c r="HT97" s="59"/>
      <c r="HU97" s="59"/>
      <c r="HV97" s="59"/>
      <c r="HW97" s="59"/>
      <c r="HX97" s="59"/>
      <c r="HY97" s="59"/>
      <c r="HZ97" s="59"/>
      <c r="IA97" s="59"/>
      <c r="IB97" s="59"/>
      <c r="IC97" s="59"/>
      <c r="ID97" s="59"/>
      <c r="IE97" s="59"/>
      <c r="IF97" s="59"/>
      <c r="IG97" s="59"/>
      <c r="IH97" s="59"/>
      <c r="II97" s="59"/>
      <c r="IJ97" s="59"/>
      <c r="IK97" s="59"/>
      <c r="IL97" s="59"/>
    </row>
    <row r="98" spans="1:246" x14ac:dyDescent="0.3">
      <c r="A98" t="s">
        <v>8</v>
      </c>
      <c r="B98" s="39">
        <f>(IF(WEEKDAY(B$82,2)&gt;5,0,155.47))*-1</f>
        <v>-155.47</v>
      </c>
      <c r="C98" s="39">
        <f>(IF(WEEKDAY(C$82,2)&gt;5,0,143.63))*-1</f>
        <v>0</v>
      </c>
      <c r="D98" s="39">
        <f>(IF(WEEKDAY(D$82,2)&gt;5,0,151.18))*-1</f>
        <v>0</v>
      </c>
      <c r="E98" s="39">
        <f>(IF(WEEKDAY(E$82,2)&gt;5,0,130.15))*-1</f>
        <v>-130.15</v>
      </c>
      <c r="F98" s="39">
        <f>(IF(WEEKDAY(F$82,2)&gt;5,0,135.69))*-1</f>
        <v>-135.69</v>
      </c>
      <c r="G98" s="39">
        <f>(IF(WEEKDAY(G$82,2)&gt;5,0,132.81))*-1</f>
        <v>-132.81</v>
      </c>
      <c r="H98" s="39">
        <f>(IF(WEEKDAY(H$82,2)&gt;5,0,152.94))*-1</f>
        <v>-152.94</v>
      </c>
      <c r="I98" s="39">
        <f>(IF(WEEKDAY(I$82,2)&gt;5,0,132.3))*-1</f>
        <v>-132.30000000000001</v>
      </c>
      <c r="J98" s="39">
        <f>(IF(WEEKDAY(J$82,2)&gt;5,0,161.57))*-1</f>
        <v>0</v>
      </c>
      <c r="K98" s="39">
        <f>(IF(WEEKDAY(K$82,2)&gt;5,0,156.64))*-1</f>
        <v>0</v>
      </c>
      <c r="L98" s="39">
        <f>(IF(WEEKDAY(L$82,2)&gt;5,0,170.63))*-1</f>
        <v>-170.63</v>
      </c>
      <c r="M98" s="39">
        <f>(IF(WEEKDAY(M$82,2)&gt;5,0,158.21))*-1</f>
        <v>-158.21</v>
      </c>
      <c r="N98" s="39">
        <f>(IF(WEEKDAY(N$82,2)&gt;5,0,170.63))*-1</f>
        <v>-170.63</v>
      </c>
      <c r="O98" s="39">
        <f>(IF(WEEKDAY(O$82,2)&gt;5,0,164.31))*-1</f>
        <v>-164.31</v>
      </c>
      <c r="P98" s="39">
        <f>(IF(WEEKDAY(P$82,2)&gt;5,0,128.17))*-1</f>
        <v>-128.16999999999999</v>
      </c>
      <c r="Q98" s="39">
        <f>(IF(WEEKDAY(Q$82,2)&gt;5,0,139.62))*-1</f>
        <v>0</v>
      </c>
      <c r="R98" s="39">
        <f>(IF(WEEKDAY(R$82,2)&gt;5,0,131.5))*-1</f>
        <v>0</v>
      </c>
      <c r="S98" s="39">
        <f>(IF(WEEKDAY(S$82,2)&gt;5,0,128.95))*-1</f>
        <v>-128.94999999999999</v>
      </c>
      <c r="T98" s="39">
        <f>(IF(WEEKDAY(T$82,2)&gt;5,0,165.04))*-1</f>
        <v>-165.04</v>
      </c>
      <c r="U98" s="39">
        <f>(IF(WEEKDAY(U$82,2)&gt;5,0,138.33))*-1</f>
        <v>-138.33000000000001</v>
      </c>
      <c r="V98" s="39">
        <f>(IF(WEEKDAY(V$82,2)&gt;5,0,161.08))*-1</f>
        <v>-161.08000000000001</v>
      </c>
      <c r="W98" s="39">
        <f>(IF(WEEKDAY(W$82,2)&gt;5,0,150.01))*-1</f>
        <v>-150.01</v>
      </c>
      <c r="X98" s="39">
        <f>(IF(WEEKDAY(X$82,2)&gt;5,0,146.46))*-1</f>
        <v>0</v>
      </c>
      <c r="Y98" s="39">
        <f>(IF(WEEKDAY(Y$82,2)&gt;5,0,148.1))*-1</f>
        <v>0</v>
      </c>
      <c r="Z98" s="39">
        <f>(IF(WEEKDAY(Z$82,2)&gt;5,0,150.5))*-1</f>
        <v>-150.5</v>
      </c>
      <c r="AA98" s="39">
        <f>(IF(WEEKDAY(AA$82,2)&gt;5,0,151.34))*-1</f>
        <v>-151.34</v>
      </c>
      <c r="AB98" s="39">
        <f>(IF(WEEKDAY(AB$82,2)&gt;5,0,159.27))*-1</f>
        <v>-159.27000000000001</v>
      </c>
      <c r="AC98" s="39">
        <f>(IF(WEEKDAY(AC$82,2)&gt;5,0,136.79))*-1</f>
        <v>-136.79</v>
      </c>
      <c r="AD98" s="39">
        <f>(IF(WEEKDAY(AD$82,2)&gt;5,0,171.69))*-1</f>
        <v>-171.69</v>
      </c>
      <c r="AE98" s="39">
        <f>(IF(WEEKDAY(AE$82,2)&gt;5,0,172.46))*-1</f>
        <v>0</v>
      </c>
      <c r="AF98" s="39">
        <f>(IF(WEEKDAY(AF$82,2)&gt;5,0,153.99))*-1</f>
        <v>0</v>
      </c>
      <c r="AG98" s="39">
        <f>(IF(WEEKDAY(AG$82,2)&gt;5,0,169.45))*-1</f>
        <v>-169.45</v>
      </c>
      <c r="AH98" s="39">
        <f>(IF(WEEKDAY(AH$82,2)&gt;5,0,129.69))*-1</f>
        <v>-129.69</v>
      </c>
      <c r="AI98" s="39">
        <f>(IF(WEEKDAY(AI$82,2)&gt;5,0,164.32))*-1</f>
        <v>-164.32</v>
      </c>
      <c r="AJ98" s="39">
        <f>(IF(WEEKDAY(AJ$82,2)&gt;5,0,167.55))*-1</f>
        <v>-167.55</v>
      </c>
      <c r="AK98" s="39">
        <f>(IF(WEEKDAY(AK$82,2)&gt;5,0,150.74))*-1</f>
        <v>-150.74</v>
      </c>
      <c r="AL98" s="39">
        <f>(IF(WEEKDAY(AL$82,2)&gt;5,0,147.56))*-1</f>
        <v>0</v>
      </c>
      <c r="AM98" s="39">
        <f>(IF(WEEKDAY(AM$82,2)&gt;5,0,130.53))*-1</f>
        <v>0</v>
      </c>
      <c r="AN98" s="39">
        <f>(IF(WEEKDAY(AN$82,2)&gt;5,0,162.25))*-1</f>
        <v>-162.25</v>
      </c>
      <c r="AO98" s="39">
        <f>(IF(WEEKDAY(AO$82,2)&gt;5,0,172.41))*-1</f>
        <v>-172.41</v>
      </c>
      <c r="AP98" s="39">
        <f>(IF(WEEKDAY(AP$82,2)&gt;5,0,131.34))*-1</f>
        <v>-131.34</v>
      </c>
      <c r="AQ98" s="39">
        <f>(IF(WEEKDAY(AQ$82,2)&gt;5,0,139.31))*-1</f>
        <v>-139.31</v>
      </c>
      <c r="AR98" s="39">
        <f>(IF(WEEKDAY(AR$82,2)&gt;5,0,162.77))*-1</f>
        <v>-162.77000000000001</v>
      </c>
      <c r="AS98" s="39">
        <f>(IF(WEEKDAY(AS$82,2)&gt;5,0,135.45))*-1</f>
        <v>0</v>
      </c>
      <c r="AT98" s="39">
        <f>(IF(WEEKDAY(AT$82,2)&gt;5,0,152.66))*-1</f>
        <v>0</v>
      </c>
      <c r="AU98" s="39">
        <f>(IF(WEEKDAY(AU$82,2)&gt;5,0,159.6))*-1</f>
        <v>-159.6</v>
      </c>
      <c r="AV98" s="39">
        <f>(IF(WEEKDAY(AV$82,2)&gt;5,0,154.09))*-1</f>
        <v>-154.09</v>
      </c>
      <c r="AW98" s="39">
        <f>(IF(WEEKDAY(AW$82,2)&gt;5,0,147.77))*-1</f>
        <v>-147.77000000000001</v>
      </c>
      <c r="AX98" s="39">
        <f>(IF(WEEKDAY(AX$82,2)&gt;5,0,149.64))*-1</f>
        <v>-149.63999999999999</v>
      </c>
      <c r="AY98" s="39">
        <f>(IF(WEEKDAY(AY$82,2)&gt;5,0,170.08))*-1</f>
        <v>-170.08</v>
      </c>
      <c r="AZ98" s="39">
        <f>(IF(WEEKDAY(AZ$82,2)&gt;5,0,127.9))*-1</f>
        <v>0</v>
      </c>
      <c r="BA98" s="39">
        <f>(IF(WEEKDAY(BA$82,2)&gt;5,0,162.51))*-1</f>
        <v>0</v>
      </c>
      <c r="BB98" s="39">
        <f>(IF(WEEKDAY(BB$82,2)&gt;5,0,168.24))*-1</f>
        <v>-168.24</v>
      </c>
      <c r="BC98" s="39">
        <f>(IF(WEEKDAY(BC$82,2)&gt;5,0,144.92))*-1</f>
        <v>-144.91999999999999</v>
      </c>
      <c r="BD98" s="39">
        <f>(IF(WEEKDAY(BD$82,2)&gt;5,0,164.83))*-1</f>
        <v>-164.83</v>
      </c>
      <c r="BE98" s="39">
        <f>(IF(WEEKDAY(BE$82,2)&gt;5,0,150.89))*-1</f>
        <v>-150.88999999999999</v>
      </c>
      <c r="BF98" s="39">
        <f>(IF(WEEKDAY(BF$82,2)&gt;5,0,144.16))*-1</f>
        <v>-144.16</v>
      </c>
      <c r="BG98" s="39">
        <f>(IF(WEEKDAY(BG$82,2)&gt;5,0,156.75))*-1</f>
        <v>0</v>
      </c>
      <c r="BH98" s="39">
        <f>(IF(WEEKDAY(BH$82,2)&gt;5,0,167.48))*-1</f>
        <v>0</v>
      </c>
      <c r="BI98" s="39">
        <f>(IF(WEEKDAY(BI$82,2)&gt;5,0,144.64))*-1</f>
        <v>-144.63999999999999</v>
      </c>
      <c r="BJ98" s="39">
        <f>(IF(WEEKDAY(BJ$82,2)&gt;5,0,146.64))*-1</f>
        <v>-146.63999999999999</v>
      </c>
      <c r="BK98" s="39">
        <f>(IF(WEEKDAY(BK$82,2)&gt;5,0,149))*-1</f>
        <v>-149</v>
      </c>
      <c r="BL98" s="39">
        <f>(IF(WEEKDAY(BL$82,2)&gt;5,0,130.22))*-1</f>
        <v>-130.22</v>
      </c>
      <c r="BM98" s="39">
        <f>(IF(WEEKDAY(BM$82,2)&gt;5,0,172.48))*-1</f>
        <v>-172.48</v>
      </c>
      <c r="BN98" s="39">
        <f>(IF(WEEKDAY(BN$82,2)&gt;5,0,165.94))*-1</f>
        <v>0</v>
      </c>
      <c r="BO98" s="39">
        <f>(IF(WEEKDAY(BO$82,2)&gt;5,0,144.89))*-1</f>
        <v>0</v>
      </c>
      <c r="BP98" s="39">
        <f>(IF(WEEKDAY(BP$82,2)&gt;5,0,130.09))*-1</f>
        <v>-130.09</v>
      </c>
      <c r="BQ98" s="39">
        <f>(IF(WEEKDAY(BQ$82,2)&gt;5,0,168.67))*-1</f>
        <v>-168.67</v>
      </c>
      <c r="BR98" s="39">
        <f>(IF(WEEKDAY(BR$82,2)&gt;5,0,135.38))*-1</f>
        <v>-135.38</v>
      </c>
      <c r="BS98" s="39">
        <f>(IF(WEEKDAY(BS$82,2)&gt;5,0,152.8))*-1</f>
        <v>-152.80000000000001</v>
      </c>
      <c r="BT98" s="39">
        <f>(IF(WEEKDAY(BT$82,2)&gt;5,0,162.68))*-1</f>
        <v>-162.68</v>
      </c>
      <c r="BU98" s="39">
        <f>(IF(WEEKDAY(BU$82,2)&gt;5,0,128.09))*-1</f>
        <v>0</v>
      </c>
      <c r="BV98" s="39">
        <f>(IF(WEEKDAY(BV$82,2)&gt;5,0,168.24))*-1</f>
        <v>0</v>
      </c>
      <c r="BW98" s="39">
        <f>(IF(WEEKDAY(BW$82,2)&gt;5,0,159.36))*-1</f>
        <v>-159.36000000000001</v>
      </c>
      <c r="BX98" s="39">
        <f>(IF(WEEKDAY(BX$82,2)&gt;5,0,134.9))*-1</f>
        <v>-134.9</v>
      </c>
      <c r="BY98" s="39">
        <f>(IF(WEEKDAY(BY$82,2)&gt;5,0,162.06))*-1</f>
        <v>-162.06</v>
      </c>
      <c r="BZ98" s="39">
        <f>(IF(WEEKDAY(BZ$82,2)&gt;5,0,166.95))*-1</f>
        <v>-166.95</v>
      </c>
      <c r="CA98" s="39">
        <f>(IF(WEEKDAY(CA$82,2)&gt;5,0,169.74))*-1</f>
        <v>-169.74</v>
      </c>
      <c r="CB98" s="39">
        <f>(IF(WEEKDAY(CB$82,2)&gt;5,0,149.11))*-1</f>
        <v>0</v>
      </c>
      <c r="CC98" s="39">
        <f>(IF(WEEKDAY(CC$82,2)&gt;5,0,169.71))*-1</f>
        <v>0</v>
      </c>
      <c r="CD98" s="39">
        <f>(IF(WEEKDAY(CD$82,2)&gt;5,0,135.9))*-1</f>
        <v>-135.9</v>
      </c>
      <c r="CE98" s="39">
        <f>(IF(WEEKDAY(CE$82,2)&gt;5,0,146.07))*-1</f>
        <v>-146.07</v>
      </c>
      <c r="CF98" s="39">
        <f>(IF(WEEKDAY(CF$82,2)&gt;5,0,137.98))*-1</f>
        <v>-137.97999999999999</v>
      </c>
      <c r="CG98" s="39">
        <f>(IF(WEEKDAY(CG$82,2)&gt;5,0,171.2))*-1</f>
        <v>-171.2</v>
      </c>
      <c r="CH98" s="39">
        <f>(IF(WEEKDAY(CH$82,2)&gt;5,0,130.22))*-1</f>
        <v>-130.22</v>
      </c>
      <c r="CI98" s="39">
        <f>(IF(WEEKDAY(CI$82,2)&gt;5,0,167.84))*-1</f>
        <v>0</v>
      </c>
      <c r="CJ98" s="39">
        <f>(IF(WEEKDAY(CJ$82,2)&gt;5,0,131.94))*-1</f>
        <v>0</v>
      </c>
      <c r="CK98" s="39">
        <f>(IF(WEEKDAY(CK$82,2)&gt;5,0,137.09))*-1</f>
        <v>-137.09</v>
      </c>
      <c r="CL98" s="39">
        <f>(IF(WEEKDAY(CL$82,2)&gt;5,0,131))*-1</f>
        <v>-131</v>
      </c>
      <c r="CM98" s="39">
        <f>(IF(WEEKDAY(CM$82,2)&gt;5,0,127.84))*-1</f>
        <v>-127.84</v>
      </c>
      <c r="CN98" s="39">
        <f>(IF(WEEKDAY(CN$82,2)&gt;5,0,145.35))*-1</f>
        <v>-145.35</v>
      </c>
      <c r="CO98" s="39">
        <f>(IF(WEEKDAY(CO$82,2)&gt;5,0,161.18))*-1</f>
        <v>-161.18</v>
      </c>
      <c r="CP98" s="39">
        <f>(IF(WEEKDAY(CP$82,2)&gt;5,0,159.3))*-1</f>
        <v>0</v>
      </c>
      <c r="CQ98" s="39">
        <f>(IF(WEEKDAY(CQ$82,2)&gt;5,0,161.23))*-1</f>
        <v>0</v>
      </c>
      <c r="CR98" s="39">
        <f>(IF(WEEKDAY(CR$82,2)&gt;5,0,163.17))*-1</f>
        <v>-163.16999999999999</v>
      </c>
      <c r="CS98" s="39">
        <f>(IF(WEEKDAY(CS$82,2)&gt;5,0,149.29))*-1</f>
        <v>-149.29</v>
      </c>
      <c r="CT98" s="39">
        <f>(IF(WEEKDAY(CT$82,2)&gt;5,0,156.67))*-1</f>
        <v>-156.66999999999999</v>
      </c>
      <c r="CU98" s="39">
        <f>(IF(WEEKDAY(CU$82,2)&gt;5,0,158.73))*-1</f>
        <v>-158.72999999999999</v>
      </c>
      <c r="CV98" s="39">
        <f>(IF(WEEKDAY(CV$82,2)&gt;5,0,155.19))*-1</f>
        <v>-155.19</v>
      </c>
      <c r="CW98" s="39">
        <f>(IF(WEEKDAY(CW$82,2)&gt;5,0,154.97))*-1</f>
        <v>0</v>
      </c>
      <c r="CX98" s="39">
        <f>(IF(WEEKDAY(CX$82,2)&gt;5,0,139.92))*-1</f>
        <v>0</v>
      </c>
      <c r="CY98" s="39">
        <f>(IF(WEEKDAY(CY$82,2)&gt;5,0,136.94))*-1</f>
        <v>-136.94</v>
      </c>
      <c r="CZ98" s="39">
        <f>(IF(WEEKDAY(CZ$82,2)&gt;5,0,137.18))*-1</f>
        <v>-137.18</v>
      </c>
      <c r="DA98" s="39">
        <f>(IF(WEEKDAY(DA$82,2)&gt;5,0,150.65))*-1</f>
        <v>-150.65</v>
      </c>
      <c r="DB98" s="39">
        <f>(IF(WEEKDAY(DB$82,2)&gt;5,0,160.75))*-1</f>
        <v>-160.75</v>
      </c>
      <c r="DC98" s="39">
        <f>(IF(WEEKDAY(DC$82,2)&gt;5,0,152.63))*-1</f>
        <v>-152.63</v>
      </c>
      <c r="DD98" s="39">
        <f>(IF(WEEKDAY(DD$82,2)&gt;5,0,145.76))*-1</f>
        <v>0</v>
      </c>
      <c r="DE98" s="39">
        <f>(IF(WEEKDAY(DE$82,2)&gt;5,0,161.92))*-1</f>
        <v>0</v>
      </c>
      <c r="DF98" s="39">
        <f>(IF(WEEKDAY(DF$82,2)&gt;5,0,136.08))*-1</f>
        <v>-136.08000000000001</v>
      </c>
      <c r="DG98" s="39">
        <f>(IF(WEEKDAY(DG$82,2)&gt;5,0,167.58))*-1</f>
        <v>-167.58</v>
      </c>
      <c r="DH98" s="39">
        <f>(IF(WEEKDAY(DH$82,2)&gt;5,0,138.32))*-1</f>
        <v>-138.32</v>
      </c>
      <c r="DI98" s="39">
        <f>(IF(WEEKDAY(DI$82,2)&gt;5,0,153.57))*-1</f>
        <v>-153.57</v>
      </c>
      <c r="DJ98" s="39">
        <f>(IF(WEEKDAY(DJ$82,2)&gt;5,0,144.98))*-1</f>
        <v>-144.97999999999999</v>
      </c>
      <c r="DK98" s="39">
        <f>(IF(WEEKDAY(DK$82,2)&gt;5,0,143.94))*-1</f>
        <v>0</v>
      </c>
      <c r="DL98" s="39">
        <f>(IF(WEEKDAY(DL$82,2)&gt;5,0,143.65))*-1</f>
        <v>0</v>
      </c>
      <c r="DM98" s="39">
        <f>(IF(WEEKDAY(DM$82,2)&gt;5,0,153.17))*-1</f>
        <v>-153.16999999999999</v>
      </c>
      <c r="DN98" s="39">
        <f>(IF(WEEKDAY(DN$82,2)&gt;5,0,166.38))*-1</f>
        <v>-166.38</v>
      </c>
      <c r="DO98" s="39">
        <f>(IF(WEEKDAY(DO$82,2)&gt;5,0,153.78))*-1</f>
        <v>-153.78</v>
      </c>
      <c r="DP98" s="39">
        <f>(IF(WEEKDAY(DP$82,2)&gt;5,0,136.97))*-1</f>
        <v>-136.97</v>
      </c>
      <c r="DQ98" s="39">
        <f>(IF(WEEKDAY(DQ$82,2)&gt;5,0,139.78))*-1</f>
        <v>-139.78</v>
      </c>
      <c r="DR98" s="39">
        <f>(IF(WEEKDAY(DR$82,2)&gt;5,0,159.65))*-1</f>
        <v>0</v>
      </c>
      <c r="DS98" s="39">
        <f>(IF(WEEKDAY(DS$82,2)&gt;5,0,158.75))*-1</f>
        <v>0</v>
      </c>
      <c r="DT98" s="39">
        <f>(IF(WEEKDAY(DT$82,2)&gt;5,0,144.35))*-1</f>
        <v>-144.35</v>
      </c>
      <c r="DU98" s="39">
        <f>(IF(WEEKDAY(DU$82,2)&gt;5,0,136.78))*-1</f>
        <v>-136.78</v>
      </c>
      <c r="DV98" s="39">
        <f>(IF(WEEKDAY(DV$82,2)&gt;5,0,138.29))*-1</f>
        <v>-138.29</v>
      </c>
      <c r="DW98" s="39">
        <f>(IF(WEEKDAY(DW$82,2)&gt;5,0,140.23))*-1</f>
        <v>-140.22999999999999</v>
      </c>
      <c r="DX98" s="39">
        <f>(IF(WEEKDAY(DX$82,2)&gt;5,0,170.07))*-1</f>
        <v>-170.07</v>
      </c>
      <c r="DY98" s="39">
        <f>(IF(WEEKDAY(DY$82,2)&gt;5,0,131.63))*-1</f>
        <v>0</v>
      </c>
      <c r="DZ98" s="39">
        <f>(IF(WEEKDAY(DZ$82,2)&gt;5,0,128.62))*-1</f>
        <v>0</v>
      </c>
      <c r="EA98" s="39">
        <f>(IF(WEEKDAY(EA$82,2)&gt;5,0,172.07))*-1</f>
        <v>-172.07</v>
      </c>
      <c r="EB98" s="39">
        <f>(IF(WEEKDAY(EB$82,2)&gt;5,0,164.74))*-1</f>
        <v>-164.74</v>
      </c>
      <c r="EC98" s="39">
        <f>(IF(WEEKDAY(EC$82,2)&gt;5,0,164.97))*-1</f>
        <v>-164.97</v>
      </c>
      <c r="ED98" s="39">
        <f>(IF(WEEKDAY(ED$82,2)&gt;5,0,130.19))*-1</f>
        <v>-130.19</v>
      </c>
      <c r="EE98" s="39">
        <f>(IF(WEEKDAY(EE$82,2)&gt;5,0,144.86))*-1</f>
        <v>-144.86000000000001</v>
      </c>
      <c r="EF98" s="39">
        <f>(IF(WEEKDAY(EF$82,2)&gt;5,0,171.26))*-1</f>
        <v>0</v>
      </c>
      <c r="EG98" s="39">
        <f>(IF(WEEKDAY(EG$82,2)&gt;5,0,146.63))*-1</f>
        <v>0</v>
      </c>
      <c r="EH98" s="39">
        <f>(IF(WEEKDAY(EH$82,2)&gt;5,0,154.76))*-1</f>
        <v>-154.76</v>
      </c>
      <c r="EI98" s="39">
        <f>(IF(WEEKDAY(EI$82,2)&gt;5,0,152.83))*-1</f>
        <v>-152.83000000000001</v>
      </c>
      <c r="EJ98" s="39">
        <f>(IF(WEEKDAY(EJ$82,2)&gt;5,0,163.02))*-1</f>
        <v>-163.02000000000001</v>
      </c>
      <c r="EK98" s="39">
        <f>(IF(WEEKDAY(EK$82,2)&gt;5,0,149.16))*-1</f>
        <v>-149.16</v>
      </c>
      <c r="EL98" s="39">
        <f>(IF(WEEKDAY(EL$82,2)&gt;5,0,140.65))*-1</f>
        <v>-140.65</v>
      </c>
      <c r="EM98" s="39">
        <f>(IF(WEEKDAY(EM$82,2)&gt;5,0,132.17))*-1</f>
        <v>0</v>
      </c>
      <c r="EN98" s="39">
        <f>(IF(WEEKDAY(EN$82,2)&gt;5,0,141.57))*-1</f>
        <v>0</v>
      </c>
      <c r="EO98" s="39">
        <f>(IF(WEEKDAY(EO$82,2)&gt;5,0,141.03))*-1</f>
        <v>-141.03</v>
      </c>
      <c r="EP98" s="39">
        <f>(IF(WEEKDAY(EP$82,2)&gt;5,0,139.32))*-1</f>
        <v>-139.32</v>
      </c>
      <c r="EQ98" s="39">
        <f>(IF(WEEKDAY(EQ$82,2)&gt;5,0,161.7))*-1</f>
        <v>-161.69999999999999</v>
      </c>
      <c r="ER98" s="39">
        <f>(IF(WEEKDAY(ER$82,2)&gt;5,0,155.26))*-1</f>
        <v>-155.26</v>
      </c>
      <c r="ES98" s="39">
        <f>(IF(WEEKDAY(ES$82,2)&gt;5,0,170.1))*-1</f>
        <v>-170.1</v>
      </c>
      <c r="ET98" s="39">
        <f>(IF(WEEKDAY(ET$82,2)&gt;5,0,159.94))*-1</f>
        <v>0</v>
      </c>
      <c r="EU98" s="39">
        <f>(IF(WEEKDAY(EU$82,2)&gt;5,0,131.28))*-1</f>
        <v>0</v>
      </c>
      <c r="EV98" s="39">
        <f>(IF(WEEKDAY(EV$82,2)&gt;5,0,144.36))*-1</f>
        <v>-144.36000000000001</v>
      </c>
      <c r="EW98" s="39">
        <f>(IF(WEEKDAY(EW$82,2)&gt;5,0,140.24))*-1</f>
        <v>-140.24</v>
      </c>
      <c r="EX98" s="39">
        <f>(IF(WEEKDAY(EX$82,2)&gt;5,0,140.72))*-1</f>
        <v>-140.72</v>
      </c>
      <c r="EY98" s="39">
        <f>(IF(WEEKDAY(EY$82,2)&gt;5,0,128.95))*-1</f>
        <v>-128.94999999999999</v>
      </c>
      <c r="EZ98" s="39">
        <f>(IF(WEEKDAY(EZ$82,2)&gt;5,0,139.38))*-1</f>
        <v>-139.38</v>
      </c>
      <c r="FA98" s="39">
        <f>(IF(WEEKDAY(FA$82,2)&gt;5,0,131.18))*-1</f>
        <v>0</v>
      </c>
      <c r="FB98" s="39">
        <f>(IF(WEEKDAY(FB$82,2)&gt;5,0,136.93))*-1</f>
        <v>0</v>
      </c>
      <c r="FC98" s="39">
        <f>(IF(WEEKDAY(FC$82,2)&gt;5,0,130.76))*-1</f>
        <v>-130.76</v>
      </c>
      <c r="FD98" s="39">
        <f>(IF(WEEKDAY(FD$82,2)&gt;5,0,153.68))*-1</f>
        <v>-153.68</v>
      </c>
      <c r="FE98" s="39">
        <f>(IF(WEEKDAY(FE$82,2)&gt;5,0,148.1))*-1</f>
        <v>-148.1</v>
      </c>
      <c r="FF98" s="39">
        <f>(IF(WEEKDAY(FF$82,2)&gt;5,0,153.55))*-1</f>
        <v>-153.55000000000001</v>
      </c>
      <c r="FG98" s="39">
        <f>(IF(WEEKDAY(FG$82,2)&gt;5,0,145.17))*-1</f>
        <v>-145.16999999999999</v>
      </c>
      <c r="FH98" s="39">
        <f>(IF(WEEKDAY(FH$82,2)&gt;5,0,130.06))*-1</f>
        <v>0</v>
      </c>
      <c r="FI98" s="39">
        <f>(IF(WEEKDAY(FI$82,2)&gt;5,0,167.85))*-1</f>
        <v>0</v>
      </c>
      <c r="FJ98" s="39">
        <f>(IF(WEEKDAY(FJ$82,2)&gt;5,0,142.24))*-1</f>
        <v>-142.24</v>
      </c>
      <c r="FK98" s="39">
        <f>(IF(WEEKDAY(FK$82,2)&gt;5,0,128.87))*-1</f>
        <v>-128.87</v>
      </c>
      <c r="FL98" s="39">
        <f>(IF(WEEKDAY(FL$82,2)&gt;5,0,134.1))*-1</f>
        <v>-134.1</v>
      </c>
      <c r="FM98" s="39">
        <f>(IF(WEEKDAY(FM$82,2)&gt;5,0,136.1))*-1</f>
        <v>-136.1</v>
      </c>
      <c r="FN98" s="39">
        <f>(IF(WEEKDAY(FN$82,2)&gt;5,0,149.52))*-1</f>
        <v>-149.52000000000001</v>
      </c>
      <c r="FO98" s="39">
        <f>(IF(WEEKDAY(FO$82,2)&gt;5,0,132.06))*-1</f>
        <v>0</v>
      </c>
      <c r="FP98" s="39">
        <f>(IF(WEEKDAY(FP$82,2)&gt;5,0,166.31))*-1</f>
        <v>0</v>
      </c>
      <c r="FQ98" s="39">
        <f>(IF(WEEKDAY(FQ$82,2)&gt;5,0,136.51))*-1</f>
        <v>-136.51</v>
      </c>
      <c r="FR98" s="39">
        <f>(IF(WEEKDAY(FR$82,2)&gt;5,0,149.34))*-1</f>
        <v>-149.34</v>
      </c>
      <c r="FS98" s="39">
        <f>(IF(WEEKDAY(FS$82,2)&gt;5,0,146.1))*-1</f>
        <v>-146.1</v>
      </c>
      <c r="FT98" s="39">
        <f>(IF(WEEKDAY(FT$82,2)&gt;5,0,170.06))*-1</f>
        <v>-170.06</v>
      </c>
      <c r="FU98" s="39">
        <f>(IF(WEEKDAY(FU$82,2)&gt;5,0,168.89))*-1</f>
        <v>-168.89</v>
      </c>
      <c r="FV98" s="39">
        <f>(IF(WEEKDAY(FV$82,2)&gt;5,0,150.53))*-1</f>
        <v>0</v>
      </c>
      <c r="FW98" s="39">
        <f>(IF(WEEKDAY(FW$82,2)&gt;5,0,135.06))*-1</f>
        <v>0</v>
      </c>
      <c r="FX98" s="39">
        <f>(IF(WEEKDAY(FX$82,2)&gt;5,0,154.02))*-1</f>
        <v>-154.02000000000001</v>
      </c>
      <c r="FY98" s="39">
        <f>(IF(WEEKDAY(FY$82,2)&gt;5,0,135.97))*-1</f>
        <v>-135.97</v>
      </c>
      <c r="FZ98" s="39">
        <f>(IF(WEEKDAY(FZ$82,2)&gt;5,0,152.83))*-1</f>
        <v>-152.83000000000001</v>
      </c>
      <c r="GA98" s="39">
        <f>(IF(WEEKDAY(GA$82,2)&gt;5,0,145.81))*-1</f>
        <v>-145.81</v>
      </c>
      <c r="GB98" s="39">
        <f>(IF(WEEKDAY(GB$82,2)&gt;5,0,143.23))*-1</f>
        <v>-143.22999999999999</v>
      </c>
      <c r="GC98" s="39">
        <f>(IF(WEEKDAY(GC$82,2)&gt;5,0,168.71))*-1</f>
        <v>0</v>
      </c>
      <c r="GD98" s="39">
        <f>(IF(WEEKDAY(GD$82,2)&gt;5,0,171.57))*-1</f>
        <v>0</v>
      </c>
      <c r="GE98" s="39">
        <f>(IF(WEEKDAY(GE$82,2)&gt;5,0,141.12))*-1</f>
        <v>-141.12</v>
      </c>
      <c r="GF98" s="39">
        <f>(IF(WEEKDAY(GF$82,2)&gt;5,0,163.48))*-1</f>
        <v>-163.47999999999999</v>
      </c>
      <c r="GG98" s="39">
        <f>(IF(WEEKDAY(GG$82,2)&gt;5,0,141.62))*-1</f>
        <v>-141.62</v>
      </c>
      <c r="GH98" s="39">
        <f>(IF(WEEKDAY(GH$82,2)&gt;5,0,170.15))*-1</f>
        <v>-170.15</v>
      </c>
      <c r="GI98" s="39">
        <f>(IF(WEEKDAY(GI$82,2)&gt;5,0,169.09))*-1</f>
        <v>-169.09</v>
      </c>
      <c r="GJ98" s="39">
        <f>(IF(WEEKDAY(GJ$82,2)&gt;5,0,132.29))*-1</f>
        <v>0</v>
      </c>
      <c r="GK98" s="39">
        <f>(IF(WEEKDAY(GK$82,2)&gt;5,0,162.47))*-1</f>
        <v>0</v>
      </c>
      <c r="GL98" s="39">
        <f>(IF(WEEKDAY(GL$82,2)&gt;5,0,142.36))*-1</f>
        <v>-142.36000000000001</v>
      </c>
      <c r="GM98" s="39">
        <f>(IF(WEEKDAY(GM$82,2)&gt;5,0,159.48))*-1</f>
        <v>-159.47999999999999</v>
      </c>
      <c r="GN98" s="39">
        <f>(IF(WEEKDAY(GN$82,2)&gt;5,0,152.91))*-1</f>
        <v>-152.91</v>
      </c>
      <c r="GO98" s="39">
        <f>(IF(WEEKDAY(GO$82,2)&gt;5,0,157.64))*-1</f>
        <v>-157.63999999999999</v>
      </c>
      <c r="GP98" s="39">
        <f>(IF(WEEKDAY(GP$82,2)&gt;5,0,145.74))*-1</f>
        <v>-145.74</v>
      </c>
      <c r="GQ98" s="39">
        <f>(IF(WEEKDAY(GQ$82,2)&gt;5,0,133.55))*-1</f>
        <v>0</v>
      </c>
      <c r="GR98" s="39">
        <f>(IF(WEEKDAY(GR$82,2)&gt;5,0,127.61))*-1</f>
        <v>0</v>
      </c>
      <c r="GS98" s="39">
        <f>(IF(WEEKDAY(GS$82,2)&gt;5,0,171.54))*-1</f>
        <v>-171.54</v>
      </c>
      <c r="GT98" s="39">
        <f>(IF(WEEKDAY(GT$82,2)&gt;5,0,161.8))*-1</f>
        <v>-161.80000000000001</v>
      </c>
      <c r="GU98" s="39">
        <f>(IF(WEEKDAY(GU$82,2)&gt;5,0,159.16))*-1</f>
        <v>-159.16</v>
      </c>
      <c r="GV98" s="39">
        <f>(IF(WEEKDAY(GV$82,2)&gt;5,0,161.24))*-1</f>
        <v>-161.24</v>
      </c>
      <c r="GW98" s="39">
        <f>(IF(WEEKDAY(GW$82,2)&gt;5,0,159.92))*-1</f>
        <v>-159.91999999999999</v>
      </c>
      <c r="GX98" s="39">
        <f>(IF(WEEKDAY(GX$82,2)&gt;5,0,165.6))*-1</f>
        <v>0</v>
      </c>
      <c r="GY98" s="39">
        <f>(IF(WEEKDAY(GY$82,2)&gt;5,0,161.47))*-1</f>
        <v>0</v>
      </c>
      <c r="GZ98" s="39">
        <f>(IF(WEEKDAY(GZ$82,2)&gt;5,0,153.5))*-1</f>
        <v>-153.5</v>
      </c>
      <c r="HA98" s="39">
        <f>(IF(WEEKDAY(HA$82,2)&gt;5,0,158))*-1</f>
        <v>-158</v>
      </c>
      <c r="HB98" s="39">
        <f>(IF(WEEKDAY(HB$82,2)&gt;5,0,168.33))*-1</f>
        <v>-168.33</v>
      </c>
      <c r="HC98" s="39">
        <f>(IF(WEEKDAY(HC$82,2)&gt;5,0,134.2))*-1</f>
        <v>-134.19999999999999</v>
      </c>
      <c r="HD98" s="39">
        <f>(IF(WEEKDAY(HD$82,2)&gt;5,0,149.02))*-1</f>
        <v>-149.02000000000001</v>
      </c>
      <c r="HE98" s="39">
        <f>(IF(WEEKDAY(HE$82,2)&gt;5,0,167.41))*-1</f>
        <v>0</v>
      </c>
      <c r="HF98" s="39">
        <f>(IF(WEEKDAY(HF$82,2)&gt;5,0,148.38))*-1</f>
        <v>0</v>
      </c>
      <c r="HG98" s="39">
        <f>(IF(WEEKDAY(HG$82,2)&gt;5,0,147.79))*-1</f>
        <v>-147.79</v>
      </c>
      <c r="HH98" s="39">
        <f>(IF(WEEKDAY(HH$82,2)&gt;5,0,149.77))*-1</f>
        <v>-149.77000000000001</v>
      </c>
      <c r="HI98" s="39">
        <f>(IF(WEEKDAY(HI$82,2)&gt;5,0,163.6))*-1</f>
        <v>-163.6</v>
      </c>
      <c r="HJ98" s="39">
        <f>(IF(WEEKDAY(HJ$82,2)&gt;5,0,166.42))*-1</f>
        <v>-166.42</v>
      </c>
      <c r="HK98" s="39">
        <f>(IF(WEEKDAY(HK$82,2)&gt;5,0,138.92))*-1</f>
        <v>-138.91999999999999</v>
      </c>
      <c r="HL98" s="39">
        <f>(IF(WEEKDAY(HL$82,2)&gt;5,0,133.7))*-1</f>
        <v>0</v>
      </c>
      <c r="HM98" s="39">
        <f>(IF(WEEKDAY(HM$82,2)&gt;5,0,163.95))*-1</f>
        <v>0</v>
      </c>
      <c r="HN98" s="39">
        <f>(IF(WEEKDAY(HN$82,2)&gt;5,0,156.64))*-1</f>
        <v>-156.63999999999999</v>
      </c>
      <c r="HO98" s="39">
        <f>(IF(WEEKDAY(HO$82,2)&gt;5,0,128.94))*-1</f>
        <v>-128.94</v>
      </c>
      <c r="HP98" s="39">
        <f>(IF(WEEKDAY(HP$82,2)&gt;5,0,152.05))*-1</f>
        <v>-152.05000000000001</v>
      </c>
      <c r="HQ98" s="39">
        <f>(IF(WEEKDAY(HQ$82,2)&gt;5,0,153.74))*-1</f>
        <v>-153.74</v>
      </c>
      <c r="HR98" s="39">
        <f>(IF(WEEKDAY(HR$82,2)&gt;5,0,165.08))*-1</f>
        <v>-165.08</v>
      </c>
      <c r="HS98" s="39">
        <f>(IF(WEEKDAY(HS$82,2)&gt;5,0,147.14))*-1</f>
        <v>0</v>
      </c>
      <c r="HT98" s="39">
        <f>(IF(WEEKDAY(HT$82,2)&gt;5,0,129.16))*-1</f>
        <v>0</v>
      </c>
      <c r="HU98" s="39">
        <f>(IF(WEEKDAY(HU$82,2)&gt;5,0,160.73))*-1</f>
        <v>-160.72999999999999</v>
      </c>
      <c r="HV98" s="39">
        <f>(IF(WEEKDAY(HV$82,2)&gt;5,0,144.5))*-1</f>
        <v>-144.5</v>
      </c>
      <c r="HW98" s="39">
        <f>(IF(WEEKDAY(HW$82,2)&gt;5,0,148.25))*-1</f>
        <v>-148.25</v>
      </c>
      <c r="HX98" s="39">
        <f>(IF(WEEKDAY(HX$82,2)&gt;5,0,148.47))*-1</f>
        <v>-148.47</v>
      </c>
      <c r="HY98" s="39">
        <f>(IF(WEEKDAY(HY$82,2)&gt;5,0,140.07))*-1</f>
        <v>-140.07</v>
      </c>
      <c r="HZ98" s="39">
        <f>(IF(WEEKDAY(HZ$82,2)&gt;5,0,128.47))*-1</f>
        <v>0</v>
      </c>
      <c r="IA98" s="39">
        <f>(IF(WEEKDAY(IA$82,2)&gt;5,0,130.84))*-1</f>
        <v>0</v>
      </c>
      <c r="IB98" s="39">
        <f>(IF(WEEKDAY(IB$82,2)&gt;5,0,133.53))*-1</f>
        <v>-133.53</v>
      </c>
      <c r="IC98" s="39">
        <f>(IF(WEEKDAY(IC$82,2)&gt;5,0,128.97))*-1</f>
        <v>-128.97</v>
      </c>
      <c r="ID98" s="39">
        <f>(IF(WEEKDAY(ID$82,2)&gt;5,0,170.64))*-1</f>
        <v>-170.64</v>
      </c>
      <c r="IE98" s="39">
        <f>(IF(WEEKDAY(IE$82,2)&gt;5,0,154.91))*-1</f>
        <v>-154.91</v>
      </c>
      <c r="IF98" s="39">
        <f>(IF(WEEKDAY(IF$82,2)&gt;5,0,137))*-1</f>
        <v>-137</v>
      </c>
      <c r="IG98" s="39">
        <f>(IF(WEEKDAY(IG$82,2)&gt;5,0,159.12))*-1</f>
        <v>0</v>
      </c>
      <c r="IH98" s="39">
        <f>(IF(WEEKDAY(IH$82,2)&gt;5,0,162.39))*-1</f>
        <v>0</v>
      </c>
      <c r="II98" s="39">
        <f>(IF(WEEKDAY(II$82,2)&gt;5,0,164.05))*-1</f>
        <v>-164.05</v>
      </c>
      <c r="IJ98" s="39">
        <f>(IF(WEEKDAY(IJ$82,2)&gt;5,0,158.54))*-1</f>
        <v>-158.54</v>
      </c>
      <c r="IK98" s="39">
        <f>(IF(WEEKDAY(IK$82,2)&gt;5,0,164.6))*-1</f>
        <v>-164.6</v>
      </c>
      <c r="IL98" s="39">
        <f>(IF(WEEKDAY(IL$82,2)&gt;5,0,169.59))*-1</f>
        <v>-169.59</v>
      </c>
    </row>
    <row r="99" spans="1:246" x14ac:dyDescent="0.3">
      <c r="A99" t="s">
        <v>11</v>
      </c>
      <c r="B99" s="39">
        <f>(IF(WEEKDAY(B$82,2)&gt;5,0,26.8))*-1</f>
        <v>-26.8</v>
      </c>
      <c r="C99" s="39">
        <f>(IF(WEEKDAY(C$82,2)&gt;5,0,28.83))*-1</f>
        <v>0</v>
      </c>
      <c r="D99" s="39">
        <f>(IF(WEEKDAY(D$82,2)&gt;5,0,29.43))*-1</f>
        <v>0</v>
      </c>
      <c r="E99" s="39">
        <f>(IF(WEEKDAY(E$82,2)&gt;5,0,32.77))*-1</f>
        <v>-32.770000000000003</v>
      </c>
      <c r="F99" s="39">
        <f>(IF(WEEKDAY(F$82,2)&gt;5,0,29.41))*-1</f>
        <v>-29.41</v>
      </c>
      <c r="G99" s="39">
        <f>(IF(WEEKDAY(G$82,2)&gt;5,0,34.46))*-1</f>
        <v>-34.46</v>
      </c>
      <c r="H99" s="39">
        <f>(IF(WEEKDAY(H$82,2)&gt;5,0,33.91))*-1</f>
        <v>-33.909999999999997</v>
      </c>
      <c r="I99" s="39">
        <f>(IF(WEEKDAY(I$82,2)&gt;5,0,29.35))*-1</f>
        <v>-29.35</v>
      </c>
      <c r="J99" s="39">
        <f>(IF(WEEKDAY(J$82,2)&gt;5,0,27.9))*-1</f>
        <v>0</v>
      </c>
      <c r="K99" s="39">
        <f>(IF(WEEKDAY(K$82,2)&gt;5,0,25.67))*-1</f>
        <v>0</v>
      </c>
      <c r="L99" s="39">
        <f>(IF(WEEKDAY(L$82,2)&gt;5,0,27.22))*-1</f>
        <v>-27.22</v>
      </c>
      <c r="M99" s="39">
        <f>(IF(WEEKDAY(M$82,2)&gt;5,0,28.76))*-1</f>
        <v>-28.76</v>
      </c>
      <c r="N99" s="39">
        <f>(IF(WEEKDAY(N$82,2)&gt;5,0,25.64))*-1</f>
        <v>-25.64</v>
      </c>
      <c r="O99" s="39">
        <f>(IF(WEEKDAY(O$82,2)&gt;5,0,29.92))*-1</f>
        <v>-29.92</v>
      </c>
      <c r="P99" s="39">
        <f>(IF(WEEKDAY(P$82,2)&gt;5,0,28.73))*-1</f>
        <v>-28.73</v>
      </c>
      <c r="Q99" s="39">
        <f>(IF(WEEKDAY(Q$82,2)&gt;5,0,32.99))*-1</f>
        <v>0</v>
      </c>
      <c r="R99" s="39">
        <f>(IF(WEEKDAY(R$82,2)&gt;5,0,31.28))*-1</f>
        <v>0</v>
      </c>
      <c r="S99" s="39">
        <f>(IF(WEEKDAY(S$82,2)&gt;5,0,34.25))*-1</f>
        <v>-34.25</v>
      </c>
      <c r="T99" s="39">
        <f>(IF(WEEKDAY(T$82,2)&gt;5,0,31.85))*-1</f>
        <v>-31.85</v>
      </c>
      <c r="U99" s="39">
        <f>(IF(WEEKDAY(U$82,2)&gt;5,0,28.14))*-1</f>
        <v>-28.14</v>
      </c>
      <c r="V99" s="39">
        <f>(IF(WEEKDAY(V$82,2)&gt;5,0,28.02))*-1</f>
        <v>-28.02</v>
      </c>
      <c r="W99" s="39">
        <f>(IF(WEEKDAY(W$82,2)&gt;5,0,33.14))*-1</f>
        <v>-33.14</v>
      </c>
      <c r="X99" s="39">
        <f>(IF(WEEKDAY(X$82,2)&gt;5,0,26.29))*-1</f>
        <v>0</v>
      </c>
      <c r="Y99" s="39">
        <f>(IF(WEEKDAY(Y$82,2)&gt;5,0,30.9))*-1</f>
        <v>0</v>
      </c>
      <c r="Z99" s="39">
        <f>(IF(WEEKDAY(Z$82,2)&gt;5,0,31.57))*-1</f>
        <v>-31.57</v>
      </c>
      <c r="AA99" s="39">
        <f>(IF(WEEKDAY(AA$82,2)&gt;5,0,26.11))*-1</f>
        <v>-26.11</v>
      </c>
      <c r="AB99" s="39">
        <f>(IF(WEEKDAY(AB$82,2)&gt;5,0,25.62))*-1</f>
        <v>-25.62</v>
      </c>
      <c r="AC99" s="39">
        <f>(IF(WEEKDAY(AC$82,2)&gt;5,0,27.79))*-1</f>
        <v>-27.79</v>
      </c>
      <c r="AD99" s="39">
        <f>(IF(WEEKDAY(AD$82,2)&gt;5,0,26.89))*-1</f>
        <v>-26.89</v>
      </c>
      <c r="AE99" s="39">
        <f>(IF(WEEKDAY(AE$82,2)&gt;5,0,29.73))*-1</f>
        <v>0</v>
      </c>
      <c r="AF99" s="39">
        <f>(IF(WEEKDAY(AF$82,2)&gt;5,0,32.59))*-1</f>
        <v>0</v>
      </c>
      <c r="AG99" s="39">
        <f>(IF(WEEKDAY(AG$82,2)&gt;5,0,32.63))*-1</f>
        <v>-32.630000000000003</v>
      </c>
      <c r="AH99" s="39">
        <f>(IF(WEEKDAY(AH$82,2)&gt;5,0,31.09))*-1</f>
        <v>-31.09</v>
      </c>
      <c r="AI99" s="39">
        <f>(IF(WEEKDAY(AI$82,2)&gt;5,0,31.24))*-1</f>
        <v>-31.24</v>
      </c>
      <c r="AJ99" s="39">
        <f>(IF(WEEKDAY(AJ$82,2)&gt;5,0,31.84))*-1</f>
        <v>-31.84</v>
      </c>
      <c r="AK99" s="39">
        <f>(IF(WEEKDAY(AK$82,2)&gt;5,0,31.85))*-1</f>
        <v>-31.85</v>
      </c>
      <c r="AL99" s="39">
        <f>(IF(WEEKDAY(AL$82,2)&gt;5,0,32.52))*-1</f>
        <v>0</v>
      </c>
      <c r="AM99" s="39">
        <f>(IF(WEEKDAY(AM$82,2)&gt;5,0,33.84))*-1</f>
        <v>0</v>
      </c>
      <c r="AN99" s="39">
        <f>(IF(WEEKDAY(AN$82,2)&gt;5,0,29.97))*-1</f>
        <v>-29.97</v>
      </c>
      <c r="AO99" s="39">
        <f>(IF(WEEKDAY(AO$82,2)&gt;5,0,26.34))*-1</f>
        <v>-26.34</v>
      </c>
      <c r="AP99" s="39">
        <f>(IF(WEEKDAY(AP$82,2)&gt;5,0,27.74))*-1</f>
        <v>-27.74</v>
      </c>
      <c r="AQ99" s="39">
        <f>(IF(WEEKDAY(AQ$82,2)&gt;5,0,32.17))*-1</f>
        <v>-32.17</v>
      </c>
      <c r="AR99" s="39">
        <f>(IF(WEEKDAY(AR$82,2)&gt;5,0,33.06))*-1</f>
        <v>-33.06</v>
      </c>
      <c r="AS99" s="39">
        <f>(IF(WEEKDAY(AS$82,2)&gt;5,0,31.57))*-1</f>
        <v>0</v>
      </c>
      <c r="AT99" s="39">
        <f>(IF(WEEKDAY(AT$82,2)&gt;5,0,29))*-1</f>
        <v>0</v>
      </c>
      <c r="AU99" s="39">
        <f>(IF(WEEKDAY(AU$82,2)&gt;5,0,33.56))*-1</f>
        <v>-33.56</v>
      </c>
      <c r="AV99" s="39">
        <f>(IF(WEEKDAY(AV$82,2)&gt;5,0,30.14))*-1</f>
        <v>-30.14</v>
      </c>
      <c r="AW99" s="39">
        <f>(IF(WEEKDAY(AW$82,2)&gt;5,0,26.99))*-1</f>
        <v>-26.99</v>
      </c>
      <c r="AX99" s="39">
        <f>(IF(WEEKDAY(AX$82,2)&gt;5,0,31.18))*-1</f>
        <v>-31.18</v>
      </c>
      <c r="AY99" s="39">
        <f>(IF(WEEKDAY(AY$82,2)&gt;5,0,32.64))*-1</f>
        <v>-32.64</v>
      </c>
      <c r="AZ99" s="39">
        <f>(IF(WEEKDAY(AZ$82,2)&gt;5,0,33.31))*-1</f>
        <v>0</v>
      </c>
      <c r="BA99" s="39">
        <f>(IF(WEEKDAY(BA$82,2)&gt;5,0,31.84))*-1</f>
        <v>0</v>
      </c>
      <c r="BB99" s="39">
        <f>(IF(WEEKDAY(BB$82,2)&gt;5,0,26.68))*-1</f>
        <v>-26.68</v>
      </c>
      <c r="BC99" s="39">
        <f>(IF(WEEKDAY(BC$82,2)&gt;5,0,31.18))*-1</f>
        <v>-31.18</v>
      </c>
      <c r="BD99" s="39">
        <f>(IF(WEEKDAY(BD$82,2)&gt;5,0,27.68))*-1</f>
        <v>-27.68</v>
      </c>
      <c r="BE99" s="39">
        <f>(IF(WEEKDAY(BE$82,2)&gt;5,0,29.65))*-1</f>
        <v>-29.65</v>
      </c>
      <c r="BF99" s="39">
        <f>(IF(WEEKDAY(BF$82,2)&gt;5,0,26.26))*-1</f>
        <v>-26.26</v>
      </c>
      <c r="BG99" s="39">
        <f>(IF(WEEKDAY(BG$82,2)&gt;5,0,27.89))*-1</f>
        <v>0</v>
      </c>
      <c r="BH99" s="39">
        <f>(IF(WEEKDAY(BH$82,2)&gt;5,0,29.34))*-1</f>
        <v>0</v>
      </c>
      <c r="BI99" s="39">
        <f>(IF(WEEKDAY(BI$82,2)&gt;5,0,32.52))*-1</f>
        <v>-32.520000000000003</v>
      </c>
      <c r="BJ99" s="39">
        <f>(IF(WEEKDAY(BJ$82,2)&gt;5,0,32.79))*-1</f>
        <v>-32.79</v>
      </c>
      <c r="BK99" s="39">
        <f>(IF(WEEKDAY(BK$82,2)&gt;5,0,27.97))*-1</f>
        <v>-27.97</v>
      </c>
      <c r="BL99" s="39">
        <f>(IF(WEEKDAY(BL$82,2)&gt;5,0,26.72))*-1</f>
        <v>-26.72</v>
      </c>
      <c r="BM99" s="39">
        <f>(IF(WEEKDAY(BM$82,2)&gt;5,0,27.54))*-1</f>
        <v>-27.54</v>
      </c>
      <c r="BN99" s="39">
        <f>(IF(WEEKDAY(BN$82,2)&gt;5,0,32.71))*-1</f>
        <v>0</v>
      </c>
      <c r="BO99" s="39">
        <f>(IF(WEEKDAY(BO$82,2)&gt;5,0,27.75))*-1</f>
        <v>0</v>
      </c>
      <c r="BP99" s="39">
        <f>(IF(WEEKDAY(BP$82,2)&gt;5,0,32.24))*-1</f>
        <v>-32.24</v>
      </c>
      <c r="BQ99" s="39">
        <f>(IF(WEEKDAY(BQ$82,2)&gt;5,0,28.37))*-1</f>
        <v>-28.37</v>
      </c>
      <c r="BR99" s="39">
        <f>(IF(WEEKDAY(BR$82,2)&gt;5,0,27.73))*-1</f>
        <v>-27.73</v>
      </c>
      <c r="BS99" s="39">
        <f>(IF(WEEKDAY(BS$82,2)&gt;5,0,28.06))*-1</f>
        <v>-28.06</v>
      </c>
      <c r="BT99" s="39">
        <f>(IF(WEEKDAY(BT$82,2)&gt;5,0,33.32))*-1</f>
        <v>-33.32</v>
      </c>
      <c r="BU99" s="39">
        <f>(IF(WEEKDAY(BU$82,2)&gt;5,0,26.32))*-1</f>
        <v>0</v>
      </c>
      <c r="BV99" s="39">
        <f>(IF(WEEKDAY(BV$82,2)&gt;5,0,29.25))*-1</f>
        <v>0</v>
      </c>
      <c r="BW99" s="39">
        <f>(IF(WEEKDAY(BW$82,2)&gt;5,0,31.12))*-1</f>
        <v>-31.12</v>
      </c>
      <c r="BX99" s="39">
        <f>(IF(WEEKDAY(BX$82,2)&gt;5,0,25.79))*-1</f>
        <v>-25.79</v>
      </c>
      <c r="BY99" s="39">
        <f>(IF(WEEKDAY(BY$82,2)&gt;5,0,31.91))*-1</f>
        <v>-31.91</v>
      </c>
      <c r="BZ99" s="39">
        <f>(IF(WEEKDAY(BZ$82,2)&gt;5,0,30.85))*-1</f>
        <v>-30.85</v>
      </c>
      <c r="CA99" s="39">
        <f>(IF(WEEKDAY(CA$82,2)&gt;5,0,30.36))*-1</f>
        <v>-30.36</v>
      </c>
      <c r="CB99" s="39">
        <f>(IF(WEEKDAY(CB$82,2)&gt;5,0,30.95))*-1</f>
        <v>0</v>
      </c>
      <c r="CC99" s="39">
        <f>(IF(WEEKDAY(CC$82,2)&gt;5,0,31.16))*-1</f>
        <v>0</v>
      </c>
      <c r="CD99" s="39">
        <f>(IF(WEEKDAY(CD$82,2)&gt;5,0,31.8))*-1</f>
        <v>-31.8</v>
      </c>
      <c r="CE99" s="39">
        <f>(IF(WEEKDAY(CE$82,2)&gt;5,0,29.79))*-1</f>
        <v>-29.79</v>
      </c>
      <c r="CF99" s="39">
        <f>(IF(WEEKDAY(CF$82,2)&gt;5,0,30.85))*-1</f>
        <v>-30.85</v>
      </c>
      <c r="CG99" s="39">
        <f>(IF(WEEKDAY(CG$82,2)&gt;5,0,33.17))*-1</f>
        <v>-33.17</v>
      </c>
      <c r="CH99" s="39">
        <f>(IF(WEEKDAY(CH$82,2)&gt;5,0,32.64))*-1</f>
        <v>-32.64</v>
      </c>
      <c r="CI99" s="39">
        <f>(IF(WEEKDAY(CI$82,2)&gt;5,0,33.29))*-1</f>
        <v>0</v>
      </c>
      <c r="CJ99" s="39">
        <f>(IF(WEEKDAY(CJ$82,2)&gt;5,0,26.94))*-1</f>
        <v>0</v>
      </c>
      <c r="CK99" s="39">
        <f>(IF(WEEKDAY(CK$82,2)&gt;5,0,27.51))*-1</f>
        <v>-27.51</v>
      </c>
      <c r="CL99" s="39">
        <f>(IF(WEEKDAY(CL$82,2)&gt;5,0,32.15))*-1</f>
        <v>-32.15</v>
      </c>
      <c r="CM99" s="39">
        <f>(IF(WEEKDAY(CM$82,2)&gt;5,0,31.62))*-1</f>
        <v>-31.62</v>
      </c>
      <c r="CN99" s="39">
        <f>(IF(WEEKDAY(CN$82,2)&gt;5,0,34.36))*-1</f>
        <v>-34.36</v>
      </c>
      <c r="CO99" s="39">
        <f>(IF(WEEKDAY(CO$82,2)&gt;5,0,34.47))*-1</f>
        <v>-34.47</v>
      </c>
      <c r="CP99" s="39">
        <f>(IF(WEEKDAY(CP$82,2)&gt;5,0,29.58))*-1</f>
        <v>0</v>
      </c>
      <c r="CQ99" s="39">
        <f>(IF(WEEKDAY(CQ$82,2)&gt;5,0,28.08))*-1</f>
        <v>0</v>
      </c>
      <c r="CR99" s="39">
        <f>(IF(WEEKDAY(CR$82,2)&gt;5,0,28.77))*-1</f>
        <v>-28.77</v>
      </c>
      <c r="CS99" s="39">
        <f>(IF(WEEKDAY(CS$82,2)&gt;5,0,28.63))*-1</f>
        <v>-28.63</v>
      </c>
      <c r="CT99" s="39">
        <f>(IF(WEEKDAY(CT$82,2)&gt;5,0,25.63))*-1</f>
        <v>-25.63</v>
      </c>
      <c r="CU99" s="39">
        <f>(IF(WEEKDAY(CU$82,2)&gt;5,0,32.99))*-1</f>
        <v>-32.99</v>
      </c>
      <c r="CV99" s="39">
        <f>(IF(WEEKDAY(CV$82,2)&gt;5,0,28.02))*-1</f>
        <v>-28.02</v>
      </c>
      <c r="CW99" s="39">
        <f>(IF(WEEKDAY(CW$82,2)&gt;5,0,33.17))*-1</f>
        <v>0</v>
      </c>
      <c r="CX99" s="39">
        <f>(IF(WEEKDAY(CX$82,2)&gt;5,0,34.06))*-1</f>
        <v>0</v>
      </c>
      <c r="CY99" s="39">
        <f>(IF(WEEKDAY(CY$82,2)&gt;5,0,34.06))*-1</f>
        <v>-34.06</v>
      </c>
      <c r="CZ99" s="39">
        <f>(IF(WEEKDAY(CZ$82,2)&gt;5,0,31.69))*-1</f>
        <v>-31.69</v>
      </c>
      <c r="DA99" s="39">
        <f>(IF(WEEKDAY(DA$82,2)&gt;5,0,32.87))*-1</f>
        <v>-32.869999999999997</v>
      </c>
      <c r="DB99" s="39">
        <f>(IF(WEEKDAY(DB$82,2)&gt;5,0,29.34))*-1</f>
        <v>-29.34</v>
      </c>
      <c r="DC99" s="39">
        <f>(IF(WEEKDAY(DC$82,2)&gt;5,0,28.04))*-1</f>
        <v>-28.04</v>
      </c>
      <c r="DD99" s="39">
        <f>(IF(WEEKDAY(DD$82,2)&gt;5,0,31.63))*-1</f>
        <v>0</v>
      </c>
      <c r="DE99" s="39">
        <f>(IF(WEEKDAY(DE$82,2)&gt;5,0,29.57))*-1</f>
        <v>0</v>
      </c>
      <c r="DF99" s="39">
        <f>(IF(WEEKDAY(DF$82,2)&gt;5,0,31.98))*-1</f>
        <v>-31.98</v>
      </c>
      <c r="DG99" s="39">
        <f>(IF(WEEKDAY(DG$82,2)&gt;5,0,31.16))*-1</f>
        <v>-31.16</v>
      </c>
      <c r="DH99" s="39">
        <f>(IF(WEEKDAY(DH$82,2)&gt;5,0,27.34))*-1</f>
        <v>-27.34</v>
      </c>
      <c r="DI99" s="39">
        <f>(IF(WEEKDAY(DI$82,2)&gt;5,0,30.05))*-1</f>
        <v>-30.05</v>
      </c>
      <c r="DJ99" s="39">
        <f>(IF(WEEKDAY(DJ$82,2)&gt;5,0,33.04))*-1</f>
        <v>-33.04</v>
      </c>
      <c r="DK99" s="39">
        <f>(IF(WEEKDAY(DK$82,2)&gt;5,0,30.58))*-1</f>
        <v>0</v>
      </c>
      <c r="DL99" s="39">
        <f>(IF(WEEKDAY(DL$82,2)&gt;5,0,28.21))*-1</f>
        <v>0</v>
      </c>
      <c r="DM99" s="39">
        <f>(IF(WEEKDAY(DM$82,2)&gt;5,0,30.85))*-1</f>
        <v>-30.85</v>
      </c>
      <c r="DN99" s="39">
        <f>(IF(WEEKDAY(DN$82,2)&gt;5,0,26.25))*-1</f>
        <v>-26.25</v>
      </c>
      <c r="DO99" s="39">
        <f>(IF(WEEKDAY(DO$82,2)&gt;5,0,31.33))*-1</f>
        <v>-31.33</v>
      </c>
      <c r="DP99" s="39">
        <f>(IF(WEEKDAY(DP$82,2)&gt;5,0,32.49))*-1</f>
        <v>-32.49</v>
      </c>
      <c r="DQ99" s="39">
        <f>(IF(WEEKDAY(DQ$82,2)&gt;5,0,26.68))*-1</f>
        <v>-26.68</v>
      </c>
      <c r="DR99" s="39">
        <f>(IF(WEEKDAY(DR$82,2)&gt;5,0,31.82))*-1</f>
        <v>0</v>
      </c>
      <c r="DS99" s="39">
        <f>(IF(WEEKDAY(DS$82,2)&gt;5,0,28.48))*-1</f>
        <v>0</v>
      </c>
      <c r="DT99" s="39">
        <f>(IF(WEEKDAY(DT$82,2)&gt;5,0,32.11))*-1</f>
        <v>-32.11</v>
      </c>
      <c r="DU99" s="39">
        <f>(IF(WEEKDAY(DU$82,2)&gt;5,0,31.76))*-1</f>
        <v>-31.76</v>
      </c>
      <c r="DV99" s="39">
        <f>(IF(WEEKDAY(DV$82,2)&gt;5,0,32.42))*-1</f>
        <v>-32.42</v>
      </c>
      <c r="DW99" s="39">
        <f>(IF(WEEKDAY(DW$82,2)&gt;5,0,27.42))*-1</f>
        <v>-27.42</v>
      </c>
      <c r="DX99" s="39">
        <f>(IF(WEEKDAY(DX$82,2)&gt;5,0,30.95))*-1</f>
        <v>-30.95</v>
      </c>
      <c r="DY99" s="39">
        <f>(IF(WEEKDAY(DY$82,2)&gt;5,0,26.82))*-1</f>
        <v>0</v>
      </c>
      <c r="DZ99" s="39">
        <f>(IF(WEEKDAY(DZ$82,2)&gt;5,0,28.08))*-1</f>
        <v>0</v>
      </c>
      <c r="EA99" s="39">
        <f>(IF(WEEKDAY(EA$82,2)&gt;5,0,32.76))*-1</f>
        <v>-32.76</v>
      </c>
      <c r="EB99" s="39">
        <f>(IF(WEEKDAY(EB$82,2)&gt;5,0,34.37))*-1</f>
        <v>-34.369999999999997</v>
      </c>
      <c r="EC99" s="39">
        <f>(IF(WEEKDAY(EC$82,2)&gt;5,0,27.21))*-1</f>
        <v>-27.21</v>
      </c>
      <c r="ED99" s="39">
        <f>(IF(WEEKDAY(ED$82,2)&gt;5,0,34.28))*-1</f>
        <v>-34.28</v>
      </c>
      <c r="EE99" s="39">
        <f>(IF(WEEKDAY(EE$82,2)&gt;5,0,30.8))*-1</f>
        <v>-30.8</v>
      </c>
      <c r="EF99" s="39">
        <f>(IF(WEEKDAY(EF$82,2)&gt;5,0,33.2))*-1</f>
        <v>0</v>
      </c>
      <c r="EG99" s="39">
        <f>(IF(WEEKDAY(EG$82,2)&gt;5,0,32.99))*-1</f>
        <v>0</v>
      </c>
      <c r="EH99" s="39">
        <f>(IF(WEEKDAY(EH$82,2)&gt;5,0,32.41))*-1</f>
        <v>-32.409999999999997</v>
      </c>
      <c r="EI99" s="39">
        <f>(IF(WEEKDAY(EI$82,2)&gt;5,0,31.33))*-1</f>
        <v>-31.33</v>
      </c>
      <c r="EJ99" s="39">
        <f>(IF(WEEKDAY(EJ$82,2)&gt;5,0,33.14))*-1</f>
        <v>-33.14</v>
      </c>
      <c r="EK99" s="39">
        <f>(IF(WEEKDAY(EK$82,2)&gt;5,0,31.25))*-1</f>
        <v>-31.25</v>
      </c>
      <c r="EL99" s="39">
        <f>(IF(WEEKDAY(EL$82,2)&gt;5,0,27.29))*-1</f>
        <v>-27.29</v>
      </c>
      <c r="EM99" s="39">
        <f>(IF(WEEKDAY(EM$82,2)&gt;5,0,32.73))*-1</f>
        <v>0</v>
      </c>
      <c r="EN99" s="39">
        <f>(IF(WEEKDAY(EN$82,2)&gt;5,0,27.34))*-1</f>
        <v>0</v>
      </c>
      <c r="EO99" s="39">
        <f>(IF(WEEKDAY(EO$82,2)&gt;5,0,31.71))*-1</f>
        <v>-31.71</v>
      </c>
      <c r="EP99" s="39">
        <f>(IF(WEEKDAY(EP$82,2)&gt;5,0,31.74))*-1</f>
        <v>-31.74</v>
      </c>
      <c r="EQ99" s="39">
        <f>(IF(WEEKDAY(EQ$82,2)&gt;5,0,30.74))*-1</f>
        <v>-30.74</v>
      </c>
      <c r="ER99" s="39">
        <f>(IF(WEEKDAY(ER$82,2)&gt;5,0,33.44))*-1</f>
        <v>-33.44</v>
      </c>
      <c r="ES99" s="39">
        <f>(IF(WEEKDAY(ES$82,2)&gt;5,0,32.57))*-1</f>
        <v>-32.57</v>
      </c>
      <c r="ET99" s="39">
        <f>(IF(WEEKDAY(ET$82,2)&gt;5,0,26.91))*-1</f>
        <v>0</v>
      </c>
      <c r="EU99" s="39">
        <f>(IF(WEEKDAY(EU$82,2)&gt;5,0,27.88))*-1</f>
        <v>0</v>
      </c>
      <c r="EV99" s="39">
        <f>(IF(WEEKDAY(EV$82,2)&gt;5,0,26.57))*-1</f>
        <v>-26.57</v>
      </c>
      <c r="EW99" s="39">
        <f>(IF(WEEKDAY(EW$82,2)&gt;5,0,28.95))*-1</f>
        <v>-28.95</v>
      </c>
      <c r="EX99" s="39">
        <f>(IF(WEEKDAY(EX$82,2)&gt;5,0,29.06))*-1</f>
        <v>-29.06</v>
      </c>
      <c r="EY99" s="39">
        <f>(IF(WEEKDAY(EY$82,2)&gt;5,0,30.33))*-1</f>
        <v>-30.33</v>
      </c>
      <c r="EZ99" s="39">
        <f>(IF(WEEKDAY(EZ$82,2)&gt;5,0,29.27))*-1</f>
        <v>-29.27</v>
      </c>
      <c r="FA99" s="39">
        <f>(IF(WEEKDAY(FA$82,2)&gt;5,0,27.89))*-1</f>
        <v>0</v>
      </c>
      <c r="FB99" s="39">
        <f>(IF(WEEKDAY(FB$82,2)&gt;5,0,31.26))*-1</f>
        <v>0</v>
      </c>
      <c r="FC99" s="39">
        <f>(IF(WEEKDAY(FC$82,2)&gt;5,0,29.49))*-1</f>
        <v>-29.49</v>
      </c>
      <c r="FD99" s="39">
        <f>(IF(WEEKDAY(FD$82,2)&gt;5,0,27.59))*-1</f>
        <v>-27.59</v>
      </c>
      <c r="FE99" s="39">
        <f>(IF(WEEKDAY(FE$82,2)&gt;5,0,29.8))*-1</f>
        <v>-29.8</v>
      </c>
      <c r="FF99" s="39">
        <f>(IF(WEEKDAY(FF$82,2)&gt;5,0,30.64))*-1</f>
        <v>-30.64</v>
      </c>
      <c r="FG99" s="39">
        <f>(IF(WEEKDAY(FG$82,2)&gt;5,0,28.16))*-1</f>
        <v>-28.16</v>
      </c>
      <c r="FH99" s="39">
        <f>(IF(WEEKDAY(FH$82,2)&gt;5,0,30.59))*-1</f>
        <v>0</v>
      </c>
      <c r="FI99" s="39">
        <f>(IF(WEEKDAY(FI$82,2)&gt;5,0,32.93))*-1</f>
        <v>0</v>
      </c>
      <c r="FJ99" s="39">
        <f>(IF(WEEKDAY(FJ$82,2)&gt;5,0,32.26))*-1</f>
        <v>-32.26</v>
      </c>
      <c r="FK99" s="39">
        <f>(IF(WEEKDAY(FK$82,2)&gt;5,0,29.22))*-1</f>
        <v>-29.22</v>
      </c>
      <c r="FL99" s="39">
        <f>(IF(WEEKDAY(FL$82,2)&gt;5,0,32.11))*-1</f>
        <v>-32.11</v>
      </c>
      <c r="FM99" s="39">
        <f>(IF(WEEKDAY(FM$82,2)&gt;5,0,33.58))*-1</f>
        <v>-33.58</v>
      </c>
      <c r="FN99" s="39">
        <f>(IF(WEEKDAY(FN$82,2)&gt;5,0,26.25))*-1</f>
        <v>-26.25</v>
      </c>
      <c r="FO99" s="39">
        <f>(IF(WEEKDAY(FO$82,2)&gt;5,0,33.4))*-1</f>
        <v>0</v>
      </c>
      <c r="FP99" s="39">
        <f>(IF(WEEKDAY(FP$82,2)&gt;5,0,28.08))*-1</f>
        <v>0</v>
      </c>
      <c r="FQ99" s="39">
        <f>(IF(WEEKDAY(FQ$82,2)&gt;5,0,28.17))*-1</f>
        <v>-28.17</v>
      </c>
      <c r="FR99" s="39">
        <f>(IF(WEEKDAY(FR$82,2)&gt;5,0,28.99))*-1</f>
        <v>-28.99</v>
      </c>
      <c r="FS99" s="39">
        <f>(IF(WEEKDAY(FS$82,2)&gt;5,0,28.71))*-1</f>
        <v>-28.71</v>
      </c>
      <c r="FT99" s="39">
        <f>(IF(WEEKDAY(FT$82,2)&gt;5,0,30.62))*-1</f>
        <v>-30.62</v>
      </c>
      <c r="FU99" s="39">
        <f>(IF(WEEKDAY(FU$82,2)&gt;5,0,25.82))*-1</f>
        <v>-25.82</v>
      </c>
      <c r="FV99" s="39">
        <f>(IF(WEEKDAY(FV$82,2)&gt;5,0,30.92))*-1</f>
        <v>0</v>
      </c>
      <c r="FW99" s="39">
        <f>(IF(WEEKDAY(FW$82,2)&gt;5,0,29.31))*-1</f>
        <v>0</v>
      </c>
      <c r="FX99" s="39">
        <f>(IF(WEEKDAY(FX$82,2)&gt;5,0,31.8))*-1</f>
        <v>-31.8</v>
      </c>
      <c r="FY99" s="39">
        <f>(IF(WEEKDAY(FY$82,2)&gt;5,0,31.1))*-1</f>
        <v>-31.1</v>
      </c>
      <c r="FZ99" s="39">
        <f>(IF(WEEKDAY(FZ$82,2)&gt;5,0,34.04))*-1</f>
        <v>-34.04</v>
      </c>
      <c r="GA99" s="39">
        <f>(IF(WEEKDAY(GA$82,2)&gt;5,0,32.95))*-1</f>
        <v>-32.950000000000003</v>
      </c>
      <c r="GB99" s="39">
        <f>(IF(WEEKDAY(GB$82,2)&gt;5,0,30.24))*-1</f>
        <v>-30.24</v>
      </c>
      <c r="GC99" s="39">
        <f>(IF(WEEKDAY(GC$82,2)&gt;5,0,27.62))*-1</f>
        <v>0</v>
      </c>
      <c r="GD99" s="39">
        <f>(IF(WEEKDAY(GD$82,2)&gt;5,0,25.73))*-1</f>
        <v>0</v>
      </c>
      <c r="GE99" s="39">
        <f>(IF(WEEKDAY(GE$82,2)&gt;5,0,29.6))*-1</f>
        <v>-29.6</v>
      </c>
      <c r="GF99" s="39">
        <f>(IF(WEEKDAY(GF$82,2)&gt;5,0,28.4))*-1</f>
        <v>-28.4</v>
      </c>
      <c r="GG99" s="39">
        <f>(IF(WEEKDAY(GG$82,2)&gt;5,0,26.68))*-1</f>
        <v>-26.68</v>
      </c>
      <c r="GH99" s="39">
        <f>(IF(WEEKDAY(GH$82,2)&gt;5,0,31.91))*-1</f>
        <v>-31.91</v>
      </c>
      <c r="GI99" s="39">
        <f>(IF(WEEKDAY(GI$82,2)&gt;5,0,31.82))*-1</f>
        <v>-31.82</v>
      </c>
      <c r="GJ99" s="39">
        <f>(IF(WEEKDAY(GJ$82,2)&gt;5,0,33.03))*-1</f>
        <v>0</v>
      </c>
      <c r="GK99" s="39">
        <f>(IF(WEEKDAY(GK$82,2)&gt;5,0,30.53))*-1</f>
        <v>0</v>
      </c>
      <c r="GL99" s="39">
        <f>(IF(WEEKDAY(GL$82,2)&gt;5,0,28.59))*-1</f>
        <v>-28.59</v>
      </c>
      <c r="GM99" s="39">
        <f>(IF(WEEKDAY(GM$82,2)&gt;5,0,32.68))*-1</f>
        <v>-32.68</v>
      </c>
      <c r="GN99" s="39">
        <f>(IF(WEEKDAY(GN$82,2)&gt;5,0,32.52))*-1</f>
        <v>-32.520000000000003</v>
      </c>
      <c r="GO99" s="39">
        <f>(IF(WEEKDAY(GO$82,2)&gt;5,0,28.11))*-1</f>
        <v>-28.11</v>
      </c>
      <c r="GP99" s="39">
        <f>(IF(WEEKDAY(GP$82,2)&gt;5,0,27.79))*-1</f>
        <v>-27.79</v>
      </c>
      <c r="GQ99" s="39">
        <f>(IF(WEEKDAY(GQ$82,2)&gt;5,0,28.52))*-1</f>
        <v>0</v>
      </c>
      <c r="GR99" s="39">
        <f>(IF(WEEKDAY(GR$82,2)&gt;5,0,26.4))*-1</f>
        <v>0</v>
      </c>
      <c r="GS99" s="39">
        <f>(IF(WEEKDAY(GS$82,2)&gt;5,0,30.98))*-1</f>
        <v>-30.98</v>
      </c>
      <c r="GT99" s="39">
        <f>(IF(WEEKDAY(GT$82,2)&gt;5,0,25.9))*-1</f>
        <v>-25.9</v>
      </c>
      <c r="GU99" s="39">
        <f>(IF(WEEKDAY(GU$82,2)&gt;5,0,28.54))*-1</f>
        <v>-28.54</v>
      </c>
      <c r="GV99" s="39">
        <f>(IF(WEEKDAY(GV$82,2)&gt;5,0,28.8))*-1</f>
        <v>-28.8</v>
      </c>
      <c r="GW99" s="39">
        <f>(IF(WEEKDAY(GW$82,2)&gt;5,0,31.71))*-1</f>
        <v>-31.71</v>
      </c>
      <c r="GX99" s="39">
        <f>(IF(WEEKDAY(GX$82,2)&gt;5,0,31.64))*-1</f>
        <v>0</v>
      </c>
      <c r="GY99" s="39">
        <f>(IF(WEEKDAY(GY$82,2)&gt;5,0,33.4))*-1</f>
        <v>0</v>
      </c>
      <c r="GZ99" s="39">
        <f>(IF(WEEKDAY(GZ$82,2)&gt;5,0,32.96))*-1</f>
        <v>-32.96</v>
      </c>
      <c r="HA99" s="39">
        <f>(IF(WEEKDAY(HA$82,2)&gt;5,0,26.3))*-1</f>
        <v>-26.3</v>
      </c>
      <c r="HB99" s="39">
        <f>(IF(WEEKDAY(HB$82,2)&gt;5,0,28.81))*-1</f>
        <v>-28.81</v>
      </c>
      <c r="HC99" s="39">
        <f>(IF(WEEKDAY(HC$82,2)&gt;5,0,32.99))*-1</f>
        <v>-32.99</v>
      </c>
      <c r="HD99" s="39">
        <f>(IF(WEEKDAY(HD$82,2)&gt;5,0,32.05))*-1</f>
        <v>-32.049999999999997</v>
      </c>
      <c r="HE99" s="39">
        <f>(IF(WEEKDAY(HE$82,2)&gt;5,0,33.31))*-1</f>
        <v>0</v>
      </c>
      <c r="HF99" s="39">
        <f>(IF(WEEKDAY(HF$82,2)&gt;5,0,30.06))*-1</f>
        <v>0</v>
      </c>
      <c r="HG99" s="39">
        <f>(IF(WEEKDAY(HG$82,2)&gt;5,0,29.9))*-1</f>
        <v>-29.9</v>
      </c>
      <c r="HH99" s="39">
        <f>(IF(WEEKDAY(HH$82,2)&gt;5,0,31.19))*-1</f>
        <v>-31.19</v>
      </c>
      <c r="HI99" s="39">
        <f>(IF(WEEKDAY(HI$82,2)&gt;5,0,29.11))*-1</f>
        <v>-29.11</v>
      </c>
      <c r="HJ99" s="39">
        <f>(IF(WEEKDAY(HJ$82,2)&gt;5,0,32.28))*-1</f>
        <v>-32.28</v>
      </c>
      <c r="HK99" s="39">
        <f>(IF(WEEKDAY(HK$82,2)&gt;5,0,27.69))*-1</f>
        <v>-27.69</v>
      </c>
      <c r="HL99" s="39">
        <f>(IF(WEEKDAY(HL$82,2)&gt;5,0,27.11))*-1</f>
        <v>0</v>
      </c>
      <c r="HM99" s="39">
        <f>(IF(WEEKDAY(HM$82,2)&gt;5,0,29.72))*-1</f>
        <v>0</v>
      </c>
      <c r="HN99" s="39">
        <f>(IF(WEEKDAY(HN$82,2)&gt;5,0,29.86))*-1</f>
        <v>-29.86</v>
      </c>
      <c r="HO99" s="39">
        <f>(IF(WEEKDAY(HO$82,2)&gt;5,0,32.77))*-1</f>
        <v>-32.770000000000003</v>
      </c>
      <c r="HP99" s="39">
        <f>(IF(WEEKDAY(HP$82,2)&gt;5,0,27.14))*-1</f>
        <v>-27.14</v>
      </c>
      <c r="HQ99" s="39">
        <f>(IF(WEEKDAY(HQ$82,2)&gt;5,0,27.04))*-1</f>
        <v>-27.04</v>
      </c>
      <c r="HR99" s="39">
        <f>(IF(WEEKDAY(HR$82,2)&gt;5,0,26.28))*-1</f>
        <v>-26.28</v>
      </c>
      <c r="HS99" s="39">
        <f>(IF(WEEKDAY(HS$82,2)&gt;5,0,33.94))*-1</f>
        <v>0</v>
      </c>
      <c r="HT99" s="39">
        <f>(IF(WEEKDAY(HT$82,2)&gt;5,0,33.69))*-1</f>
        <v>0</v>
      </c>
      <c r="HU99" s="39">
        <f>(IF(WEEKDAY(HU$82,2)&gt;5,0,25.66))*-1</f>
        <v>-25.66</v>
      </c>
      <c r="HV99" s="39">
        <f>(IF(WEEKDAY(HV$82,2)&gt;5,0,31.21))*-1</f>
        <v>-31.21</v>
      </c>
      <c r="HW99" s="39">
        <f>(IF(WEEKDAY(HW$82,2)&gt;5,0,27.04))*-1</f>
        <v>-27.04</v>
      </c>
      <c r="HX99" s="39">
        <f>(IF(WEEKDAY(HX$82,2)&gt;5,0,28.83))*-1</f>
        <v>-28.83</v>
      </c>
      <c r="HY99" s="39">
        <f>(IF(WEEKDAY(HY$82,2)&gt;5,0,26.57))*-1</f>
        <v>-26.57</v>
      </c>
      <c r="HZ99" s="39">
        <f>(IF(WEEKDAY(HZ$82,2)&gt;5,0,34.01))*-1</f>
        <v>0</v>
      </c>
      <c r="IA99" s="39">
        <f>(IF(WEEKDAY(IA$82,2)&gt;5,0,30.96))*-1</f>
        <v>0</v>
      </c>
      <c r="IB99" s="39">
        <f>(IF(WEEKDAY(IB$82,2)&gt;5,0,29.22))*-1</f>
        <v>-29.22</v>
      </c>
      <c r="IC99" s="39">
        <f>(IF(WEEKDAY(IC$82,2)&gt;5,0,30.45))*-1</f>
        <v>-30.45</v>
      </c>
      <c r="ID99" s="39">
        <f>(IF(WEEKDAY(ID$82,2)&gt;5,0,25.61))*-1</f>
        <v>-25.61</v>
      </c>
      <c r="IE99" s="39">
        <f>(IF(WEEKDAY(IE$82,2)&gt;5,0,31.64))*-1</f>
        <v>-31.64</v>
      </c>
      <c r="IF99" s="39">
        <f>(IF(WEEKDAY(IF$82,2)&gt;5,0,31.2))*-1</f>
        <v>-31.2</v>
      </c>
      <c r="IG99" s="39">
        <f>(IF(WEEKDAY(IG$82,2)&gt;5,0,32.48))*-1</f>
        <v>0</v>
      </c>
      <c r="IH99" s="39">
        <f>(IF(WEEKDAY(IH$82,2)&gt;5,0,27.67))*-1</f>
        <v>0</v>
      </c>
      <c r="II99" s="39">
        <f>(IF(WEEKDAY(II$82,2)&gt;5,0,25.71))*-1</f>
        <v>-25.71</v>
      </c>
      <c r="IJ99" s="39">
        <f>(IF(WEEKDAY(IJ$82,2)&gt;5,0,34.37))*-1</f>
        <v>-34.369999999999997</v>
      </c>
      <c r="IK99" s="39">
        <f>(IF(WEEKDAY(IK$82,2)&gt;5,0,31.24))*-1</f>
        <v>-31.24</v>
      </c>
      <c r="IL99" s="39">
        <f>(IF(WEEKDAY(IL$82,2)&gt;5,0,33.71))*-1</f>
        <v>-33.71</v>
      </c>
    </row>
    <row r="100" spans="1:246" x14ac:dyDescent="0.3">
      <c r="A100" t="s">
        <v>12</v>
      </c>
      <c r="B100" s="39">
        <f>(IF(WEEKDAY(B$82,2)&gt;5,0,893.88))*-1</f>
        <v>-893.88</v>
      </c>
      <c r="C100" s="39">
        <f>(IF(WEEKDAY(C$82,2)&gt;5,0,688.13))*-1</f>
        <v>0</v>
      </c>
      <c r="D100" s="39">
        <f>(IF(WEEKDAY(D$82,2)&gt;5,0,716.81))*-1</f>
        <v>0</v>
      </c>
      <c r="E100" s="39">
        <f>(IF(WEEKDAY(E$82,2)&gt;5,0,715.48))*-1</f>
        <v>-715.48</v>
      </c>
      <c r="F100" s="39">
        <f>(IF(WEEKDAY(F$82,2)&gt;5,0,807.3))*-1</f>
        <v>-807.3</v>
      </c>
      <c r="G100" s="39">
        <f>(IF(WEEKDAY(G$82,2)&gt;5,0,914.54))*-1</f>
        <v>-914.54</v>
      </c>
      <c r="H100" s="39">
        <f>(IF(WEEKDAY(H$82,2)&gt;5,0,754.04))*-1</f>
        <v>-754.04</v>
      </c>
      <c r="I100" s="39">
        <f>(IF(WEEKDAY(I$82,2)&gt;5,0,864.32))*-1</f>
        <v>-864.32</v>
      </c>
      <c r="J100" s="39">
        <f>(IF(WEEKDAY(J$82,2)&gt;5,0,829.64))*-1</f>
        <v>0</v>
      </c>
      <c r="K100" s="39">
        <f>(IF(WEEKDAY(K$82,2)&gt;5,0,859.11))*-1</f>
        <v>0</v>
      </c>
      <c r="L100" s="39">
        <f>(IF(WEEKDAY(L$82,2)&gt;5,0,814.13))*-1</f>
        <v>-814.13</v>
      </c>
      <c r="M100" s="39">
        <f>(IF(WEEKDAY(M$82,2)&gt;5,0,693.43))*-1</f>
        <v>-693.43</v>
      </c>
      <c r="N100" s="39">
        <f>(IF(WEEKDAY(N$82,2)&gt;5,0,881.72))*-1</f>
        <v>-881.72</v>
      </c>
      <c r="O100" s="39">
        <f>(IF(WEEKDAY(O$82,2)&gt;5,0,741.82))*-1</f>
        <v>-741.82</v>
      </c>
      <c r="P100" s="39">
        <f>(IF(WEEKDAY(P$82,2)&gt;5,0,827.13))*-1</f>
        <v>-827.13</v>
      </c>
      <c r="Q100" s="39">
        <f>(IF(WEEKDAY(Q$82,2)&gt;5,0,901.96))*-1</f>
        <v>0</v>
      </c>
      <c r="R100" s="39">
        <f>(IF(WEEKDAY(R$82,2)&gt;5,0,827.77))*-1</f>
        <v>0</v>
      </c>
      <c r="S100" s="39">
        <f>(IF(WEEKDAY(S$82,2)&gt;5,0,792.82))*-1</f>
        <v>-792.82</v>
      </c>
      <c r="T100" s="39">
        <f>(IF(WEEKDAY(T$82,2)&gt;5,0,829.16))*-1</f>
        <v>-829.16</v>
      </c>
      <c r="U100" s="39">
        <f>(IF(WEEKDAY(U$82,2)&gt;5,0,829.27))*-1</f>
        <v>-829.27</v>
      </c>
      <c r="V100" s="39">
        <f>(IF(WEEKDAY(V$82,2)&gt;5,0,822.22))*-1</f>
        <v>-822.22</v>
      </c>
      <c r="W100" s="39">
        <f>(IF(WEEKDAY(W$82,2)&gt;5,0,732.82))*-1</f>
        <v>-732.82</v>
      </c>
      <c r="X100" s="39">
        <f>(IF(WEEKDAY(X$82,2)&gt;5,0,792.05))*-1</f>
        <v>0</v>
      </c>
      <c r="Y100" s="39">
        <f>(IF(WEEKDAY(Y$82,2)&gt;5,0,774.72))*-1</f>
        <v>0</v>
      </c>
      <c r="Z100" s="39">
        <f>(IF(WEEKDAY(Z$82,2)&gt;5,0,893.92))*-1</f>
        <v>-893.92</v>
      </c>
      <c r="AA100" s="39">
        <f>(IF(WEEKDAY(AA$82,2)&gt;5,0,791.65))*-1</f>
        <v>-791.65</v>
      </c>
      <c r="AB100" s="39">
        <f>(IF(WEEKDAY(AB$82,2)&gt;5,0,804.96))*-1</f>
        <v>-804.96</v>
      </c>
      <c r="AC100" s="39">
        <f>(IF(WEEKDAY(AC$82,2)&gt;5,0,863.89))*-1</f>
        <v>-863.89</v>
      </c>
      <c r="AD100" s="39">
        <f>(IF(WEEKDAY(AD$82,2)&gt;5,0,800.28))*-1</f>
        <v>-800.28</v>
      </c>
      <c r="AE100" s="39">
        <f>(IF(WEEKDAY(AE$82,2)&gt;5,0,684.21))*-1</f>
        <v>0</v>
      </c>
      <c r="AF100" s="39">
        <f>(IF(WEEKDAY(AF$82,2)&gt;5,0,906.39))*-1</f>
        <v>0</v>
      </c>
      <c r="AG100" s="39">
        <f>(IF(WEEKDAY(AG$82,2)&gt;5,0,899.43))*-1</f>
        <v>-899.43</v>
      </c>
      <c r="AH100" s="39">
        <f>(IF(WEEKDAY(AH$82,2)&gt;5,0,771.69))*-1</f>
        <v>-771.69</v>
      </c>
      <c r="AI100" s="39">
        <f>(IF(WEEKDAY(AI$82,2)&gt;5,0,828.37))*-1</f>
        <v>-828.37</v>
      </c>
      <c r="AJ100" s="39">
        <f>(IF(WEEKDAY(AJ$82,2)&gt;5,0,880.1))*-1</f>
        <v>-880.1</v>
      </c>
      <c r="AK100" s="39">
        <f>(IF(WEEKDAY(AK$82,2)&gt;5,0,809.58))*-1</f>
        <v>-809.58</v>
      </c>
      <c r="AL100" s="39">
        <f>(IF(WEEKDAY(AL$82,2)&gt;5,0,757.5))*-1</f>
        <v>0</v>
      </c>
      <c r="AM100" s="39">
        <f>(IF(WEEKDAY(AM$82,2)&gt;5,0,708.15))*-1</f>
        <v>0</v>
      </c>
      <c r="AN100" s="39">
        <f>(IF(WEEKDAY(AN$82,2)&gt;5,0,754.93))*-1</f>
        <v>-754.93</v>
      </c>
      <c r="AO100" s="39">
        <f>(IF(WEEKDAY(AO$82,2)&gt;5,0,781.99))*-1</f>
        <v>-781.99</v>
      </c>
      <c r="AP100" s="39">
        <f>(IF(WEEKDAY(AP$82,2)&gt;5,0,786.56))*-1</f>
        <v>-786.56</v>
      </c>
      <c r="AQ100" s="39">
        <f>(IF(WEEKDAY(AQ$82,2)&gt;5,0,688.15))*-1</f>
        <v>-688.15</v>
      </c>
      <c r="AR100" s="39">
        <f>(IF(WEEKDAY(AR$82,2)&gt;5,0,862.85))*-1</f>
        <v>-862.85</v>
      </c>
      <c r="AS100" s="39">
        <f>(IF(WEEKDAY(AS$82,2)&gt;5,0,851.66))*-1</f>
        <v>0</v>
      </c>
      <c r="AT100" s="39">
        <f>(IF(WEEKDAY(AT$82,2)&gt;5,0,705.47))*-1</f>
        <v>0</v>
      </c>
      <c r="AU100" s="39">
        <f>(IF(WEEKDAY(AU$82,2)&gt;5,0,915.95))*-1</f>
        <v>-915.95</v>
      </c>
      <c r="AV100" s="39">
        <f>(IF(WEEKDAY(AV$82,2)&gt;5,0,778.09))*-1</f>
        <v>-778.09</v>
      </c>
      <c r="AW100" s="39">
        <f>(IF(WEEKDAY(AW$82,2)&gt;5,0,786.16))*-1</f>
        <v>-786.16</v>
      </c>
      <c r="AX100" s="39">
        <f>(IF(WEEKDAY(AX$82,2)&gt;5,0,790.19))*-1</f>
        <v>-790.19</v>
      </c>
      <c r="AY100" s="39">
        <f>(IF(WEEKDAY(AY$82,2)&gt;5,0,889.02))*-1</f>
        <v>-889.02</v>
      </c>
      <c r="AZ100" s="39">
        <f>(IF(WEEKDAY(AZ$82,2)&gt;5,0,788.97))*-1</f>
        <v>0</v>
      </c>
      <c r="BA100" s="39">
        <f>(IF(WEEKDAY(BA$82,2)&gt;5,0,911.73))*-1</f>
        <v>0</v>
      </c>
      <c r="BB100" s="39">
        <f>(IF(WEEKDAY(BB$82,2)&gt;5,0,909.38))*-1</f>
        <v>-909.38</v>
      </c>
      <c r="BC100" s="39">
        <f>(IF(WEEKDAY(BC$82,2)&gt;5,0,833))*-1</f>
        <v>-833</v>
      </c>
      <c r="BD100" s="39">
        <f>(IF(WEEKDAY(BD$82,2)&gt;5,0,761.05))*-1</f>
        <v>-761.05</v>
      </c>
      <c r="BE100" s="39">
        <f>(IF(WEEKDAY(BE$82,2)&gt;5,0,684.48))*-1</f>
        <v>-684.48</v>
      </c>
      <c r="BF100" s="39">
        <f>(IF(WEEKDAY(BF$82,2)&gt;5,0,713.15))*-1</f>
        <v>-713.15</v>
      </c>
      <c r="BG100" s="39">
        <f>(IF(WEEKDAY(BG$82,2)&gt;5,0,817.72))*-1</f>
        <v>0</v>
      </c>
      <c r="BH100" s="39">
        <f>(IF(WEEKDAY(BH$82,2)&gt;5,0,893.85))*-1</f>
        <v>0</v>
      </c>
      <c r="BI100" s="39">
        <f>(IF(WEEKDAY(BI$82,2)&gt;5,0,714.8))*-1</f>
        <v>-714.8</v>
      </c>
      <c r="BJ100" s="39">
        <f>(IF(WEEKDAY(BJ$82,2)&gt;5,0,721.52))*-1</f>
        <v>-721.52</v>
      </c>
      <c r="BK100" s="39">
        <f>(IF(WEEKDAY(BK$82,2)&gt;5,0,691.62))*-1</f>
        <v>-691.62</v>
      </c>
      <c r="BL100" s="39">
        <f>(IF(WEEKDAY(BL$82,2)&gt;5,0,757.62))*-1</f>
        <v>-757.62</v>
      </c>
      <c r="BM100" s="39">
        <f>(IF(WEEKDAY(BM$82,2)&gt;5,0,729.34))*-1</f>
        <v>-729.34</v>
      </c>
      <c r="BN100" s="39">
        <f>(IF(WEEKDAY(BN$82,2)&gt;5,0,807.65))*-1</f>
        <v>0</v>
      </c>
      <c r="BO100" s="39">
        <f>(IF(WEEKDAY(BO$82,2)&gt;5,0,737.63))*-1</f>
        <v>0</v>
      </c>
      <c r="BP100" s="39">
        <f>(IF(WEEKDAY(BP$82,2)&gt;5,0,696.31))*-1</f>
        <v>-696.31</v>
      </c>
      <c r="BQ100" s="39">
        <f>(IF(WEEKDAY(BQ$82,2)&gt;5,0,887.2))*-1</f>
        <v>-887.2</v>
      </c>
      <c r="BR100" s="39">
        <f>(IF(WEEKDAY(BR$82,2)&gt;5,0,832.57))*-1</f>
        <v>-832.57</v>
      </c>
      <c r="BS100" s="39">
        <f>(IF(WEEKDAY(BS$82,2)&gt;5,0,696.35))*-1</f>
        <v>-696.35</v>
      </c>
      <c r="BT100" s="39">
        <f>(IF(WEEKDAY(BT$82,2)&gt;5,0,831.88))*-1</f>
        <v>-831.88</v>
      </c>
      <c r="BU100" s="39">
        <f>(IF(WEEKDAY(BU$82,2)&gt;5,0,805.65))*-1</f>
        <v>0</v>
      </c>
      <c r="BV100" s="39">
        <f>(IF(WEEKDAY(BV$82,2)&gt;5,0,869.96))*-1</f>
        <v>0</v>
      </c>
      <c r="BW100" s="39">
        <f>(IF(WEEKDAY(BW$82,2)&gt;5,0,687.17))*-1</f>
        <v>-687.17</v>
      </c>
      <c r="BX100" s="39">
        <f>(IF(WEEKDAY(BX$82,2)&gt;5,0,751.8))*-1</f>
        <v>-751.8</v>
      </c>
      <c r="BY100" s="39">
        <f>(IF(WEEKDAY(BY$82,2)&gt;5,0,762.74))*-1</f>
        <v>-762.74</v>
      </c>
      <c r="BZ100" s="39">
        <f>(IF(WEEKDAY(BZ$82,2)&gt;5,0,829.83))*-1</f>
        <v>-829.83</v>
      </c>
      <c r="CA100" s="39">
        <f>(IF(WEEKDAY(CA$82,2)&gt;5,0,696.52))*-1</f>
        <v>-696.52</v>
      </c>
      <c r="CB100" s="39">
        <f>(IF(WEEKDAY(CB$82,2)&gt;5,0,831.82))*-1</f>
        <v>0</v>
      </c>
      <c r="CC100" s="39">
        <f>(IF(WEEKDAY(CC$82,2)&gt;5,0,809.19))*-1</f>
        <v>0</v>
      </c>
      <c r="CD100" s="39">
        <f>(IF(WEEKDAY(CD$82,2)&gt;5,0,889.6))*-1</f>
        <v>-889.6</v>
      </c>
      <c r="CE100" s="39">
        <f>(IF(WEEKDAY(CE$82,2)&gt;5,0,792.99))*-1</f>
        <v>-792.99</v>
      </c>
      <c r="CF100" s="39">
        <f>(IF(WEEKDAY(CF$82,2)&gt;5,0,702.41))*-1</f>
        <v>-702.41</v>
      </c>
      <c r="CG100" s="39">
        <f>(IF(WEEKDAY(CG$82,2)&gt;5,0,683.64))*-1</f>
        <v>-683.64</v>
      </c>
      <c r="CH100" s="39">
        <f>(IF(WEEKDAY(CH$82,2)&gt;5,0,849.27))*-1</f>
        <v>-849.27</v>
      </c>
      <c r="CI100" s="39">
        <f>(IF(WEEKDAY(CI$82,2)&gt;5,0,780.83))*-1</f>
        <v>0</v>
      </c>
      <c r="CJ100" s="39">
        <f>(IF(WEEKDAY(CJ$82,2)&gt;5,0,798.44))*-1</f>
        <v>0</v>
      </c>
      <c r="CK100" s="39">
        <f>(IF(WEEKDAY(CK$82,2)&gt;5,0,878.89))*-1</f>
        <v>-878.89</v>
      </c>
      <c r="CL100" s="39">
        <f>(IF(WEEKDAY(CL$82,2)&gt;5,0,746.49))*-1</f>
        <v>-746.49</v>
      </c>
      <c r="CM100" s="39">
        <f>(IF(WEEKDAY(CM$82,2)&gt;5,0,826.84))*-1</f>
        <v>-826.84</v>
      </c>
      <c r="CN100" s="39">
        <f>(IF(WEEKDAY(CN$82,2)&gt;5,0,863.78))*-1</f>
        <v>-863.78</v>
      </c>
      <c r="CO100" s="39">
        <f>(IF(WEEKDAY(CO$82,2)&gt;5,0,801.3))*-1</f>
        <v>-801.3</v>
      </c>
      <c r="CP100" s="39">
        <f>(IF(WEEKDAY(CP$82,2)&gt;5,0,837.26))*-1</f>
        <v>0</v>
      </c>
      <c r="CQ100" s="39">
        <f>(IF(WEEKDAY(CQ$82,2)&gt;5,0,847.33))*-1</f>
        <v>0</v>
      </c>
      <c r="CR100" s="39">
        <f>(IF(WEEKDAY(CR$82,2)&gt;5,0,814.11))*-1</f>
        <v>-814.11</v>
      </c>
      <c r="CS100" s="39">
        <f>(IF(WEEKDAY(CS$82,2)&gt;5,0,683.06))*-1</f>
        <v>-683.06</v>
      </c>
      <c r="CT100" s="39">
        <f>(IF(WEEKDAY(CT$82,2)&gt;5,0,854.68))*-1</f>
        <v>-854.68</v>
      </c>
      <c r="CU100" s="39">
        <f>(IF(WEEKDAY(CU$82,2)&gt;5,0,763.69))*-1</f>
        <v>-763.69</v>
      </c>
      <c r="CV100" s="39">
        <f>(IF(WEEKDAY(CV$82,2)&gt;5,0,813.87))*-1</f>
        <v>-813.87</v>
      </c>
      <c r="CW100" s="39">
        <f>(IF(WEEKDAY(CW$82,2)&gt;5,0,739.28))*-1</f>
        <v>0</v>
      </c>
      <c r="CX100" s="39">
        <f>(IF(WEEKDAY(CX$82,2)&gt;5,0,741.6))*-1</f>
        <v>0</v>
      </c>
      <c r="CY100" s="39">
        <f>(IF(WEEKDAY(CY$82,2)&gt;5,0,788.18))*-1</f>
        <v>-788.18</v>
      </c>
      <c r="CZ100" s="39">
        <f>(IF(WEEKDAY(CZ$82,2)&gt;5,0,904.71))*-1</f>
        <v>-904.71</v>
      </c>
      <c r="DA100" s="39">
        <f>(IF(WEEKDAY(DA$82,2)&gt;5,0,754.59))*-1</f>
        <v>-754.59</v>
      </c>
      <c r="DB100" s="39">
        <f>(IF(WEEKDAY(DB$82,2)&gt;5,0,808.99))*-1</f>
        <v>-808.99</v>
      </c>
      <c r="DC100" s="39">
        <f>(IF(WEEKDAY(DC$82,2)&gt;5,0,847.08))*-1</f>
        <v>-847.08</v>
      </c>
      <c r="DD100" s="39">
        <f>(IF(WEEKDAY(DD$82,2)&gt;5,0,757.5))*-1</f>
        <v>0</v>
      </c>
      <c r="DE100" s="39">
        <f>(IF(WEEKDAY(DE$82,2)&gt;5,0,788.23))*-1</f>
        <v>0</v>
      </c>
      <c r="DF100" s="39">
        <f>(IF(WEEKDAY(DF$82,2)&gt;5,0,711.06))*-1</f>
        <v>-711.06</v>
      </c>
      <c r="DG100" s="39">
        <f>(IF(WEEKDAY(DG$82,2)&gt;5,0,895.35))*-1</f>
        <v>-895.35</v>
      </c>
      <c r="DH100" s="39">
        <f>(IF(WEEKDAY(DH$82,2)&gt;5,0,760.98))*-1</f>
        <v>-760.98</v>
      </c>
      <c r="DI100" s="39">
        <f>(IF(WEEKDAY(DI$82,2)&gt;5,0,790.37))*-1</f>
        <v>-790.37</v>
      </c>
      <c r="DJ100" s="39">
        <f>(IF(WEEKDAY(DJ$82,2)&gt;5,0,893.55))*-1</f>
        <v>-893.55</v>
      </c>
      <c r="DK100" s="39">
        <f>(IF(WEEKDAY(DK$82,2)&gt;5,0,873.74))*-1</f>
        <v>0</v>
      </c>
      <c r="DL100" s="39">
        <f>(IF(WEEKDAY(DL$82,2)&gt;5,0,690.67))*-1</f>
        <v>0</v>
      </c>
      <c r="DM100" s="39">
        <f>(IF(WEEKDAY(DM$82,2)&gt;5,0,691.01))*-1</f>
        <v>-691.01</v>
      </c>
      <c r="DN100" s="39">
        <f>(IF(WEEKDAY(DN$82,2)&gt;5,0,852.13))*-1</f>
        <v>-852.13</v>
      </c>
      <c r="DO100" s="39">
        <f>(IF(WEEKDAY(DO$82,2)&gt;5,0,878.94))*-1</f>
        <v>-878.94</v>
      </c>
      <c r="DP100" s="39">
        <f>(IF(WEEKDAY(DP$82,2)&gt;5,0,723.96))*-1</f>
        <v>-723.96</v>
      </c>
      <c r="DQ100" s="39">
        <f>(IF(WEEKDAY(DQ$82,2)&gt;5,0,701.13))*-1</f>
        <v>-701.13</v>
      </c>
      <c r="DR100" s="39">
        <f>(IF(WEEKDAY(DR$82,2)&gt;5,0,889.53))*-1</f>
        <v>0</v>
      </c>
      <c r="DS100" s="39">
        <f>(IF(WEEKDAY(DS$82,2)&gt;5,0,738.97))*-1</f>
        <v>0</v>
      </c>
      <c r="DT100" s="39">
        <f>(IF(WEEKDAY(DT$82,2)&gt;5,0,793.98))*-1</f>
        <v>-793.98</v>
      </c>
      <c r="DU100" s="39">
        <f>(IF(WEEKDAY(DU$82,2)&gt;5,0,710.58))*-1</f>
        <v>-710.58</v>
      </c>
      <c r="DV100" s="39">
        <f>(IF(WEEKDAY(DV$82,2)&gt;5,0,727.26))*-1</f>
        <v>-727.26</v>
      </c>
      <c r="DW100" s="39">
        <f>(IF(WEEKDAY(DW$82,2)&gt;5,0,759))*-1</f>
        <v>-759</v>
      </c>
      <c r="DX100" s="39">
        <f>(IF(WEEKDAY(DX$82,2)&gt;5,0,852.18))*-1</f>
        <v>-852.18</v>
      </c>
      <c r="DY100" s="39">
        <f>(IF(WEEKDAY(DY$82,2)&gt;5,0,903.78))*-1</f>
        <v>0</v>
      </c>
      <c r="DZ100" s="39">
        <f>(IF(WEEKDAY(DZ$82,2)&gt;5,0,781.3))*-1</f>
        <v>0</v>
      </c>
      <c r="EA100" s="39">
        <f>(IF(WEEKDAY(EA$82,2)&gt;5,0,741.99))*-1</f>
        <v>-741.99</v>
      </c>
      <c r="EB100" s="39">
        <f>(IF(WEEKDAY(EB$82,2)&gt;5,0,709.4))*-1</f>
        <v>-709.4</v>
      </c>
      <c r="EC100" s="39">
        <f>(IF(WEEKDAY(EC$82,2)&gt;5,0,751.56))*-1</f>
        <v>-751.56</v>
      </c>
      <c r="ED100" s="39">
        <f>(IF(WEEKDAY(ED$82,2)&gt;5,0,721.05))*-1</f>
        <v>-721.05</v>
      </c>
      <c r="EE100" s="39">
        <f>(IF(WEEKDAY(EE$82,2)&gt;5,0,812.55))*-1</f>
        <v>-812.55</v>
      </c>
      <c r="EF100" s="39">
        <f>(IF(WEEKDAY(EF$82,2)&gt;5,0,867.39))*-1</f>
        <v>0</v>
      </c>
      <c r="EG100" s="39">
        <f>(IF(WEEKDAY(EG$82,2)&gt;5,0,792.77))*-1</f>
        <v>0</v>
      </c>
      <c r="EH100" s="39">
        <f>(IF(WEEKDAY(EH$82,2)&gt;5,0,904.85))*-1</f>
        <v>-904.85</v>
      </c>
      <c r="EI100" s="39">
        <f>(IF(WEEKDAY(EI$82,2)&gt;5,0,885.03))*-1</f>
        <v>-885.03</v>
      </c>
      <c r="EJ100" s="39">
        <f>(IF(WEEKDAY(EJ$82,2)&gt;5,0,837.72))*-1</f>
        <v>-837.72</v>
      </c>
      <c r="EK100" s="39">
        <f>(IF(WEEKDAY(EK$82,2)&gt;5,0,742.48))*-1</f>
        <v>-742.48</v>
      </c>
      <c r="EL100" s="39">
        <f>(IF(WEEKDAY(EL$82,2)&gt;5,0,717.77))*-1</f>
        <v>-717.77</v>
      </c>
      <c r="EM100" s="39">
        <f>(IF(WEEKDAY(EM$82,2)&gt;5,0,820.61))*-1</f>
        <v>0</v>
      </c>
      <c r="EN100" s="39">
        <f>(IF(WEEKDAY(EN$82,2)&gt;5,0,872.22))*-1</f>
        <v>0</v>
      </c>
      <c r="EO100" s="39">
        <f>(IF(WEEKDAY(EO$82,2)&gt;5,0,802.71))*-1</f>
        <v>-802.71</v>
      </c>
      <c r="EP100" s="39">
        <f>(IF(WEEKDAY(EP$82,2)&gt;5,0,744))*-1</f>
        <v>-744</v>
      </c>
      <c r="EQ100" s="39">
        <f>(IF(WEEKDAY(EQ$82,2)&gt;5,0,814.47))*-1</f>
        <v>-814.47</v>
      </c>
      <c r="ER100" s="39">
        <f>(IF(WEEKDAY(ER$82,2)&gt;5,0,861.56))*-1</f>
        <v>-861.56</v>
      </c>
      <c r="ES100" s="39">
        <f>(IF(WEEKDAY(ES$82,2)&gt;5,0,877.16))*-1</f>
        <v>-877.16</v>
      </c>
      <c r="ET100" s="39">
        <f>(IF(WEEKDAY(ET$82,2)&gt;5,0,743.75))*-1</f>
        <v>0</v>
      </c>
      <c r="EU100" s="39">
        <f>(IF(WEEKDAY(EU$82,2)&gt;5,0,830.23))*-1</f>
        <v>0</v>
      </c>
      <c r="EV100" s="39">
        <f>(IF(WEEKDAY(EV$82,2)&gt;5,0,793.38))*-1</f>
        <v>-793.38</v>
      </c>
      <c r="EW100" s="39">
        <f>(IF(WEEKDAY(EW$82,2)&gt;5,0,689.35))*-1</f>
        <v>-689.35</v>
      </c>
      <c r="EX100" s="39">
        <f>(IF(WEEKDAY(EX$82,2)&gt;5,0,916.13))*-1</f>
        <v>-916.13</v>
      </c>
      <c r="EY100" s="39">
        <f>(IF(WEEKDAY(EY$82,2)&gt;5,0,889.04))*-1</f>
        <v>-889.04</v>
      </c>
      <c r="EZ100" s="39">
        <f>(IF(WEEKDAY(EZ$82,2)&gt;5,0,919.37))*-1</f>
        <v>-919.37</v>
      </c>
      <c r="FA100" s="39">
        <f>(IF(WEEKDAY(FA$82,2)&gt;5,0,732.25))*-1</f>
        <v>0</v>
      </c>
      <c r="FB100" s="39">
        <f>(IF(WEEKDAY(FB$82,2)&gt;5,0,884.46))*-1</f>
        <v>0</v>
      </c>
      <c r="FC100" s="39">
        <f>(IF(WEEKDAY(FC$82,2)&gt;5,0,887.39))*-1</f>
        <v>-887.39</v>
      </c>
      <c r="FD100" s="39">
        <f>(IF(WEEKDAY(FD$82,2)&gt;5,0,697.24))*-1</f>
        <v>-697.24</v>
      </c>
      <c r="FE100" s="39">
        <f>(IF(WEEKDAY(FE$82,2)&gt;5,0,882.87))*-1</f>
        <v>-882.87</v>
      </c>
      <c r="FF100" s="39">
        <f>(IF(WEEKDAY(FF$82,2)&gt;5,0,727.85))*-1</f>
        <v>-727.85</v>
      </c>
      <c r="FG100" s="39">
        <f>(IF(WEEKDAY(FG$82,2)&gt;5,0,914.78))*-1</f>
        <v>-914.78</v>
      </c>
      <c r="FH100" s="39">
        <f>(IF(WEEKDAY(FH$82,2)&gt;5,0,856.32))*-1</f>
        <v>0</v>
      </c>
      <c r="FI100" s="39">
        <f>(IF(WEEKDAY(FI$82,2)&gt;5,0,716.76))*-1</f>
        <v>0</v>
      </c>
      <c r="FJ100" s="39">
        <f>(IF(WEEKDAY(FJ$82,2)&gt;5,0,899.68))*-1</f>
        <v>-899.68</v>
      </c>
      <c r="FK100" s="39">
        <f>(IF(WEEKDAY(FK$82,2)&gt;5,0,770.21))*-1</f>
        <v>-770.21</v>
      </c>
      <c r="FL100" s="39">
        <f>(IF(WEEKDAY(FL$82,2)&gt;5,0,902.36))*-1</f>
        <v>-902.36</v>
      </c>
      <c r="FM100" s="39">
        <f>(IF(WEEKDAY(FM$82,2)&gt;5,0,836.79))*-1</f>
        <v>-836.79</v>
      </c>
      <c r="FN100" s="39">
        <f>(IF(WEEKDAY(FN$82,2)&gt;5,0,790.37))*-1</f>
        <v>-790.37</v>
      </c>
      <c r="FO100" s="39">
        <f>(IF(WEEKDAY(FO$82,2)&gt;5,0,700.79))*-1</f>
        <v>0</v>
      </c>
      <c r="FP100" s="39">
        <f>(IF(WEEKDAY(FP$82,2)&gt;5,0,702.13))*-1</f>
        <v>0</v>
      </c>
      <c r="FQ100" s="39">
        <f>(IF(WEEKDAY(FQ$82,2)&gt;5,0,684.86))*-1</f>
        <v>-684.86</v>
      </c>
      <c r="FR100" s="39">
        <f>(IF(WEEKDAY(FR$82,2)&gt;5,0,796.41))*-1</f>
        <v>-796.41</v>
      </c>
      <c r="FS100" s="39">
        <f>(IF(WEEKDAY(FS$82,2)&gt;5,0,778.94))*-1</f>
        <v>-778.94</v>
      </c>
      <c r="FT100" s="39">
        <f>(IF(WEEKDAY(FT$82,2)&gt;5,0,729.33))*-1</f>
        <v>-729.33</v>
      </c>
      <c r="FU100" s="39">
        <f>(IF(WEEKDAY(FU$82,2)&gt;5,0,907.32))*-1</f>
        <v>-907.32</v>
      </c>
      <c r="FV100" s="39">
        <f>(IF(WEEKDAY(FV$82,2)&gt;5,0,889.22))*-1</f>
        <v>0</v>
      </c>
      <c r="FW100" s="39">
        <f>(IF(WEEKDAY(FW$82,2)&gt;5,0,897.49))*-1</f>
        <v>0</v>
      </c>
      <c r="FX100" s="39">
        <f>(IF(WEEKDAY(FX$82,2)&gt;5,0,895.93))*-1</f>
        <v>-895.93</v>
      </c>
      <c r="FY100" s="39">
        <f>(IF(WEEKDAY(FY$82,2)&gt;5,0,820.28))*-1</f>
        <v>-820.28</v>
      </c>
      <c r="FZ100" s="39">
        <f>(IF(WEEKDAY(FZ$82,2)&gt;5,0,901.98))*-1</f>
        <v>-901.98</v>
      </c>
      <c r="GA100" s="39">
        <f>(IF(WEEKDAY(GA$82,2)&gt;5,0,825.76))*-1</f>
        <v>-825.76</v>
      </c>
      <c r="GB100" s="39">
        <f>(IF(WEEKDAY(GB$82,2)&gt;5,0,782.49))*-1</f>
        <v>-782.49</v>
      </c>
      <c r="GC100" s="39">
        <f>(IF(WEEKDAY(GC$82,2)&gt;5,0,850.71))*-1</f>
        <v>0</v>
      </c>
      <c r="GD100" s="39">
        <f>(IF(WEEKDAY(GD$82,2)&gt;5,0,774.39))*-1</f>
        <v>0</v>
      </c>
      <c r="GE100" s="39">
        <f>(IF(WEEKDAY(GE$82,2)&gt;5,0,848.04))*-1</f>
        <v>-848.04</v>
      </c>
      <c r="GF100" s="39">
        <f>(IF(WEEKDAY(GF$82,2)&gt;5,0,832.8))*-1</f>
        <v>-832.8</v>
      </c>
      <c r="GG100" s="39">
        <f>(IF(WEEKDAY(GG$82,2)&gt;5,0,695.21))*-1</f>
        <v>-695.21</v>
      </c>
      <c r="GH100" s="39">
        <f>(IF(WEEKDAY(GH$82,2)&gt;5,0,722.54))*-1</f>
        <v>-722.54</v>
      </c>
      <c r="GI100" s="39">
        <f>(IF(WEEKDAY(GI$82,2)&gt;5,0,767.29))*-1</f>
        <v>-767.29</v>
      </c>
      <c r="GJ100" s="39">
        <f>(IF(WEEKDAY(GJ$82,2)&gt;5,0,704.52))*-1</f>
        <v>0</v>
      </c>
      <c r="GK100" s="39">
        <f>(IF(WEEKDAY(GK$82,2)&gt;5,0,726.06))*-1</f>
        <v>0</v>
      </c>
      <c r="GL100" s="39">
        <f>(IF(WEEKDAY(GL$82,2)&gt;5,0,786.9))*-1</f>
        <v>-786.9</v>
      </c>
      <c r="GM100" s="39">
        <f>(IF(WEEKDAY(GM$82,2)&gt;5,0,851.35))*-1</f>
        <v>-851.35</v>
      </c>
      <c r="GN100" s="39">
        <f>(IF(WEEKDAY(GN$82,2)&gt;5,0,842.83))*-1</f>
        <v>-842.83</v>
      </c>
      <c r="GO100" s="39">
        <f>(IF(WEEKDAY(GO$82,2)&gt;5,0,859.26))*-1</f>
        <v>-859.26</v>
      </c>
      <c r="GP100" s="39">
        <f>(IF(WEEKDAY(GP$82,2)&gt;5,0,705.94))*-1</f>
        <v>-705.94</v>
      </c>
      <c r="GQ100" s="39">
        <f>(IF(WEEKDAY(GQ$82,2)&gt;5,0,717.96))*-1</f>
        <v>0</v>
      </c>
      <c r="GR100" s="39">
        <f>(IF(WEEKDAY(GR$82,2)&gt;5,0,857.65))*-1</f>
        <v>0</v>
      </c>
      <c r="GS100" s="39">
        <f>(IF(WEEKDAY(GS$82,2)&gt;5,0,870.11))*-1</f>
        <v>-870.11</v>
      </c>
      <c r="GT100" s="39">
        <f>(IF(WEEKDAY(GT$82,2)&gt;5,0,725.68))*-1</f>
        <v>-725.68</v>
      </c>
      <c r="GU100" s="39">
        <f>(IF(WEEKDAY(GU$82,2)&gt;5,0,722.74))*-1</f>
        <v>-722.74</v>
      </c>
      <c r="GV100" s="39">
        <f>(IF(WEEKDAY(GV$82,2)&gt;5,0,756.28))*-1</f>
        <v>-756.28</v>
      </c>
      <c r="GW100" s="39">
        <f>(IF(WEEKDAY(GW$82,2)&gt;5,0,740.49))*-1</f>
        <v>-740.49</v>
      </c>
      <c r="GX100" s="39">
        <f>(IF(WEEKDAY(GX$82,2)&gt;5,0,843.03))*-1</f>
        <v>0</v>
      </c>
      <c r="GY100" s="39">
        <f>(IF(WEEKDAY(GY$82,2)&gt;5,0,821.68))*-1</f>
        <v>0</v>
      </c>
      <c r="GZ100" s="39">
        <f>(IF(WEEKDAY(GZ$82,2)&gt;5,0,872.14))*-1</f>
        <v>-872.14</v>
      </c>
      <c r="HA100" s="39">
        <f>(IF(WEEKDAY(HA$82,2)&gt;5,0,799.89))*-1</f>
        <v>-799.89</v>
      </c>
      <c r="HB100" s="39">
        <f>(IF(WEEKDAY(HB$82,2)&gt;5,0,868.96))*-1</f>
        <v>-868.96</v>
      </c>
      <c r="HC100" s="39">
        <f>(IF(WEEKDAY(HC$82,2)&gt;5,0,864.75))*-1</f>
        <v>-864.75</v>
      </c>
      <c r="HD100" s="39">
        <f>(IF(WEEKDAY(HD$82,2)&gt;5,0,825.27))*-1</f>
        <v>-825.27</v>
      </c>
      <c r="HE100" s="39">
        <f>(IF(WEEKDAY(HE$82,2)&gt;5,0,729.79))*-1</f>
        <v>0</v>
      </c>
      <c r="HF100" s="39">
        <f>(IF(WEEKDAY(HF$82,2)&gt;5,0,760.97))*-1</f>
        <v>0</v>
      </c>
      <c r="HG100" s="39">
        <f>(IF(WEEKDAY(HG$82,2)&gt;5,0,804.16))*-1</f>
        <v>-804.16</v>
      </c>
      <c r="HH100" s="39">
        <f>(IF(WEEKDAY(HH$82,2)&gt;5,0,778.61))*-1</f>
        <v>-778.61</v>
      </c>
      <c r="HI100" s="39">
        <f>(IF(WEEKDAY(HI$82,2)&gt;5,0,737.58))*-1</f>
        <v>-737.58</v>
      </c>
      <c r="HJ100" s="39">
        <f>(IF(WEEKDAY(HJ$82,2)&gt;5,0,769.16))*-1</f>
        <v>-769.16</v>
      </c>
      <c r="HK100" s="39">
        <f>(IF(WEEKDAY(HK$82,2)&gt;5,0,742.93))*-1</f>
        <v>-742.93</v>
      </c>
      <c r="HL100" s="39">
        <f>(IF(WEEKDAY(HL$82,2)&gt;5,0,836.24))*-1</f>
        <v>0</v>
      </c>
      <c r="HM100" s="39">
        <f>(IF(WEEKDAY(HM$82,2)&gt;5,0,703.62))*-1</f>
        <v>0</v>
      </c>
      <c r="HN100" s="39">
        <f>(IF(WEEKDAY(HN$82,2)&gt;5,0,871.09))*-1</f>
        <v>-871.09</v>
      </c>
      <c r="HO100" s="39">
        <f>(IF(WEEKDAY(HO$82,2)&gt;5,0,752.02))*-1</f>
        <v>-752.02</v>
      </c>
      <c r="HP100" s="39">
        <f>(IF(WEEKDAY(HP$82,2)&gt;5,0,853.7))*-1</f>
        <v>-853.7</v>
      </c>
      <c r="HQ100" s="39">
        <f>(IF(WEEKDAY(HQ$82,2)&gt;5,0,873.59))*-1</f>
        <v>-873.59</v>
      </c>
      <c r="HR100" s="39">
        <f>(IF(WEEKDAY(HR$82,2)&gt;5,0,705.51))*-1</f>
        <v>-705.51</v>
      </c>
      <c r="HS100" s="39">
        <f>(IF(WEEKDAY(HS$82,2)&gt;5,0,819.73))*-1</f>
        <v>0</v>
      </c>
      <c r="HT100" s="39">
        <f>(IF(WEEKDAY(HT$82,2)&gt;5,0,786.85))*-1</f>
        <v>0</v>
      </c>
      <c r="HU100" s="39">
        <f>(IF(WEEKDAY(HU$82,2)&gt;5,0,859.67))*-1</f>
        <v>-859.67</v>
      </c>
      <c r="HV100" s="39">
        <f>(IF(WEEKDAY(HV$82,2)&gt;5,0,789.21))*-1</f>
        <v>-789.21</v>
      </c>
      <c r="HW100" s="39">
        <f>(IF(WEEKDAY(HW$82,2)&gt;5,0,691.55))*-1</f>
        <v>-691.55</v>
      </c>
      <c r="HX100" s="39">
        <f>(IF(WEEKDAY(HX$82,2)&gt;5,0,887.41))*-1</f>
        <v>-887.41</v>
      </c>
      <c r="HY100" s="39">
        <f>(IF(WEEKDAY(HY$82,2)&gt;5,0,866.7))*-1</f>
        <v>-866.7</v>
      </c>
      <c r="HZ100" s="39">
        <f>(IF(WEEKDAY(HZ$82,2)&gt;5,0,828.46))*-1</f>
        <v>0</v>
      </c>
      <c r="IA100" s="39">
        <f>(IF(WEEKDAY(IA$82,2)&gt;5,0,809.17))*-1</f>
        <v>0</v>
      </c>
      <c r="IB100" s="39">
        <f>(IF(WEEKDAY(IB$82,2)&gt;5,0,752.86))*-1</f>
        <v>-752.86</v>
      </c>
      <c r="IC100" s="39">
        <f>(IF(WEEKDAY(IC$82,2)&gt;5,0,909.48))*-1</f>
        <v>-909.48</v>
      </c>
      <c r="ID100" s="39">
        <f>(IF(WEEKDAY(ID$82,2)&gt;5,0,875.79))*-1</f>
        <v>-875.79</v>
      </c>
      <c r="IE100" s="39">
        <f>(IF(WEEKDAY(IE$82,2)&gt;5,0,770.74))*-1</f>
        <v>-770.74</v>
      </c>
      <c r="IF100" s="39">
        <f>(IF(WEEKDAY(IF$82,2)&gt;5,0,799.97))*-1</f>
        <v>-799.97</v>
      </c>
      <c r="IG100" s="39">
        <f>(IF(WEEKDAY(IG$82,2)&gt;5,0,774.64))*-1</f>
        <v>0</v>
      </c>
      <c r="IH100" s="39">
        <f>(IF(WEEKDAY(IH$82,2)&gt;5,0,780.78))*-1</f>
        <v>0</v>
      </c>
      <c r="II100" s="39">
        <f>(IF(WEEKDAY(II$82,2)&gt;5,0,871.24))*-1</f>
        <v>-871.24</v>
      </c>
      <c r="IJ100" s="39">
        <f>(IF(WEEKDAY(IJ$82,2)&gt;5,0,781.09))*-1</f>
        <v>-781.09</v>
      </c>
      <c r="IK100" s="39">
        <f>(IF(WEEKDAY(IK$82,2)&gt;5,0,823.17))*-1</f>
        <v>-823.17</v>
      </c>
      <c r="IL100" s="39">
        <f>(IF(WEEKDAY(IL$82,2)&gt;5,0,718.2))*-1</f>
        <v>-718.2</v>
      </c>
    </row>
    <row r="101" spans="1:246" x14ac:dyDescent="0.3">
      <c r="A101" t="s">
        <v>14</v>
      </c>
      <c r="B101" s="39">
        <f>(IF(WEEKDAY(B$82,2)&gt;5,0,224.15))*-1</f>
        <v>-224.15</v>
      </c>
      <c r="C101" s="39">
        <f>(IF(WEEKDAY(C$82,2)&gt;5,0,180.45))*-1</f>
        <v>0</v>
      </c>
      <c r="D101" s="39">
        <f>(IF(WEEKDAY(D$82,2)&gt;5,0,217.84))*-1</f>
        <v>0</v>
      </c>
      <c r="E101" s="39">
        <f>(IF(WEEKDAY(E$82,2)&gt;5,0,222.46))*-1</f>
        <v>-222.46</v>
      </c>
      <c r="F101" s="39">
        <f>(IF(WEEKDAY(F$82,2)&gt;5,0,189.14))*-1</f>
        <v>-189.14</v>
      </c>
      <c r="G101" s="39">
        <f>(IF(WEEKDAY(G$82,2)&gt;5,0,215.45))*-1</f>
        <v>-215.45</v>
      </c>
      <c r="H101" s="39">
        <f>(IF(WEEKDAY(H$82,2)&gt;5,0,215.09))*-1</f>
        <v>-215.09</v>
      </c>
      <c r="I101" s="39">
        <f>(IF(WEEKDAY(I$82,2)&gt;5,0,221.34))*-1</f>
        <v>-221.34</v>
      </c>
      <c r="J101" s="39">
        <f>(IF(WEEKDAY(J$82,2)&gt;5,0,206.92))*-1</f>
        <v>0</v>
      </c>
      <c r="K101" s="39">
        <f>(IF(WEEKDAY(K$82,2)&gt;5,0,173.44))*-1</f>
        <v>0</v>
      </c>
      <c r="L101" s="39">
        <f>(IF(WEEKDAY(L$82,2)&gt;5,0,203.83))*-1</f>
        <v>-203.83</v>
      </c>
      <c r="M101" s="39">
        <f>(IF(WEEKDAY(M$82,2)&gt;5,0,171.65))*-1</f>
        <v>-171.65</v>
      </c>
      <c r="N101" s="39">
        <f>(IF(WEEKDAY(N$82,2)&gt;5,0,178.14))*-1</f>
        <v>-178.14</v>
      </c>
      <c r="O101" s="39">
        <f>(IF(WEEKDAY(O$82,2)&gt;5,0,198.16))*-1</f>
        <v>-198.16</v>
      </c>
      <c r="P101" s="39">
        <f>(IF(WEEKDAY(P$82,2)&gt;5,0,173.64))*-1</f>
        <v>-173.64</v>
      </c>
      <c r="Q101" s="39">
        <f>(IF(WEEKDAY(Q$82,2)&gt;5,0,190.8))*-1</f>
        <v>0</v>
      </c>
      <c r="R101" s="39">
        <f>(IF(WEEKDAY(R$82,2)&gt;5,0,199.74))*-1</f>
        <v>0</v>
      </c>
      <c r="S101" s="39">
        <f>(IF(WEEKDAY(S$82,2)&gt;5,0,172.5))*-1</f>
        <v>-172.5</v>
      </c>
      <c r="T101" s="39">
        <f>(IF(WEEKDAY(T$82,2)&gt;5,0,225.88))*-1</f>
        <v>-225.88</v>
      </c>
      <c r="U101" s="39">
        <f>(IF(WEEKDAY(U$82,2)&gt;5,0,179.5))*-1</f>
        <v>-179.5</v>
      </c>
      <c r="V101" s="39">
        <f>(IF(WEEKDAY(V$82,2)&gt;5,0,221.47))*-1</f>
        <v>-221.47</v>
      </c>
      <c r="W101" s="39">
        <f>(IF(WEEKDAY(W$82,2)&gt;5,0,223.92))*-1</f>
        <v>-223.92</v>
      </c>
      <c r="X101" s="39">
        <f>(IF(WEEKDAY(X$82,2)&gt;5,0,197.88))*-1</f>
        <v>0</v>
      </c>
      <c r="Y101" s="39">
        <f>(IF(WEEKDAY(Y$82,2)&gt;5,0,215.13))*-1</f>
        <v>0</v>
      </c>
      <c r="Z101" s="39">
        <f>(IF(WEEKDAY(Z$82,2)&gt;5,0,206.62))*-1</f>
        <v>-206.62</v>
      </c>
      <c r="AA101" s="39">
        <f>(IF(WEEKDAY(AA$82,2)&gt;5,0,208.66))*-1</f>
        <v>-208.66</v>
      </c>
      <c r="AB101" s="39">
        <f>(IF(WEEKDAY(AB$82,2)&gt;5,0,184.68))*-1</f>
        <v>-184.68</v>
      </c>
      <c r="AC101" s="39">
        <f>(IF(WEEKDAY(AC$82,2)&gt;5,0,204.16))*-1</f>
        <v>-204.16</v>
      </c>
      <c r="AD101" s="39">
        <f>(IF(WEEKDAY(AD$82,2)&gt;5,0,190.84))*-1</f>
        <v>-190.84</v>
      </c>
      <c r="AE101" s="39">
        <f>(IF(WEEKDAY(AE$82,2)&gt;5,0,210.7))*-1</f>
        <v>0</v>
      </c>
      <c r="AF101" s="39">
        <f>(IF(WEEKDAY(AF$82,2)&gt;5,0,206.86))*-1</f>
        <v>0</v>
      </c>
      <c r="AG101" s="39">
        <f>(IF(WEEKDAY(AG$82,2)&gt;5,0,181.53))*-1</f>
        <v>-181.53</v>
      </c>
      <c r="AH101" s="39">
        <f>(IF(WEEKDAY(AH$82,2)&gt;5,0,171.28))*-1</f>
        <v>-171.28</v>
      </c>
      <c r="AI101" s="39">
        <f>(IF(WEEKDAY(AI$82,2)&gt;5,0,206.86))*-1</f>
        <v>-206.86</v>
      </c>
      <c r="AJ101" s="39">
        <f>(IF(WEEKDAY(AJ$82,2)&gt;5,0,221.17))*-1</f>
        <v>-221.17</v>
      </c>
      <c r="AK101" s="39">
        <f>(IF(WEEKDAY(AK$82,2)&gt;5,0,198.1))*-1</f>
        <v>-198.1</v>
      </c>
      <c r="AL101" s="39">
        <f>(IF(WEEKDAY(AL$82,2)&gt;5,0,184.88))*-1</f>
        <v>0</v>
      </c>
      <c r="AM101" s="39">
        <f>(IF(WEEKDAY(AM$82,2)&gt;5,0,218.47))*-1</f>
        <v>0</v>
      </c>
      <c r="AN101" s="39">
        <f>(IF(WEEKDAY(AN$82,2)&gt;5,0,228.75))*-1</f>
        <v>-228.75</v>
      </c>
      <c r="AO101" s="39">
        <f>(IF(WEEKDAY(AO$82,2)&gt;5,0,212.79))*-1</f>
        <v>-212.79</v>
      </c>
      <c r="AP101" s="39">
        <f>(IF(WEEKDAY(AP$82,2)&gt;5,0,219.66))*-1</f>
        <v>-219.66</v>
      </c>
      <c r="AQ101" s="39">
        <f>(IF(WEEKDAY(AQ$82,2)&gt;5,0,211.11))*-1</f>
        <v>-211.11</v>
      </c>
      <c r="AR101" s="39">
        <f>(IF(WEEKDAY(AR$82,2)&gt;5,0,176.11))*-1</f>
        <v>-176.11</v>
      </c>
      <c r="AS101" s="39">
        <f>(IF(WEEKDAY(AS$82,2)&gt;5,0,183.96))*-1</f>
        <v>0</v>
      </c>
      <c r="AT101" s="39">
        <f>(IF(WEEKDAY(AT$82,2)&gt;5,0,184.89))*-1</f>
        <v>0</v>
      </c>
      <c r="AU101" s="39">
        <f>(IF(WEEKDAY(AU$82,2)&gt;5,0,174.6))*-1</f>
        <v>-174.6</v>
      </c>
      <c r="AV101" s="39">
        <f>(IF(WEEKDAY(AV$82,2)&gt;5,0,217.59))*-1</f>
        <v>-217.59</v>
      </c>
      <c r="AW101" s="39">
        <f>(IF(WEEKDAY(AW$82,2)&gt;5,0,212.98))*-1</f>
        <v>-212.98</v>
      </c>
      <c r="AX101" s="39">
        <f>(IF(WEEKDAY(AX$82,2)&gt;5,0,192.45))*-1</f>
        <v>-192.45</v>
      </c>
      <c r="AY101" s="39">
        <f>(IF(WEEKDAY(AY$82,2)&gt;5,0,226.32))*-1</f>
        <v>-226.32</v>
      </c>
      <c r="AZ101" s="39">
        <f>(IF(WEEKDAY(AZ$82,2)&gt;5,0,210.66))*-1</f>
        <v>0</v>
      </c>
      <c r="BA101" s="39">
        <f>(IF(WEEKDAY(BA$82,2)&gt;5,0,202.49))*-1</f>
        <v>0</v>
      </c>
      <c r="BB101" s="39">
        <f>(IF(WEEKDAY(BB$82,2)&gt;5,0,200.05))*-1</f>
        <v>-200.05</v>
      </c>
      <c r="BC101" s="39">
        <f>(IF(WEEKDAY(BC$82,2)&gt;5,0,209.88))*-1</f>
        <v>-209.88</v>
      </c>
      <c r="BD101" s="39">
        <f>(IF(WEEKDAY(BD$82,2)&gt;5,0,182.61))*-1</f>
        <v>-182.61</v>
      </c>
      <c r="BE101" s="39">
        <f>(IF(WEEKDAY(BE$82,2)&gt;5,0,212.96))*-1</f>
        <v>-212.96</v>
      </c>
      <c r="BF101" s="39">
        <f>(IF(WEEKDAY(BF$82,2)&gt;5,0,229.06))*-1</f>
        <v>-229.06</v>
      </c>
      <c r="BG101" s="39">
        <f>(IF(WEEKDAY(BG$82,2)&gt;5,0,180.23))*-1</f>
        <v>0</v>
      </c>
      <c r="BH101" s="39">
        <f>(IF(WEEKDAY(BH$82,2)&gt;5,0,175.09))*-1</f>
        <v>0</v>
      </c>
      <c r="BI101" s="39">
        <f>(IF(WEEKDAY(BI$82,2)&gt;5,0,178.36))*-1</f>
        <v>-178.36</v>
      </c>
      <c r="BJ101" s="39">
        <f>(IF(WEEKDAY(BJ$82,2)&gt;5,0,176.7))*-1</f>
        <v>-176.7</v>
      </c>
      <c r="BK101" s="39">
        <f>(IF(WEEKDAY(BK$82,2)&gt;5,0,190.65))*-1</f>
        <v>-190.65</v>
      </c>
      <c r="BL101" s="39">
        <f>(IF(WEEKDAY(BL$82,2)&gt;5,0,173.11))*-1</f>
        <v>-173.11</v>
      </c>
      <c r="BM101" s="39">
        <f>(IF(WEEKDAY(BM$82,2)&gt;5,0,175.52))*-1</f>
        <v>-175.52</v>
      </c>
      <c r="BN101" s="39">
        <f>(IF(WEEKDAY(BN$82,2)&gt;5,0,204.07))*-1</f>
        <v>0</v>
      </c>
      <c r="BO101" s="39">
        <f>(IF(WEEKDAY(BO$82,2)&gt;5,0,176.01))*-1</f>
        <v>0</v>
      </c>
      <c r="BP101" s="39">
        <f>(IF(WEEKDAY(BP$82,2)&gt;5,0,202.61))*-1</f>
        <v>-202.61</v>
      </c>
      <c r="BQ101" s="39">
        <f>(IF(WEEKDAY(BQ$82,2)&gt;5,0,216.97))*-1</f>
        <v>-216.97</v>
      </c>
      <c r="BR101" s="39">
        <f>(IF(WEEKDAY(BR$82,2)&gt;5,0,228.47))*-1</f>
        <v>-228.47</v>
      </c>
      <c r="BS101" s="39">
        <f>(IF(WEEKDAY(BS$82,2)&gt;5,0,178.43))*-1</f>
        <v>-178.43</v>
      </c>
      <c r="BT101" s="39">
        <f>(IF(WEEKDAY(BT$82,2)&gt;5,0,178.93))*-1</f>
        <v>-178.93</v>
      </c>
      <c r="BU101" s="39">
        <f>(IF(WEEKDAY(BU$82,2)&gt;5,0,219.96))*-1</f>
        <v>0</v>
      </c>
      <c r="BV101" s="39">
        <f>(IF(WEEKDAY(BV$82,2)&gt;5,0,218.89))*-1</f>
        <v>0</v>
      </c>
      <c r="BW101" s="39">
        <f>(IF(WEEKDAY(BW$82,2)&gt;5,0,170.43))*-1</f>
        <v>-170.43</v>
      </c>
      <c r="BX101" s="39">
        <f>(IF(WEEKDAY(BX$82,2)&gt;5,0,193.85))*-1</f>
        <v>-193.85</v>
      </c>
      <c r="BY101" s="39">
        <f>(IF(WEEKDAY(BY$82,2)&gt;5,0,209.76))*-1</f>
        <v>-209.76</v>
      </c>
      <c r="BZ101" s="39">
        <f>(IF(WEEKDAY(BZ$82,2)&gt;5,0,175.92))*-1</f>
        <v>-175.92</v>
      </c>
      <c r="CA101" s="39">
        <f>(IF(WEEKDAY(CA$82,2)&gt;5,0,202.01))*-1</f>
        <v>-202.01</v>
      </c>
      <c r="CB101" s="39">
        <f>(IF(WEEKDAY(CB$82,2)&gt;5,0,175.05))*-1</f>
        <v>0</v>
      </c>
      <c r="CC101" s="39">
        <f>(IF(WEEKDAY(CC$82,2)&gt;5,0,193.58))*-1</f>
        <v>0</v>
      </c>
      <c r="CD101" s="39">
        <f>(IF(WEEKDAY(CD$82,2)&gt;5,0,218.46))*-1</f>
        <v>-218.46</v>
      </c>
      <c r="CE101" s="39">
        <f>(IF(WEEKDAY(CE$82,2)&gt;5,0,222.2))*-1</f>
        <v>-222.2</v>
      </c>
      <c r="CF101" s="39">
        <f>(IF(WEEKDAY(CF$82,2)&gt;5,0,207.91))*-1</f>
        <v>-207.91</v>
      </c>
      <c r="CG101" s="39">
        <f>(IF(WEEKDAY(CG$82,2)&gt;5,0,195.61))*-1</f>
        <v>-195.61</v>
      </c>
      <c r="CH101" s="39">
        <f>(IF(WEEKDAY(CH$82,2)&gt;5,0,215.65))*-1</f>
        <v>-215.65</v>
      </c>
      <c r="CI101" s="39">
        <f>(IF(WEEKDAY(CI$82,2)&gt;5,0,217.39))*-1</f>
        <v>0</v>
      </c>
      <c r="CJ101" s="39">
        <f>(IF(WEEKDAY(CJ$82,2)&gt;5,0,191.17))*-1</f>
        <v>0</v>
      </c>
      <c r="CK101" s="39">
        <f>(IF(WEEKDAY(CK$82,2)&gt;5,0,226.14))*-1</f>
        <v>-226.14</v>
      </c>
      <c r="CL101" s="39">
        <f>(IF(WEEKDAY(CL$82,2)&gt;5,0,175.98))*-1</f>
        <v>-175.98</v>
      </c>
      <c r="CM101" s="39">
        <f>(IF(WEEKDAY(CM$82,2)&gt;5,0,221.29))*-1</f>
        <v>-221.29</v>
      </c>
      <c r="CN101" s="39">
        <f>(IF(WEEKDAY(CN$82,2)&gt;5,0,174.29))*-1</f>
        <v>-174.29</v>
      </c>
      <c r="CO101" s="39">
        <f>(IF(WEEKDAY(CO$82,2)&gt;5,0,171.32))*-1</f>
        <v>-171.32</v>
      </c>
      <c r="CP101" s="39">
        <f>(IF(WEEKDAY(CP$82,2)&gt;5,0,214.46))*-1</f>
        <v>0</v>
      </c>
      <c r="CQ101" s="39">
        <f>(IF(WEEKDAY(CQ$82,2)&gt;5,0,189.6))*-1</f>
        <v>0</v>
      </c>
      <c r="CR101" s="39">
        <f>(IF(WEEKDAY(CR$82,2)&gt;5,0,195.25))*-1</f>
        <v>-195.25</v>
      </c>
      <c r="CS101" s="39">
        <f>(IF(WEEKDAY(CS$82,2)&gt;5,0,170.76))*-1</f>
        <v>-170.76</v>
      </c>
      <c r="CT101" s="39">
        <f>(IF(WEEKDAY(CT$82,2)&gt;5,0,209.09))*-1</f>
        <v>-209.09</v>
      </c>
      <c r="CU101" s="39">
        <f>(IF(WEEKDAY(CU$82,2)&gt;5,0,202.13))*-1</f>
        <v>-202.13</v>
      </c>
      <c r="CV101" s="39">
        <f>(IF(WEEKDAY(CV$82,2)&gt;5,0,219.7))*-1</f>
        <v>-219.7</v>
      </c>
      <c r="CW101" s="39">
        <f>(IF(WEEKDAY(CW$82,2)&gt;5,0,228.23))*-1</f>
        <v>0</v>
      </c>
      <c r="CX101" s="39">
        <f>(IF(WEEKDAY(CX$82,2)&gt;5,0,170.4))*-1</f>
        <v>0</v>
      </c>
      <c r="CY101" s="39">
        <f>(IF(WEEKDAY(CY$82,2)&gt;5,0,200.81))*-1</f>
        <v>-200.81</v>
      </c>
      <c r="CZ101" s="39">
        <f>(IF(WEEKDAY(CZ$82,2)&gt;5,0,223.93))*-1</f>
        <v>-223.93</v>
      </c>
      <c r="DA101" s="39">
        <f>(IF(WEEKDAY(DA$82,2)&gt;5,0,201.42))*-1</f>
        <v>-201.42</v>
      </c>
      <c r="DB101" s="39">
        <f>(IF(WEEKDAY(DB$82,2)&gt;5,0,186.35))*-1</f>
        <v>-186.35</v>
      </c>
      <c r="DC101" s="39">
        <f>(IF(WEEKDAY(DC$82,2)&gt;5,0,174.35))*-1</f>
        <v>-174.35</v>
      </c>
      <c r="DD101" s="39">
        <f>(IF(WEEKDAY(DD$82,2)&gt;5,0,228.63))*-1</f>
        <v>0</v>
      </c>
      <c r="DE101" s="39">
        <f>(IF(WEEKDAY(DE$82,2)&gt;5,0,201.29))*-1</f>
        <v>0</v>
      </c>
      <c r="DF101" s="39">
        <f>(IF(WEEKDAY(DF$82,2)&gt;5,0,225.05))*-1</f>
        <v>-225.05</v>
      </c>
      <c r="DG101" s="39">
        <f>(IF(WEEKDAY(DG$82,2)&gt;5,0,223.61))*-1</f>
        <v>-223.61</v>
      </c>
      <c r="DH101" s="39">
        <f>(IF(WEEKDAY(DH$82,2)&gt;5,0,183.44))*-1</f>
        <v>-183.44</v>
      </c>
      <c r="DI101" s="39">
        <f>(IF(WEEKDAY(DI$82,2)&gt;5,0,221.39))*-1</f>
        <v>-221.39</v>
      </c>
      <c r="DJ101" s="39">
        <f>(IF(WEEKDAY(DJ$82,2)&gt;5,0,203.61))*-1</f>
        <v>-203.61</v>
      </c>
      <c r="DK101" s="39">
        <f>(IF(WEEKDAY(DK$82,2)&gt;5,0,219.72))*-1</f>
        <v>0</v>
      </c>
      <c r="DL101" s="39">
        <f>(IF(WEEKDAY(DL$82,2)&gt;5,0,170.37))*-1</f>
        <v>0</v>
      </c>
      <c r="DM101" s="39">
        <f>(IF(WEEKDAY(DM$82,2)&gt;5,0,213.89))*-1</f>
        <v>-213.89</v>
      </c>
      <c r="DN101" s="39">
        <f>(IF(WEEKDAY(DN$82,2)&gt;5,0,206.53))*-1</f>
        <v>-206.53</v>
      </c>
      <c r="DO101" s="39">
        <f>(IF(WEEKDAY(DO$82,2)&gt;5,0,171.94))*-1</f>
        <v>-171.94</v>
      </c>
      <c r="DP101" s="39">
        <f>(IF(WEEKDAY(DP$82,2)&gt;5,0,195.99))*-1</f>
        <v>-195.99</v>
      </c>
      <c r="DQ101" s="39">
        <f>(IF(WEEKDAY(DQ$82,2)&gt;5,0,208.66))*-1</f>
        <v>-208.66</v>
      </c>
      <c r="DR101" s="39">
        <f>(IF(WEEKDAY(DR$82,2)&gt;5,0,209.22))*-1</f>
        <v>0</v>
      </c>
      <c r="DS101" s="39">
        <f>(IF(WEEKDAY(DS$82,2)&gt;5,0,186.11))*-1</f>
        <v>0</v>
      </c>
      <c r="DT101" s="39">
        <f>(IF(WEEKDAY(DT$82,2)&gt;5,0,229.48))*-1</f>
        <v>-229.48</v>
      </c>
      <c r="DU101" s="39">
        <f>(IF(WEEKDAY(DU$82,2)&gt;5,0,219.7))*-1</f>
        <v>-219.7</v>
      </c>
      <c r="DV101" s="39">
        <f>(IF(WEEKDAY(DV$82,2)&gt;5,0,203.65))*-1</f>
        <v>-203.65</v>
      </c>
      <c r="DW101" s="39">
        <f>(IF(WEEKDAY(DW$82,2)&gt;5,0,198.74))*-1</f>
        <v>-198.74</v>
      </c>
      <c r="DX101" s="39">
        <f>(IF(WEEKDAY(DX$82,2)&gt;5,0,220.61))*-1</f>
        <v>-220.61</v>
      </c>
      <c r="DY101" s="39">
        <f>(IF(WEEKDAY(DY$82,2)&gt;5,0,198.08))*-1</f>
        <v>0</v>
      </c>
      <c r="DZ101" s="39">
        <f>(IF(WEEKDAY(DZ$82,2)&gt;5,0,223.28))*-1</f>
        <v>0</v>
      </c>
      <c r="EA101" s="39">
        <f>(IF(WEEKDAY(EA$82,2)&gt;5,0,195.79))*-1</f>
        <v>-195.79</v>
      </c>
      <c r="EB101" s="39">
        <f>(IF(WEEKDAY(EB$82,2)&gt;5,0,207.25))*-1</f>
        <v>-207.25</v>
      </c>
      <c r="EC101" s="39">
        <f>(IF(WEEKDAY(EC$82,2)&gt;5,0,187.22))*-1</f>
        <v>-187.22</v>
      </c>
      <c r="ED101" s="39">
        <f>(IF(WEEKDAY(ED$82,2)&gt;5,0,188.85))*-1</f>
        <v>-188.85</v>
      </c>
      <c r="EE101" s="39">
        <f>(IF(WEEKDAY(EE$82,2)&gt;5,0,225.7))*-1</f>
        <v>-225.7</v>
      </c>
      <c r="EF101" s="39">
        <f>(IF(WEEKDAY(EF$82,2)&gt;5,0,191.55))*-1</f>
        <v>0</v>
      </c>
      <c r="EG101" s="39">
        <f>(IF(WEEKDAY(EG$82,2)&gt;5,0,186.38))*-1</f>
        <v>0</v>
      </c>
      <c r="EH101" s="39">
        <f>(IF(WEEKDAY(EH$82,2)&gt;5,0,176.69))*-1</f>
        <v>-176.69</v>
      </c>
      <c r="EI101" s="39">
        <f>(IF(WEEKDAY(EI$82,2)&gt;5,0,212.78))*-1</f>
        <v>-212.78</v>
      </c>
      <c r="EJ101" s="39">
        <f>(IF(WEEKDAY(EJ$82,2)&gt;5,0,199.63))*-1</f>
        <v>-199.63</v>
      </c>
      <c r="EK101" s="39">
        <f>(IF(WEEKDAY(EK$82,2)&gt;5,0,222.21))*-1</f>
        <v>-222.21</v>
      </c>
      <c r="EL101" s="39">
        <f>(IF(WEEKDAY(EL$82,2)&gt;5,0,178.17))*-1</f>
        <v>-178.17</v>
      </c>
      <c r="EM101" s="39">
        <f>(IF(WEEKDAY(EM$82,2)&gt;5,0,187.09))*-1</f>
        <v>0</v>
      </c>
      <c r="EN101" s="39">
        <f>(IF(WEEKDAY(EN$82,2)&gt;5,0,218.57))*-1</f>
        <v>0</v>
      </c>
      <c r="EO101" s="39">
        <f>(IF(WEEKDAY(EO$82,2)&gt;5,0,218.69))*-1</f>
        <v>-218.69</v>
      </c>
      <c r="EP101" s="39">
        <f>(IF(WEEKDAY(EP$82,2)&gt;5,0,223.19))*-1</f>
        <v>-223.19</v>
      </c>
      <c r="EQ101" s="39">
        <f>(IF(WEEKDAY(EQ$82,2)&gt;5,0,217.51))*-1</f>
        <v>-217.51</v>
      </c>
      <c r="ER101" s="39">
        <f>(IF(WEEKDAY(ER$82,2)&gt;5,0,225.62))*-1</f>
        <v>-225.62</v>
      </c>
      <c r="ES101" s="39">
        <f>(IF(WEEKDAY(ES$82,2)&gt;5,0,187.68))*-1</f>
        <v>-187.68</v>
      </c>
      <c r="ET101" s="39">
        <f>(IF(WEEKDAY(ET$82,2)&gt;5,0,181.84))*-1</f>
        <v>0</v>
      </c>
      <c r="EU101" s="39">
        <f>(IF(WEEKDAY(EU$82,2)&gt;5,0,202.03))*-1</f>
        <v>0</v>
      </c>
      <c r="EV101" s="39">
        <f>(IF(WEEKDAY(EV$82,2)&gt;5,0,220.94))*-1</f>
        <v>-220.94</v>
      </c>
      <c r="EW101" s="39">
        <f>(IF(WEEKDAY(EW$82,2)&gt;5,0,201.31))*-1</f>
        <v>-201.31</v>
      </c>
      <c r="EX101" s="39">
        <f>(IF(WEEKDAY(EX$82,2)&gt;5,0,216.44))*-1</f>
        <v>-216.44</v>
      </c>
      <c r="EY101" s="39">
        <f>(IF(WEEKDAY(EY$82,2)&gt;5,0,194.9))*-1</f>
        <v>-194.9</v>
      </c>
      <c r="EZ101" s="39">
        <f>(IF(WEEKDAY(EZ$82,2)&gt;5,0,201.24))*-1</f>
        <v>-201.24</v>
      </c>
      <c r="FA101" s="39">
        <f>(IF(WEEKDAY(FA$82,2)&gt;5,0,182.46))*-1</f>
        <v>0</v>
      </c>
      <c r="FB101" s="39">
        <f>(IF(WEEKDAY(FB$82,2)&gt;5,0,176.69))*-1</f>
        <v>0</v>
      </c>
      <c r="FC101" s="39">
        <f>(IF(WEEKDAY(FC$82,2)&gt;5,0,204.44))*-1</f>
        <v>-204.44</v>
      </c>
      <c r="FD101" s="39">
        <f>(IF(WEEKDAY(FD$82,2)&gt;5,0,209.43))*-1</f>
        <v>-209.43</v>
      </c>
      <c r="FE101" s="39">
        <f>(IF(WEEKDAY(FE$82,2)&gt;5,0,228.08))*-1</f>
        <v>-228.08</v>
      </c>
      <c r="FF101" s="39">
        <f>(IF(WEEKDAY(FF$82,2)&gt;5,0,196.51))*-1</f>
        <v>-196.51</v>
      </c>
      <c r="FG101" s="39">
        <f>(IF(WEEKDAY(FG$82,2)&gt;5,0,197.52))*-1</f>
        <v>-197.52</v>
      </c>
      <c r="FH101" s="39">
        <f>(IF(WEEKDAY(FH$82,2)&gt;5,0,212.35))*-1</f>
        <v>0</v>
      </c>
      <c r="FI101" s="39">
        <f>(IF(WEEKDAY(FI$82,2)&gt;5,0,181.58))*-1</f>
        <v>0</v>
      </c>
      <c r="FJ101" s="39">
        <f>(IF(WEEKDAY(FJ$82,2)&gt;5,0,175.4))*-1</f>
        <v>-175.4</v>
      </c>
      <c r="FK101" s="39">
        <f>(IF(WEEKDAY(FK$82,2)&gt;5,0,200.66))*-1</f>
        <v>-200.66</v>
      </c>
      <c r="FL101" s="39">
        <f>(IF(WEEKDAY(FL$82,2)&gt;5,0,183.32))*-1</f>
        <v>-183.32</v>
      </c>
      <c r="FM101" s="39">
        <f>(IF(WEEKDAY(FM$82,2)&gt;5,0,180.7))*-1</f>
        <v>-180.7</v>
      </c>
      <c r="FN101" s="39">
        <f>(IF(WEEKDAY(FN$82,2)&gt;5,0,180.08))*-1</f>
        <v>-180.08</v>
      </c>
      <c r="FO101" s="39">
        <f>(IF(WEEKDAY(FO$82,2)&gt;5,0,197.53))*-1</f>
        <v>0</v>
      </c>
      <c r="FP101" s="39">
        <f>(IF(WEEKDAY(FP$82,2)&gt;5,0,182.76))*-1</f>
        <v>0</v>
      </c>
      <c r="FQ101" s="39">
        <f>(IF(WEEKDAY(FQ$82,2)&gt;5,0,195.43))*-1</f>
        <v>-195.43</v>
      </c>
      <c r="FR101" s="39">
        <f>(IF(WEEKDAY(FR$82,2)&gt;5,0,225.5))*-1</f>
        <v>-225.5</v>
      </c>
      <c r="FS101" s="39">
        <f>(IF(WEEKDAY(FS$82,2)&gt;5,0,225.75))*-1</f>
        <v>-225.75</v>
      </c>
      <c r="FT101" s="39">
        <f>(IF(WEEKDAY(FT$82,2)&gt;5,0,204.79))*-1</f>
        <v>-204.79</v>
      </c>
      <c r="FU101" s="39">
        <f>(IF(WEEKDAY(FU$82,2)&gt;5,0,181.24))*-1</f>
        <v>-181.24</v>
      </c>
      <c r="FV101" s="39">
        <f>(IF(WEEKDAY(FV$82,2)&gt;5,0,206.65))*-1</f>
        <v>0</v>
      </c>
      <c r="FW101" s="39">
        <f>(IF(WEEKDAY(FW$82,2)&gt;5,0,181.95))*-1</f>
        <v>0</v>
      </c>
      <c r="FX101" s="39">
        <f>(IF(WEEKDAY(FX$82,2)&gt;5,0,224.54))*-1</f>
        <v>-224.54</v>
      </c>
      <c r="FY101" s="39">
        <f>(IF(WEEKDAY(FY$82,2)&gt;5,0,215.03))*-1</f>
        <v>-215.03</v>
      </c>
      <c r="FZ101" s="39">
        <f>(IF(WEEKDAY(FZ$82,2)&gt;5,0,222.5))*-1</f>
        <v>-222.5</v>
      </c>
      <c r="GA101" s="39">
        <f>(IF(WEEKDAY(GA$82,2)&gt;5,0,187.78))*-1</f>
        <v>-187.78</v>
      </c>
      <c r="GB101" s="39">
        <f>(IF(WEEKDAY(GB$82,2)&gt;5,0,170.42))*-1</f>
        <v>-170.42</v>
      </c>
      <c r="GC101" s="39">
        <f>(IF(WEEKDAY(GC$82,2)&gt;5,0,206.52))*-1</f>
        <v>0</v>
      </c>
      <c r="GD101" s="39">
        <f>(IF(WEEKDAY(GD$82,2)&gt;5,0,225.34))*-1</f>
        <v>0</v>
      </c>
      <c r="GE101" s="39">
        <f>(IF(WEEKDAY(GE$82,2)&gt;5,0,213.47))*-1</f>
        <v>-213.47</v>
      </c>
      <c r="GF101" s="39">
        <f>(IF(WEEKDAY(GF$82,2)&gt;5,0,180.86))*-1</f>
        <v>-180.86</v>
      </c>
      <c r="GG101" s="39">
        <f>(IF(WEEKDAY(GG$82,2)&gt;5,0,189.57))*-1</f>
        <v>-189.57</v>
      </c>
      <c r="GH101" s="39">
        <f>(IF(WEEKDAY(GH$82,2)&gt;5,0,178.13))*-1</f>
        <v>-178.13</v>
      </c>
      <c r="GI101" s="39">
        <f>(IF(WEEKDAY(GI$82,2)&gt;5,0,214.24))*-1</f>
        <v>-214.24</v>
      </c>
      <c r="GJ101" s="39">
        <f>(IF(WEEKDAY(GJ$82,2)&gt;5,0,204.78))*-1</f>
        <v>0</v>
      </c>
      <c r="GK101" s="39">
        <f>(IF(WEEKDAY(GK$82,2)&gt;5,0,175.73))*-1</f>
        <v>0</v>
      </c>
      <c r="GL101" s="39">
        <f>(IF(WEEKDAY(GL$82,2)&gt;5,0,181.41))*-1</f>
        <v>-181.41</v>
      </c>
      <c r="GM101" s="39">
        <f>(IF(WEEKDAY(GM$82,2)&gt;5,0,172.5))*-1</f>
        <v>-172.5</v>
      </c>
      <c r="GN101" s="39">
        <f>(IF(WEEKDAY(GN$82,2)&gt;5,0,205.49))*-1</f>
        <v>-205.49</v>
      </c>
      <c r="GO101" s="39">
        <f>(IF(WEEKDAY(GO$82,2)&gt;5,0,182.51))*-1</f>
        <v>-182.51</v>
      </c>
      <c r="GP101" s="39">
        <f>(IF(WEEKDAY(GP$82,2)&gt;5,0,189.93))*-1</f>
        <v>-189.93</v>
      </c>
      <c r="GQ101" s="39">
        <f>(IF(WEEKDAY(GQ$82,2)&gt;5,0,205.94))*-1</f>
        <v>0</v>
      </c>
      <c r="GR101" s="39">
        <f>(IF(WEEKDAY(GR$82,2)&gt;5,0,182.92))*-1</f>
        <v>0</v>
      </c>
      <c r="GS101" s="39">
        <f>(IF(WEEKDAY(GS$82,2)&gt;5,0,217.58))*-1</f>
        <v>-217.58</v>
      </c>
      <c r="GT101" s="39">
        <f>(IF(WEEKDAY(GT$82,2)&gt;5,0,174.78))*-1</f>
        <v>-174.78</v>
      </c>
      <c r="GU101" s="39">
        <f>(IF(WEEKDAY(GU$82,2)&gt;5,0,213.92))*-1</f>
        <v>-213.92</v>
      </c>
      <c r="GV101" s="39">
        <f>(IF(WEEKDAY(GV$82,2)&gt;5,0,171.81))*-1</f>
        <v>-171.81</v>
      </c>
      <c r="GW101" s="39">
        <f>(IF(WEEKDAY(GW$82,2)&gt;5,0,213.22))*-1</f>
        <v>-213.22</v>
      </c>
      <c r="GX101" s="39">
        <f>(IF(WEEKDAY(GX$82,2)&gt;5,0,212.49))*-1</f>
        <v>0</v>
      </c>
      <c r="GY101" s="39">
        <f>(IF(WEEKDAY(GY$82,2)&gt;5,0,207.56))*-1</f>
        <v>0</v>
      </c>
      <c r="GZ101" s="39">
        <f>(IF(WEEKDAY(GZ$82,2)&gt;5,0,201.74))*-1</f>
        <v>-201.74</v>
      </c>
      <c r="HA101" s="39">
        <f>(IF(WEEKDAY(HA$82,2)&gt;5,0,219.51))*-1</f>
        <v>-219.51</v>
      </c>
      <c r="HB101" s="39">
        <f>(IF(WEEKDAY(HB$82,2)&gt;5,0,203.36))*-1</f>
        <v>-203.36</v>
      </c>
      <c r="HC101" s="39">
        <f>(IF(WEEKDAY(HC$82,2)&gt;5,0,189.73))*-1</f>
        <v>-189.73</v>
      </c>
      <c r="HD101" s="39">
        <f>(IF(WEEKDAY(HD$82,2)&gt;5,0,211.62))*-1</f>
        <v>-211.62</v>
      </c>
      <c r="HE101" s="39">
        <f>(IF(WEEKDAY(HE$82,2)&gt;5,0,185.64))*-1</f>
        <v>0</v>
      </c>
      <c r="HF101" s="39">
        <f>(IF(WEEKDAY(HF$82,2)&gt;5,0,206.45))*-1</f>
        <v>0</v>
      </c>
      <c r="HG101" s="39">
        <f>(IF(WEEKDAY(HG$82,2)&gt;5,0,224.74))*-1</f>
        <v>-224.74</v>
      </c>
      <c r="HH101" s="39">
        <f>(IF(WEEKDAY(HH$82,2)&gt;5,0,179.21))*-1</f>
        <v>-179.21</v>
      </c>
      <c r="HI101" s="39">
        <f>(IF(WEEKDAY(HI$82,2)&gt;5,0,207.03))*-1</f>
        <v>-207.03</v>
      </c>
      <c r="HJ101" s="39">
        <f>(IF(WEEKDAY(HJ$82,2)&gt;5,0,221.39))*-1</f>
        <v>-221.39</v>
      </c>
      <c r="HK101" s="39">
        <f>(IF(WEEKDAY(HK$82,2)&gt;5,0,214.11))*-1</f>
        <v>-214.11</v>
      </c>
      <c r="HL101" s="39">
        <f>(IF(WEEKDAY(HL$82,2)&gt;5,0,227.19))*-1</f>
        <v>0</v>
      </c>
      <c r="HM101" s="39">
        <f>(IF(WEEKDAY(HM$82,2)&gt;5,0,224.08))*-1</f>
        <v>0</v>
      </c>
      <c r="HN101" s="39">
        <f>(IF(WEEKDAY(HN$82,2)&gt;5,0,201.03))*-1</f>
        <v>-201.03</v>
      </c>
      <c r="HO101" s="39">
        <f>(IF(WEEKDAY(HO$82,2)&gt;5,0,227.64))*-1</f>
        <v>-227.64</v>
      </c>
      <c r="HP101" s="39">
        <f>(IF(WEEKDAY(HP$82,2)&gt;5,0,228.46))*-1</f>
        <v>-228.46</v>
      </c>
      <c r="HQ101" s="39">
        <f>(IF(WEEKDAY(HQ$82,2)&gt;5,0,218.69))*-1</f>
        <v>-218.69</v>
      </c>
      <c r="HR101" s="39">
        <f>(IF(WEEKDAY(HR$82,2)&gt;5,0,183.61))*-1</f>
        <v>-183.61</v>
      </c>
      <c r="HS101" s="39">
        <f>(IF(WEEKDAY(HS$82,2)&gt;5,0,195.15))*-1</f>
        <v>0</v>
      </c>
      <c r="HT101" s="39">
        <f>(IF(WEEKDAY(HT$82,2)&gt;5,0,205.95))*-1</f>
        <v>0</v>
      </c>
      <c r="HU101" s="39">
        <f>(IF(WEEKDAY(HU$82,2)&gt;5,0,185.33))*-1</f>
        <v>-185.33</v>
      </c>
      <c r="HV101" s="39">
        <f>(IF(WEEKDAY(HV$82,2)&gt;5,0,186.89))*-1</f>
        <v>-186.89</v>
      </c>
      <c r="HW101" s="39">
        <f>(IF(WEEKDAY(HW$82,2)&gt;5,0,209.11))*-1</f>
        <v>-209.11</v>
      </c>
      <c r="HX101" s="39">
        <f>(IF(WEEKDAY(HX$82,2)&gt;5,0,198.67))*-1</f>
        <v>-198.67</v>
      </c>
      <c r="HY101" s="39">
        <f>(IF(WEEKDAY(HY$82,2)&gt;5,0,189.45))*-1</f>
        <v>-189.45</v>
      </c>
      <c r="HZ101" s="39">
        <f>(IF(WEEKDAY(HZ$82,2)&gt;5,0,210.81))*-1</f>
        <v>0</v>
      </c>
      <c r="IA101" s="39">
        <f>(IF(WEEKDAY(IA$82,2)&gt;5,0,171.88))*-1</f>
        <v>0</v>
      </c>
      <c r="IB101" s="39">
        <f>(IF(WEEKDAY(IB$82,2)&gt;5,0,217.91))*-1</f>
        <v>-217.91</v>
      </c>
      <c r="IC101" s="39">
        <f>(IF(WEEKDAY(IC$82,2)&gt;5,0,205.77))*-1</f>
        <v>-205.77</v>
      </c>
      <c r="ID101" s="39">
        <f>(IF(WEEKDAY(ID$82,2)&gt;5,0,229.85))*-1</f>
        <v>-229.85</v>
      </c>
      <c r="IE101" s="39">
        <f>(IF(WEEKDAY(IE$82,2)&gt;5,0,199.96))*-1</f>
        <v>-199.96</v>
      </c>
      <c r="IF101" s="39">
        <f>(IF(WEEKDAY(IF$82,2)&gt;5,0,211.32))*-1</f>
        <v>-211.32</v>
      </c>
      <c r="IG101" s="39">
        <f>(IF(WEEKDAY(IG$82,2)&gt;5,0,198.94))*-1</f>
        <v>0</v>
      </c>
      <c r="IH101" s="39">
        <f>(IF(WEEKDAY(IH$82,2)&gt;5,0,173.5))*-1</f>
        <v>0</v>
      </c>
      <c r="II101" s="39">
        <f>(IF(WEEKDAY(II$82,2)&gt;5,0,223.32))*-1</f>
        <v>-223.32</v>
      </c>
      <c r="IJ101" s="39">
        <f>(IF(WEEKDAY(IJ$82,2)&gt;5,0,182.29))*-1</f>
        <v>-182.29</v>
      </c>
      <c r="IK101" s="39">
        <f>(IF(WEEKDAY(IK$82,2)&gt;5,0,206.14))*-1</f>
        <v>-206.14</v>
      </c>
      <c r="IL101" s="39">
        <f>(IF(WEEKDAY(IL$82,2)&gt;5,0,209.44))*-1</f>
        <v>-209.44</v>
      </c>
    </row>
    <row r="102" spans="1:246" x14ac:dyDescent="0.3">
      <c r="A102" t="s">
        <v>15</v>
      </c>
      <c r="B102" s="39">
        <f>(IF(WEEKDAY(B$82,2)&gt;5,0,442.38))*-1</f>
        <v>-442.38</v>
      </c>
      <c r="C102" s="39">
        <f>(IF(WEEKDAY(C$82,2)&gt;5,0,503.74))*-1</f>
        <v>0</v>
      </c>
      <c r="D102" s="39">
        <f>(IF(WEEKDAY(D$82,2)&gt;5,0,496.96))*-1</f>
        <v>0</v>
      </c>
      <c r="E102" s="39">
        <f>(IF(WEEKDAY(E$82,2)&gt;5,0,513.91))*-1</f>
        <v>-513.91</v>
      </c>
      <c r="F102" s="39">
        <f>(IF(WEEKDAY(F$82,2)&gt;5,0,432.4))*-1</f>
        <v>-432.4</v>
      </c>
      <c r="G102" s="39">
        <f>(IF(WEEKDAY(G$82,2)&gt;5,0,431.68))*-1</f>
        <v>-431.68</v>
      </c>
      <c r="H102" s="39">
        <f>(IF(WEEKDAY(H$82,2)&gt;5,0,502.91))*-1</f>
        <v>-502.91</v>
      </c>
      <c r="I102" s="39">
        <f>(IF(WEEKDAY(I$82,2)&gt;5,0,549.33))*-1</f>
        <v>-549.33000000000004</v>
      </c>
      <c r="J102" s="39">
        <f>(IF(WEEKDAY(J$82,2)&gt;5,0,572.96))*-1</f>
        <v>0</v>
      </c>
      <c r="K102" s="39">
        <f>(IF(WEEKDAY(K$82,2)&gt;5,0,438.39))*-1</f>
        <v>0</v>
      </c>
      <c r="L102" s="39">
        <f>(IF(WEEKDAY(L$82,2)&gt;5,0,500.32))*-1</f>
        <v>-500.32</v>
      </c>
      <c r="M102" s="39">
        <f>(IF(WEEKDAY(M$82,2)&gt;5,0,512.21))*-1</f>
        <v>-512.21</v>
      </c>
      <c r="N102" s="39">
        <f>(IF(WEEKDAY(N$82,2)&gt;5,0,520.78))*-1</f>
        <v>-520.78</v>
      </c>
      <c r="O102" s="39">
        <f>(IF(WEEKDAY(O$82,2)&gt;5,0,513.05))*-1</f>
        <v>-513.04999999999995</v>
      </c>
      <c r="P102" s="39">
        <f>(IF(WEEKDAY(P$82,2)&gt;5,0,447.72))*-1</f>
        <v>-447.72</v>
      </c>
      <c r="Q102" s="39">
        <f>(IF(WEEKDAY(Q$82,2)&gt;5,0,482.52))*-1</f>
        <v>0</v>
      </c>
      <c r="R102" s="39">
        <f>(IF(WEEKDAY(R$82,2)&gt;5,0,529.26))*-1</f>
        <v>0</v>
      </c>
      <c r="S102" s="39">
        <f>(IF(WEEKDAY(S$82,2)&gt;5,0,528.44))*-1</f>
        <v>-528.44000000000005</v>
      </c>
      <c r="T102" s="39">
        <f>(IF(WEEKDAY(T$82,2)&gt;5,0,533.31))*-1</f>
        <v>-533.30999999999995</v>
      </c>
      <c r="U102" s="39">
        <f>(IF(WEEKDAY(U$82,2)&gt;5,0,463.02))*-1</f>
        <v>-463.02</v>
      </c>
      <c r="V102" s="39">
        <f>(IF(WEEKDAY(V$82,2)&gt;5,0,543.88))*-1</f>
        <v>-543.88</v>
      </c>
      <c r="W102" s="39">
        <f>(IF(WEEKDAY(W$82,2)&gt;5,0,430.21))*-1</f>
        <v>-430.21</v>
      </c>
      <c r="X102" s="39">
        <f>(IF(WEEKDAY(X$82,2)&gt;5,0,456.51))*-1</f>
        <v>0</v>
      </c>
      <c r="Y102" s="39">
        <f>(IF(WEEKDAY(Y$82,2)&gt;5,0,558.95))*-1</f>
        <v>0</v>
      </c>
      <c r="Z102" s="39">
        <f>(IF(WEEKDAY(Z$82,2)&gt;5,0,481.39))*-1</f>
        <v>-481.39</v>
      </c>
      <c r="AA102" s="39">
        <f>(IF(WEEKDAY(AA$82,2)&gt;5,0,565.47))*-1</f>
        <v>-565.47</v>
      </c>
      <c r="AB102" s="39">
        <f>(IF(WEEKDAY(AB$82,2)&gt;5,0,522.24))*-1</f>
        <v>-522.24</v>
      </c>
      <c r="AC102" s="39">
        <f>(IF(WEEKDAY(AC$82,2)&gt;5,0,523.82))*-1</f>
        <v>-523.82000000000005</v>
      </c>
      <c r="AD102" s="39">
        <f>(IF(WEEKDAY(AD$82,2)&gt;5,0,429.76))*-1</f>
        <v>-429.76</v>
      </c>
      <c r="AE102" s="39">
        <f>(IF(WEEKDAY(AE$82,2)&gt;5,0,519.18))*-1</f>
        <v>0</v>
      </c>
      <c r="AF102" s="39">
        <f>(IF(WEEKDAY(AF$82,2)&gt;5,0,558.11))*-1</f>
        <v>0</v>
      </c>
      <c r="AG102" s="39">
        <f>(IF(WEEKDAY(AG$82,2)&gt;5,0,447.61))*-1</f>
        <v>-447.61</v>
      </c>
      <c r="AH102" s="39">
        <f>(IF(WEEKDAY(AH$82,2)&gt;5,0,476.9))*-1</f>
        <v>-476.9</v>
      </c>
      <c r="AI102" s="39">
        <f>(IF(WEEKDAY(AI$82,2)&gt;5,0,493.25))*-1</f>
        <v>-493.25</v>
      </c>
      <c r="AJ102" s="39">
        <f>(IF(WEEKDAY(AJ$82,2)&gt;5,0,457.03))*-1</f>
        <v>-457.03</v>
      </c>
      <c r="AK102" s="39">
        <f>(IF(WEEKDAY(AK$82,2)&gt;5,0,513.89))*-1</f>
        <v>-513.89</v>
      </c>
      <c r="AL102" s="39">
        <f>(IF(WEEKDAY(AL$82,2)&gt;5,0,457.21))*-1</f>
        <v>0</v>
      </c>
      <c r="AM102" s="39">
        <f>(IF(WEEKDAY(AM$82,2)&gt;5,0,499.11))*-1</f>
        <v>0</v>
      </c>
      <c r="AN102" s="39">
        <f>(IF(WEEKDAY(AN$82,2)&gt;5,0,551.59))*-1</f>
        <v>-551.59</v>
      </c>
      <c r="AO102" s="39">
        <f>(IF(WEEKDAY(AO$82,2)&gt;5,0,505.32))*-1</f>
        <v>-505.32</v>
      </c>
      <c r="AP102" s="39">
        <f>(IF(WEEKDAY(AP$82,2)&gt;5,0,572.64))*-1</f>
        <v>-572.64</v>
      </c>
      <c r="AQ102" s="39">
        <f>(IF(WEEKDAY(AQ$82,2)&gt;5,0,426.45))*-1</f>
        <v>-426.45</v>
      </c>
      <c r="AR102" s="39">
        <f>(IF(WEEKDAY(AR$82,2)&gt;5,0,465.94))*-1</f>
        <v>-465.94</v>
      </c>
      <c r="AS102" s="39">
        <f>(IF(WEEKDAY(AS$82,2)&gt;5,0,547.04))*-1</f>
        <v>0</v>
      </c>
      <c r="AT102" s="39">
        <f>(IF(WEEKDAY(AT$82,2)&gt;5,0,507.66))*-1</f>
        <v>0</v>
      </c>
      <c r="AU102" s="39">
        <f>(IF(WEEKDAY(AU$82,2)&gt;5,0,433.37))*-1</f>
        <v>-433.37</v>
      </c>
      <c r="AV102" s="39">
        <f>(IF(WEEKDAY(AV$82,2)&gt;5,0,444.27))*-1</f>
        <v>-444.27</v>
      </c>
      <c r="AW102" s="39">
        <f>(IF(WEEKDAY(AW$82,2)&gt;5,0,503.16))*-1</f>
        <v>-503.16</v>
      </c>
      <c r="AX102" s="39">
        <f>(IF(WEEKDAY(AX$82,2)&gt;5,0,536.18))*-1</f>
        <v>-536.17999999999995</v>
      </c>
      <c r="AY102" s="39">
        <f>(IF(WEEKDAY(AY$82,2)&gt;5,0,436.06))*-1</f>
        <v>-436.06</v>
      </c>
      <c r="AZ102" s="39">
        <f>(IF(WEEKDAY(AZ$82,2)&gt;5,0,508.27))*-1</f>
        <v>0</v>
      </c>
      <c r="BA102" s="39">
        <f>(IF(WEEKDAY(BA$82,2)&gt;5,0,490.15))*-1</f>
        <v>0</v>
      </c>
      <c r="BB102" s="39">
        <f>(IF(WEEKDAY(BB$82,2)&gt;5,0,574.94))*-1</f>
        <v>-574.94000000000005</v>
      </c>
      <c r="BC102" s="39">
        <f>(IF(WEEKDAY(BC$82,2)&gt;5,0,572.78))*-1</f>
        <v>-572.78</v>
      </c>
      <c r="BD102" s="39">
        <f>(IF(WEEKDAY(BD$82,2)&gt;5,0,498.54))*-1</f>
        <v>-498.54</v>
      </c>
      <c r="BE102" s="39">
        <f>(IF(WEEKDAY(BE$82,2)&gt;5,0,452.93))*-1</f>
        <v>-452.93</v>
      </c>
      <c r="BF102" s="39">
        <f>(IF(WEEKDAY(BF$82,2)&gt;5,0,537.07))*-1</f>
        <v>-537.07000000000005</v>
      </c>
      <c r="BG102" s="39">
        <f>(IF(WEEKDAY(BG$82,2)&gt;5,0,557.08))*-1</f>
        <v>0</v>
      </c>
      <c r="BH102" s="39">
        <f>(IF(WEEKDAY(BH$82,2)&gt;5,0,464.17))*-1</f>
        <v>0</v>
      </c>
      <c r="BI102" s="39">
        <f>(IF(WEEKDAY(BI$82,2)&gt;5,0,529.05))*-1</f>
        <v>-529.04999999999995</v>
      </c>
      <c r="BJ102" s="39">
        <f>(IF(WEEKDAY(BJ$82,2)&gt;5,0,509.37))*-1</f>
        <v>-509.37</v>
      </c>
      <c r="BK102" s="39">
        <f>(IF(WEEKDAY(BK$82,2)&gt;5,0,530.42))*-1</f>
        <v>-530.41999999999996</v>
      </c>
      <c r="BL102" s="39">
        <f>(IF(WEEKDAY(BL$82,2)&gt;5,0,529.56))*-1</f>
        <v>-529.55999999999995</v>
      </c>
      <c r="BM102" s="39">
        <f>(IF(WEEKDAY(BM$82,2)&gt;5,0,535.57))*-1</f>
        <v>-535.57000000000005</v>
      </c>
      <c r="BN102" s="39">
        <f>(IF(WEEKDAY(BN$82,2)&gt;5,0,531.14))*-1</f>
        <v>0</v>
      </c>
      <c r="BO102" s="39">
        <f>(IF(WEEKDAY(BO$82,2)&gt;5,0,497.73))*-1</f>
        <v>0</v>
      </c>
      <c r="BP102" s="39">
        <f>(IF(WEEKDAY(BP$82,2)&gt;5,0,521.75))*-1</f>
        <v>-521.75</v>
      </c>
      <c r="BQ102" s="39">
        <f>(IF(WEEKDAY(BQ$82,2)&gt;5,0,567.41))*-1</f>
        <v>-567.41</v>
      </c>
      <c r="BR102" s="39">
        <f>(IF(WEEKDAY(BR$82,2)&gt;5,0,464.92))*-1</f>
        <v>-464.92</v>
      </c>
      <c r="BS102" s="39">
        <f>(IF(WEEKDAY(BS$82,2)&gt;5,0,523.32))*-1</f>
        <v>-523.32000000000005</v>
      </c>
      <c r="BT102" s="39">
        <f>(IF(WEEKDAY(BT$82,2)&gt;5,0,474.11))*-1</f>
        <v>-474.11</v>
      </c>
      <c r="BU102" s="39">
        <f>(IF(WEEKDAY(BU$82,2)&gt;5,0,432.62))*-1</f>
        <v>0</v>
      </c>
      <c r="BV102" s="39">
        <f>(IF(WEEKDAY(BV$82,2)&gt;5,0,514.08))*-1</f>
        <v>0</v>
      </c>
      <c r="BW102" s="39">
        <f>(IF(WEEKDAY(BW$82,2)&gt;5,0,546.79))*-1</f>
        <v>-546.79</v>
      </c>
      <c r="BX102" s="39">
        <f>(IF(WEEKDAY(BX$82,2)&gt;5,0,482.62))*-1</f>
        <v>-482.62</v>
      </c>
      <c r="BY102" s="39">
        <f>(IF(WEEKDAY(BY$82,2)&gt;5,0,465.04))*-1</f>
        <v>-465.04</v>
      </c>
      <c r="BZ102" s="39">
        <f>(IF(WEEKDAY(BZ$82,2)&gt;5,0,493.61))*-1</f>
        <v>-493.61</v>
      </c>
      <c r="CA102" s="39">
        <f>(IF(WEEKDAY(CA$82,2)&gt;5,0,451.69))*-1</f>
        <v>-451.69</v>
      </c>
      <c r="CB102" s="39">
        <f>(IF(WEEKDAY(CB$82,2)&gt;5,0,536.93))*-1</f>
        <v>0</v>
      </c>
      <c r="CC102" s="39">
        <f>(IF(WEEKDAY(CC$82,2)&gt;5,0,505.08))*-1</f>
        <v>0</v>
      </c>
      <c r="CD102" s="39">
        <f>(IF(WEEKDAY(CD$82,2)&gt;5,0,560.14))*-1</f>
        <v>-560.14</v>
      </c>
      <c r="CE102" s="39">
        <f>(IF(WEEKDAY(CE$82,2)&gt;5,0,431.06))*-1</f>
        <v>-431.06</v>
      </c>
      <c r="CF102" s="39">
        <f>(IF(WEEKDAY(CF$82,2)&gt;5,0,536.69))*-1</f>
        <v>-536.69000000000005</v>
      </c>
      <c r="CG102" s="39">
        <f>(IF(WEEKDAY(CG$82,2)&gt;5,0,426.38))*-1</f>
        <v>-426.38</v>
      </c>
      <c r="CH102" s="39">
        <f>(IF(WEEKDAY(CH$82,2)&gt;5,0,483.02))*-1</f>
        <v>-483.02</v>
      </c>
      <c r="CI102" s="39">
        <f>(IF(WEEKDAY(CI$82,2)&gt;5,0,485.42))*-1</f>
        <v>0</v>
      </c>
      <c r="CJ102" s="39">
        <f>(IF(WEEKDAY(CJ$82,2)&gt;5,0,440.05))*-1</f>
        <v>0</v>
      </c>
      <c r="CK102" s="39">
        <f>(IF(WEEKDAY(CK$82,2)&gt;5,0,530.53))*-1</f>
        <v>-530.53</v>
      </c>
      <c r="CL102" s="39">
        <f>(IF(WEEKDAY(CL$82,2)&gt;5,0,536.78))*-1</f>
        <v>-536.78</v>
      </c>
      <c r="CM102" s="39">
        <f>(IF(WEEKDAY(CM$82,2)&gt;5,0,432.6))*-1</f>
        <v>-432.6</v>
      </c>
      <c r="CN102" s="39">
        <f>(IF(WEEKDAY(CN$82,2)&gt;5,0,570.08))*-1</f>
        <v>-570.08000000000004</v>
      </c>
      <c r="CO102" s="39">
        <f>(IF(WEEKDAY(CO$82,2)&gt;5,0,490.58))*-1</f>
        <v>-490.58</v>
      </c>
      <c r="CP102" s="39">
        <f>(IF(WEEKDAY(CP$82,2)&gt;5,0,461.57))*-1</f>
        <v>0</v>
      </c>
      <c r="CQ102" s="39">
        <f>(IF(WEEKDAY(CQ$82,2)&gt;5,0,483.88))*-1</f>
        <v>0</v>
      </c>
      <c r="CR102" s="39">
        <f>(IF(WEEKDAY(CR$82,2)&gt;5,0,467.78))*-1</f>
        <v>-467.78</v>
      </c>
      <c r="CS102" s="39">
        <f>(IF(WEEKDAY(CS$82,2)&gt;5,0,518.78))*-1</f>
        <v>-518.78</v>
      </c>
      <c r="CT102" s="39">
        <f>(IF(WEEKDAY(CT$82,2)&gt;5,0,538.49))*-1</f>
        <v>-538.49</v>
      </c>
      <c r="CU102" s="39">
        <f>(IF(WEEKDAY(CU$82,2)&gt;5,0,505.65))*-1</f>
        <v>-505.65</v>
      </c>
      <c r="CV102" s="39">
        <f>(IF(WEEKDAY(CV$82,2)&gt;5,0,436.05))*-1</f>
        <v>-436.05</v>
      </c>
      <c r="CW102" s="39">
        <f>(IF(WEEKDAY(CW$82,2)&gt;5,0,472.16))*-1</f>
        <v>0</v>
      </c>
      <c r="CX102" s="39">
        <f>(IF(WEEKDAY(CX$82,2)&gt;5,0,564.87))*-1</f>
        <v>0</v>
      </c>
      <c r="CY102" s="39">
        <f>(IF(WEEKDAY(CY$82,2)&gt;5,0,532.02))*-1</f>
        <v>-532.02</v>
      </c>
      <c r="CZ102" s="39">
        <f>(IF(WEEKDAY(CZ$82,2)&gt;5,0,474.81))*-1</f>
        <v>-474.81</v>
      </c>
      <c r="DA102" s="39">
        <f>(IF(WEEKDAY(DA$82,2)&gt;5,0,548.89))*-1</f>
        <v>-548.89</v>
      </c>
      <c r="DB102" s="39">
        <f>(IF(WEEKDAY(DB$82,2)&gt;5,0,489.03))*-1</f>
        <v>-489.03</v>
      </c>
      <c r="DC102" s="39">
        <f>(IF(WEEKDAY(DC$82,2)&gt;5,0,499.12))*-1</f>
        <v>-499.12</v>
      </c>
      <c r="DD102" s="39">
        <f>(IF(WEEKDAY(DD$82,2)&gt;5,0,519.25))*-1</f>
        <v>0</v>
      </c>
      <c r="DE102" s="39">
        <f>(IF(WEEKDAY(DE$82,2)&gt;5,0,483.94))*-1</f>
        <v>0</v>
      </c>
      <c r="DF102" s="39">
        <f>(IF(WEEKDAY(DF$82,2)&gt;5,0,500.97))*-1</f>
        <v>-500.97</v>
      </c>
      <c r="DG102" s="39">
        <f>(IF(WEEKDAY(DG$82,2)&gt;5,0,449.81))*-1</f>
        <v>-449.81</v>
      </c>
      <c r="DH102" s="39">
        <f>(IF(WEEKDAY(DH$82,2)&gt;5,0,549.65))*-1</f>
        <v>-549.65</v>
      </c>
      <c r="DI102" s="39">
        <f>(IF(WEEKDAY(DI$82,2)&gt;5,0,448.83))*-1</f>
        <v>-448.83</v>
      </c>
      <c r="DJ102" s="39">
        <f>(IF(WEEKDAY(DJ$82,2)&gt;5,0,500.9))*-1</f>
        <v>-500.9</v>
      </c>
      <c r="DK102" s="39">
        <f>(IF(WEEKDAY(DK$82,2)&gt;5,0,551.97))*-1</f>
        <v>0</v>
      </c>
      <c r="DL102" s="39">
        <f>(IF(WEEKDAY(DL$82,2)&gt;5,0,559.25))*-1</f>
        <v>0</v>
      </c>
      <c r="DM102" s="39">
        <f>(IF(WEEKDAY(DM$82,2)&gt;5,0,485.06))*-1</f>
        <v>-485.06</v>
      </c>
      <c r="DN102" s="39">
        <f>(IF(WEEKDAY(DN$82,2)&gt;5,0,562.41))*-1</f>
        <v>-562.41</v>
      </c>
      <c r="DO102" s="39">
        <f>(IF(WEEKDAY(DO$82,2)&gt;5,0,560.81))*-1</f>
        <v>-560.80999999999995</v>
      </c>
      <c r="DP102" s="39">
        <f>(IF(WEEKDAY(DP$82,2)&gt;5,0,555.48))*-1</f>
        <v>-555.48</v>
      </c>
      <c r="DQ102" s="39">
        <f>(IF(WEEKDAY(DQ$82,2)&gt;5,0,574.7))*-1</f>
        <v>-574.70000000000005</v>
      </c>
      <c r="DR102" s="39">
        <f>(IF(WEEKDAY(DR$82,2)&gt;5,0,463.25))*-1</f>
        <v>0</v>
      </c>
      <c r="DS102" s="39">
        <f>(IF(WEEKDAY(DS$82,2)&gt;5,0,437.25))*-1</f>
        <v>0</v>
      </c>
      <c r="DT102" s="39">
        <f>(IF(WEEKDAY(DT$82,2)&gt;5,0,445.69))*-1</f>
        <v>-445.69</v>
      </c>
      <c r="DU102" s="39">
        <f>(IF(WEEKDAY(DU$82,2)&gt;5,0,526.74))*-1</f>
        <v>-526.74</v>
      </c>
      <c r="DV102" s="39">
        <f>(IF(WEEKDAY(DV$82,2)&gt;5,0,513.3))*-1</f>
        <v>-513.29999999999995</v>
      </c>
      <c r="DW102" s="39">
        <f>(IF(WEEKDAY(DW$82,2)&gt;5,0,510.13))*-1</f>
        <v>-510.13</v>
      </c>
      <c r="DX102" s="39">
        <f>(IF(WEEKDAY(DX$82,2)&gt;5,0,519.35))*-1</f>
        <v>-519.35</v>
      </c>
      <c r="DY102" s="39">
        <f>(IF(WEEKDAY(DY$82,2)&gt;5,0,492.16))*-1</f>
        <v>0</v>
      </c>
      <c r="DZ102" s="39">
        <f>(IF(WEEKDAY(DZ$82,2)&gt;5,0,532.99))*-1</f>
        <v>0</v>
      </c>
      <c r="EA102" s="39">
        <f>(IF(WEEKDAY(EA$82,2)&gt;5,0,527.88))*-1</f>
        <v>-527.88</v>
      </c>
      <c r="EB102" s="39">
        <f>(IF(WEEKDAY(EB$82,2)&gt;5,0,475.54))*-1</f>
        <v>-475.54</v>
      </c>
      <c r="EC102" s="39">
        <f>(IF(WEEKDAY(EC$82,2)&gt;5,0,512.96))*-1</f>
        <v>-512.96</v>
      </c>
      <c r="ED102" s="39">
        <f>(IF(WEEKDAY(ED$82,2)&gt;5,0,559.09))*-1</f>
        <v>-559.09</v>
      </c>
      <c r="EE102" s="39">
        <f>(IF(WEEKDAY(EE$82,2)&gt;5,0,495.78))*-1</f>
        <v>-495.78</v>
      </c>
      <c r="EF102" s="39">
        <f>(IF(WEEKDAY(EF$82,2)&gt;5,0,464.36))*-1</f>
        <v>0</v>
      </c>
      <c r="EG102" s="39">
        <f>(IF(WEEKDAY(EG$82,2)&gt;5,0,554.99))*-1</f>
        <v>0</v>
      </c>
      <c r="EH102" s="39">
        <f>(IF(WEEKDAY(EH$82,2)&gt;5,0,566.33))*-1</f>
        <v>-566.33000000000004</v>
      </c>
      <c r="EI102" s="39">
        <f>(IF(WEEKDAY(EI$82,2)&gt;5,0,502.14))*-1</f>
        <v>-502.14</v>
      </c>
      <c r="EJ102" s="39">
        <f>(IF(WEEKDAY(EJ$82,2)&gt;5,0,571.69))*-1</f>
        <v>-571.69000000000005</v>
      </c>
      <c r="EK102" s="39">
        <f>(IF(WEEKDAY(EK$82,2)&gt;5,0,571.64))*-1</f>
        <v>-571.64</v>
      </c>
      <c r="EL102" s="39">
        <f>(IF(WEEKDAY(EL$82,2)&gt;5,0,563.34))*-1</f>
        <v>-563.34</v>
      </c>
      <c r="EM102" s="39">
        <f>(IF(WEEKDAY(EM$82,2)&gt;5,0,479.48))*-1</f>
        <v>0</v>
      </c>
      <c r="EN102" s="39">
        <f>(IF(WEEKDAY(EN$82,2)&gt;5,0,510.43))*-1</f>
        <v>0</v>
      </c>
      <c r="EO102" s="39">
        <f>(IF(WEEKDAY(EO$82,2)&gt;5,0,545.82))*-1</f>
        <v>-545.82000000000005</v>
      </c>
      <c r="EP102" s="39">
        <f>(IF(WEEKDAY(EP$82,2)&gt;5,0,465.84))*-1</f>
        <v>-465.84</v>
      </c>
      <c r="EQ102" s="39">
        <f>(IF(WEEKDAY(EQ$82,2)&gt;5,0,486.72))*-1</f>
        <v>-486.72</v>
      </c>
      <c r="ER102" s="39">
        <f>(IF(WEEKDAY(ER$82,2)&gt;5,0,528.07))*-1</f>
        <v>-528.07000000000005</v>
      </c>
      <c r="ES102" s="39">
        <f>(IF(WEEKDAY(ES$82,2)&gt;5,0,456.61))*-1</f>
        <v>-456.61</v>
      </c>
      <c r="ET102" s="39">
        <f>(IF(WEEKDAY(ET$82,2)&gt;5,0,455.02))*-1</f>
        <v>0</v>
      </c>
      <c r="EU102" s="39">
        <f>(IF(WEEKDAY(EU$82,2)&gt;5,0,433.91))*-1</f>
        <v>0</v>
      </c>
      <c r="EV102" s="39">
        <f>(IF(WEEKDAY(EV$82,2)&gt;5,0,520.68))*-1</f>
        <v>-520.67999999999995</v>
      </c>
      <c r="EW102" s="39">
        <f>(IF(WEEKDAY(EW$82,2)&gt;5,0,541.17))*-1</f>
        <v>-541.16999999999996</v>
      </c>
      <c r="EX102" s="39">
        <f>(IF(WEEKDAY(EX$82,2)&gt;5,0,521.72))*-1</f>
        <v>-521.72</v>
      </c>
      <c r="EY102" s="39">
        <f>(IF(WEEKDAY(EY$82,2)&gt;5,0,572.27))*-1</f>
        <v>-572.27</v>
      </c>
      <c r="EZ102" s="39">
        <f>(IF(WEEKDAY(EZ$82,2)&gt;5,0,556.52))*-1</f>
        <v>-556.52</v>
      </c>
      <c r="FA102" s="39">
        <f>(IF(WEEKDAY(FA$82,2)&gt;5,0,498.59))*-1</f>
        <v>0</v>
      </c>
      <c r="FB102" s="39">
        <f>(IF(WEEKDAY(FB$82,2)&gt;5,0,436.28))*-1</f>
        <v>0</v>
      </c>
      <c r="FC102" s="39">
        <f>(IF(WEEKDAY(FC$82,2)&gt;5,0,568.56))*-1</f>
        <v>-568.55999999999995</v>
      </c>
      <c r="FD102" s="39">
        <f>(IF(WEEKDAY(FD$82,2)&gt;5,0,495.12))*-1</f>
        <v>-495.12</v>
      </c>
      <c r="FE102" s="39">
        <f>(IF(WEEKDAY(FE$82,2)&gt;5,0,564.51))*-1</f>
        <v>-564.51</v>
      </c>
      <c r="FF102" s="39">
        <f>(IF(WEEKDAY(FF$82,2)&gt;5,0,563.45))*-1</f>
        <v>-563.45000000000005</v>
      </c>
      <c r="FG102" s="39">
        <f>(IF(WEEKDAY(FG$82,2)&gt;5,0,558.76))*-1</f>
        <v>-558.76</v>
      </c>
      <c r="FH102" s="39">
        <f>(IF(WEEKDAY(FH$82,2)&gt;5,0,552.25))*-1</f>
        <v>0</v>
      </c>
      <c r="FI102" s="39">
        <f>(IF(WEEKDAY(FI$82,2)&gt;5,0,429.09))*-1</f>
        <v>0</v>
      </c>
      <c r="FJ102" s="39">
        <f>(IF(WEEKDAY(FJ$82,2)&gt;5,0,438.13))*-1</f>
        <v>-438.13</v>
      </c>
      <c r="FK102" s="39">
        <f>(IF(WEEKDAY(FK$82,2)&gt;5,0,529.18))*-1</f>
        <v>-529.17999999999995</v>
      </c>
      <c r="FL102" s="39">
        <f>(IF(WEEKDAY(FL$82,2)&gt;5,0,552.45))*-1</f>
        <v>-552.45000000000005</v>
      </c>
      <c r="FM102" s="39">
        <f>(IF(WEEKDAY(FM$82,2)&gt;5,0,425.61))*-1</f>
        <v>-425.61</v>
      </c>
      <c r="FN102" s="39">
        <f>(IF(WEEKDAY(FN$82,2)&gt;5,0,525.72))*-1</f>
        <v>-525.72</v>
      </c>
      <c r="FO102" s="39">
        <f>(IF(WEEKDAY(FO$82,2)&gt;5,0,534.96))*-1</f>
        <v>0</v>
      </c>
      <c r="FP102" s="39">
        <f>(IF(WEEKDAY(FP$82,2)&gt;5,0,504.15))*-1</f>
        <v>0</v>
      </c>
      <c r="FQ102" s="39">
        <f>(IF(WEEKDAY(FQ$82,2)&gt;5,0,564.58))*-1</f>
        <v>-564.58000000000004</v>
      </c>
      <c r="FR102" s="39">
        <f>(IF(WEEKDAY(FR$82,2)&gt;5,0,546.33))*-1</f>
        <v>-546.33000000000004</v>
      </c>
      <c r="FS102" s="39">
        <f>(IF(WEEKDAY(FS$82,2)&gt;5,0,541.34))*-1</f>
        <v>-541.34</v>
      </c>
      <c r="FT102" s="39">
        <f>(IF(WEEKDAY(FT$82,2)&gt;5,0,457.98))*-1</f>
        <v>-457.98</v>
      </c>
      <c r="FU102" s="39">
        <f>(IF(WEEKDAY(FU$82,2)&gt;5,0,499.12))*-1</f>
        <v>-499.12</v>
      </c>
      <c r="FV102" s="39">
        <f>(IF(WEEKDAY(FV$82,2)&gt;5,0,546.88))*-1</f>
        <v>0</v>
      </c>
      <c r="FW102" s="39">
        <f>(IF(WEEKDAY(FW$82,2)&gt;5,0,488.08))*-1</f>
        <v>0</v>
      </c>
      <c r="FX102" s="39">
        <f>(IF(WEEKDAY(FX$82,2)&gt;5,0,542.37))*-1</f>
        <v>-542.37</v>
      </c>
      <c r="FY102" s="39">
        <f>(IF(WEEKDAY(FY$82,2)&gt;5,0,426.95))*-1</f>
        <v>-426.95</v>
      </c>
      <c r="FZ102" s="39">
        <f>(IF(WEEKDAY(FZ$82,2)&gt;5,0,476.62))*-1</f>
        <v>-476.62</v>
      </c>
      <c r="GA102" s="39">
        <f>(IF(WEEKDAY(GA$82,2)&gt;5,0,554.63))*-1</f>
        <v>-554.63</v>
      </c>
      <c r="GB102" s="39">
        <f>(IF(WEEKDAY(GB$82,2)&gt;5,0,486.95))*-1</f>
        <v>-486.95</v>
      </c>
      <c r="GC102" s="39">
        <f>(IF(WEEKDAY(GC$82,2)&gt;5,0,502.23))*-1</f>
        <v>0</v>
      </c>
      <c r="GD102" s="39">
        <f>(IF(WEEKDAY(GD$82,2)&gt;5,0,485.35))*-1</f>
        <v>0</v>
      </c>
      <c r="GE102" s="39">
        <f>(IF(WEEKDAY(GE$82,2)&gt;5,0,465.73))*-1</f>
        <v>-465.73</v>
      </c>
      <c r="GF102" s="39">
        <f>(IF(WEEKDAY(GF$82,2)&gt;5,0,498.74))*-1</f>
        <v>-498.74</v>
      </c>
      <c r="GG102" s="39">
        <f>(IF(WEEKDAY(GG$82,2)&gt;5,0,461.83))*-1</f>
        <v>-461.83</v>
      </c>
      <c r="GH102" s="39">
        <f>(IF(WEEKDAY(GH$82,2)&gt;5,0,483.36))*-1</f>
        <v>-483.36</v>
      </c>
      <c r="GI102" s="39">
        <f>(IF(WEEKDAY(GI$82,2)&gt;5,0,532.8))*-1</f>
        <v>-532.79999999999995</v>
      </c>
      <c r="GJ102" s="39">
        <f>(IF(WEEKDAY(GJ$82,2)&gt;5,0,475.46))*-1</f>
        <v>0</v>
      </c>
      <c r="GK102" s="39">
        <f>(IF(WEEKDAY(GK$82,2)&gt;5,0,473.62))*-1</f>
        <v>0</v>
      </c>
      <c r="GL102" s="39">
        <f>(IF(WEEKDAY(GL$82,2)&gt;5,0,439.66))*-1</f>
        <v>-439.66</v>
      </c>
      <c r="GM102" s="39">
        <f>(IF(WEEKDAY(GM$82,2)&gt;5,0,449.23))*-1</f>
        <v>-449.23</v>
      </c>
      <c r="GN102" s="39">
        <f>(IF(WEEKDAY(GN$82,2)&gt;5,0,432.31))*-1</f>
        <v>-432.31</v>
      </c>
      <c r="GO102" s="39">
        <f>(IF(WEEKDAY(GO$82,2)&gt;5,0,542.39))*-1</f>
        <v>-542.39</v>
      </c>
      <c r="GP102" s="39">
        <f>(IF(WEEKDAY(GP$82,2)&gt;5,0,446.7))*-1</f>
        <v>-446.7</v>
      </c>
      <c r="GQ102" s="39">
        <f>(IF(WEEKDAY(GQ$82,2)&gt;5,0,506.02))*-1</f>
        <v>0</v>
      </c>
      <c r="GR102" s="39">
        <f>(IF(WEEKDAY(GR$82,2)&gt;5,0,556.56))*-1</f>
        <v>0</v>
      </c>
      <c r="GS102" s="39">
        <f>(IF(WEEKDAY(GS$82,2)&gt;5,0,522.85))*-1</f>
        <v>-522.85</v>
      </c>
      <c r="GT102" s="39">
        <f>(IF(WEEKDAY(GT$82,2)&gt;5,0,513.96))*-1</f>
        <v>-513.96</v>
      </c>
      <c r="GU102" s="39">
        <f>(IF(WEEKDAY(GU$82,2)&gt;5,0,501.76))*-1</f>
        <v>-501.76</v>
      </c>
      <c r="GV102" s="39">
        <f>(IF(WEEKDAY(GV$82,2)&gt;5,0,512.57))*-1</f>
        <v>-512.57000000000005</v>
      </c>
      <c r="GW102" s="39">
        <f>(IF(WEEKDAY(GW$82,2)&gt;5,0,527.72))*-1</f>
        <v>-527.72</v>
      </c>
      <c r="GX102" s="39">
        <f>(IF(WEEKDAY(GX$82,2)&gt;5,0,454.38))*-1</f>
        <v>0</v>
      </c>
      <c r="GY102" s="39">
        <f>(IF(WEEKDAY(GY$82,2)&gt;5,0,536.76))*-1</f>
        <v>0</v>
      </c>
      <c r="GZ102" s="39">
        <f>(IF(WEEKDAY(GZ$82,2)&gt;5,0,535.42))*-1</f>
        <v>-535.41999999999996</v>
      </c>
      <c r="HA102" s="39">
        <f>(IF(WEEKDAY(HA$82,2)&gt;5,0,499.93))*-1</f>
        <v>-499.93</v>
      </c>
      <c r="HB102" s="39">
        <f>(IF(WEEKDAY(HB$82,2)&gt;5,0,480.63))*-1</f>
        <v>-480.63</v>
      </c>
      <c r="HC102" s="39">
        <f>(IF(WEEKDAY(HC$82,2)&gt;5,0,517.96))*-1</f>
        <v>-517.96</v>
      </c>
      <c r="HD102" s="39">
        <f>(IF(WEEKDAY(HD$82,2)&gt;5,0,483.73))*-1</f>
        <v>-483.73</v>
      </c>
      <c r="HE102" s="39">
        <f>(IF(WEEKDAY(HE$82,2)&gt;5,0,427.4))*-1</f>
        <v>0</v>
      </c>
      <c r="HF102" s="39">
        <f>(IF(WEEKDAY(HF$82,2)&gt;5,0,473.07))*-1</f>
        <v>0</v>
      </c>
      <c r="HG102" s="39">
        <f>(IF(WEEKDAY(HG$82,2)&gt;5,0,472.7))*-1</f>
        <v>-472.7</v>
      </c>
      <c r="HH102" s="39">
        <f>(IF(WEEKDAY(HH$82,2)&gt;5,0,522.77))*-1</f>
        <v>-522.77</v>
      </c>
      <c r="HI102" s="39">
        <f>(IF(WEEKDAY(HI$82,2)&gt;5,0,495.45))*-1</f>
        <v>-495.45</v>
      </c>
      <c r="HJ102" s="39">
        <f>(IF(WEEKDAY(HJ$82,2)&gt;5,0,430.89))*-1</f>
        <v>-430.89</v>
      </c>
      <c r="HK102" s="39">
        <f>(IF(WEEKDAY(HK$82,2)&gt;5,0,540.46))*-1</f>
        <v>-540.46</v>
      </c>
      <c r="HL102" s="39">
        <f>(IF(WEEKDAY(HL$82,2)&gt;5,0,471.21))*-1</f>
        <v>0</v>
      </c>
      <c r="HM102" s="39">
        <f>(IF(WEEKDAY(HM$82,2)&gt;5,0,547.7))*-1</f>
        <v>0</v>
      </c>
      <c r="HN102" s="39">
        <f>(IF(WEEKDAY(HN$82,2)&gt;5,0,447.87))*-1</f>
        <v>-447.87</v>
      </c>
      <c r="HO102" s="39">
        <f>(IF(WEEKDAY(HO$82,2)&gt;5,0,495.82))*-1</f>
        <v>-495.82</v>
      </c>
      <c r="HP102" s="39">
        <f>(IF(WEEKDAY(HP$82,2)&gt;5,0,492.08))*-1</f>
        <v>-492.08</v>
      </c>
      <c r="HQ102" s="39">
        <f>(IF(WEEKDAY(HQ$82,2)&gt;5,0,458.73))*-1</f>
        <v>-458.73</v>
      </c>
      <c r="HR102" s="39">
        <f>(IF(WEEKDAY(HR$82,2)&gt;5,0,498.41))*-1</f>
        <v>-498.41</v>
      </c>
      <c r="HS102" s="39">
        <f>(IF(WEEKDAY(HS$82,2)&gt;5,0,438.02))*-1</f>
        <v>0</v>
      </c>
      <c r="HT102" s="39">
        <f>(IF(WEEKDAY(HT$82,2)&gt;5,0,511.25))*-1</f>
        <v>0</v>
      </c>
      <c r="HU102" s="39">
        <f>(IF(WEEKDAY(HU$82,2)&gt;5,0,439.43))*-1</f>
        <v>-439.43</v>
      </c>
      <c r="HV102" s="39">
        <f>(IF(WEEKDAY(HV$82,2)&gt;5,0,432.71))*-1</f>
        <v>-432.71</v>
      </c>
      <c r="HW102" s="39">
        <f>(IF(WEEKDAY(HW$82,2)&gt;5,0,429.32))*-1</f>
        <v>-429.32</v>
      </c>
      <c r="HX102" s="39">
        <f>(IF(WEEKDAY(HX$82,2)&gt;5,0,432.55))*-1</f>
        <v>-432.55</v>
      </c>
      <c r="HY102" s="39">
        <f>(IF(WEEKDAY(HY$82,2)&gt;5,0,440.01))*-1</f>
        <v>-440.01</v>
      </c>
      <c r="HZ102" s="39">
        <f>(IF(WEEKDAY(HZ$82,2)&gt;5,0,560.41))*-1</f>
        <v>0</v>
      </c>
      <c r="IA102" s="39">
        <f>(IF(WEEKDAY(IA$82,2)&gt;5,0,460.8))*-1</f>
        <v>0</v>
      </c>
      <c r="IB102" s="39">
        <f>(IF(WEEKDAY(IB$82,2)&gt;5,0,568.77))*-1</f>
        <v>-568.77</v>
      </c>
      <c r="IC102" s="39">
        <f>(IF(WEEKDAY(IC$82,2)&gt;5,0,517.71))*-1</f>
        <v>-517.71</v>
      </c>
      <c r="ID102" s="39">
        <f>(IF(WEEKDAY(ID$82,2)&gt;5,0,500.71))*-1</f>
        <v>-500.71</v>
      </c>
      <c r="IE102" s="39">
        <f>(IF(WEEKDAY(IE$82,2)&gt;5,0,448.62))*-1</f>
        <v>-448.62</v>
      </c>
      <c r="IF102" s="39">
        <f>(IF(WEEKDAY(IF$82,2)&gt;5,0,548.07))*-1</f>
        <v>-548.07000000000005</v>
      </c>
      <c r="IG102" s="39">
        <f>(IF(WEEKDAY(IG$82,2)&gt;5,0,472.47))*-1</f>
        <v>0</v>
      </c>
      <c r="IH102" s="39">
        <f>(IF(WEEKDAY(IH$82,2)&gt;5,0,529.62))*-1</f>
        <v>0</v>
      </c>
      <c r="II102" s="39">
        <f>(IF(WEEKDAY(II$82,2)&gt;5,0,527.88))*-1</f>
        <v>-527.88</v>
      </c>
      <c r="IJ102" s="39">
        <f>(IF(WEEKDAY(IJ$82,2)&gt;5,0,465.88))*-1</f>
        <v>-465.88</v>
      </c>
      <c r="IK102" s="39">
        <f>(IF(WEEKDAY(IK$82,2)&gt;5,0,468.35))*-1</f>
        <v>-468.35</v>
      </c>
      <c r="IL102" s="39">
        <f>(IF(WEEKDAY(IL$82,2)&gt;5,0,499.68))*-1</f>
        <v>-499.68</v>
      </c>
    </row>
    <row r="103" spans="1:246" x14ac:dyDescent="0.3">
      <c r="A103" t="s">
        <v>17</v>
      </c>
      <c r="B103" s="39">
        <f>(IF(WEEKDAY(B$82,2)&gt;5,0,140.1))*-1</f>
        <v>-140.1</v>
      </c>
      <c r="C103" s="39">
        <f>(IF(WEEKDAY(C$82,2)&gt;5,0,125.91))*-1</f>
        <v>0</v>
      </c>
      <c r="D103" s="39">
        <f>(IF(WEEKDAY(D$82,2)&gt;5,0,142.83))*-1</f>
        <v>0</v>
      </c>
      <c r="E103" s="39">
        <f>(IF(WEEKDAY(E$82,2)&gt;5,0,118.18))*-1</f>
        <v>-118.18</v>
      </c>
      <c r="F103" s="39">
        <f>(IF(WEEKDAY(F$82,2)&gt;5,0,128.89))*-1</f>
        <v>-128.88999999999999</v>
      </c>
      <c r="G103" s="39">
        <f>(IF(WEEKDAY(G$82,2)&gt;5,0,137.96))*-1</f>
        <v>-137.96</v>
      </c>
      <c r="H103" s="39">
        <f>(IF(WEEKDAY(H$82,2)&gt;5,0,121.71))*-1</f>
        <v>-121.71</v>
      </c>
      <c r="I103" s="39">
        <f>(IF(WEEKDAY(I$82,2)&gt;5,0,120.17))*-1</f>
        <v>-120.17</v>
      </c>
      <c r="J103" s="39">
        <f>(IF(WEEKDAY(J$82,2)&gt;5,0,143.53))*-1</f>
        <v>0</v>
      </c>
      <c r="K103" s="39">
        <f>(IF(WEEKDAY(K$82,2)&gt;5,0,138.79))*-1</f>
        <v>0</v>
      </c>
      <c r="L103" s="39">
        <f>(IF(WEEKDAY(L$82,2)&gt;5,0,118.58))*-1</f>
        <v>-118.58</v>
      </c>
      <c r="M103" s="39">
        <f>(IF(WEEKDAY(M$82,2)&gt;5,0,113.59))*-1</f>
        <v>-113.59</v>
      </c>
      <c r="N103" s="39">
        <f>(IF(WEEKDAY(N$82,2)&gt;5,0,128.47))*-1</f>
        <v>-128.47</v>
      </c>
      <c r="O103" s="39">
        <f>(IF(WEEKDAY(O$82,2)&gt;5,0,127.61))*-1</f>
        <v>-127.61</v>
      </c>
      <c r="P103" s="39">
        <f>(IF(WEEKDAY(P$82,2)&gt;5,0,141.9))*-1</f>
        <v>-141.9</v>
      </c>
      <c r="Q103" s="39">
        <f>(IF(WEEKDAY(Q$82,2)&gt;5,0,148.28))*-1</f>
        <v>0</v>
      </c>
      <c r="R103" s="39">
        <f>(IF(WEEKDAY(R$82,2)&gt;5,0,119.34))*-1</f>
        <v>0</v>
      </c>
      <c r="S103" s="39">
        <f>(IF(WEEKDAY(S$82,2)&gt;5,0,118.16))*-1</f>
        <v>-118.16</v>
      </c>
      <c r="T103" s="39">
        <f>(IF(WEEKDAY(T$82,2)&gt;5,0,128.68))*-1</f>
        <v>-128.68</v>
      </c>
      <c r="U103" s="39">
        <f>(IF(WEEKDAY(U$82,2)&gt;5,0,133.56))*-1</f>
        <v>-133.56</v>
      </c>
      <c r="V103" s="39">
        <f>(IF(WEEKDAY(V$82,2)&gt;5,0,117.23))*-1</f>
        <v>-117.23</v>
      </c>
      <c r="W103" s="39">
        <f>(IF(WEEKDAY(W$82,2)&gt;5,0,126.73))*-1</f>
        <v>-126.73</v>
      </c>
      <c r="X103" s="39">
        <f>(IF(WEEKDAY(X$82,2)&gt;5,0,134.16))*-1</f>
        <v>0</v>
      </c>
      <c r="Y103" s="39">
        <f>(IF(WEEKDAY(Y$82,2)&gt;5,0,118.6))*-1</f>
        <v>0</v>
      </c>
      <c r="Z103" s="39">
        <f>(IF(WEEKDAY(Z$82,2)&gt;5,0,126.98))*-1</f>
        <v>-126.98</v>
      </c>
      <c r="AA103" s="39">
        <f>(IF(WEEKDAY(AA$82,2)&gt;5,0,130.9))*-1</f>
        <v>-130.9</v>
      </c>
      <c r="AB103" s="39">
        <f>(IF(WEEKDAY(AB$82,2)&gt;5,0,136.39))*-1</f>
        <v>-136.38999999999999</v>
      </c>
      <c r="AC103" s="39">
        <f>(IF(WEEKDAY(AC$82,2)&gt;5,0,141.32))*-1</f>
        <v>-141.32</v>
      </c>
      <c r="AD103" s="39">
        <f>(IF(WEEKDAY(AD$82,2)&gt;5,0,133.63))*-1</f>
        <v>-133.63</v>
      </c>
      <c r="AE103" s="39">
        <f>(IF(WEEKDAY(AE$82,2)&gt;5,0,120.14))*-1</f>
        <v>0</v>
      </c>
      <c r="AF103" s="39">
        <f>(IF(WEEKDAY(AF$82,2)&gt;5,0,115.26))*-1</f>
        <v>0</v>
      </c>
      <c r="AG103" s="39">
        <f>(IF(WEEKDAY(AG$82,2)&gt;5,0,112.02))*-1</f>
        <v>-112.02</v>
      </c>
      <c r="AH103" s="39">
        <f>(IF(WEEKDAY(AH$82,2)&gt;5,0,119.93))*-1</f>
        <v>-119.93</v>
      </c>
      <c r="AI103" s="39">
        <f>(IF(WEEKDAY(AI$82,2)&gt;5,0,120.2))*-1</f>
        <v>-120.2</v>
      </c>
      <c r="AJ103" s="39">
        <f>(IF(WEEKDAY(AJ$82,2)&gt;5,0,127.12))*-1</f>
        <v>-127.12</v>
      </c>
      <c r="AK103" s="39">
        <f>(IF(WEEKDAY(AK$82,2)&gt;5,0,128.12))*-1</f>
        <v>-128.12</v>
      </c>
      <c r="AL103" s="39">
        <f>(IF(WEEKDAY(AL$82,2)&gt;5,0,119.57))*-1</f>
        <v>0</v>
      </c>
      <c r="AM103" s="39">
        <f>(IF(WEEKDAY(AM$82,2)&gt;5,0,140.05))*-1</f>
        <v>0</v>
      </c>
      <c r="AN103" s="39">
        <f>(IF(WEEKDAY(AN$82,2)&gt;5,0,140.9))*-1</f>
        <v>-140.9</v>
      </c>
      <c r="AO103" s="39">
        <f>(IF(WEEKDAY(AO$82,2)&gt;5,0,143.89))*-1</f>
        <v>-143.88999999999999</v>
      </c>
      <c r="AP103" s="39">
        <f>(IF(WEEKDAY(AP$82,2)&gt;5,0,148.58))*-1</f>
        <v>-148.58000000000001</v>
      </c>
      <c r="AQ103" s="39">
        <f>(IF(WEEKDAY(AQ$82,2)&gt;5,0,140.39))*-1</f>
        <v>-140.38999999999999</v>
      </c>
      <c r="AR103" s="39">
        <f>(IF(WEEKDAY(AR$82,2)&gt;5,0,111.35))*-1</f>
        <v>-111.35</v>
      </c>
      <c r="AS103" s="39">
        <f>(IF(WEEKDAY(AS$82,2)&gt;5,0,149.02))*-1</f>
        <v>0</v>
      </c>
      <c r="AT103" s="39">
        <f>(IF(WEEKDAY(AT$82,2)&gt;5,0,133.43))*-1</f>
        <v>0</v>
      </c>
      <c r="AU103" s="39">
        <f>(IF(WEEKDAY(AU$82,2)&gt;5,0,115.19))*-1</f>
        <v>-115.19</v>
      </c>
      <c r="AV103" s="39">
        <f>(IF(WEEKDAY(AV$82,2)&gt;5,0,137.84))*-1</f>
        <v>-137.84</v>
      </c>
      <c r="AW103" s="39">
        <f>(IF(WEEKDAY(AW$82,2)&gt;5,0,130.88))*-1</f>
        <v>-130.88</v>
      </c>
      <c r="AX103" s="39">
        <f>(IF(WEEKDAY(AX$82,2)&gt;5,0,123.87))*-1</f>
        <v>-123.87</v>
      </c>
      <c r="AY103" s="39">
        <f>(IF(WEEKDAY(AY$82,2)&gt;5,0,134.48))*-1</f>
        <v>-134.47999999999999</v>
      </c>
      <c r="AZ103" s="39">
        <f>(IF(WEEKDAY(AZ$82,2)&gt;5,0,147.52))*-1</f>
        <v>0</v>
      </c>
      <c r="BA103" s="39">
        <f>(IF(WEEKDAY(BA$82,2)&gt;5,0,139.32))*-1</f>
        <v>0</v>
      </c>
      <c r="BB103" s="39">
        <f>(IF(WEEKDAY(BB$82,2)&gt;5,0,135.67))*-1</f>
        <v>-135.66999999999999</v>
      </c>
      <c r="BC103" s="39">
        <f>(IF(WEEKDAY(BC$82,2)&gt;5,0,114.07))*-1</f>
        <v>-114.07</v>
      </c>
      <c r="BD103" s="39">
        <f>(IF(WEEKDAY(BD$82,2)&gt;5,0,121.91))*-1</f>
        <v>-121.91</v>
      </c>
      <c r="BE103" s="39">
        <f>(IF(WEEKDAY(BE$82,2)&gt;5,0,118.43))*-1</f>
        <v>-118.43</v>
      </c>
      <c r="BF103" s="39">
        <f>(IF(WEEKDAY(BF$82,2)&gt;5,0,133.37))*-1</f>
        <v>-133.37</v>
      </c>
      <c r="BG103" s="39">
        <f>(IF(WEEKDAY(BG$82,2)&gt;5,0,131.23))*-1</f>
        <v>0</v>
      </c>
      <c r="BH103" s="39">
        <f>(IF(WEEKDAY(BH$82,2)&gt;5,0,145.53))*-1</f>
        <v>0</v>
      </c>
      <c r="BI103" s="39">
        <f>(IF(WEEKDAY(BI$82,2)&gt;5,0,126.53))*-1</f>
        <v>-126.53</v>
      </c>
      <c r="BJ103" s="39">
        <f>(IF(WEEKDAY(BJ$82,2)&gt;5,0,135.14))*-1</f>
        <v>-135.13999999999999</v>
      </c>
      <c r="BK103" s="39">
        <f>(IF(WEEKDAY(BK$82,2)&gt;5,0,118.46))*-1</f>
        <v>-118.46</v>
      </c>
      <c r="BL103" s="39">
        <f>(IF(WEEKDAY(BL$82,2)&gt;5,0,133.88))*-1</f>
        <v>-133.88</v>
      </c>
      <c r="BM103" s="39">
        <f>(IF(WEEKDAY(BM$82,2)&gt;5,0,124.37))*-1</f>
        <v>-124.37</v>
      </c>
      <c r="BN103" s="39">
        <f>(IF(WEEKDAY(BN$82,2)&gt;5,0,125.83))*-1</f>
        <v>0</v>
      </c>
      <c r="BO103" s="39">
        <f>(IF(WEEKDAY(BO$82,2)&gt;5,0,129.03))*-1</f>
        <v>0</v>
      </c>
      <c r="BP103" s="39">
        <f>(IF(WEEKDAY(BP$82,2)&gt;5,0,130.62))*-1</f>
        <v>-130.62</v>
      </c>
      <c r="BQ103" s="39">
        <f>(IF(WEEKDAY(BQ$82,2)&gt;5,0,126.68))*-1</f>
        <v>-126.68</v>
      </c>
      <c r="BR103" s="39">
        <f>(IF(WEEKDAY(BR$82,2)&gt;5,0,112.29))*-1</f>
        <v>-112.29</v>
      </c>
      <c r="BS103" s="39">
        <f>(IF(WEEKDAY(BS$82,2)&gt;5,0,116.31))*-1</f>
        <v>-116.31</v>
      </c>
      <c r="BT103" s="39">
        <f>(IF(WEEKDAY(BT$82,2)&gt;5,0,144.66))*-1</f>
        <v>-144.66</v>
      </c>
      <c r="BU103" s="39">
        <f>(IF(WEEKDAY(BU$82,2)&gt;5,0,145.74))*-1</f>
        <v>0</v>
      </c>
      <c r="BV103" s="39">
        <f>(IF(WEEKDAY(BV$82,2)&gt;5,0,116))*-1</f>
        <v>0</v>
      </c>
      <c r="BW103" s="39">
        <f>(IF(WEEKDAY(BW$82,2)&gt;5,0,149.28))*-1</f>
        <v>-149.28</v>
      </c>
      <c r="BX103" s="39">
        <f>(IF(WEEKDAY(BX$82,2)&gt;5,0,134.88))*-1</f>
        <v>-134.88</v>
      </c>
      <c r="BY103" s="39">
        <f>(IF(WEEKDAY(BY$82,2)&gt;5,0,125.01))*-1</f>
        <v>-125.01</v>
      </c>
      <c r="BZ103" s="39">
        <f>(IF(WEEKDAY(BZ$82,2)&gt;5,0,139.66))*-1</f>
        <v>-139.66</v>
      </c>
      <c r="CA103" s="39">
        <f>(IF(WEEKDAY(CA$82,2)&gt;5,0,148.59))*-1</f>
        <v>-148.59</v>
      </c>
      <c r="CB103" s="39">
        <f>(IF(WEEKDAY(CB$82,2)&gt;5,0,145.03))*-1</f>
        <v>0</v>
      </c>
      <c r="CC103" s="39">
        <f>(IF(WEEKDAY(CC$82,2)&gt;5,0,139.12))*-1</f>
        <v>0</v>
      </c>
      <c r="CD103" s="39">
        <f>(IF(WEEKDAY(CD$82,2)&gt;5,0,117.33))*-1</f>
        <v>-117.33</v>
      </c>
      <c r="CE103" s="39">
        <f>(IF(WEEKDAY(CE$82,2)&gt;5,0,140.97))*-1</f>
        <v>-140.97</v>
      </c>
      <c r="CF103" s="39">
        <f>(IF(WEEKDAY(CF$82,2)&gt;5,0,137.38))*-1</f>
        <v>-137.38</v>
      </c>
      <c r="CG103" s="39">
        <f>(IF(WEEKDAY(CG$82,2)&gt;5,0,144.59))*-1</f>
        <v>-144.59</v>
      </c>
      <c r="CH103" s="39">
        <f>(IF(WEEKDAY(CH$82,2)&gt;5,0,126.01))*-1</f>
        <v>-126.01</v>
      </c>
      <c r="CI103" s="39">
        <f>(IF(WEEKDAY(CI$82,2)&gt;5,0,126.86))*-1</f>
        <v>0</v>
      </c>
      <c r="CJ103" s="39">
        <f>(IF(WEEKDAY(CJ$82,2)&gt;5,0,132.89))*-1</f>
        <v>0</v>
      </c>
      <c r="CK103" s="39">
        <f>(IF(WEEKDAY(CK$82,2)&gt;5,0,147.67))*-1</f>
        <v>-147.66999999999999</v>
      </c>
      <c r="CL103" s="39">
        <f>(IF(WEEKDAY(CL$82,2)&gt;5,0,131.88))*-1</f>
        <v>-131.88</v>
      </c>
      <c r="CM103" s="39">
        <f>(IF(WEEKDAY(CM$82,2)&gt;5,0,124.92))*-1</f>
        <v>-124.92</v>
      </c>
      <c r="CN103" s="39">
        <f>(IF(WEEKDAY(CN$82,2)&gt;5,0,122.39))*-1</f>
        <v>-122.39</v>
      </c>
      <c r="CO103" s="39">
        <f>(IF(WEEKDAY(CO$82,2)&gt;5,0,117.52))*-1</f>
        <v>-117.52</v>
      </c>
      <c r="CP103" s="39">
        <f>(IF(WEEKDAY(CP$82,2)&gt;5,0,130.81))*-1</f>
        <v>0</v>
      </c>
      <c r="CQ103" s="39">
        <f>(IF(WEEKDAY(CQ$82,2)&gt;5,0,138.66))*-1</f>
        <v>0</v>
      </c>
      <c r="CR103" s="39">
        <f>(IF(WEEKDAY(CR$82,2)&gt;5,0,138.59))*-1</f>
        <v>-138.59</v>
      </c>
      <c r="CS103" s="39">
        <f>(IF(WEEKDAY(CS$82,2)&gt;5,0,117.03))*-1</f>
        <v>-117.03</v>
      </c>
      <c r="CT103" s="39">
        <f>(IF(WEEKDAY(CT$82,2)&gt;5,0,127.06))*-1</f>
        <v>-127.06</v>
      </c>
      <c r="CU103" s="39">
        <f>(IF(WEEKDAY(CU$82,2)&gt;5,0,119.29))*-1</f>
        <v>-119.29</v>
      </c>
      <c r="CV103" s="39">
        <f>(IF(WEEKDAY(CV$82,2)&gt;5,0,124.93))*-1</f>
        <v>-124.93</v>
      </c>
      <c r="CW103" s="39">
        <f>(IF(WEEKDAY(CW$82,2)&gt;5,0,148.53))*-1</f>
        <v>0</v>
      </c>
      <c r="CX103" s="39">
        <f>(IF(WEEKDAY(CX$82,2)&gt;5,0,132.41))*-1</f>
        <v>0</v>
      </c>
      <c r="CY103" s="39">
        <f>(IF(WEEKDAY(CY$82,2)&gt;5,0,116.61))*-1</f>
        <v>-116.61</v>
      </c>
      <c r="CZ103" s="39">
        <f>(IF(WEEKDAY(CZ$82,2)&gt;5,0,111.63))*-1</f>
        <v>-111.63</v>
      </c>
      <c r="DA103" s="39">
        <f>(IF(WEEKDAY(DA$82,2)&gt;5,0,142.26))*-1</f>
        <v>-142.26</v>
      </c>
      <c r="DB103" s="39">
        <f>(IF(WEEKDAY(DB$82,2)&gt;5,0,126.74))*-1</f>
        <v>-126.74</v>
      </c>
      <c r="DC103" s="39">
        <f>(IF(WEEKDAY(DC$82,2)&gt;5,0,131.67))*-1</f>
        <v>-131.66999999999999</v>
      </c>
      <c r="DD103" s="39">
        <f>(IF(WEEKDAY(DD$82,2)&gt;5,0,111.47))*-1</f>
        <v>0</v>
      </c>
      <c r="DE103" s="39">
        <f>(IF(WEEKDAY(DE$82,2)&gt;5,0,117.39))*-1</f>
        <v>0</v>
      </c>
      <c r="DF103" s="39">
        <f>(IF(WEEKDAY(DF$82,2)&gt;5,0,111.72))*-1</f>
        <v>-111.72</v>
      </c>
      <c r="DG103" s="39">
        <f>(IF(WEEKDAY(DG$82,2)&gt;5,0,114.02))*-1</f>
        <v>-114.02</v>
      </c>
      <c r="DH103" s="39">
        <f>(IF(WEEKDAY(DH$82,2)&gt;5,0,127.23))*-1</f>
        <v>-127.23</v>
      </c>
      <c r="DI103" s="39">
        <f>(IF(WEEKDAY(DI$82,2)&gt;5,0,119.32))*-1</f>
        <v>-119.32</v>
      </c>
      <c r="DJ103" s="39">
        <f>(IF(WEEKDAY(DJ$82,2)&gt;5,0,147.93))*-1</f>
        <v>-147.93</v>
      </c>
      <c r="DK103" s="39">
        <f>(IF(WEEKDAY(DK$82,2)&gt;5,0,128.02))*-1</f>
        <v>0</v>
      </c>
      <c r="DL103" s="39">
        <f>(IF(WEEKDAY(DL$82,2)&gt;5,0,110.52))*-1</f>
        <v>0</v>
      </c>
      <c r="DM103" s="39">
        <f>(IF(WEEKDAY(DM$82,2)&gt;5,0,144.85))*-1</f>
        <v>-144.85</v>
      </c>
      <c r="DN103" s="39">
        <f>(IF(WEEKDAY(DN$82,2)&gt;5,0,123.36))*-1</f>
        <v>-123.36</v>
      </c>
      <c r="DO103" s="39">
        <f>(IF(WEEKDAY(DO$82,2)&gt;5,0,111.88))*-1</f>
        <v>-111.88</v>
      </c>
      <c r="DP103" s="39">
        <f>(IF(WEEKDAY(DP$82,2)&gt;5,0,122.36))*-1</f>
        <v>-122.36</v>
      </c>
      <c r="DQ103" s="39">
        <f>(IF(WEEKDAY(DQ$82,2)&gt;5,0,124.02))*-1</f>
        <v>-124.02</v>
      </c>
      <c r="DR103" s="39">
        <f>(IF(WEEKDAY(DR$82,2)&gt;5,0,135.89))*-1</f>
        <v>0</v>
      </c>
      <c r="DS103" s="39">
        <f>(IF(WEEKDAY(DS$82,2)&gt;5,0,125.43))*-1</f>
        <v>0</v>
      </c>
      <c r="DT103" s="39">
        <f>(IF(WEEKDAY(DT$82,2)&gt;5,0,132.51))*-1</f>
        <v>-132.51</v>
      </c>
      <c r="DU103" s="39">
        <f>(IF(WEEKDAY(DU$82,2)&gt;5,0,125.9))*-1</f>
        <v>-125.9</v>
      </c>
      <c r="DV103" s="39">
        <f>(IF(WEEKDAY(DV$82,2)&gt;5,0,140.42))*-1</f>
        <v>-140.41999999999999</v>
      </c>
      <c r="DW103" s="39">
        <f>(IF(WEEKDAY(DW$82,2)&gt;5,0,116.9))*-1</f>
        <v>-116.9</v>
      </c>
      <c r="DX103" s="39">
        <f>(IF(WEEKDAY(DX$82,2)&gt;5,0,145.09))*-1</f>
        <v>-145.09</v>
      </c>
      <c r="DY103" s="39">
        <f>(IF(WEEKDAY(DY$82,2)&gt;5,0,113.14))*-1</f>
        <v>0</v>
      </c>
      <c r="DZ103" s="39">
        <f>(IF(WEEKDAY(DZ$82,2)&gt;5,0,123.74))*-1</f>
        <v>0</v>
      </c>
      <c r="EA103" s="39">
        <f>(IF(WEEKDAY(EA$82,2)&gt;5,0,139.9))*-1</f>
        <v>-139.9</v>
      </c>
      <c r="EB103" s="39">
        <f>(IF(WEEKDAY(EB$82,2)&gt;5,0,139.05))*-1</f>
        <v>-139.05000000000001</v>
      </c>
      <c r="EC103" s="39">
        <f>(IF(WEEKDAY(EC$82,2)&gt;5,0,144.56))*-1</f>
        <v>-144.56</v>
      </c>
      <c r="ED103" s="39">
        <f>(IF(WEEKDAY(ED$82,2)&gt;5,0,127.35))*-1</f>
        <v>-127.35</v>
      </c>
      <c r="EE103" s="39">
        <f>(IF(WEEKDAY(EE$82,2)&gt;5,0,127.66))*-1</f>
        <v>-127.66</v>
      </c>
      <c r="EF103" s="39">
        <f>(IF(WEEKDAY(EF$82,2)&gt;5,0,148.52))*-1</f>
        <v>0</v>
      </c>
      <c r="EG103" s="39">
        <f>(IF(WEEKDAY(EG$82,2)&gt;5,0,144.85))*-1</f>
        <v>0</v>
      </c>
      <c r="EH103" s="39">
        <f>(IF(WEEKDAY(EH$82,2)&gt;5,0,131.87))*-1</f>
        <v>-131.87</v>
      </c>
      <c r="EI103" s="39">
        <f>(IF(WEEKDAY(EI$82,2)&gt;5,0,137.41))*-1</f>
        <v>-137.41</v>
      </c>
      <c r="EJ103" s="39">
        <f>(IF(WEEKDAY(EJ$82,2)&gt;5,0,112.49))*-1</f>
        <v>-112.49</v>
      </c>
      <c r="EK103" s="39">
        <f>(IF(WEEKDAY(EK$82,2)&gt;5,0,138.25))*-1</f>
        <v>-138.25</v>
      </c>
      <c r="EL103" s="39">
        <f>(IF(WEEKDAY(EL$82,2)&gt;5,0,141.05))*-1</f>
        <v>-141.05000000000001</v>
      </c>
      <c r="EM103" s="39">
        <f>(IF(WEEKDAY(EM$82,2)&gt;5,0,130.88))*-1</f>
        <v>0</v>
      </c>
      <c r="EN103" s="39">
        <f>(IF(WEEKDAY(EN$82,2)&gt;5,0,140.8))*-1</f>
        <v>0</v>
      </c>
      <c r="EO103" s="39">
        <f>(IF(WEEKDAY(EO$82,2)&gt;5,0,114.42))*-1</f>
        <v>-114.42</v>
      </c>
      <c r="EP103" s="39">
        <f>(IF(WEEKDAY(EP$82,2)&gt;5,0,112.83))*-1</f>
        <v>-112.83</v>
      </c>
      <c r="EQ103" s="39">
        <f>(IF(WEEKDAY(EQ$82,2)&gt;5,0,110.91))*-1</f>
        <v>-110.91</v>
      </c>
      <c r="ER103" s="39">
        <f>(IF(WEEKDAY(ER$82,2)&gt;5,0,143.28))*-1</f>
        <v>-143.28</v>
      </c>
      <c r="ES103" s="39">
        <f>(IF(WEEKDAY(ES$82,2)&gt;5,0,110.62))*-1</f>
        <v>-110.62</v>
      </c>
      <c r="ET103" s="39">
        <f>(IF(WEEKDAY(ET$82,2)&gt;5,0,144.16))*-1</f>
        <v>0</v>
      </c>
      <c r="EU103" s="39">
        <f>(IF(WEEKDAY(EU$82,2)&gt;5,0,145.67))*-1</f>
        <v>0</v>
      </c>
      <c r="EV103" s="39">
        <f>(IF(WEEKDAY(EV$82,2)&gt;5,0,115.69))*-1</f>
        <v>-115.69</v>
      </c>
      <c r="EW103" s="39">
        <f>(IF(WEEKDAY(EW$82,2)&gt;5,0,135.39))*-1</f>
        <v>-135.38999999999999</v>
      </c>
      <c r="EX103" s="39">
        <f>(IF(WEEKDAY(EX$82,2)&gt;5,0,113.16))*-1</f>
        <v>-113.16</v>
      </c>
      <c r="EY103" s="39">
        <f>(IF(WEEKDAY(EY$82,2)&gt;5,0,143.22))*-1</f>
        <v>-143.22</v>
      </c>
      <c r="EZ103" s="39">
        <f>(IF(WEEKDAY(EZ$82,2)&gt;5,0,148.45))*-1</f>
        <v>-148.44999999999999</v>
      </c>
      <c r="FA103" s="39">
        <f>(IF(WEEKDAY(FA$82,2)&gt;5,0,146.82))*-1</f>
        <v>0</v>
      </c>
      <c r="FB103" s="39">
        <f>(IF(WEEKDAY(FB$82,2)&gt;5,0,127.96))*-1</f>
        <v>0</v>
      </c>
      <c r="FC103" s="39">
        <f>(IF(WEEKDAY(FC$82,2)&gt;5,0,120.6))*-1</f>
        <v>-120.6</v>
      </c>
      <c r="FD103" s="39">
        <f>(IF(WEEKDAY(FD$82,2)&gt;5,0,132.51))*-1</f>
        <v>-132.51</v>
      </c>
      <c r="FE103" s="39">
        <f>(IF(WEEKDAY(FE$82,2)&gt;5,0,122.91))*-1</f>
        <v>-122.91</v>
      </c>
      <c r="FF103" s="39">
        <f>(IF(WEEKDAY(FF$82,2)&gt;5,0,145.22))*-1</f>
        <v>-145.22</v>
      </c>
      <c r="FG103" s="39">
        <f>(IF(WEEKDAY(FG$82,2)&gt;5,0,138.46))*-1</f>
        <v>-138.46</v>
      </c>
      <c r="FH103" s="39">
        <f>(IF(WEEKDAY(FH$82,2)&gt;5,0,131.03))*-1</f>
        <v>0</v>
      </c>
      <c r="FI103" s="39">
        <f>(IF(WEEKDAY(FI$82,2)&gt;5,0,124.33))*-1</f>
        <v>0</v>
      </c>
      <c r="FJ103" s="39">
        <f>(IF(WEEKDAY(FJ$82,2)&gt;5,0,114.83))*-1</f>
        <v>-114.83</v>
      </c>
      <c r="FK103" s="39">
        <f>(IF(WEEKDAY(FK$82,2)&gt;5,0,128.3))*-1</f>
        <v>-128.30000000000001</v>
      </c>
      <c r="FL103" s="39">
        <f>(IF(WEEKDAY(FL$82,2)&gt;5,0,126.91))*-1</f>
        <v>-126.91</v>
      </c>
      <c r="FM103" s="39">
        <f>(IF(WEEKDAY(FM$82,2)&gt;5,0,136.1))*-1</f>
        <v>-136.1</v>
      </c>
      <c r="FN103" s="39">
        <f>(IF(WEEKDAY(FN$82,2)&gt;5,0,126.66))*-1</f>
        <v>-126.66</v>
      </c>
      <c r="FO103" s="39">
        <f>(IF(WEEKDAY(FO$82,2)&gt;5,0,128.1))*-1</f>
        <v>0</v>
      </c>
      <c r="FP103" s="39">
        <f>(IF(WEEKDAY(FP$82,2)&gt;5,0,117.88))*-1</f>
        <v>0</v>
      </c>
      <c r="FQ103" s="39">
        <f>(IF(WEEKDAY(FQ$82,2)&gt;5,0,117.02))*-1</f>
        <v>-117.02</v>
      </c>
      <c r="FR103" s="39">
        <f>(IF(WEEKDAY(FR$82,2)&gt;5,0,146.17))*-1</f>
        <v>-146.16999999999999</v>
      </c>
      <c r="FS103" s="39">
        <f>(IF(WEEKDAY(FS$82,2)&gt;5,0,111.94))*-1</f>
        <v>-111.94</v>
      </c>
      <c r="FT103" s="39">
        <f>(IF(WEEKDAY(FT$82,2)&gt;5,0,127.11))*-1</f>
        <v>-127.11</v>
      </c>
      <c r="FU103" s="39">
        <f>(IF(WEEKDAY(FU$82,2)&gt;5,0,128.73))*-1</f>
        <v>-128.72999999999999</v>
      </c>
      <c r="FV103" s="39">
        <f>(IF(WEEKDAY(FV$82,2)&gt;5,0,138.74))*-1</f>
        <v>0</v>
      </c>
      <c r="FW103" s="39">
        <f>(IF(WEEKDAY(FW$82,2)&gt;5,0,110.95))*-1</f>
        <v>0</v>
      </c>
      <c r="FX103" s="39">
        <f>(IF(WEEKDAY(FX$82,2)&gt;5,0,122.49))*-1</f>
        <v>-122.49</v>
      </c>
      <c r="FY103" s="39">
        <f>(IF(WEEKDAY(FY$82,2)&gt;5,0,142.68))*-1</f>
        <v>-142.68</v>
      </c>
      <c r="FZ103" s="39">
        <f>(IF(WEEKDAY(FZ$82,2)&gt;5,0,132.76))*-1</f>
        <v>-132.76</v>
      </c>
      <c r="GA103" s="39">
        <f>(IF(WEEKDAY(GA$82,2)&gt;5,0,137.76))*-1</f>
        <v>-137.76</v>
      </c>
      <c r="GB103" s="39">
        <f>(IF(WEEKDAY(GB$82,2)&gt;5,0,148.52))*-1</f>
        <v>-148.52000000000001</v>
      </c>
      <c r="GC103" s="39">
        <f>(IF(WEEKDAY(GC$82,2)&gt;5,0,138.59))*-1</f>
        <v>0</v>
      </c>
      <c r="GD103" s="39">
        <f>(IF(WEEKDAY(GD$82,2)&gt;5,0,110.72))*-1</f>
        <v>0</v>
      </c>
      <c r="GE103" s="39">
        <f>(IF(WEEKDAY(GE$82,2)&gt;5,0,138.83))*-1</f>
        <v>-138.83000000000001</v>
      </c>
      <c r="GF103" s="39">
        <f>(IF(WEEKDAY(GF$82,2)&gt;5,0,116.34))*-1</f>
        <v>-116.34</v>
      </c>
      <c r="GG103" s="39">
        <f>(IF(WEEKDAY(GG$82,2)&gt;5,0,121.36))*-1</f>
        <v>-121.36</v>
      </c>
      <c r="GH103" s="39">
        <f>(IF(WEEKDAY(GH$82,2)&gt;5,0,112.63))*-1</f>
        <v>-112.63</v>
      </c>
      <c r="GI103" s="39">
        <f>(IF(WEEKDAY(GI$82,2)&gt;5,0,121.84))*-1</f>
        <v>-121.84</v>
      </c>
      <c r="GJ103" s="39">
        <f>(IF(WEEKDAY(GJ$82,2)&gt;5,0,140.7))*-1</f>
        <v>0</v>
      </c>
      <c r="GK103" s="39">
        <f>(IF(WEEKDAY(GK$82,2)&gt;5,0,133.59))*-1</f>
        <v>0</v>
      </c>
      <c r="GL103" s="39">
        <f>(IF(WEEKDAY(GL$82,2)&gt;5,0,135.62))*-1</f>
        <v>-135.62</v>
      </c>
      <c r="GM103" s="39">
        <f>(IF(WEEKDAY(GM$82,2)&gt;5,0,141.77))*-1</f>
        <v>-141.77000000000001</v>
      </c>
      <c r="GN103" s="39">
        <f>(IF(WEEKDAY(GN$82,2)&gt;5,0,114.97))*-1</f>
        <v>-114.97</v>
      </c>
      <c r="GO103" s="39">
        <f>(IF(WEEKDAY(GO$82,2)&gt;5,0,145.47))*-1</f>
        <v>-145.47</v>
      </c>
      <c r="GP103" s="39">
        <f>(IF(WEEKDAY(GP$82,2)&gt;5,0,111.4))*-1</f>
        <v>-111.4</v>
      </c>
      <c r="GQ103" s="39">
        <f>(IF(WEEKDAY(GQ$82,2)&gt;5,0,114.31))*-1</f>
        <v>0</v>
      </c>
      <c r="GR103" s="39">
        <f>(IF(WEEKDAY(GR$82,2)&gt;5,0,119.64))*-1</f>
        <v>0</v>
      </c>
      <c r="GS103" s="39">
        <f>(IF(WEEKDAY(GS$82,2)&gt;5,0,142.42))*-1</f>
        <v>-142.41999999999999</v>
      </c>
      <c r="GT103" s="39">
        <f>(IF(WEEKDAY(GT$82,2)&gt;5,0,132.77))*-1</f>
        <v>-132.77000000000001</v>
      </c>
      <c r="GU103" s="39">
        <f>(IF(WEEKDAY(GU$82,2)&gt;5,0,144.01))*-1</f>
        <v>-144.01</v>
      </c>
      <c r="GV103" s="39">
        <f>(IF(WEEKDAY(GV$82,2)&gt;5,0,117.75))*-1</f>
        <v>-117.75</v>
      </c>
      <c r="GW103" s="39">
        <f>(IF(WEEKDAY(GW$82,2)&gt;5,0,117.66))*-1</f>
        <v>-117.66</v>
      </c>
      <c r="GX103" s="39">
        <f>(IF(WEEKDAY(GX$82,2)&gt;5,0,143.55))*-1</f>
        <v>0</v>
      </c>
      <c r="GY103" s="39">
        <f>(IF(WEEKDAY(GY$82,2)&gt;5,0,141.39))*-1</f>
        <v>0</v>
      </c>
      <c r="GZ103" s="39">
        <f>(IF(WEEKDAY(GZ$82,2)&gt;5,0,130.23))*-1</f>
        <v>-130.22999999999999</v>
      </c>
      <c r="HA103" s="39">
        <f>(IF(WEEKDAY(HA$82,2)&gt;5,0,118.6))*-1</f>
        <v>-118.6</v>
      </c>
      <c r="HB103" s="39">
        <f>(IF(WEEKDAY(HB$82,2)&gt;5,0,141.2))*-1</f>
        <v>-141.19999999999999</v>
      </c>
      <c r="HC103" s="39">
        <f>(IF(WEEKDAY(HC$82,2)&gt;5,0,136.97))*-1</f>
        <v>-136.97</v>
      </c>
      <c r="HD103" s="39">
        <f>(IF(WEEKDAY(HD$82,2)&gt;5,0,115.85))*-1</f>
        <v>-115.85</v>
      </c>
      <c r="HE103" s="39">
        <f>(IF(WEEKDAY(HE$82,2)&gt;5,0,138.34))*-1</f>
        <v>0</v>
      </c>
      <c r="HF103" s="39">
        <f>(IF(WEEKDAY(HF$82,2)&gt;5,0,125.27))*-1</f>
        <v>0</v>
      </c>
      <c r="HG103" s="39">
        <f>(IF(WEEKDAY(HG$82,2)&gt;5,0,111.06))*-1</f>
        <v>-111.06</v>
      </c>
      <c r="HH103" s="39">
        <f>(IF(WEEKDAY(HH$82,2)&gt;5,0,135.55))*-1</f>
        <v>-135.55000000000001</v>
      </c>
      <c r="HI103" s="39">
        <f>(IF(WEEKDAY(HI$82,2)&gt;5,0,111.72))*-1</f>
        <v>-111.72</v>
      </c>
      <c r="HJ103" s="39">
        <f>(IF(WEEKDAY(HJ$82,2)&gt;5,0,140.68))*-1</f>
        <v>-140.68</v>
      </c>
      <c r="HK103" s="39">
        <f>(IF(WEEKDAY(HK$82,2)&gt;5,0,115.12))*-1</f>
        <v>-115.12</v>
      </c>
      <c r="HL103" s="39">
        <f>(IF(WEEKDAY(HL$82,2)&gt;5,0,145.71))*-1</f>
        <v>0</v>
      </c>
      <c r="HM103" s="39">
        <f>(IF(WEEKDAY(HM$82,2)&gt;5,0,122.17))*-1</f>
        <v>0</v>
      </c>
      <c r="HN103" s="39">
        <f>(IF(WEEKDAY(HN$82,2)&gt;5,0,132.82))*-1</f>
        <v>-132.82</v>
      </c>
      <c r="HO103" s="39">
        <f>(IF(WEEKDAY(HO$82,2)&gt;5,0,139.49))*-1</f>
        <v>-139.49</v>
      </c>
      <c r="HP103" s="39">
        <f>(IF(WEEKDAY(HP$82,2)&gt;5,0,127.44))*-1</f>
        <v>-127.44</v>
      </c>
      <c r="HQ103" s="39">
        <f>(IF(WEEKDAY(HQ$82,2)&gt;5,0,112.12))*-1</f>
        <v>-112.12</v>
      </c>
      <c r="HR103" s="39">
        <f>(IF(WEEKDAY(HR$82,2)&gt;5,0,114.14))*-1</f>
        <v>-114.14</v>
      </c>
      <c r="HS103" s="39">
        <f>(IF(WEEKDAY(HS$82,2)&gt;5,0,147.42))*-1</f>
        <v>0</v>
      </c>
      <c r="HT103" s="39">
        <f>(IF(WEEKDAY(HT$82,2)&gt;5,0,149.34))*-1</f>
        <v>0</v>
      </c>
      <c r="HU103" s="39">
        <f>(IF(WEEKDAY(HU$82,2)&gt;5,0,125.68))*-1</f>
        <v>-125.68</v>
      </c>
      <c r="HV103" s="39">
        <f>(IF(WEEKDAY(HV$82,2)&gt;5,0,130.4))*-1</f>
        <v>-130.4</v>
      </c>
      <c r="HW103" s="39">
        <f>(IF(WEEKDAY(HW$82,2)&gt;5,0,141.61))*-1</f>
        <v>-141.61000000000001</v>
      </c>
      <c r="HX103" s="39">
        <f>(IF(WEEKDAY(HX$82,2)&gt;5,0,111.7))*-1</f>
        <v>-111.7</v>
      </c>
      <c r="HY103" s="39">
        <f>(IF(WEEKDAY(HY$82,2)&gt;5,0,146.02))*-1</f>
        <v>-146.02000000000001</v>
      </c>
      <c r="HZ103" s="39">
        <f>(IF(WEEKDAY(HZ$82,2)&gt;5,0,137.38))*-1</f>
        <v>0</v>
      </c>
      <c r="IA103" s="39">
        <f>(IF(WEEKDAY(IA$82,2)&gt;5,0,121.6))*-1</f>
        <v>0</v>
      </c>
      <c r="IB103" s="39">
        <f>(IF(WEEKDAY(IB$82,2)&gt;5,0,123.27))*-1</f>
        <v>-123.27</v>
      </c>
      <c r="IC103" s="39">
        <f>(IF(WEEKDAY(IC$82,2)&gt;5,0,114.84))*-1</f>
        <v>-114.84</v>
      </c>
      <c r="ID103" s="39">
        <f>(IF(WEEKDAY(ID$82,2)&gt;5,0,131.19))*-1</f>
        <v>-131.19</v>
      </c>
      <c r="IE103" s="39">
        <f>(IF(WEEKDAY(IE$82,2)&gt;5,0,122.51))*-1</f>
        <v>-122.51</v>
      </c>
      <c r="IF103" s="39">
        <f>(IF(WEEKDAY(IF$82,2)&gt;5,0,134.32))*-1</f>
        <v>-134.32</v>
      </c>
      <c r="IG103" s="39">
        <f>(IF(WEEKDAY(IG$82,2)&gt;5,0,147.85))*-1</f>
        <v>0</v>
      </c>
      <c r="IH103" s="39">
        <f>(IF(WEEKDAY(IH$82,2)&gt;5,0,136.82))*-1</f>
        <v>0</v>
      </c>
      <c r="II103" s="39">
        <f>(IF(WEEKDAY(II$82,2)&gt;5,0,137.94))*-1</f>
        <v>-137.94</v>
      </c>
      <c r="IJ103" s="39">
        <f>(IF(WEEKDAY(IJ$82,2)&gt;5,0,144.4))*-1</f>
        <v>-144.4</v>
      </c>
      <c r="IK103" s="39">
        <f>(IF(WEEKDAY(IK$82,2)&gt;5,0,123.62))*-1</f>
        <v>-123.62</v>
      </c>
      <c r="IL103" s="39">
        <f>(IF(WEEKDAY(IL$82,2)&gt;5,0,134.63))*-1</f>
        <v>-134.63</v>
      </c>
    </row>
    <row r="104" spans="1:246" x14ac:dyDescent="0.3">
      <c r="A104" t="s">
        <v>18</v>
      </c>
      <c r="B104" s="39">
        <f>(IF(WEEKDAY(B$82,2)&gt;5,0,41.64))*-1</f>
        <v>-41.64</v>
      </c>
      <c r="C104" s="39">
        <f>(IF(WEEKDAY(C$82,2)&gt;5,0,40.64))*-1</f>
        <v>0</v>
      </c>
      <c r="D104" s="39">
        <f>(IF(WEEKDAY(D$82,2)&gt;5,0,45.5))*-1</f>
        <v>0</v>
      </c>
      <c r="E104" s="39">
        <f>(IF(WEEKDAY(E$82,2)&gt;5,0,44.96))*-1</f>
        <v>-44.96</v>
      </c>
      <c r="F104" s="39">
        <f>(IF(WEEKDAY(F$82,2)&gt;5,0,36.05))*-1</f>
        <v>-36.049999999999997</v>
      </c>
      <c r="G104" s="39">
        <f>(IF(WEEKDAY(G$82,2)&gt;5,0,34.44))*-1</f>
        <v>-34.44</v>
      </c>
      <c r="H104" s="39">
        <f>(IF(WEEKDAY(H$82,2)&gt;5,0,37.98))*-1</f>
        <v>-37.979999999999997</v>
      </c>
      <c r="I104" s="39">
        <f>(IF(WEEKDAY(I$82,2)&gt;5,0,34.77))*-1</f>
        <v>-34.770000000000003</v>
      </c>
      <c r="J104" s="39">
        <f>(IF(WEEKDAY(J$82,2)&gt;5,0,43.21))*-1</f>
        <v>0</v>
      </c>
      <c r="K104" s="39">
        <f>(IF(WEEKDAY(K$82,2)&gt;5,0,44.85))*-1</f>
        <v>0</v>
      </c>
      <c r="L104" s="39">
        <f>(IF(WEEKDAY(L$82,2)&gt;5,0,35.04))*-1</f>
        <v>-35.04</v>
      </c>
      <c r="M104" s="39">
        <f>(IF(WEEKDAY(M$82,2)&gt;5,0,42.81))*-1</f>
        <v>-42.81</v>
      </c>
      <c r="N104" s="39">
        <f>(IF(WEEKDAY(N$82,2)&gt;5,0,43))*-1</f>
        <v>-43</v>
      </c>
      <c r="O104" s="39">
        <f>(IF(WEEKDAY(O$82,2)&gt;5,0,35.79))*-1</f>
        <v>-35.79</v>
      </c>
      <c r="P104" s="39">
        <f>(IF(WEEKDAY(P$82,2)&gt;5,0,43.23))*-1</f>
        <v>-43.23</v>
      </c>
      <c r="Q104" s="39">
        <f>(IF(WEEKDAY(Q$82,2)&gt;5,0,38.22))*-1</f>
        <v>0</v>
      </c>
      <c r="R104" s="39">
        <f>(IF(WEEKDAY(R$82,2)&gt;5,0,38.15))*-1</f>
        <v>0</v>
      </c>
      <c r="S104" s="39">
        <f>(IF(WEEKDAY(S$82,2)&gt;5,0,45.44))*-1</f>
        <v>-45.44</v>
      </c>
      <c r="T104" s="39">
        <f>(IF(WEEKDAY(T$82,2)&gt;5,0,36.72))*-1</f>
        <v>-36.72</v>
      </c>
      <c r="U104" s="39">
        <f>(IF(WEEKDAY(U$82,2)&gt;5,0,41.37))*-1</f>
        <v>-41.37</v>
      </c>
      <c r="V104" s="39">
        <f>(IF(WEEKDAY(V$82,2)&gt;5,0,38.51))*-1</f>
        <v>-38.51</v>
      </c>
      <c r="W104" s="39">
        <f>(IF(WEEKDAY(W$82,2)&gt;5,0,44.18))*-1</f>
        <v>-44.18</v>
      </c>
      <c r="X104" s="39">
        <f>(IF(WEEKDAY(X$82,2)&gt;5,0,43.49))*-1</f>
        <v>0</v>
      </c>
      <c r="Y104" s="39">
        <f>(IF(WEEKDAY(Y$82,2)&gt;5,0,37.14))*-1</f>
        <v>0</v>
      </c>
      <c r="Z104" s="39">
        <f>(IF(WEEKDAY(Z$82,2)&gt;5,0,36.33))*-1</f>
        <v>-36.33</v>
      </c>
      <c r="AA104" s="39">
        <f>(IF(WEEKDAY(AA$82,2)&gt;5,0,35.29))*-1</f>
        <v>-35.29</v>
      </c>
      <c r="AB104" s="39">
        <f>(IF(WEEKDAY(AB$82,2)&gt;5,0,34.91))*-1</f>
        <v>-34.909999999999997</v>
      </c>
      <c r="AC104" s="39">
        <f>(IF(WEEKDAY(AC$82,2)&gt;5,0,37.85))*-1</f>
        <v>-37.85</v>
      </c>
      <c r="AD104" s="39">
        <f>(IF(WEEKDAY(AD$82,2)&gt;5,0,35.03))*-1</f>
        <v>-35.03</v>
      </c>
      <c r="AE104" s="39">
        <f>(IF(WEEKDAY(AE$82,2)&gt;5,0,35.07))*-1</f>
        <v>0</v>
      </c>
      <c r="AF104" s="39">
        <f>(IF(WEEKDAY(AF$82,2)&gt;5,0,41.77))*-1</f>
        <v>0</v>
      </c>
      <c r="AG104" s="39">
        <f>(IF(WEEKDAY(AG$82,2)&gt;5,0,36.22))*-1</f>
        <v>-36.22</v>
      </c>
      <c r="AH104" s="39">
        <f>(IF(WEEKDAY(AH$82,2)&gt;5,0,38.01))*-1</f>
        <v>-38.01</v>
      </c>
      <c r="AI104" s="39">
        <f>(IF(WEEKDAY(AI$82,2)&gt;5,0,42.59))*-1</f>
        <v>-42.59</v>
      </c>
      <c r="AJ104" s="39">
        <f>(IF(WEEKDAY(AJ$82,2)&gt;5,0,42.14))*-1</f>
        <v>-42.14</v>
      </c>
      <c r="AK104" s="39">
        <f>(IF(WEEKDAY(AK$82,2)&gt;5,0,38.37))*-1</f>
        <v>-38.369999999999997</v>
      </c>
      <c r="AL104" s="39">
        <f>(IF(WEEKDAY(AL$82,2)&gt;5,0,40.36))*-1</f>
        <v>0</v>
      </c>
      <c r="AM104" s="39">
        <f>(IF(WEEKDAY(AM$82,2)&gt;5,0,35.26))*-1</f>
        <v>0</v>
      </c>
      <c r="AN104" s="39">
        <f>(IF(WEEKDAY(AN$82,2)&gt;5,0,42.36))*-1</f>
        <v>-42.36</v>
      </c>
      <c r="AO104" s="39">
        <f>(IF(WEEKDAY(AO$82,2)&gt;5,0,41.08))*-1</f>
        <v>-41.08</v>
      </c>
      <c r="AP104" s="39">
        <f>(IF(WEEKDAY(AP$82,2)&gt;5,0,38.74))*-1</f>
        <v>-38.74</v>
      </c>
      <c r="AQ104" s="39">
        <f>(IF(WEEKDAY(AQ$82,2)&gt;5,0,35.55))*-1</f>
        <v>-35.549999999999997</v>
      </c>
      <c r="AR104" s="39">
        <f>(IF(WEEKDAY(AR$82,2)&gt;5,0,44.11))*-1</f>
        <v>-44.11</v>
      </c>
      <c r="AS104" s="39">
        <f>(IF(WEEKDAY(AS$82,2)&gt;5,0,37.46))*-1</f>
        <v>0</v>
      </c>
      <c r="AT104" s="39">
        <f>(IF(WEEKDAY(AT$82,2)&gt;5,0,37.28))*-1</f>
        <v>0</v>
      </c>
      <c r="AU104" s="39">
        <f>(IF(WEEKDAY(AU$82,2)&gt;5,0,43.88))*-1</f>
        <v>-43.88</v>
      </c>
      <c r="AV104" s="39">
        <f>(IF(WEEKDAY(AV$82,2)&gt;5,0,39.61))*-1</f>
        <v>-39.61</v>
      </c>
      <c r="AW104" s="39">
        <f>(IF(WEEKDAY(AW$82,2)&gt;5,0,43.85))*-1</f>
        <v>-43.85</v>
      </c>
      <c r="AX104" s="39">
        <f>(IF(WEEKDAY(AX$82,2)&gt;5,0,40.97))*-1</f>
        <v>-40.97</v>
      </c>
      <c r="AY104" s="39">
        <f>(IF(WEEKDAY(AY$82,2)&gt;5,0,43.56))*-1</f>
        <v>-43.56</v>
      </c>
      <c r="AZ104" s="39">
        <f>(IF(WEEKDAY(AZ$82,2)&gt;5,0,44.76))*-1</f>
        <v>0</v>
      </c>
      <c r="BA104" s="39">
        <f>(IF(WEEKDAY(BA$82,2)&gt;5,0,35.65))*-1</f>
        <v>0</v>
      </c>
      <c r="BB104" s="39">
        <f>(IF(WEEKDAY(BB$82,2)&gt;5,0,35.09))*-1</f>
        <v>-35.090000000000003</v>
      </c>
      <c r="BC104" s="39">
        <f>(IF(WEEKDAY(BC$82,2)&gt;5,0,38.67))*-1</f>
        <v>-38.67</v>
      </c>
      <c r="BD104" s="39">
        <f>(IF(WEEKDAY(BD$82,2)&gt;5,0,35.82))*-1</f>
        <v>-35.82</v>
      </c>
      <c r="BE104" s="39">
        <f>(IF(WEEKDAY(BE$82,2)&gt;5,0,44.51))*-1</f>
        <v>-44.51</v>
      </c>
      <c r="BF104" s="39">
        <f>(IF(WEEKDAY(BF$82,2)&gt;5,0,35.16))*-1</f>
        <v>-35.159999999999997</v>
      </c>
      <c r="BG104" s="39">
        <f>(IF(WEEKDAY(BG$82,2)&gt;5,0,44.97))*-1</f>
        <v>0</v>
      </c>
      <c r="BH104" s="39">
        <f>(IF(WEEKDAY(BH$82,2)&gt;5,0,44.33))*-1</f>
        <v>0</v>
      </c>
      <c r="BI104" s="39">
        <f>(IF(WEEKDAY(BI$82,2)&gt;5,0,45.29))*-1</f>
        <v>-45.29</v>
      </c>
      <c r="BJ104" s="39">
        <f>(IF(WEEKDAY(BJ$82,2)&gt;5,0,35.68))*-1</f>
        <v>-35.68</v>
      </c>
      <c r="BK104" s="39">
        <f>(IF(WEEKDAY(BK$82,2)&gt;5,0,36.03))*-1</f>
        <v>-36.03</v>
      </c>
      <c r="BL104" s="39">
        <f>(IF(WEEKDAY(BL$82,2)&gt;5,0,41.95))*-1</f>
        <v>-41.95</v>
      </c>
      <c r="BM104" s="39">
        <f>(IF(WEEKDAY(BM$82,2)&gt;5,0,41.56))*-1</f>
        <v>-41.56</v>
      </c>
      <c r="BN104" s="39">
        <f>(IF(WEEKDAY(BN$82,2)&gt;5,0,37.43))*-1</f>
        <v>0</v>
      </c>
      <c r="BO104" s="39">
        <f>(IF(WEEKDAY(BO$82,2)&gt;5,0,40.34))*-1</f>
        <v>0</v>
      </c>
      <c r="BP104" s="39">
        <f>(IF(WEEKDAY(BP$82,2)&gt;5,0,41.08))*-1</f>
        <v>-41.08</v>
      </c>
      <c r="BQ104" s="39">
        <f>(IF(WEEKDAY(BQ$82,2)&gt;5,0,38.48))*-1</f>
        <v>-38.479999999999997</v>
      </c>
      <c r="BR104" s="39">
        <f>(IF(WEEKDAY(BR$82,2)&gt;5,0,42.41))*-1</f>
        <v>-42.41</v>
      </c>
      <c r="BS104" s="39">
        <f>(IF(WEEKDAY(BS$82,2)&gt;5,0,43.37))*-1</f>
        <v>-43.37</v>
      </c>
      <c r="BT104" s="39">
        <f>(IF(WEEKDAY(BT$82,2)&gt;5,0,41.44))*-1</f>
        <v>-41.44</v>
      </c>
      <c r="BU104" s="39">
        <f>(IF(WEEKDAY(BU$82,2)&gt;5,0,41.07))*-1</f>
        <v>0</v>
      </c>
      <c r="BV104" s="39">
        <f>(IF(WEEKDAY(BV$82,2)&gt;5,0,39.25))*-1</f>
        <v>0</v>
      </c>
      <c r="BW104" s="39">
        <f>(IF(WEEKDAY(BW$82,2)&gt;5,0,34.14))*-1</f>
        <v>-34.14</v>
      </c>
      <c r="BX104" s="39">
        <f>(IF(WEEKDAY(BX$82,2)&gt;5,0,37.8))*-1</f>
        <v>-37.799999999999997</v>
      </c>
      <c r="BY104" s="39">
        <f>(IF(WEEKDAY(BY$82,2)&gt;5,0,38.18))*-1</f>
        <v>-38.18</v>
      </c>
      <c r="BZ104" s="39">
        <f>(IF(WEEKDAY(BZ$82,2)&gt;5,0,34.78))*-1</f>
        <v>-34.78</v>
      </c>
      <c r="CA104" s="39">
        <f>(IF(WEEKDAY(CA$82,2)&gt;5,0,45.14))*-1</f>
        <v>-45.14</v>
      </c>
      <c r="CB104" s="39">
        <f>(IF(WEEKDAY(CB$82,2)&gt;5,0,39.73))*-1</f>
        <v>0</v>
      </c>
      <c r="CC104" s="39">
        <f>(IF(WEEKDAY(CC$82,2)&gt;5,0,34.1))*-1</f>
        <v>0</v>
      </c>
      <c r="CD104" s="39">
        <f>(IF(WEEKDAY(CD$82,2)&gt;5,0,35.46))*-1</f>
        <v>-35.46</v>
      </c>
      <c r="CE104" s="39">
        <f>(IF(WEEKDAY(CE$82,2)&gt;5,0,39.78))*-1</f>
        <v>-39.78</v>
      </c>
      <c r="CF104" s="39">
        <f>(IF(WEEKDAY(CF$82,2)&gt;5,0,39.43))*-1</f>
        <v>-39.43</v>
      </c>
      <c r="CG104" s="39">
        <f>(IF(WEEKDAY(CG$82,2)&gt;5,0,36.58))*-1</f>
        <v>-36.58</v>
      </c>
      <c r="CH104" s="39">
        <f>(IF(WEEKDAY(CH$82,2)&gt;5,0,41.25))*-1</f>
        <v>-41.25</v>
      </c>
      <c r="CI104" s="39">
        <f>(IF(WEEKDAY(CI$82,2)&gt;5,0,35.24))*-1</f>
        <v>0</v>
      </c>
      <c r="CJ104" s="39">
        <f>(IF(WEEKDAY(CJ$82,2)&gt;5,0,35.95))*-1</f>
        <v>0</v>
      </c>
      <c r="CK104" s="39">
        <f>(IF(WEEKDAY(CK$82,2)&gt;5,0,36.4))*-1</f>
        <v>-36.4</v>
      </c>
      <c r="CL104" s="39">
        <f>(IF(WEEKDAY(CL$82,2)&gt;5,0,35.4))*-1</f>
        <v>-35.4</v>
      </c>
      <c r="CM104" s="39">
        <f>(IF(WEEKDAY(CM$82,2)&gt;5,0,38.05))*-1</f>
        <v>-38.049999999999997</v>
      </c>
      <c r="CN104" s="39">
        <f>(IF(WEEKDAY(CN$82,2)&gt;5,0,43.65))*-1</f>
        <v>-43.65</v>
      </c>
      <c r="CO104" s="39">
        <f>(IF(WEEKDAY(CO$82,2)&gt;5,0,40.94))*-1</f>
        <v>-40.94</v>
      </c>
      <c r="CP104" s="39">
        <f>(IF(WEEKDAY(CP$82,2)&gt;5,0,34.05))*-1</f>
        <v>0</v>
      </c>
      <c r="CQ104" s="39">
        <f>(IF(WEEKDAY(CQ$82,2)&gt;5,0,40.01))*-1</f>
        <v>0</v>
      </c>
      <c r="CR104" s="39">
        <f>(IF(WEEKDAY(CR$82,2)&gt;5,0,45.49))*-1</f>
        <v>-45.49</v>
      </c>
      <c r="CS104" s="39">
        <f>(IF(WEEKDAY(CS$82,2)&gt;5,0,35.84))*-1</f>
        <v>-35.840000000000003</v>
      </c>
      <c r="CT104" s="39">
        <f>(IF(WEEKDAY(CT$82,2)&gt;5,0,37.17))*-1</f>
        <v>-37.17</v>
      </c>
      <c r="CU104" s="39">
        <f>(IF(WEEKDAY(CU$82,2)&gt;5,0,38.84))*-1</f>
        <v>-38.840000000000003</v>
      </c>
      <c r="CV104" s="39">
        <f>(IF(WEEKDAY(CV$82,2)&gt;5,0,37.02))*-1</f>
        <v>-37.020000000000003</v>
      </c>
      <c r="CW104" s="39">
        <f>(IF(WEEKDAY(CW$82,2)&gt;5,0,34.88))*-1</f>
        <v>0</v>
      </c>
      <c r="CX104" s="39">
        <f>(IF(WEEKDAY(CX$82,2)&gt;5,0,40.18))*-1</f>
        <v>0</v>
      </c>
      <c r="CY104" s="39">
        <f>(IF(WEEKDAY(CY$82,2)&gt;5,0,38.51))*-1</f>
        <v>-38.51</v>
      </c>
      <c r="CZ104" s="39">
        <f>(IF(WEEKDAY(CZ$82,2)&gt;5,0,43.33))*-1</f>
        <v>-43.33</v>
      </c>
      <c r="DA104" s="39">
        <f>(IF(WEEKDAY(DA$82,2)&gt;5,0,38.68))*-1</f>
        <v>-38.68</v>
      </c>
      <c r="DB104" s="39">
        <f>(IF(WEEKDAY(DB$82,2)&gt;5,0,41.54))*-1</f>
        <v>-41.54</v>
      </c>
      <c r="DC104" s="39">
        <f>(IF(WEEKDAY(DC$82,2)&gt;5,0,36.38))*-1</f>
        <v>-36.380000000000003</v>
      </c>
      <c r="DD104" s="39">
        <f>(IF(WEEKDAY(DD$82,2)&gt;5,0,42.56))*-1</f>
        <v>0</v>
      </c>
      <c r="DE104" s="39">
        <f>(IF(WEEKDAY(DE$82,2)&gt;5,0,43.3))*-1</f>
        <v>0</v>
      </c>
      <c r="DF104" s="39">
        <f>(IF(WEEKDAY(DF$82,2)&gt;5,0,43.18))*-1</f>
        <v>-43.18</v>
      </c>
      <c r="DG104" s="39">
        <f>(IF(WEEKDAY(DG$82,2)&gt;5,0,45.51))*-1</f>
        <v>-45.51</v>
      </c>
      <c r="DH104" s="39">
        <f>(IF(WEEKDAY(DH$82,2)&gt;5,0,42.44))*-1</f>
        <v>-42.44</v>
      </c>
      <c r="DI104" s="39">
        <f>(IF(WEEKDAY(DI$82,2)&gt;5,0,44.74))*-1</f>
        <v>-44.74</v>
      </c>
      <c r="DJ104" s="39">
        <f>(IF(WEEKDAY(DJ$82,2)&gt;5,0,39.17))*-1</f>
        <v>-39.17</v>
      </c>
      <c r="DK104" s="39">
        <f>(IF(WEEKDAY(DK$82,2)&gt;5,0,40.33))*-1</f>
        <v>0</v>
      </c>
      <c r="DL104" s="39">
        <f>(IF(WEEKDAY(DL$82,2)&gt;5,0,41.81))*-1</f>
        <v>0</v>
      </c>
      <c r="DM104" s="39">
        <f>(IF(WEEKDAY(DM$82,2)&gt;5,0,41.18))*-1</f>
        <v>-41.18</v>
      </c>
      <c r="DN104" s="39">
        <f>(IF(WEEKDAY(DN$82,2)&gt;5,0,42.22))*-1</f>
        <v>-42.22</v>
      </c>
      <c r="DO104" s="39">
        <f>(IF(WEEKDAY(DO$82,2)&gt;5,0,40.28))*-1</f>
        <v>-40.28</v>
      </c>
      <c r="DP104" s="39">
        <f>(IF(WEEKDAY(DP$82,2)&gt;5,0,34.66))*-1</f>
        <v>-34.659999999999997</v>
      </c>
      <c r="DQ104" s="39">
        <f>(IF(WEEKDAY(DQ$82,2)&gt;5,0,34.12))*-1</f>
        <v>-34.119999999999997</v>
      </c>
      <c r="DR104" s="39">
        <f>(IF(WEEKDAY(DR$82,2)&gt;5,0,35.24))*-1</f>
        <v>0</v>
      </c>
      <c r="DS104" s="39">
        <f>(IF(WEEKDAY(DS$82,2)&gt;5,0,43.85))*-1</f>
        <v>0</v>
      </c>
      <c r="DT104" s="39">
        <f>(IF(WEEKDAY(DT$82,2)&gt;5,0,45.03))*-1</f>
        <v>-45.03</v>
      </c>
      <c r="DU104" s="39">
        <f>(IF(WEEKDAY(DU$82,2)&gt;5,0,34.69))*-1</f>
        <v>-34.69</v>
      </c>
      <c r="DV104" s="39">
        <f>(IF(WEEKDAY(DV$82,2)&gt;5,0,41.31))*-1</f>
        <v>-41.31</v>
      </c>
      <c r="DW104" s="39">
        <f>(IF(WEEKDAY(DW$82,2)&gt;5,0,45.66))*-1</f>
        <v>-45.66</v>
      </c>
      <c r="DX104" s="39">
        <f>(IF(WEEKDAY(DX$82,2)&gt;5,0,35.66))*-1</f>
        <v>-35.659999999999997</v>
      </c>
      <c r="DY104" s="39">
        <f>(IF(WEEKDAY(DY$82,2)&gt;5,0,43.35))*-1</f>
        <v>0</v>
      </c>
      <c r="DZ104" s="39">
        <f>(IF(WEEKDAY(DZ$82,2)&gt;5,0,36.64))*-1</f>
        <v>0</v>
      </c>
      <c r="EA104" s="39">
        <f>(IF(WEEKDAY(EA$82,2)&gt;5,0,42.48))*-1</f>
        <v>-42.48</v>
      </c>
      <c r="EB104" s="39">
        <f>(IF(WEEKDAY(EB$82,2)&gt;5,0,40.23))*-1</f>
        <v>-40.229999999999997</v>
      </c>
      <c r="EC104" s="39">
        <f>(IF(WEEKDAY(EC$82,2)&gt;5,0,42.91))*-1</f>
        <v>-42.91</v>
      </c>
      <c r="ED104" s="39">
        <f>(IF(WEEKDAY(ED$82,2)&gt;5,0,45.94))*-1</f>
        <v>-45.94</v>
      </c>
      <c r="EE104" s="39">
        <f>(IF(WEEKDAY(EE$82,2)&gt;5,0,38.31))*-1</f>
        <v>-38.31</v>
      </c>
      <c r="EF104" s="39">
        <f>(IF(WEEKDAY(EF$82,2)&gt;5,0,44.07))*-1</f>
        <v>0</v>
      </c>
      <c r="EG104" s="39">
        <f>(IF(WEEKDAY(EG$82,2)&gt;5,0,43.11))*-1</f>
        <v>0</v>
      </c>
      <c r="EH104" s="39">
        <f>(IF(WEEKDAY(EH$82,2)&gt;5,0,34.84))*-1</f>
        <v>-34.840000000000003</v>
      </c>
      <c r="EI104" s="39">
        <f>(IF(WEEKDAY(EI$82,2)&gt;5,0,44.76))*-1</f>
        <v>-44.76</v>
      </c>
      <c r="EJ104" s="39">
        <f>(IF(WEEKDAY(EJ$82,2)&gt;5,0,45.73))*-1</f>
        <v>-45.73</v>
      </c>
      <c r="EK104" s="39">
        <f>(IF(WEEKDAY(EK$82,2)&gt;5,0,44.01))*-1</f>
        <v>-44.01</v>
      </c>
      <c r="EL104" s="39">
        <f>(IF(WEEKDAY(EL$82,2)&gt;5,0,43.86))*-1</f>
        <v>-43.86</v>
      </c>
      <c r="EM104" s="39">
        <f>(IF(WEEKDAY(EM$82,2)&gt;5,0,35.76))*-1</f>
        <v>0</v>
      </c>
      <c r="EN104" s="39">
        <f>(IF(WEEKDAY(EN$82,2)&gt;5,0,40.93))*-1</f>
        <v>0</v>
      </c>
      <c r="EO104" s="39">
        <f>(IF(WEEKDAY(EO$82,2)&gt;5,0,39.58))*-1</f>
        <v>-39.58</v>
      </c>
      <c r="EP104" s="39">
        <f>(IF(WEEKDAY(EP$82,2)&gt;5,0,45.27))*-1</f>
        <v>-45.27</v>
      </c>
      <c r="EQ104" s="39">
        <f>(IF(WEEKDAY(EQ$82,2)&gt;5,0,42.94))*-1</f>
        <v>-42.94</v>
      </c>
      <c r="ER104" s="39">
        <f>(IF(WEEKDAY(ER$82,2)&gt;5,0,34.92))*-1</f>
        <v>-34.92</v>
      </c>
      <c r="ES104" s="39">
        <f>(IF(WEEKDAY(ES$82,2)&gt;5,0,34.76))*-1</f>
        <v>-34.76</v>
      </c>
      <c r="ET104" s="39">
        <f>(IF(WEEKDAY(ET$82,2)&gt;5,0,36.78))*-1</f>
        <v>0</v>
      </c>
      <c r="EU104" s="39">
        <f>(IF(WEEKDAY(EU$82,2)&gt;5,0,42.37))*-1</f>
        <v>0</v>
      </c>
      <c r="EV104" s="39">
        <f>(IF(WEEKDAY(EV$82,2)&gt;5,0,39.53))*-1</f>
        <v>-39.53</v>
      </c>
      <c r="EW104" s="39">
        <f>(IF(WEEKDAY(EW$82,2)&gt;5,0,35.4))*-1</f>
        <v>-35.4</v>
      </c>
      <c r="EX104" s="39">
        <f>(IF(WEEKDAY(EX$82,2)&gt;5,0,43.29))*-1</f>
        <v>-43.29</v>
      </c>
      <c r="EY104" s="39">
        <f>(IF(WEEKDAY(EY$82,2)&gt;5,0,43.61))*-1</f>
        <v>-43.61</v>
      </c>
      <c r="EZ104" s="39">
        <f>(IF(WEEKDAY(EZ$82,2)&gt;5,0,45.25))*-1</f>
        <v>-45.25</v>
      </c>
      <c r="FA104" s="39">
        <f>(IF(WEEKDAY(FA$82,2)&gt;5,0,35.53))*-1</f>
        <v>0</v>
      </c>
      <c r="FB104" s="39">
        <f>(IF(WEEKDAY(FB$82,2)&gt;5,0,44.08))*-1</f>
        <v>0</v>
      </c>
      <c r="FC104" s="39">
        <f>(IF(WEEKDAY(FC$82,2)&gt;5,0,41.16))*-1</f>
        <v>-41.16</v>
      </c>
      <c r="FD104" s="39">
        <f>(IF(WEEKDAY(FD$82,2)&gt;5,0,40.91))*-1</f>
        <v>-40.909999999999997</v>
      </c>
      <c r="FE104" s="39">
        <f>(IF(WEEKDAY(FE$82,2)&gt;5,0,42.93))*-1</f>
        <v>-42.93</v>
      </c>
      <c r="FF104" s="39">
        <f>(IF(WEEKDAY(FF$82,2)&gt;5,0,37.33))*-1</f>
        <v>-37.33</v>
      </c>
      <c r="FG104" s="39">
        <f>(IF(WEEKDAY(FG$82,2)&gt;5,0,36.97))*-1</f>
        <v>-36.97</v>
      </c>
      <c r="FH104" s="39">
        <f>(IF(WEEKDAY(FH$82,2)&gt;5,0,36.6))*-1</f>
        <v>0</v>
      </c>
      <c r="FI104" s="39">
        <f>(IF(WEEKDAY(FI$82,2)&gt;5,0,44.57))*-1</f>
        <v>0</v>
      </c>
      <c r="FJ104" s="39">
        <f>(IF(WEEKDAY(FJ$82,2)&gt;5,0,44.37))*-1</f>
        <v>-44.37</v>
      </c>
      <c r="FK104" s="39">
        <f>(IF(WEEKDAY(FK$82,2)&gt;5,0,36.5))*-1</f>
        <v>-36.5</v>
      </c>
      <c r="FL104" s="39">
        <f>(IF(WEEKDAY(FL$82,2)&gt;5,0,36.23))*-1</f>
        <v>-36.229999999999997</v>
      </c>
      <c r="FM104" s="39">
        <f>(IF(WEEKDAY(FM$82,2)&gt;5,0,45.39))*-1</f>
        <v>-45.39</v>
      </c>
      <c r="FN104" s="39">
        <f>(IF(WEEKDAY(FN$82,2)&gt;5,0,38.27))*-1</f>
        <v>-38.270000000000003</v>
      </c>
      <c r="FO104" s="39">
        <f>(IF(WEEKDAY(FO$82,2)&gt;5,0,43.38))*-1</f>
        <v>0</v>
      </c>
      <c r="FP104" s="39">
        <f>(IF(WEEKDAY(FP$82,2)&gt;5,0,35.04))*-1</f>
        <v>0</v>
      </c>
      <c r="FQ104" s="39">
        <f>(IF(WEEKDAY(FQ$82,2)&gt;5,0,44.86))*-1</f>
        <v>-44.86</v>
      </c>
      <c r="FR104" s="39">
        <f>(IF(WEEKDAY(FR$82,2)&gt;5,0,43.76))*-1</f>
        <v>-43.76</v>
      </c>
      <c r="FS104" s="39">
        <f>(IF(WEEKDAY(FS$82,2)&gt;5,0,35.36))*-1</f>
        <v>-35.36</v>
      </c>
      <c r="FT104" s="39">
        <f>(IF(WEEKDAY(FT$82,2)&gt;5,0,37.38))*-1</f>
        <v>-37.380000000000003</v>
      </c>
      <c r="FU104" s="39">
        <f>(IF(WEEKDAY(FU$82,2)&gt;5,0,43.58))*-1</f>
        <v>-43.58</v>
      </c>
      <c r="FV104" s="39">
        <f>(IF(WEEKDAY(FV$82,2)&gt;5,0,42.25))*-1</f>
        <v>0</v>
      </c>
      <c r="FW104" s="39">
        <f>(IF(WEEKDAY(FW$82,2)&gt;5,0,38.69))*-1</f>
        <v>0</v>
      </c>
      <c r="FX104" s="39">
        <f>(IF(WEEKDAY(FX$82,2)&gt;5,0,40.33))*-1</f>
        <v>-40.33</v>
      </c>
      <c r="FY104" s="39">
        <f>(IF(WEEKDAY(FY$82,2)&gt;5,0,42.12))*-1</f>
        <v>-42.12</v>
      </c>
      <c r="FZ104" s="39">
        <f>(IF(WEEKDAY(FZ$82,2)&gt;5,0,44.35))*-1</f>
        <v>-44.35</v>
      </c>
      <c r="GA104" s="39">
        <f>(IF(WEEKDAY(GA$82,2)&gt;5,0,45.45))*-1</f>
        <v>-45.45</v>
      </c>
      <c r="GB104" s="39">
        <f>(IF(WEEKDAY(GB$82,2)&gt;5,0,34.54))*-1</f>
        <v>-34.54</v>
      </c>
      <c r="GC104" s="39">
        <f>(IF(WEEKDAY(GC$82,2)&gt;5,0,40.64))*-1</f>
        <v>0</v>
      </c>
      <c r="GD104" s="39">
        <f>(IF(WEEKDAY(GD$82,2)&gt;5,0,37.86))*-1</f>
        <v>0</v>
      </c>
      <c r="GE104" s="39">
        <f>(IF(WEEKDAY(GE$82,2)&gt;5,0,44.5))*-1</f>
        <v>-44.5</v>
      </c>
      <c r="GF104" s="39">
        <f>(IF(WEEKDAY(GF$82,2)&gt;5,0,36.23))*-1</f>
        <v>-36.229999999999997</v>
      </c>
      <c r="GG104" s="39">
        <f>(IF(WEEKDAY(GG$82,2)&gt;5,0,34.9))*-1</f>
        <v>-34.9</v>
      </c>
      <c r="GH104" s="39">
        <f>(IF(WEEKDAY(GH$82,2)&gt;5,0,39.97))*-1</f>
        <v>-39.97</v>
      </c>
      <c r="GI104" s="39">
        <f>(IF(WEEKDAY(GI$82,2)&gt;5,0,41.47))*-1</f>
        <v>-41.47</v>
      </c>
      <c r="GJ104" s="39">
        <f>(IF(WEEKDAY(GJ$82,2)&gt;5,0,45.31))*-1</f>
        <v>0</v>
      </c>
      <c r="GK104" s="39">
        <f>(IF(WEEKDAY(GK$82,2)&gt;5,0,45.19))*-1</f>
        <v>0</v>
      </c>
      <c r="GL104" s="39">
        <f>(IF(WEEKDAY(GL$82,2)&gt;5,0,40.44))*-1</f>
        <v>-40.44</v>
      </c>
      <c r="GM104" s="39">
        <f>(IF(WEEKDAY(GM$82,2)&gt;5,0,40.85))*-1</f>
        <v>-40.85</v>
      </c>
      <c r="GN104" s="39">
        <f>(IF(WEEKDAY(GN$82,2)&gt;5,0,45.04))*-1</f>
        <v>-45.04</v>
      </c>
      <c r="GO104" s="39">
        <f>(IF(WEEKDAY(GO$82,2)&gt;5,0,39.18))*-1</f>
        <v>-39.18</v>
      </c>
      <c r="GP104" s="39">
        <f>(IF(WEEKDAY(GP$82,2)&gt;5,0,34.33))*-1</f>
        <v>-34.33</v>
      </c>
      <c r="GQ104" s="39">
        <f>(IF(WEEKDAY(GQ$82,2)&gt;5,0,45.32))*-1</f>
        <v>0</v>
      </c>
      <c r="GR104" s="39">
        <f>(IF(WEEKDAY(GR$82,2)&gt;5,0,36.94))*-1</f>
        <v>0</v>
      </c>
      <c r="GS104" s="39">
        <f>(IF(WEEKDAY(GS$82,2)&gt;5,0,37.92))*-1</f>
        <v>-37.92</v>
      </c>
      <c r="GT104" s="39">
        <f>(IF(WEEKDAY(GT$82,2)&gt;5,0,39.84))*-1</f>
        <v>-39.840000000000003</v>
      </c>
      <c r="GU104" s="39">
        <f>(IF(WEEKDAY(GU$82,2)&gt;5,0,35.44))*-1</f>
        <v>-35.44</v>
      </c>
      <c r="GV104" s="39">
        <f>(IF(WEEKDAY(GV$82,2)&gt;5,0,41.17))*-1</f>
        <v>-41.17</v>
      </c>
      <c r="GW104" s="39">
        <f>(IF(WEEKDAY(GW$82,2)&gt;5,0,36.99))*-1</f>
        <v>-36.99</v>
      </c>
      <c r="GX104" s="39">
        <f>(IF(WEEKDAY(GX$82,2)&gt;5,0,43.8))*-1</f>
        <v>0</v>
      </c>
      <c r="GY104" s="39">
        <f>(IF(WEEKDAY(GY$82,2)&gt;5,0,41.33))*-1</f>
        <v>0</v>
      </c>
      <c r="GZ104" s="39">
        <f>(IF(WEEKDAY(GZ$82,2)&gt;5,0,44.92))*-1</f>
        <v>-44.92</v>
      </c>
      <c r="HA104" s="39">
        <f>(IF(WEEKDAY(HA$82,2)&gt;5,0,35.59))*-1</f>
        <v>-35.590000000000003</v>
      </c>
      <c r="HB104" s="39">
        <f>(IF(WEEKDAY(HB$82,2)&gt;5,0,36))*-1</f>
        <v>-36</v>
      </c>
      <c r="HC104" s="39">
        <f>(IF(WEEKDAY(HC$82,2)&gt;5,0,34.34))*-1</f>
        <v>-34.340000000000003</v>
      </c>
      <c r="HD104" s="39">
        <f>(IF(WEEKDAY(HD$82,2)&gt;5,0,35.19))*-1</f>
        <v>-35.19</v>
      </c>
      <c r="HE104" s="39">
        <f>(IF(WEEKDAY(HE$82,2)&gt;5,0,38.46))*-1</f>
        <v>0</v>
      </c>
      <c r="HF104" s="39">
        <f>(IF(WEEKDAY(HF$82,2)&gt;5,0,34.56))*-1</f>
        <v>0</v>
      </c>
      <c r="HG104" s="39">
        <f>(IF(WEEKDAY(HG$82,2)&gt;5,0,42.35))*-1</f>
        <v>-42.35</v>
      </c>
      <c r="HH104" s="39">
        <f>(IF(WEEKDAY(HH$82,2)&gt;5,0,34.54))*-1</f>
        <v>-34.54</v>
      </c>
      <c r="HI104" s="39">
        <f>(IF(WEEKDAY(HI$82,2)&gt;5,0,43.53))*-1</f>
        <v>-43.53</v>
      </c>
      <c r="HJ104" s="39">
        <f>(IF(WEEKDAY(HJ$82,2)&gt;5,0,34.39))*-1</f>
        <v>-34.39</v>
      </c>
      <c r="HK104" s="39">
        <f>(IF(WEEKDAY(HK$82,2)&gt;5,0,36.31))*-1</f>
        <v>-36.31</v>
      </c>
      <c r="HL104" s="39">
        <f>(IF(WEEKDAY(HL$82,2)&gt;5,0,40.82))*-1</f>
        <v>0</v>
      </c>
      <c r="HM104" s="39">
        <f>(IF(WEEKDAY(HM$82,2)&gt;5,0,41.49))*-1</f>
        <v>0</v>
      </c>
      <c r="HN104" s="39">
        <f>(IF(WEEKDAY(HN$82,2)&gt;5,0,39.67))*-1</f>
        <v>-39.67</v>
      </c>
      <c r="HO104" s="39">
        <f>(IF(WEEKDAY(HO$82,2)&gt;5,0,35.89))*-1</f>
        <v>-35.89</v>
      </c>
      <c r="HP104" s="39">
        <f>(IF(WEEKDAY(HP$82,2)&gt;5,0,38.85))*-1</f>
        <v>-38.85</v>
      </c>
      <c r="HQ104" s="39">
        <f>(IF(WEEKDAY(HQ$82,2)&gt;5,0,37.71))*-1</f>
        <v>-37.71</v>
      </c>
      <c r="HR104" s="39">
        <f>(IF(WEEKDAY(HR$82,2)&gt;5,0,36.86))*-1</f>
        <v>-36.86</v>
      </c>
      <c r="HS104" s="39">
        <f>(IF(WEEKDAY(HS$82,2)&gt;5,0,40.52))*-1</f>
        <v>0</v>
      </c>
      <c r="HT104" s="39">
        <f>(IF(WEEKDAY(HT$82,2)&gt;5,0,44.17))*-1</f>
        <v>0</v>
      </c>
      <c r="HU104" s="39">
        <f>(IF(WEEKDAY(HU$82,2)&gt;5,0,34.27))*-1</f>
        <v>-34.270000000000003</v>
      </c>
      <c r="HV104" s="39">
        <f>(IF(WEEKDAY(HV$82,2)&gt;5,0,43.2))*-1</f>
        <v>-43.2</v>
      </c>
      <c r="HW104" s="39">
        <f>(IF(WEEKDAY(HW$82,2)&gt;5,0,43))*-1</f>
        <v>-43</v>
      </c>
      <c r="HX104" s="39">
        <f>(IF(WEEKDAY(HX$82,2)&gt;5,0,42.52))*-1</f>
        <v>-42.52</v>
      </c>
      <c r="HY104" s="39">
        <f>(IF(WEEKDAY(HY$82,2)&gt;5,0,45.22))*-1</f>
        <v>-45.22</v>
      </c>
      <c r="HZ104" s="39">
        <f>(IF(WEEKDAY(HZ$82,2)&gt;5,0,38.77))*-1</f>
        <v>0</v>
      </c>
      <c r="IA104" s="39">
        <f>(IF(WEEKDAY(IA$82,2)&gt;5,0,39.62))*-1</f>
        <v>0</v>
      </c>
      <c r="IB104" s="39">
        <f>(IF(WEEKDAY(IB$82,2)&gt;5,0,34.16))*-1</f>
        <v>-34.159999999999997</v>
      </c>
      <c r="IC104" s="39">
        <f>(IF(WEEKDAY(IC$82,2)&gt;5,0,43.16))*-1</f>
        <v>-43.16</v>
      </c>
      <c r="ID104" s="39">
        <f>(IF(WEEKDAY(ID$82,2)&gt;5,0,44.2))*-1</f>
        <v>-44.2</v>
      </c>
      <c r="IE104" s="39">
        <f>(IF(WEEKDAY(IE$82,2)&gt;5,0,34.43))*-1</f>
        <v>-34.43</v>
      </c>
      <c r="IF104" s="39">
        <f>(IF(WEEKDAY(IF$82,2)&gt;5,0,41.85))*-1</f>
        <v>-41.85</v>
      </c>
      <c r="IG104" s="39">
        <f>(IF(WEEKDAY(IG$82,2)&gt;5,0,40.46))*-1</f>
        <v>0</v>
      </c>
      <c r="IH104" s="39">
        <f>(IF(WEEKDAY(IH$82,2)&gt;5,0,40.37))*-1</f>
        <v>0</v>
      </c>
      <c r="II104" s="39">
        <f>(IF(WEEKDAY(II$82,2)&gt;5,0,43.96))*-1</f>
        <v>-43.96</v>
      </c>
      <c r="IJ104" s="39">
        <f>(IF(WEEKDAY(IJ$82,2)&gt;5,0,36.4))*-1</f>
        <v>-36.4</v>
      </c>
      <c r="IK104" s="39">
        <f>(IF(WEEKDAY(IK$82,2)&gt;5,0,35.12))*-1</f>
        <v>-35.119999999999997</v>
      </c>
      <c r="IL104" s="39">
        <f>(IF(WEEKDAY(IL$82,2)&gt;5,0,38.19))*-1</f>
        <v>-38.19</v>
      </c>
    </row>
    <row r="105" spans="1:246" x14ac:dyDescent="0.3">
      <c r="A105" t="s">
        <v>19</v>
      </c>
      <c r="B105" s="39">
        <f>(IF(WEEKDAY(B$82,2)&gt;5,0,12.95))*-1</f>
        <v>-12.95</v>
      </c>
      <c r="C105" s="39">
        <f>(IF(WEEKDAY(C$82,2)&gt;5,0,14.03))*-1</f>
        <v>0</v>
      </c>
      <c r="D105" s="39">
        <f>(IF(WEEKDAY(D$82,2)&gt;5,0,14.69))*-1</f>
        <v>0</v>
      </c>
      <c r="E105" s="39">
        <f>(IF(WEEKDAY(E$82,2)&gt;5,0,16.83))*-1</f>
        <v>-16.829999999999998</v>
      </c>
      <c r="F105" s="39">
        <f>(IF(WEEKDAY(F$82,2)&gt;5,0,16.8))*-1</f>
        <v>-16.8</v>
      </c>
      <c r="G105" s="39">
        <f>(IF(WEEKDAY(G$82,2)&gt;5,0,16.63))*-1</f>
        <v>-16.63</v>
      </c>
      <c r="H105" s="39">
        <f>(IF(WEEKDAY(H$82,2)&gt;5,0,14.66))*-1</f>
        <v>-14.66</v>
      </c>
      <c r="I105" s="39">
        <f>(IF(WEEKDAY(I$82,2)&gt;5,0,15.61))*-1</f>
        <v>-15.61</v>
      </c>
      <c r="J105" s="39">
        <f>(IF(WEEKDAY(J$82,2)&gt;5,0,16.13))*-1</f>
        <v>0</v>
      </c>
      <c r="K105" s="39">
        <f>(IF(WEEKDAY(K$82,2)&gt;5,0,13.19))*-1</f>
        <v>0</v>
      </c>
      <c r="L105" s="39">
        <f>(IF(WEEKDAY(L$82,2)&gt;5,0,15.76))*-1</f>
        <v>-15.76</v>
      </c>
      <c r="M105" s="39">
        <f>(IF(WEEKDAY(M$82,2)&gt;5,0,14.27))*-1</f>
        <v>-14.27</v>
      </c>
      <c r="N105" s="39">
        <f>(IF(WEEKDAY(N$82,2)&gt;5,0,14.78))*-1</f>
        <v>-14.78</v>
      </c>
      <c r="O105" s="39">
        <f>(IF(WEEKDAY(O$82,2)&gt;5,0,12.84))*-1</f>
        <v>-12.84</v>
      </c>
      <c r="P105" s="39">
        <f>(IF(WEEKDAY(P$82,2)&gt;5,0,16.42))*-1</f>
        <v>-16.420000000000002</v>
      </c>
      <c r="Q105" s="39">
        <f>(IF(WEEKDAY(Q$82,2)&gt;5,0,14.71))*-1</f>
        <v>0</v>
      </c>
      <c r="R105" s="39">
        <f>(IF(WEEKDAY(R$82,2)&gt;5,0,13.46))*-1</f>
        <v>0</v>
      </c>
      <c r="S105" s="39">
        <f>(IF(WEEKDAY(S$82,2)&gt;5,0,15.73))*-1</f>
        <v>-15.73</v>
      </c>
      <c r="T105" s="39">
        <f>(IF(WEEKDAY(T$82,2)&gt;5,0,13.99))*-1</f>
        <v>-13.99</v>
      </c>
      <c r="U105" s="39">
        <f>(IF(WEEKDAY(U$82,2)&gt;5,0,16.56))*-1</f>
        <v>-16.559999999999999</v>
      </c>
      <c r="V105" s="39">
        <f>(IF(WEEKDAY(V$82,2)&gt;5,0,13.59))*-1</f>
        <v>-13.59</v>
      </c>
      <c r="W105" s="39">
        <f>(IF(WEEKDAY(W$82,2)&gt;5,0,16.19))*-1</f>
        <v>-16.190000000000001</v>
      </c>
      <c r="X105" s="39">
        <f>(IF(WEEKDAY(X$82,2)&gt;5,0,16.07))*-1</f>
        <v>0</v>
      </c>
      <c r="Y105" s="39">
        <f>(IF(WEEKDAY(Y$82,2)&gt;5,0,15.04))*-1</f>
        <v>0</v>
      </c>
      <c r="Z105" s="39">
        <f>(IF(WEEKDAY(Z$82,2)&gt;5,0,15.98))*-1</f>
        <v>-15.98</v>
      </c>
      <c r="AA105" s="39">
        <f>(IF(WEEKDAY(AA$82,2)&gt;5,0,15.62))*-1</f>
        <v>-15.62</v>
      </c>
      <c r="AB105" s="39">
        <f>(IF(WEEKDAY(AB$82,2)&gt;5,0,15.73))*-1</f>
        <v>-15.73</v>
      </c>
      <c r="AC105" s="39">
        <f>(IF(WEEKDAY(AC$82,2)&gt;5,0,16.36))*-1</f>
        <v>-16.36</v>
      </c>
      <c r="AD105" s="39">
        <f>(IF(WEEKDAY(AD$82,2)&gt;5,0,14.46))*-1</f>
        <v>-14.46</v>
      </c>
      <c r="AE105" s="39">
        <f>(IF(WEEKDAY(AE$82,2)&gt;5,0,16.15))*-1</f>
        <v>0</v>
      </c>
      <c r="AF105" s="39">
        <f>(IF(WEEKDAY(AF$82,2)&gt;5,0,15.25))*-1</f>
        <v>0</v>
      </c>
      <c r="AG105" s="39">
        <f>(IF(WEEKDAY(AG$82,2)&gt;5,0,14.85))*-1</f>
        <v>-14.85</v>
      </c>
      <c r="AH105" s="39">
        <f>(IF(WEEKDAY(AH$82,2)&gt;5,0,15.46))*-1</f>
        <v>-15.46</v>
      </c>
      <c r="AI105" s="39">
        <f>(IF(WEEKDAY(AI$82,2)&gt;5,0,16.24))*-1</f>
        <v>-16.239999999999998</v>
      </c>
      <c r="AJ105" s="39">
        <f>(IF(WEEKDAY(AJ$82,2)&gt;5,0,13.18))*-1</f>
        <v>-13.18</v>
      </c>
      <c r="AK105" s="39">
        <f>(IF(WEEKDAY(AK$82,2)&gt;5,0,14.29))*-1</f>
        <v>-14.29</v>
      </c>
      <c r="AL105" s="39">
        <f>(IF(WEEKDAY(AL$82,2)&gt;5,0,15.61))*-1</f>
        <v>0</v>
      </c>
      <c r="AM105" s="39">
        <f>(IF(WEEKDAY(AM$82,2)&gt;5,0,16.58))*-1</f>
        <v>0</v>
      </c>
      <c r="AN105" s="39">
        <f>(IF(WEEKDAY(AN$82,2)&gt;5,0,16.56))*-1</f>
        <v>-16.559999999999999</v>
      </c>
      <c r="AO105" s="39">
        <f>(IF(WEEKDAY(AO$82,2)&gt;5,0,15.11))*-1</f>
        <v>-15.11</v>
      </c>
      <c r="AP105" s="39">
        <f>(IF(WEEKDAY(AP$82,2)&gt;5,0,13.33))*-1</f>
        <v>-13.33</v>
      </c>
      <c r="AQ105" s="39">
        <f>(IF(WEEKDAY(AQ$82,2)&gt;5,0,14.14))*-1</f>
        <v>-14.14</v>
      </c>
      <c r="AR105" s="39">
        <f>(IF(WEEKDAY(AR$82,2)&gt;5,0,12.78))*-1</f>
        <v>-12.78</v>
      </c>
      <c r="AS105" s="39">
        <f>(IF(WEEKDAY(AS$82,2)&gt;5,0,16.02))*-1</f>
        <v>0</v>
      </c>
      <c r="AT105" s="39">
        <f>(IF(WEEKDAY(AT$82,2)&gt;5,0,13))*-1</f>
        <v>0</v>
      </c>
      <c r="AU105" s="39">
        <f>(IF(WEEKDAY(AU$82,2)&gt;5,0,16.98))*-1</f>
        <v>-16.98</v>
      </c>
      <c r="AV105" s="39">
        <f>(IF(WEEKDAY(AV$82,2)&gt;5,0,15.11))*-1</f>
        <v>-15.11</v>
      </c>
      <c r="AW105" s="39">
        <f>(IF(WEEKDAY(AW$82,2)&gt;5,0,14.59))*-1</f>
        <v>-14.59</v>
      </c>
      <c r="AX105" s="39">
        <f>(IF(WEEKDAY(AX$82,2)&gt;5,0,13.2))*-1</f>
        <v>-13.2</v>
      </c>
      <c r="AY105" s="39">
        <f>(IF(WEEKDAY(AY$82,2)&gt;5,0,12.79))*-1</f>
        <v>-12.79</v>
      </c>
      <c r="AZ105" s="39">
        <f>(IF(WEEKDAY(AZ$82,2)&gt;5,0,15.06))*-1</f>
        <v>0</v>
      </c>
      <c r="BA105" s="39">
        <f>(IF(WEEKDAY(BA$82,2)&gt;5,0,14.57))*-1</f>
        <v>0</v>
      </c>
      <c r="BB105" s="39">
        <f>(IF(WEEKDAY(BB$82,2)&gt;5,0,15.55))*-1</f>
        <v>-15.55</v>
      </c>
      <c r="BC105" s="39">
        <f>(IF(WEEKDAY(BC$82,2)&gt;5,0,16.8))*-1</f>
        <v>-16.8</v>
      </c>
      <c r="BD105" s="39">
        <f>(IF(WEEKDAY(BD$82,2)&gt;5,0,12.82))*-1</f>
        <v>-12.82</v>
      </c>
      <c r="BE105" s="39">
        <f>(IF(WEEKDAY(BE$82,2)&gt;5,0,14.7))*-1</f>
        <v>-14.7</v>
      </c>
      <c r="BF105" s="39">
        <f>(IF(WEEKDAY(BF$82,2)&gt;5,0,13.41))*-1</f>
        <v>-13.41</v>
      </c>
      <c r="BG105" s="39">
        <f>(IF(WEEKDAY(BG$82,2)&gt;5,0,16.41))*-1</f>
        <v>0</v>
      </c>
      <c r="BH105" s="39">
        <f>(IF(WEEKDAY(BH$82,2)&gt;5,0,16.98))*-1</f>
        <v>0</v>
      </c>
      <c r="BI105" s="39">
        <f>(IF(WEEKDAY(BI$82,2)&gt;5,0,16.31))*-1</f>
        <v>-16.309999999999999</v>
      </c>
      <c r="BJ105" s="39">
        <f>(IF(WEEKDAY(BJ$82,2)&gt;5,0,14.88))*-1</f>
        <v>-14.88</v>
      </c>
      <c r="BK105" s="39">
        <f>(IF(WEEKDAY(BK$82,2)&gt;5,0,13))*-1</f>
        <v>-13</v>
      </c>
      <c r="BL105" s="39">
        <f>(IF(WEEKDAY(BL$82,2)&gt;5,0,13.15))*-1</f>
        <v>-13.15</v>
      </c>
      <c r="BM105" s="39">
        <f>(IF(WEEKDAY(BM$82,2)&gt;5,0,14.02))*-1</f>
        <v>-14.02</v>
      </c>
      <c r="BN105" s="39">
        <f>(IF(WEEKDAY(BN$82,2)&gt;5,0,13.65))*-1</f>
        <v>0</v>
      </c>
      <c r="BO105" s="39">
        <f>(IF(WEEKDAY(BO$82,2)&gt;5,0,15.97))*-1</f>
        <v>0</v>
      </c>
      <c r="BP105" s="39">
        <f>(IF(WEEKDAY(BP$82,2)&gt;5,0,15.46))*-1</f>
        <v>-15.46</v>
      </c>
      <c r="BQ105" s="39">
        <f>(IF(WEEKDAY(BQ$82,2)&gt;5,0,14.57))*-1</f>
        <v>-14.57</v>
      </c>
      <c r="BR105" s="39">
        <f>(IF(WEEKDAY(BR$82,2)&gt;5,0,16.89))*-1</f>
        <v>-16.89</v>
      </c>
      <c r="BS105" s="39">
        <f>(IF(WEEKDAY(BS$82,2)&gt;5,0,15.49))*-1</f>
        <v>-15.49</v>
      </c>
      <c r="BT105" s="39">
        <f>(IF(WEEKDAY(BT$82,2)&gt;5,0,15.49))*-1</f>
        <v>-15.49</v>
      </c>
      <c r="BU105" s="39">
        <f>(IF(WEEKDAY(BU$82,2)&gt;5,0,14.34))*-1</f>
        <v>0</v>
      </c>
      <c r="BV105" s="39">
        <f>(IF(WEEKDAY(BV$82,2)&gt;5,0,14.63))*-1</f>
        <v>0</v>
      </c>
      <c r="BW105" s="39">
        <f>(IF(WEEKDAY(BW$82,2)&gt;5,0,14.69))*-1</f>
        <v>-14.69</v>
      </c>
      <c r="BX105" s="39">
        <f>(IF(WEEKDAY(BX$82,2)&gt;5,0,15.18))*-1</f>
        <v>-15.18</v>
      </c>
      <c r="BY105" s="39">
        <f>(IF(WEEKDAY(BY$82,2)&gt;5,0,16.61))*-1</f>
        <v>-16.61</v>
      </c>
      <c r="BZ105" s="39">
        <f>(IF(WEEKDAY(BZ$82,2)&gt;5,0,12.79))*-1</f>
        <v>-12.79</v>
      </c>
      <c r="CA105" s="39">
        <f>(IF(WEEKDAY(CA$82,2)&gt;5,0,15.11))*-1</f>
        <v>-15.11</v>
      </c>
      <c r="CB105" s="39">
        <f>(IF(WEEKDAY(CB$82,2)&gt;5,0,16.94))*-1</f>
        <v>0</v>
      </c>
      <c r="CC105" s="39">
        <f>(IF(WEEKDAY(CC$82,2)&gt;5,0,17.01))*-1</f>
        <v>0</v>
      </c>
      <c r="CD105" s="39">
        <f>(IF(WEEKDAY(CD$82,2)&gt;5,0,15.75))*-1</f>
        <v>-15.75</v>
      </c>
      <c r="CE105" s="39">
        <f>(IF(WEEKDAY(CE$82,2)&gt;5,0,15.42))*-1</f>
        <v>-15.42</v>
      </c>
      <c r="CF105" s="39">
        <f>(IF(WEEKDAY(CF$82,2)&gt;5,0,13.42))*-1</f>
        <v>-13.42</v>
      </c>
      <c r="CG105" s="39">
        <f>(IF(WEEKDAY(CG$82,2)&gt;5,0,16.01))*-1</f>
        <v>-16.010000000000002</v>
      </c>
      <c r="CH105" s="39">
        <f>(IF(WEEKDAY(CH$82,2)&gt;5,0,16.76))*-1</f>
        <v>-16.760000000000002</v>
      </c>
      <c r="CI105" s="39">
        <f>(IF(WEEKDAY(CI$82,2)&gt;5,0,13.35))*-1</f>
        <v>0</v>
      </c>
      <c r="CJ105" s="39">
        <f>(IF(WEEKDAY(CJ$82,2)&gt;5,0,13.85))*-1</f>
        <v>0</v>
      </c>
      <c r="CK105" s="39">
        <f>(IF(WEEKDAY(CK$82,2)&gt;5,0,14.8))*-1</f>
        <v>-14.8</v>
      </c>
      <c r="CL105" s="39">
        <f>(IF(WEEKDAY(CL$82,2)&gt;5,0,13.43))*-1</f>
        <v>-13.43</v>
      </c>
      <c r="CM105" s="39">
        <f>(IF(WEEKDAY(CM$82,2)&gt;5,0,14.06))*-1</f>
        <v>-14.06</v>
      </c>
      <c r="CN105" s="39">
        <f>(IF(WEEKDAY(CN$82,2)&gt;5,0,13.61))*-1</f>
        <v>-13.61</v>
      </c>
      <c r="CO105" s="39">
        <f>(IF(WEEKDAY(CO$82,2)&gt;5,0,14.42))*-1</f>
        <v>-14.42</v>
      </c>
      <c r="CP105" s="39">
        <f>(IF(WEEKDAY(CP$82,2)&gt;5,0,13.6))*-1</f>
        <v>0</v>
      </c>
      <c r="CQ105" s="39">
        <f>(IF(WEEKDAY(CQ$82,2)&gt;5,0,14.71))*-1</f>
        <v>0</v>
      </c>
      <c r="CR105" s="39">
        <f>(IF(WEEKDAY(CR$82,2)&gt;5,0,13.64))*-1</f>
        <v>-13.64</v>
      </c>
      <c r="CS105" s="39">
        <f>(IF(WEEKDAY(CS$82,2)&gt;5,0,15.38))*-1</f>
        <v>-15.38</v>
      </c>
      <c r="CT105" s="39">
        <f>(IF(WEEKDAY(CT$82,2)&gt;5,0,16.75))*-1</f>
        <v>-16.75</v>
      </c>
      <c r="CU105" s="39">
        <f>(IF(WEEKDAY(CU$82,2)&gt;5,0,14.58))*-1</f>
        <v>-14.58</v>
      </c>
      <c r="CV105" s="39">
        <f>(IF(WEEKDAY(CV$82,2)&gt;5,0,14.54))*-1</f>
        <v>-14.54</v>
      </c>
      <c r="CW105" s="39">
        <f>(IF(WEEKDAY(CW$82,2)&gt;5,0,14.7))*-1</f>
        <v>0</v>
      </c>
      <c r="CX105" s="39">
        <f>(IF(WEEKDAY(CX$82,2)&gt;5,0,17.19))*-1</f>
        <v>0</v>
      </c>
      <c r="CY105" s="39">
        <f>(IF(WEEKDAY(CY$82,2)&gt;5,0,13.89))*-1</f>
        <v>-13.89</v>
      </c>
      <c r="CZ105" s="39">
        <f>(IF(WEEKDAY(CZ$82,2)&gt;5,0,13.32))*-1</f>
        <v>-13.32</v>
      </c>
      <c r="DA105" s="39">
        <f>(IF(WEEKDAY(DA$82,2)&gt;5,0,12.95))*-1</f>
        <v>-12.95</v>
      </c>
      <c r="DB105" s="39">
        <f>(IF(WEEKDAY(DB$82,2)&gt;5,0,14.85))*-1</f>
        <v>-14.85</v>
      </c>
      <c r="DC105" s="39">
        <f>(IF(WEEKDAY(DC$82,2)&gt;5,0,12.88))*-1</f>
        <v>-12.88</v>
      </c>
      <c r="DD105" s="39">
        <f>(IF(WEEKDAY(DD$82,2)&gt;5,0,16.38))*-1</f>
        <v>0</v>
      </c>
      <c r="DE105" s="39">
        <f>(IF(WEEKDAY(DE$82,2)&gt;5,0,14.66))*-1</f>
        <v>0</v>
      </c>
      <c r="DF105" s="39">
        <f>(IF(WEEKDAY(DF$82,2)&gt;5,0,15.58))*-1</f>
        <v>-15.58</v>
      </c>
      <c r="DG105" s="39">
        <f>(IF(WEEKDAY(DG$82,2)&gt;5,0,16.83))*-1</f>
        <v>-16.829999999999998</v>
      </c>
      <c r="DH105" s="39">
        <f>(IF(WEEKDAY(DH$82,2)&gt;5,0,16.59))*-1</f>
        <v>-16.59</v>
      </c>
      <c r="DI105" s="39">
        <f>(IF(WEEKDAY(DI$82,2)&gt;5,0,16.9))*-1</f>
        <v>-16.899999999999999</v>
      </c>
      <c r="DJ105" s="39">
        <f>(IF(WEEKDAY(DJ$82,2)&gt;5,0,15.99))*-1</f>
        <v>-15.99</v>
      </c>
      <c r="DK105" s="39">
        <f>(IF(WEEKDAY(DK$82,2)&gt;5,0,13.19))*-1</f>
        <v>0</v>
      </c>
      <c r="DL105" s="39">
        <f>(IF(WEEKDAY(DL$82,2)&gt;5,0,14.3))*-1</f>
        <v>0</v>
      </c>
      <c r="DM105" s="39">
        <f>(IF(WEEKDAY(DM$82,2)&gt;5,0,13.05))*-1</f>
        <v>-13.05</v>
      </c>
      <c r="DN105" s="39">
        <f>(IF(WEEKDAY(DN$82,2)&gt;5,0,14.17))*-1</f>
        <v>-14.17</v>
      </c>
      <c r="DO105" s="39">
        <f>(IF(WEEKDAY(DO$82,2)&gt;5,0,13.77))*-1</f>
        <v>-13.77</v>
      </c>
      <c r="DP105" s="39">
        <f>(IF(WEEKDAY(DP$82,2)&gt;5,0,16.2))*-1</f>
        <v>-16.2</v>
      </c>
      <c r="DQ105" s="39">
        <f>(IF(WEEKDAY(DQ$82,2)&gt;5,0,17.15))*-1</f>
        <v>-17.149999999999999</v>
      </c>
      <c r="DR105" s="39">
        <f>(IF(WEEKDAY(DR$82,2)&gt;5,0,14.21))*-1</f>
        <v>0</v>
      </c>
      <c r="DS105" s="39">
        <f>(IF(WEEKDAY(DS$82,2)&gt;5,0,13.54))*-1</f>
        <v>0</v>
      </c>
      <c r="DT105" s="39">
        <f>(IF(WEEKDAY(DT$82,2)&gt;5,0,16.55))*-1</f>
        <v>-16.55</v>
      </c>
      <c r="DU105" s="39">
        <f>(IF(WEEKDAY(DU$82,2)&gt;5,0,13.93))*-1</f>
        <v>-13.93</v>
      </c>
      <c r="DV105" s="39">
        <f>(IF(WEEKDAY(DV$82,2)&gt;5,0,13.35))*-1</f>
        <v>-13.35</v>
      </c>
      <c r="DW105" s="39">
        <f>(IF(WEEKDAY(DW$82,2)&gt;5,0,14.2))*-1</f>
        <v>-14.2</v>
      </c>
      <c r="DX105" s="39">
        <f>(IF(WEEKDAY(DX$82,2)&gt;5,0,14.77))*-1</f>
        <v>-14.77</v>
      </c>
      <c r="DY105" s="39">
        <f>(IF(WEEKDAY(DY$82,2)&gt;5,0,14))*-1</f>
        <v>0</v>
      </c>
      <c r="DZ105" s="39">
        <f>(IF(WEEKDAY(DZ$82,2)&gt;5,0,13.57))*-1</f>
        <v>0</v>
      </c>
      <c r="EA105" s="39">
        <f>(IF(WEEKDAY(EA$82,2)&gt;5,0,13.51))*-1</f>
        <v>-13.51</v>
      </c>
      <c r="EB105" s="39">
        <f>(IF(WEEKDAY(EB$82,2)&gt;5,0,13.71))*-1</f>
        <v>-13.71</v>
      </c>
      <c r="EC105" s="39">
        <f>(IF(WEEKDAY(EC$82,2)&gt;5,0,13.63))*-1</f>
        <v>-13.63</v>
      </c>
      <c r="ED105" s="39">
        <f>(IF(WEEKDAY(ED$82,2)&gt;5,0,14.93))*-1</f>
        <v>-14.93</v>
      </c>
      <c r="EE105" s="39">
        <f>(IF(WEEKDAY(EE$82,2)&gt;5,0,15.45))*-1</f>
        <v>-15.45</v>
      </c>
      <c r="EF105" s="39">
        <f>(IF(WEEKDAY(EF$82,2)&gt;5,0,15.2))*-1</f>
        <v>0</v>
      </c>
      <c r="EG105" s="39">
        <f>(IF(WEEKDAY(EG$82,2)&gt;5,0,14.25))*-1</f>
        <v>0</v>
      </c>
      <c r="EH105" s="39">
        <f>(IF(WEEKDAY(EH$82,2)&gt;5,0,13.04))*-1</f>
        <v>-13.04</v>
      </c>
      <c r="EI105" s="39">
        <f>(IF(WEEKDAY(EI$82,2)&gt;5,0,14.94))*-1</f>
        <v>-14.94</v>
      </c>
      <c r="EJ105" s="39">
        <f>(IF(WEEKDAY(EJ$82,2)&gt;5,0,14.24))*-1</f>
        <v>-14.24</v>
      </c>
      <c r="EK105" s="39">
        <f>(IF(WEEKDAY(EK$82,2)&gt;5,0,16.59))*-1</f>
        <v>-16.59</v>
      </c>
      <c r="EL105" s="39">
        <f>(IF(WEEKDAY(EL$82,2)&gt;5,0,13.52))*-1</f>
        <v>-13.52</v>
      </c>
      <c r="EM105" s="39">
        <f>(IF(WEEKDAY(EM$82,2)&gt;5,0,16.73))*-1</f>
        <v>0</v>
      </c>
      <c r="EN105" s="39">
        <f>(IF(WEEKDAY(EN$82,2)&gt;5,0,15.05))*-1</f>
        <v>0</v>
      </c>
      <c r="EO105" s="39">
        <f>(IF(WEEKDAY(EO$82,2)&gt;5,0,14.25))*-1</f>
        <v>-14.25</v>
      </c>
      <c r="EP105" s="39">
        <f>(IF(WEEKDAY(EP$82,2)&gt;5,0,14.85))*-1</f>
        <v>-14.85</v>
      </c>
      <c r="EQ105" s="39">
        <f>(IF(WEEKDAY(EQ$82,2)&gt;5,0,16.21))*-1</f>
        <v>-16.21</v>
      </c>
      <c r="ER105" s="39">
        <f>(IF(WEEKDAY(ER$82,2)&gt;5,0,15.51))*-1</f>
        <v>-15.51</v>
      </c>
      <c r="ES105" s="39">
        <f>(IF(WEEKDAY(ES$82,2)&gt;5,0,14.5))*-1</f>
        <v>-14.5</v>
      </c>
      <c r="ET105" s="39">
        <f>(IF(WEEKDAY(ET$82,2)&gt;5,0,12.89))*-1</f>
        <v>0</v>
      </c>
      <c r="EU105" s="39">
        <f>(IF(WEEKDAY(EU$82,2)&gt;5,0,13.78))*-1</f>
        <v>0</v>
      </c>
      <c r="EV105" s="39">
        <f>(IF(WEEKDAY(EV$82,2)&gt;5,0,13.51))*-1</f>
        <v>-13.51</v>
      </c>
      <c r="EW105" s="39">
        <f>(IF(WEEKDAY(EW$82,2)&gt;5,0,15.93))*-1</f>
        <v>-15.93</v>
      </c>
      <c r="EX105" s="39">
        <f>(IF(WEEKDAY(EX$82,2)&gt;5,0,13.04))*-1</f>
        <v>-13.04</v>
      </c>
      <c r="EY105" s="39">
        <f>(IF(WEEKDAY(EY$82,2)&gt;5,0,15))*-1</f>
        <v>-15</v>
      </c>
      <c r="EZ105" s="39">
        <f>(IF(WEEKDAY(EZ$82,2)&gt;5,0,15.87))*-1</f>
        <v>-15.87</v>
      </c>
      <c r="FA105" s="39">
        <f>(IF(WEEKDAY(FA$82,2)&gt;5,0,13.57))*-1</f>
        <v>0</v>
      </c>
      <c r="FB105" s="39">
        <f>(IF(WEEKDAY(FB$82,2)&gt;5,0,12.94))*-1</f>
        <v>0</v>
      </c>
      <c r="FC105" s="39">
        <f>(IF(WEEKDAY(FC$82,2)&gt;5,0,15.39))*-1</f>
        <v>-15.39</v>
      </c>
      <c r="FD105" s="39">
        <f>(IF(WEEKDAY(FD$82,2)&gt;5,0,13.97))*-1</f>
        <v>-13.97</v>
      </c>
      <c r="FE105" s="39">
        <f>(IF(WEEKDAY(FE$82,2)&gt;5,0,13.05))*-1</f>
        <v>-13.05</v>
      </c>
      <c r="FF105" s="39">
        <f>(IF(WEEKDAY(FF$82,2)&gt;5,0,14.5))*-1</f>
        <v>-14.5</v>
      </c>
      <c r="FG105" s="39">
        <f>(IF(WEEKDAY(FG$82,2)&gt;5,0,13.08))*-1</f>
        <v>-13.08</v>
      </c>
      <c r="FH105" s="39">
        <f>(IF(WEEKDAY(FH$82,2)&gt;5,0,14.76))*-1</f>
        <v>0</v>
      </c>
      <c r="FI105" s="39">
        <f>(IF(WEEKDAY(FI$82,2)&gt;5,0,14.1))*-1</f>
        <v>0</v>
      </c>
      <c r="FJ105" s="39">
        <f>(IF(WEEKDAY(FJ$82,2)&gt;5,0,13.36))*-1</f>
        <v>-13.36</v>
      </c>
      <c r="FK105" s="39">
        <f>(IF(WEEKDAY(FK$82,2)&gt;5,0,17.09))*-1</f>
        <v>-17.09</v>
      </c>
      <c r="FL105" s="39">
        <f>(IF(WEEKDAY(FL$82,2)&gt;5,0,16.81))*-1</f>
        <v>-16.809999999999999</v>
      </c>
      <c r="FM105" s="39">
        <f>(IF(WEEKDAY(FM$82,2)&gt;5,0,14.65))*-1</f>
        <v>-14.65</v>
      </c>
      <c r="FN105" s="39">
        <f>(IF(WEEKDAY(FN$82,2)&gt;5,0,16))*-1</f>
        <v>-16</v>
      </c>
      <c r="FO105" s="39">
        <f>(IF(WEEKDAY(FO$82,2)&gt;5,0,13.65))*-1</f>
        <v>0</v>
      </c>
      <c r="FP105" s="39">
        <f>(IF(WEEKDAY(FP$82,2)&gt;5,0,15.67))*-1</f>
        <v>0</v>
      </c>
      <c r="FQ105" s="39">
        <f>(IF(WEEKDAY(FQ$82,2)&gt;5,0,13.77))*-1</f>
        <v>-13.77</v>
      </c>
      <c r="FR105" s="39">
        <f>(IF(WEEKDAY(FR$82,2)&gt;5,0,13))*-1</f>
        <v>-13</v>
      </c>
      <c r="FS105" s="39">
        <f>(IF(WEEKDAY(FS$82,2)&gt;5,0,14.11))*-1</f>
        <v>-14.11</v>
      </c>
      <c r="FT105" s="39">
        <f>(IF(WEEKDAY(FT$82,2)&gt;5,0,12.95))*-1</f>
        <v>-12.95</v>
      </c>
      <c r="FU105" s="39">
        <f>(IF(WEEKDAY(FU$82,2)&gt;5,0,17.07))*-1</f>
        <v>-17.07</v>
      </c>
      <c r="FV105" s="39">
        <f>(IF(WEEKDAY(FV$82,2)&gt;5,0,15.53))*-1</f>
        <v>0</v>
      </c>
      <c r="FW105" s="39">
        <f>(IF(WEEKDAY(FW$82,2)&gt;5,0,14.5))*-1</f>
        <v>0</v>
      </c>
      <c r="FX105" s="39">
        <f>(IF(WEEKDAY(FX$82,2)&gt;5,0,14.3))*-1</f>
        <v>-14.3</v>
      </c>
      <c r="FY105" s="39">
        <f>(IF(WEEKDAY(FY$82,2)&gt;5,0,16.47))*-1</f>
        <v>-16.47</v>
      </c>
      <c r="FZ105" s="39">
        <f>(IF(WEEKDAY(FZ$82,2)&gt;5,0,15.52))*-1</f>
        <v>-15.52</v>
      </c>
      <c r="GA105" s="39">
        <f>(IF(WEEKDAY(GA$82,2)&gt;5,0,15.79))*-1</f>
        <v>-15.79</v>
      </c>
      <c r="GB105" s="39">
        <f>(IF(WEEKDAY(GB$82,2)&gt;5,0,12.83))*-1</f>
        <v>-12.83</v>
      </c>
      <c r="GC105" s="39">
        <f>(IF(WEEKDAY(GC$82,2)&gt;5,0,14.03))*-1</f>
        <v>0</v>
      </c>
      <c r="GD105" s="39">
        <f>(IF(WEEKDAY(GD$82,2)&gt;5,0,16.15))*-1</f>
        <v>0</v>
      </c>
      <c r="GE105" s="39">
        <f>(IF(WEEKDAY(GE$82,2)&gt;5,0,13.59))*-1</f>
        <v>-13.59</v>
      </c>
      <c r="GF105" s="39">
        <f>(IF(WEEKDAY(GF$82,2)&gt;5,0,13.51))*-1</f>
        <v>-13.51</v>
      </c>
      <c r="GG105" s="39">
        <f>(IF(WEEKDAY(GG$82,2)&gt;5,0,17.02))*-1</f>
        <v>-17.02</v>
      </c>
      <c r="GH105" s="39">
        <f>(IF(WEEKDAY(GH$82,2)&gt;5,0,15.47))*-1</f>
        <v>-15.47</v>
      </c>
      <c r="GI105" s="39">
        <f>(IF(WEEKDAY(GI$82,2)&gt;5,0,13.92))*-1</f>
        <v>-13.92</v>
      </c>
      <c r="GJ105" s="39">
        <f>(IF(WEEKDAY(GJ$82,2)&gt;5,0,14.4))*-1</f>
        <v>0</v>
      </c>
      <c r="GK105" s="39">
        <f>(IF(WEEKDAY(GK$82,2)&gt;5,0,16.57))*-1</f>
        <v>0</v>
      </c>
      <c r="GL105" s="39">
        <f>(IF(WEEKDAY(GL$82,2)&gt;5,0,15.13))*-1</f>
        <v>-15.13</v>
      </c>
      <c r="GM105" s="39">
        <f>(IF(WEEKDAY(GM$82,2)&gt;5,0,12.77))*-1</f>
        <v>-12.77</v>
      </c>
      <c r="GN105" s="39">
        <f>(IF(WEEKDAY(GN$82,2)&gt;5,0,15.01))*-1</f>
        <v>-15.01</v>
      </c>
      <c r="GO105" s="39">
        <f>(IF(WEEKDAY(GO$82,2)&gt;5,0,12.91))*-1</f>
        <v>-12.91</v>
      </c>
      <c r="GP105" s="39">
        <f>(IF(WEEKDAY(GP$82,2)&gt;5,0,17.11))*-1</f>
        <v>-17.11</v>
      </c>
      <c r="GQ105" s="39">
        <f>(IF(WEEKDAY(GQ$82,2)&gt;5,0,17.19))*-1</f>
        <v>0</v>
      </c>
      <c r="GR105" s="39">
        <f>(IF(WEEKDAY(GR$82,2)&gt;5,0,12.96))*-1</f>
        <v>0</v>
      </c>
      <c r="GS105" s="39">
        <f>(IF(WEEKDAY(GS$82,2)&gt;5,0,16.82))*-1</f>
        <v>-16.82</v>
      </c>
      <c r="GT105" s="39">
        <f>(IF(WEEKDAY(GT$82,2)&gt;5,0,16.08))*-1</f>
        <v>-16.079999999999998</v>
      </c>
      <c r="GU105" s="39">
        <f>(IF(WEEKDAY(GU$82,2)&gt;5,0,16.53))*-1</f>
        <v>-16.53</v>
      </c>
      <c r="GV105" s="39">
        <f>(IF(WEEKDAY(GV$82,2)&gt;5,0,15.04))*-1</f>
        <v>-15.04</v>
      </c>
      <c r="GW105" s="39">
        <f>(IF(WEEKDAY(GW$82,2)&gt;5,0,15.46))*-1</f>
        <v>-15.46</v>
      </c>
      <c r="GX105" s="39">
        <f>(IF(WEEKDAY(GX$82,2)&gt;5,0,15.4))*-1</f>
        <v>0</v>
      </c>
      <c r="GY105" s="39">
        <f>(IF(WEEKDAY(GY$82,2)&gt;5,0,13.3))*-1</f>
        <v>0</v>
      </c>
      <c r="GZ105" s="39">
        <f>(IF(WEEKDAY(GZ$82,2)&gt;5,0,15.68))*-1</f>
        <v>-15.68</v>
      </c>
      <c r="HA105" s="39">
        <f>(IF(WEEKDAY(HA$82,2)&gt;5,0,13.01))*-1</f>
        <v>-13.01</v>
      </c>
      <c r="HB105" s="39">
        <f>(IF(WEEKDAY(HB$82,2)&gt;5,0,16.37))*-1</f>
        <v>-16.37</v>
      </c>
      <c r="HC105" s="39">
        <f>(IF(WEEKDAY(HC$82,2)&gt;5,0,12.83))*-1</f>
        <v>-12.83</v>
      </c>
      <c r="HD105" s="39">
        <f>(IF(WEEKDAY(HD$82,2)&gt;5,0,16.55))*-1</f>
        <v>-16.55</v>
      </c>
      <c r="HE105" s="39">
        <f>(IF(WEEKDAY(HE$82,2)&gt;5,0,15.08))*-1</f>
        <v>0</v>
      </c>
      <c r="HF105" s="39">
        <f>(IF(WEEKDAY(HF$82,2)&gt;5,0,16.43))*-1</f>
        <v>0</v>
      </c>
      <c r="HG105" s="39">
        <f>(IF(WEEKDAY(HG$82,2)&gt;5,0,14.4))*-1</f>
        <v>-14.4</v>
      </c>
      <c r="HH105" s="39">
        <f>(IF(WEEKDAY(HH$82,2)&gt;5,0,13.64))*-1</f>
        <v>-13.64</v>
      </c>
      <c r="HI105" s="39">
        <f>(IF(WEEKDAY(HI$82,2)&gt;5,0,14.95))*-1</f>
        <v>-14.95</v>
      </c>
      <c r="HJ105" s="39">
        <f>(IF(WEEKDAY(HJ$82,2)&gt;5,0,15.19))*-1</f>
        <v>-15.19</v>
      </c>
      <c r="HK105" s="39">
        <f>(IF(WEEKDAY(HK$82,2)&gt;5,0,15.12))*-1</f>
        <v>-15.12</v>
      </c>
      <c r="HL105" s="39">
        <f>(IF(WEEKDAY(HL$82,2)&gt;5,0,13.56))*-1</f>
        <v>0</v>
      </c>
      <c r="HM105" s="39">
        <f>(IF(WEEKDAY(HM$82,2)&gt;5,0,13.31))*-1</f>
        <v>0</v>
      </c>
      <c r="HN105" s="39">
        <f>(IF(WEEKDAY(HN$82,2)&gt;5,0,13.43))*-1</f>
        <v>-13.43</v>
      </c>
      <c r="HO105" s="39">
        <f>(IF(WEEKDAY(HO$82,2)&gt;5,0,15.32))*-1</f>
        <v>-15.32</v>
      </c>
      <c r="HP105" s="39">
        <f>(IF(WEEKDAY(HP$82,2)&gt;5,0,16.77))*-1</f>
        <v>-16.77</v>
      </c>
      <c r="HQ105" s="39">
        <f>(IF(WEEKDAY(HQ$82,2)&gt;5,0,15.47))*-1</f>
        <v>-15.47</v>
      </c>
      <c r="HR105" s="39">
        <f>(IF(WEEKDAY(HR$82,2)&gt;5,0,14.14))*-1</f>
        <v>-14.14</v>
      </c>
      <c r="HS105" s="39">
        <f>(IF(WEEKDAY(HS$82,2)&gt;5,0,14.79))*-1</f>
        <v>0</v>
      </c>
      <c r="HT105" s="39">
        <f>(IF(WEEKDAY(HT$82,2)&gt;5,0,14.59))*-1</f>
        <v>0</v>
      </c>
      <c r="HU105" s="39">
        <f>(IF(WEEKDAY(HU$82,2)&gt;5,0,13.66))*-1</f>
        <v>-13.66</v>
      </c>
      <c r="HV105" s="39">
        <f>(IF(WEEKDAY(HV$82,2)&gt;5,0,13.56))*-1</f>
        <v>-13.56</v>
      </c>
      <c r="HW105" s="39">
        <f>(IF(WEEKDAY(HW$82,2)&gt;5,0,14.87))*-1</f>
        <v>-14.87</v>
      </c>
      <c r="HX105" s="39">
        <f>(IF(WEEKDAY(HX$82,2)&gt;5,0,14.25))*-1</f>
        <v>-14.25</v>
      </c>
      <c r="HY105" s="39">
        <f>(IF(WEEKDAY(HY$82,2)&gt;5,0,15.77))*-1</f>
        <v>-15.77</v>
      </c>
      <c r="HZ105" s="39">
        <f>(IF(WEEKDAY(HZ$82,2)&gt;5,0,13.37))*-1</f>
        <v>0</v>
      </c>
      <c r="IA105" s="39">
        <f>(IF(WEEKDAY(IA$82,2)&gt;5,0,14.72))*-1</f>
        <v>0</v>
      </c>
      <c r="IB105" s="39">
        <f>(IF(WEEKDAY(IB$82,2)&gt;5,0,14.23))*-1</f>
        <v>-14.23</v>
      </c>
      <c r="IC105" s="39">
        <f>(IF(WEEKDAY(IC$82,2)&gt;5,0,15.69))*-1</f>
        <v>-15.69</v>
      </c>
      <c r="ID105" s="39">
        <f>(IF(WEEKDAY(ID$82,2)&gt;5,0,15.43))*-1</f>
        <v>-15.43</v>
      </c>
      <c r="IE105" s="39">
        <f>(IF(WEEKDAY(IE$82,2)&gt;5,0,16.89))*-1</f>
        <v>-16.89</v>
      </c>
      <c r="IF105" s="39">
        <f>(IF(WEEKDAY(IF$82,2)&gt;5,0,14.45))*-1</f>
        <v>-14.45</v>
      </c>
      <c r="IG105" s="39">
        <f>(IF(WEEKDAY(IG$82,2)&gt;5,0,15.89))*-1</f>
        <v>0</v>
      </c>
      <c r="IH105" s="39">
        <f>(IF(WEEKDAY(IH$82,2)&gt;5,0,13.48))*-1</f>
        <v>0</v>
      </c>
      <c r="II105" s="39">
        <f>(IF(WEEKDAY(II$82,2)&gt;5,0,15.84))*-1</f>
        <v>-15.84</v>
      </c>
      <c r="IJ105" s="39">
        <f>(IF(WEEKDAY(IJ$82,2)&gt;5,0,16.68))*-1</f>
        <v>-16.68</v>
      </c>
      <c r="IK105" s="39">
        <f>(IF(WEEKDAY(IK$82,2)&gt;5,0,16.29))*-1</f>
        <v>-16.29</v>
      </c>
      <c r="IL105" s="39">
        <f>(IF(WEEKDAY(IL$82,2)&gt;5,0,14.81))*-1</f>
        <v>-14.81</v>
      </c>
    </row>
    <row r="106" spans="1:246" x14ac:dyDescent="0.3">
      <c r="A106" t="s">
        <v>20</v>
      </c>
      <c r="B106" s="39">
        <f>(IF(WEEKDAY(B$82,2)&gt;5,0,89.13))*-1</f>
        <v>-89.13</v>
      </c>
      <c r="C106" s="39">
        <f>(IF(WEEKDAY(C$82,2)&gt;5,0,111.17))*-1</f>
        <v>0</v>
      </c>
      <c r="D106" s="39">
        <f>(IF(WEEKDAY(D$82,2)&gt;5,0,113.4))*-1</f>
        <v>0</v>
      </c>
      <c r="E106" s="39">
        <f>(IF(WEEKDAY(E$82,2)&gt;5,0,88.76))*-1</f>
        <v>-88.76</v>
      </c>
      <c r="F106" s="39">
        <f>(IF(WEEKDAY(F$82,2)&gt;5,0,104.85))*-1</f>
        <v>-104.85</v>
      </c>
      <c r="G106" s="39">
        <f>(IF(WEEKDAY(G$82,2)&gt;5,0,109.36))*-1</f>
        <v>-109.36</v>
      </c>
      <c r="H106" s="39">
        <f>(IF(WEEKDAY(H$82,2)&gt;5,0,94.68))*-1</f>
        <v>-94.68</v>
      </c>
      <c r="I106" s="39">
        <f>(IF(WEEKDAY(I$82,2)&gt;5,0,102.05))*-1</f>
        <v>-102.05</v>
      </c>
      <c r="J106" s="39">
        <f>(IF(WEEKDAY(J$82,2)&gt;5,0,87.35))*-1</f>
        <v>0</v>
      </c>
      <c r="K106" s="39">
        <f>(IF(WEEKDAY(K$82,2)&gt;5,0,87.17))*-1</f>
        <v>0</v>
      </c>
      <c r="L106" s="39">
        <f>(IF(WEEKDAY(L$82,2)&gt;5,0,104.99))*-1</f>
        <v>-104.99</v>
      </c>
      <c r="M106" s="39">
        <f>(IF(WEEKDAY(M$82,2)&gt;5,0,90.02))*-1</f>
        <v>-90.02</v>
      </c>
      <c r="N106" s="39">
        <f>(IF(WEEKDAY(N$82,2)&gt;5,0,110.19))*-1</f>
        <v>-110.19</v>
      </c>
      <c r="O106" s="39">
        <f>(IF(WEEKDAY(O$82,2)&gt;5,0,108.88))*-1</f>
        <v>-108.88</v>
      </c>
      <c r="P106" s="39">
        <f>(IF(WEEKDAY(P$82,2)&gt;5,0,96.16))*-1</f>
        <v>-96.16</v>
      </c>
      <c r="Q106" s="39">
        <f>(IF(WEEKDAY(Q$82,2)&gt;5,0,90.47))*-1</f>
        <v>0</v>
      </c>
      <c r="R106" s="39">
        <f>(IF(WEEKDAY(R$82,2)&gt;5,0,97.66))*-1</f>
        <v>0</v>
      </c>
      <c r="S106" s="39">
        <f>(IF(WEEKDAY(S$82,2)&gt;5,0,87.44))*-1</f>
        <v>-87.44</v>
      </c>
      <c r="T106" s="39">
        <f>(IF(WEEKDAY(T$82,2)&gt;5,0,87.9))*-1</f>
        <v>-87.9</v>
      </c>
      <c r="U106" s="39">
        <f>(IF(WEEKDAY(U$82,2)&gt;5,0,96.55))*-1</f>
        <v>-96.55</v>
      </c>
      <c r="V106" s="39">
        <f>(IF(WEEKDAY(V$82,2)&gt;5,0,107.59))*-1</f>
        <v>-107.59</v>
      </c>
      <c r="W106" s="39">
        <f>(IF(WEEKDAY(W$82,2)&gt;5,0,99.59))*-1</f>
        <v>-99.59</v>
      </c>
      <c r="X106" s="39">
        <f>(IF(WEEKDAY(X$82,2)&gt;5,0,99.71))*-1</f>
        <v>0</v>
      </c>
      <c r="Y106" s="39">
        <f>(IF(WEEKDAY(Y$82,2)&gt;5,0,109.56))*-1</f>
        <v>0</v>
      </c>
      <c r="Z106" s="39">
        <f>(IF(WEEKDAY(Z$82,2)&gt;5,0,88.2))*-1</f>
        <v>-88.2</v>
      </c>
      <c r="AA106" s="39">
        <f>(IF(WEEKDAY(AA$82,2)&gt;5,0,107.67))*-1</f>
        <v>-107.67</v>
      </c>
      <c r="AB106" s="39">
        <f>(IF(WEEKDAY(AB$82,2)&gt;5,0,101.01))*-1</f>
        <v>-101.01</v>
      </c>
      <c r="AC106" s="39">
        <f>(IF(WEEKDAY(AC$82,2)&gt;5,0,86.24))*-1</f>
        <v>-86.24</v>
      </c>
      <c r="AD106" s="39">
        <f>(IF(WEEKDAY(AD$82,2)&gt;5,0,108.88))*-1</f>
        <v>-108.88</v>
      </c>
      <c r="AE106" s="39">
        <f>(IF(WEEKDAY(AE$82,2)&gt;5,0,97.29))*-1</f>
        <v>0</v>
      </c>
      <c r="AF106" s="39">
        <f>(IF(WEEKDAY(AF$82,2)&gt;5,0,98.33))*-1</f>
        <v>0</v>
      </c>
      <c r="AG106" s="39">
        <f>(IF(WEEKDAY(AG$82,2)&gt;5,0,111.99))*-1</f>
        <v>-111.99</v>
      </c>
      <c r="AH106" s="39">
        <f>(IF(WEEKDAY(AH$82,2)&gt;5,0,100.08))*-1</f>
        <v>-100.08</v>
      </c>
      <c r="AI106" s="39">
        <f>(IF(WEEKDAY(AI$82,2)&gt;5,0,89.05))*-1</f>
        <v>-89.05</v>
      </c>
      <c r="AJ106" s="39">
        <f>(IF(WEEKDAY(AJ$82,2)&gt;5,0,109.04))*-1</f>
        <v>-109.04</v>
      </c>
      <c r="AK106" s="39">
        <f>(IF(WEEKDAY(AK$82,2)&gt;5,0,89.01))*-1</f>
        <v>-89.01</v>
      </c>
      <c r="AL106" s="39">
        <f>(IF(WEEKDAY(AL$82,2)&gt;5,0,101.39))*-1</f>
        <v>0</v>
      </c>
      <c r="AM106" s="39">
        <f>(IF(WEEKDAY(AM$82,2)&gt;5,0,99.74))*-1</f>
        <v>0</v>
      </c>
      <c r="AN106" s="39">
        <f>(IF(WEEKDAY(AN$82,2)&gt;5,0,101.12))*-1</f>
        <v>-101.12</v>
      </c>
      <c r="AO106" s="39">
        <f>(IF(WEEKDAY(AO$82,2)&gt;5,0,93.32))*-1</f>
        <v>-93.32</v>
      </c>
      <c r="AP106" s="39">
        <f>(IF(WEEKDAY(AP$82,2)&gt;5,0,86))*-1</f>
        <v>-86</v>
      </c>
      <c r="AQ106" s="39">
        <f>(IF(WEEKDAY(AQ$82,2)&gt;5,0,104.92))*-1</f>
        <v>-104.92</v>
      </c>
      <c r="AR106" s="39">
        <f>(IF(WEEKDAY(AR$82,2)&gt;5,0,97.53))*-1</f>
        <v>-97.53</v>
      </c>
      <c r="AS106" s="39">
        <f>(IF(WEEKDAY(AS$82,2)&gt;5,0,103.91))*-1</f>
        <v>0</v>
      </c>
      <c r="AT106" s="39">
        <f>(IF(WEEKDAY(AT$82,2)&gt;5,0,103.39))*-1</f>
        <v>0</v>
      </c>
      <c r="AU106" s="39">
        <f>(IF(WEEKDAY(AU$82,2)&gt;5,0,112.32))*-1</f>
        <v>-112.32</v>
      </c>
      <c r="AV106" s="39">
        <f>(IF(WEEKDAY(AV$82,2)&gt;5,0,100.75))*-1</f>
        <v>-100.75</v>
      </c>
      <c r="AW106" s="39">
        <f>(IF(WEEKDAY(AW$82,2)&gt;5,0,108.99))*-1</f>
        <v>-108.99</v>
      </c>
      <c r="AX106" s="39">
        <f>(IF(WEEKDAY(AX$82,2)&gt;5,0,91.53))*-1</f>
        <v>-91.53</v>
      </c>
      <c r="AY106" s="39">
        <f>(IF(WEEKDAY(AY$82,2)&gt;5,0,88.46))*-1</f>
        <v>-88.46</v>
      </c>
      <c r="AZ106" s="39">
        <f>(IF(WEEKDAY(AZ$82,2)&gt;5,0,112.42))*-1</f>
        <v>0</v>
      </c>
      <c r="BA106" s="39">
        <f>(IF(WEEKDAY(BA$82,2)&gt;5,0,108.07))*-1</f>
        <v>0</v>
      </c>
      <c r="BB106" s="39">
        <f>(IF(WEEKDAY(BB$82,2)&gt;5,0,97.67))*-1</f>
        <v>-97.67</v>
      </c>
      <c r="BC106" s="39">
        <f>(IF(WEEKDAY(BC$82,2)&gt;5,0,103.44))*-1</f>
        <v>-103.44</v>
      </c>
      <c r="BD106" s="39">
        <f>(IF(WEEKDAY(BD$82,2)&gt;5,0,85.42))*-1</f>
        <v>-85.42</v>
      </c>
      <c r="BE106" s="39">
        <f>(IF(WEEKDAY(BE$82,2)&gt;5,0,99.75))*-1</f>
        <v>-99.75</v>
      </c>
      <c r="BF106" s="39">
        <f>(IF(WEEKDAY(BF$82,2)&gt;5,0,99.13))*-1</f>
        <v>-99.13</v>
      </c>
      <c r="BG106" s="39">
        <f>(IF(WEEKDAY(BG$82,2)&gt;5,0,92.92))*-1</f>
        <v>0</v>
      </c>
      <c r="BH106" s="39">
        <f>(IF(WEEKDAY(BH$82,2)&gt;5,0,93.57))*-1</f>
        <v>0</v>
      </c>
      <c r="BI106" s="39">
        <f>(IF(WEEKDAY(BI$82,2)&gt;5,0,87.31))*-1</f>
        <v>-87.31</v>
      </c>
      <c r="BJ106" s="39">
        <f>(IF(WEEKDAY(BJ$82,2)&gt;5,0,90.44))*-1</f>
        <v>-90.44</v>
      </c>
      <c r="BK106" s="39">
        <f>(IF(WEEKDAY(BK$82,2)&gt;5,0,94.26))*-1</f>
        <v>-94.26</v>
      </c>
      <c r="BL106" s="39">
        <f>(IF(WEEKDAY(BL$82,2)&gt;5,0,96.05))*-1</f>
        <v>-96.05</v>
      </c>
      <c r="BM106" s="39">
        <f>(IF(WEEKDAY(BM$82,2)&gt;5,0,109.17))*-1</f>
        <v>-109.17</v>
      </c>
      <c r="BN106" s="39">
        <f>(IF(WEEKDAY(BN$82,2)&gt;5,0,103.66))*-1</f>
        <v>0</v>
      </c>
      <c r="BO106" s="39">
        <f>(IF(WEEKDAY(BO$82,2)&gt;5,0,112.65))*-1</f>
        <v>0</v>
      </c>
      <c r="BP106" s="39">
        <f>(IF(WEEKDAY(BP$82,2)&gt;5,0,100.27))*-1</f>
        <v>-100.27</v>
      </c>
      <c r="BQ106" s="39">
        <f>(IF(WEEKDAY(BQ$82,2)&gt;5,0,95.21))*-1</f>
        <v>-95.21</v>
      </c>
      <c r="BR106" s="39">
        <f>(IF(WEEKDAY(BR$82,2)&gt;5,0,92.39))*-1</f>
        <v>-92.39</v>
      </c>
      <c r="BS106" s="39">
        <f>(IF(WEEKDAY(BS$82,2)&gt;5,0,85.78))*-1</f>
        <v>-85.78</v>
      </c>
      <c r="BT106" s="39">
        <f>(IF(WEEKDAY(BT$82,2)&gt;5,0,86.44))*-1</f>
        <v>-86.44</v>
      </c>
      <c r="BU106" s="39">
        <f>(IF(WEEKDAY(BU$82,2)&gt;5,0,92.56))*-1</f>
        <v>0</v>
      </c>
      <c r="BV106" s="39">
        <f>(IF(WEEKDAY(BV$82,2)&gt;5,0,92.85))*-1</f>
        <v>0</v>
      </c>
      <c r="BW106" s="39">
        <f>(IF(WEEKDAY(BW$82,2)&gt;5,0,99.82))*-1</f>
        <v>-99.82</v>
      </c>
      <c r="BX106" s="39">
        <f>(IF(WEEKDAY(BX$82,2)&gt;5,0,101.85))*-1</f>
        <v>-101.85</v>
      </c>
      <c r="BY106" s="39">
        <f>(IF(WEEKDAY(BY$82,2)&gt;5,0,96.17))*-1</f>
        <v>-96.17</v>
      </c>
      <c r="BZ106" s="39">
        <f>(IF(WEEKDAY(BZ$82,2)&gt;5,0,86.52))*-1</f>
        <v>-86.52</v>
      </c>
      <c r="CA106" s="39">
        <f>(IF(WEEKDAY(CA$82,2)&gt;5,0,107.43))*-1</f>
        <v>-107.43</v>
      </c>
      <c r="CB106" s="39">
        <f>(IF(WEEKDAY(CB$82,2)&gt;5,0,88.71))*-1</f>
        <v>0</v>
      </c>
      <c r="CC106" s="39">
        <f>(IF(WEEKDAY(CC$82,2)&gt;5,0,100.01))*-1</f>
        <v>0</v>
      </c>
      <c r="CD106" s="39">
        <f>(IF(WEEKDAY(CD$82,2)&gt;5,0,100.44))*-1</f>
        <v>-100.44</v>
      </c>
      <c r="CE106" s="39">
        <f>(IF(WEEKDAY(CE$82,2)&gt;5,0,101.9))*-1</f>
        <v>-101.9</v>
      </c>
      <c r="CF106" s="39">
        <f>(IF(WEEKDAY(CF$82,2)&gt;5,0,103.99))*-1</f>
        <v>-103.99</v>
      </c>
      <c r="CG106" s="39">
        <f>(IF(WEEKDAY(CG$82,2)&gt;5,0,107.38))*-1</f>
        <v>-107.38</v>
      </c>
      <c r="CH106" s="39">
        <f>(IF(WEEKDAY(CH$82,2)&gt;5,0,91.18))*-1</f>
        <v>-91.18</v>
      </c>
      <c r="CI106" s="39">
        <f>(IF(WEEKDAY(CI$82,2)&gt;5,0,111.53))*-1</f>
        <v>0</v>
      </c>
      <c r="CJ106" s="39">
        <f>(IF(WEEKDAY(CJ$82,2)&gt;5,0,88.54))*-1</f>
        <v>0</v>
      </c>
      <c r="CK106" s="39">
        <f>(IF(WEEKDAY(CK$82,2)&gt;5,0,107.47))*-1</f>
        <v>-107.47</v>
      </c>
      <c r="CL106" s="39">
        <f>(IF(WEEKDAY(CL$82,2)&gt;5,0,111.02))*-1</f>
        <v>-111.02</v>
      </c>
      <c r="CM106" s="39">
        <f>(IF(WEEKDAY(CM$82,2)&gt;5,0,113.97))*-1</f>
        <v>-113.97</v>
      </c>
      <c r="CN106" s="39">
        <f>(IF(WEEKDAY(CN$82,2)&gt;5,0,105.14))*-1</f>
        <v>-105.14</v>
      </c>
      <c r="CO106" s="39">
        <f>(IF(WEEKDAY(CO$82,2)&gt;5,0,89.55))*-1</f>
        <v>-89.55</v>
      </c>
      <c r="CP106" s="39">
        <f>(IF(WEEKDAY(CP$82,2)&gt;5,0,99.55))*-1</f>
        <v>0</v>
      </c>
      <c r="CQ106" s="39">
        <f>(IF(WEEKDAY(CQ$82,2)&gt;5,0,86.05))*-1</f>
        <v>0</v>
      </c>
      <c r="CR106" s="39">
        <f>(IF(WEEKDAY(CR$82,2)&gt;5,0,111.27))*-1</f>
        <v>-111.27</v>
      </c>
      <c r="CS106" s="39">
        <f>(IF(WEEKDAY(CS$82,2)&gt;5,0,109.32))*-1</f>
        <v>-109.32</v>
      </c>
      <c r="CT106" s="39">
        <f>(IF(WEEKDAY(CT$82,2)&gt;5,0,113.44))*-1</f>
        <v>-113.44</v>
      </c>
      <c r="CU106" s="39">
        <f>(IF(WEEKDAY(CU$82,2)&gt;5,0,105.38))*-1</f>
        <v>-105.38</v>
      </c>
      <c r="CV106" s="39">
        <f>(IF(WEEKDAY(CV$82,2)&gt;5,0,110.16))*-1</f>
        <v>-110.16</v>
      </c>
      <c r="CW106" s="39">
        <f>(IF(WEEKDAY(CW$82,2)&gt;5,0,106.62))*-1</f>
        <v>0</v>
      </c>
      <c r="CX106" s="39">
        <f>(IF(WEEKDAY(CX$82,2)&gt;5,0,105.91))*-1</f>
        <v>0</v>
      </c>
      <c r="CY106" s="39">
        <f>(IF(WEEKDAY(CY$82,2)&gt;5,0,101.65))*-1</f>
        <v>-101.65</v>
      </c>
      <c r="CZ106" s="39">
        <f>(IF(WEEKDAY(CZ$82,2)&gt;5,0,91.48))*-1</f>
        <v>-91.48</v>
      </c>
      <c r="DA106" s="39">
        <f>(IF(WEEKDAY(DA$82,2)&gt;5,0,88.42))*-1</f>
        <v>-88.42</v>
      </c>
      <c r="DB106" s="39">
        <f>(IF(WEEKDAY(DB$82,2)&gt;5,0,96.15))*-1</f>
        <v>-96.15</v>
      </c>
      <c r="DC106" s="39">
        <f>(IF(WEEKDAY(DC$82,2)&gt;5,0,104.2))*-1</f>
        <v>-104.2</v>
      </c>
      <c r="DD106" s="39">
        <f>(IF(WEEKDAY(DD$82,2)&gt;5,0,103.66))*-1</f>
        <v>0</v>
      </c>
      <c r="DE106" s="39">
        <f>(IF(WEEKDAY(DE$82,2)&gt;5,0,102.27))*-1</f>
        <v>0</v>
      </c>
      <c r="DF106" s="39">
        <f>(IF(WEEKDAY(DF$82,2)&gt;5,0,96.57))*-1</f>
        <v>-96.57</v>
      </c>
      <c r="DG106" s="39">
        <f>(IF(WEEKDAY(DG$82,2)&gt;5,0,100.68))*-1</f>
        <v>-100.68</v>
      </c>
      <c r="DH106" s="39">
        <f>(IF(WEEKDAY(DH$82,2)&gt;5,0,97.49))*-1</f>
        <v>-97.49</v>
      </c>
      <c r="DI106" s="39">
        <f>(IF(WEEKDAY(DI$82,2)&gt;5,0,110.34))*-1</f>
        <v>-110.34</v>
      </c>
      <c r="DJ106" s="39">
        <f>(IF(WEEKDAY(DJ$82,2)&gt;5,0,92.65))*-1</f>
        <v>-92.65</v>
      </c>
      <c r="DK106" s="39">
        <f>(IF(WEEKDAY(DK$82,2)&gt;5,0,108.98))*-1</f>
        <v>0</v>
      </c>
      <c r="DL106" s="39">
        <f>(IF(WEEKDAY(DL$82,2)&gt;5,0,100.84))*-1</f>
        <v>0</v>
      </c>
      <c r="DM106" s="39">
        <f>(IF(WEEKDAY(DM$82,2)&gt;5,0,113.66))*-1</f>
        <v>-113.66</v>
      </c>
      <c r="DN106" s="39">
        <f>(IF(WEEKDAY(DN$82,2)&gt;5,0,92.63))*-1</f>
        <v>-92.63</v>
      </c>
      <c r="DO106" s="39">
        <f>(IF(WEEKDAY(DO$82,2)&gt;5,0,106.38))*-1</f>
        <v>-106.38</v>
      </c>
      <c r="DP106" s="39">
        <f>(IF(WEEKDAY(DP$82,2)&gt;5,0,95.63))*-1</f>
        <v>-95.63</v>
      </c>
      <c r="DQ106" s="39">
        <f>(IF(WEEKDAY(DQ$82,2)&gt;5,0,93.68))*-1</f>
        <v>-93.68</v>
      </c>
      <c r="DR106" s="39">
        <f>(IF(WEEKDAY(DR$82,2)&gt;5,0,95.2))*-1</f>
        <v>0</v>
      </c>
      <c r="DS106" s="39">
        <f>(IF(WEEKDAY(DS$82,2)&gt;5,0,101.98))*-1</f>
        <v>0</v>
      </c>
      <c r="DT106" s="39">
        <f>(IF(WEEKDAY(DT$82,2)&gt;5,0,113.99))*-1</f>
        <v>-113.99</v>
      </c>
      <c r="DU106" s="39">
        <f>(IF(WEEKDAY(DU$82,2)&gt;5,0,94.42))*-1</f>
        <v>-94.42</v>
      </c>
      <c r="DV106" s="39">
        <f>(IF(WEEKDAY(DV$82,2)&gt;5,0,111.56))*-1</f>
        <v>-111.56</v>
      </c>
      <c r="DW106" s="39">
        <f>(IF(WEEKDAY(DW$82,2)&gt;5,0,114.33))*-1</f>
        <v>-114.33</v>
      </c>
      <c r="DX106" s="39">
        <f>(IF(WEEKDAY(DX$82,2)&gt;5,0,99.85))*-1</f>
        <v>-99.85</v>
      </c>
      <c r="DY106" s="39">
        <f>(IF(WEEKDAY(DY$82,2)&gt;5,0,103.97))*-1</f>
        <v>0</v>
      </c>
      <c r="DZ106" s="39">
        <f>(IF(WEEKDAY(DZ$82,2)&gt;5,0,103.77))*-1</f>
        <v>0</v>
      </c>
      <c r="EA106" s="39">
        <f>(IF(WEEKDAY(EA$82,2)&gt;5,0,96.12))*-1</f>
        <v>-96.12</v>
      </c>
      <c r="EB106" s="39">
        <f>(IF(WEEKDAY(EB$82,2)&gt;5,0,105.96))*-1</f>
        <v>-105.96</v>
      </c>
      <c r="EC106" s="39">
        <f>(IF(WEEKDAY(EC$82,2)&gt;5,0,87.25))*-1</f>
        <v>-87.25</v>
      </c>
      <c r="ED106" s="39">
        <f>(IF(WEEKDAY(ED$82,2)&gt;5,0,98.2))*-1</f>
        <v>-98.2</v>
      </c>
      <c r="EE106" s="39">
        <f>(IF(WEEKDAY(EE$82,2)&gt;5,0,110.14))*-1</f>
        <v>-110.14</v>
      </c>
      <c r="EF106" s="39">
        <f>(IF(WEEKDAY(EF$82,2)&gt;5,0,88.93))*-1</f>
        <v>0</v>
      </c>
      <c r="EG106" s="39">
        <f>(IF(WEEKDAY(EG$82,2)&gt;5,0,104.97))*-1</f>
        <v>0</v>
      </c>
      <c r="EH106" s="39">
        <f>(IF(WEEKDAY(EH$82,2)&gt;5,0,90.1))*-1</f>
        <v>-90.1</v>
      </c>
      <c r="EI106" s="39">
        <f>(IF(WEEKDAY(EI$82,2)&gt;5,0,103.06))*-1</f>
        <v>-103.06</v>
      </c>
      <c r="EJ106" s="39">
        <f>(IF(WEEKDAY(EJ$82,2)&gt;5,0,96))*-1</f>
        <v>-96</v>
      </c>
      <c r="EK106" s="39">
        <f>(IF(WEEKDAY(EK$82,2)&gt;5,0,109.38))*-1</f>
        <v>-109.38</v>
      </c>
      <c r="EL106" s="39">
        <f>(IF(WEEKDAY(EL$82,2)&gt;5,0,101.36))*-1</f>
        <v>-101.36</v>
      </c>
      <c r="EM106" s="39">
        <f>(IF(WEEKDAY(EM$82,2)&gt;5,0,98.79))*-1</f>
        <v>0</v>
      </c>
      <c r="EN106" s="39">
        <f>(IF(WEEKDAY(EN$82,2)&gt;5,0,107.85))*-1</f>
        <v>0</v>
      </c>
      <c r="EO106" s="39">
        <f>(IF(WEEKDAY(EO$82,2)&gt;5,0,88.23))*-1</f>
        <v>-88.23</v>
      </c>
      <c r="EP106" s="39">
        <f>(IF(WEEKDAY(EP$82,2)&gt;5,0,89.12))*-1</f>
        <v>-89.12</v>
      </c>
      <c r="EQ106" s="39">
        <f>(IF(WEEKDAY(EQ$82,2)&gt;5,0,94.36))*-1</f>
        <v>-94.36</v>
      </c>
      <c r="ER106" s="39">
        <f>(IF(WEEKDAY(ER$82,2)&gt;5,0,98.6))*-1</f>
        <v>-98.6</v>
      </c>
      <c r="ES106" s="39">
        <f>(IF(WEEKDAY(ES$82,2)&gt;5,0,110.96))*-1</f>
        <v>-110.96</v>
      </c>
      <c r="ET106" s="39">
        <f>(IF(WEEKDAY(ET$82,2)&gt;5,0,90.54))*-1</f>
        <v>0</v>
      </c>
      <c r="EU106" s="39">
        <f>(IF(WEEKDAY(EU$82,2)&gt;5,0,91.03))*-1</f>
        <v>0</v>
      </c>
      <c r="EV106" s="39">
        <f>(IF(WEEKDAY(EV$82,2)&gt;5,0,110.18))*-1</f>
        <v>-110.18</v>
      </c>
      <c r="EW106" s="39">
        <f>(IF(WEEKDAY(EW$82,2)&gt;5,0,89.63))*-1</f>
        <v>-89.63</v>
      </c>
      <c r="EX106" s="39">
        <f>(IF(WEEKDAY(EX$82,2)&gt;5,0,104.49))*-1</f>
        <v>-104.49</v>
      </c>
      <c r="EY106" s="39">
        <f>(IF(WEEKDAY(EY$82,2)&gt;5,0,107.88))*-1</f>
        <v>-107.88</v>
      </c>
      <c r="EZ106" s="39">
        <f>(IF(WEEKDAY(EZ$82,2)&gt;5,0,92.1))*-1</f>
        <v>-92.1</v>
      </c>
      <c r="FA106" s="39">
        <f>(IF(WEEKDAY(FA$82,2)&gt;5,0,96.03))*-1</f>
        <v>0</v>
      </c>
      <c r="FB106" s="39">
        <f>(IF(WEEKDAY(FB$82,2)&gt;5,0,110.6))*-1</f>
        <v>0</v>
      </c>
      <c r="FC106" s="39">
        <f>(IF(WEEKDAY(FC$82,2)&gt;5,0,106.1))*-1</f>
        <v>-106.1</v>
      </c>
      <c r="FD106" s="39">
        <f>(IF(WEEKDAY(FD$82,2)&gt;5,0,111.56))*-1</f>
        <v>-111.56</v>
      </c>
      <c r="FE106" s="39">
        <f>(IF(WEEKDAY(FE$82,2)&gt;5,0,104.12))*-1</f>
        <v>-104.12</v>
      </c>
      <c r="FF106" s="39">
        <f>(IF(WEEKDAY(FF$82,2)&gt;5,0,104.24))*-1</f>
        <v>-104.24</v>
      </c>
      <c r="FG106" s="39">
        <f>(IF(WEEKDAY(FG$82,2)&gt;5,0,88.01))*-1</f>
        <v>-88.01</v>
      </c>
      <c r="FH106" s="39">
        <f>(IF(WEEKDAY(FH$82,2)&gt;5,0,109.5))*-1</f>
        <v>0</v>
      </c>
      <c r="FI106" s="39">
        <f>(IF(WEEKDAY(FI$82,2)&gt;5,0,110.97))*-1</f>
        <v>0</v>
      </c>
      <c r="FJ106" s="39">
        <f>(IF(WEEKDAY(FJ$82,2)&gt;5,0,91.56))*-1</f>
        <v>-91.56</v>
      </c>
      <c r="FK106" s="39">
        <f>(IF(WEEKDAY(FK$82,2)&gt;5,0,97.98))*-1</f>
        <v>-97.98</v>
      </c>
      <c r="FL106" s="39">
        <f>(IF(WEEKDAY(FL$82,2)&gt;5,0,92.67))*-1</f>
        <v>-92.67</v>
      </c>
      <c r="FM106" s="39">
        <f>(IF(WEEKDAY(FM$82,2)&gt;5,0,96.27))*-1</f>
        <v>-96.27</v>
      </c>
      <c r="FN106" s="39">
        <f>(IF(WEEKDAY(FN$82,2)&gt;5,0,89.75))*-1</f>
        <v>-89.75</v>
      </c>
      <c r="FO106" s="39">
        <f>(IF(WEEKDAY(FO$82,2)&gt;5,0,93.22))*-1</f>
        <v>0</v>
      </c>
      <c r="FP106" s="39">
        <f>(IF(WEEKDAY(FP$82,2)&gt;5,0,108.23))*-1</f>
        <v>0</v>
      </c>
      <c r="FQ106" s="39">
        <f>(IF(WEEKDAY(FQ$82,2)&gt;5,0,103))*-1</f>
        <v>-103</v>
      </c>
      <c r="FR106" s="39">
        <f>(IF(WEEKDAY(FR$82,2)&gt;5,0,93.92))*-1</f>
        <v>-93.92</v>
      </c>
      <c r="FS106" s="39">
        <f>(IF(WEEKDAY(FS$82,2)&gt;5,0,106.83))*-1</f>
        <v>-106.83</v>
      </c>
      <c r="FT106" s="39">
        <f>(IF(WEEKDAY(FT$82,2)&gt;5,0,87.11))*-1</f>
        <v>-87.11</v>
      </c>
      <c r="FU106" s="39">
        <f>(IF(WEEKDAY(FU$82,2)&gt;5,0,88.92))*-1</f>
        <v>-88.92</v>
      </c>
      <c r="FV106" s="39">
        <f>(IF(WEEKDAY(FV$82,2)&gt;5,0,98.09))*-1</f>
        <v>0</v>
      </c>
      <c r="FW106" s="39">
        <f>(IF(WEEKDAY(FW$82,2)&gt;5,0,110.21))*-1</f>
        <v>0</v>
      </c>
      <c r="FX106" s="39">
        <f>(IF(WEEKDAY(FX$82,2)&gt;5,0,108.31))*-1</f>
        <v>-108.31</v>
      </c>
      <c r="FY106" s="39">
        <f>(IF(WEEKDAY(FY$82,2)&gt;5,0,110.94))*-1</f>
        <v>-110.94</v>
      </c>
      <c r="FZ106" s="39">
        <f>(IF(WEEKDAY(FZ$82,2)&gt;5,0,100.59))*-1</f>
        <v>-100.59</v>
      </c>
      <c r="GA106" s="39">
        <f>(IF(WEEKDAY(GA$82,2)&gt;5,0,89.21))*-1</f>
        <v>-89.21</v>
      </c>
      <c r="GB106" s="39">
        <f>(IF(WEEKDAY(GB$82,2)&gt;5,0,97.62))*-1</f>
        <v>-97.62</v>
      </c>
      <c r="GC106" s="39">
        <f>(IF(WEEKDAY(GC$82,2)&gt;5,0,101.69))*-1</f>
        <v>0</v>
      </c>
      <c r="GD106" s="39">
        <f>(IF(WEEKDAY(GD$82,2)&gt;5,0,109.33))*-1</f>
        <v>0</v>
      </c>
      <c r="GE106" s="39">
        <f>(IF(WEEKDAY(GE$82,2)&gt;5,0,85.83))*-1</f>
        <v>-85.83</v>
      </c>
      <c r="GF106" s="39">
        <f>(IF(WEEKDAY(GF$82,2)&gt;5,0,85.25))*-1</f>
        <v>-85.25</v>
      </c>
      <c r="GG106" s="39">
        <f>(IF(WEEKDAY(GG$82,2)&gt;5,0,100.18))*-1</f>
        <v>-100.18</v>
      </c>
      <c r="GH106" s="39">
        <f>(IF(WEEKDAY(GH$82,2)&gt;5,0,113.05))*-1</f>
        <v>-113.05</v>
      </c>
      <c r="GI106" s="39">
        <f>(IF(WEEKDAY(GI$82,2)&gt;5,0,112.41))*-1</f>
        <v>-112.41</v>
      </c>
      <c r="GJ106" s="39">
        <f>(IF(WEEKDAY(GJ$82,2)&gt;5,0,88.72))*-1</f>
        <v>0</v>
      </c>
      <c r="GK106" s="39">
        <f>(IF(WEEKDAY(GK$82,2)&gt;5,0,107.36))*-1</f>
        <v>0</v>
      </c>
      <c r="GL106" s="39">
        <f>(IF(WEEKDAY(GL$82,2)&gt;5,0,88.95))*-1</f>
        <v>-88.95</v>
      </c>
      <c r="GM106" s="39">
        <f>(IF(WEEKDAY(GM$82,2)&gt;5,0,92.29))*-1</f>
        <v>-92.29</v>
      </c>
      <c r="GN106" s="39">
        <f>(IF(WEEKDAY(GN$82,2)&gt;5,0,97.5))*-1</f>
        <v>-97.5</v>
      </c>
      <c r="GO106" s="39">
        <f>(IF(WEEKDAY(GO$82,2)&gt;5,0,107.17))*-1</f>
        <v>-107.17</v>
      </c>
      <c r="GP106" s="39">
        <f>(IF(WEEKDAY(GP$82,2)&gt;5,0,106.73))*-1</f>
        <v>-106.73</v>
      </c>
      <c r="GQ106" s="39">
        <f>(IF(WEEKDAY(GQ$82,2)&gt;5,0,102.14))*-1</f>
        <v>0</v>
      </c>
      <c r="GR106" s="39">
        <f>(IF(WEEKDAY(GR$82,2)&gt;5,0,95.28))*-1</f>
        <v>0</v>
      </c>
      <c r="GS106" s="39">
        <f>(IF(WEEKDAY(GS$82,2)&gt;5,0,106.66))*-1</f>
        <v>-106.66</v>
      </c>
      <c r="GT106" s="39">
        <f>(IF(WEEKDAY(GT$82,2)&gt;5,0,99.73))*-1</f>
        <v>-99.73</v>
      </c>
      <c r="GU106" s="39">
        <f>(IF(WEEKDAY(GU$82,2)&gt;5,0,112.72))*-1</f>
        <v>-112.72</v>
      </c>
      <c r="GV106" s="39">
        <f>(IF(WEEKDAY(GV$82,2)&gt;5,0,104.5))*-1</f>
        <v>-104.5</v>
      </c>
      <c r="GW106" s="39">
        <f>(IF(WEEKDAY(GW$82,2)&gt;5,0,86.89))*-1</f>
        <v>-86.89</v>
      </c>
      <c r="GX106" s="39">
        <f>(IF(WEEKDAY(GX$82,2)&gt;5,0,102.23))*-1</f>
        <v>0</v>
      </c>
      <c r="GY106" s="39">
        <f>(IF(WEEKDAY(GY$82,2)&gt;5,0,87.08))*-1</f>
        <v>0</v>
      </c>
      <c r="GZ106" s="39">
        <f>(IF(WEEKDAY(GZ$82,2)&gt;5,0,88.15))*-1</f>
        <v>-88.15</v>
      </c>
      <c r="HA106" s="39">
        <f>(IF(WEEKDAY(HA$82,2)&gt;5,0,112.48))*-1</f>
        <v>-112.48</v>
      </c>
      <c r="HB106" s="39">
        <f>(IF(WEEKDAY(HB$82,2)&gt;5,0,114.48))*-1</f>
        <v>-114.48</v>
      </c>
      <c r="HC106" s="39">
        <f>(IF(WEEKDAY(HC$82,2)&gt;5,0,92.47))*-1</f>
        <v>-92.47</v>
      </c>
      <c r="HD106" s="39">
        <f>(IF(WEEKDAY(HD$82,2)&gt;5,0,111.97))*-1</f>
        <v>-111.97</v>
      </c>
      <c r="HE106" s="39">
        <f>(IF(WEEKDAY(HE$82,2)&gt;5,0,85.45))*-1</f>
        <v>0</v>
      </c>
      <c r="HF106" s="39">
        <f>(IF(WEEKDAY(HF$82,2)&gt;5,0,87.72))*-1</f>
        <v>0</v>
      </c>
      <c r="HG106" s="39">
        <f>(IF(WEEKDAY(HG$82,2)&gt;5,0,101.68))*-1</f>
        <v>-101.68</v>
      </c>
      <c r="HH106" s="39">
        <f>(IF(WEEKDAY(HH$82,2)&gt;5,0,91.46))*-1</f>
        <v>-91.46</v>
      </c>
      <c r="HI106" s="39">
        <f>(IF(WEEKDAY(HI$82,2)&gt;5,0,97.37))*-1</f>
        <v>-97.37</v>
      </c>
      <c r="HJ106" s="39">
        <f>(IF(WEEKDAY(HJ$82,2)&gt;5,0,99.21))*-1</f>
        <v>-99.21</v>
      </c>
      <c r="HK106" s="39">
        <f>(IF(WEEKDAY(HK$82,2)&gt;5,0,100.01))*-1</f>
        <v>-100.01</v>
      </c>
      <c r="HL106" s="39">
        <f>(IF(WEEKDAY(HL$82,2)&gt;5,0,103.11))*-1</f>
        <v>0</v>
      </c>
      <c r="HM106" s="39">
        <f>(IF(WEEKDAY(HM$82,2)&gt;5,0,111.65))*-1</f>
        <v>0</v>
      </c>
      <c r="HN106" s="39">
        <f>(IF(WEEKDAY(HN$82,2)&gt;5,0,106.7))*-1</f>
        <v>-106.7</v>
      </c>
      <c r="HO106" s="39">
        <f>(IF(WEEKDAY(HO$82,2)&gt;5,0,108.4))*-1</f>
        <v>-108.4</v>
      </c>
      <c r="HP106" s="39">
        <f>(IF(WEEKDAY(HP$82,2)&gt;5,0,91.75))*-1</f>
        <v>-91.75</v>
      </c>
      <c r="HQ106" s="39">
        <f>(IF(WEEKDAY(HQ$82,2)&gt;5,0,109.04))*-1</f>
        <v>-109.04</v>
      </c>
      <c r="HR106" s="39">
        <f>(IF(WEEKDAY(HR$82,2)&gt;5,0,106.58))*-1</f>
        <v>-106.58</v>
      </c>
      <c r="HS106" s="39">
        <f>(IF(WEEKDAY(HS$82,2)&gt;5,0,90.71))*-1</f>
        <v>0</v>
      </c>
      <c r="HT106" s="39">
        <f>(IF(WEEKDAY(HT$82,2)&gt;5,0,94.14))*-1</f>
        <v>0</v>
      </c>
      <c r="HU106" s="39">
        <f>(IF(WEEKDAY(HU$82,2)&gt;5,0,101.37))*-1</f>
        <v>-101.37</v>
      </c>
      <c r="HV106" s="39">
        <f>(IF(WEEKDAY(HV$82,2)&gt;5,0,110.87))*-1</f>
        <v>-110.87</v>
      </c>
      <c r="HW106" s="39">
        <f>(IF(WEEKDAY(HW$82,2)&gt;5,0,109.93))*-1</f>
        <v>-109.93</v>
      </c>
      <c r="HX106" s="39">
        <f>(IF(WEEKDAY(HX$82,2)&gt;5,0,86.53))*-1</f>
        <v>-86.53</v>
      </c>
      <c r="HY106" s="39">
        <f>(IF(WEEKDAY(HY$82,2)&gt;5,0,91.55))*-1</f>
        <v>-91.55</v>
      </c>
      <c r="HZ106" s="39">
        <f>(IF(WEEKDAY(HZ$82,2)&gt;5,0,90.92))*-1</f>
        <v>0</v>
      </c>
      <c r="IA106" s="39">
        <f>(IF(WEEKDAY(IA$82,2)&gt;5,0,111.15))*-1</f>
        <v>0</v>
      </c>
      <c r="IB106" s="39">
        <f>(IF(WEEKDAY(IB$82,2)&gt;5,0,110.1))*-1</f>
        <v>-110.1</v>
      </c>
      <c r="IC106" s="39">
        <f>(IF(WEEKDAY(IC$82,2)&gt;5,0,98.67))*-1</f>
        <v>-98.67</v>
      </c>
      <c r="ID106" s="39">
        <f>(IF(WEEKDAY(ID$82,2)&gt;5,0,95.06))*-1</f>
        <v>-95.06</v>
      </c>
      <c r="IE106" s="39">
        <f>(IF(WEEKDAY(IE$82,2)&gt;5,0,95.33))*-1</f>
        <v>-95.33</v>
      </c>
      <c r="IF106" s="39">
        <f>(IF(WEEKDAY(IF$82,2)&gt;5,0,107.64))*-1</f>
        <v>-107.64</v>
      </c>
      <c r="IG106" s="39">
        <f>(IF(WEEKDAY(IG$82,2)&gt;5,0,92.9))*-1</f>
        <v>0</v>
      </c>
      <c r="IH106" s="39">
        <f>(IF(WEEKDAY(IH$82,2)&gt;5,0,106.76))*-1</f>
        <v>0</v>
      </c>
      <c r="II106" s="39">
        <f>(IF(WEEKDAY(II$82,2)&gt;5,0,95.78))*-1</f>
        <v>-95.78</v>
      </c>
      <c r="IJ106" s="39">
        <f>(IF(WEEKDAY(IJ$82,2)&gt;5,0,106.61))*-1</f>
        <v>-106.61</v>
      </c>
      <c r="IK106" s="39">
        <f>(IF(WEEKDAY(IK$82,2)&gt;5,0,107.64))*-1</f>
        <v>-107.64</v>
      </c>
      <c r="IL106" s="39">
        <f>(IF(WEEKDAY(IL$82,2)&gt;5,0,96.93))*-1</f>
        <v>-96.93</v>
      </c>
    </row>
    <row r="107" spans="1:246" x14ac:dyDescent="0.3">
      <c r="A107" t="s">
        <v>21</v>
      </c>
      <c r="B107" s="39">
        <f>(IF(WEEKDAY(B$82,2)&gt;5,0,21.93))*-1</f>
        <v>-21.93</v>
      </c>
      <c r="C107" s="39">
        <f>(IF(WEEKDAY(C$82,2)&gt;5,0,25.97))*-1</f>
        <v>0</v>
      </c>
      <c r="D107" s="39">
        <f>(IF(WEEKDAY(D$82,2)&gt;5,0,21.73))*-1</f>
        <v>0</v>
      </c>
      <c r="E107" s="39">
        <f>(IF(WEEKDAY(E$82,2)&gt;5,0,23.33))*-1</f>
        <v>-23.33</v>
      </c>
      <c r="F107" s="39">
        <f>(IF(WEEKDAY(F$82,2)&gt;5,0,24.73))*-1</f>
        <v>-24.73</v>
      </c>
      <c r="G107" s="39">
        <f>(IF(WEEKDAY(G$82,2)&gt;5,0,27.43))*-1</f>
        <v>-27.43</v>
      </c>
      <c r="H107" s="39">
        <f>(IF(WEEKDAY(H$82,2)&gt;5,0,26.34))*-1</f>
        <v>-26.34</v>
      </c>
      <c r="I107" s="39">
        <f>(IF(WEEKDAY(I$82,2)&gt;5,0,27.55))*-1</f>
        <v>-27.55</v>
      </c>
      <c r="J107" s="39">
        <f>(IF(WEEKDAY(J$82,2)&gt;5,0,25.32))*-1</f>
        <v>0</v>
      </c>
      <c r="K107" s="39">
        <f>(IF(WEEKDAY(K$82,2)&gt;5,0,25.93))*-1</f>
        <v>0</v>
      </c>
      <c r="L107" s="39">
        <f>(IF(WEEKDAY(L$82,2)&gt;5,0,24.68))*-1</f>
        <v>-24.68</v>
      </c>
      <c r="M107" s="39">
        <f>(IF(WEEKDAY(M$82,2)&gt;5,0,22.42))*-1</f>
        <v>-22.42</v>
      </c>
      <c r="N107" s="39">
        <f>(IF(WEEKDAY(N$82,2)&gt;5,0,24.88))*-1</f>
        <v>-24.88</v>
      </c>
      <c r="O107" s="39">
        <f>(IF(WEEKDAY(O$82,2)&gt;5,0,23.72))*-1</f>
        <v>-23.72</v>
      </c>
      <c r="P107" s="39">
        <f>(IF(WEEKDAY(P$82,2)&gt;5,0,26.12))*-1</f>
        <v>-26.12</v>
      </c>
      <c r="Q107" s="39">
        <f>(IF(WEEKDAY(Q$82,2)&gt;5,0,21.59))*-1</f>
        <v>0</v>
      </c>
      <c r="R107" s="39">
        <f>(IF(WEEKDAY(R$82,2)&gt;5,0,25.91))*-1</f>
        <v>0</v>
      </c>
      <c r="S107" s="39">
        <f>(IF(WEEKDAY(S$82,2)&gt;5,0,22.29))*-1</f>
        <v>-22.29</v>
      </c>
      <c r="T107" s="39">
        <f>(IF(WEEKDAY(T$82,2)&gt;5,0,28.64))*-1</f>
        <v>-28.64</v>
      </c>
      <c r="U107" s="39">
        <f>(IF(WEEKDAY(U$82,2)&gt;5,0,23.5))*-1</f>
        <v>-23.5</v>
      </c>
      <c r="V107" s="39">
        <f>(IF(WEEKDAY(V$82,2)&gt;5,0,25.31))*-1</f>
        <v>-25.31</v>
      </c>
      <c r="W107" s="39">
        <f>(IF(WEEKDAY(W$82,2)&gt;5,0,26.76))*-1</f>
        <v>-26.76</v>
      </c>
      <c r="X107" s="39">
        <f>(IF(WEEKDAY(X$82,2)&gt;5,0,21.41))*-1</f>
        <v>0</v>
      </c>
      <c r="Y107" s="39">
        <f>(IF(WEEKDAY(Y$82,2)&gt;5,0,28.51))*-1</f>
        <v>0</v>
      </c>
      <c r="Z107" s="39">
        <f>(IF(WEEKDAY(Z$82,2)&gt;5,0,22.05))*-1</f>
        <v>-22.05</v>
      </c>
      <c r="AA107" s="39">
        <f>(IF(WEEKDAY(AA$82,2)&gt;5,0,21.87))*-1</f>
        <v>-21.87</v>
      </c>
      <c r="AB107" s="39">
        <f>(IF(WEEKDAY(AB$82,2)&gt;5,0,25.35))*-1</f>
        <v>-25.35</v>
      </c>
      <c r="AC107" s="39">
        <f>(IF(WEEKDAY(AC$82,2)&gt;5,0,22.87))*-1</f>
        <v>-22.87</v>
      </c>
      <c r="AD107" s="39">
        <f>(IF(WEEKDAY(AD$82,2)&gt;5,0,24.37))*-1</f>
        <v>-24.37</v>
      </c>
      <c r="AE107" s="39">
        <f>(IF(WEEKDAY(AE$82,2)&gt;5,0,21.76))*-1</f>
        <v>0</v>
      </c>
      <c r="AF107" s="39">
        <f>(IF(WEEKDAY(AF$82,2)&gt;5,0,28.54))*-1</f>
        <v>0</v>
      </c>
      <c r="AG107" s="39">
        <f>(IF(WEEKDAY(AG$82,2)&gt;5,0,23.48))*-1</f>
        <v>-23.48</v>
      </c>
      <c r="AH107" s="39">
        <f>(IF(WEEKDAY(AH$82,2)&gt;5,0,25.2))*-1</f>
        <v>-25.2</v>
      </c>
      <c r="AI107" s="39">
        <f>(IF(WEEKDAY(AI$82,2)&gt;5,0,24.73))*-1</f>
        <v>-24.73</v>
      </c>
      <c r="AJ107" s="39">
        <f>(IF(WEEKDAY(AJ$82,2)&gt;5,0,21.61))*-1</f>
        <v>-21.61</v>
      </c>
      <c r="AK107" s="39">
        <f>(IF(WEEKDAY(AK$82,2)&gt;5,0,28.09))*-1</f>
        <v>-28.09</v>
      </c>
      <c r="AL107" s="39">
        <f>(IF(WEEKDAY(AL$82,2)&gt;5,0,27.54))*-1</f>
        <v>0</v>
      </c>
      <c r="AM107" s="39">
        <f>(IF(WEEKDAY(AM$82,2)&gt;5,0,22.77))*-1</f>
        <v>0</v>
      </c>
      <c r="AN107" s="39">
        <f>(IF(WEEKDAY(AN$82,2)&gt;5,0,25.46))*-1</f>
        <v>-25.46</v>
      </c>
      <c r="AO107" s="39">
        <f>(IF(WEEKDAY(AO$82,2)&gt;5,0,26.17))*-1</f>
        <v>-26.17</v>
      </c>
      <c r="AP107" s="39">
        <f>(IF(WEEKDAY(AP$82,2)&gt;5,0,24.25))*-1</f>
        <v>-24.25</v>
      </c>
      <c r="AQ107" s="39">
        <f>(IF(WEEKDAY(AQ$82,2)&gt;5,0,24.19))*-1</f>
        <v>-24.19</v>
      </c>
      <c r="AR107" s="39">
        <f>(IF(WEEKDAY(AR$82,2)&gt;5,0,26.15))*-1</f>
        <v>-26.15</v>
      </c>
      <c r="AS107" s="39">
        <f>(IF(WEEKDAY(AS$82,2)&gt;5,0,27.87))*-1</f>
        <v>0</v>
      </c>
      <c r="AT107" s="39">
        <f>(IF(WEEKDAY(AT$82,2)&gt;5,0,28.62))*-1</f>
        <v>0</v>
      </c>
      <c r="AU107" s="39">
        <f>(IF(WEEKDAY(AU$82,2)&gt;5,0,22.95))*-1</f>
        <v>-22.95</v>
      </c>
      <c r="AV107" s="39">
        <f>(IF(WEEKDAY(AV$82,2)&gt;5,0,23.63))*-1</f>
        <v>-23.63</v>
      </c>
      <c r="AW107" s="39">
        <f>(IF(WEEKDAY(AW$82,2)&gt;5,0,21.94))*-1</f>
        <v>-21.94</v>
      </c>
      <c r="AX107" s="39">
        <f>(IF(WEEKDAY(AX$82,2)&gt;5,0,25.42))*-1</f>
        <v>-25.42</v>
      </c>
      <c r="AY107" s="39">
        <f>(IF(WEEKDAY(AY$82,2)&gt;5,0,21.32))*-1</f>
        <v>-21.32</v>
      </c>
      <c r="AZ107" s="39">
        <f>(IF(WEEKDAY(AZ$82,2)&gt;5,0,25.28))*-1</f>
        <v>0</v>
      </c>
      <c r="BA107" s="39">
        <f>(IF(WEEKDAY(BA$82,2)&gt;5,0,25.49))*-1</f>
        <v>0</v>
      </c>
      <c r="BB107" s="39">
        <f>(IF(WEEKDAY(BB$82,2)&gt;5,0,27.11))*-1</f>
        <v>-27.11</v>
      </c>
      <c r="BC107" s="39">
        <f>(IF(WEEKDAY(BC$82,2)&gt;5,0,25.18))*-1</f>
        <v>-25.18</v>
      </c>
      <c r="BD107" s="39">
        <f>(IF(WEEKDAY(BD$82,2)&gt;5,0,25.8))*-1</f>
        <v>-25.8</v>
      </c>
      <c r="BE107" s="39">
        <f>(IF(WEEKDAY(BE$82,2)&gt;5,0,26.88))*-1</f>
        <v>-26.88</v>
      </c>
      <c r="BF107" s="39">
        <f>(IF(WEEKDAY(BF$82,2)&gt;5,0,21.42))*-1</f>
        <v>-21.42</v>
      </c>
      <c r="BG107" s="39">
        <f>(IF(WEEKDAY(BG$82,2)&gt;5,0,22.23))*-1</f>
        <v>0</v>
      </c>
      <c r="BH107" s="39">
        <f>(IF(WEEKDAY(BH$82,2)&gt;5,0,23.05))*-1</f>
        <v>0</v>
      </c>
      <c r="BI107" s="39">
        <f>(IF(WEEKDAY(BI$82,2)&gt;5,0,26.56))*-1</f>
        <v>-26.56</v>
      </c>
      <c r="BJ107" s="39">
        <f>(IF(WEEKDAY(BJ$82,2)&gt;5,0,28.23))*-1</f>
        <v>-28.23</v>
      </c>
      <c r="BK107" s="39">
        <f>(IF(WEEKDAY(BK$82,2)&gt;5,0,24.66))*-1</f>
        <v>-24.66</v>
      </c>
      <c r="BL107" s="39">
        <f>(IF(WEEKDAY(BL$82,2)&gt;5,0,27.55))*-1</f>
        <v>-27.55</v>
      </c>
      <c r="BM107" s="39">
        <f>(IF(WEEKDAY(BM$82,2)&gt;5,0,23.12))*-1</f>
        <v>-23.12</v>
      </c>
      <c r="BN107" s="39">
        <f>(IF(WEEKDAY(BN$82,2)&gt;5,0,26.3))*-1</f>
        <v>0</v>
      </c>
      <c r="BO107" s="39">
        <f>(IF(WEEKDAY(BO$82,2)&gt;5,0,27.11))*-1</f>
        <v>0</v>
      </c>
      <c r="BP107" s="39">
        <f>(IF(WEEKDAY(BP$82,2)&gt;5,0,25.2))*-1</f>
        <v>-25.2</v>
      </c>
      <c r="BQ107" s="39">
        <f>(IF(WEEKDAY(BQ$82,2)&gt;5,0,27.98))*-1</f>
        <v>-27.98</v>
      </c>
      <c r="BR107" s="39">
        <f>(IF(WEEKDAY(BR$82,2)&gt;5,0,28.57))*-1</f>
        <v>-28.57</v>
      </c>
      <c r="BS107" s="39">
        <f>(IF(WEEKDAY(BS$82,2)&gt;5,0,28.73))*-1</f>
        <v>-28.73</v>
      </c>
      <c r="BT107" s="39">
        <f>(IF(WEEKDAY(BT$82,2)&gt;5,0,25.46))*-1</f>
        <v>-25.46</v>
      </c>
      <c r="BU107" s="39">
        <f>(IF(WEEKDAY(BU$82,2)&gt;5,0,22.19))*-1</f>
        <v>0</v>
      </c>
      <c r="BV107" s="39">
        <f>(IF(WEEKDAY(BV$82,2)&gt;5,0,26.21))*-1</f>
        <v>0</v>
      </c>
      <c r="BW107" s="39">
        <f>(IF(WEEKDAY(BW$82,2)&gt;5,0,21.48))*-1</f>
        <v>-21.48</v>
      </c>
      <c r="BX107" s="39">
        <f>(IF(WEEKDAY(BX$82,2)&gt;5,0,27.52))*-1</f>
        <v>-27.52</v>
      </c>
      <c r="BY107" s="39">
        <f>(IF(WEEKDAY(BY$82,2)&gt;5,0,23.46))*-1</f>
        <v>-23.46</v>
      </c>
      <c r="BZ107" s="39">
        <f>(IF(WEEKDAY(BZ$82,2)&gt;5,0,21.6))*-1</f>
        <v>-21.6</v>
      </c>
      <c r="CA107" s="39">
        <f>(IF(WEEKDAY(CA$82,2)&gt;5,0,27.21))*-1</f>
        <v>-27.21</v>
      </c>
      <c r="CB107" s="39">
        <f>(IF(WEEKDAY(CB$82,2)&gt;5,0,26.69))*-1</f>
        <v>0</v>
      </c>
      <c r="CC107" s="39">
        <f>(IF(WEEKDAY(CC$82,2)&gt;5,0,24.29))*-1</f>
        <v>0</v>
      </c>
      <c r="CD107" s="39">
        <f>(IF(WEEKDAY(CD$82,2)&gt;5,0,22.91))*-1</f>
        <v>-22.91</v>
      </c>
      <c r="CE107" s="39">
        <f>(IF(WEEKDAY(CE$82,2)&gt;5,0,24.11))*-1</f>
        <v>-24.11</v>
      </c>
      <c r="CF107" s="39">
        <f>(IF(WEEKDAY(CF$82,2)&gt;5,0,25.45))*-1</f>
        <v>-25.45</v>
      </c>
      <c r="CG107" s="39">
        <f>(IF(WEEKDAY(CG$82,2)&gt;5,0,24.84))*-1</f>
        <v>-24.84</v>
      </c>
      <c r="CH107" s="39">
        <f>(IF(WEEKDAY(CH$82,2)&gt;5,0,22.86))*-1</f>
        <v>-22.86</v>
      </c>
      <c r="CI107" s="39">
        <f>(IF(WEEKDAY(CI$82,2)&gt;5,0,23.15))*-1</f>
        <v>0</v>
      </c>
      <c r="CJ107" s="39">
        <f>(IF(WEEKDAY(CJ$82,2)&gt;5,0,24.59))*-1</f>
        <v>0</v>
      </c>
      <c r="CK107" s="39">
        <f>(IF(WEEKDAY(CK$82,2)&gt;5,0,21.74))*-1</f>
        <v>-21.74</v>
      </c>
      <c r="CL107" s="39">
        <f>(IF(WEEKDAY(CL$82,2)&gt;5,0,27.92))*-1</f>
        <v>-27.92</v>
      </c>
      <c r="CM107" s="39">
        <f>(IF(WEEKDAY(CM$82,2)&gt;5,0,22.35))*-1</f>
        <v>-22.35</v>
      </c>
      <c r="CN107" s="39">
        <f>(IF(WEEKDAY(CN$82,2)&gt;5,0,26.96))*-1</f>
        <v>-26.96</v>
      </c>
      <c r="CO107" s="39">
        <f>(IF(WEEKDAY(CO$82,2)&gt;5,0,24.46))*-1</f>
        <v>-24.46</v>
      </c>
      <c r="CP107" s="39">
        <f>(IF(WEEKDAY(CP$82,2)&gt;5,0,25.76))*-1</f>
        <v>0</v>
      </c>
      <c r="CQ107" s="39">
        <f>(IF(WEEKDAY(CQ$82,2)&gt;5,0,22.02))*-1</f>
        <v>0</v>
      </c>
      <c r="CR107" s="39">
        <f>(IF(WEEKDAY(CR$82,2)&gt;5,0,23.32))*-1</f>
        <v>-23.32</v>
      </c>
      <c r="CS107" s="39">
        <f>(IF(WEEKDAY(CS$82,2)&gt;5,0,22.17))*-1</f>
        <v>-22.17</v>
      </c>
      <c r="CT107" s="39">
        <f>(IF(WEEKDAY(CT$82,2)&gt;5,0,27.16))*-1</f>
        <v>-27.16</v>
      </c>
      <c r="CU107" s="39">
        <f>(IF(WEEKDAY(CU$82,2)&gt;5,0,22.77))*-1</f>
        <v>-22.77</v>
      </c>
      <c r="CV107" s="39">
        <f>(IF(WEEKDAY(CV$82,2)&gt;5,0,23.57))*-1</f>
        <v>-23.57</v>
      </c>
      <c r="CW107" s="39">
        <f>(IF(WEEKDAY(CW$82,2)&gt;5,0,28.33))*-1</f>
        <v>0</v>
      </c>
      <c r="CX107" s="39">
        <f>(IF(WEEKDAY(CX$82,2)&gt;5,0,22.35))*-1</f>
        <v>0</v>
      </c>
      <c r="CY107" s="39">
        <f>(IF(WEEKDAY(CY$82,2)&gt;5,0,25.94))*-1</f>
        <v>-25.94</v>
      </c>
      <c r="CZ107" s="39">
        <f>(IF(WEEKDAY(CZ$82,2)&gt;5,0,24))*-1</f>
        <v>-24</v>
      </c>
      <c r="DA107" s="39">
        <f>(IF(WEEKDAY(DA$82,2)&gt;5,0,27.71))*-1</f>
        <v>-27.71</v>
      </c>
      <c r="DB107" s="39">
        <f>(IF(WEEKDAY(DB$82,2)&gt;5,0,23.78))*-1</f>
        <v>-23.78</v>
      </c>
      <c r="DC107" s="39">
        <f>(IF(WEEKDAY(DC$82,2)&gt;5,0,24.94))*-1</f>
        <v>-24.94</v>
      </c>
      <c r="DD107" s="39">
        <f>(IF(WEEKDAY(DD$82,2)&gt;5,0,24.78))*-1</f>
        <v>0</v>
      </c>
      <c r="DE107" s="39">
        <f>(IF(WEEKDAY(DE$82,2)&gt;5,0,25.38))*-1</f>
        <v>0</v>
      </c>
      <c r="DF107" s="39">
        <f>(IF(WEEKDAY(DF$82,2)&gt;5,0,23.51))*-1</f>
        <v>-23.51</v>
      </c>
      <c r="DG107" s="39">
        <f>(IF(WEEKDAY(DG$82,2)&gt;5,0,28.47))*-1</f>
        <v>-28.47</v>
      </c>
      <c r="DH107" s="39">
        <f>(IF(WEEKDAY(DH$82,2)&gt;5,0,26.46))*-1</f>
        <v>-26.46</v>
      </c>
      <c r="DI107" s="39">
        <f>(IF(WEEKDAY(DI$82,2)&gt;5,0,23.24))*-1</f>
        <v>-23.24</v>
      </c>
      <c r="DJ107" s="39">
        <f>(IF(WEEKDAY(DJ$82,2)&gt;5,0,21.32))*-1</f>
        <v>-21.32</v>
      </c>
      <c r="DK107" s="39">
        <f>(IF(WEEKDAY(DK$82,2)&gt;5,0,27.73))*-1</f>
        <v>0</v>
      </c>
      <c r="DL107" s="39">
        <f>(IF(WEEKDAY(DL$82,2)&gt;5,0,24.9))*-1</f>
        <v>0</v>
      </c>
      <c r="DM107" s="39">
        <f>(IF(WEEKDAY(DM$82,2)&gt;5,0,26.65))*-1</f>
        <v>-26.65</v>
      </c>
      <c r="DN107" s="39">
        <f>(IF(WEEKDAY(DN$82,2)&gt;5,0,22.17))*-1</f>
        <v>-22.17</v>
      </c>
      <c r="DO107" s="39">
        <f>(IF(WEEKDAY(DO$82,2)&gt;5,0,26.66))*-1</f>
        <v>-26.66</v>
      </c>
      <c r="DP107" s="39">
        <f>(IF(WEEKDAY(DP$82,2)&gt;5,0,23.25))*-1</f>
        <v>-23.25</v>
      </c>
      <c r="DQ107" s="39">
        <f>(IF(WEEKDAY(DQ$82,2)&gt;5,0,25.64))*-1</f>
        <v>-25.64</v>
      </c>
      <c r="DR107" s="39">
        <f>(IF(WEEKDAY(DR$82,2)&gt;5,0,22.86))*-1</f>
        <v>0</v>
      </c>
      <c r="DS107" s="39">
        <f>(IF(WEEKDAY(DS$82,2)&gt;5,0,28.16))*-1</f>
        <v>0</v>
      </c>
      <c r="DT107" s="39">
        <f>(IF(WEEKDAY(DT$82,2)&gt;5,0,27.78))*-1</f>
        <v>-27.78</v>
      </c>
      <c r="DU107" s="39">
        <f>(IF(WEEKDAY(DU$82,2)&gt;5,0,21.71))*-1</f>
        <v>-21.71</v>
      </c>
      <c r="DV107" s="39">
        <f>(IF(WEEKDAY(DV$82,2)&gt;5,0,22.46))*-1</f>
        <v>-22.46</v>
      </c>
      <c r="DW107" s="39">
        <f>(IF(WEEKDAY(DW$82,2)&gt;5,0,25.44))*-1</f>
        <v>-25.44</v>
      </c>
      <c r="DX107" s="39">
        <f>(IF(WEEKDAY(DX$82,2)&gt;5,0,26.71))*-1</f>
        <v>-26.71</v>
      </c>
      <c r="DY107" s="39">
        <f>(IF(WEEKDAY(DY$82,2)&gt;5,0,26.99))*-1</f>
        <v>0</v>
      </c>
      <c r="DZ107" s="39">
        <f>(IF(WEEKDAY(DZ$82,2)&gt;5,0,28.07))*-1</f>
        <v>0</v>
      </c>
      <c r="EA107" s="39">
        <f>(IF(WEEKDAY(EA$82,2)&gt;5,0,26.49))*-1</f>
        <v>-26.49</v>
      </c>
      <c r="EB107" s="39">
        <f>(IF(WEEKDAY(EB$82,2)&gt;5,0,26.07))*-1</f>
        <v>-26.07</v>
      </c>
      <c r="EC107" s="39">
        <f>(IF(WEEKDAY(EC$82,2)&gt;5,0,22.36))*-1</f>
        <v>-22.36</v>
      </c>
      <c r="ED107" s="39">
        <f>(IF(WEEKDAY(ED$82,2)&gt;5,0,28))*-1</f>
        <v>-28</v>
      </c>
      <c r="EE107" s="39">
        <f>(IF(WEEKDAY(EE$82,2)&gt;5,0,26.9))*-1</f>
        <v>-26.9</v>
      </c>
      <c r="EF107" s="39">
        <f>(IF(WEEKDAY(EF$82,2)&gt;5,0,22.06))*-1</f>
        <v>0</v>
      </c>
      <c r="EG107" s="39">
        <f>(IF(WEEKDAY(EG$82,2)&gt;5,0,24.7))*-1</f>
        <v>0</v>
      </c>
      <c r="EH107" s="39">
        <f>(IF(WEEKDAY(EH$82,2)&gt;5,0,21.67))*-1</f>
        <v>-21.67</v>
      </c>
      <c r="EI107" s="39">
        <f>(IF(WEEKDAY(EI$82,2)&gt;5,0,23.65))*-1</f>
        <v>-23.65</v>
      </c>
      <c r="EJ107" s="39">
        <f>(IF(WEEKDAY(EJ$82,2)&gt;5,0,24.88))*-1</f>
        <v>-24.88</v>
      </c>
      <c r="EK107" s="39">
        <f>(IF(WEEKDAY(EK$82,2)&gt;5,0,27.95))*-1</f>
        <v>-27.95</v>
      </c>
      <c r="EL107" s="39">
        <f>(IF(WEEKDAY(EL$82,2)&gt;5,0,23.89))*-1</f>
        <v>-23.89</v>
      </c>
      <c r="EM107" s="39">
        <f>(IF(WEEKDAY(EM$82,2)&gt;5,0,28.31))*-1</f>
        <v>0</v>
      </c>
      <c r="EN107" s="39">
        <f>(IF(WEEKDAY(EN$82,2)&gt;5,0,25.79))*-1</f>
        <v>0</v>
      </c>
      <c r="EO107" s="39">
        <f>(IF(WEEKDAY(EO$82,2)&gt;5,0,25.2))*-1</f>
        <v>-25.2</v>
      </c>
      <c r="EP107" s="39">
        <f>(IF(WEEKDAY(EP$82,2)&gt;5,0,23.25))*-1</f>
        <v>-23.25</v>
      </c>
      <c r="EQ107" s="39">
        <f>(IF(WEEKDAY(EQ$82,2)&gt;5,0,24.34))*-1</f>
        <v>-24.34</v>
      </c>
      <c r="ER107" s="39">
        <f>(IF(WEEKDAY(ER$82,2)&gt;5,0,28.64))*-1</f>
        <v>-28.64</v>
      </c>
      <c r="ES107" s="39">
        <f>(IF(WEEKDAY(ES$82,2)&gt;5,0,27.4))*-1</f>
        <v>-27.4</v>
      </c>
      <c r="ET107" s="39">
        <f>(IF(WEEKDAY(ET$82,2)&gt;5,0,26.66))*-1</f>
        <v>0</v>
      </c>
      <c r="EU107" s="39">
        <f>(IF(WEEKDAY(EU$82,2)&gt;5,0,24.57))*-1</f>
        <v>0</v>
      </c>
      <c r="EV107" s="39">
        <f>(IF(WEEKDAY(EV$82,2)&gt;5,0,24.31))*-1</f>
        <v>-24.31</v>
      </c>
      <c r="EW107" s="39">
        <f>(IF(WEEKDAY(EW$82,2)&gt;5,0,24.22))*-1</f>
        <v>-24.22</v>
      </c>
      <c r="EX107" s="39">
        <f>(IF(WEEKDAY(EX$82,2)&gt;5,0,27.07))*-1</f>
        <v>-27.07</v>
      </c>
      <c r="EY107" s="39">
        <f>(IF(WEEKDAY(EY$82,2)&gt;5,0,28.32))*-1</f>
        <v>-28.32</v>
      </c>
      <c r="EZ107" s="39">
        <f>(IF(WEEKDAY(EZ$82,2)&gt;5,0,24.58))*-1</f>
        <v>-24.58</v>
      </c>
      <c r="FA107" s="39">
        <f>(IF(WEEKDAY(FA$82,2)&gt;5,0,22.99))*-1</f>
        <v>0</v>
      </c>
      <c r="FB107" s="39">
        <f>(IF(WEEKDAY(FB$82,2)&gt;5,0,27.93))*-1</f>
        <v>0</v>
      </c>
      <c r="FC107" s="39">
        <f>(IF(WEEKDAY(FC$82,2)&gt;5,0,25.06))*-1</f>
        <v>-25.06</v>
      </c>
      <c r="FD107" s="39">
        <f>(IF(WEEKDAY(FD$82,2)&gt;5,0,26.53))*-1</f>
        <v>-26.53</v>
      </c>
      <c r="FE107" s="39">
        <f>(IF(WEEKDAY(FE$82,2)&gt;5,0,24.68))*-1</f>
        <v>-24.68</v>
      </c>
      <c r="FF107" s="39">
        <f>(IF(WEEKDAY(FF$82,2)&gt;5,0,23.46))*-1</f>
        <v>-23.46</v>
      </c>
      <c r="FG107" s="39">
        <f>(IF(WEEKDAY(FG$82,2)&gt;5,0,26.94))*-1</f>
        <v>-26.94</v>
      </c>
      <c r="FH107" s="39">
        <f>(IF(WEEKDAY(FH$82,2)&gt;5,0,27.04))*-1</f>
        <v>0</v>
      </c>
      <c r="FI107" s="39">
        <f>(IF(WEEKDAY(FI$82,2)&gt;5,0,25.5))*-1</f>
        <v>0</v>
      </c>
      <c r="FJ107" s="39">
        <f>(IF(WEEKDAY(FJ$82,2)&gt;5,0,25.01))*-1</f>
        <v>-25.01</v>
      </c>
      <c r="FK107" s="39">
        <f>(IF(WEEKDAY(FK$82,2)&gt;5,0,21.5))*-1</f>
        <v>-21.5</v>
      </c>
      <c r="FL107" s="39">
        <f>(IF(WEEKDAY(FL$82,2)&gt;5,0,22.22))*-1</f>
        <v>-22.22</v>
      </c>
      <c r="FM107" s="39">
        <f>(IF(WEEKDAY(FM$82,2)&gt;5,0,28.4))*-1</f>
        <v>-28.4</v>
      </c>
      <c r="FN107" s="39">
        <f>(IF(WEEKDAY(FN$82,2)&gt;5,0,21.32))*-1</f>
        <v>-21.32</v>
      </c>
      <c r="FO107" s="39">
        <f>(IF(WEEKDAY(FO$82,2)&gt;5,0,23.72))*-1</f>
        <v>0</v>
      </c>
      <c r="FP107" s="39">
        <f>(IF(WEEKDAY(FP$82,2)&gt;5,0,22.39))*-1</f>
        <v>0</v>
      </c>
      <c r="FQ107" s="39">
        <f>(IF(WEEKDAY(FQ$82,2)&gt;5,0,26.72))*-1</f>
        <v>-26.72</v>
      </c>
      <c r="FR107" s="39">
        <f>(IF(WEEKDAY(FR$82,2)&gt;5,0,28.23))*-1</f>
        <v>-28.23</v>
      </c>
      <c r="FS107" s="39">
        <f>(IF(WEEKDAY(FS$82,2)&gt;5,0,25.24))*-1</f>
        <v>-25.24</v>
      </c>
      <c r="FT107" s="39">
        <f>(IF(WEEKDAY(FT$82,2)&gt;5,0,23.15))*-1</f>
        <v>-23.15</v>
      </c>
      <c r="FU107" s="39">
        <f>(IF(WEEKDAY(FU$82,2)&gt;5,0,25.47))*-1</f>
        <v>-25.47</v>
      </c>
      <c r="FV107" s="39">
        <f>(IF(WEEKDAY(FV$82,2)&gt;5,0,26.45))*-1</f>
        <v>0</v>
      </c>
      <c r="FW107" s="39">
        <f>(IF(WEEKDAY(FW$82,2)&gt;5,0,23.11))*-1</f>
        <v>0</v>
      </c>
      <c r="FX107" s="39">
        <f>(IF(WEEKDAY(FX$82,2)&gt;5,0,28.06))*-1</f>
        <v>-28.06</v>
      </c>
      <c r="FY107" s="39">
        <f>(IF(WEEKDAY(FY$82,2)&gt;5,0,26.17))*-1</f>
        <v>-26.17</v>
      </c>
      <c r="FZ107" s="39">
        <f>(IF(WEEKDAY(FZ$82,2)&gt;5,0,28.34))*-1</f>
        <v>-28.34</v>
      </c>
      <c r="GA107" s="39">
        <f>(IF(WEEKDAY(GA$82,2)&gt;5,0,23.55))*-1</f>
        <v>-23.55</v>
      </c>
      <c r="GB107" s="39">
        <f>(IF(WEEKDAY(GB$82,2)&gt;5,0,22.36))*-1</f>
        <v>-22.36</v>
      </c>
      <c r="GC107" s="39">
        <f>(IF(WEEKDAY(GC$82,2)&gt;5,0,26.81))*-1</f>
        <v>0</v>
      </c>
      <c r="GD107" s="39">
        <f>(IF(WEEKDAY(GD$82,2)&gt;5,0,25.36))*-1</f>
        <v>0</v>
      </c>
      <c r="GE107" s="39">
        <f>(IF(WEEKDAY(GE$82,2)&gt;5,0,25.56))*-1</f>
        <v>-25.56</v>
      </c>
      <c r="GF107" s="39">
        <f>(IF(WEEKDAY(GF$82,2)&gt;5,0,23.47))*-1</f>
        <v>-23.47</v>
      </c>
      <c r="GG107" s="39">
        <f>(IF(WEEKDAY(GG$82,2)&gt;5,0,23.26))*-1</f>
        <v>-23.26</v>
      </c>
      <c r="GH107" s="39">
        <f>(IF(WEEKDAY(GH$82,2)&gt;5,0,22.63))*-1</f>
        <v>-22.63</v>
      </c>
      <c r="GI107" s="39">
        <f>(IF(WEEKDAY(GI$82,2)&gt;5,0,26.78))*-1</f>
        <v>-26.78</v>
      </c>
      <c r="GJ107" s="39">
        <f>(IF(WEEKDAY(GJ$82,2)&gt;5,0,28.65))*-1</f>
        <v>0</v>
      </c>
      <c r="GK107" s="39">
        <f>(IF(WEEKDAY(GK$82,2)&gt;5,0,27.69))*-1</f>
        <v>0</v>
      </c>
      <c r="GL107" s="39">
        <f>(IF(WEEKDAY(GL$82,2)&gt;5,0,27.16))*-1</f>
        <v>-27.16</v>
      </c>
      <c r="GM107" s="39">
        <f>(IF(WEEKDAY(GM$82,2)&gt;5,0,27.99))*-1</f>
        <v>-27.99</v>
      </c>
      <c r="GN107" s="39">
        <f>(IF(WEEKDAY(GN$82,2)&gt;5,0,21.98))*-1</f>
        <v>-21.98</v>
      </c>
      <c r="GO107" s="39">
        <f>(IF(WEEKDAY(GO$82,2)&gt;5,0,28.3))*-1</f>
        <v>-28.3</v>
      </c>
      <c r="GP107" s="39">
        <f>(IF(WEEKDAY(GP$82,2)&gt;5,0,25.47))*-1</f>
        <v>-25.47</v>
      </c>
      <c r="GQ107" s="39">
        <f>(IF(WEEKDAY(GQ$82,2)&gt;5,0,26.4))*-1</f>
        <v>0</v>
      </c>
      <c r="GR107" s="39">
        <f>(IF(WEEKDAY(GR$82,2)&gt;5,0,25.85))*-1</f>
        <v>0</v>
      </c>
      <c r="GS107" s="39">
        <f>(IF(WEEKDAY(GS$82,2)&gt;5,0,27.12))*-1</f>
        <v>-27.12</v>
      </c>
      <c r="GT107" s="39">
        <f>(IF(WEEKDAY(GT$82,2)&gt;5,0,25.39))*-1</f>
        <v>-25.39</v>
      </c>
      <c r="GU107" s="39">
        <f>(IF(WEEKDAY(GU$82,2)&gt;5,0,22.15))*-1</f>
        <v>-22.15</v>
      </c>
      <c r="GV107" s="39">
        <f>(IF(WEEKDAY(GV$82,2)&gt;5,0,26.37))*-1</f>
        <v>-26.37</v>
      </c>
      <c r="GW107" s="39">
        <f>(IF(WEEKDAY(GW$82,2)&gt;5,0,27.63))*-1</f>
        <v>-27.63</v>
      </c>
      <c r="GX107" s="39">
        <f>(IF(WEEKDAY(GX$82,2)&gt;5,0,23.05))*-1</f>
        <v>0</v>
      </c>
      <c r="GY107" s="39">
        <f>(IF(WEEKDAY(GY$82,2)&gt;5,0,28.67))*-1</f>
        <v>0</v>
      </c>
      <c r="GZ107" s="39">
        <f>(IF(WEEKDAY(GZ$82,2)&gt;5,0,21.44))*-1</f>
        <v>-21.44</v>
      </c>
      <c r="HA107" s="39">
        <f>(IF(WEEKDAY(HA$82,2)&gt;5,0,24.52))*-1</f>
        <v>-24.52</v>
      </c>
      <c r="HB107" s="39">
        <f>(IF(WEEKDAY(HB$82,2)&gt;5,0,27.44))*-1</f>
        <v>-27.44</v>
      </c>
      <c r="HC107" s="39">
        <f>(IF(WEEKDAY(HC$82,2)&gt;5,0,26.99))*-1</f>
        <v>-26.99</v>
      </c>
      <c r="HD107" s="39">
        <f>(IF(WEEKDAY(HD$82,2)&gt;5,0,28.02))*-1</f>
        <v>-28.02</v>
      </c>
      <c r="HE107" s="39">
        <f>(IF(WEEKDAY(HE$82,2)&gt;5,0,23.8))*-1</f>
        <v>0</v>
      </c>
      <c r="HF107" s="39">
        <f>(IF(WEEKDAY(HF$82,2)&gt;5,0,25.34))*-1</f>
        <v>0</v>
      </c>
      <c r="HG107" s="39">
        <f>(IF(WEEKDAY(HG$82,2)&gt;5,0,27.75))*-1</f>
        <v>-27.75</v>
      </c>
      <c r="HH107" s="39">
        <f>(IF(WEEKDAY(HH$82,2)&gt;5,0,28.18))*-1</f>
        <v>-28.18</v>
      </c>
      <c r="HI107" s="39">
        <f>(IF(WEEKDAY(HI$82,2)&gt;5,0,26.93))*-1</f>
        <v>-26.93</v>
      </c>
      <c r="HJ107" s="39">
        <f>(IF(WEEKDAY(HJ$82,2)&gt;5,0,21.74))*-1</f>
        <v>-21.74</v>
      </c>
      <c r="HK107" s="39">
        <f>(IF(WEEKDAY(HK$82,2)&gt;5,0,27.43))*-1</f>
        <v>-27.43</v>
      </c>
      <c r="HL107" s="39">
        <f>(IF(WEEKDAY(HL$82,2)&gt;5,0,21.41))*-1</f>
        <v>0</v>
      </c>
      <c r="HM107" s="39">
        <f>(IF(WEEKDAY(HM$82,2)&gt;5,0,22.39))*-1</f>
        <v>0</v>
      </c>
      <c r="HN107" s="39">
        <f>(IF(WEEKDAY(HN$82,2)&gt;5,0,27.61))*-1</f>
        <v>-27.61</v>
      </c>
      <c r="HO107" s="39">
        <f>(IF(WEEKDAY(HO$82,2)&gt;5,0,27.93))*-1</f>
        <v>-27.93</v>
      </c>
      <c r="HP107" s="39">
        <f>(IF(WEEKDAY(HP$82,2)&gt;5,0,25.04))*-1</f>
        <v>-25.04</v>
      </c>
      <c r="HQ107" s="39">
        <f>(IF(WEEKDAY(HQ$82,2)&gt;5,0,25.48))*-1</f>
        <v>-25.48</v>
      </c>
      <c r="HR107" s="39">
        <f>(IF(WEEKDAY(HR$82,2)&gt;5,0,23.81))*-1</f>
        <v>-23.81</v>
      </c>
      <c r="HS107" s="39">
        <f>(IF(WEEKDAY(HS$82,2)&gt;5,0,27.99))*-1</f>
        <v>0</v>
      </c>
      <c r="HT107" s="39">
        <f>(IF(WEEKDAY(HT$82,2)&gt;5,0,25.25))*-1</f>
        <v>0</v>
      </c>
      <c r="HU107" s="39">
        <f>(IF(WEEKDAY(HU$82,2)&gt;5,0,21.76))*-1</f>
        <v>-21.76</v>
      </c>
      <c r="HV107" s="39">
        <f>(IF(WEEKDAY(HV$82,2)&gt;5,0,27.71))*-1</f>
        <v>-27.71</v>
      </c>
      <c r="HW107" s="39">
        <f>(IF(WEEKDAY(HW$82,2)&gt;5,0,27.68))*-1</f>
        <v>-27.68</v>
      </c>
      <c r="HX107" s="39">
        <f>(IF(WEEKDAY(HX$82,2)&gt;5,0,23.07))*-1</f>
        <v>-23.07</v>
      </c>
      <c r="HY107" s="39">
        <f>(IF(WEEKDAY(HY$82,2)&gt;5,0,28.2))*-1</f>
        <v>-28.2</v>
      </c>
      <c r="HZ107" s="39">
        <f>(IF(WEEKDAY(HZ$82,2)&gt;5,0,26.37))*-1</f>
        <v>0</v>
      </c>
      <c r="IA107" s="39">
        <f>(IF(WEEKDAY(IA$82,2)&gt;5,0,24.76))*-1</f>
        <v>0</v>
      </c>
      <c r="IB107" s="39">
        <f>(IF(WEEKDAY(IB$82,2)&gt;5,0,22.53))*-1</f>
        <v>-22.53</v>
      </c>
      <c r="IC107" s="39">
        <f>(IF(WEEKDAY(IC$82,2)&gt;5,0,25.64))*-1</f>
        <v>-25.64</v>
      </c>
      <c r="ID107" s="39">
        <f>(IF(WEEKDAY(ID$82,2)&gt;5,0,25.75))*-1</f>
        <v>-25.75</v>
      </c>
      <c r="IE107" s="39">
        <f>(IF(WEEKDAY(IE$82,2)&gt;5,0,22.66))*-1</f>
        <v>-22.66</v>
      </c>
      <c r="IF107" s="39">
        <f>(IF(WEEKDAY(IF$82,2)&gt;5,0,22.75))*-1</f>
        <v>-22.75</v>
      </c>
      <c r="IG107" s="39">
        <f>(IF(WEEKDAY(IG$82,2)&gt;5,0,22.16))*-1</f>
        <v>0</v>
      </c>
      <c r="IH107" s="39">
        <f>(IF(WEEKDAY(IH$82,2)&gt;5,0,26.44))*-1</f>
        <v>0</v>
      </c>
      <c r="II107" s="39">
        <f>(IF(WEEKDAY(II$82,2)&gt;5,0,23.61))*-1</f>
        <v>-23.61</v>
      </c>
      <c r="IJ107" s="39">
        <f>(IF(WEEKDAY(IJ$82,2)&gt;5,0,26.88))*-1</f>
        <v>-26.88</v>
      </c>
      <c r="IK107" s="39">
        <f>(IF(WEEKDAY(IK$82,2)&gt;5,0,24.71))*-1</f>
        <v>-24.71</v>
      </c>
      <c r="IL107" s="39">
        <f>(IF(WEEKDAY(IL$82,2)&gt;5,0,27.59))*-1</f>
        <v>-27.59</v>
      </c>
    </row>
    <row r="108" spans="1:246" x14ac:dyDescent="0.3">
      <c r="A108" t="s">
        <v>22</v>
      </c>
      <c r="B108" s="39">
        <f>(IF(WEEKDAY(B$82,2)&gt;5,0,34.71))*-1</f>
        <v>-34.71</v>
      </c>
      <c r="C108" s="39">
        <f>(IF(WEEKDAY(C$82,2)&gt;5,0,35.87))*-1</f>
        <v>0</v>
      </c>
      <c r="D108" s="39">
        <f>(IF(WEEKDAY(D$82,2)&gt;5,0,44.36))*-1</f>
        <v>0</v>
      </c>
      <c r="E108" s="39">
        <f>(IF(WEEKDAY(E$82,2)&gt;5,0,37.83))*-1</f>
        <v>-37.83</v>
      </c>
      <c r="F108" s="39">
        <f>(IF(WEEKDAY(F$82,2)&gt;5,0,34.84))*-1</f>
        <v>-34.840000000000003</v>
      </c>
      <c r="G108" s="39">
        <f>(IF(WEEKDAY(G$82,2)&gt;5,0,45.48))*-1</f>
        <v>-45.48</v>
      </c>
      <c r="H108" s="39">
        <f>(IF(WEEKDAY(H$82,2)&gt;5,0,39.78))*-1</f>
        <v>-39.78</v>
      </c>
      <c r="I108" s="39">
        <f>(IF(WEEKDAY(I$82,2)&gt;5,0,40.2))*-1</f>
        <v>-40.200000000000003</v>
      </c>
      <c r="J108" s="39">
        <f>(IF(WEEKDAY(J$82,2)&gt;5,0,41.38))*-1</f>
        <v>0</v>
      </c>
      <c r="K108" s="39">
        <f>(IF(WEEKDAY(K$82,2)&gt;5,0,34.48))*-1</f>
        <v>0</v>
      </c>
      <c r="L108" s="39">
        <f>(IF(WEEKDAY(L$82,2)&gt;5,0,38.62))*-1</f>
        <v>-38.619999999999997</v>
      </c>
      <c r="M108" s="39">
        <f>(IF(WEEKDAY(M$82,2)&gt;5,0,42.76))*-1</f>
        <v>-42.76</v>
      </c>
      <c r="N108" s="39">
        <f>(IF(WEEKDAY(N$82,2)&gt;5,0,34.31))*-1</f>
        <v>-34.31</v>
      </c>
      <c r="O108" s="39">
        <f>(IF(WEEKDAY(O$82,2)&gt;5,0,38.87))*-1</f>
        <v>-38.869999999999997</v>
      </c>
      <c r="P108" s="39">
        <f>(IF(WEEKDAY(P$82,2)&gt;5,0,38.3))*-1</f>
        <v>-38.299999999999997</v>
      </c>
      <c r="Q108" s="39">
        <f>(IF(WEEKDAY(Q$82,2)&gt;5,0,40.46))*-1</f>
        <v>0</v>
      </c>
      <c r="R108" s="39">
        <f>(IF(WEEKDAY(R$82,2)&gt;5,0,43.5))*-1</f>
        <v>0</v>
      </c>
      <c r="S108" s="39">
        <f>(IF(WEEKDAY(S$82,2)&gt;5,0,36.5))*-1</f>
        <v>-36.5</v>
      </c>
      <c r="T108" s="39">
        <f>(IF(WEEKDAY(T$82,2)&gt;5,0,36.05))*-1</f>
        <v>-36.049999999999997</v>
      </c>
      <c r="U108" s="39">
        <f>(IF(WEEKDAY(U$82,2)&gt;5,0,45.62))*-1</f>
        <v>-45.62</v>
      </c>
      <c r="V108" s="39">
        <f>(IF(WEEKDAY(V$82,2)&gt;5,0,40.16))*-1</f>
        <v>-40.159999999999997</v>
      </c>
      <c r="W108" s="39">
        <f>(IF(WEEKDAY(W$82,2)&gt;5,0,35.53))*-1</f>
        <v>-35.53</v>
      </c>
      <c r="X108" s="39">
        <f>(IF(WEEKDAY(X$82,2)&gt;5,0,42.64))*-1</f>
        <v>0</v>
      </c>
      <c r="Y108" s="39">
        <f>(IF(WEEKDAY(Y$82,2)&gt;5,0,39.46))*-1</f>
        <v>0</v>
      </c>
      <c r="Z108" s="39">
        <f>(IF(WEEKDAY(Z$82,2)&gt;5,0,39.97))*-1</f>
        <v>-39.97</v>
      </c>
      <c r="AA108" s="39">
        <f>(IF(WEEKDAY(AA$82,2)&gt;5,0,42.18))*-1</f>
        <v>-42.18</v>
      </c>
      <c r="AB108" s="39">
        <f>(IF(WEEKDAY(AB$82,2)&gt;5,0,37.71))*-1</f>
        <v>-37.71</v>
      </c>
      <c r="AC108" s="39">
        <f>(IF(WEEKDAY(AC$82,2)&gt;5,0,42.47))*-1</f>
        <v>-42.47</v>
      </c>
      <c r="AD108" s="39">
        <f>(IF(WEEKDAY(AD$82,2)&gt;5,0,39.7))*-1</f>
        <v>-39.700000000000003</v>
      </c>
      <c r="AE108" s="39">
        <f>(IF(WEEKDAY(AE$82,2)&gt;5,0,34.17))*-1</f>
        <v>0</v>
      </c>
      <c r="AF108" s="39">
        <f>(IF(WEEKDAY(AF$82,2)&gt;5,0,41.19))*-1</f>
        <v>0</v>
      </c>
      <c r="AG108" s="39">
        <f>(IF(WEEKDAY(AG$82,2)&gt;5,0,43.91))*-1</f>
        <v>-43.91</v>
      </c>
      <c r="AH108" s="39">
        <f>(IF(WEEKDAY(AH$82,2)&gt;5,0,36.81))*-1</f>
        <v>-36.81</v>
      </c>
      <c r="AI108" s="39">
        <f>(IF(WEEKDAY(AI$82,2)&gt;5,0,45.27))*-1</f>
        <v>-45.27</v>
      </c>
      <c r="AJ108" s="39">
        <f>(IF(WEEKDAY(AJ$82,2)&gt;5,0,44.91))*-1</f>
        <v>-44.91</v>
      </c>
      <c r="AK108" s="39">
        <f>(IF(WEEKDAY(AK$82,2)&gt;5,0,41.57))*-1</f>
        <v>-41.57</v>
      </c>
      <c r="AL108" s="39">
        <f>(IF(WEEKDAY(AL$82,2)&gt;5,0,41.5))*-1</f>
        <v>0</v>
      </c>
      <c r="AM108" s="39">
        <f>(IF(WEEKDAY(AM$82,2)&gt;5,0,35.67))*-1</f>
        <v>0</v>
      </c>
      <c r="AN108" s="39">
        <f>(IF(WEEKDAY(AN$82,2)&gt;5,0,40.3))*-1</f>
        <v>-40.299999999999997</v>
      </c>
      <c r="AO108" s="39">
        <f>(IF(WEEKDAY(AO$82,2)&gt;5,0,38.3))*-1</f>
        <v>-38.299999999999997</v>
      </c>
      <c r="AP108" s="39">
        <f>(IF(WEEKDAY(AP$82,2)&gt;5,0,37.65))*-1</f>
        <v>-37.65</v>
      </c>
      <c r="AQ108" s="39">
        <f>(IF(WEEKDAY(AQ$82,2)&gt;5,0,38.38))*-1</f>
        <v>-38.380000000000003</v>
      </c>
      <c r="AR108" s="39">
        <f>(IF(WEEKDAY(AR$82,2)&gt;5,0,40.04))*-1</f>
        <v>-40.04</v>
      </c>
      <c r="AS108" s="39">
        <f>(IF(WEEKDAY(AS$82,2)&gt;5,0,43.88))*-1</f>
        <v>0</v>
      </c>
      <c r="AT108" s="39">
        <f>(IF(WEEKDAY(AT$82,2)&gt;5,0,37.01))*-1</f>
        <v>0</v>
      </c>
      <c r="AU108" s="39">
        <f>(IF(WEEKDAY(AU$82,2)&gt;5,0,42.75))*-1</f>
        <v>-42.75</v>
      </c>
      <c r="AV108" s="39">
        <f>(IF(WEEKDAY(AV$82,2)&gt;5,0,39.22))*-1</f>
        <v>-39.22</v>
      </c>
      <c r="AW108" s="39">
        <f>(IF(WEEKDAY(AW$82,2)&gt;5,0,44.18))*-1</f>
        <v>-44.18</v>
      </c>
      <c r="AX108" s="39">
        <f>(IF(WEEKDAY(AX$82,2)&gt;5,0,40.54))*-1</f>
        <v>-40.54</v>
      </c>
      <c r="AY108" s="39">
        <f>(IF(WEEKDAY(AY$82,2)&gt;5,0,35.3))*-1</f>
        <v>-35.299999999999997</v>
      </c>
      <c r="AZ108" s="39">
        <f>(IF(WEEKDAY(AZ$82,2)&gt;5,0,42.75))*-1</f>
        <v>0</v>
      </c>
      <c r="BA108" s="39">
        <f>(IF(WEEKDAY(BA$82,2)&gt;5,0,39.73))*-1</f>
        <v>0</v>
      </c>
      <c r="BB108" s="39">
        <f>(IF(WEEKDAY(BB$82,2)&gt;5,0,42.63))*-1</f>
        <v>-42.63</v>
      </c>
      <c r="BC108" s="39">
        <f>(IF(WEEKDAY(BC$82,2)&gt;5,0,38.59))*-1</f>
        <v>-38.590000000000003</v>
      </c>
      <c r="BD108" s="39">
        <f>(IF(WEEKDAY(BD$82,2)&gt;5,0,40.47))*-1</f>
        <v>-40.47</v>
      </c>
      <c r="BE108" s="39">
        <f>(IF(WEEKDAY(BE$82,2)&gt;5,0,41.23))*-1</f>
        <v>-41.23</v>
      </c>
      <c r="BF108" s="39">
        <f>(IF(WEEKDAY(BF$82,2)&gt;5,0,34.36))*-1</f>
        <v>-34.36</v>
      </c>
      <c r="BG108" s="39">
        <f>(IF(WEEKDAY(BG$82,2)&gt;5,0,41.97))*-1</f>
        <v>0</v>
      </c>
      <c r="BH108" s="39">
        <f>(IF(WEEKDAY(BH$82,2)&gt;5,0,42.34))*-1</f>
        <v>0</v>
      </c>
      <c r="BI108" s="39">
        <f>(IF(WEEKDAY(BI$82,2)&gt;5,0,35.37))*-1</f>
        <v>-35.369999999999997</v>
      </c>
      <c r="BJ108" s="39">
        <f>(IF(WEEKDAY(BJ$82,2)&gt;5,0,39.28))*-1</f>
        <v>-39.28</v>
      </c>
      <c r="BK108" s="39">
        <f>(IF(WEEKDAY(BK$82,2)&gt;5,0,38.07))*-1</f>
        <v>-38.07</v>
      </c>
      <c r="BL108" s="39">
        <f>(IF(WEEKDAY(BL$82,2)&gt;5,0,42.08))*-1</f>
        <v>-42.08</v>
      </c>
      <c r="BM108" s="39">
        <f>(IF(WEEKDAY(BM$82,2)&gt;5,0,39.57))*-1</f>
        <v>-39.57</v>
      </c>
      <c r="BN108" s="39">
        <f>(IF(WEEKDAY(BN$82,2)&gt;5,0,41.58))*-1</f>
        <v>0</v>
      </c>
      <c r="BO108" s="39">
        <f>(IF(WEEKDAY(BO$82,2)&gt;5,0,36.73))*-1</f>
        <v>0</v>
      </c>
      <c r="BP108" s="39">
        <f>(IF(WEEKDAY(BP$82,2)&gt;5,0,45.79))*-1</f>
        <v>-45.79</v>
      </c>
      <c r="BQ108" s="39">
        <f>(IF(WEEKDAY(BQ$82,2)&gt;5,0,35.5))*-1</f>
        <v>-35.5</v>
      </c>
      <c r="BR108" s="39">
        <f>(IF(WEEKDAY(BR$82,2)&gt;5,0,36.96))*-1</f>
        <v>-36.96</v>
      </c>
      <c r="BS108" s="39">
        <f>(IF(WEEKDAY(BS$82,2)&gt;5,0,44.56))*-1</f>
        <v>-44.56</v>
      </c>
      <c r="BT108" s="39">
        <f>(IF(WEEKDAY(BT$82,2)&gt;5,0,42.59))*-1</f>
        <v>-42.59</v>
      </c>
      <c r="BU108" s="39">
        <f>(IF(WEEKDAY(BU$82,2)&gt;5,0,37.75))*-1</f>
        <v>0</v>
      </c>
      <c r="BV108" s="39">
        <f>(IF(WEEKDAY(BV$82,2)&gt;5,0,43.68))*-1</f>
        <v>0</v>
      </c>
      <c r="BW108" s="39">
        <f>(IF(WEEKDAY(BW$82,2)&gt;5,0,41.17))*-1</f>
        <v>-41.17</v>
      </c>
      <c r="BX108" s="39">
        <f>(IF(WEEKDAY(BX$82,2)&gt;5,0,44.48))*-1</f>
        <v>-44.48</v>
      </c>
      <c r="BY108" s="39">
        <f>(IF(WEEKDAY(BY$82,2)&gt;5,0,36.16))*-1</f>
        <v>-36.159999999999997</v>
      </c>
      <c r="BZ108" s="39">
        <f>(IF(WEEKDAY(BZ$82,2)&gt;5,0,43.97))*-1</f>
        <v>-43.97</v>
      </c>
      <c r="CA108" s="39">
        <f>(IF(WEEKDAY(CA$82,2)&gt;5,0,45.15))*-1</f>
        <v>-45.15</v>
      </c>
      <c r="CB108" s="39">
        <f>(IF(WEEKDAY(CB$82,2)&gt;5,0,46))*-1</f>
        <v>0</v>
      </c>
      <c r="CC108" s="39">
        <f>(IF(WEEKDAY(CC$82,2)&gt;5,0,37.28))*-1</f>
        <v>0</v>
      </c>
      <c r="CD108" s="39">
        <f>(IF(WEEKDAY(CD$82,2)&gt;5,0,41.59))*-1</f>
        <v>-41.59</v>
      </c>
      <c r="CE108" s="39">
        <f>(IF(WEEKDAY(CE$82,2)&gt;5,0,37.98))*-1</f>
        <v>-37.979999999999997</v>
      </c>
      <c r="CF108" s="39">
        <f>(IF(WEEKDAY(CF$82,2)&gt;5,0,36.93))*-1</f>
        <v>-36.93</v>
      </c>
      <c r="CG108" s="39">
        <f>(IF(WEEKDAY(CG$82,2)&gt;5,0,45.87))*-1</f>
        <v>-45.87</v>
      </c>
      <c r="CH108" s="39">
        <f>(IF(WEEKDAY(CH$82,2)&gt;5,0,41.81))*-1</f>
        <v>-41.81</v>
      </c>
      <c r="CI108" s="39">
        <f>(IF(WEEKDAY(CI$82,2)&gt;5,0,39.08))*-1</f>
        <v>0</v>
      </c>
      <c r="CJ108" s="39">
        <f>(IF(WEEKDAY(CJ$82,2)&gt;5,0,41.21))*-1</f>
        <v>0</v>
      </c>
      <c r="CK108" s="39">
        <f>(IF(WEEKDAY(CK$82,2)&gt;5,0,40.64))*-1</f>
        <v>-40.64</v>
      </c>
      <c r="CL108" s="39">
        <f>(IF(WEEKDAY(CL$82,2)&gt;5,0,35.46))*-1</f>
        <v>-35.46</v>
      </c>
      <c r="CM108" s="39">
        <f>(IF(WEEKDAY(CM$82,2)&gt;5,0,45.56))*-1</f>
        <v>-45.56</v>
      </c>
      <c r="CN108" s="39">
        <f>(IF(WEEKDAY(CN$82,2)&gt;5,0,40.74))*-1</f>
        <v>-40.74</v>
      </c>
      <c r="CO108" s="39">
        <f>(IF(WEEKDAY(CO$82,2)&gt;5,0,44.77))*-1</f>
        <v>-44.77</v>
      </c>
      <c r="CP108" s="39">
        <f>(IF(WEEKDAY(CP$82,2)&gt;5,0,41.92))*-1</f>
        <v>0</v>
      </c>
      <c r="CQ108" s="39">
        <f>(IF(WEEKDAY(CQ$82,2)&gt;5,0,43.88))*-1</f>
        <v>0</v>
      </c>
      <c r="CR108" s="39">
        <f>(IF(WEEKDAY(CR$82,2)&gt;5,0,39.37))*-1</f>
        <v>-39.369999999999997</v>
      </c>
      <c r="CS108" s="39">
        <f>(IF(WEEKDAY(CS$82,2)&gt;5,0,37.14))*-1</f>
        <v>-37.14</v>
      </c>
      <c r="CT108" s="39">
        <f>(IF(WEEKDAY(CT$82,2)&gt;5,0,40.09))*-1</f>
        <v>-40.090000000000003</v>
      </c>
      <c r="CU108" s="39">
        <f>(IF(WEEKDAY(CU$82,2)&gt;5,0,44.28))*-1</f>
        <v>-44.28</v>
      </c>
      <c r="CV108" s="39">
        <f>(IF(WEEKDAY(CV$82,2)&gt;5,0,40.59))*-1</f>
        <v>-40.590000000000003</v>
      </c>
      <c r="CW108" s="39">
        <f>(IF(WEEKDAY(CW$82,2)&gt;5,0,35.24))*-1</f>
        <v>0</v>
      </c>
      <c r="CX108" s="39">
        <f>(IF(WEEKDAY(CX$82,2)&gt;5,0,42.31))*-1</f>
        <v>0</v>
      </c>
      <c r="CY108" s="39">
        <f>(IF(WEEKDAY(CY$82,2)&gt;5,0,38.4))*-1</f>
        <v>-38.4</v>
      </c>
      <c r="CZ108" s="39">
        <f>(IF(WEEKDAY(CZ$82,2)&gt;5,0,37.92))*-1</f>
        <v>-37.92</v>
      </c>
      <c r="DA108" s="39">
        <f>(IF(WEEKDAY(DA$82,2)&gt;5,0,45.18))*-1</f>
        <v>-45.18</v>
      </c>
      <c r="DB108" s="39">
        <f>(IF(WEEKDAY(DB$82,2)&gt;5,0,39.02))*-1</f>
        <v>-39.020000000000003</v>
      </c>
      <c r="DC108" s="39">
        <f>(IF(WEEKDAY(DC$82,2)&gt;5,0,40.89))*-1</f>
        <v>-40.89</v>
      </c>
      <c r="DD108" s="39">
        <f>(IF(WEEKDAY(DD$82,2)&gt;5,0,36.55))*-1</f>
        <v>0</v>
      </c>
      <c r="DE108" s="39">
        <f>(IF(WEEKDAY(DE$82,2)&gt;5,0,41.53))*-1</f>
        <v>0</v>
      </c>
      <c r="DF108" s="39">
        <f>(IF(WEEKDAY(DF$82,2)&gt;5,0,45.67))*-1</f>
        <v>-45.67</v>
      </c>
      <c r="DG108" s="39">
        <f>(IF(WEEKDAY(DG$82,2)&gt;5,0,43.22))*-1</f>
        <v>-43.22</v>
      </c>
      <c r="DH108" s="39">
        <f>(IF(WEEKDAY(DH$82,2)&gt;5,0,43.88))*-1</f>
        <v>-43.88</v>
      </c>
      <c r="DI108" s="39">
        <f>(IF(WEEKDAY(DI$82,2)&gt;5,0,35.67))*-1</f>
        <v>-35.67</v>
      </c>
      <c r="DJ108" s="39">
        <f>(IF(WEEKDAY(DJ$82,2)&gt;5,0,41))*-1</f>
        <v>-41</v>
      </c>
      <c r="DK108" s="39">
        <f>(IF(WEEKDAY(DK$82,2)&gt;5,0,45.07))*-1</f>
        <v>0</v>
      </c>
      <c r="DL108" s="39">
        <f>(IF(WEEKDAY(DL$82,2)&gt;5,0,40.19))*-1</f>
        <v>0</v>
      </c>
      <c r="DM108" s="39">
        <f>(IF(WEEKDAY(DM$82,2)&gt;5,0,38.07))*-1</f>
        <v>-38.07</v>
      </c>
      <c r="DN108" s="39">
        <f>(IF(WEEKDAY(DN$82,2)&gt;5,0,45.85))*-1</f>
        <v>-45.85</v>
      </c>
      <c r="DO108" s="39">
        <f>(IF(WEEKDAY(DO$82,2)&gt;5,0,37.36))*-1</f>
        <v>-37.36</v>
      </c>
      <c r="DP108" s="39">
        <f>(IF(WEEKDAY(DP$82,2)&gt;5,0,37.24))*-1</f>
        <v>-37.24</v>
      </c>
      <c r="DQ108" s="39">
        <f>(IF(WEEKDAY(DQ$82,2)&gt;5,0,35.68))*-1</f>
        <v>-35.68</v>
      </c>
      <c r="DR108" s="39">
        <f>(IF(WEEKDAY(DR$82,2)&gt;5,0,40.74))*-1</f>
        <v>0</v>
      </c>
      <c r="DS108" s="39">
        <f>(IF(WEEKDAY(DS$82,2)&gt;5,0,39.63))*-1</f>
        <v>0</v>
      </c>
      <c r="DT108" s="39">
        <f>(IF(WEEKDAY(DT$82,2)&gt;5,0,40.32))*-1</f>
        <v>-40.32</v>
      </c>
      <c r="DU108" s="39">
        <f>(IF(WEEKDAY(DU$82,2)&gt;5,0,41.12))*-1</f>
        <v>-41.12</v>
      </c>
      <c r="DV108" s="39">
        <f>(IF(WEEKDAY(DV$82,2)&gt;5,0,38.4))*-1</f>
        <v>-38.4</v>
      </c>
      <c r="DW108" s="39">
        <f>(IF(WEEKDAY(DW$82,2)&gt;5,0,35.4))*-1</f>
        <v>-35.4</v>
      </c>
      <c r="DX108" s="39">
        <f>(IF(WEEKDAY(DX$82,2)&gt;5,0,36.87))*-1</f>
        <v>-36.869999999999997</v>
      </c>
      <c r="DY108" s="39">
        <f>(IF(WEEKDAY(DY$82,2)&gt;5,0,45.53))*-1</f>
        <v>0</v>
      </c>
      <c r="DZ108" s="39">
        <f>(IF(WEEKDAY(DZ$82,2)&gt;5,0,39.74))*-1</f>
        <v>0</v>
      </c>
      <c r="EA108" s="39">
        <f>(IF(WEEKDAY(EA$82,2)&gt;5,0,40.18))*-1</f>
        <v>-40.18</v>
      </c>
      <c r="EB108" s="39">
        <f>(IF(WEEKDAY(EB$82,2)&gt;5,0,38.45))*-1</f>
        <v>-38.450000000000003</v>
      </c>
      <c r="EC108" s="39">
        <f>(IF(WEEKDAY(EC$82,2)&gt;5,0,42.74))*-1</f>
        <v>-42.74</v>
      </c>
      <c r="ED108" s="39">
        <f>(IF(WEEKDAY(ED$82,2)&gt;5,0,37.92))*-1</f>
        <v>-37.92</v>
      </c>
      <c r="EE108" s="39">
        <f>(IF(WEEKDAY(EE$82,2)&gt;5,0,41.32))*-1</f>
        <v>-41.32</v>
      </c>
      <c r="EF108" s="39">
        <f>(IF(WEEKDAY(EF$82,2)&gt;5,0,34.76))*-1</f>
        <v>0</v>
      </c>
      <c r="EG108" s="39">
        <f>(IF(WEEKDAY(EG$82,2)&gt;5,0,38.59))*-1</f>
        <v>0</v>
      </c>
      <c r="EH108" s="39">
        <f>(IF(WEEKDAY(EH$82,2)&gt;5,0,43.14))*-1</f>
        <v>-43.14</v>
      </c>
      <c r="EI108" s="39">
        <f>(IF(WEEKDAY(EI$82,2)&gt;5,0,34.33))*-1</f>
        <v>-34.33</v>
      </c>
      <c r="EJ108" s="39">
        <f>(IF(WEEKDAY(EJ$82,2)&gt;5,0,39.61))*-1</f>
        <v>-39.61</v>
      </c>
      <c r="EK108" s="39">
        <f>(IF(WEEKDAY(EK$82,2)&gt;5,0,40.61))*-1</f>
        <v>-40.61</v>
      </c>
      <c r="EL108" s="39">
        <f>(IF(WEEKDAY(EL$82,2)&gt;5,0,34.37))*-1</f>
        <v>-34.369999999999997</v>
      </c>
      <c r="EM108" s="39">
        <f>(IF(WEEKDAY(EM$82,2)&gt;5,0,37.26))*-1</f>
        <v>0</v>
      </c>
      <c r="EN108" s="39">
        <f>(IF(WEEKDAY(EN$82,2)&gt;5,0,41.6))*-1</f>
        <v>0</v>
      </c>
      <c r="EO108" s="39">
        <f>(IF(WEEKDAY(EO$82,2)&gt;5,0,43.08))*-1</f>
        <v>-43.08</v>
      </c>
      <c r="EP108" s="39">
        <f>(IF(WEEKDAY(EP$82,2)&gt;5,0,41.28))*-1</f>
        <v>-41.28</v>
      </c>
      <c r="EQ108" s="39">
        <f>(IF(WEEKDAY(EQ$82,2)&gt;5,0,42.85))*-1</f>
        <v>-42.85</v>
      </c>
      <c r="ER108" s="39">
        <f>(IF(WEEKDAY(ER$82,2)&gt;5,0,38.05))*-1</f>
        <v>-38.049999999999997</v>
      </c>
      <c r="ES108" s="39">
        <f>(IF(WEEKDAY(ES$82,2)&gt;5,0,43.85))*-1</f>
        <v>-43.85</v>
      </c>
      <c r="ET108" s="39">
        <f>(IF(WEEKDAY(ET$82,2)&gt;5,0,38.54))*-1</f>
        <v>0</v>
      </c>
      <c r="EU108" s="39">
        <f>(IF(WEEKDAY(EU$82,2)&gt;5,0,34.28))*-1</f>
        <v>0</v>
      </c>
      <c r="EV108" s="39">
        <f>(IF(WEEKDAY(EV$82,2)&gt;5,0,45.12))*-1</f>
        <v>-45.12</v>
      </c>
      <c r="EW108" s="39">
        <f>(IF(WEEKDAY(EW$82,2)&gt;5,0,43.68))*-1</f>
        <v>-43.68</v>
      </c>
      <c r="EX108" s="39">
        <f>(IF(WEEKDAY(EX$82,2)&gt;5,0,43.39))*-1</f>
        <v>-43.39</v>
      </c>
      <c r="EY108" s="39">
        <f>(IF(WEEKDAY(EY$82,2)&gt;5,0,34.58))*-1</f>
        <v>-34.58</v>
      </c>
      <c r="EZ108" s="39">
        <f>(IF(WEEKDAY(EZ$82,2)&gt;5,0,35.05))*-1</f>
        <v>-35.049999999999997</v>
      </c>
      <c r="FA108" s="39">
        <f>(IF(WEEKDAY(FA$82,2)&gt;5,0,36.32))*-1</f>
        <v>0</v>
      </c>
      <c r="FB108" s="39">
        <f>(IF(WEEKDAY(FB$82,2)&gt;5,0,39.93))*-1</f>
        <v>0</v>
      </c>
      <c r="FC108" s="39">
        <f>(IF(WEEKDAY(FC$82,2)&gt;5,0,42.28))*-1</f>
        <v>-42.28</v>
      </c>
      <c r="FD108" s="39">
        <f>(IF(WEEKDAY(FD$82,2)&gt;5,0,44.91))*-1</f>
        <v>-44.91</v>
      </c>
      <c r="FE108" s="39">
        <f>(IF(WEEKDAY(FE$82,2)&gt;5,0,37.75))*-1</f>
        <v>-37.75</v>
      </c>
      <c r="FF108" s="39">
        <f>(IF(WEEKDAY(FF$82,2)&gt;5,0,39.86))*-1</f>
        <v>-39.86</v>
      </c>
      <c r="FG108" s="39">
        <f>(IF(WEEKDAY(FG$82,2)&gt;5,0,38.56))*-1</f>
        <v>-38.56</v>
      </c>
      <c r="FH108" s="39">
        <f>(IF(WEEKDAY(FH$82,2)&gt;5,0,38.33))*-1</f>
        <v>0</v>
      </c>
      <c r="FI108" s="39">
        <f>(IF(WEEKDAY(FI$82,2)&gt;5,0,42.83))*-1</f>
        <v>0</v>
      </c>
      <c r="FJ108" s="39">
        <f>(IF(WEEKDAY(FJ$82,2)&gt;5,0,42.1))*-1</f>
        <v>-42.1</v>
      </c>
      <c r="FK108" s="39">
        <f>(IF(WEEKDAY(FK$82,2)&gt;5,0,41.33))*-1</f>
        <v>-41.33</v>
      </c>
      <c r="FL108" s="39">
        <f>(IF(WEEKDAY(FL$82,2)&gt;5,0,36.56))*-1</f>
        <v>-36.56</v>
      </c>
      <c r="FM108" s="39">
        <f>(IF(WEEKDAY(FM$82,2)&gt;5,0,35.15))*-1</f>
        <v>-35.15</v>
      </c>
      <c r="FN108" s="39">
        <f>(IF(WEEKDAY(FN$82,2)&gt;5,0,37.41))*-1</f>
        <v>-37.409999999999997</v>
      </c>
      <c r="FO108" s="39">
        <f>(IF(WEEKDAY(FO$82,2)&gt;5,0,41.96))*-1</f>
        <v>0</v>
      </c>
      <c r="FP108" s="39">
        <f>(IF(WEEKDAY(FP$82,2)&gt;5,0,44.88))*-1</f>
        <v>0</v>
      </c>
      <c r="FQ108" s="39">
        <f>(IF(WEEKDAY(FQ$82,2)&gt;5,0,44.33))*-1</f>
        <v>-44.33</v>
      </c>
      <c r="FR108" s="39">
        <f>(IF(WEEKDAY(FR$82,2)&gt;5,0,36.48))*-1</f>
        <v>-36.479999999999997</v>
      </c>
      <c r="FS108" s="39">
        <f>(IF(WEEKDAY(FS$82,2)&gt;5,0,35.79))*-1</f>
        <v>-35.79</v>
      </c>
      <c r="FT108" s="39">
        <f>(IF(WEEKDAY(FT$82,2)&gt;5,0,42.57))*-1</f>
        <v>-42.57</v>
      </c>
      <c r="FU108" s="39">
        <f>(IF(WEEKDAY(FU$82,2)&gt;5,0,35.44))*-1</f>
        <v>-35.44</v>
      </c>
      <c r="FV108" s="39">
        <f>(IF(WEEKDAY(FV$82,2)&gt;5,0,38.17))*-1</f>
        <v>0</v>
      </c>
      <c r="FW108" s="39">
        <f>(IF(WEEKDAY(FW$82,2)&gt;5,0,43.36))*-1</f>
        <v>0</v>
      </c>
      <c r="FX108" s="39">
        <f>(IF(WEEKDAY(FX$82,2)&gt;5,0,43.84))*-1</f>
        <v>-43.84</v>
      </c>
      <c r="FY108" s="39">
        <f>(IF(WEEKDAY(FY$82,2)&gt;5,0,39.22))*-1</f>
        <v>-39.22</v>
      </c>
      <c r="FZ108" s="39">
        <f>(IF(WEEKDAY(FZ$82,2)&gt;5,0,35.62))*-1</f>
        <v>-35.619999999999997</v>
      </c>
      <c r="GA108" s="39">
        <f>(IF(WEEKDAY(GA$82,2)&gt;5,0,37.8))*-1</f>
        <v>-37.799999999999997</v>
      </c>
      <c r="GB108" s="39">
        <f>(IF(WEEKDAY(GB$82,2)&gt;5,0,43.53))*-1</f>
        <v>-43.53</v>
      </c>
      <c r="GC108" s="39">
        <f>(IF(WEEKDAY(GC$82,2)&gt;5,0,45.05))*-1</f>
        <v>0</v>
      </c>
      <c r="GD108" s="39">
        <f>(IF(WEEKDAY(GD$82,2)&gt;5,0,34.87))*-1</f>
        <v>0</v>
      </c>
      <c r="GE108" s="39">
        <f>(IF(WEEKDAY(GE$82,2)&gt;5,0,42.33))*-1</f>
        <v>-42.33</v>
      </c>
      <c r="GF108" s="39">
        <f>(IF(WEEKDAY(GF$82,2)&gt;5,0,36.79))*-1</f>
        <v>-36.79</v>
      </c>
      <c r="GG108" s="39">
        <f>(IF(WEEKDAY(GG$82,2)&gt;5,0,43.25))*-1</f>
        <v>-43.25</v>
      </c>
      <c r="GH108" s="39">
        <f>(IF(WEEKDAY(GH$82,2)&gt;5,0,43.93))*-1</f>
        <v>-43.93</v>
      </c>
      <c r="GI108" s="39">
        <f>(IF(WEEKDAY(GI$82,2)&gt;5,0,45.28))*-1</f>
        <v>-45.28</v>
      </c>
      <c r="GJ108" s="39">
        <f>(IF(WEEKDAY(GJ$82,2)&gt;5,0,38.99))*-1</f>
        <v>0</v>
      </c>
      <c r="GK108" s="39">
        <f>(IF(WEEKDAY(GK$82,2)&gt;5,0,39.76))*-1</f>
        <v>0</v>
      </c>
      <c r="GL108" s="39">
        <f>(IF(WEEKDAY(GL$82,2)&gt;5,0,35.74))*-1</f>
        <v>-35.74</v>
      </c>
      <c r="GM108" s="39">
        <f>(IF(WEEKDAY(GM$82,2)&gt;5,0,41.58))*-1</f>
        <v>-41.58</v>
      </c>
      <c r="GN108" s="39">
        <f>(IF(WEEKDAY(GN$82,2)&gt;5,0,38.46))*-1</f>
        <v>-38.46</v>
      </c>
      <c r="GO108" s="39">
        <f>(IF(WEEKDAY(GO$82,2)&gt;5,0,38.78))*-1</f>
        <v>-38.78</v>
      </c>
      <c r="GP108" s="39">
        <f>(IF(WEEKDAY(GP$82,2)&gt;5,0,45.82))*-1</f>
        <v>-45.82</v>
      </c>
      <c r="GQ108" s="39">
        <f>(IF(WEEKDAY(GQ$82,2)&gt;5,0,43.54))*-1</f>
        <v>0</v>
      </c>
      <c r="GR108" s="39">
        <f>(IF(WEEKDAY(GR$82,2)&gt;5,0,34.59))*-1</f>
        <v>0</v>
      </c>
      <c r="GS108" s="39">
        <f>(IF(WEEKDAY(GS$82,2)&gt;5,0,44.68))*-1</f>
        <v>-44.68</v>
      </c>
      <c r="GT108" s="39">
        <f>(IF(WEEKDAY(GT$82,2)&gt;5,0,45.04))*-1</f>
        <v>-45.04</v>
      </c>
      <c r="GU108" s="39">
        <f>(IF(WEEKDAY(GU$82,2)&gt;5,0,34.83))*-1</f>
        <v>-34.83</v>
      </c>
      <c r="GV108" s="39">
        <f>(IF(WEEKDAY(GV$82,2)&gt;5,0,41.34))*-1</f>
        <v>-41.34</v>
      </c>
      <c r="GW108" s="39">
        <f>(IF(WEEKDAY(GW$82,2)&gt;5,0,45.2))*-1</f>
        <v>-45.2</v>
      </c>
      <c r="GX108" s="39">
        <f>(IF(WEEKDAY(GX$82,2)&gt;5,0,43.01))*-1</f>
        <v>0</v>
      </c>
      <c r="GY108" s="39">
        <f>(IF(WEEKDAY(GY$82,2)&gt;5,0,40.28))*-1</f>
        <v>0</v>
      </c>
      <c r="GZ108" s="39">
        <f>(IF(WEEKDAY(GZ$82,2)&gt;5,0,45.75))*-1</f>
        <v>-45.75</v>
      </c>
      <c r="HA108" s="39">
        <f>(IF(WEEKDAY(HA$82,2)&gt;5,0,34.44))*-1</f>
        <v>-34.44</v>
      </c>
      <c r="HB108" s="39">
        <f>(IF(WEEKDAY(HB$82,2)&gt;5,0,39.44))*-1</f>
        <v>-39.44</v>
      </c>
      <c r="HC108" s="39">
        <f>(IF(WEEKDAY(HC$82,2)&gt;5,0,39.05))*-1</f>
        <v>-39.049999999999997</v>
      </c>
      <c r="HD108" s="39">
        <f>(IF(WEEKDAY(HD$82,2)&gt;5,0,38.94))*-1</f>
        <v>-38.94</v>
      </c>
      <c r="HE108" s="39">
        <f>(IF(WEEKDAY(HE$82,2)&gt;5,0,45.9))*-1</f>
        <v>0</v>
      </c>
      <c r="HF108" s="39">
        <f>(IF(WEEKDAY(HF$82,2)&gt;5,0,41.93))*-1</f>
        <v>0</v>
      </c>
      <c r="HG108" s="39">
        <f>(IF(WEEKDAY(HG$82,2)&gt;5,0,42.65))*-1</f>
        <v>-42.65</v>
      </c>
      <c r="HH108" s="39">
        <f>(IF(WEEKDAY(HH$82,2)&gt;5,0,45.22))*-1</f>
        <v>-45.22</v>
      </c>
      <c r="HI108" s="39">
        <f>(IF(WEEKDAY(HI$82,2)&gt;5,0,39.73))*-1</f>
        <v>-39.729999999999997</v>
      </c>
      <c r="HJ108" s="39">
        <f>(IF(WEEKDAY(HJ$82,2)&gt;5,0,40.24))*-1</f>
        <v>-40.24</v>
      </c>
      <c r="HK108" s="39">
        <f>(IF(WEEKDAY(HK$82,2)&gt;5,0,43.35))*-1</f>
        <v>-43.35</v>
      </c>
      <c r="HL108" s="39">
        <f>(IF(WEEKDAY(HL$82,2)&gt;5,0,41.88))*-1</f>
        <v>0</v>
      </c>
      <c r="HM108" s="39">
        <f>(IF(WEEKDAY(HM$82,2)&gt;5,0,37.27))*-1</f>
        <v>0</v>
      </c>
      <c r="HN108" s="39">
        <f>(IF(WEEKDAY(HN$82,2)&gt;5,0,45.99))*-1</f>
        <v>-45.99</v>
      </c>
      <c r="HO108" s="39">
        <f>(IF(WEEKDAY(HO$82,2)&gt;5,0,38.61))*-1</f>
        <v>-38.61</v>
      </c>
      <c r="HP108" s="39">
        <f>(IF(WEEKDAY(HP$82,2)&gt;5,0,34.57))*-1</f>
        <v>-34.57</v>
      </c>
      <c r="HQ108" s="39">
        <f>(IF(WEEKDAY(HQ$82,2)&gt;5,0,35.95))*-1</f>
        <v>-35.950000000000003</v>
      </c>
      <c r="HR108" s="39">
        <f>(IF(WEEKDAY(HR$82,2)&gt;5,0,39.87))*-1</f>
        <v>-39.869999999999997</v>
      </c>
      <c r="HS108" s="39">
        <f>(IF(WEEKDAY(HS$82,2)&gt;5,0,43.61))*-1</f>
        <v>0</v>
      </c>
      <c r="HT108" s="39">
        <f>(IF(WEEKDAY(HT$82,2)&gt;5,0,34.38))*-1</f>
        <v>0</v>
      </c>
      <c r="HU108" s="39">
        <f>(IF(WEEKDAY(HU$82,2)&gt;5,0,34.42))*-1</f>
        <v>-34.42</v>
      </c>
      <c r="HV108" s="39">
        <f>(IF(WEEKDAY(HV$82,2)&gt;5,0,41.11))*-1</f>
        <v>-41.11</v>
      </c>
      <c r="HW108" s="39">
        <f>(IF(WEEKDAY(HW$82,2)&gt;5,0,41.63))*-1</f>
        <v>-41.63</v>
      </c>
      <c r="HX108" s="39">
        <f>(IF(WEEKDAY(HX$82,2)&gt;5,0,36.9))*-1</f>
        <v>-36.9</v>
      </c>
      <c r="HY108" s="39">
        <f>(IF(WEEKDAY(HY$82,2)&gt;5,0,36.19))*-1</f>
        <v>-36.19</v>
      </c>
      <c r="HZ108" s="39">
        <f>(IF(WEEKDAY(HZ$82,2)&gt;5,0,42.92))*-1</f>
        <v>0</v>
      </c>
      <c r="IA108" s="39">
        <f>(IF(WEEKDAY(IA$82,2)&gt;5,0,39.81))*-1</f>
        <v>0</v>
      </c>
      <c r="IB108" s="39">
        <f>(IF(WEEKDAY(IB$82,2)&gt;5,0,44.94))*-1</f>
        <v>-44.94</v>
      </c>
      <c r="IC108" s="39">
        <f>(IF(WEEKDAY(IC$82,2)&gt;5,0,34.29))*-1</f>
        <v>-34.29</v>
      </c>
      <c r="ID108" s="39">
        <f>(IF(WEEKDAY(ID$82,2)&gt;5,0,41.69))*-1</f>
        <v>-41.69</v>
      </c>
      <c r="IE108" s="39">
        <f>(IF(WEEKDAY(IE$82,2)&gt;5,0,37.08))*-1</f>
        <v>-37.08</v>
      </c>
      <c r="IF108" s="39">
        <f>(IF(WEEKDAY(IF$82,2)&gt;5,0,40.34))*-1</f>
        <v>-40.340000000000003</v>
      </c>
      <c r="IG108" s="39">
        <f>(IF(WEEKDAY(IG$82,2)&gt;5,0,44.85))*-1</f>
        <v>0</v>
      </c>
      <c r="IH108" s="39">
        <f>(IF(WEEKDAY(IH$82,2)&gt;5,0,39.17))*-1</f>
        <v>0</v>
      </c>
      <c r="II108" s="39">
        <f>(IF(WEEKDAY(II$82,2)&gt;5,0,39.17))*-1</f>
        <v>-39.17</v>
      </c>
      <c r="IJ108" s="39">
        <f>(IF(WEEKDAY(IJ$82,2)&gt;5,0,42.06))*-1</f>
        <v>-42.06</v>
      </c>
      <c r="IK108" s="39">
        <f>(IF(WEEKDAY(IK$82,2)&gt;5,0,39.9))*-1</f>
        <v>-39.9</v>
      </c>
      <c r="IL108" s="39">
        <f>(IF(WEEKDAY(IL$82,2)&gt;5,0,38.07))*-1</f>
        <v>-38.07</v>
      </c>
    </row>
    <row r="109" spans="1:246" x14ac:dyDescent="0.3">
      <c r="A109" t="s">
        <v>23</v>
      </c>
      <c r="B109" s="39">
        <f>(IF(WEEKDAY(B$82,2)&gt;5,0,74.95))*-1</f>
        <v>-74.95</v>
      </c>
      <c r="C109" s="39">
        <f>(IF(WEEKDAY(C$82,2)&gt;5,0,79.91))*-1</f>
        <v>0</v>
      </c>
      <c r="D109" s="39">
        <f>(IF(WEEKDAY(D$82,2)&gt;5,0,69.79))*-1</f>
        <v>0</v>
      </c>
      <c r="E109" s="39">
        <f>(IF(WEEKDAY(E$82,2)&gt;5,0,73.05))*-1</f>
        <v>-73.05</v>
      </c>
      <c r="F109" s="39">
        <f>(IF(WEEKDAY(F$82,2)&gt;5,0,78))*-1</f>
        <v>-78</v>
      </c>
      <c r="G109" s="39">
        <f>(IF(WEEKDAY(G$82,2)&gt;5,0,83.67))*-1</f>
        <v>-83.67</v>
      </c>
      <c r="H109" s="39">
        <f>(IF(WEEKDAY(H$82,2)&gt;5,0,76.12))*-1</f>
        <v>-76.12</v>
      </c>
      <c r="I109" s="39">
        <f>(IF(WEEKDAY(I$82,2)&gt;5,0,79.26))*-1</f>
        <v>-79.260000000000005</v>
      </c>
      <c r="J109" s="39">
        <f>(IF(WEEKDAY(J$82,2)&gt;5,0,86.55))*-1</f>
        <v>0</v>
      </c>
      <c r="K109" s="39">
        <f>(IF(WEEKDAY(K$82,2)&gt;5,0,80))*-1</f>
        <v>0</v>
      </c>
      <c r="L109" s="39">
        <f>(IF(WEEKDAY(L$82,2)&gt;5,0,78.25))*-1</f>
        <v>-78.25</v>
      </c>
      <c r="M109" s="39">
        <f>(IF(WEEKDAY(M$82,2)&gt;5,0,82.51))*-1</f>
        <v>-82.51</v>
      </c>
      <c r="N109" s="39">
        <f>(IF(WEEKDAY(N$82,2)&gt;5,0,85.07))*-1</f>
        <v>-85.07</v>
      </c>
      <c r="O109" s="39">
        <f>(IF(WEEKDAY(O$82,2)&gt;5,0,77.33))*-1</f>
        <v>-77.33</v>
      </c>
      <c r="P109" s="39">
        <f>(IF(WEEKDAY(P$82,2)&gt;5,0,89.36))*-1</f>
        <v>-89.36</v>
      </c>
      <c r="Q109" s="39">
        <f>(IF(WEEKDAY(Q$82,2)&gt;5,0,82.24))*-1</f>
        <v>0</v>
      </c>
      <c r="R109" s="39">
        <f>(IF(WEEKDAY(R$82,2)&gt;5,0,83.73))*-1</f>
        <v>0</v>
      </c>
      <c r="S109" s="39">
        <f>(IF(WEEKDAY(S$82,2)&gt;5,0,79.22))*-1</f>
        <v>-79.22</v>
      </c>
      <c r="T109" s="39">
        <f>(IF(WEEKDAY(T$82,2)&gt;5,0,90.45))*-1</f>
        <v>-90.45</v>
      </c>
      <c r="U109" s="39">
        <f>(IF(WEEKDAY(U$82,2)&gt;5,0,76.25))*-1</f>
        <v>-76.25</v>
      </c>
      <c r="V109" s="39">
        <f>(IF(WEEKDAY(V$82,2)&gt;5,0,75.53))*-1</f>
        <v>-75.53</v>
      </c>
      <c r="W109" s="39">
        <f>(IF(WEEKDAY(W$82,2)&gt;5,0,78.57))*-1</f>
        <v>-78.569999999999993</v>
      </c>
      <c r="X109" s="39">
        <f>(IF(WEEKDAY(X$82,2)&gt;5,0,70.71))*-1</f>
        <v>0</v>
      </c>
      <c r="Y109" s="39">
        <f>(IF(WEEKDAY(Y$82,2)&gt;5,0,73.69))*-1</f>
        <v>0</v>
      </c>
      <c r="Z109" s="39">
        <f>(IF(WEEKDAY(Z$82,2)&gt;5,0,72.13))*-1</f>
        <v>-72.13</v>
      </c>
      <c r="AA109" s="39">
        <f>(IF(WEEKDAY(AA$82,2)&gt;5,0,83.58))*-1</f>
        <v>-83.58</v>
      </c>
      <c r="AB109" s="39">
        <f>(IF(WEEKDAY(AB$82,2)&gt;5,0,87.55))*-1</f>
        <v>-87.55</v>
      </c>
      <c r="AC109" s="39">
        <f>(IF(WEEKDAY(AC$82,2)&gt;5,0,72.15))*-1</f>
        <v>-72.150000000000006</v>
      </c>
      <c r="AD109" s="39">
        <f>(IF(WEEKDAY(AD$82,2)&gt;5,0,90.13))*-1</f>
        <v>-90.13</v>
      </c>
      <c r="AE109" s="39">
        <f>(IF(WEEKDAY(AE$82,2)&gt;5,0,72.76))*-1</f>
        <v>0</v>
      </c>
      <c r="AF109" s="39">
        <f>(IF(WEEKDAY(AF$82,2)&gt;5,0,81.56))*-1</f>
        <v>0</v>
      </c>
      <c r="AG109" s="39">
        <f>(IF(WEEKDAY(AG$82,2)&gt;5,0,84.35))*-1</f>
        <v>-84.35</v>
      </c>
      <c r="AH109" s="39">
        <f>(IF(WEEKDAY(AH$82,2)&gt;5,0,81.48))*-1</f>
        <v>-81.48</v>
      </c>
      <c r="AI109" s="39">
        <f>(IF(WEEKDAY(AI$82,2)&gt;5,0,81.76))*-1</f>
        <v>-81.760000000000005</v>
      </c>
      <c r="AJ109" s="39">
        <f>(IF(WEEKDAY(AJ$82,2)&gt;5,0,72.77))*-1</f>
        <v>-72.77</v>
      </c>
      <c r="AK109" s="39">
        <f>(IF(WEEKDAY(AK$82,2)&gt;5,0,91.72))*-1</f>
        <v>-91.72</v>
      </c>
      <c r="AL109" s="39">
        <f>(IF(WEEKDAY(AL$82,2)&gt;5,0,72.84))*-1</f>
        <v>0</v>
      </c>
      <c r="AM109" s="39">
        <f>(IF(WEEKDAY(AM$82,2)&gt;5,0,83.55))*-1</f>
        <v>0</v>
      </c>
      <c r="AN109" s="39">
        <f>(IF(WEEKDAY(AN$82,2)&gt;5,0,68.29))*-1</f>
        <v>-68.290000000000006</v>
      </c>
      <c r="AO109" s="39">
        <f>(IF(WEEKDAY(AO$82,2)&gt;5,0,89.61))*-1</f>
        <v>-89.61</v>
      </c>
      <c r="AP109" s="39">
        <f>(IF(WEEKDAY(AP$82,2)&gt;5,0,84.3))*-1</f>
        <v>-84.3</v>
      </c>
      <c r="AQ109" s="39">
        <f>(IF(WEEKDAY(AQ$82,2)&gt;5,0,88.22))*-1</f>
        <v>-88.22</v>
      </c>
      <c r="AR109" s="39">
        <f>(IF(WEEKDAY(AR$82,2)&gt;5,0,90.69))*-1</f>
        <v>-90.69</v>
      </c>
      <c r="AS109" s="39">
        <f>(IF(WEEKDAY(AS$82,2)&gt;5,0,89.42))*-1</f>
        <v>0</v>
      </c>
      <c r="AT109" s="39">
        <f>(IF(WEEKDAY(AT$82,2)&gt;5,0,74.72))*-1</f>
        <v>0</v>
      </c>
      <c r="AU109" s="39">
        <f>(IF(WEEKDAY(AU$82,2)&gt;5,0,73.55))*-1</f>
        <v>-73.55</v>
      </c>
      <c r="AV109" s="39">
        <f>(IF(WEEKDAY(AV$82,2)&gt;5,0,70.28))*-1</f>
        <v>-70.28</v>
      </c>
      <c r="AW109" s="39">
        <f>(IF(WEEKDAY(AW$82,2)&gt;5,0,78.19))*-1</f>
        <v>-78.19</v>
      </c>
      <c r="AX109" s="39">
        <f>(IF(WEEKDAY(AX$82,2)&gt;5,0,90.2))*-1</f>
        <v>-90.2</v>
      </c>
      <c r="AY109" s="39">
        <f>(IF(WEEKDAY(AY$82,2)&gt;5,0,82.64))*-1</f>
        <v>-82.64</v>
      </c>
      <c r="AZ109" s="39">
        <f>(IF(WEEKDAY(AZ$82,2)&gt;5,0,83.68))*-1</f>
        <v>0</v>
      </c>
      <c r="BA109" s="39">
        <f>(IF(WEEKDAY(BA$82,2)&gt;5,0,76.88))*-1</f>
        <v>0</v>
      </c>
      <c r="BB109" s="39">
        <f>(IF(WEEKDAY(BB$82,2)&gt;5,0,87.81))*-1</f>
        <v>-87.81</v>
      </c>
      <c r="BC109" s="39">
        <f>(IF(WEEKDAY(BC$82,2)&gt;5,0,75.74))*-1</f>
        <v>-75.739999999999995</v>
      </c>
      <c r="BD109" s="39">
        <f>(IF(WEEKDAY(BD$82,2)&gt;5,0,90.33))*-1</f>
        <v>-90.33</v>
      </c>
      <c r="BE109" s="39">
        <f>(IF(WEEKDAY(BE$82,2)&gt;5,0,85.1))*-1</f>
        <v>-85.1</v>
      </c>
      <c r="BF109" s="39">
        <f>(IF(WEEKDAY(BF$82,2)&gt;5,0,91.43))*-1</f>
        <v>-91.43</v>
      </c>
      <c r="BG109" s="39">
        <f>(IF(WEEKDAY(BG$82,2)&gt;5,0,89.7))*-1</f>
        <v>0</v>
      </c>
      <c r="BH109" s="39">
        <f>(IF(WEEKDAY(BH$82,2)&gt;5,0,87.6))*-1</f>
        <v>0</v>
      </c>
      <c r="BI109" s="39">
        <f>(IF(WEEKDAY(BI$82,2)&gt;5,0,70.22))*-1</f>
        <v>-70.22</v>
      </c>
      <c r="BJ109" s="39">
        <f>(IF(WEEKDAY(BJ$82,2)&gt;5,0,73.63))*-1</f>
        <v>-73.63</v>
      </c>
      <c r="BK109" s="39">
        <f>(IF(WEEKDAY(BK$82,2)&gt;5,0,75.52))*-1</f>
        <v>-75.52</v>
      </c>
      <c r="BL109" s="39">
        <f>(IF(WEEKDAY(BL$82,2)&gt;5,0,89.11))*-1</f>
        <v>-89.11</v>
      </c>
      <c r="BM109" s="39">
        <f>(IF(WEEKDAY(BM$82,2)&gt;5,0,75.22))*-1</f>
        <v>-75.22</v>
      </c>
      <c r="BN109" s="39">
        <f>(IF(WEEKDAY(BN$82,2)&gt;5,0,87.82))*-1</f>
        <v>0</v>
      </c>
      <c r="BO109" s="39">
        <f>(IF(WEEKDAY(BO$82,2)&gt;5,0,70.05))*-1</f>
        <v>0</v>
      </c>
      <c r="BP109" s="39">
        <f>(IF(WEEKDAY(BP$82,2)&gt;5,0,86.97))*-1</f>
        <v>-86.97</v>
      </c>
      <c r="BQ109" s="39">
        <f>(IF(WEEKDAY(BQ$82,2)&gt;5,0,81.66))*-1</f>
        <v>-81.66</v>
      </c>
      <c r="BR109" s="39">
        <f>(IF(WEEKDAY(BR$82,2)&gt;5,0,82.23))*-1</f>
        <v>-82.23</v>
      </c>
      <c r="BS109" s="39">
        <f>(IF(WEEKDAY(BS$82,2)&gt;5,0,86.41))*-1</f>
        <v>-86.41</v>
      </c>
      <c r="BT109" s="39">
        <f>(IF(WEEKDAY(BT$82,2)&gt;5,0,73))*-1</f>
        <v>-73</v>
      </c>
      <c r="BU109" s="39">
        <f>(IF(WEEKDAY(BU$82,2)&gt;5,0,76.59))*-1</f>
        <v>0</v>
      </c>
      <c r="BV109" s="39">
        <f>(IF(WEEKDAY(BV$82,2)&gt;5,0,78.63))*-1</f>
        <v>0</v>
      </c>
      <c r="BW109" s="39">
        <f>(IF(WEEKDAY(BW$82,2)&gt;5,0,86.54))*-1</f>
        <v>-86.54</v>
      </c>
      <c r="BX109" s="39">
        <f>(IF(WEEKDAY(BX$82,2)&gt;5,0,86.56))*-1</f>
        <v>-86.56</v>
      </c>
      <c r="BY109" s="39">
        <f>(IF(WEEKDAY(BY$82,2)&gt;5,0,71.75))*-1</f>
        <v>-71.75</v>
      </c>
      <c r="BZ109" s="39">
        <f>(IF(WEEKDAY(BZ$82,2)&gt;5,0,72.31))*-1</f>
        <v>-72.31</v>
      </c>
      <c r="CA109" s="39">
        <f>(IF(WEEKDAY(CA$82,2)&gt;5,0,91.27))*-1</f>
        <v>-91.27</v>
      </c>
      <c r="CB109" s="39">
        <f>(IF(WEEKDAY(CB$82,2)&gt;5,0,82.23))*-1</f>
        <v>0</v>
      </c>
      <c r="CC109" s="39">
        <f>(IF(WEEKDAY(CC$82,2)&gt;5,0,73.97))*-1</f>
        <v>0</v>
      </c>
      <c r="CD109" s="39">
        <f>(IF(WEEKDAY(CD$82,2)&gt;5,0,69.87))*-1</f>
        <v>-69.87</v>
      </c>
      <c r="CE109" s="39">
        <f>(IF(WEEKDAY(CE$82,2)&gt;5,0,86.39))*-1</f>
        <v>-86.39</v>
      </c>
      <c r="CF109" s="39">
        <f>(IF(WEEKDAY(CF$82,2)&gt;5,0,84.58))*-1</f>
        <v>-84.58</v>
      </c>
      <c r="CG109" s="39">
        <f>(IF(WEEKDAY(CG$82,2)&gt;5,0,82.2))*-1</f>
        <v>-82.2</v>
      </c>
      <c r="CH109" s="39">
        <f>(IF(WEEKDAY(CH$82,2)&gt;5,0,79.32))*-1</f>
        <v>-79.319999999999993</v>
      </c>
      <c r="CI109" s="39">
        <f>(IF(WEEKDAY(CI$82,2)&gt;5,0,81.44))*-1</f>
        <v>0</v>
      </c>
      <c r="CJ109" s="39">
        <f>(IF(WEEKDAY(CJ$82,2)&gt;5,0,85.62))*-1</f>
        <v>0</v>
      </c>
      <c r="CK109" s="39">
        <f>(IF(WEEKDAY(CK$82,2)&gt;5,0,83.04))*-1</f>
        <v>-83.04</v>
      </c>
      <c r="CL109" s="39">
        <f>(IF(WEEKDAY(CL$82,2)&gt;5,0,84.06))*-1</f>
        <v>-84.06</v>
      </c>
      <c r="CM109" s="39">
        <f>(IF(WEEKDAY(CM$82,2)&gt;5,0,80.17))*-1</f>
        <v>-80.17</v>
      </c>
      <c r="CN109" s="39">
        <f>(IF(WEEKDAY(CN$82,2)&gt;5,0,80.93))*-1</f>
        <v>-80.930000000000007</v>
      </c>
      <c r="CO109" s="39">
        <f>(IF(WEEKDAY(CO$82,2)&gt;5,0,80.35))*-1</f>
        <v>-80.349999999999994</v>
      </c>
      <c r="CP109" s="39">
        <f>(IF(WEEKDAY(CP$82,2)&gt;5,0,76.49))*-1</f>
        <v>0</v>
      </c>
      <c r="CQ109" s="39">
        <f>(IF(WEEKDAY(CQ$82,2)&gt;5,0,76.05))*-1</f>
        <v>0</v>
      </c>
      <c r="CR109" s="39">
        <f>(IF(WEEKDAY(CR$82,2)&gt;5,0,68.28))*-1</f>
        <v>-68.28</v>
      </c>
      <c r="CS109" s="39">
        <f>(IF(WEEKDAY(CS$82,2)&gt;5,0,71.01))*-1</f>
        <v>-71.010000000000005</v>
      </c>
      <c r="CT109" s="39">
        <f>(IF(WEEKDAY(CT$82,2)&gt;5,0,80.99))*-1</f>
        <v>-80.989999999999995</v>
      </c>
      <c r="CU109" s="39">
        <f>(IF(WEEKDAY(CU$82,2)&gt;5,0,85.09))*-1</f>
        <v>-85.09</v>
      </c>
      <c r="CV109" s="39">
        <f>(IF(WEEKDAY(CV$82,2)&gt;5,0,86.2))*-1</f>
        <v>-86.2</v>
      </c>
      <c r="CW109" s="39">
        <f>(IF(WEEKDAY(CW$82,2)&gt;5,0,76.22))*-1</f>
        <v>0</v>
      </c>
      <c r="CX109" s="39">
        <f>(IF(WEEKDAY(CX$82,2)&gt;5,0,85.62))*-1</f>
        <v>0</v>
      </c>
      <c r="CY109" s="39">
        <f>(IF(WEEKDAY(CY$82,2)&gt;5,0,74.22))*-1</f>
        <v>-74.22</v>
      </c>
      <c r="CZ109" s="39">
        <f>(IF(WEEKDAY(CZ$82,2)&gt;5,0,83.49))*-1</f>
        <v>-83.49</v>
      </c>
      <c r="DA109" s="39">
        <f>(IF(WEEKDAY(DA$82,2)&gt;5,0,78))*-1</f>
        <v>-78</v>
      </c>
      <c r="DB109" s="39">
        <f>(IF(WEEKDAY(DB$82,2)&gt;5,0,86.84))*-1</f>
        <v>-86.84</v>
      </c>
      <c r="DC109" s="39">
        <f>(IF(WEEKDAY(DC$82,2)&gt;5,0,82))*-1</f>
        <v>-82</v>
      </c>
      <c r="DD109" s="39">
        <f>(IF(WEEKDAY(DD$82,2)&gt;5,0,88.83))*-1</f>
        <v>0</v>
      </c>
      <c r="DE109" s="39">
        <f>(IF(WEEKDAY(DE$82,2)&gt;5,0,91.09))*-1</f>
        <v>0</v>
      </c>
      <c r="DF109" s="39">
        <f>(IF(WEEKDAY(DF$82,2)&gt;5,0,91.12))*-1</f>
        <v>-91.12</v>
      </c>
      <c r="DG109" s="39">
        <f>(IF(WEEKDAY(DG$82,2)&gt;5,0,74.4))*-1</f>
        <v>-74.400000000000006</v>
      </c>
      <c r="DH109" s="39">
        <f>(IF(WEEKDAY(DH$82,2)&gt;5,0,90.26))*-1</f>
        <v>-90.26</v>
      </c>
      <c r="DI109" s="39">
        <f>(IF(WEEKDAY(DI$82,2)&gt;5,0,76.46))*-1</f>
        <v>-76.459999999999994</v>
      </c>
      <c r="DJ109" s="39">
        <f>(IF(WEEKDAY(DJ$82,2)&gt;5,0,84.12))*-1</f>
        <v>-84.12</v>
      </c>
      <c r="DK109" s="39">
        <f>(IF(WEEKDAY(DK$82,2)&gt;5,0,90.13))*-1</f>
        <v>0</v>
      </c>
      <c r="DL109" s="39">
        <f>(IF(WEEKDAY(DL$82,2)&gt;5,0,71.74))*-1</f>
        <v>0</v>
      </c>
      <c r="DM109" s="39">
        <f>(IF(WEEKDAY(DM$82,2)&gt;5,0,90.44))*-1</f>
        <v>-90.44</v>
      </c>
      <c r="DN109" s="39">
        <f>(IF(WEEKDAY(DN$82,2)&gt;5,0,77.91))*-1</f>
        <v>-77.91</v>
      </c>
      <c r="DO109" s="39">
        <f>(IF(WEEKDAY(DO$82,2)&gt;5,0,75.58))*-1</f>
        <v>-75.58</v>
      </c>
      <c r="DP109" s="39">
        <f>(IF(WEEKDAY(DP$82,2)&gt;5,0,76.69))*-1</f>
        <v>-76.69</v>
      </c>
      <c r="DQ109" s="39">
        <f>(IF(WEEKDAY(DQ$82,2)&gt;5,0,91.45))*-1</f>
        <v>-91.45</v>
      </c>
      <c r="DR109" s="39">
        <f>(IF(WEEKDAY(DR$82,2)&gt;5,0,75.74))*-1</f>
        <v>0</v>
      </c>
      <c r="DS109" s="39">
        <f>(IF(WEEKDAY(DS$82,2)&gt;5,0,78.95))*-1</f>
        <v>0</v>
      </c>
      <c r="DT109" s="39">
        <f>(IF(WEEKDAY(DT$82,2)&gt;5,0,74.06))*-1</f>
        <v>-74.06</v>
      </c>
      <c r="DU109" s="39">
        <f>(IF(WEEKDAY(DU$82,2)&gt;5,0,78.66))*-1</f>
        <v>-78.66</v>
      </c>
      <c r="DV109" s="39">
        <f>(IF(WEEKDAY(DV$82,2)&gt;5,0,82.29))*-1</f>
        <v>-82.29</v>
      </c>
      <c r="DW109" s="39">
        <f>(IF(WEEKDAY(DW$82,2)&gt;5,0,89))*-1</f>
        <v>-89</v>
      </c>
      <c r="DX109" s="39">
        <f>(IF(WEEKDAY(DX$82,2)&gt;5,0,68.92))*-1</f>
        <v>-68.92</v>
      </c>
      <c r="DY109" s="39">
        <f>(IF(WEEKDAY(DY$82,2)&gt;5,0,75.23))*-1</f>
        <v>0</v>
      </c>
      <c r="DZ109" s="39">
        <f>(IF(WEEKDAY(DZ$82,2)&gt;5,0,69.8))*-1</f>
        <v>0</v>
      </c>
      <c r="EA109" s="39">
        <f>(IF(WEEKDAY(EA$82,2)&gt;5,0,71.48))*-1</f>
        <v>-71.48</v>
      </c>
      <c r="EB109" s="39">
        <f>(IF(WEEKDAY(EB$82,2)&gt;5,0,88.73))*-1</f>
        <v>-88.73</v>
      </c>
      <c r="EC109" s="39">
        <f>(IF(WEEKDAY(EC$82,2)&gt;5,0,86.96))*-1</f>
        <v>-86.96</v>
      </c>
      <c r="ED109" s="39">
        <f>(IF(WEEKDAY(ED$82,2)&gt;5,0,86.52))*-1</f>
        <v>-86.52</v>
      </c>
      <c r="EE109" s="39">
        <f>(IF(WEEKDAY(EE$82,2)&gt;5,0,88.26))*-1</f>
        <v>-88.26</v>
      </c>
      <c r="EF109" s="39">
        <f>(IF(WEEKDAY(EF$82,2)&gt;5,0,83.86))*-1</f>
        <v>0</v>
      </c>
      <c r="EG109" s="39">
        <f>(IF(WEEKDAY(EG$82,2)&gt;5,0,75.65))*-1</f>
        <v>0</v>
      </c>
      <c r="EH109" s="39">
        <f>(IF(WEEKDAY(EH$82,2)&gt;5,0,72.74))*-1</f>
        <v>-72.739999999999995</v>
      </c>
      <c r="EI109" s="39">
        <f>(IF(WEEKDAY(EI$82,2)&gt;5,0,88.96))*-1</f>
        <v>-88.96</v>
      </c>
      <c r="EJ109" s="39">
        <f>(IF(WEEKDAY(EJ$82,2)&gt;5,0,87.19))*-1</f>
        <v>-87.19</v>
      </c>
      <c r="EK109" s="39">
        <f>(IF(WEEKDAY(EK$82,2)&gt;5,0,78.59))*-1</f>
        <v>-78.59</v>
      </c>
      <c r="EL109" s="39">
        <f>(IF(WEEKDAY(EL$82,2)&gt;5,0,71.42))*-1</f>
        <v>-71.42</v>
      </c>
      <c r="EM109" s="39">
        <f>(IF(WEEKDAY(EM$82,2)&gt;5,0,73.35))*-1</f>
        <v>0</v>
      </c>
      <c r="EN109" s="39">
        <f>(IF(WEEKDAY(EN$82,2)&gt;5,0,91.85))*-1</f>
        <v>0</v>
      </c>
      <c r="EO109" s="39">
        <f>(IF(WEEKDAY(EO$82,2)&gt;5,0,84.96))*-1</f>
        <v>-84.96</v>
      </c>
      <c r="EP109" s="39">
        <f>(IF(WEEKDAY(EP$82,2)&gt;5,0,87.29))*-1</f>
        <v>-87.29</v>
      </c>
      <c r="EQ109" s="39">
        <f>(IF(WEEKDAY(EQ$82,2)&gt;5,0,88.87))*-1</f>
        <v>-88.87</v>
      </c>
      <c r="ER109" s="39">
        <f>(IF(WEEKDAY(ER$82,2)&gt;5,0,77.1))*-1</f>
        <v>-77.099999999999994</v>
      </c>
      <c r="ES109" s="39">
        <f>(IF(WEEKDAY(ES$82,2)&gt;5,0,84.38))*-1</f>
        <v>-84.38</v>
      </c>
      <c r="ET109" s="39">
        <f>(IF(WEEKDAY(ET$82,2)&gt;5,0,87.4))*-1</f>
        <v>0</v>
      </c>
      <c r="EU109" s="39">
        <f>(IF(WEEKDAY(EU$82,2)&gt;5,0,74.69))*-1</f>
        <v>0</v>
      </c>
      <c r="EV109" s="39">
        <f>(IF(WEEKDAY(EV$82,2)&gt;5,0,70.87))*-1</f>
        <v>-70.87</v>
      </c>
      <c r="EW109" s="39">
        <f>(IF(WEEKDAY(EW$82,2)&gt;5,0,85.91))*-1</f>
        <v>-85.91</v>
      </c>
      <c r="EX109" s="39">
        <f>(IF(WEEKDAY(EX$82,2)&gt;5,0,68.5))*-1</f>
        <v>-68.5</v>
      </c>
      <c r="EY109" s="39">
        <f>(IF(WEEKDAY(EY$82,2)&gt;5,0,82.62))*-1</f>
        <v>-82.62</v>
      </c>
      <c r="EZ109" s="39">
        <f>(IF(WEEKDAY(EZ$82,2)&gt;5,0,78.1))*-1</f>
        <v>-78.099999999999994</v>
      </c>
      <c r="FA109" s="39">
        <f>(IF(WEEKDAY(FA$82,2)&gt;5,0,91.38))*-1</f>
        <v>0</v>
      </c>
      <c r="FB109" s="39">
        <f>(IF(WEEKDAY(FB$82,2)&gt;5,0,90.54))*-1</f>
        <v>0</v>
      </c>
      <c r="FC109" s="39">
        <f>(IF(WEEKDAY(FC$82,2)&gt;5,0,91.63))*-1</f>
        <v>-91.63</v>
      </c>
      <c r="FD109" s="39">
        <f>(IF(WEEKDAY(FD$82,2)&gt;5,0,88.27))*-1</f>
        <v>-88.27</v>
      </c>
      <c r="FE109" s="39">
        <f>(IF(WEEKDAY(FE$82,2)&gt;5,0,77.29))*-1</f>
        <v>-77.290000000000006</v>
      </c>
      <c r="FF109" s="39">
        <f>(IF(WEEKDAY(FF$82,2)&gt;5,0,88.99))*-1</f>
        <v>-88.99</v>
      </c>
      <c r="FG109" s="39">
        <f>(IF(WEEKDAY(FG$82,2)&gt;5,0,74.24))*-1</f>
        <v>-74.239999999999995</v>
      </c>
      <c r="FH109" s="39">
        <f>(IF(WEEKDAY(FH$82,2)&gt;5,0,91.06))*-1</f>
        <v>0</v>
      </c>
      <c r="FI109" s="39">
        <f>(IF(WEEKDAY(FI$82,2)&gt;5,0,75.17))*-1</f>
        <v>0</v>
      </c>
      <c r="FJ109" s="39">
        <f>(IF(WEEKDAY(FJ$82,2)&gt;5,0,71.77))*-1</f>
        <v>-71.77</v>
      </c>
      <c r="FK109" s="39">
        <f>(IF(WEEKDAY(FK$82,2)&gt;5,0,74.88))*-1</f>
        <v>-74.88</v>
      </c>
      <c r="FL109" s="39">
        <f>(IF(WEEKDAY(FL$82,2)&gt;5,0,87.37))*-1</f>
        <v>-87.37</v>
      </c>
      <c r="FM109" s="39">
        <f>(IF(WEEKDAY(FM$82,2)&gt;5,0,74.18))*-1</f>
        <v>-74.180000000000007</v>
      </c>
      <c r="FN109" s="39">
        <f>(IF(WEEKDAY(FN$82,2)&gt;5,0,68.65))*-1</f>
        <v>-68.650000000000006</v>
      </c>
      <c r="FO109" s="39">
        <f>(IF(WEEKDAY(FO$82,2)&gt;5,0,87.96))*-1</f>
        <v>0</v>
      </c>
      <c r="FP109" s="39">
        <f>(IF(WEEKDAY(FP$82,2)&gt;5,0,86.35))*-1</f>
        <v>0</v>
      </c>
      <c r="FQ109" s="39">
        <f>(IF(WEEKDAY(FQ$82,2)&gt;5,0,88.35))*-1</f>
        <v>-88.35</v>
      </c>
      <c r="FR109" s="39">
        <f>(IF(WEEKDAY(FR$82,2)&gt;5,0,86.07))*-1</f>
        <v>-86.07</v>
      </c>
      <c r="FS109" s="39">
        <f>(IF(WEEKDAY(FS$82,2)&gt;5,0,75.5))*-1</f>
        <v>-75.5</v>
      </c>
      <c r="FT109" s="39">
        <f>(IF(WEEKDAY(FT$82,2)&gt;5,0,70.54))*-1</f>
        <v>-70.540000000000006</v>
      </c>
      <c r="FU109" s="39">
        <f>(IF(WEEKDAY(FU$82,2)&gt;5,0,70.65))*-1</f>
        <v>-70.650000000000006</v>
      </c>
      <c r="FV109" s="39">
        <f>(IF(WEEKDAY(FV$82,2)&gt;5,0,84.09))*-1</f>
        <v>0</v>
      </c>
      <c r="FW109" s="39">
        <f>(IF(WEEKDAY(FW$82,2)&gt;5,0,79.03))*-1</f>
        <v>0</v>
      </c>
      <c r="FX109" s="39">
        <f>(IF(WEEKDAY(FX$82,2)&gt;5,0,81.24))*-1</f>
        <v>-81.239999999999995</v>
      </c>
      <c r="FY109" s="39">
        <f>(IF(WEEKDAY(FY$82,2)&gt;5,0,82.75))*-1</f>
        <v>-82.75</v>
      </c>
      <c r="FZ109" s="39">
        <f>(IF(WEEKDAY(FZ$82,2)&gt;5,0,89.22))*-1</f>
        <v>-89.22</v>
      </c>
      <c r="GA109" s="39">
        <f>(IF(WEEKDAY(GA$82,2)&gt;5,0,70.89))*-1</f>
        <v>-70.89</v>
      </c>
      <c r="GB109" s="39">
        <f>(IF(WEEKDAY(GB$82,2)&gt;5,0,72.36))*-1</f>
        <v>-72.36</v>
      </c>
      <c r="GC109" s="39">
        <f>(IF(WEEKDAY(GC$82,2)&gt;5,0,88))*-1</f>
        <v>0</v>
      </c>
      <c r="GD109" s="39">
        <f>(IF(WEEKDAY(GD$82,2)&gt;5,0,79.71))*-1</f>
        <v>0</v>
      </c>
      <c r="GE109" s="39">
        <f>(IF(WEEKDAY(GE$82,2)&gt;5,0,83.04))*-1</f>
        <v>-83.04</v>
      </c>
      <c r="GF109" s="39">
        <f>(IF(WEEKDAY(GF$82,2)&gt;5,0,74.73))*-1</f>
        <v>-74.73</v>
      </c>
      <c r="GG109" s="39">
        <f>(IF(WEEKDAY(GG$82,2)&gt;5,0,68.21))*-1</f>
        <v>-68.209999999999994</v>
      </c>
      <c r="GH109" s="39">
        <f>(IF(WEEKDAY(GH$82,2)&gt;5,0,90.32))*-1</f>
        <v>-90.32</v>
      </c>
      <c r="GI109" s="39">
        <f>(IF(WEEKDAY(GI$82,2)&gt;5,0,82.06))*-1</f>
        <v>-82.06</v>
      </c>
      <c r="GJ109" s="39">
        <f>(IF(WEEKDAY(GJ$82,2)&gt;5,0,89.76))*-1</f>
        <v>0</v>
      </c>
      <c r="GK109" s="39">
        <f>(IF(WEEKDAY(GK$82,2)&gt;5,0,79.36))*-1</f>
        <v>0</v>
      </c>
      <c r="GL109" s="39">
        <f>(IF(WEEKDAY(GL$82,2)&gt;5,0,91.61))*-1</f>
        <v>-91.61</v>
      </c>
      <c r="GM109" s="39">
        <f>(IF(WEEKDAY(GM$82,2)&gt;5,0,87.13))*-1</f>
        <v>-87.13</v>
      </c>
      <c r="GN109" s="39">
        <f>(IF(WEEKDAY(GN$82,2)&gt;5,0,73.98))*-1</f>
        <v>-73.98</v>
      </c>
      <c r="GO109" s="39">
        <f>(IF(WEEKDAY(GO$82,2)&gt;5,0,73.58))*-1</f>
        <v>-73.58</v>
      </c>
      <c r="GP109" s="39">
        <f>(IF(WEEKDAY(GP$82,2)&gt;5,0,81.02))*-1</f>
        <v>-81.02</v>
      </c>
      <c r="GQ109" s="39">
        <f>(IF(WEEKDAY(GQ$82,2)&gt;5,0,72.61))*-1</f>
        <v>0</v>
      </c>
      <c r="GR109" s="39">
        <f>(IF(WEEKDAY(GR$82,2)&gt;5,0,74.95))*-1</f>
        <v>0</v>
      </c>
      <c r="GS109" s="39">
        <f>(IF(WEEKDAY(GS$82,2)&gt;5,0,89.78))*-1</f>
        <v>-89.78</v>
      </c>
      <c r="GT109" s="39">
        <f>(IF(WEEKDAY(GT$82,2)&gt;5,0,68.71))*-1</f>
        <v>-68.709999999999994</v>
      </c>
      <c r="GU109" s="39">
        <f>(IF(WEEKDAY(GU$82,2)&gt;5,0,74.5))*-1</f>
        <v>-74.5</v>
      </c>
      <c r="GV109" s="39">
        <f>(IF(WEEKDAY(GV$82,2)&gt;5,0,91.2))*-1</f>
        <v>-91.2</v>
      </c>
      <c r="GW109" s="39">
        <f>(IF(WEEKDAY(GW$82,2)&gt;5,0,80.63))*-1</f>
        <v>-80.63</v>
      </c>
      <c r="GX109" s="39">
        <f>(IF(WEEKDAY(GX$82,2)&gt;5,0,71.63))*-1</f>
        <v>0</v>
      </c>
      <c r="GY109" s="39">
        <f>(IF(WEEKDAY(GY$82,2)&gt;5,0,87.87))*-1</f>
        <v>0</v>
      </c>
      <c r="GZ109" s="39">
        <f>(IF(WEEKDAY(GZ$82,2)&gt;5,0,90.15))*-1</f>
        <v>-90.15</v>
      </c>
      <c r="HA109" s="39">
        <f>(IF(WEEKDAY(HA$82,2)&gt;5,0,83.45))*-1</f>
        <v>-83.45</v>
      </c>
      <c r="HB109" s="39">
        <f>(IF(WEEKDAY(HB$82,2)&gt;5,0,88.76))*-1</f>
        <v>-88.76</v>
      </c>
      <c r="HC109" s="39">
        <f>(IF(WEEKDAY(HC$82,2)&gt;5,0,86.88))*-1</f>
        <v>-86.88</v>
      </c>
      <c r="HD109" s="39">
        <f>(IF(WEEKDAY(HD$82,2)&gt;5,0,84.59))*-1</f>
        <v>-84.59</v>
      </c>
      <c r="HE109" s="39">
        <f>(IF(WEEKDAY(HE$82,2)&gt;5,0,83.3))*-1</f>
        <v>0</v>
      </c>
      <c r="HF109" s="39">
        <f>(IF(WEEKDAY(HF$82,2)&gt;5,0,82.64))*-1</f>
        <v>0</v>
      </c>
      <c r="HG109" s="39">
        <f>(IF(WEEKDAY(HG$82,2)&gt;5,0,89.76))*-1</f>
        <v>-89.76</v>
      </c>
      <c r="HH109" s="39">
        <f>(IF(WEEKDAY(HH$82,2)&gt;5,0,69.93))*-1</f>
        <v>-69.930000000000007</v>
      </c>
      <c r="HI109" s="39">
        <f>(IF(WEEKDAY(HI$82,2)&gt;5,0,73.64))*-1</f>
        <v>-73.64</v>
      </c>
      <c r="HJ109" s="39">
        <f>(IF(WEEKDAY(HJ$82,2)&gt;5,0,90.35))*-1</f>
        <v>-90.35</v>
      </c>
      <c r="HK109" s="39">
        <f>(IF(WEEKDAY(HK$82,2)&gt;5,0,86.79))*-1</f>
        <v>-86.79</v>
      </c>
      <c r="HL109" s="39">
        <f>(IF(WEEKDAY(HL$82,2)&gt;5,0,90.89))*-1</f>
        <v>0</v>
      </c>
      <c r="HM109" s="39">
        <f>(IF(WEEKDAY(HM$82,2)&gt;5,0,77.28))*-1</f>
        <v>0</v>
      </c>
      <c r="HN109" s="39">
        <f>(IF(WEEKDAY(HN$82,2)&gt;5,0,72.42))*-1</f>
        <v>-72.42</v>
      </c>
      <c r="HO109" s="39">
        <f>(IF(WEEKDAY(HO$82,2)&gt;5,0,84.42))*-1</f>
        <v>-84.42</v>
      </c>
      <c r="HP109" s="39">
        <f>(IF(WEEKDAY(HP$82,2)&gt;5,0,88.05))*-1</f>
        <v>-88.05</v>
      </c>
      <c r="HQ109" s="39">
        <f>(IF(WEEKDAY(HQ$82,2)&gt;5,0,82.49))*-1</f>
        <v>-82.49</v>
      </c>
      <c r="HR109" s="39">
        <f>(IF(WEEKDAY(HR$82,2)&gt;5,0,78.06))*-1</f>
        <v>-78.06</v>
      </c>
      <c r="HS109" s="39">
        <f>(IF(WEEKDAY(HS$82,2)&gt;5,0,90.06))*-1</f>
        <v>0</v>
      </c>
      <c r="HT109" s="39">
        <f>(IF(WEEKDAY(HT$82,2)&gt;5,0,84.63))*-1</f>
        <v>0</v>
      </c>
      <c r="HU109" s="39">
        <f>(IF(WEEKDAY(HU$82,2)&gt;5,0,91.04))*-1</f>
        <v>-91.04</v>
      </c>
      <c r="HV109" s="39">
        <f>(IF(WEEKDAY(HV$82,2)&gt;5,0,87.04))*-1</f>
        <v>-87.04</v>
      </c>
      <c r="HW109" s="39">
        <f>(IF(WEEKDAY(HW$82,2)&gt;5,0,87.03))*-1</f>
        <v>-87.03</v>
      </c>
      <c r="HX109" s="39">
        <f>(IF(WEEKDAY(HX$82,2)&gt;5,0,88.71))*-1</f>
        <v>-88.71</v>
      </c>
      <c r="HY109" s="39">
        <f>(IF(WEEKDAY(HY$82,2)&gt;5,0,81.4))*-1</f>
        <v>-81.400000000000006</v>
      </c>
      <c r="HZ109" s="39">
        <f>(IF(WEEKDAY(HZ$82,2)&gt;5,0,72.52))*-1</f>
        <v>0</v>
      </c>
      <c r="IA109" s="39">
        <f>(IF(WEEKDAY(IA$82,2)&gt;5,0,77.42))*-1</f>
        <v>0</v>
      </c>
      <c r="IB109" s="39">
        <f>(IF(WEEKDAY(IB$82,2)&gt;5,0,87.36))*-1</f>
        <v>-87.36</v>
      </c>
      <c r="IC109" s="39">
        <f>(IF(WEEKDAY(IC$82,2)&gt;5,0,74.66))*-1</f>
        <v>-74.66</v>
      </c>
      <c r="ID109" s="39">
        <f>(IF(WEEKDAY(ID$82,2)&gt;5,0,83.21))*-1</f>
        <v>-83.21</v>
      </c>
      <c r="IE109" s="39">
        <f>(IF(WEEKDAY(IE$82,2)&gt;5,0,80.56))*-1</f>
        <v>-80.56</v>
      </c>
      <c r="IF109" s="39">
        <f>(IF(WEEKDAY(IF$82,2)&gt;5,0,88.4))*-1</f>
        <v>-88.4</v>
      </c>
      <c r="IG109" s="39">
        <f>(IF(WEEKDAY(IG$82,2)&gt;5,0,91.77))*-1</f>
        <v>0</v>
      </c>
      <c r="IH109" s="39">
        <f>(IF(WEEKDAY(IH$82,2)&gt;5,0,76.16))*-1</f>
        <v>0</v>
      </c>
      <c r="II109" s="39">
        <f>(IF(WEEKDAY(II$82,2)&gt;5,0,73.01))*-1</f>
        <v>-73.010000000000005</v>
      </c>
      <c r="IJ109" s="39">
        <f>(IF(WEEKDAY(IJ$82,2)&gt;5,0,69.21))*-1</f>
        <v>-69.209999999999994</v>
      </c>
      <c r="IK109" s="39">
        <f>(IF(WEEKDAY(IK$82,2)&gt;5,0,73.65))*-1</f>
        <v>-73.650000000000006</v>
      </c>
      <c r="IL109" s="39">
        <f>(IF(WEEKDAY(IL$82,2)&gt;5,0,82.48))*-1</f>
        <v>-82.48</v>
      </c>
    </row>
    <row r="110" spans="1:246" x14ac:dyDescent="0.3">
      <c r="A110" t="s">
        <v>24</v>
      </c>
      <c r="B110" s="39">
        <f>(IF(WEEKDAY(B$82,2)&gt;5,0,10.1))*-1</f>
        <v>-10.1</v>
      </c>
      <c r="C110" s="39">
        <f>(IF(WEEKDAY(C$82,2)&gt;5,0,9.98))*-1</f>
        <v>0</v>
      </c>
      <c r="D110" s="39">
        <f>(IF(WEEKDAY(D$82,2)&gt;5,0,11.34))*-1</f>
        <v>0</v>
      </c>
      <c r="E110" s="39">
        <f>(IF(WEEKDAY(E$82,2)&gt;5,0,10.44))*-1</f>
        <v>-10.44</v>
      </c>
      <c r="F110" s="39">
        <f>(IF(WEEKDAY(F$82,2)&gt;5,0,8.79))*-1</f>
        <v>-8.7899999999999991</v>
      </c>
      <c r="G110" s="39">
        <f>(IF(WEEKDAY(G$82,2)&gt;5,0,8.62))*-1</f>
        <v>-8.6199999999999992</v>
      </c>
      <c r="H110" s="39">
        <f>(IF(WEEKDAY(H$82,2)&gt;5,0,9.86))*-1</f>
        <v>-9.86</v>
      </c>
      <c r="I110" s="39">
        <f>(IF(WEEKDAY(I$82,2)&gt;5,0,8.72))*-1</f>
        <v>-8.7200000000000006</v>
      </c>
      <c r="J110" s="39">
        <f>(IF(WEEKDAY(J$82,2)&gt;5,0,9.33))*-1</f>
        <v>0</v>
      </c>
      <c r="K110" s="39">
        <f>(IF(WEEKDAY(K$82,2)&gt;5,0,9.17))*-1</f>
        <v>0</v>
      </c>
      <c r="L110" s="39">
        <f>(IF(WEEKDAY(L$82,2)&gt;5,0,9.25))*-1</f>
        <v>-9.25</v>
      </c>
      <c r="M110" s="39">
        <f>(IF(WEEKDAY(M$82,2)&gt;5,0,9.65))*-1</f>
        <v>-9.65</v>
      </c>
      <c r="N110" s="39">
        <f>(IF(WEEKDAY(N$82,2)&gt;5,0,10.42))*-1</f>
        <v>-10.42</v>
      </c>
      <c r="O110" s="39">
        <f>(IF(WEEKDAY(O$82,2)&gt;5,0,9.21))*-1</f>
        <v>-9.2100000000000009</v>
      </c>
      <c r="P110" s="39">
        <f>(IF(WEEKDAY(P$82,2)&gt;5,0,9.43))*-1</f>
        <v>-9.43</v>
      </c>
      <c r="Q110" s="39">
        <f>(IF(WEEKDAY(Q$82,2)&gt;5,0,9.39))*-1</f>
        <v>0</v>
      </c>
      <c r="R110" s="39">
        <f>(IF(WEEKDAY(R$82,2)&gt;5,0,11.04))*-1</f>
        <v>0</v>
      </c>
      <c r="S110" s="39">
        <f>(IF(WEEKDAY(S$82,2)&gt;5,0,8.6))*-1</f>
        <v>-8.6</v>
      </c>
      <c r="T110" s="39">
        <f>(IF(WEEKDAY(T$82,2)&gt;5,0,9.46))*-1</f>
        <v>-9.4600000000000009</v>
      </c>
      <c r="U110" s="39">
        <f>(IF(WEEKDAY(U$82,2)&gt;5,0,11.29))*-1</f>
        <v>-11.29</v>
      </c>
      <c r="V110" s="39">
        <f>(IF(WEEKDAY(V$82,2)&gt;5,0,10.13))*-1</f>
        <v>-10.130000000000001</v>
      </c>
      <c r="W110" s="39">
        <f>(IF(WEEKDAY(W$82,2)&gt;5,0,11.07))*-1</f>
        <v>-11.07</v>
      </c>
      <c r="X110" s="39">
        <f>(IF(WEEKDAY(X$82,2)&gt;5,0,11.44))*-1</f>
        <v>0</v>
      </c>
      <c r="Y110" s="39">
        <f>(IF(WEEKDAY(Y$82,2)&gt;5,0,10.93))*-1</f>
        <v>0</v>
      </c>
      <c r="Z110" s="39">
        <f>(IF(WEEKDAY(Z$82,2)&gt;5,0,9.15))*-1</f>
        <v>-9.15</v>
      </c>
      <c r="AA110" s="39">
        <f>(IF(WEEKDAY(AA$82,2)&gt;5,0,11.16))*-1</f>
        <v>-11.16</v>
      </c>
      <c r="AB110" s="39">
        <f>(IF(WEEKDAY(AB$82,2)&gt;5,0,11.22))*-1</f>
        <v>-11.22</v>
      </c>
      <c r="AC110" s="39">
        <f>(IF(WEEKDAY(AC$82,2)&gt;5,0,10))*-1</f>
        <v>-10</v>
      </c>
      <c r="AD110" s="39">
        <f>(IF(WEEKDAY(AD$82,2)&gt;5,0,10.31))*-1</f>
        <v>-10.31</v>
      </c>
      <c r="AE110" s="39">
        <f>(IF(WEEKDAY(AE$82,2)&gt;5,0,9.24))*-1</f>
        <v>0</v>
      </c>
      <c r="AF110" s="39">
        <f>(IF(WEEKDAY(AF$82,2)&gt;5,0,11.45))*-1</f>
        <v>0</v>
      </c>
      <c r="AG110" s="39">
        <f>(IF(WEEKDAY(AG$82,2)&gt;5,0,11.48))*-1</f>
        <v>-11.48</v>
      </c>
      <c r="AH110" s="39">
        <f>(IF(WEEKDAY(AH$82,2)&gt;5,0,9.16))*-1</f>
        <v>-9.16</v>
      </c>
      <c r="AI110" s="39">
        <f>(IF(WEEKDAY(AI$82,2)&gt;5,0,10.62))*-1</f>
        <v>-10.62</v>
      </c>
      <c r="AJ110" s="39">
        <f>(IF(WEEKDAY(AJ$82,2)&gt;5,0,9.69))*-1</f>
        <v>-9.69</v>
      </c>
      <c r="AK110" s="39">
        <f>(IF(WEEKDAY(AK$82,2)&gt;5,0,11.33))*-1</f>
        <v>-11.33</v>
      </c>
      <c r="AL110" s="39">
        <f>(IF(WEEKDAY(AL$82,2)&gt;5,0,10.32))*-1</f>
        <v>0</v>
      </c>
      <c r="AM110" s="39">
        <f>(IF(WEEKDAY(AM$82,2)&gt;5,0,10.56))*-1</f>
        <v>0</v>
      </c>
      <c r="AN110" s="39">
        <f>(IF(WEEKDAY(AN$82,2)&gt;5,0,10.82))*-1</f>
        <v>-10.82</v>
      </c>
      <c r="AO110" s="39">
        <f>(IF(WEEKDAY(AO$82,2)&gt;5,0,9.53))*-1</f>
        <v>-9.5299999999999994</v>
      </c>
      <c r="AP110" s="39">
        <f>(IF(WEEKDAY(AP$82,2)&gt;5,0,11.31))*-1</f>
        <v>-11.31</v>
      </c>
      <c r="AQ110" s="39">
        <f>(IF(WEEKDAY(AQ$82,2)&gt;5,0,11.27))*-1</f>
        <v>-11.27</v>
      </c>
      <c r="AR110" s="39">
        <f>(IF(WEEKDAY(AR$82,2)&gt;5,0,11.3))*-1</f>
        <v>-11.3</v>
      </c>
      <c r="AS110" s="39">
        <f>(IF(WEEKDAY(AS$82,2)&gt;5,0,10.07))*-1</f>
        <v>0</v>
      </c>
      <c r="AT110" s="39">
        <f>(IF(WEEKDAY(AT$82,2)&gt;5,0,11.1))*-1</f>
        <v>0</v>
      </c>
      <c r="AU110" s="39">
        <f>(IF(WEEKDAY(AU$82,2)&gt;5,0,10.01))*-1</f>
        <v>-10.01</v>
      </c>
      <c r="AV110" s="39">
        <f>(IF(WEEKDAY(AV$82,2)&gt;5,0,8.62))*-1</f>
        <v>-8.6199999999999992</v>
      </c>
      <c r="AW110" s="39">
        <f>(IF(WEEKDAY(AW$82,2)&gt;5,0,9.44))*-1</f>
        <v>-9.44</v>
      </c>
      <c r="AX110" s="39">
        <f>(IF(WEEKDAY(AX$82,2)&gt;5,0,9.79))*-1</f>
        <v>-9.7899999999999991</v>
      </c>
      <c r="AY110" s="39">
        <f>(IF(WEEKDAY(AY$82,2)&gt;5,0,11))*-1</f>
        <v>-11</v>
      </c>
      <c r="AZ110" s="39">
        <f>(IF(WEEKDAY(AZ$82,2)&gt;5,0,8.56))*-1</f>
        <v>0</v>
      </c>
      <c r="BA110" s="39">
        <f>(IF(WEEKDAY(BA$82,2)&gt;5,0,10.09))*-1</f>
        <v>0</v>
      </c>
      <c r="BB110" s="39">
        <f>(IF(WEEKDAY(BB$82,2)&gt;5,0,10.27))*-1</f>
        <v>-10.27</v>
      </c>
      <c r="BC110" s="39">
        <f>(IF(WEEKDAY(BC$82,2)&gt;5,0,10.07))*-1</f>
        <v>-10.07</v>
      </c>
      <c r="BD110" s="39">
        <f>(IF(WEEKDAY(BD$82,2)&gt;5,0,10.56))*-1</f>
        <v>-10.56</v>
      </c>
      <c r="BE110" s="39">
        <f>(IF(WEEKDAY(BE$82,2)&gt;5,0,10.49))*-1</f>
        <v>-10.49</v>
      </c>
      <c r="BF110" s="39">
        <f>(IF(WEEKDAY(BF$82,2)&gt;5,0,8.68))*-1</f>
        <v>-8.68</v>
      </c>
      <c r="BG110" s="39">
        <f>(IF(WEEKDAY(BG$82,2)&gt;5,0,9.35))*-1</f>
        <v>0</v>
      </c>
      <c r="BH110" s="39">
        <f>(IF(WEEKDAY(BH$82,2)&gt;5,0,9.94))*-1</f>
        <v>0</v>
      </c>
      <c r="BI110" s="39">
        <f>(IF(WEEKDAY(BI$82,2)&gt;5,0,8.83))*-1</f>
        <v>-8.83</v>
      </c>
      <c r="BJ110" s="39">
        <f>(IF(WEEKDAY(BJ$82,2)&gt;5,0,8.81))*-1</f>
        <v>-8.81</v>
      </c>
      <c r="BK110" s="39">
        <f>(IF(WEEKDAY(BK$82,2)&gt;5,0,10.02))*-1</f>
        <v>-10.02</v>
      </c>
      <c r="BL110" s="39">
        <f>(IF(WEEKDAY(BL$82,2)&gt;5,0,10.82))*-1</f>
        <v>-10.82</v>
      </c>
      <c r="BM110" s="39">
        <f>(IF(WEEKDAY(BM$82,2)&gt;5,0,8.88))*-1</f>
        <v>-8.8800000000000008</v>
      </c>
      <c r="BN110" s="39">
        <f>(IF(WEEKDAY(BN$82,2)&gt;5,0,10.42))*-1</f>
        <v>0</v>
      </c>
      <c r="BO110" s="39">
        <f>(IF(WEEKDAY(BO$82,2)&gt;5,0,8.55))*-1</f>
        <v>0</v>
      </c>
      <c r="BP110" s="39">
        <f>(IF(WEEKDAY(BP$82,2)&gt;5,0,10.17))*-1</f>
        <v>-10.17</v>
      </c>
      <c r="BQ110" s="39">
        <f>(IF(WEEKDAY(BQ$82,2)&gt;5,0,9.03))*-1</f>
        <v>-9.0299999999999994</v>
      </c>
      <c r="BR110" s="39">
        <f>(IF(WEEKDAY(BR$82,2)&gt;5,0,11.36))*-1</f>
        <v>-11.36</v>
      </c>
      <c r="BS110" s="39">
        <f>(IF(WEEKDAY(BS$82,2)&gt;5,0,8.88))*-1</f>
        <v>-8.8800000000000008</v>
      </c>
      <c r="BT110" s="39">
        <f>(IF(WEEKDAY(BT$82,2)&gt;5,0,9.94))*-1</f>
        <v>-9.94</v>
      </c>
      <c r="BU110" s="39">
        <f>(IF(WEEKDAY(BU$82,2)&gt;5,0,8.85))*-1</f>
        <v>0</v>
      </c>
      <c r="BV110" s="39">
        <f>(IF(WEEKDAY(BV$82,2)&gt;5,0,10.32))*-1</f>
        <v>0</v>
      </c>
      <c r="BW110" s="39">
        <f>(IF(WEEKDAY(BW$82,2)&gt;5,0,11.01))*-1</f>
        <v>-11.01</v>
      </c>
      <c r="BX110" s="39">
        <f>(IF(WEEKDAY(BX$82,2)&gt;5,0,10.53))*-1</f>
        <v>-10.53</v>
      </c>
      <c r="BY110" s="39">
        <f>(IF(WEEKDAY(BY$82,2)&gt;5,0,9.74))*-1</f>
        <v>-9.74</v>
      </c>
      <c r="BZ110" s="39">
        <f>(IF(WEEKDAY(BZ$82,2)&gt;5,0,9.27))*-1</f>
        <v>-9.27</v>
      </c>
      <c r="CA110" s="39">
        <f>(IF(WEEKDAY(CA$82,2)&gt;5,0,9.36))*-1</f>
        <v>-9.36</v>
      </c>
      <c r="CB110" s="39">
        <f>(IF(WEEKDAY(CB$82,2)&gt;5,0,9.92))*-1</f>
        <v>0</v>
      </c>
      <c r="CC110" s="39">
        <f>(IF(WEEKDAY(CC$82,2)&gt;5,0,10.98))*-1</f>
        <v>0</v>
      </c>
      <c r="CD110" s="39">
        <f>(IF(WEEKDAY(CD$82,2)&gt;5,0,11.19))*-1</f>
        <v>-11.19</v>
      </c>
      <c r="CE110" s="39">
        <f>(IF(WEEKDAY(CE$82,2)&gt;5,0,11.43))*-1</f>
        <v>-11.43</v>
      </c>
      <c r="CF110" s="39">
        <f>(IF(WEEKDAY(CF$82,2)&gt;5,0,8.55))*-1</f>
        <v>-8.5500000000000007</v>
      </c>
      <c r="CG110" s="39">
        <f>(IF(WEEKDAY(CG$82,2)&gt;5,0,9.69))*-1</f>
        <v>-9.69</v>
      </c>
      <c r="CH110" s="39">
        <f>(IF(WEEKDAY(CH$82,2)&gt;5,0,8.71))*-1</f>
        <v>-8.7100000000000009</v>
      </c>
      <c r="CI110" s="39">
        <f>(IF(WEEKDAY(CI$82,2)&gt;5,0,10.06))*-1</f>
        <v>0</v>
      </c>
      <c r="CJ110" s="39">
        <f>(IF(WEEKDAY(CJ$82,2)&gt;5,0,11.25))*-1</f>
        <v>0</v>
      </c>
      <c r="CK110" s="39">
        <f>(IF(WEEKDAY(CK$82,2)&gt;5,0,9.57))*-1</f>
        <v>-9.57</v>
      </c>
      <c r="CL110" s="39">
        <f>(IF(WEEKDAY(CL$82,2)&gt;5,0,9.31))*-1</f>
        <v>-9.31</v>
      </c>
      <c r="CM110" s="39">
        <f>(IF(WEEKDAY(CM$82,2)&gt;5,0,11.02))*-1</f>
        <v>-11.02</v>
      </c>
      <c r="CN110" s="39">
        <f>(IF(WEEKDAY(CN$82,2)&gt;5,0,9.12))*-1</f>
        <v>-9.1199999999999992</v>
      </c>
      <c r="CO110" s="39">
        <f>(IF(WEEKDAY(CO$82,2)&gt;5,0,10.63))*-1</f>
        <v>-10.63</v>
      </c>
      <c r="CP110" s="39">
        <f>(IF(WEEKDAY(CP$82,2)&gt;5,0,8.71))*-1</f>
        <v>0</v>
      </c>
      <c r="CQ110" s="39">
        <f>(IF(WEEKDAY(CQ$82,2)&gt;5,0,8.71))*-1</f>
        <v>0</v>
      </c>
      <c r="CR110" s="39">
        <f>(IF(WEEKDAY(CR$82,2)&gt;5,0,10.2))*-1</f>
        <v>-10.199999999999999</v>
      </c>
      <c r="CS110" s="39">
        <f>(IF(WEEKDAY(CS$82,2)&gt;5,0,10.13))*-1</f>
        <v>-10.130000000000001</v>
      </c>
      <c r="CT110" s="39">
        <f>(IF(WEEKDAY(CT$82,2)&gt;5,0,9.72))*-1</f>
        <v>-9.7200000000000006</v>
      </c>
      <c r="CU110" s="39">
        <f>(IF(WEEKDAY(CU$82,2)&gt;5,0,9.16))*-1</f>
        <v>-9.16</v>
      </c>
      <c r="CV110" s="39">
        <f>(IF(WEEKDAY(CV$82,2)&gt;5,0,11.45))*-1</f>
        <v>-11.45</v>
      </c>
      <c r="CW110" s="39">
        <f>(IF(WEEKDAY(CW$82,2)&gt;5,0,11.08))*-1</f>
        <v>0</v>
      </c>
      <c r="CX110" s="39">
        <f>(IF(WEEKDAY(CX$82,2)&gt;5,0,11.03))*-1</f>
        <v>0</v>
      </c>
      <c r="CY110" s="39">
        <f>(IF(WEEKDAY(CY$82,2)&gt;5,0,10.9))*-1</f>
        <v>-10.9</v>
      </c>
      <c r="CZ110" s="39">
        <f>(IF(WEEKDAY(CZ$82,2)&gt;5,0,10.8))*-1</f>
        <v>-10.8</v>
      </c>
      <c r="DA110" s="39">
        <f>(IF(WEEKDAY(DA$82,2)&gt;5,0,11.29))*-1</f>
        <v>-11.29</v>
      </c>
      <c r="DB110" s="39">
        <f>(IF(WEEKDAY(DB$82,2)&gt;5,0,9.02))*-1</f>
        <v>-9.02</v>
      </c>
      <c r="DC110" s="39">
        <f>(IF(WEEKDAY(DC$82,2)&gt;5,0,10.39))*-1</f>
        <v>-10.39</v>
      </c>
      <c r="DD110" s="39">
        <f>(IF(WEEKDAY(DD$82,2)&gt;5,0,10.51))*-1</f>
        <v>0</v>
      </c>
      <c r="DE110" s="39">
        <f>(IF(WEEKDAY(DE$82,2)&gt;5,0,11.32))*-1</f>
        <v>0</v>
      </c>
      <c r="DF110" s="39">
        <f>(IF(WEEKDAY(DF$82,2)&gt;5,0,8.79))*-1</f>
        <v>-8.7899999999999991</v>
      </c>
      <c r="DG110" s="39">
        <f>(IF(WEEKDAY(DG$82,2)&gt;5,0,9.2))*-1</f>
        <v>-9.1999999999999993</v>
      </c>
      <c r="DH110" s="39">
        <f>(IF(WEEKDAY(DH$82,2)&gt;5,0,10.6))*-1</f>
        <v>-10.6</v>
      </c>
      <c r="DI110" s="39">
        <f>(IF(WEEKDAY(DI$82,2)&gt;5,0,10.97))*-1</f>
        <v>-10.97</v>
      </c>
      <c r="DJ110" s="39">
        <f>(IF(WEEKDAY(DJ$82,2)&gt;5,0,8.78))*-1</f>
        <v>-8.7799999999999994</v>
      </c>
      <c r="DK110" s="39">
        <f>(IF(WEEKDAY(DK$82,2)&gt;5,0,10.9))*-1</f>
        <v>0</v>
      </c>
      <c r="DL110" s="39">
        <f>(IF(WEEKDAY(DL$82,2)&gt;5,0,9.09))*-1</f>
        <v>0</v>
      </c>
      <c r="DM110" s="39">
        <f>(IF(WEEKDAY(DM$82,2)&gt;5,0,9.59))*-1</f>
        <v>-9.59</v>
      </c>
      <c r="DN110" s="39">
        <f>(IF(WEEKDAY(DN$82,2)&gt;5,0,9.67))*-1</f>
        <v>-9.67</v>
      </c>
      <c r="DO110" s="39">
        <f>(IF(WEEKDAY(DO$82,2)&gt;5,0,10.4))*-1</f>
        <v>-10.4</v>
      </c>
      <c r="DP110" s="39">
        <f>(IF(WEEKDAY(DP$82,2)&gt;5,0,8.54))*-1</f>
        <v>-8.5399999999999991</v>
      </c>
      <c r="DQ110" s="39">
        <f>(IF(WEEKDAY(DQ$82,2)&gt;5,0,10.63))*-1</f>
        <v>-10.63</v>
      </c>
      <c r="DR110" s="39">
        <f>(IF(WEEKDAY(DR$82,2)&gt;5,0,8.88))*-1</f>
        <v>0</v>
      </c>
      <c r="DS110" s="39">
        <f>(IF(WEEKDAY(DS$82,2)&gt;5,0,9.91))*-1</f>
        <v>0</v>
      </c>
      <c r="DT110" s="39">
        <f>(IF(WEEKDAY(DT$82,2)&gt;5,0,9.99))*-1</f>
        <v>-9.99</v>
      </c>
      <c r="DU110" s="39">
        <f>(IF(WEEKDAY(DU$82,2)&gt;5,0,10.87))*-1</f>
        <v>-10.87</v>
      </c>
      <c r="DV110" s="39">
        <f>(IF(WEEKDAY(DV$82,2)&gt;5,0,9.84))*-1</f>
        <v>-9.84</v>
      </c>
      <c r="DW110" s="39">
        <f>(IF(WEEKDAY(DW$82,2)&gt;5,0,11.07))*-1</f>
        <v>-11.07</v>
      </c>
      <c r="DX110" s="39">
        <f>(IF(WEEKDAY(DX$82,2)&gt;5,0,10.65))*-1</f>
        <v>-10.65</v>
      </c>
      <c r="DY110" s="39">
        <f>(IF(WEEKDAY(DY$82,2)&gt;5,0,10.9))*-1</f>
        <v>0</v>
      </c>
      <c r="DZ110" s="39">
        <f>(IF(WEEKDAY(DZ$82,2)&gt;5,0,9.67))*-1</f>
        <v>0</v>
      </c>
      <c r="EA110" s="39">
        <f>(IF(WEEKDAY(EA$82,2)&gt;5,0,10.48))*-1</f>
        <v>-10.48</v>
      </c>
      <c r="EB110" s="39">
        <f>(IF(WEEKDAY(EB$82,2)&gt;5,0,11.18))*-1</f>
        <v>-11.18</v>
      </c>
      <c r="EC110" s="39">
        <f>(IF(WEEKDAY(EC$82,2)&gt;5,0,10.63))*-1</f>
        <v>-10.63</v>
      </c>
      <c r="ED110" s="39">
        <f>(IF(WEEKDAY(ED$82,2)&gt;5,0,11.11))*-1</f>
        <v>-11.11</v>
      </c>
      <c r="EE110" s="39">
        <f>(IF(WEEKDAY(EE$82,2)&gt;5,0,11.27))*-1</f>
        <v>-11.27</v>
      </c>
      <c r="EF110" s="39">
        <f>(IF(WEEKDAY(EF$82,2)&gt;5,0,9.47))*-1</f>
        <v>0</v>
      </c>
      <c r="EG110" s="39">
        <f>(IF(WEEKDAY(EG$82,2)&gt;5,0,9.44))*-1</f>
        <v>0</v>
      </c>
      <c r="EH110" s="39">
        <f>(IF(WEEKDAY(EH$82,2)&gt;5,0,9.12))*-1</f>
        <v>-9.1199999999999992</v>
      </c>
      <c r="EI110" s="39">
        <f>(IF(WEEKDAY(EI$82,2)&gt;5,0,11.13))*-1</f>
        <v>-11.13</v>
      </c>
      <c r="EJ110" s="39">
        <f>(IF(WEEKDAY(EJ$82,2)&gt;5,0,10.6))*-1</f>
        <v>-10.6</v>
      </c>
      <c r="EK110" s="39">
        <f>(IF(WEEKDAY(EK$82,2)&gt;5,0,9.9))*-1</f>
        <v>-9.9</v>
      </c>
      <c r="EL110" s="39">
        <f>(IF(WEEKDAY(EL$82,2)&gt;5,0,11.05))*-1</f>
        <v>-11.05</v>
      </c>
      <c r="EM110" s="39">
        <f>(IF(WEEKDAY(EM$82,2)&gt;5,0,8.81))*-1</f>
        <v>0</v>
      </c>
      <c r="EN110" s="39">
        <f>(IF(WEEKDAY(EN$82,2)&gt;5,0,10.73))*-1</f>
        <v>0</v>
      </c>
      <c r="EO110" s="39">
        <f>(IF(WEEKDAY(EO$82,2)&gt;5,0,9.22))*-1</f>
        <v>-9.2200000000000006</v>
      </c>
      <c r="EP110" s="39">
        <f>(IF(WEEKDAY(EP$82,2)&gt;5,0,10.18))*-1</f>
        <v>-10.18</v>
      </c>
      <c r="EQ110" s="39">
        <f>(IF(WEEKDAY(EQ$82,2)&gt;5,0,10.8))*-1</f>
        <v>-10.8</v>
      </c>
      <c r="ER110" s="39">
        <f>(IF(WEEKDAY(ER$82,2)&gt;5,0,8.62))*-1</f>
        <v>-8.6199999999999992</v>
      </c>
      <c r="ES110" s="39">
        <f>(IF(WEEKDAY(ES$82,2)&gt;5,0,8.71))*-1</f>
        <v>-8.7100000000000009</v>
      </c>
      <c r="ET110" s="39">
        <f>(IF(WEEKDAY(ET$82,2)&gt;5,0,10.75))*-1</f>
        <v>0</v>
      </c>
      <c r="EU110" s="39">
        <f>(IF(WEEKDAY(EU$82,2)&gt;5,0,10.12))*-1</f>
        <v>0</v>
      </c>
      <c r="EV110" s="39">
        <f>(IF(WEEKDAY(EV$82,2)&gt;5,0,8.95))*-1</f>
        <v>-8.9499999999999993</v>
      </c>
      <c r="EW110" s="39">
        <f>(IF(WEEKDAY(EW$82,2)&gt;5,0,10.34))*-1</f>
        <v>-10.34</v>
      </c>
      <c r="EX110" s="39">
        <f>(IF(WEEKDAY(EX$82,2)&gt;5,0,10.81))*-1</f>
        <v>-10.81</v>
      </c>
      <c r="EY110" s="39">
        <f>(IF(WEEKDAY(EY$82,2)&gt;5,0,10.83))*-1</f>
        <v>-10.83</v>
      </c>
      <c r="EZ110" s="39">
        <f>(IF(WEEKDAY(EZ$82,2)&gt;5,0,9.26))*-1</f>
        <v>-9.26</v>
      </c>
      <c r="FA110" s="39">
        <f>(IF(WEEKDAY(FA$82,2)&gt;5,0,10.84))*-1</f>
        <v>0</v>
      </c>
      <c r="FB110" s="39">
        <f>(IF(WEEKDAY(FB$82,2)&gt;5,0,10.96))*-1</f>
        <v>0</v>
      </c>
      <c r="FC110" s="39">
        <f>(IF(WEEKDAY(FC$82,2)&gt;5,0,9.78))*-1</f>
        <v>-9.7799999999999994</v>
      </c>
      <c r="FD110" s="39">
        <f>(IF(WEEKDAY(FD$82,2)&gt;5,0,9.49))*-1</f>
        <v>-9.49</v>
      </c>
      <c r="FE110" s="39">
        <f>(IF(WEEKDAY(FE$82,2)&gt;5,0,11.27))*-1</f>
        <v>-11.27</v>
      </c>
      <c r="FF110" s="39">
        <f>(IF(WEEKDAY(FF$82,2)&gt;5,0,9))*-1</f>
        <v>-9</v>
      </c>
      <c r="FG110" s="39">
        <f>(IF(WEEKDAY(FG$82,2)&gt;5,0,8.83))*-1</f>
        <v>-8.83</v>
      </c>
      <c r="FH110" s="39">
        <f>(IF(WEEKDAY(FH$82,2)&gt;5,0,10.29))*-1</f>
        <v>0</v>
      </c>
      <c r="FI110" s="39">
        <f>(IF(WEEKDAY(FI$82,2)&gt;5,0,8.89))*-1</f>
        <v>0</v>
      </c>
      <c r="FJ110" s="39">
        <f>(IF(WEEKDAY(FJ$82,2)&gt;5,0,9.67))*-1</f>
        <v>-9.67</v>
      </c>
      <c r="FK110" s="39">
        <f>(IF(WEEKDAY(FK$82,2)&gt;5,0,9.53))*-1</f>
        <v>-9.5299999999999994</v>
      </c>
      <c r="FL110" s="39">
        <f>(IF(WEEKDAY(FL$82,2)&gt;5,0,10.71))*-1</f>
        <v>-10.71</v>
      </c>
      <c r="FM110" s="39">
        <f>(IF(WEEKDAY(FM$82,2)&gt;5,0,8.69))*-1</f>
        <v>-8.69</v>
      </c>
      <c r="FN110" s="39">
        <f>(IF(WEEKDAY(FN$82,2)&gt;5,0,9.82))*-1</f>
        <v>-9.82</v>
      </c>
      <c r="FO110" s="39">
        <f>(IF(WEEKDAY(FO$82,2)&gt;5,0,8.55))*-1</f>
        <v>0</v>
      </c>
      <c r="FP110" s="39">
        <f>(IF(WEEKDAY(FP$82,2)&gt;5,0,11.31))*-1</f>
        <v>0</v>
      </c>
      <c r="FQ110" s="39">
        <f>(IF(WEEKDAY(FQ$82,2)&gt;5,0,9.92))*-1</f>
        <v>-9.92</v>
      </c>
      <c r="FR110" s="39">
        <f>(IF(WEEKDAY(FR$82,2)&gt;5,0,8.75))*-1</f>
        <v>-8.75</v>
      </c>
      <c r="FS110" s="39">
        <f>(IF(WEEKDAY(FS$82,2)&gt;5,0,10.76))*-1</f>
        <v>-10.76</v>
      </c>
      <c r="FT110" s="39">
        <f>(IF(WEEKDAY(FT$82,2)&gt;5,0,10.13))*-1</f>
        <v>-10.130000000000001</v>
      </c>
      <c r="FU110" s="39">
        <f>(IF(WEEKDAY(FU$82,2)&gt;5,0,8.58))*-1</f>
        <v>-8.58</v>
      </c>
      <c r="FV110" s="39">
        <f>(IF(WEEKDAY(FV$82,2)&gt;5,0,10.15))*-1</f>
        <v>0</v>
      </c>
      <c r="FW110" s="39">
        <f>(IF(WEEKDAY(FW$82,2)&gt;5,0,9.1))*-1</f>
        <v>0</v>
      </c>
      <c r="FX110" s="39">
        <f>(IF(WEEKDAY(FX$82,2)&gt;5,0,8.61))*-1</f>
        <v>-8.61</v>
      </c>
      <c r="FY110" s="39">
        <f>(IF(WEEKDAY(FY$82,2)&gt;5,0,9.16))*-1</f>
        <v>-9.16</v>
      </c>
      <c r="FZ110" s="39">
        <f>(IF(WEEKDAY(FZ$82,2)&gt;5,0,11.42))*-1</f>
        <v>-11.42</v>
      </c>
      <c r="GA110" s="39">
        <f>(IF(WEEKDAY(GA$82,2)&gt;5,0,9.05))*-1</f>
        <v>-9.0500000000000007</v>
      </c>
      <c r="GB110" s="39">
        <f>(IF(WEEKDAY(GB$82,2)&gt;5,0,8.77))*-1</f>
        <v>-8.77</v>
      </c>
      <c r="GC110" s="39">
        <f>(IF(WEEKDAY(GC$82,2)&gt;5,0,9.53))*-1</f>
        <v>0</v>
      </c>
      <c r="GD110" s="39">
        <f>(IF(WEEKDAY(GD$82,2)&gt;5,0,9.89))*-1</f>
        <v>0</v>
      </c>
      <c r="GE110" s="39">
        <f>(IF(WEEKDAY(GE$82,2)&gt;5,0,9.6))*-1</f>
        <v>-9.6</v>
      </c>
      <c r="GF110" s="39">
        <f>(IF(WEEKDAY(GF$82,2)&gt;5,0,11.4))*-1</f>
        <v>-11.4</v>
      </c>
      <c r="GG110" s="39">
        <f>(IF(WEEKDAY(GG$82,2)&gt;5,0,10.52))*-1</f>
        <v>-10.52</v>
      </c>
      <c r="GH110" s="39">
        <f>(IF(WEEKDAY(GH$82,2)&gt;5,0,9.83))*-1</f>
        <v>-9.83</v>
      </c>
      <c r="GI110" s="39">
        <f>(IF(WEEKDAY(GI$82,2)&gt;5,0,10.41))*-1</f>
        <v>-10.41</v>
      </c>
      <c r="GJ110" s="39">
        <f>(IF(WEEKDAY(GJ$82,2)&gt;5,0,9.38))*-1</f>
        <v>0</v>
      </c>
      <c r="GK110" s="39">
        <f>(IF(WEEKDAY(GK$82,2)&gt;5,0,8.54))*-1</f>
        <v>0</v>
      </c>
      <c r="GL110" s="39">
        <f>(IF(WEEKDAY(GL$82,2)&gt;5,0,8.7))*-1</f>
        <v>-8.6999999999999993</v>
      </c>
      <c r="GM110" s="39">
        <f>(IF(WEEKDAY(GM$82,2)&gt;5,0,9.17))*-1</f>
        <v>-9.17</v>
      </c>
      <c r="GN110" s="39">
        <f>(IF(WEEKDAY(GN$82,2)&gt;5,0,9.73))*-1</f>
        <v>-9.73</v>
      </c>
      <c r="GO110" s="39">
        <f>(IF(WEEKDAY(GO$82,2)&gt;5,0,11.45))*-1</f>
        <v>-11.45</v>
      </c>
      <c r="GP110" s="39">
        <f>(IF(WEEKDAY(GP$82,2)&gt;5,0,9.26))*-1</f>
        <v>-9.26</v>
      </c>
      <c r="GQ110" s="39">
        <f>(IF(WEEKDAY(GQ$82,2)&gt;5,0,9.27))*-1</f>
        <v>0</v>
      </c>
      <c r="GR110" s="39">
        <f>(IF(WEEKDAY(GR$82,2)&gt;5,0,10.16))*-1</f>
        <v>0</v>
      </c>
      <c r="GS110" s="39">
        <f>(IF(WEEKDAY(GS$82,2)&gt;5,0,9.82))*-1</f>
        <v>-9.82</v>
      </c>
      <c r="GT110" s="39">
        <f>(IF(WEEKDAY(GT$82,2)&gt;5,0,9.57))*-1</f>
        <v>-9.57</v>
      </c>
      <c r="GU110" s="39">
        <f>(IF(WEEKDAY(GU$82,2)&gt;5,0,9.35))*-1</f>
        <v>-9.35</v>
      </c>
      <c r="GV110" s="39">
        <f>(IF(WEEKDAY(GV$82,2)&gt;5,0,9.05))*-1</f>
        <v>-9.0500000000000007</v>
      </c>
      <c r="GW110" s="39">
        <f>(IF(WEEKDAY(GW$82,2)&gt;5,0,8.53))*-1</f>
        <v>-8.5299999999999994</v>
      </c>
      <c r="GX110" s="39">
        <f>(IF(WEEKDAY(GX$82,2)&gt;5,0,8.64))*-1</f>
        <v>0</v>
      </c>
      <c r="GY110" s="39">
        <f>(IF(WEEKDAY(GY$82,2)&gt;5,0,11.41))*-1</f>
        <v>0</v>
      </c>
      <c r="GZ110" s="39">
        <f>(IF(WEEKDAY(GZ$82,2)&gt;5,0,9.33))*-1</f>
        <v>-9.33</v>
      </c>
      <c r="HA110" s="39">
        <f>(IF(WEEKDAY(HA$82,2)&gt;5,0,10.87))*-1</f>
        <v>-10.87</v>
      </c>
      <c r="HB110" s="39">
        <f>(IF(WEEKDAY(HB$82,2)&gt;5,0,10.52))*-1</f>
        <v>-10.52</v>
      </c>
      <c r="HC110" s="39">
        <f>(IF(WEEKDAY(HC$82,2)&gt;5,0,10.77))*-1</f>
        <v>-10.77</v>
      </c>
      <c r="HD110" s="39">
        <f>(IF(WEEKDAY(HD$82,2)&gt;5,0,9.93))*-1</f>
        <v>-9.93</v>
      </c>
      <c r="HE110" s="39">
        <f>(IF(WEEKDAY(HE$82,2)&gt;5,0,8.84))*-1</f>
        <v>0</v>
      </c>
      <c r="HF110" s="39">
        <f>(IF(WEEKDAY(HF$82,2)&gt;5,0,10.8))*-1</f>
        <v>0</v>
      </c>
      <c r="HG110" s="39">
        <f>(IF(WEEKDAY(HG$82,2)&gt;5,0,10.32))*-1</f>
        <v>-10.32</v>
      </c>
      <c r="HH110" s="39">
        <f>(IF(WEEKDAY(HH$82,2)&gt;5,0,8.95))*-1</f>
        <v>-8.9499999999999993</v>
      </c>
      <c r="HI110" s="39">
        <f>(IF(WEEKDAY(HI$82,2)&gt;5,0,10.78))*-1</f>
        <v>-10.78</v>
      </c>
      <c r="HJ110" s="39">
        <f>(IF(WEEKDAY(HJ$82,2)&gt;5,0,9.31))*-1</f>
        <v>-9.31</v>
      </c>
      <c r="HK110" s="39">
        <f>(IF(WEEKDAY(HK$82,2)&gt;5,0,9.26))*-1</f>
        <v>-9.26</v>
      </c>
      <c r="HL110" s="39">
        <f>(IF(WEEKDAY(HL$82,2)&gt;5,0,8.64))*-1</f>
        <v>0</v>
      </c>
      <c r="HM110" s="39">
        <f>(IF(WEEKDAY(HM$82,2)&gt;5,0,10.44))*-1</f>
        <v>0</v>
      </c>
      <c r="HN110" s="39">
        <f>(IF(WEEKDAY(HN$82,2)&gt;5,0,9.61))*-1</f>
        <v>-9.61</v>
      </c>
      <c r="HO110" s="39">
        <f>(IF(WEEKDAY(HO$82,2)&gt;5,0,9.33))*-1</f>
        <v>-9.33</v>
      </c>
      <c r="HP110" s="39">
        <f>(IF(WEEKDAY(HP$82,2)&gt;5,0,8.55))*-1</f>
        <v>-8.5500000000000007</v>
      </c>
      <c r="HQ110" s="39">
        <f>(IF(WEEKDAY(HQ$82,2)&gt;5,0,9.82))*-1</f>
        <v>-9.82</v>
      </c>
      <c r="HR110" s="39">
        <f>(IF(WEEKDAY(HR$82,2)&gt;5,0,10.81))*-1</f>
        <v>-10.81</v>
      </c>
      <c r="HS110" s="39">
        <f>(IF(WEEKDAY(HS$82,2)&gt;5,0,8.66))*-1</f>
        <v>0</v>
      </c>
      <c r="HT110" s="39">
        <f>(IF(WEEKDAY(HT$82,2)&gt;5,0,9.03))*-1</f>
        <v>0</v>
      </c>
      <c r="HU110" s="39">
        <f>(IF(WEEKDAY(HU$82,2)&gt;5,0,10.43))*-1</f>
        <v>-10.43</v>
      </c>
      <c r="HV110" s="39">
        <f>(IF(WEEKDAY(HV$82,2)&gt;5,0,11.18))*-1</f>
        <v>-11.18</v>
      </c>
      <c r="HW110" s="39">
        <f>(IF(WEEKDAY(HW$82,2)&gt;5,0,9.58))*-1</f>
        <v>-9.58</v>
      </c>
      <c r="HX110" s="39">
        <f>(IF(WEEKDAY(HX$82,2)&gt;5,0,10.25))*-1</f>
        <v>-10.25</v>
      </c>
      <c r="HY110" s="39">
        <f>(IF(WEEKDAY(HY$82,2)&gt;5,0,9.36))*-1</f>
        <v>-9.36</v>
      </c>
      <c r="HZ110" s="39">
        <f>(IF(WEEKDAY(HZ$82,2)&gt;5,0,8.83))*-1</f>
        <v>0</v>
      </c>
      <c r="IA110" s="39">
        <f>(IF(WEEKDAY(IA$82,2)&gt;5,0,8.77))*-1</f>
        <v>0</v>
      </c>
      <c r="IB110" s="39">
        <f>(IF(WEEKDAY(IB$82,2)&gt;5,0,10.03))*-1</f>
        <v>-10.029999999999999</v>
      </c>
      <c r="IC110" s="39">
        <f>(IF(WEEKDAY(IC$82,2)&gt;5,0,10.58))*-1</f>
        <v>-10.58</v>
      </c>
      <c r="ID110" s="39">
        <f>(IF(WEEKDAY(ID$82,2)&gt;5,0,10.91))*-1</f>
        <v>-10.91</v>
      </c>
      <c r="IE110" s="39">
        <f>(IF(WEEKDAY(IE$82,2)&gt;5,0,11.18))*-1</f>
        <v>-11.18</v>
      </c>
      <c r="IF110" s="39">
        <f>(IF(WEEKDAY(IF$82,2)&gt;5,0,8.91))*-1</f>
        <v>-8.91</v>
      </c>
      <c r="IG110" s="39">
        <f>(IF(WEEKDAY(IG$82,2)&gt;5,0,10.56))*-1</f>
        <v>0</v>
      </c>
      <c r="IH110" s="39">
        <f>(IF(WEEKDAY(IH$82,2)&gt;5,0,10.94))*-1</f>
        <v>0</v>
      </c>
      <c r="II110" s="39">
        <f>(IF(WEEKDAY(II$82,2)&gt;5,0,8.52))*-1</f>
        <v>-8.52</v>
      </c>
      <c r="IJ110" s="39">
        <f>(IF(WEEKDAY(IJ$82,2)&gt;5,0,9.44))*-1</f>
        <v>-9.44</v>
      </c>
      <c r="IK110" s="39">
        <f>(IF(WEEKDAY(IK$82,2)&gt;5,0,9.56))*-1</f>
        <v>-9.56</v>
      </c>
      <c r="IL110" s="39">
        <f>(IF(WEEKDAY(IL$82,2)&gt;5,0,9))*-1</f>
        <v>-9</v>
      </c>
    </row>
    <row r="111" spans="1:246" x14ac:dyDescent="0.3">
      <c r="A111" t="s">
        <v>26</v>
      </c>
      <c r="B111" s="39">
        <v>0</v>
      </c>
      <c r="C111" s="39">
        <v>0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39">
        <v>0</v>
      </c>
      <c r="AI111" s="39">
        <v>0</v>
      </c>
      <c r="AJ111" s="39">
        <v>0</v>
      </c>
      <c r="AK111" s="39">
        <v>0</v>
      </c>
      <c r="AL111" s="39">
        <v>0</v>
      </c>
      <c r="AM111" s="39">
        <v>0</v>
      </c>
      <c r="AN111" s="39">
        <v>0</v>
      </c>
      <c r="AO111" s="39">
        <v>0</v>
      </c>
      <c r="AP111" s="39">
        <v>0</v>
      </c>
      <c r="AQ111" s="39">
        <v>0</v>
      </c>
      <c r="AR111" s="39">
        <v>0</v>
      </c>
      <c r="AS111" s="39">
        <v>0</v>
      </c>
      <c r="AT111" s="39">
        <v>0</v>
      </c>
      <c r="AU111" s="39">
        <v>0</v>
      </c>
      <c r="AV111" s="39">
        <v>0</v>
      </c>
      <c r="AW111" s="39">
        <v>0</v>
      </c>
      <c r="AX111" s="39">
        <v>0</v>
      </c>
      <c r="AY111" s="39">
        <v>0</v>
      </c>
      <c r="AZ111" s="39">
        <v>0</v>
      </c>
      <c r="BA111" s="39">
        <v>0</v>
      </c>
      <c r="BB111" s="39">
        <v>0</v>
      </c>
      <c r="BC111" s="39">
        <v>0</v>
      </c>
      <c r="BD111" s="39">
        <v>0</v>
      </c>
      <c r="BE111" s="39">
        <v>0</v>
      </c>
      <c r="BF111" s="39">
        <v>0</v>
      </c>
      <c r="BG111" s="39">
        <v>0</v>
      </c>
      <c r="BH111" s="39">
        <v>0</v>
      </c>
      <c r="BI111" s="39">
        <v>0</v>
      </c>
      <c r="BJ111" s="39">
        <v>0</v>
      </c>
      <c r="BK111" s="39">
        <v>0</v>
      </c>
      <c r="BL111" s="39">
        <v>0</v>
      </c>
      <c r="BM111" s="39">
        <v>0</v>
      </c>
      <c r="BN111" s="39">
        <v>0</v>
      </c>
      <c r="BO111" s="39">
        <v>0</v>
      </c>
      <c r="BP111" s="39">
        <v>0</v>
      </c>
      <c r="BQ111" s="39">
        <v>0</v>
      </c>
      <c r="BR111" s="39">
        <v>0</v>
      </c>
      <c r="BS111" s="39">
        <v>0</v>
      </c>
      <c r="BT111" s="39">
        <v>0</v>
      </c>
      <c r="BU111" s="39">
        <v>0</v>
      </c>
      <c r="BV111" s="39">
        <v>0</v>
      </c>
      <c r="BW111" s="39">
        <v>0</v>
      </c>
      <c r="BX111" s="39">
        <v>0</v>
      </c>
      <c r="BY111" s="39">
        <v>0</v>
      </c>
      <c r="BZ111" s="39">
        <v>0</v>
      </c>
      <c r="CA111" s="39">
        <v>0</v>
      </c>
      <c r="CB111" s="39">
        <v>0</v>
      </c>
      <c r="CC111" s="39">
        <v>0</v>
      </c>
      <c r="CD111" s="39">
        <v>0</v>
      </c>
      <c r="CE111" s="39">
        <v>0</v>
      </c>
      <c r="CF111" s="39">
        <v>0</v>
      </c>
      <c r="CG111" s="39">
        <v>0</v>
      </c>
      <c r="CH111" s="39">
        <v>0</v>
      </c>
      <c r="CI111" s="39">
        <v>0</v>
      </c>
      <c r="CJ111" s="39">
        <v>0</v>
      </c>
      <c r="CK111" s="39">
        <v>0</v>
      </c>
      <c r="CL111" s="39">
        <v>0</v>
      </c>
      <c r="CM111" s="39">
        <v>0</v>
      </c>
      <c r="CN111" s="39">
        <v>0</v>
      </c>
      <c r="CO111" s="39">
        <v>0</v>
      </c>
      <c r="CP111" s="39">
        <v>0</v>
      </c>
      <c r="CQ111" s="39">
        <v>0</v>
      </c>
      <c r="CR111" s="39">
        <v>0</v>
      </c>
      <c r="CS111" s="39">
        <v>0</v>
      </c>
      <c r="CT111" s="39">
        <v>0</v>
      </c>
      <c r="CU111" s="39">
        <v>0</v>
      </c>
      <c r="CV111" s="39">
        <v>0</v>
      </c>
      <c r="CW111" s="39">
        <v>0</v>
      </c>
      <c r="CX111" s="39">
        <v>0</v>
      </c>
      <c r="CY111" s="39">
        <v>0</v>
      </c>
      <c r="CZ111" s="39">
        <v>0</v>
      </c>
      <c r="DA111" s="39">
        <v>0</v>
      </c>
      <c r="DB111" s="39">
        <v>0</v>
      </c>
      <c r="DC111" s="39">
        <v>0</v>
      </c>
      <c r="DD111" s="39">
        <v>0</v>
      </c>
      <c r="DE111" s="39">
        <v>0</v>
      </c>
      <c r="DF111" s="39">
        <v>0</v>
      </c>
      <c r="DG111" s="39">
        <v>0</v>
      </c>
      <c r="DH111" s="39">
        <v>0</v>
      </c>
      <c r="DI111" s="39">
        <v>0</v>
      </c>
      <c r="DJ111" s="39">
        <v>0</v>
      </c>
      <c r="DK111" s="39">
        <v>0</v>
      </c>
      <c r="DL111" s="39">
        <v>0</v>
      </c>
      <c r="DM111" s="39">
        <v>0</v>
      </c>
      <c r="DN111" s="39">
        <v>0</v>
      </c>
      <c r="DO111" s="39">
        <v>0</v>
      </c>
      <c r="DP111" s="39">
        <v>0</v>
      </c>
      <c r="DQ111" s="39">
        <v>0</v>
      </c>
      <c r="DR111" s="39">
        <v>0</v>
      </c>
      <c r="DS111" s="39">
        <v>0</v>
      </c>
      <c r="DT111" s="39">
        <v>0</v>
      </c>
      <c r="DU111" s="39">
        <v>0</v>
      </c>
      <c r="DV111" s="39">
        <v>0</v>
      </c>
      <c r="DW111" s="39">
        <v>0</v>
      </c>
      <c r="DX111" s="39">
        <v>0</v>
      </c>
      <c r="DY111" s="39">
        <v>0</v>
      </c>
      <c r="DZ111" s="39">
        <v>0</v>
      </c>
      <c r="EA111" s="39">
        <v>0</v>
      </c>
      <c r="EB111" s="39">
        <v>0</v>
      </c>
      <c r="EC111" s="39">
        <v>0</v>
      </c>
      <c r="ED111" s="39">
        <v>0</v>
      </c>
      <c r="EE111" s="39">
        <v>0</v>
      </c>
      <c r="EF111" s="39">
        <v>0</v>
      </c>
      <c r="EG111" s="39">
        <v>0</v>
      </c>
      <c r="EH111" s="39">
        <v>0</v>
      </c>
      <c r="EI111" s="39">
        <v>0</v>
      </c>
      <c r="EJ111" s="39">
        <v>0</v>
      </c>
      <c r="EK111" s="39">
        <v>0</v>
      </c>
      <c r="EL111" s="39">
        <v>0</v>
      </c>
      <c r="EM111" s="39">
        <v>0</v>
      </c>
      <c r="EN111" s="39">
        <v>0</v>
      </c>
      <c r="EO111" s="39">
        <v>0</v>
      </c>
      <c r="EP111" s="39">
        <v>0</v>
      </c>
      <c r="EQ111" s="39">
        <v>0</v>
      </c>
      <c r="ER111" s="39">
        <v>0</v>
      </c>
      <c r="ES111" s="39">
        <v>0</v>
      </c>
      <c r="ET111" s="39">
        <v>0</v>
      </c>
      <c r="EU111" s="39">
        <v>0</v>
      </c>
      <c r="EV111" s="39">
        <v>0</v>
      </c>
      <c r="EW111" s="39">
        <v>0</v>
      </c>
      <c r="EX111" s="39">
        <v>0</v>
      </c>
      <c r="EY111" s="39">
        <v>0</v>
      </c>
      <c r="EZ111" s="39">
        <v>0</v>
      </c>
      <c r="FA111" s="39">
        <v>0</v>
      </c>
      <c r="FB111" s="39">
        <v>0</v>
      </c>
      <c r="FC111" s="39">
        <v>0</v>
      </c>
      <c r="FD111" s="39">
        <v>0</v>
      </c>
      <c r="FE111" s="39">
        <v>0</v>
      </c>
      <c r="FF111" s="39">
        <v>0</v>
      </c>
      <c r="FG111" s="39">
        <v>0</v>
      </c>
      <c r="FH111" s="39">
        <v>0</v>
      </c>
      <c r="FI111" s="39">
        <v>0</v>
      </c>
      <c r="FJ111" s="39">
        <v>0</v>
      </c>
      <c r="FK111" s="39">
        <v>0</v>
      </c>
      <c r="FL111" s="39">
        <v>0</v>
      </c>
      <c r="FM111" s="39">
        <v>0</v>
      </c>
      <c r="FN111" s="39">
        <v>0</v>
      </c>
      <c r="FO111" s="39">
        <v>0</v>
      </c>
      <c r="FP111" s="39">
        <v>0</v>
      </c>
      <c r="FQ111" s="39">
        <v>0</v>
      </c>
      <c r="FR111" s="39">
        <v>0</v>
      </c>
      <c r="FS111" s="39">
        <v>0</v>
      </c>
      <c r="FT111" s="39">
        <v>0</v>
      </c>
      <c r="FU111" s="39">
        <v>0</v>
      </c>
      <c r="FV111" s="39">
        <v>0</v>
      </c>
      <c r="FW111" s="39">
        <v>0</v>
      </c>
      <c r="FX111" s="39">
        <v>0</v>
      </c>
      <c r="FY111" s="39">
        <v>0</v>
      </c>
      <c r="FZ111" s="39">
        <v>0</v>
      </c>
      <c r="GA111" s="39">
        <v>0</v>
      </c>
      <c r="GB111" s="39">
        <v>0</v>
      </c>
      <c r="GC111" s="39">
        <v>0</v>
      </c>
      <c r="GD111" s="39">
        <v>0</v>
      </c>
      <c r="GE111" s="39">
        <v>0</v>
      </c>
      <c r="GF111" s="39">
        <v>0</v>
      </c>
      <c r="GG111" s="39">
        <v>0</v>
      </c>
      <c r="GH111" s="39">
        <v>0</v>
      </c>
      <c r="GI111" s="39">
        <v>0</v>
      </c>
      <c r="GJ111" s="39">
        <v>0</v>
      </c>
      <c r="GK111" s="39">
        <v>0</v>
      </c>
      <c r="GL111" s="39">
        <v>0</v>
      </c>
      <c r="GM111" s="39">
        <v>0</v>
      </c>
      <c r="GN111" s="39">
        <v>0</v>
      </c>
      <c r="GO111" s="39">
        <v>0</v>
      </c>
      <c r="GP111" s="39">
        <v>0</v>
      </c>
      <c r="GQ111" s="39">
        <v>0</v>
      </c>
      <c r="GR111" s="39">
        <v>0</v>
      </c>
      <c r="GS111" s="39">
        <v>0</v>
      </c>
      <c r="GT111" s="39">
        <v>0</v>
      </c>
      <c r="GU111" s="39">
        <v>0</v>
      </c>
      <c r="GV111" s="39">
        <v>0</v>
      </c>
      <c r="GW111" s="39">
        <v>0</v>
      </c>
      <c r="GX111" s="39">
        <v>0</v>
      </c>
      <c r="GY111" s="39">
        <v>0</v>
      </c>
      <c r="GZ111" s="39">
        <v>0</v>
      </c>
      <c r="HA111" s="39">
        <v>0</v>
      </c>
      <c r="HB111" s="39">
        <v>0</v>
      </c>
      <c r="HC111" s="39">
        <v>0</v>
      </c>
      <c r="HD111" s="39">
        <v>0</v>
      </c>
      <c r="HE111" s="39">
        <v>0</v>
      </c>
      <c r="HF111" s="39">
        <v>0</v>
      </c>
      <c r="HG111" s="39">
        <v>0</v>
      </c>
      <c r="HH111" s="39">
        <v>0</v>
      </c>
      <c r="HI111" s="39">
        <v>0</v>
      </c>
      <c r="HJ111" s="39">
        <v>0</v>
      </c>
      <c r="HK111" s="39">
        <v>0</v>
      </c>
      <c r="HL111" s="39">
        <v>0</v>
      </c>
      <c r="HM111" s="39">
        <v>0</v>
      </c>
      <c r="HN111" s="39">
        <v>0</v>
      </c>
      <c r="HO111" s="39">
        <v>0</v>
      </c>
      <c r="HP111" s="39">
        <v>0</v>
      </c>
      <c r="HQ111" s="39">
        <v>0</v>
      </c>
      <c r="HR111" s="39">
        <v>0</v>
      </c>
      <c r="HS111" s="39">
        <v>0</v>
      </c>
      <c r="HT111" s="39">
        <v>0</v>
      </c>
      <c r="HU111" s="39">
        <v>0</v>
      </c>
      <c r="HV111" s="39">
        <v>0</v>
      </c>
      <c r="HW111" s="39">
        <v>0</v>
      </c>
      <c r="HX111" s="39">
        <v>0</v>
      </c>
      <c r="HY111" s="39">
        <v>0</v>
      </c>
      <c r="HZ111" s="39">
        <v>0</v>
      </c>
      <c r="IA111" s="39">
        <v>0</v>
      </c>
      <c r="IB111" s="39">
        <v>0</v>
      </c>
      <c r="IC111" s="39">
        <v>0</v>
      </c>
      <c r="ID111" s="39">
        <v>0</v>
      </c>
      <c r="IE111" s="39">
        <v>0</v>
      </c>
      <c r="IF111" s="39">
        <v>0</v>
      </c>
      <c r="IG111" s="39">
        <v>0</v>
      </c>
      <c r="IH111" s="39">
        <v>0</v>
      </c>
      <c r="II111" s="39">
        <v>0</v>
      </c>
      <c r="IJ111" s="39">
        <v>0</v>
      </c>
      <c r="IK111" s="39">
        <v>0</v>
      </c>
      <c r="IL111" s="39">
        <v>0</v>
      </c>
    </row>
    <row r="112" spans="1:246" x14ac:dyDescent="0.3">
      <c r="A112" t="s">
        <v>28</v>
      </c>
      <c r="B112" s="39">
        <f>(IF(WEEKDAY(B$82,2)&gt;5,0,106.77))*-1</f>
        <v>-106.77</v>
      </c>
      <c r="C112" s="39">
        <f>(IF(WEEKDAY(C$82,2)&gt;5,0,107.79))*-1</f>
        <v>0</v>
      </c>
      <c r="D112" s="39">
        <f>(IF(WEEKDAY(D$82,2)&gt;5,0,109.67))*-1</f>
        <v>0</v>
      </c>
      <c r="E112" s="39">
        <f>(IF(WEEKDAY(E$82,2)&gt;5,0,99.01))*-1</f>
        <v>-99.01</v>
      </c>
      <c r="F112" s="39">
        <f>(IF(WEEKDAY(F$82,2)&gt;5,0,106.72))*-1</f>
        <v>-106.72</v>
      </c>
      <c r="G112" s="39">
        <f>(IF(WEEKDAY(G$82,2)&gt;5,0,108.92))*-1</f>
        <v>-108.92</v>
      </c>
      <c r="H112" s="39">
        <f>(IF(WEEKDAY(H$82,2)&gt;5,0,112.05))*-1</f>
        <v>-112.05</v>
      </c>
      <c r="I112" s="39">
        <f>(IF(WEEKDAY(I$82,2)&gt;5,0,100.41))*-1</f>
        <v>-100.41</v>
      </c>
      <c r="J112" s="39">
        <f>(IF(WEEKDAY(J$82,2)&gt;5,0,105.44))*-1</f>
        <v>0</v>
      </c>
      <c r="K112" s="39">
        <f>(IF(WEEKDAY(K$82,2)&gt;5,0,109.83))*-1</f>
        <v>0</v>
      </c>
      <c r="L112" s="39">
        <f>(IF(WEEKDAY(L$82,2)&gt;5,0,110.03))*-1</f>
        <v>-110.03</v>
      </c>
      <c r="M112" s="39">
        <f>(IF(WEEKDAY(M$82,2)&gt;5,0,98.78))*-1</f>
        <v>-98.78</v>
      </c>
      <c r="N112" s="39">
        <f>(IF(WEEKDAY(N$82,2)&gt;5,0,87.96))*-1</f>
        <v>-87.96</v>
      </c>
      <c r="O112" s="39">
        <f>(IF(WEEKDAY(O$82,2)&gt;5,0,106.89))*-1</f>
        <v>-106.89</v>
      </c>
      <c r="P112" s="39">
        <f>(IF(WEEKDAY(P$82,2)&gt;5,0,102.16))*-1</f>
        <v>-102.16</v>
      </c>
      <c r="Q112" s="39">
        <f>(IF(WEEKDAY(Q$82,2)&gt;5,0,91.09))*-1</f>
        <v>0</v>
      </c>
      <c r="R112" s="39">
        <f>(IF(WEEKDAY(R$82,2)&gt;5,0,103.4))*-1</f>
        <v>0</v>
      </c>
      <c r="S112" s="39">
        <f>(IF(WEEKDAY(S$82,2)&gt;5,0,103.7))*-1</f>
        <v>-103.7</v>
      </c>
      <c r="T112" s="39">
        <f>(IF(WEEKDAY(T$82,2)&gt;5,0,112.94))*-1</f>
        <v>-112.94</v>
      </c>
      <c r="U112" s="39">
        <f>(IF(WEEKDAY(U$82,2)&gt;5,0,109.98))*-1</f>
        <v>-109.98</v>
      </c>
      <c r="V112" s="39">
        <f>(IF(WEEKDAY(V$82,2)&gt;5,0,99.39))*-1</f>
        <v>-99.39</v>
      </c>
      <c r="W112" s="39">
        <f>(IF(WEEKDAY(W$82,2)&gt;5,0,101.25))*-1</f>
        <v>-101.25</v>
      </c>
      <c r="X112" s="39">
        <f>(IF(WEEKDAY(X$82,2)&gt;5,0,111.85))*-1</f>
        <v>0</v>
      </c>
      <c r="Y112" s="39">
        <f>(IF(WEEKDAY(Y$82,2)&gt;5,0,110.41))*-1</f>
        <v>0</v>
      </c>
      <c r="Z112" s="39">
        <f>(IF(WEEKDAY(Z$82,2)&gt;5,0,96.63))*-1</f>
        <v>-96.63</v>
      </c>
      <c r="AA112" s="39">
        <f>(IF(WEEKDAY(AA$82,2)&gt;5,0,113.94))*-1</f>
        <v>-113.94</v>
      </c>
      <c r="AB112" s="39">
        <f>(IF(WEEKDAY(AB$82,2)&gt;5,0,89.88))*-1</f>
        <v>-89.88</v>
      </c>
      <c r="AC112" s="39">
        <f>(IF(WEEKDAY(AC$82,2)&gt;5,0,114.56))*-1</f>
        <v>-114.56</v>
      </c>
      <c r="AD112" s="39">
        <f>(IF(WEEKDAY(AD$82,2)&gt;5,0,105.74))*-1</f>
        <v>-105.74</v>
      </c>
      <c r="AE112" s="39">
        <f>(IF(WEEKDAY(AE$82,2)&gt;5,0,94.13))*-1</f>
        <v>0</v>
      </c>
      <c r="AF112" s="39">
        <f>(IF(WEEKDAY(AF$82,2)&gt;5,0,102.34))*-1</f>
        <v>0</v>
      </c>
      <c r="AG112" s="39">
        <f>(IF(WEEKDAY(AG$82,2)&gt;5,0,103.63))*-1</f>
        <v>-103.63</v>
      </c>
      <c r="AH112" s="39">
        <f>(IF(WEEKDAY(AH$82,2)&gt;5,0,88.63))*-1</f>
        <v>-88.63</v>
      </c>
      <c r="AI112" s="39">
        <f>(IF(WEEKDAY(AI$82,2)&gt;5,0,87.72))*-1</f>
        <v>-87.72</v>
      </c>
      <c r="AJ112" s="39">
        <f>(IF(WEEKDAY(AJ$82,2)&gt;5,0,95.38))*-1</f>
        <v>-95.38</v>
      </c>
      <c r="AK112" s="39">
        <f>(IF(WEEKDAY(AK$82,2)&gt;5,0,98.54))*-1</f>
        <v>-98.54</v>
      </c>
      <c r="AL112" s="39">
        <f>(IF(WEEKDAY(AL$82,2)&gt;5,0,97.06))*-1</f>
        <v>0</v>
      </c>
      <c r="AM112" s="39">
        <f>(IF(WEEKDAY(AM$82,2)&gt;5,0,96.89))*-1</f>
        <v>0</v>
      </c>
      <c r="AN112" s="39">
        <f>(IF(WEEKDAY(AN$82,2)&gt;5,0,103.09))*-1</f>
        <v>-103.09</v>
      </c>
      <c r="AO112" s="39">
        <f>(IF(WEEKDAY(AO$82,2)&gt;5,0,94.43))*-1</f>
        <v>-94.43</v>
      </c>
      <c r="AP112" s="39">
        <f>(IF(WEEKDAY(AP$82,2)&gt;5,0,112.09))*-1</f>
        <v>-112.09</v>
      </c>
      <c r="AQ112" s="39">
        <f>(IF(WEEKDAY(AQ$82,2)&gt;5,0,114.64))*-1</f>
        <v>-114.64</v>
      </c>
      <c r="AR112" s="39">
        <f>(IF(WEEKDAY(AR$82,2)&gt;5,0,86.46))*-1</f>
        <v>-86.46</v>
      </c>
      <c r="AS112" s="39">
        <f>(IF(WEEKDAY(AS$82,2)&gt;5,0,102.31))*-1</f>
        <v>0</v>
      </c>
      <c r="AT112" s="39">
        <f>(IF(WEEKDAY(AT$82,2)&gt;5,0,107))*-1</f>
        <v>0</v>
      </c>
      <c r="AU112" s="39">
        <f>(IF(WEEKDAY(AU$82,2)&gt;5,0,95.89))*-1</f>
        <v>-95.89</v>
      </c>
      <c r="AV112" s="39">
        <f>(IF(WEEKDAY(AV$82,2)&gt;5,0,95.47))*-1</f>
        <v>-95.47</v>
      </c>
      <c r="AW112" s="39">
        <f>(IF(WEEKDAY(AW$82,2)&gt;5,0,85.75))*-1</f>
        <v>-85.75</v>
      </c>
      <c r="AX112" s="39">
        <f>(IF(WEEKDAY(AX$82,2)&gt;5,0,95.09))*-1</f>
        <v>-95.09</v>
      </c>
      <c r="AY112" s="39">
        <f>(IF(WEEKDAY(AY$82,2)&gt;5,0,90.55))*-1</f>
        <v>-90.55</v>
      </c>
      <c r="AZ112" s="39">
        <f>(IF(WEEKDAY(AZ$82,2)&gt;5,0,104.27))*-1</f>
        <v>0</v>
      </c>
      <c r="BA112" s="39">
        <f>(IF(WEEKDAY(BA$82,2)&gt;5,0,107.24))*-1</f>
        <v>0</v>
      </c>
      <c r="BB112" s="39">
        <f>(IF(WEEKDAY(BB$82,2)&gt;5,0,85.04))*-1</f>
        <v>-85.04</v>
      </c>
      <c r="BC112" s="39">
        <f>(IF(WEEKDAY(BC$82,2)&gt;5,0,105.24))*-1</f>
        <v>-105.24</v>
      </c>
      <c r="BD112" s="39">
        <f>(IF(WEEKDAY(BD$82,2)&gt;5,0,92.41))*-1</f>
        <v>-92.41</v>
      </c>
      <c r="BE112" s="39">
        <f>(IF(WEEKDAY(BE$82,2)&gt;5,0,95.09))*-1</f>
        <v>-95.09</v>
      </c>
      <c r="BF112" s="39">
        <f>(IF(WEEKDAY(BF$82,2)&gt;5,0,94.84))*-1</f>
        <v>-94.84</v>
      </c>
      <c r="BG112" s="39">
        <f>(IF(WEEKDAY(BG$82,2)&gt;5,0,100.42))*-1</f>
        <v>0</v>
      </c>
      <c r="BH112" s="39">
        <f>(IF(WEEKDAY(BH$82,2)&gt;5,0,86.54))*-1</f>
        <v>0</v>
      </c>
      <c r="BI112" s="39">
        <f>(IF(WEEKDAY(BI$82,2)&gt;5,0,103.62))*-1</f>
        <v>-103.62</v>
      </c>
      <c r="BJ112" s="39">
        <f>(IF(WEEKDAY(BJ$82,2)&gt;5,0,95.17))*-1</f>
        <v>-95.17</v>
      </c>
      <c r="BK112" s="39">
        <f>(IF(WEEKDAY(BK$82,2)&gt;5,0,99.56))*-1</f>
        <v>-99.56</v>
      </c>
      <c r="BL112" s="39">
        <f>(IF(WEEKDAY(BL$82,2)&gt;5,0,103.51))*-1</f>
        <v>-103.51</v>
      </c>
      <c r="BM112" s="39">
        <f>(IF(WEEKDAY(BM$82,2)&gt;5,0,91.3))*-1</f>
        <v>-91.3</v>
      </c>
      <c r="BN112" s="39">
        <f>(IF(WEEKDAY(BN$82,2)&gt;5,0,103.23))*-1</f>
        <v>0</v>
      </c>
      <c r="BO112" s="39">
        <f>(IF(WEEKDAY(BO$82,2)&gt;5,0,100.54))*-1</f>
        <v>0</v>
      </c>
      <c r="BP112" s="39">
        <f>(IF(WEEKDAY(BP$82,2)&gt;5,0,95.75))*-1</f>
        <v>-95.75</v>
      </c>
      <c r="BQ112" s="39">
        <f>(IF(WEEKDAY(BQ$82,2)&gt;5,0,92.92))*-1</f>
        <v>-92.92</v>
      </c>
      <c r="BR112" s="39">
        <f>(IF(WEEKDAY(BR$82,2)&gt;5,0,105.59))*-1</f>
        <v>-105.59</v>
      </c>
      <c r="BS112" s="39">
        <f>(IF(WEEKDAY(BS$82,2)&gt;5,0,92.54))*-1</f>
        <v>-92.54</v>
      </c>
      <c r="BT112" s="39">
        <f>(IF(WEEKDAY(BT$82,2)&gt;5,0,110.48))*-1</f>
        <v>-110.48</v>
      </c>
      <c r="BU112" s="39">
        <f>(IF(WEEKDAY(BU$82,2)&gt;5,0,92.35))*-1</f>
        <v>0</v>
      </c>
      <c r="BV112" s="39">
        <f>(IF(WEEKDAY(BV$82,2)&gt;5,0,107.88))*-1</f>
        <v>0</v>
      </c>
      <c r="BW112" s="39">
        <f>(IF(WEEKDAY(BW$82,2)&gt;5,0,96.7))*-1</f>
        <v>-96.7</v>
      </c>
      <c r="BX112" s="39">
        <f>(IF(WEEKDAY(BX$82,2)&gt;5,0,114.74))*-1</f>
        <v>-114.74</v>
      </c>
      <c r="BY112" s="39">
        <f>(IF(WEEKDAY(BY$82,2)&gt;5,0,102.89))*-1</f>
        <v>-102.89</v>
      </c>
      <c r="BZ112" s="39">
        <f>(IF(WEEKDAY(BZ$82,2)&gt;5,0,100.71))*-1</f>
        <v>-100.71</v>
      </c>
      <c r="CA112" s="39">
        <f>(IF(WEEKDAY(CA$82,2)&gt;5,0,101.99))*-1</f>
        <v>-101.99</v>
      </c>
      <c r="CB112" s="39">
        <f>(IF(WEEKDAY(CB$82,2)&gt;5,0,114.76))*-1</f>
        <v>0</v>
      </c>
      <c r="CC112" s="39">
        <f>(IF(WEEKDAY(CC$82,2)&gt;5,0,105.86))*-1</f>
        <v>0</v>
      </c>
      <c r="CD112" s="39">
        <f>(IF(WEEKDAY(CD$82,2)&gt;5,0,106.7))*-1</f>
        <v>-106.7</v>
      </c>
      <c r="CE112" s="39">
        <f>(IF(WEEKDAY(CE$82,2)&gt;5,0,95.87))*-1</f>
        <v>-95.87</v>
      </c>
      <c r="CF112" s="39">
        <f>(IF(WEEKDAY(CF$82,2)&gt;5,0,100.51))*-1</f>
        <v>-100.51</v>
      </c>
      <c r="CG112" s="39">
        <f>(IF(WEEKDAY(CG$82,2)&gt;5,0,105.13))*-1</f>
        <v>-105.13</v>
      </c>
      <c r="CH112" s="39">
        <f>(IF(WEEKDAY(CH$82,2)&gt;5,0,104.55))*-1</f>
        <v>-104.55</v>
      </c>
      <c r="CI112" s="39">
        <f>(IF(WEEKDAY(CI$82,2)&gt;5,0,101.74))*-1</f>
        <v>0</v>
      </c>
      <c r="CJ112" s="39">
        <f>(IF(WEEKDAY(CJ$82,2)&gt;5,0,114.12))*-1</f>
        <v>0</v>
      </c>
      <c r="CK112" s="39">
        <f>(IF(WEEKDAY(CK$82,2)&gt;5,0,101.51))*-1</f>
        <v>-101.51</v>
      </c>
      <c r="CL112" s="39">
        <f>(IF(WEEKDAY(CL$82,2)&gt;5,0,102.82))*-1</f>
        <v>-102.82</v>
      </c>
      <c r="CM112" s="39">
        <f>(IF(WEEKDAY(CM$82,2)&gt;5,0,96.57))*-1</f>
        <v>-96.57</v>
      </c>
      <c r="CN112" s="39">
        <f>(IF(WEEKDAY(CN$82,2)&gt;5,0,94))*-1</f>
        <v>-94</v>
      </c>
      <c r="CO112" s="39">
        <f>(IF(WEEKDAY(CO$82,2)&gt;5,0,104.34))*-1</f>
        <v>-104.34</v>
      </c>
      <c r="CP112" s="39">
        <f>(IF(WEEKDAY(CP$82,2)&gt;5,0,103.61))*-1</f>
        <v>0</v>
      </c>
      <c r="CQ112" s="39">
        <f>(IF(WEEKDAY(CQ$82,2)&gt;5,0,88.24))*-1</f>
        <v>0</v>
      </c>
      <c r="CR112" s="39">
        <f>(IF(WEEKDAY(CR$82,2)&gt;5,0,99.55))*-1</f>
        <v>-99.55</v>
      </c>
      <c r="CS112" s="39">
        <f>(IF(WEEKDAY(CS$82,2)&gt;5,0,85.46))*-1</f>
        <v>-85.46</v>
      </c>
      <c r="CT112" s="39">
        <f>(IF(WEEKDAY(CT$82,2)&gt;5,0,106.46))*-1</f>
        <v>-106.46</v>
      </c>
      <c r="CU112" s="39">
        <f>(IF(WEEKDAY(CU$82,2)&gt;5,0,106.76))*-1</f>
        <v>-106.76</v>
      </c>
      <c r="CV112" s="39">
        <f>(IF(WEEKDAY(CV$82,2)&gt;5,0,110.43))*-1</f>
        <v>-110.43</v>
      </c>
      <c r="CW112" s="39">
        <f>(IF(WEEKDAY(CW$82,2)&gt;5,0,91.82))*-1</f>
        <v>0</v>
      </c>
      <c r="CX112" s="39">
        <f>(IF(WEEKDAY(CX$82,2)&gt;5,0,95.8))*-1</f>
        <v>0</v>
      </c>
      <c r="CY112" s="39">
        <f>(IF(WEEKDAY(CY$82,2)&gt;5,0,108.83))*-1</f>
        <v>-108.83</v>
      </c>
      <c r="CZ112" s="39">
        <f>(IF(WEEKDAY(CZ$82,2)&gt;5,0,105.5))*-1</f>
        <v>-105.5</v>
      </c>
      <c r="DA112" s="39">
        <f>(IF(WEEKDAY(DA$82,2)&gt;5,0,111.68))*-1</f>
        <v>-111.68</v>
      </c>
      <c r="DB112" s="39">
        <f>(IF(WEEKDAY(DB$82,2)&gt;5,0,92.04))*-1</f>
        <v>-92.04</v>
      </c>
      <c r="DC112" s="39">
        <f>(IF(WEEKDAY(DC$82,2)&gt;5,0,107.58))*-1</f>
        <v>-107.58</v>
      </c>
      <c r="DD112" s="39">
        <f>(IF(WEEKDAY(DD$82,2)&gt;5,0,111.33))*-1</f>
        <v>0</v>
      </c>
      <c r="DE112" s="39">
        <f>(IF(WEEKDAY(DE$82,2)&gt;5,0,96.4))*-1</f>
        <v>0</v>
      </c>
      <c r="DF112" s="39">
        <f>(IF(WEEKDAY(DF$82,2)&gt;5,0,111.37))*-1</f>
        <v>-111.37</v>
      </c>
      <c r="DG112" s="39">
        <f>(IF(WEEKDAY(DG$82,2)&gt;5,0,112.19))*-1</f>
        <v>-112.19</v>
      </c>
      <c r="DH112" s="39">
        <f>(IF(WEEKDAY(DH$82,2)&gt;5,0,109.57))*-1</f>
        <v>-109.57</v>
      </c>
      <c r="DI112" s="39">
        <f>(IF(WEEKDAY(DI$82,2)&gt;5,0,87.92))*-1</f>
        <v>-87.92</v>
      </c>
      <c r="DJ112" s="39">
        <f>(IF(WEEKDAY(DJ$82,2)&gt;5,0,99.17))*-1</f>
        <v>-99.17</v>
      </c>
      <c r="DK112" s="39">
        <f>(IF(WEEKDAY(DK$82,2)&gt;5,0,113.95))*-1</f>
        <v>0</v>
      </c>
      <c r="DL112" s="39">
        <f>(IF(WEEKDAY(DL$82,2)&gt;5,0,85.93))*-1</f>
        <v>0</v>
      </c>
      <c r="DM112" s="39">
        <f>(IF(WEEKDAY(DM$82,2)&gt;5,0,95.04))*-1</f>
        <v>-95.04</v>
      </c>
      <c r="DN112" s="39">
        <f>(IF(WEEKDAY(DN$82,2)&gt;5,0,85.68))*-1</f>
        <v>-85.68</v>
      </c>
      <c r="DO112" s="39">
        <f>(IF(WEEKDAY(DO$82,2)&gt;5,0,95.7))*-1</f>
        <v>-95.7</v>
      </c>
      <c r="DP112" s="39">
        <f>(IF(WEEKDAY(DP$82,2)&gt;5,0,88.4))*-1</f>
        <v>-88.4</v>
      </c>
      <c r="DQ112" s="39">
        <f>(IF(WEEKDAY(DQ$82,2)&gt;5,0,90.15))*-1</f>
        <v>-90.15</v>
      </c>
      <c r="DR112" s="39">
        <f>(IF(WEEKDAY(DR$82,2)&gt;5,0,112.54))*-1</f>
        <v>0</v>
      </c>
      <c r="DS112" s="39">
        <f>(IF(WEEKDAY(DS$82,2)&gt;5,0,101.09))*-1</f>
        <v>0</v>
      </c>
      <c r="DT112" s="39">
        <f>(IF(WEEKDAY(DT$82,2)&gt;5,0,88.52))*-1</f>
        <v>-88.52</v>
      </c>
      <c r="DU112" s="39">
        <f>(IF(WEEKDAY(DU$82,2)&gt;5,0,110.36))*-1</f>
        <v>-110.36</v>
      </c>
      <c r="DV112" s="39">
        <f>(IF(WEEKDAY(DV$82,2)&gt;5,0,114.37))*-1</f>
        <v>-114.37</v>
      </c>
      <c r="DW112" s="39">
        <f>(IF(WEEKDAY(DW$82,2)&gt;5,0,109.95))*-1</f>
        <v>-109.95</v>
      </c>
      <c r="DX112" s="39">
        <f>(IF(WEEKDAY(DX$82,2)&gt;5,0,86.92))*-1</f>
        <v>-86.92</v>
      </c>
      <c r="DY112" s="39">
        <f>(IF(WEEKDAY(DY$82,2)&gt;5,0,103.73))*-1</f>
        <v>0</v>
      </c>
      <c r="DZ112" s="39">
        <f>(IF(WEEKDAY(DZ$82,2)&gt;5,0,99.82))*-1</f>
        <v>0</v>
      </c>
      <c r="EA112" s="39">
        <f>(IF(WEEKDAY(EA$82,2)&gt;5,0,114.25))*-1</f>
        <v>-114.25</v>
      </c>
      <c r="EB112" s="39">
        <f>(IF(WEEKDAY(EB$82,2)&gt;5,0,96.74))*-1</f>
        <v>-96.74</v>
      </c>
      <c r="EC112" s="39">
        <f>(IF(WEEKDAY(EC$82,2)&gt;5,0,90.13))*-1</f>
        <v>-90.13</v>
      </c>
      <c r="ED112" s="39">
        <f>(IF(WEEKDAY(ED$82,2)&gt;5,0,113.16))*-1</f>
        <v>-113.16</v>
      </c>
      <c r="EE112" s="39">
        <f>(IF(WEEKDAY(EE$82,2)&gt;5,0,91.48))*-1</f>
        <v>-91.48</v>
      </c>
      <c r="EF112" s="39">
        <f>(IF(WEEKDAY(EF$82,2)&gt;5,0,88.58))*-1</f>
        <v>0</v>
      </c>
      <c r="EG112" s="39">
        <f>(IF(WEEKDAY(EG$82,2)&gt;5,0,95.74))*-1</f>
        <v>0</v>
      </c>
      <c r="EH112" s="39">
        <f>(IF(WEEKDAY(EH$82,2)&gt;5,0,88.24))*-1</f>
        <v>-88.24</v>
      </c>
      <c r="EI112" s="39">
        <f>(IF(WEEKDAY(EI$82,2)&gt;5,0,95.37))*-1</f>
        <v>-95.37</v>
      </c>
      <c r="EJ112" s="39">
        <f>(IF(WEEKDAY(EJ$82,2)&gt;5,0,101.34))*-1</f>
        <v>-101.34</v>
      </c>
      <c r="EK112" s="39">
        <f>(IF(WEEKDAY(EK$82,2)&gt;5,0,94.46))*-1</f>
        <v>-94.46</v>
      </c>
      <c r="EL112" s="39">
        <f>(IF(WEEKDAY(EL$82,2)&gt;5,0,108.85))*-1</f>
        <v>-108.85</v>
      </c>
      <c r="EM112" s="39">
        <f>(IF(WEEKDAY(EM$82,2)&gt;5,0,90.58))*-1</f>
        <v>0</v>
      </c>
      <c r="EN112" s="39">
        <f>(IF(WEEKDAY(EN$82,2)&gt;5,0,94.68))*-1</f>
        <v>0</v>
      </c>
      <c r="EO112" s="39">
        <f>(IF(WEEKDAY(EO$82,2)&gt;5,0,106.81))*-1</f>
        <v>-106.81</v>
      </c>
      <c r="EP112" s="39">
        <f>(IF(WEEKDAY(EP$82,2)&gt;5,0,86.14))*-1</f>
        <v>-86.14</v>
      </c>
      <c r="EQ112" s="39">
        <f>(IF(WEEKDAY(EQ$82,2)&gt;5,0,104.06))*-1</f>
        <v>-104.06</v>
      </c>
      <c r="ER112" s="39">
        <f>(IF(WEEKDAY(ER$82,2)&gt;5,0,111.77))*-1</f>
        <v>-111.77</v>
      </c>
      <c r="ES112" s="39">
        <f>(IF(WEEKDAY(ES$82,2)&gt;5,0,101.6))*-1</f>
        <v>-101.6</v>
      </c>
      <c r="ET112" s="39">
        <f>(IF(WEEKDAY(ET$82,2)&gt;5,0,87.65))*-1</f>
        <v>0</v>
      </c>
      <c r="EU112" s="39">
        <f>(IF(WEEKDAY(EU$82,2)&gt;5,0,105.93))*-1</f>
        <v>0</v>
      </c>
      <c r="EV112" s="39">
        <f>(IF(WEEKDAY(EV$82,2)&gt;5,0,93.12))*-1</f>
        <v>-93.12</v>
      </c>
      <c r="EW112" s="39">
        <f>(IF(WEEKDAY(EW$82,2)&gt;5,0,93.26))*-1</f>
        <v>-93.26</v>
      </c>
      <c r="EX112" s="39">
        <f>(IF(WEEKDAY(EX$82,2)&gt;5,0,88.01))*-1</f>
        <v>-88.01</v>
      </c>
      <c r="EY112" s="39">
        <f>(IF(WEEKDAY(EY$82,2)&gt;5,0,105.65))*-1</f>
        <v>-105.65</v>
      </c>
      <c r="EZ112" s="39">
        <f>(IF(WEEKDAY(EZ$82,2)&gt;5,0,103.34))*-1</f>
        <v>-103.34</v>
      </c>
      <c r="FA112" s="39">
        <f>(IF(WEEKDAY(FA$82,2)&gt;5,0,90.81))*-1</f>
        <v>0</v>
      </c>
      <c r="FB112" s="39">
        <f>(IF(WEEKDAY(FB$82,2)&gt;5,0,89.22))*-1</f>
        <v>0</v>
      </c>
      <c r="FC112" s="39">
        <f>(IF(WEEKDAY(FC$82,2)&gt;5,0,93.61))*-1</f>
        <v>-93.61</v>
      </c>
      <c r="FD112" s="39">
        <f>(IF(WEEKDAY(FD$82,2)&gt;5,0,98.48))*-1</f>
        <v>-98.48</v>
      </c>
      <c r="FE112" s="39">
        <f>(IF(WEEKDAY(FE$82,2)&gt;5,0,93.06))*-1</f>
        <v>-93.06</v>
      </c>
      <c r="FF112" s="39">
        <f>(IF(WEEKDAY(FF$82,2)&gt;5,0,92.34))*-1</f>
        <v>-92.34</v>
      </c>
      <c r="FG112" s="39">
        <f>(IF(WEEKDAY(FG$82,2)&gt;5,0,107.73))*-1</f>
        <v>-107.73</v>
      </c>
      <c r="FH112" s="39">
        <f>(IF(WEEKDAY(FH$82,2)&gt;5,0,107.22))*-1</f>
        <v>0</v>
      </c>
      <c r="FI112" s="39">
        <f>(IF(WEEKDAY(FI$82,2)&gt;5,0,93.89))*-1</f>
        <v>0</v>
      </c>
      <c r="FJ112" s="39">
        <f>(IF(WEEKDAY(FJ$82,2)&gt;5,0,101.64))*-1</f>
        <v>-101.64</v>
      </c>
      <c r="FK112" s="39">
        <f>(IF(WEEKDAY(FK$82,2)&gt;5,0,91.8))*-1</f>
        <v>-91.8</v>
      </c>
      <c r="FL112" s="39">
        <f>(IF(WEEKDAY(FL$82,2)&gt;5,0,112.43))*-1</f>
        <v>-112.43</v>
      </c>
      <c r="FM112" s="39">
        <f>(IF(WEEKDAY(FM$82,2)&gt;5,0,112.82))*-1</f>
        <v>-112.82</v>
      </c>
      <c r="FN112" s="39">
        <f>(IF(WEEKDAY(FN$82,2)&gt;5,0,111.39))*-1</f>
        <v>-111.39</v>
      </c>
      <c r="FO112" s="39">
        <f>(IF(WEEKDAY(FO$82,2)&gt;5,0,104.87))*-1</f>
        <v>0</v>
      </c>
      <c r="FP112" s="39">
        <f>(IF(WEEKDAY(FP$82,2)&gt;5,0,85.84))*-1</f>
        <v>0</v>
      </c>
      <c r="FQ112" s="39">
        <f>(IF(WEEKDAY(FQ$82,2)&gt;5,0,106.81))*-1</f>
        <v>-106.81</v>
      </c>
      <c r="FR112" s="39">
        <f>(IF(WEEKDAY(FR$82,2)&gt;5,0,97.02))*-1</f>
        <v>-97.02</v>
      </c>
      <c r="FS112" s="39">
        <f>(IF(WEEKDAY(FS$82,2)&gt;5,0,114.94))*-1</f>
        <v>-114.94</v>
      </c>
      <c r="FT112" s="39">
        <f>(IF(WEEKDAY(FT$82,2)&gt;5,0,94.8))*-1</f>
        <v>-94.8</v>
      </c>
      <c r="FU112" s="39">
        <f>(IF(WEEKDAY(FU$82,2)&gt;5,0,109.22))*-1</f>
        <v>-109.22</v>
      </c>
      <c r="FV112" s="39">
        <f>(IF(WEEKDAY(FV$82,2)&gt;5,0,95.78))*-1</f>
        <v>0</v>
      </c>
      <c r="FW112" s="39">
        <f>(IF(WEEKDAY(FW$82,2)&gt;5,0,113.98))*-1</f>
        <v>0</v>
      </c>
      <c r="FX112" s="39">
        <f>(IF(WEEKDAY(FX$82,2)&gt;5,0,87.83))*-1</f>
        <v>-87.83</v>
      </c>
      <c r="FY112" s="39">
        <f>(IF(WEEKDAY(FY$82,2)&gt;5,0,96.18))*-1</f>
        <v>-96.18</v>
      </c>
      <c r="FZ112" s="39">
        <f>(IF(WEEKDAY(FZ$82,2)&gt;5,0,94.56))*-1</f>
        <v>-94.56</v>
      </c>
      <c r="GA112" s="39">
        <f>(IF(WEEKDAY(GA$82,2)&gt;5,0,89.66))*-1</f>
        <v>-89.66</v>
      </c>
      <c r="GB112" s="39">
        <f>(IF(WEEKDAY(GB$82,2)&gt;5,0,114.87))*-1</f>
        <v>-114.87</v>
      </c>
      <c r="GC112" s="39">
        <f>(IF(WEEKDAY(GC$82,2)&gt;5,0,106.33))*-1</f>
        <v>0</v>
      </c>
      <c r="GD112" s="39">
        <f>(IF(WEEKDAY(GD$82,2)&gt;5,0,98.87))*-1</f>
        <v>0</v>
      </c>
      <c r="GE112" s="39">
        <f>(IF(WEEKDAY(GE$82,2)&gt;5,0,106.2))*-1</f>
        <v>-106.2</v>
      </c>
      <c r="GF112" s="39">
        <f>(IF(WEEKDAY(GF$82,2)&gt;5,0,108.36))*-1</f>
        <v>-108.36</v>
      </c>
      <c r="GG112" s="39">
        <f>(IF(WEEKDAY(GG$82,2)&gt;5,0,101.33))*-1</f>
        <v>-101.33</v>
      </c>
      <c r="GH112" s="39">
        <f>(IF(WEEKDAY(GH$82,2)&gt;5,0,114.27))*-1</f>
        <v>-114.27</v>
      </c>
      <c r="GI112" s="39">
        <f>(IF(WEEKDAY(GI$82,2)&gt;5,0,91.19))*-1</f>
        <v>-91.19</v>
      </c>
      <c r="GJ112" s="39">
        <f>(IF(WEEKDAY(GJ$82,2)&gt;5,0,85.68))*-1</f>
        <v>0</v>
      </c>
      <c r="GK112" s="39">
        <f>(IF(WEEKDAY(GK$82,2)&gt;5,0,98.03))*-1</f>
        <v>0</v>
      </c>
      <c r="GL112" s="39">
        <f>(IF(WEEKDAY(GL$82,2)&gt;5,0,98.91))*-1</f>
        <v>-98.91</v>
      </c>
      <c r="GM112" s="39">
        <f>(IF(WEEKDAY(GM$82,2)&gt;5,0,86.82))*-1</f>
        <v>-86.82</v>
      </c>
      <c r="GN112" s="39">
        <f>(IF(WEEKDAY(GN$82,2)&gt;5,0,109.89))*-1</f>
        <v>-109.89</v>
      </c>
      <c r="GO112" s="39">
        <f>(IF(WEEKDAY(GO$82,2)&gt;5,0,87.83))*-1</f>
        <v>-87.83</v>
      </c>
      <c r="GP112" s="39">
        <f>(IF(WEEKDAY(GP$82,2)&gt;5,0,111.15))*-1</f>
        <v>-111.15</v>
      </c>
      <c r="GQ112" s="39">
        <f>(IF(WEEKDAY(GQ$82,2)&gt;5,0,114.19))*-1</f>
        <v>0</v>
      </c>
      <c r="GR112" s="39">
        <f>(IF(WEEKDAY(GR$82,2)&gt;5,0,100.05))*-1</f>
        <v>0</v>
      </c>
      <c r="GS112" s="39">
        <f>(IF(WEEKDAY(GS$82,2)&gt;5,0,106.11))*-1</f>
        <v>-106.11</v>
      </c>
      <c r="GT112" s="39">
        <f>(IF(WEEKDAY(GT$82,2)&gt;5,0,104.37))*-1</f>
        <v>-104.37</v>
      </c>
      <c r="GU112" s="39">
        <f>(IF(WEEKDAY(GU$82,2)&gt;5,0,110.63))*-1</f>
        <v>-110.63</v>
      </c>
      <c r="GV112" s="39">
        <f>(IF(WEEKDAY(GV$82,2)&gt;5,0,99.39))*-1</f>
        <v>-99.39</v>
      </c>
      <c r="GW112" s="39">
        <f>(IF(WEEKDAY(GW$82,2)&gt;5,0,90.17))*-1</f>
        <v>-90.17</v>
      </c>
      <c r="GX112" s="39">
        <f>(IF(WEEKDAY(GX$82,2)&gt;5,0,94.73))*-1</f>
        <v>0</v>
      </c>
      <c r="GY112" s="39">
        <f>(IF(WEEKDAY(GY$82,2)&gt;5,0,97.45))*-1</f>
        <v>0</v>
      </c>
      <c r="GZ112" s="39">
        <f>(IF(WEEKDAY(GZ$82,2)&gt;5,0,97.73))*-1</f>
        <v>-97.73</v>
      </c>
      <c r="HA112" s="39">
        <f>(IF(WEEKDAY(HA$82,2)&gt;5,0,113.77))*-1</f>
        <v>-113.77</v>
      </c>
      <c r="HB112" s="39">
        <f>(IF(WEEKDAY(HB$82,2)&gt;5,0,90.02))*-1</f>
        <v>-90.02</v>
      </c>
      <c r="HC112" s="39">
        <f>(IF(WEEKDAY(HC$82,2)&gt;5,0,112.79))*-1</f>
        <v>-112.79</v>
      </c>
      <c r="HD112" s="39">
        <f>(IF(WEEKDAY(HD$82,2)&gt;5,0,102))*-1</f>
        <v>-102</v>
      </c>
      <c r="HE112" s="39">
        <f>(IF(WEEKDAY(HE$82,2)&gt;5,0,98.42))*-1</f>
        <v>0</v>
      </c>
      <c r="HF112" s="39">
        <f>(IF(WEEKDAY(HF$82,2)&gt;5,0,91.33))*-1</f>
        <v>0</v>
      </c>
      <c r="HG112" s="39">
        <f>(IF(WEEKDAY(HG$82,2)&gt;5,0,110.51))*-1</f>
        <v>-110.51</v>
      </c>
      <c r="HH112" s="39">
        <f>(IF(WEEKDAY(HH$82,2)&gt;5,0,94.55))*-1</f>
        <v>-94.55</v>
      </c>
      <c r="HI112" s="39">
        <f>(IF(WEEKDAY(HI$82,2)&gt;5,0,94.65))*-1</f>
        <v>-94.65</v>
      </c>
      <c r="HJ112" s="39">
        <f>(IF(WEEKDAY(HJ$82,2)&gt;5,0,114.39))*-1</f>
        <v>-114.39</v>
      </c>
      <c r="HK112" s="39">
        <f>(IF(WEEKDAY(HK$82,2)&gt;5,0,99.97))*-1</f>
        <v>-99.97</v>
      </c>
      <c r="HL112" s="39">
        <f>(IF(WEEKDAY(HL$82,2)&gt;5,0,86.64))*-1</f>
        <v>0</v>
      </c>
      <c r="HM112" s="39">
        <f>(IF(WEEKDAY(HM$82,2)&gt;5,0,93.25))*-1</f>
        <v>0</v>
      </c>
      <c r="HN112" s="39">
        <f>(IF(WEEKDAY(HN$82,2)&gt;5,0,104.76))*-1</f>
        <v>-104.76</v>
      </c>
      <c r="HO112" s="39">
        <f>(IF(WEEKDAY(HO$82,2)&gt;5,0,110.27))*-1</f>
        <v>-110.27</v>
      </c>
      <c r="HP112" s="39">
        <f>(IF(WEEKDAY(HP$82,2)&gt;5,0,90.34))*-1</f>
        <v>-90.34</v>
      </c>
      <c r="HQ112" s="39">
        <f>(IF(WEEKDAY(HQ$82,2)&gt;5,0,90.58))*-1</f>
        <v>-90.58</v>
      </c>
      <c r="HR112" s="39">
        <f>(IF(WEEKDAY(HR$82,2)&gt;5,0,111.38))*-1</f>
        <v>-111.38</v>
      </c>
      <c r="HS112" s="39">
        <f>(IF(WEEKDAY(HS$82,2)&gt;5,0,86.68))*-1</f>
        <v>0</v>
      </c>
      <c r="HT112" s="39">
        <f>(IF(WEEKDAY(HT$82,2)&gt;5,0,102.54))*-1</f>
        <v>0</v>
      </c>
      <c r="HU112" s="39">
        <f>(IF(WEEKDAY(HU$82,2)&gt;5,0,93.41))*-1</f>
        <v>-93.41</v>
      </c>
      <c r="HV112" s="39">
        <f>(IF(WEEKDAY(HV$82,2)&gt;5,0,99.71))*-1</f>
        <v>-99.71</v>
      </c>
      <c r="HW112" s="39">
        <f>(IF(WEEKDAY(HW$82,2)&gt;5,0,110.38))*-1</f>
        <v>-110.38</v>
      </c>
      <c r="HX112" s="39">
        <f>(IF(WEEKDAY(HX$82,2)&gt;5,0,99.72))*-1</f>
        <v>-99.72</v>
      </c>
      <c r="HY112" s="39">
        <f>(IF(WEEKDAY(HY$82,2)&gt;5,0,100.52))*-1</f>
        <v>-100.52</v>
      </c>
      <c r="HZ112" s="39">
        <f>(IF(WEEKDAY(HZ$82,2)&gt;5,0,109.17))*-1</f>
        <v>0</v>
      </c>
      <c r="IA112" s="39">
        <f>(IF(WEEKDAY(IA$82,2)&gt;5,0,109.3))*-1</f>
        <v>0</v>
      </c>
      <c r="IB112" s="39">
        <f>(IF(WEEKDAY(IB$82,2)&gt;5,0,90.46))*-1</f>
        <v>-90.46</v>
      </c>
      <c r="IC112" s="39">
        <f>(IF(WEEKDAY(IC$82,2)&gt;5,0,106.15))*-1</f>
        <v>-106.15</v>
      </c>
      <c r="ID112" s="39">
        <f>(IF(WEEKDAY(ID$82,2)&gt;5,0,88.36))*-1</f>
        <v>-88.36</v>
      </c>
      <c r="IE112" s="39">
        <f>(IF(WEEKDAY(IE$82,2)&gt;5,0,109.27))*-1</f>
        <v>-109.27</v>
      </c>
      <c r="IF112" s="39">
        <f>(IF(WEEKDAY(IF$82,2)&gt;5,0,85.78))*-1</f>
        <v>-85.78</v>
      </c>
      <c r="IG112" s="39">
        <f>(IF(WEEKDAY(IG$82,2)&gt;5,0,95.59))*-1</f>
        <v>0</v>
      </c>
      <c r="IH112" s="39">
        <f>(IF(WEEKDAY(IH$82,2)&gt;5,0,92.78))*-1</f>
        <v>0</v>
      </c>
      <c r="II112" s="39">
        <f>(IF(WEEKDAY(II$82,2)&gt;5,0,91.9))*-1</f>
        <v>-91.9</v>
      </c>
      <c r="IJ112" s="39">
        <f>(IF(WEEKDAY(IJ$82,2)&gt;5,0,86.77))*-1</f>
        <v>-86.77</v>
      </c>
      <c r="IK112" s="39">
        <f>(IF(WEEKDAY(IK$82,2)&gt;5,0,108.73))*-1</f>
        <v>-108.73</v>
      </c>
      <c r="IL112" s="39">
        <f>(IF(WEEKDAY(IL$82,2)&gt;5,0,102.09))*-1</f>
        <v>-102.09</v>
      </c>
    </row>
    <row r="113" spans="1:246" x14ac:dyDescent="0.3">
      <c r="A113" t="s">
        <v>95</v>
      </c>
      <c r="B113" s="39">
        <f>(IF(WEEKDAY(B$82,2)&gt;5,0,27.71))*-1</f>
        <v>-27.71</v>
      </c>
      <c r="C113" s="39">
        <f>(IF(WEEKDAY(C$82,2)&gt;5,0,28.11))*-1</f>
        <v>0</v>
      </c>
      <c r="D113" s="39">
        <f>(IF(WEEKDAY(D$82,2)&gt;5,0,31.78))*-1</f>
        <v>0</v>
      </c>
      <c r="E113" s="39">
        <f>(IF(WEEKDAY(E$82,2)&gt;5,0,27.55))*-1</f>
        <v>-27.55</v>
      </c>
      <c r="F113" s="39">
        <f>(IF(WEEKDAY(F$82,2)&gt;5,0,26.03))*-1</f>
        <v>-26.03</v>
      </c>
      <c r="G113" s="39">
        <f>(IF(WEEKDAY(G$82,2)&gt;5,0,29.07))*-1</f>
        <v>-29.07</v>
      </c>
      <c r="H113" s="39">
        <f>(IF(WEEKDAY(H$82,2)&gt;5,0,33.06))*-1</f>
        <v>-33.06</v>
      </c>
      <c r="I113" s="39">
        <f>(IF(WEEKDAY(I$82,2)&gt;5,0,32.06))*-1</f>
        <v>-32.06</v>
      </c>
      <c r="J113" s="39">
        <f>(IF(WEEKDAY(J$82,2)&gt;5,0,30.48))*-1</f>
        <v>0</v>
      </c>
      <c r="K113" s="39">
        <f>(IF(WEEKDAY(K$82,2)&gt;5,0,34.27))*-1</f>
        <v>0</v>
      </c>
      <c r="L113" s="39">
        <f>(IF(WEEKDAY(L$82,2)&gt;5,0,25.93))*-1</f>
        <v>-25.93</v>
      </c>
      <c r="M113" s="39">
        <f>(IF(WEEKDAY(M$82,2)&gt;5,0,32.97))*-1</f>
        <v>-32.97</v>
      </c>
      <c r="N113" s="39">
        <f>(IF(WEEKDAY(N$82,2)&gt;5,0,28.78))*-1</f>
        <v>-28.78</v>
      </c>
      <c r="O113" s="39">
        <f>(IF(WEEKDAY(O$82,2)&gt;5,0,31.89))*-1</f>
        <v>-31.89</v>
      </c>
      <c r="P113" s="39">
        <f>(IF(WEEKDAY(P$82,2)&gt;5,0,28.76))*-1</f>
        <v>-28.76</v>
      </c>
      <c r="Q113" s="39">
        <f>(IF(WEEKDAY(Q$82,2)&gt;5,0,31.93))*-1</f>
        <v>0</v>
      </c>
      <c r="R113" s="39">
        <f>(IF(WEEKDAY(R$82,2)&gt;5,0,25.99))*-1</f>
        <v>0</v>
      </c>
      <c r="S113" s="39">
        <f>(IF(WEEKDAY(S$82,2)&gt;5,0,31.73))*-1</f>
        <v>-31.73</v>
      </c>
      <c r="T113" s="39">
        <f>(IF(WEEKDAY(T$82,2)&gt;5,0,33.04))*-1</f>
        <v>-33.04</v>
      </c>
      <c r="U113" s="39">
        <f>(IF(WEEKDAY(U$82,2)&gt;5,0,30.14))*-1</f>
        <v>-30.14</v>
      </c>
      <c r="V113" s="39">
        <f>(IF(WEEKDAY(V$82,2)&gt;5,0,27.91))*-1</f>
        <v>-27.91</v>
      </c>
      <c r="W113" s="39">
        <f>(IF(WEEKDAY(W$82,2)&gt;5,0,29.26))*-1</f>
        <v>-29.26</v>
      </c>
      <c r="X113" s="39">
        <f>(IF(WEEKDAY(X$82,2)&gt;5,0,32.13))*-1</f>
        <v>0</v>
      </c>
      <c r="Y113" s="39">
        <f>(IF(WEEKDAY(Y$82,2)&gt;5,0,34.03))*-1</f>
        <v>0</v>
      </c>
      <c r="Z113" s="39">
        <f>(IF(WEEKDAY(Z$82,2)&gt;5,0,29.69))*-1</f>
        <v>-29.69</v>
      </c>
      <c r="AA113" s="39">
        <f>(IF(WEEKDAY(AA$82,2)&gt;5,0,32.44))*-1</f>
        <v>-32.44</v>
      </c>
      <c r="AB113" s="39">
        <f>(IF(WEEKDAY(AB$82,2)&gt;5,0,29.4))*-1</f>
        <v>-29.4</v>
      </c>
      <c r="AC113" s="39">
        <f>(IF(WEEKDAY(AC$82,2)&gt;5,0,28.34))*-1</f>
        <v>-28.34</v>
      </c>
      <c r="AD113" s="39">
        <f>(IF(WEEKDAY(AD$82,2)&gt;5,0,32.57))*-1</f>
        <v>-32.57</v>
      </c>
      <c r="AE113" s="39">
        <f>(IF(WEEKDAY(AE$82,2)&gt;5,0,27.12))*-1</f>
        <v>0</v>
      </c>
      <c r="AF113" s="39">
        <f>(IF(WEEKDAY(AF$82,2)&gt;5,0,29.32))*-1</f>
        <v>0</v>
      </c>
      <c r="AG113" s="39">
        <f>(IF(WEEKDAY(AG$82,2)&gt;5,0,33.97))*-1</f>
        <v>-33.97</v>
      </c>
      <c r="AH113" s="39">
        <f>(IF(WEEKDAY(AH$82,2)&gt;5,0,34.44))*-1</f>
        <v>-34.44</v>
      </c>
      <c r="AI113" s="39">
        <f>(IF(WEEKDAY(AI$82,2)&gt;5,0,33.81))*-1</f>
        <v>-33.81</v>
      </c>
      <c r="AJ113" s="39">
        <f>(IF(WEEKDAY(AJ$82,2)&gt;5,0,29.83))*-1</f>
        <v>-29.83</v>
      </c>
      <c r="AK113" s="39">
        <f>(IF(WEEKDAY(AK$82,2)&gt;5,0,33.75))*-1</f>
        <v>-33.75</v>
      </c>
      <c r="AL113" s="39">
        <f>(IF(WEEKDAY(AL$82,2)&gt;5,0,31.11))*-1</f>
        <v>0</v>
      </c>
      <c r="AM113" s="39">
        <f>(IF(WEEKDAY(AM$82,2)&gt;5,0,27.05))*-1</f>
        <v>0</v>
      </c>
      <c r="AN113" s="39">
        <f>(IF(WEEKDAY(AN$82,2)&gt;5,0,32.04))*-1</f>
        <v>-32.04</v>
      </c>
      <c r="AO113" s="39">
        <f>(IF(WEEKDAY(AO$82,2)&gt;5,0,32.95))*-1</f>
        <v>-32.950000000000003</v>
      </c>
      <c r="AP113" s="39">
        <f>(IF(WEEKDAY(AP$82,2)&gt;5,0,34.25))*-1</f>
        <v>-34.25</v>
      </c>
      <c r="AQ113" s="39">
        <f>(IF(WEEKDAY(AQ$82,2)&gt;5,0,26.47))*-1</f>
        <v>-26.47</v>
      </c>
      <c r="AR113" s="39">
        <f>(IF(WEEKDAY(AR$82,2)&gt;5,0,27.72))*-1</f>
        <v>-27.72</v>
      </c>
      <c r="AS113" s="39">
        <f>(IF(WEEKDAY(AS$82,2)&gt;5,0,28.04))*-1</f>
        <v>0</v>
      </c>
      <c r="AT113" s="39">
        <f>(IF(WEEKDAY(AT$82,2)&gt;5,0,33.66))*-1</f>
        <v>0</v>
      </c>
      <c r="AU113" s="39">
        <f>(IF(WEEKDAY(AU$82,2)&gt;5,0,32.49))*-1</f>
        <v>-32.49</v>
      </c>
      <c r="AV113" s="39">
        <f>(IF(WEEKDAY(AV$82,2)&gt;5,0,26.13))*-1</f>
        <v>-26.13</v>
      </c>
      <c r="AW113" s="39">
        <f>(IF(WEEKDAY(AW$82,2)&gt;5,0,25.68))*-1</f>
        <v>-25.68</v>
      </c>
      <c r="AX113" s="39">
        <f>(IF(WEEKDAY(AX$82,2)&gt;5,0,25.76))*-1</f>
        <v>-25.76</v>
      </c>
      <c r="AY113" s="39">
        <f>(IF(WEEKDAY(AY$82,2)&gt;5,0,25.8))*-1</f>
        <v>-25.8</v>
      </c>
      <c r="AZ113" s="39">
        <f>(IF(WEEKDAY(AZ$82,2)&gt;5,0,31.46))*-1</f>
        <v>0</v>
      </c>
      <c r="BA113" s="39">
        <f>(IF(WEEKDAY(BA$82,2)&gt;5,0,29.77))*-1</f>
        <v>0</v>
      </c>
      <c r="BB113" s="39">
        <f>(IF(WEEKDAY(BB$82,2)&gt;5,0,29.2))*-1</f>
        <v>-29.2</v>
      </c>
      <c r="BC113" s="39">
        <f>(IF(WEEKDAY(BC$82,2)&gt;5,0,27.06))*-1</f>
        <v>-27.06</v>
      </c>
      <c r="BD113" s="39">
        <f>(IF(WEEKDAY(BD$82,2)&gt;5,0,26.06))*-1</f>
        <v>-26.06</v>
      </c>
      <c r="BE113" s="39">
        <f>(IF(WEEKDAY(BE$82,2)&gt;5,0,29.16))*-1</f>
        <v>-29.16</v>
      </c>
      <c r="BF113" s="39">
        <f>(IF(WEEKDAY(BF$82,2)&gt;5,0,33.9))*-1</f>
        <v>-33.9</v>
      </c>
      <c r="BG113" s="39">
        <f>(IF(WEEKDAY(BG$82,2)&gt;5,0,29.75))*-1</f>
        <v>0</v>
      </c>
      <c r="BH113" s="39">
        <f>(IF(WEEKDAY(BH$82,2)&gt;5,0,27.63))*-1</f>
        <v>0</v>
      </c>
      <c r="BI113" s="39">
        <f>(IF(WEEKDAY(BI$82,2)&gt;5,0,26.03))*-1</f>
        <v>-26.03</v>
      </c>
      <c r="BJ113" s="39">
        <f>(IF(WEEKDAY(BJ$82,2)&gt;5,0,26.22))*-1</f>
        <v>-26.22</v>
      </c>
      <c r="BK113" s="39">
        <f>(IF(WEEKDAY(BK$82,2)&gt;5,0,30.75))*-1</f>
        <v>-30.75</v>
      </c>
      <c r="BL113" s="39">
        <f>(IF(WEEKDAY(BL$82,2)&gt;5,0,28.34))*-1</f>
        <v>-28.34</v>
      </c>
      <c r="BM113" s="39">
        <f>(IF(WEEKDAY(BM$82,2)&gt;5,0,29.79))*-1</f>
        <v>-29.79</v>
      </c>
      <c r="BN113" s="39">
        <f>(IF(WEEKDAY(BN$82,2)&gt;5,0,28.4))*-1</f>
        <v>0</v>
      </c>
      <c r="BO113" s="39">
        <f>(IF(WEEKDAY(BO$82,2)&gt;5,0,33.69))*-1</f>
        <v>0</v>
      </c>
      <c r="BP113" s="39">
        <f>(IF(WEEKDAY(BP$82,2)&gt;5,0,30.33))*-1</f>
        <v>-30.33</v>
      </c>
      <c r="BQ113" s="39">
        <f>(IF(WEEKDAY(BQ$82,2)&gt;5,0,29.08))*-1</f>
        <v>-29.08</v>
      </c>
      <c r="BR113" s="39">
        <f>(IF(WEEKDAY(BR$82,2)&gt;5,0,29.42))*-1</f>
        <v>-29.42</v>
      </c>
      <c r="BS113" s="39">
        <f>(IF(WEEKDAY(BS$82,2)&gt;5,0,33.14))*-1</f>
        <v>-33.14</v>
      </c>
      <c r="BT113" s="39">
        <f>(IF(WEEKDAY(BT$82,2)&gt;5,0,32.72))*-1</f>
        <v>-32.72</v>
      </c>
      <c r="BU113" s="39">
        <f>(IF(WEEKDAY(BU$82,2)&gt;5,0,33.42))*-1</f>
        <v>0</v>
      </c>
      <c r="BV113" s="39">
        <f>(IF(WEEKDAY(BV$82,2)&gt;5,0,31.94))*-1</f>
        <v>0</v>
      </c>
      <c r="BW113" s="39">
        <f>(IF(WEEKDAY(BW$82,2)&gt;5,0,29.16))*-1</f>
        <v>-29.16</v>
      </c>
      <c r="BX113" s="39">
        <f>(IF(WEEKDAY(BX$82,2)&gt;5,0,27.03))*-1</f>
        <v>-27.03</v>
      </c>
      <c r="BY113" s="39">
        <f>(IF(WEEKDAY(BY$82,2)&gt;5,0,31.48))*-1</f>
        <v>-31.48</v>
      </c>
      <c r="BZ113" s="39">
        <f>(IF(WEEKDAY(BZ$82,2)&gt;5,0,34.06))*-1</f>
        <v>-34.06</v>
      </c>
      <c r="CA113" s="39">
        <f>(IF(WEEKDAY(CA$82,2)&gt;5,0,27.89))*-1</f>
        <v>-27.89</v>
      </c>
      <c r="CB113" s="39">
        <f>(IF(WEEKDAY(CB$82,2)&gt;5,0,30.12))*-1</f>
        <v>0</v>
      </c>
      <c r="CC113" s="39">
        <f>(IF(WEEKDAY(CC$82,2)&gt;5,0,32.35))*-1</f>
        <v>0</v>
      </c>
      <c r="CD113" s="39">
        <f>(IF(WEEKDAY(CD$82,2)&gt;5,0,29.29))*-1</f>
        <v>-29.29</v>
      </c>
      <c r="CE113" s="39">
        <f>(IF(WEEKDAY(CE$82,2)&gt;5,0,32.28))*-1</f>
        <v>-32.28</v>
      </c>
      <c r="CF113" s="39">
        <f>(IF(WEEKDAY(CF$82,2)&gt;5,0,27.23))*-1</f>
        <v>-27.23</v>
      </c>
      <c r="CG113" s="39">
        <f>(IF(WEEKDAY(CG$82,2)&gt;5,0,32.59))*-1</f>
        <v>-32.590000000000003</v>
      </c>
      <c r="CH113" s="39">
        <f>(IF(WEEKDAY(CH$82,2)&gt;5,0,26.35))*-1</f>
        <v>-26.35</v>
      </c>
      <c r="CI113" s="39">
        <f>(IF(WEEKDAY(CI$82,2)&gt;5,0,28.61))*-1</f>
        <v>0</v>
      </c>
      <c r="CJ113" s="39">
        <f>(IF(WEEKDAY(CJ$82,2)&gt;5,0,27.43))*-1</f>
        <v>0</v>
      </c>
      <c r="CK113" s="39">
        <f>(IF(WEEKDAY(CK$82,2)&gt;5,0,32.06))*-1</f>
        <v>-32.06</v>
      </c>
      <c r="CL113" s="39">
        <f>(IF(WEEKDAY(CL$82,2)&gt;5,0,25.75))*-1</f>
        <v>-25.75</v>
      </c>
      <c r="CM113" s="39">
        <f>(IF(WEEKDAY(CM$82,2)&gt;5,0,31.37))*-1</f>
        <v>-31.37</v>
      </c>
      <c r="CN113" s="39">
        <f>(IF(WEEKDAY(CN$82,2)&gt;5,0,27.64))*-1</f>
        <v>-27.64</v>
      </c>
      <c r="CO113" s="39">
        <f>(IF(WEEKDAY(CO$82,2)&gt;5,0,30.14))*-1</f>
        <v>-30.14</v>
      </c>
      <c r="CP113" s="39">
        <f>(IF(WEEKDAY(CP$82,2)&gt;5,0,33.29))*-1</f>
        <v>0</v>
      </c>
      <c r="CQ113" s="39">
        <f>(IF(WEEKDAY(CQ$82,2)&gt;5,0,25.71))*-1</f>
        <v>0</v>
      </c>
      <c r="CR113" s="39">
        <f>(IF(WEEKDAY(CR$82,2)&gt;5,0,29.22))*-1</f>
        <v>-29.22</v>
      </c>
      <c r="CS113" s="39">
        <f>(IF(WEEKDAY(CS$82,2)&gt;5,0,30.97))*-1</f>
        <v>-30.97</v>
      </c>
      <c r="CT113" s="39">
        <f>(IF(WEEKDAY(CT$82,2)&gt;5,0,32.04))*-1</f>
        <v>-32.04</v>
      </c>
      <c r="CU113" s="39">
        <f>(IF(WEEKDAY(CU$82,2)&gt;5,0,30.33))*-1</f>
        <v>-30.33</v>
      </c>
      <c r="CV113" s="39">
        <f>(IF(WEEKDAY(CV$82,2)&gt;5,0,27.36))*-1</f>
        <v>-27.36</v>
      </c>
      <c r="CW113" s="39">
        <f>(IF(WEEKDAY(CW$82,2)&gt;5,0,26.94))*-1</f>
        <v>0</v>
      </c>
      <c r="CX113" s="39">
        <f>(IF(WEEKDAY(CX$82,2)&gt;5,0,26.22))*-1</f>
        <v>0</v>
      </c>
      <c r="CY113" s="39">
        <f>(IF(WEEKDAY(CY$82,2)&gt;5,0,27.19))*-1</f>
        <v>-27.19</v>
      </c>
      <c r="CZ113" s="39">
        <f>(IF(WEEKDAY(CZ$82,2)&gt;5,0,30.39))*-1</f>
        <v>-30.39</v>
      </c>
      <c r="DA113" s="39">
        <f>(IF(WEEKDAY(DA$82,2)&gt;5,0,28.65))*-1</f>
        <v>-28.65</v>
      </c>
      <c r="DB113" s="39">
        <f>(IF(WEEKDAY(DB$82,2)&gt;5,0,25.52))*-1</f>
        <v>-25.52</v>
      </c>
      <c r="DC113" s="39">
        <f>(IF(WEEKDAY(DC$82,2)&gt;5,0,28.75))*-1</f>
        <v>-28.75</v>
      </c>
      <c r="DD113" s="39">
        <f>(IF(WEEKDAY(DD$82,2)&gt;5,0,26.73))*-1</f>
        <v>0</v>
      </c>
      <c r="DE113" s="39">
        <f>(IF(WEEKDAY(DE$82,2)&gt;5,0,32.31))*-1</f>
        <v>0</v>
      </c>
      <c r="DF113" s="39">
        <f>(IF(WEEKDAY(DF$82,2)&gt;5,0,29.99))*-1</f>
        <v>-29.99</v>
      </c>
      <c r="DG113" s="39">
        <f>(IF(WEEKDAY(DG$82,2)&gt;5,0,30.58))*-1</f>
        <v>-30.58</v>
      </c>
      <c r="DH113" s="39">
        <f>(IF(WEEKDAY(DH$82,2)&gt;5,0,28.13))*-1</f>
        <v>-28.13</v>
      </c>
      <c r="DI113" s="39">
        <f>(IF(WEEKDAY(DI$82,2)&gt;5,0,31.6))*-1</f>
        <v>-31.6</v>
      </c>
      <c r="DJ113" s="39">
        <f>(IF(WEEKDAY(DJ$82,2)&gt;5,0,29.08))*-1</f>
        <v>-29.08</v>
      </c>
      <c r="DK113" s="39">
        <f>(IF(WEEKDAY(DK$82,2)&gt;5,0,26.07))*-1</f>
        <v>0</v>
      </c>
      <c r="DL113" s="39">
        <f>(IF(WEEKDAY(DL$82,2)&gt;5,0,28.68))*-1</f>
        <v>0</v>
      </c>
      <c r="DM113" s="39">
        <f>(IF(WEEKDAY(DM$82,2)&gt;5,0,26.19))*-1</f>
        <v>-26.19</v>
      </c>
      <c r="DN113" s="39">
        <f>(IF(WEEKDAY(DN$82,2)&gt;5,0,30.61))*-1</f>
        <v>-30.61</v>
      </c>
      <c r="DO113" s="39">
        <f>(IF(WEEKDAY(DO$82,2)&gt;5,0,29.11))*-1</f>
        <v>-29.11</v>
      </c>
      <c r="DP113" s="39">
        <f>(IF(WEEKDAY(DP$82,2)&gt;5,0,28.58))*-1</f>
        <v>-28.58</v>
      </c>
      <c r="DQ113" s="39">
        <f>(IF(WEEKDAY(DQ$82,2)&gt;5,0,26.54))*-1</f>
        <v>-26.54</v>
      </c>
      <c r="DR113" s="39">
        <f>(IF(WEEKDAY(DR$82,2)&gt;5,0,27.3))*-1</f>
        <v>0</v>
      </c>
      <c r="DS113" s="39">
        <f>(IF(WEEKDAY(DS$82,2)&gt;5,0,29.36))*-1</f>
        <v>0</v>
      </c>
      <c r="DT113" s="39">
        <f>(IF(WEEKDAY(DT$82,2)&gt;5,0,31.39))*-1</f>
        <v>-31.39</v>
      </c>
      <c r="DU113" s="39">
        <f>(IF(WEEKDAY(DU$82,2)&gt;5,0,26.79))*-1</f>
        <v>-26.79</v>
      </c>
      <c r="DV113" s="39">
        <f>(IF(WEEKDAY(DV$82,2)&gt;5,0,27.56))*-1</f>
        <v>-27.56</v>
      </c>
      <c r="DW113" s="39">
        <f>(IF(WEEKDAY(DW$82,2)&gt;5,0,31.48))*-1</f>
        <v>-31.48</v>
      </c>
      <c r="DX113" s="39">
        <f>(IF(WEEKDAY(DX$82,2)&gt;5,0,32.72))*-1</f>
        <v>-32.72</v>
      </c>
      <c r="DY113" s="39">
        <f>(IF(WEEKDAY(DY$82,2)&gt;5,0,26.53))*-1</f>
        <v>0</v>
      </c>
      <c r="DZ113" s="39">
        <f>(IF(WEEKDAY(DZ$82,2)&gt;5,0,28.94))*-1</f>
        <v>0</v>
      </c>
      <c r="EA113" s="39">
        <f>(IF(WEEKDAY(EA$82,2)&gt;5,0,28.69))*-1</f>
        <v>-28.69</v>
      </c>
      <c r="EB113" s="39">
        <f>(IF(WEEKDAY(EB$82,2)&gt;5,0,27.48))*-1</f>
        <v>-27.48</v>
      </c>
      <c r="EC113" s="39">
        <f>(IF(WEEKDAY(EC$82,2)&gt;5,0,31.14))*-1</f>
        <v>-31.14</v>
      </c>
      <c r="ED113" s="39">
        <f>(IF(WEEKDAY(ED$82,2)&gt;5,0,32.04))*-1</f>
        <v>-32.04</v>
      </c>
      <c r="EE113" s="39">
        <f>(IF(WEEKDAY(EE$82,2)&gt;5,0,34.23))*-1</f>
        <v>-34.229999999999997</v>
      </c>
      <c r="EF113" s="39">
        <f>(IF(WEEKDAY(EF$82,2)&gt;5,0,26.81))*-1</f>
        <v>0</v>
      </c>
      <c r="EG113" s="39">
        <f>(IF(WEEKDAY(EG$82,2)&gt;5,0,33.13))*-1</f>
        <v>0</v>
      </c>
      <c r="EH113" s="39">
        <f>(IF(WEEKDAY(EH$82,2)&gt;5,0,34.31))*-1</f>
        <v>-34.31</v>
      </c>
      <c r="EI113" s="39">
        <f>(IF(WEEKDAY(EI$82,2)&gt;5,0,30.55))*-1</f>
        <v>-30.55</v>
      </c>
      <c r="EJ113" s="39">
        <f>(IF(WEEKDAY(EJ$82,2)&gt;5,0,29.22))*-1</f>
        <v>-29.22</v>
      </c>
      <c r="EK113" s="39">
        <f>(IF(WEEKDAY(EK$82,2)&gt;5,0,27.56))*-1</f>
        <v>-27.56</v>
      </c>
      <c r="EL113" s="39">
        <f>(IF(WEEKDAY(EL$82,2)&gt;5,0,32.69))*-1</f>
        <v>-32.69</v>
      </c>
      <c r="EM113" s="39">
        <f>(IF(WEEKDAY(EM$82,2)&gt;5,0,30.99))*-1</f>
        <v>0</v>
      </c>
      <c r="EN113" s="39">
        <f>(IF(WEEKDAY(EN$82,2)&gt;5,0,29.48))*-1</f>
        <v>0</v>
      </c>
      <c r="EO113" s="39">
        <f>(IF(WEEKDAY(EO$82,2)&gt;5,0,30.55))*-1</f>
        <v>-30.55</v>
      </c>
      <c r="EP113" s="39">
        <f>(IF(WEEKDAY(EP$82,2)&gt;5,0,33.38))*-1</f>
        <v>-33.380000000000003</v>
      </c>
      <c r="EQ113" s="39">
        <f>(IF(WEEKDAY(EQ$82,2)&gt;5,0,25.6))*-1</f>
        <v>-25.6</v>
      </c>
      <c r="ER113" s="39">
        <f>(IF(WEEKDAY(ER$82,2)&gt;5,0,31.14))*-1</f>
        <v>-31.14</v>
      </c>
      <c r="ES113" s="39">
        <f>(IF(WEEKDAY(ES$82,2)&gt;5,0,28.89))*-1</f>
        <v>-28.89</v>
      </c>
      <c r="ET113" s="39">
        <f>(IF(WEEKDAY(ET$82,2)&gt;5,0,33.37))*-1</f>
        <v>0</v>
      </c>
      <c r="EU113" s="39">
        <f>(IF(WEEKDAY(EU$82,2)&gt;5,0,29.31))*-1</f>
        <v>0</v>
      </c>
      <c r="EV113" s="39">
        <f>(IF(WEEKDAY(EV$82,2)&gt;5,0,32.77))*-1</f>
        <v>-32.770000000000003</v>
      </c>
      <c r="EW113" s="39">
        <f>(IF(WEEKDAY(EW$82,2)&gt;5,0,29.04))*-1</f>
        <v>-29.04</v>
      </c>
      <c r="EX113" s="39">
        <f>(IF(WEEKDAY(EX$82,2)&gt;5,0,31.85))*-1</f>
        <v>-31.85</v>
      </c>
      <c r="EY113" s="39">
        <f>(IF(WEEKDAY(EY$82,2)&gt;5,0,28.2))*-1</f>
        <v>-28.2</v>
      </c>
      <c r="EZ113" s="39">
        <f>(IF(WEEKDAY(EZ$82,2)&gt;5,0,33.86))*-1</f>
        <v>-33.86</v>
      </c>
      <c r="FA113" s="39">
        <f>(IF(WEEKDAY(FA$82,2)&gt;5,0,33.83))*-1</f>
        <v>0</v>
      </c>
      <c r="FB113" s="39">
        <f>(IF(WEEKDAY(FB$82,2)&gt;5,0,32.52))*-1</f>
        <v>0</v>
      </c>
      <c r="FC113" s="39">
        <f>(IF(WEEKDAY(FC$82,2)&gt;5,0,34.28))*-1</f>
        <v>-34.28</v>
      </c>
      <c r="FD113" s="39">
        <f>(IF(WEEKDAY(FD$82,2)&gt;5,0,34.23))*-1</f>
        <v>-34.229999999999997</v>
      </c>
      <c r="FE113" s="39">
        <f>(IF(WEEKDAY(FE$82,2)&gt;5,0,33.13))*-1</f>
        <v>-33.130000000000003</v>
      </c>
      <c r="FF113" s="39">
        <f>(IF(WEEKDAY(FF$82,2)&gt;5,0,31.37))*-1</f>
        <v>-31.37</v>
      </c>
      <c r="FG113" s="39">
        <f>(IF(WEEKDAY(FG$82,2)&gt;5,0,30.04))*-1</f>
        <v>-30.04</v>
      </c>
      <c r="FH113" s="39">
        <f>(IF(WEEKDAY(FH$82,2)&gt;5,0,29.33))*-1</f>
        <v>0</v>
      </c>
      <c r="FI113" s="39">
        <f>(IF(WEEKDAY(FI$82,2)&gt;5,0,28.19))*-1</f>
        <v>0</v>
      </c>
      <c r="FJ113" s="39">
        <f>(IF(WEEKDAY(FJ$82,2)&gt;5,0,33.5))*-1</f>
        <v>-33.5</v>
      </c>
      <c r="FK113" s="39">
        <f>(IF(WEEKDAY(FK$82,2)&gt;5,0,25.63))*-1</f>
        <v>-25.63</v>
      </c>
      <c r="FL113" s="39">
        <f>(IF(WEEKDAY(FL$82,2)&gt;5,0,32.63))*-1</f>
        <v>-32.630000000000003</v>
      </c>
      <c r="FM113" s="39">
        <f>(IF(WEEKDAY(FM$82,2)&gt;5,0,26.97))*-1</f>
        <v>-26.97</v>
      </c>
      <c r="FN113" s="39">
        <f>(IF(WEEKDAY(FN$82,2)&gt;5,0,26.54))*-1</f>
        <v>-26.54</v>
      </c>
      <c r="FO113" s="39">
        <f>(IF(WEEKDAY(FO$82,2)&gt;5,0,33.57))*-1</f>
        <v>0</v>
      </c>
      <c r="FP113" s="39">
        <f>(IF(WEEKDAY(FP$82,2)&gt;5,0,27.8))*-1</f>
        <v>0</v>
      </c>
      <c r="FQ113" s="39">
        <f>(IF(WEEKDAY(FQ$82,2)&gt;5,0,31.67))*-1</f>
        <v>-31.67</v>
      </c>
      <c r="FR113" s="39">
        <f>(IF(WEEKDAY(FR$82,2)&gt;5,0,26.44))*-1</f>
        <v>-26.44</v>
      </c>
      <c r="FS113" s="39">
        <f>(IF(WEEKDAY(FS$82,2)&gt;5,0,33.82))*-1</f>
        <v>-33.82</v>
      </c>
      <c r="FT113" s="39">
        <f>(IF(WEEKDAY(FT$82,2)&gt;5,0,30.98))*-1</f>
        <v>-30.98</v>
      </c>
      <c r="FU113" s="39">
        <f>(IF(WEEKDAY(FU$82,2)&gt;5,0,29.56))*-1</f>
        <v>-29.56</v>
      </c>
      <c r="FV113" s="39">
        <f>(IF(WEEKDAY(FV$82,2)&gt;5,0,34.01))*-1</f>
        <v>0</v>
      </c>
      <c r="FW113" s="39">
        <f>(IF(WEEKDAY(FW$82,2)&gt;5,0,33.49))*-1</f>
        <v>0</v>
      </c>
      <c r="FX113" s="39">
        <f>(IF(WEEKDAY(FX$82,2)&gt;5,0,31.89))*-1</f>
        <v>-31.89</v>
      </c>
      <c r="FY113" s="39">
        <f>(IF(WEEKDAY(FY$82,2)&gt;5,0,28.32))*-1</f>
        <v>-28.32</v>
      </c>
      <c r="FZ113" s="39">
        <f>(IF(WEEKDAY(FZ$82,2)&gt;5,0,28.7))*-1</f>
        <v>-28.7</v>
      </c>
      <c r="GA113" s="39">
        <f>(IF(WEEKDAY(GA$82,2)&gt;5,0,29.99))*-1</f>
        <v>-29.99</v>
      </c>
      <c r="GB113" s="39">
        <f>(IF(WEEKDAY(GB$82,2)&gt;5,0,25.71))*-1</f>
        <v>-25.71</v>
      </c>
      <c r="GC113" s="39">
        <f>(IF(WEEKDAY(GC$82,2)&gt;5,0,29.61))*-1</f>
        <v>0</v>
      </c>
      <c r="GD113" s="39">
        <f>(IF(WEEKDAY(GD$82,2)&gt;5,0,26.92))*-1</f>
        <v>0</v>
      </c>
      <c r="GE113" s="39">
        <f>(IF(WEEKDAY(GE$82,2)&gt;5,0,31.71))*-1</f>
        <v>-31.71</v>
      </c>
      <c r="GF113" s="39">
        <f>(IF(WEEKDAY(GF$82,2)&gt;5,0,34.31))*-1</f>
        <v>-34.31</v>
      </c>
      <c r="GG113" s="39">
        <f>(IF(WEEKDAY(GG$82,2)&gt;5,0,29.74))*-1</f>
        <v>-29.74</v>
      </c>
      <c r="GH113" s="39">
        <f>(IF(WEEKDAY(GH$82,2)&gt;5,0,29.12))*-1</f>
        <v>-29.12</v>
      </c>
      <c r="GI113" s="39">
        <f>(IF(WEEKDAY(GI$82,2)&gt;5,0,33.75))*-1</f>
        <v>-33.75</v>
      </c>
      <c r="GJ113" s="39">
        <f>(IF(WEEKDAY(GJ$82,2)&gt;5,0,28.46))*-1</f>
        <v>0</v>
      </c>
      <c r="GK113" s="39">
        <f>(IF(WEEKDAY(GK$82,2)&gt;5,0,33.45))*-1</f>
        <v>0</v>
      </c>
      <c r="GL113" s="39">
        <f>(IF(WEEKDAY(GL$82,2)&gt;5,0,27.34))*-1</f>
        <v>-27.34</v>
      </c>
      <c r="GM113" s="39">
        <f>(IF(WEEKDAY(GM$82,2)&gt;5,0,27.69))*-1</f>
        <v>-27.69</v>
      </c>
      <c r="GN113" s="39">
        <f>(IF(WEEKDAY(GN$82,2)&gt;5,0,26.07))*-1</f>
        <v>-26.07</v>
      </c>
      <c r="GO113" s="39">
        <f>(IF(WEEKDAY(GO$82,2)&gt;5,0,31.64))*-1</f>
        <v>-31.64</v>
      </c>
      <c r="GP113" s="39">
        <f>(IF(WEEKDAY(GP$82,2)&gt;5,0,26.92))*-1</f>
        <v>-26.92</v>
      </c>
      <c r="GQ113" s="39">
        <f>(IF(WEEKDAY(GQ$82,2)&gt;5,0,30.27))*-1</f>
        <v>0</v>
      </c>
      <c r="GR113" s="39">
        <f>(IF(WEEKDAY(GR$82,2)&gt;5,0,29.77))*-1</f>
        <v>0</v>
      </c>
      <c r="GS113" s="39">
        <f>(IF(WEEKDAY(GS$82,2)&gt;5,0,30.42))*-1</f>
        <v>-30.42</v>
      </c>
      <c r="GT113" s="39">
        <f>(IF(WEEKDAY(GT$82,2)&gt;5,0,26.53))*-1</f>
        <v>-26.53</v>
      </c>
      <c r="GU113" s="39">
        <f>(IF(WEEKDAY(GU$82,2)&gt;5,0,30.22))*-1</f>
        <v>-30.22</v>
      </c>
      <c r="GV113" s="39">
        <f>(IF(WEEKDAY(GV$82,2)&gt;5,0,28.35))*-1</f>
        <v>-28.35</v>
      </c>
      <c r="GW113" s="39">
        <f>(IF(WEEKDAY(GW$82,2)&gt;5,0,30.69))*-1</f>
        <v>-30.69</v>
      </c>
      <c r="GX113" s="39">
        <f>(IF(WEEKDAY(GX$82,2)&gt;5,0,29.06))*-1</f>
        <v>0</v>
      </c>
      <c r="GY113" s="39">
        <f>(IF(WEEKDAY(GY$82,2)&gt;5,0,26.55))*-1</f>
        <v>0</v>
      </c>
      <c r="GZ113" s="39">
        <f>(IF(WEEKDAY(GZ$82,2)&gt;5,0,34.49))*-1</f>
        <v>-34.49</v>
      </c>
      <c r="HA113" s="39">
        <f>(IF(WEEKDAY(HA$82,2)&gt;5,0,33.43))*-1</f>
        <v>-33.43</v>
      </c>
      <c r="HB113" s="39">
        <f>(IF(WEEKDAY(HB$82,2)&gt;5,0,27.82))*-1</f>
        <v>-27.82</v>
      </c>
      <c r="HC113" s="39">
        <f>(IF(WEEKDAY(HC$82,2)&gt;5,0,26.81))*-1</f>
        <v>-26.81</v>
      </c>
      <c r="HD113" s="39">
        <f>(IF(WEEKDAY(HD$82,2)&gt;5,0,32.09))*-1</f>
        <v>-32.090000000000003</v>
      </c>
      <c r="HE113" s="39">
        <f>(IF(WEEKDAY(HE$82,2)&gt;5,0,26.54))*-1</f>
        <v>0</v>
      </c>
      <c r="HF113" s="39">
        <f>(IF(WEEKDAY(HF$82,2)&gt;5,0,30.7))*-1</f>
        <v>0</v>
      </c>
      <c r="HG113" s="39">
        <f>(IF(WEEKDAY(HG$82,2)&gt;5,0,33.1))*-1</f>
        <v>-33.1</v>
      </c>
      <c r="HH113" s="39">
        <f>(IF(WEEKDAY(HH$82,2)&gt;5,0,28.23))*-1</f>
        <v>-28.23</v>
      </c>
      <c r="HI113" s="39">
        <f>(IF(WEEKDAY(HI$82,2)&gt;5,0,33.11))*-1</f>
        <v>-33.11</v>
      </c>
      <c r="HJ113" s="39">
        <f>(IF(WEEKDAY(HJ$82,2)&gt;5,0,29.66))*-1</f>
        <v>-29.66</v>
      </c>
      <c r="HK113" s="39">
        <f>(IF(WEEKDAY(HK$82,2)&gt;5,0,29.58))*-1</f>
        <v>-29.58</v>
      </c>
      <c r="HL113" s="39">
        <f>(IF(WEEKDAY(HL$82,2)&gt;5,0,25.92))*-1</f>
        <v>0</v>
      </c>
      <c r="HM113" s="39">
        <f>(IF(WEEKDAY(HM$82,2)&gt;5,0,28.7))*-1</f>
        <v>0</v>
      </c>
      <c r="HN113" s="39">
        <f>(IF(WEEKDAY(HN$82,2)&gt;5,0,34.06))*-1</f>
        <v>-34.06</v>
      </c>
      <c r="HO113" s="39">
        <f>(IF(WEEKDAY(HO$82,2)&gt;5,0,31.02))*-1</f>
        <v>-31.02</v>
      </c>
      <c r="HP113" s="39">
        <f>(IF(WEEKDAY(HP$82,2)&gt;5,0,28.8))*-1</f>
        <v>-28.8</v>
      </c>
      <c r="HQ113" s="39">
        <f>(IF(WEEKDAY(HQ$82,2)&gt;5,0,27.17))*-1</f>
        <v>-27.17</v>
      </c>
      <c r="HR113" s="39">
        <f>(IF(WEEKDAY(HR$82,2)&gt;5,0,27.48))*-1</f>
        <v>-27.48</v>
      </c>
      <c r="HS113" s="39">
        <f>(IF(WEEKDAY(HS$82,2)&gt;5,0,33.56))*-1</f>
        <v>0</v>
      </c>
      <c r="HT113" s="39">
        <f>(IF(WEEKDAY(HT$82,2)&gt;5,0,32.42))*-1</f>
        <v>0</v>
      </c>
      <c r="HU113" s="39">
        <f>(IF(WEEKDAY(HU$82,2)&gt;5,0,29.98))*-1</f>
        <v>-29.98</v>
      </c>
      <c r="HV113" s="39">
        <f>(IF(WEEKDAY(HV$82,2)&gt;5,0,25.5))*-1</f>
        <v>-25.5</v>
      </c>
      <c r="HW113" s="39">
        <f>(IF(WEEKDAY(HW$82,2)&gt;5,0,32.74))*-1</f>
        <v>-32.74</v>
      </c>
      <c r="HX113" s="39">
        <f>(IF(WEEKDAY(HX$82,2)&gt;5,0,33.85))*-1</f>
        <v>-33.85</v>
      </c>
      <c r="HY113" s="39">
        <f>(IF(WEEKDAY(HY$82,2)&gt;5,0,25.86))*-1</f>
        <v>-25.86</v>
      </c>
      <c r="HZ113" s="39">
        <f>(IF(WEEKDAY(HZ$82,2)&gt;5,0,30.49))*-1</f>
        <v>0</v>
      </c>
      <c r="IA113" s="39">
        <f>(IF(WEEKDAY(IA$82,2)&gt;5,0,33.27))*-1</f>
        <v>0</v>
      </c>
      <c r="IB113" s="39">
        <f>(IF(WEEKDAY(IB$82,2)&gt;5,0,33.93))*-1</f>
        <v>-33.93</v>
      </c>
      <c r="IC113" s="39">
        <f>(IF(WEEKDAY(IC$82,2)&gt;5,0,31.48))*-1</f>
        <v>-31.48</v>
      </c>
      <c r="ID113" s="39">
        <f>(IF(WEEKDAY(ID$82,2)&gt;5,0,34.12))*-1</f>
        <v>-34.119999999999997</v>
      </c>
      <c r="IE113" s="39">
        <f>(IF(WEEKDAY(IE$82,2)&gt;5,0,29.1))*-1</f>
        <v>-29.1</v>
      </c>
      <c r="IF113" s="39">
        <f>(IF(WEEKDAY(IF$82,2)&gt;5,0,27.11))*-1</f>
        <v>-27.11</v>
      </c>
      <c r="IG113" s="39">
        <f>(IF(WEEKDAY(IG$82,2)&gt;5,0,28.78))*-1</f>
        <v>0</v>
      </c>
      <c r="IH113" s="39">
        <f>(IF(WEEKDAY(IH$82,2)&gt;5,0,31.03))*-1</f>
        <v>0</v>
      </c>
      <c r="II113" s="39">
        <f>(IF(WEEKDAY(II$82,2)&gt;5,0,26.08))*-1</f>
        <v>-26.08</v>
      </c>
      <c r="IJ113" s="39">
        <f>(IF(WEEKDAY(IJ$82,2)&gt;5,0,27.95))*-1</f>
        <v>-27.95</v>
      </c>
      <c r="IK113" s="39">
        <f>(IF(WEEKDAY(IK$82,2)&gt;5,0,34.02))*-1</f>
        <v>-34.020000000000003</v>
      </c>
      <c r="IL113" s="39">
        <f>(IF(WEEKDAY(IL$82,2)&gt;5,0,27.14))*-1</f>
        <v>-27.14</v>
      </c>
    </row>
    <row r="114" spans="1:246" x14ac:dyDescent="0.3">
      <c r="A114" t="s">
        <v>96</v>
      </c>
      <c r="B114" s="39">
        <f>(IF(WEEKDAY(B$82,2)&gt;5,0,17.47))*-1</f>
        <v>-17.47</v>
      </c>
      <c r="C114" s="39">
        <f>(IF(WEEKDAY(C$82,2)&gt;5,0,20.92))*-1</f>
        <v>0</v>
      </c>
      <c r="D114" s="39">
        <f>(IF(WEEKDAY(D$82,2)&gt;5,0,20.19))*-1</f>
        <v>0</v>
      </c>
      <c r="E114" s="39">
        <f>(IF(WEEKDAY(E$82,2)&gt;5,0,19.79))*-1</f>
        <v>-19.79</v>
      </c>
      <c r="F114" s="39">
        <f>(IF(WEEKDAY(F$82,2)&gt;5,0,22.79))*-1</f>
        <v>-22.79</v>
      </c>
      <c r="G114" s="39">
        <f>(IF(WEEKDAY(G$82,2)&gt;5,0,17.46))*-1</f>
        <v>-17.46</v>
      </c>
      <c r="H114" s="39">
        <f>(IF(WEEKDAY(H$82,2)&gt;5,0,21.42))*-1</f>
        <v>-21.42</v>
      </c>
      <c r="I114" s="39">
        <f>(IF(WEEKDAY(I$82,2)&gt;5,0,17.57))*-1</f>
        <v>-17.57</v>
      </c>
      <c r="J114" s="39">
        <f>(IF(WEEKDAY(J$82,2)&gt;5,0,22.42))*-1</f>
        <v>0</v>
      </c>
      <c r="K114" s="39">
        <f>(IF(WEEKDAY(K$82,2)&gt;5,0,17.39))*-1</f>
        <v>0</v>
      </c>
      <c r="L114" s="39">
        <f>(IF(WEEKDAY(L$82,2)&gt;5,0,19.36))*-1</f>
        <v>-19.36</v>
      </c>
      <c r="M114" s="39">
        <f>(IF(WEEKDAY(M$82,2)&gt;5,0,20.31))*-1</f>
        <v>-20.309999999999999</v>
      </c>
      <c r="N114" s="39">
        <f>(IF(WEEKDAY(N$82,2)&gt;5,0,21.88))*-1</f>
        <v>-21.88</v>
      </c>
      <c r="O114" s="39">
        <f>(IF(WEEKDAY(O$82,2)&gt;5,0,20.05))*-1</f>
        <v>-20.05</v>
      </c>
      <c r="P114" s="39">
        <f>(IF(WEEKDAY(P$82,2)&gt;5,0,20.93))*-1</f>
        <v>-20.93</v>
      </c>
      <c r="Q114" s="39">
        <f>(IF(WEEKDAY(Q$82,2)&gt;5,0,18.51))*-1</f>
        <v>0</v>
      </c>
      <c r="R114" s="39">
        <f>(IF(WEEKDAY(R$82,2)&gt;5,0,20.34))*-1</f>
        <v>0</v>
      </c>
      <c r="S114" s="39">
        <f>(IF(WEEKDAY(S$82,2)&gt;5,0,22.43))*-1</f>
        <v>-22.43</v>
      </c>
      <c r="T114" s="39">
        <f>(IF(WEEKDAY(T$82,2)&gt;5,0,22.43))*-1</f>
        <v>-22.43</v>
      </c>
      <c r="U114" s="39">
        <f>(IF(WEEKDAY(U$82,2)&gt;5,0,21.02))*-1</f>
        <v>-21.02</v>
      </c>
      <c r="V114" s="39">
        <f>(IF(WEEKDAY(V$82,2)&gt;5,0,19.95))*-1</f>
        <v>-19.95</v>
      </c>
      <c r="W114" s="39">
        <f>(IF(WEEKDAY(W$82,2)&gt;5,0,21.75))*-1</f>
        <v>-21.75</v>
      </c>
      <c r="X114" s="39">
        <f>(IF(WEEKDAY(X$82,2)&gt;5,0,19.53))*-1</f>
        <v>0</v>
      </c>
      <c r="Y114" s="39">
        <f>(IF(WEEKDAY(Y$82,2)&gt;5,0,19.62))*-1</f>
        <v>0</v>
      </c>
      <c r="Z114" s="39">
        <f>(IF(WEEKDAY(Z$82,2)&gt;5,0,22.66))*-1</f>
        <v>-22.66</v>
      </c>
      <c r="AA114" s="39">
        <f>(IF(WEEKDAY(AA$82,2)&gt;5,0,17.48))*-1</f>
        <v>-17.48</v>
      </c>
      <c r="AB114" s="39">
        <f>(IF(WEEKDAY(AB$82,2)&gt;5,0,20.81))*-1</f>
        <v>-20.81</v>
      </c>
      <c r="AC114" s="39">
        <f>(IF(WEEKDAY(AC$82,2)&gt;5,0,22.46))*-1</f>
        <v>-22.46</v>
      </c>
      <c r="AD114" s="39">
        <f>(IF(WEEKDAY(AD$82,2)&gt;5,0,20.01))*-1</f>
        <v>-20.010000000000002</v>
      </c>
      <c r="AE114" s="39">
        <f>(IF(WEEKDAY(AE$82,2)&gt;5,0,21.19))*-1</f>
        <v>0</v>
      </c>
      <c r="AF114" s="39">
        <f>(IF(WEEKDAY(AF$82,2)&gt;5,0,17.58))*-1</f>
        <v>0</v>
      </c>
      <c r="AG114" s="39">
        <f>(IF(WEEKDAY(AG$82,2)&gt;5,0,18.55))*-1</f>
        <v>-18.55</v>
      </c>
      <c r="AH114" s="39">
        <f>(IF(WEEKDAY(AH$82,2)&gt;5,0,22.02))*-1</f>
        <v>-22.02</v>
      </c>
      <c r="AI114" s="39">
        <f>(IF(WEEKDAY(AI$82,2)&gt;5,0,21.26))*-1</f>
        <v>-21.26</v>
      </c>
      <c r="AJ114" s="39">
        <f>(IF(WEEKDAY(AJ$82,2)&gt;5,0,19.53))*-1</f>
        <v>-19.53</v>
      </c>
      <c r="AK114" s="39">
        <f>(IF(WEEKDAY(AK$82,2)&gt;5,0,22.21))*-1</f>
        <v>-22.21</v>
      </c>
      <c r="AL114" s="39">
        <f>(IF(WEEKDAY(AL$82,2)&gt;5,0,20.28))*-1</f>
        <v>0</v>
      </c>
      <c r="AM114" s="39">
        <f>(IF(WEEKDAY(AM$82,2)&gt;5,0,17.06))*-1</f>
        <v>0</v>
      </c>
      <c r="AN114" s="39">
        <f>(IF(WEEKDAY(AN$82,2)&gt;5,0,19.42))*-1</f>
        <v>-19.420000000000002</v>
      </c>
      <c r="AO114" s="39">
        <f>(IF(WEEKDAY(AO$82,2)&gt;5,0,19.53))*-1</f>
        <v>-19.53</v>
      </c>
      <c r="AP114" s="39">
        <f>(IF(WEEKDAY(AP$82,2)&gt;5,0,17.62))*-1</f>
        <v>-17.62</v>
      </c>
      <c r="AQ114" s="39">
        <f>(IF(WEEKDAY(AQ$82,2)&gt;5,0,18.09))*-1</f>
        <v>-18.09</v>
      </c>
      <c r="AR114" s="39">
        <f>(IF(WEEKDAY(AR$82,2)&gt;5,0,21.47))*-1</f>
        <v>-21.47</v>
      </c>
      <c r="AS114" s="39">
        <f>(IF(WEEKDAY(AS$82,2)&gt;5,0,22.66))*-1</f>
        <v>0</v>
      </c>
      <c r="AT114" s="39">
        <f>(IF(WEEKDAY(AT$82,2)&gt;5,0,22.6))*-1</f>
        <v>0</v>
      </c>
      <c r="AU114" s="39">
        <f>(IF(WEEKDAY(AU$82,2)&gt;5,0,20.91))*-1</f>
        <v>-20.91</v>
      </c>
      <c r="AV114" s="39">
        <f>(IF(WEEKDAY(AV$82,2)&gt;5,0,22.47))*-1</f>
        <v>-22.47</v>
      </c>
      <c r="AW114" s="39">
        <f>(IF(WEEKDAY(AW$82,2)&gt;5,0,19.29))*-1</f>
        <v>-19.29</v>
      </c>
      <c r="AX114" s="39">
        <f>(IF(WEEKDAY(AX$82,2)&gt;5,0,19.17))*-1</f>
        <v>-19.170000000000002</v>
      </c>
      <c r="AY114" s="39">
        <f>(IF(WEEKDAY(AY$82,2)&gt;5,0,17.17))*-1</f>
        <v>-17.170000000000002</v>
      </c>
      <c r="AZ114" s="39">
        <f>(IF(WEEKDAY(AZ$82,2)&gt;5,0,19.52))*-1</f>
        <v>0</v>
      </c>
      <c r="BA114" s="39">
        <f>(IF(WEEKDAY(BA$82,2)&gt;5,0,19.43))*-1</f>
        <v>0</v>
      </c>
      <c r="BB114" s="39">
        <f>(IF(WEEKDAY(BB$82,2)&gt;5,0,17.52))*-1</f>
        <v>-17.52</v>
      </c>
      <c r="BC114" s="39">
        <f>(IF(WEEKDAY(BC$82,2)&gt;5,0,18.64))*-1</f>
        <v>-18.64</v>
      </c>
      <c r="BD114" s="39">
        <f>(IF(WEEKDAY(BD$82,2)&gt;5,0,18.79))*-1</f>
        <v>-18.79</v>
      </c>
      <c r="BE114" s="39">
        <f>(IF(WEEKDAY(BE$82,2)&gt;5,0,20.61))*-1</f>
        <v>-20.61</v>
      </c>
      <c r="BF114" s="39">
        <f>(IF(WEEKDAY(BF$82,2)&gt;5,0,18.81))*-1</f>
        <v>-18.809999999999999</v>
      </c>
      <c r="BG114" s="39">
        <f>(IF(WEEKDAY(BG$82,2)&gt;5,0,21.12))*-1</f>
        <v>0</v>
      </c>
      <c r="BH114" s="39">
        <f>(IF(WEEKDAY(BH$82,2)&gt;5,0,22.32))*-1</f>
        <v>0</v>
      </c>
      <c r="BI114" s="39">
        <f>(IF(WEEKDAY(BI$82,2)&gt;5,0,21.79))*-1</f>
        <v>-21.79</v>
      </c>
      <c r="BJ114" s="39">
        <f>(IF(WEEKDAY(BJ$82,2)&gt;5,0,17.65))*-1</f>
        <v>-17.649999999999999</v>
      </c>
      <c r="BK114" s="39">
        <f>(IF(WEEKDAY(BK$82,2)&gt;5,0,17.25))*-1</f>
        <v>-17.25</v>
      </c>
      <c r="BL114" s="39">
        <f>(IF(WEEKDAY(BL$82,2)&gt;5,0,21.42))*-1</f>
        <v>-21.42</v>
      </c>
      <c r="BM114" s="39">
        <f>(IF(WEEKDAY(BM$82,2)&gt;5,0,20.53))*-1</f>
        <v>-20.53</v>
      </c>
      <c r="BN114" s="39">
        <f>(IF(WEEKDAY(BN$82,2)&gt;5,0,19.44))*-1</f>
        <v>0</v>
      </c>
      <c r="BO114" s="39">
        <f>(IF(WEEKDAY(BO$82,2)&gt;5,0,18.48))*-1</f>
        <v>0</v>
      </c>
      <c r="BP114" s="39">
        <f>(IF(WEEKDAY(BP$82,2)&gt;5,0,19.31))*-1</f>
        <v>-19.309999999999999</v>
      </c>
      <c r="BQ114" s="39">
        <f>(IF(WEEKDAY(BQ$82,2)&gt;5,0,17.72))*-1</f>
        <v>-17.72</v>
      </c>
      <c r="BR114" s="39">
        <f>(IF(WEEKDAY(BR$82,2)&gt;5,0,17.54))*-1</f>
        <v>-17.54</v>
      </c>
      <c r="BS114" s="39">
        <f>(IF(WEEKDAY(BS$82,2)&gt;5,0,20.76))*-1</f>
        <v>-20.76</v>
      </c>
      <c r="BT114" s="39">
        <f>(IF(WEEKDAY(BT$82,2)&gt;5,0,18.28))*-1</f>
        <v>-18.28</v>
      </c>
      <c r="BU114" s="39">
        <f>(IF(WEEKDAY(BU$82,2)&gt;5,0,19.73))*-1</f>
        <v>0</v>
      </c>
      <c r="BV114" s="39">
        <f>(IF(WEEKDAY(BV$82,2)&gt;5,0,18.3))*-1</f>
        <v>0</v>
      </c>
      <c r="BW114" s="39">
        <f>(IF(WEEKDAY(BW$82,2)&gt;5,0,21.88))*-1</f>
        <v>-21.88</v>
      </c>
      <c r="BX114" s="39">
        <f>(IF(WEEKDAY(BX$82,2)&gt;5,0,22.32))*-1</f>
        <v>-22.32</v>
      </c>
      <c r="BY114" s="39">
        <f>(IF(WEEKDAY(BY$82,2)&gt;5,0,22.12))*-1</f>
        <v>-22.12</v>
      </c>
      <c r="BZ114" s="39">
        <f>(IF(WEEKDAY(BZ$82,2)&gt;5,0,18.67))*-1</f>
        <v>-18.670000000000002</v>
      </c>
      <c r="CA114" s="39">
        <f>(IF(WEEKDAY(CA$82,2)&gt;5,0,18.69))*-1</f>
        <v>-18.690000000000001</v>
      </c>
      <c r="CB114" s="39">
        <f>(IF(WEEKDAY(CB$82,2)&gt;5,0,21.56))*-1</f>
        <v>0</v>
      </c>
      <c r="CC114" s="39">
        <f>(IF(WEEKDAY(CC$82,2)&gt;5,0,20.74))*-1</f>
        <v>0</v>
      </c>
      <c r="CD114" s="39">
        <f>(IF(WEEKDAY(CD$82,2)&gt;5,0,18.31))*-1</f>
        <v>-18.309999999999999</v>
      </c>
      <c r="CE114" s="39">
        <f>(IF(WEEKDAY(CE$82,2)&gt;5,0,22.38))*-1</f>
        <v>-22.38</v>
      </c>
      <c r="CF114" s="39">
        <f>(IF(WEEKDAY(CF$82,2)&gt;5,0,17.18))*-1</f>
        <v>-17.18</v>
      </c>
      <c r="CG114" s="39">
        <f>(IF(WEEKDAY(CG$82,2)&gt;5,0,21.46))*-1</f>
        <v>-21.46</v>
      </c>
      <c r="CH114" s="39">
        <f>(IF(WEEKDAY(CH$82,2)&gt;5,0,21.57))*-1</f>
        <v>-21.57</v>
      </c>
      <c r="CI114" s="39">
        <f>(IF(WEEKDAY(CI$82,2)&gt;5,0,21.62))*-1</f>
        <v>0</v>
      </c>
      <c r="CJ114" s="39">
        <f>(IF(WEEKDAY(CJ$82,2)&gt;5,0,17.63))*-1</f>
        <v>0</v>
      </c>
      <c r="CK114" s="39">
        <f>(IF(WEEKDAY(CK$82,2)&gt;5,0,20.44))*-1</f>
        <v>-20.440000000000001</v>
      </c>
      <c r="CL114" s="39">
        <f>(IF(WEEKDAY(CL$82,2)&gt;5,0,21.63))*-1</f>
        <v>-21.63</v>
      </c>
      <c r="CM114" s="39">
        <f>(IF(WEEKDAY(CM$82,2)&gt;5,0,18.08))*-1</f>
        <v>-18.079999999999998</v>
      </c>
      <c r="CN114" s="39">
        <f>(IF(WEEKDAY(CN$82,2)&gt;5,0,19.03))*-1</f>
        <v>-19.03</v>
      </c>
      <c r="CO114" s="39">
        <f>(IF(WEEKDAY(CO$82,2)&gt;5,0,21.46))*-1</f>
        <v>-21.46</v>
      </c>
      <c r="CP114" s="39">
        <f>(IF(WEEKDAY(CP$82,2)&gt;5,0,21.04))*-1</f>
        <v>0</v>
      </c>
      <c r="CQ114" s="39">
        <f>(IF(WEEKDAY(CQ$82,2)&gt;5,0,17.4))*-1</f>
        <v>0</v>
      </c>
      <c r="CR114" s="39">
        <f>(IF(WEEKDAY(CR$82,2)&gt;5,0,17.98))*-1</f>
        <v>-17.98</v>
      </c>
      <c r="CS114" s="39">
        <f>(IF(WEEKDAY(CS$82,2)&gt;5,0,20.66))*-1</f>
        <v>-20.66</v>
      </c>
      <c r="CT114" s="39">
        <f>(IF(WEEKDAY(CT$82,2)&gt;5,0,17.62))*-1</f>
        <v>-17.62</v>
      </c>
      <c r="CU114" s="39">
        <f>(IF(WEEKDAY(CU$82,2)&gt;5,0,22.19))*-1</f>
        <v>-22.19</v>
      </c>
      <c r="CV114" s="39">
        <f>(IF(WEEKDAY(CV$82,2)&gt;5,0,21.14))*-1</f>
        <v>-21.14</v>
      </c>
      <c r="CW114" s="39">
        <f>(IF(WEEKDAY(CW$82,2)&gt;5,0,17.32))*-1</f>
        <v>0</v>
      </c>
      <c r="CX114" s="39">
        <f>(IF(WEEKDAY(CX$82,2)&gt;5,0,19.97))*-1</f>
        <v>0</v>
      </c>
      <c r="CY114" s="39">
        <f>(IF(WEEKDAY(CY$82,2)&gt;5,0,20.68))*-1</f>
        <v>-20.68</v>
      </c>
      <c r="CZ114" s="39">
        <f>(IF(WEEKDAY(CZ$82,2)&gt;5,0,18.63))*-1</f>
        <v>-18.63</v>
      </c>
      <c r="DA114" s="39">
        <f>(IF(WEEKDAY(DA$82,2)&gt;5,0,18.23))*-1</f>
        <v>-18.23</v>
      </c>
      <c r="DB114" s="39">
        <f>(IF(WEEKDAY(DB$82,2)&gt;5,0,20.68))*-1</f>
        <v>-20.68</v>
      </c>
      <c r="DC114" s="39">
        <f>(IF(WEEKDAY(DC$82,2)&gt;5,0,19.95))*-1</f>
        <v>-19.95</v>
      </c>
      <c r="DD114" s="39">
        <f>(IF(WEEKDAY(DD$82,2)&gt;5,0,17.8))*-1</f>
        <v>0</v>
      </c>
      <c r="DE114" s="39">
        <f>(IF(WEEKDAY(DE$82,2)&gt;5,0,21.89))*-1</f>
        <v>0</v>
      </c>
      <c r="DF114" s="39">
        <f>(IF(WEEKDAY(DF$82,2)&gt;5,0,20.66))*-1</f>
        <v>-20.66</v>
      </c>
      <c r="DG114" s="39">
        <f>(IF(WEEKDAY(DG$82,2)&gt;5,0,20.5))*-1</f>
        <v>-20.5</v>
      </c>
      <c r="DH114" s="39">
        <f>(IF(WEEKDAY(DH$82,2)&gt;5,0,22.85))*-1</f>
        <v>-22.85</v>
      </c>
      <c r="DI114" s="39">
        <f>(IF(WEEKDAY(DI$82,2)&gt;5,0,17.36))*-1</f>
        <v>-17.36</v>
      </c>
      <c r="DJ114" s="39">
        <f>(IF(WEEKDAY(DJ$82,2)&gt;5,0,22.25))*-1</f>
        <v>-22.25</v>
      </c>
      <c r="DK114" s="39">
        <f>(IF(WEEKDAY(DK$82,2)&gt;5,0,18.69))*-1</f>
        <v>0</v>
      </c>
      <c r="DL114" s="39">
        <f>(IF(WEEKDAY(DL$82,2)&gt;5,0,21.08))*-1</f>
        <v>0</v>
      </c>
      <c r="DM114" s="39">
        <f>(IF(WEEKDAY(DM$82,2)&gt;5,0,21.31))*-1</f>
        <v>-21.31</v>
      </c>
      <c r="DN114" s="39">
        <f>(IF(WEEKDAY(DN$82,2)&gt;5,0,19.6))*-1</f>
        <v>-19.600000000000001</v>
      </c>
      <c r="DO114" s="39">
        <f>(IF(WEEKDAY(DO$82,2)&gt;5,0,17.82))*-1</f>
        <v>-17.82</v>
      </c>
      <c r="DP114" s="39">
        <f>(IF(WEEKDAY(DP$82,2)&gt;5,0,22.12))*-1</f>
        <v>-22.12</v>
      </c>
      <c r="DQ114" s="39">
        <f>(IF(WEEKDAY(DQ$82,2)&gt;5,0,18))*-1</f>
        <v>-18</v>
      </c>
      <c r="DR114" s="39">
        <f>(IF(WEEKDAY(DR$82,2)&gt;5,0,22.38))*-1</f>
        <v>0</v>
      </c>
      <c r="DS114" s="39">
        <f>(IF(WEEKDAY(DS$82,2)&gt;5,0,22.02))*-1</f>
        <v>0</v>
      </c>
      <c r="DT114" s="39">
        <f>(IF(WEEKDAY(DT$82,2)&gt;5,0,17.71))*-1</f>
        <v>-17.71</v>
      </c>
      <c r="DU114" s="39">
        <f>(IF(WEEKDAY(DU$82,2)&gt;5,0,22.17))*-1</f>
        <v>-22.17</v>
      </c>
      <c r="DV114" s="39">
        <f>(IF(WEEKDAY(DV$82,2)&gt;5,0,22.7))*-1</f>
        <v>-22.7</v>
      </c>
      <c r="DW114" s="39">
        <f>(IF(WEEKDAY(DW$82,2)&gt;5,0,18.27))*-1</f>
        <v>-18.27</v>
      </c>
      <c r="DX114" s="39">
        <f>(IF(WEEKDAY(DX$82,2)&gt;5,0,20.58))*-1</f>
        <v>-20.58</v>
      </c>
      <c r="DY114" s="39">
        <f>(IF(WEEKDAY(DY$82,2)&gt;5,0,18.7))*-1</f>
        <v>0</v>
      </c>
      <c r="DZ114" s="39">
        <f>(IF(WEEKDAY(DZ$82,2)&gt;5,0,21.4))*-1</f>
        <v>0</v>
      </c>
      <c r="EA114" s="39">
        <f>(IF(WEEKDAY(EA$82,2)&gt;5,0,20.22))*-1</f>
        <v>-20.22</v>
      </c>
      <c r="EB114" s="39">
        <f>(IF(WEEKDAY(EB$82,2)&gt;5,0,18.2))*-1</f>
        <v>-18.2</v>
      </c>
      <c r="EC114" s="39">
        <f>(IF(WEEKDAY(EC$82,2)&gt;5,0,19.17))*-1</f>
        <v>-19.170000000000002</v>
      </c>
      <c r="ED114" s="39">
        <f>(IF(WEEKDAY(ED$82,2)&gt;5,0,19.77))*-1</f>
        <v>-19.77</v>
      </c>
      <c r="EE114" s="39">
        <f>(IF(WEEKDAY(EE$82,2)&gt;5,0,19.51))*-1</f>
        <v>-19.510000000000002</v>
      </c>
      <c r="EF114" s="39">
        <f>(IF(WEEKDAY(EF$82,2)&gt;5,0,19.4))*-1</f>
        <v>0</v>
      </c>
      <c r="EG114" s="39">
        <f>(IF(WEEKDAY(EG$82,2)&gt;5,0,19.74))*-1</f>
        <v>0</v>
      </c>
      <c r="EH114" s="39">
        <f>(IF(WEEKDAY(EH$82,2)&gt;5,0,20.44))*-1</f>
        <v>-20.440000000000001</v>
      </c>
      <c r="EI114" s="39">
        <f>(IF(WEEKDAY(EI$82,2)&gt;5,0,19.45))*-1</f>
        <v>-19.45</v>
      </c>
      <c r="EJ114" s="39">
        <f>(IF(WEEKDAY(EJ$82,2)&gt;5,0,19.77))*-1</f>
        <v>-19.77</v>
      </c>
      <c r="EK114" s="39">
        <f>(IF(WEEKDAY(EK$82,2)&gt;5,0,17.75))*-1</f>
        <v>-17.75</v>
      </c>
      <c r="EL114" s="39">
        <f>(IF(WEEKDAY(EL$82,2)&gt;5,0,20.63))*-1</f>
        <v>-20.63</v>
      </c>
      <c r="EM114" s="39">
        <f>(IF(WEEKDAY(EM$82,2)&gt;5,0,19.62))*-1</f>
        <v>0</v>
      </c>
      <c r="EN114" s="39">
        <f>(IF(WEEKDAY(EN$82,2)&gt;5,0,18.46))*-1</f>
        <v>0</v>
      </c>
      <c r="EO114" s="39">
        <f>(IF(WEEKDAY(EO$82,2)&gt;5,0,18.1))*-1</f>
        <v>-18.100000000000001</v>
      </c>
      <c r="EP114" s="39">
        <f>(IF(WEEKDAY(EP$82,2)&gt;5,0,19.93))*-1</f>
        <v>-19.93</v>
      </c>
      <c r="EQ114" s="39">
        <f>(IF(WEEKDAY(EQ$82,2)&gt;5,0,19.32))*-1</f>
        <v>-19.32</v>
      </c>
      <c r="ER114" s="39">
        <f>(IF(WEEKDAY(ER$82,2)&gt;5,0,20.12))*-1</f>
        <v>-20.12</v>
      </c>
      <c r="ES114" s="39">
        <f>(IF(WEEKDAY(ES$82,2)&gt;5,0,22.27))*-1</f>
        <v>-22.27</v>
      </c>
      <c r="ET114" s="39">
        <f>(IF(WEEKDAY(ET$82,2)&gt;5,0,20.13))*-1</f>
        <v>0</v>
      </c>
      <c r="EU114" s="39">
        <f>(IF(WEEKDAY(EU$82,2)&gt;5,0,18.75))*-1</f>
        <v>0</v>
      </c>
      <c r="EV114" s="39">
        <f>(IF(WEEKDAY(EV$82,2)&gt;5,0,18.75))*-1</f>
        <v>-18.75</v>
      </c>
      <c r="EW114" s="39">
        <f>(IF(WEEKDAY(EW$82,2)&gt;5,0,21.74))*-1</f>
        <v>-21.74</v>
      </c>
      <c r="EX114" s="39">
        <f>(IF(WEEKDAY(EX$82,2)&gt;5,0,17.57))*-1</f>
        <v>-17.57</v>
      </c>
      <c r="EY114" s="39">
        <f>(IF(WEEKDAY(EY$82,2)&gt;5,0,17.57))*-1</f>
        <v>-17.57</v>
      </c>
      <c r="EZ114" s="39">
        <f>(IF(WEEKDAY(EZ$82,2)&gt;5,0,18.99))*-1</f>
        <v>-18.989999999999998</v>
      </c>
      <c r="FA114" s="39">
        <f>(IF(WEEKDAY(FA$82,2)&gt;5,0,17.27))*-1</f>
        <v>0</v>
      </c>
      <c r="FB114" s="39">
        <f>(IF(WEEKDAY(FB$82,2)&gt;5,0,22.78))*-1</f>
        <v>0</v>
      </c>
      <c r="FC114" s="39">
        <f>(IF(WEEKDAY(FC$82,2)&gt;5,0,17.41))*-1</f>
        <v>-17.41</v>
      </c>
      <c r="FD114" s="39">
        <f>(IF(WEEKDAY(FD$82,2)&gt;5,0,21.43))*-1</f>
        <v>-21.43</v>
      </c>
      <c r="FE114" s="39">
        <f>(IF(WEEKDAY(FE$82,2)&gt;5,0,21.9))*-1</f>
        <v>-21.9</v>
      </c>
      <c r="FF114" s="39">
        <f>(IF(WEEKDAY(FF$82,2)&gt;5,0,22.48))*-1</f>
        <v>-22.48</v>
      </c>
      <c r="FG114" s="39">
        <f>(IF(WEEKDAY(FG$82,2)&gt;5,0,20.34))*-1</f>
        <v>-20.34</v>
      </c>
      <c r="FH114" s="39">
        <f>(IF(WEEKDAY(FH$82,2)&gt;5,0,21.47))*-1</f>
        <v>0</v>
      </c>
      <c r="FI114" s="39">
        <f>(IF(WEEKDAY(FI$82,2)&gt;5,0,17.93))*-1</f>
        <v>0</v>
      </c>
      <c r="FJ114" s="39">
        <f>(IF(WEEKDAY(FJ$82,2)&gt;5,0,19.38))*-1</f>
        <v>-19.38</v>
      </c>
      <c r="FK114" s="39">
        <f>(IF(WEEKDAY(FK$82,2)&gt;5,0,20.73))*-1</f>
        <v>-20.73</v>
      </c>
      <c r="FL114" s="39">
        <f>(IF(WEEKDAY(FL$82,2)&gt;5,0,19.91))*-1</f>
        <v>-19.91</v>
      </c>
      <c r="FM114" s="39">
        <f>(IF(WEEKDAY(FM$82,2)&gt;5,0,18.84))*-1</f>
        <v>-18.84</v>
      </c>
      <c r="FN114" s="39">
        <f>(IF(WEEKDAY(FN$82,2)&gt;5,0,21.18))*-1</f>
        <v>-21.18</v>
      </c>
      <c r="FO114" s="39">
        <f>(IF(WEEKDAY(FO$82,2)&gt;5,0,22.91))*-1</f>
        <v>0</v>
      </c>
      <c r="FP114" s="39">
        <f>(IF(WEEKDAY(FP$82,2)&gt;5,0,22.66))*-1</f>
        <v>0</v>
      </c>
      <c r="FQ114" s="39">
        <f>(IF(WEEKDAY(FQ$82,2)&gt;5,0,20.72))*-1</f>
        <v>-20.72</v>
      </c>
      <c r="FR114" s="39">
        <f>(IF(WEEKDAY(FR$82,2)&gt;5,0,22.76))*-1</f>
        <v>-22.76</v>
      </c>
      <c r="FS114" s="39">
        <f>(IF(WEEKDAY(FS$82,2)&gt;5,0,22.1))*-1</f>
        <v>-22.1</v>
      </c>
      <c r="FT114" s="39">
        <f>(IF(WEEKDAY(FT$82,2)&gt;5,0,17.64))*-1</f>
        <v>-17.64</v>
      </c>
      <c r="FU114" s="39">
        <f>(IF(WEEKDAY(FU$82,2)&gt;5,0,22.45))*-1</f>
        <v>-22.45</v>
      </c>
      <c r="FV114" s="39">
        <f>(IF(WEEKDAY(FV$82,2)&gt;5,0,20.28))*-1</f>
        <v>0</v>
      </c>
      <c r="FW114" s="39">
        <f>(IF(WEEKDAY(FW$82,2)&gt;5,0,21.72))*-1</f>
        <v>0</v>
      </c>
      <c r="FX114" s="39">
        <f>(IF(WEEKDAY(FX$82,2)&gt;5,0,20.96))*-1</f>
        <v>-20.96</v>
      </c>
      <c r="FY114" s="39">
        <f>(IF(WEEKDAY(FY$82,2)&gt;5,0,22.68))*-1</f>
        <v>-22.68</v>
      </c>
      <c r="FZ114" s="39">
        <f>(IF(WEEKDAY(FZ$82,2)&gt;5,0,21.26))*-1</f>
        <v>-21.26</v>
      </c>
      <c r="GA114" s="39">
        <f>(IF(WEEKDAY(GA$82,2)&gt;5,0,21.8))*-1</f>
        <v>-21.8</v>
      </c>
      <c r="GB114" s="39">
        <f>(IF(WEEKDAY(GB$82,2)&gt;5,0,20.24))*-1</f>
        <v>-20.239999999999998</v>
      </c>
      <c r="GC114" s="39">
        <f>(IF(WEEKDAY(GC$82,2)&gt;5,0,18.19))*-1</f>
        <v>0</v>
      </c>
      <c r="GD114" s="39">
        <f>(IF(WEEKDAY(GD$82,2)&gt;5,0,21.32))*-1</f>
        <v>0</v>
      </c>
      <c r="GE114" s="39">
        <f>(IF(WEEKDAY(GE$82,2)&gt;5,0,22.25))*-1</f>
        <v>-22.25</v>
      </c>
      <c r="GF114" s="39">
        <f>(IF(WEEKDAY(GF$82,2)&gt;5,0,19.14))*-1</f>
        <v>-19.14</v>
      </c>
      <c r="GG114" s="39">
        <f>(IF(WEEKDAY(GG$82,2)&gt;5,0,17.73))*-1</f>
        <v>-17.73</v>
      </c>
      <c r="GH114" s="39">
        <f>(IF(WEEKDAY(GH$82,2)&gt;5,0,18.08))*-1</f>
        <v>-18.079999999999998</v>
      </c>
      <c r="GI114" s="39">
        <f>(IF(WEEKDAY(GI$82,2)&gt;5,0,18.08))*-1</f>
        <v>-18.079999999999998</v>
      </c>
      <c r="GJ114" s="39">
        <f>(IF(WEEKDAY(GJ$82,2)&gt;5,0,21.12))*-1</f>
        <v>0</v>
      </c>
      <c r="GK114" s="39">
        <f>(IF(WEEKDAY(GK$82,2)&gt;5,0,17.77))*-1</f>
        <v>0</v>
      </c>
      <c r="GL114" s="39">
        <f>(IF(WEEKDAY(GL$82,2)&gt;5,0,22.28))*-1</f>
        <v>-22.28</v>
      </c>
      <c r="GM114" s="39">
        <f>(IF(WEEKDAY(GM$82,2)&gt;5,0,17.25))*-1</f>
        <v>-17.25</v>
      </c>
      <c r="GN114" s="39">
        <f>(IF(WEEKDAY(GN$82,2)&gt;5,0,20.09))*-1</f>
        <v>-20.09</v>
      </c>
      <c r="GO114" s="39">
        <f>(IF(WEEKDAY(GO$82,2)&gt;5,0,20.28))*-1</f>
        <v>-20.28</v>
      </c>
      <c r="GP114" s="39">
        <f>(IF(WEEKDAY(GP$82,2)&gt;5,0,22.03))*-1</f>
        <v>-22.03</v>
      </c>
      <c r="GQ114" s="39">
        <f>(IF(WEEKDAY(GQ$82,2)&gt;5,0,21.81))*-1</f>
        <v>0</v>
      </c>
      <c r="GR114" s="39">
        <f>(IF(WEEKDAY(GR$82,2)&gt;5,0,17.14))*-1</f>
        <v>0</v>
      </c>
      <c r="GS114" s="39">
        <f>(IF(WEEKDAY(GS$82,2)&gt;5,0,21.74))*-1</f>
        <v>-21.74</v>
      </c>
      <c r="GT114" s="39">
        <f>(IF(WEEKDAY(GT$82,2)&gt;5,0,22.34))*-1</f>
        <v>-22.34</v>
      </c>
      <c r="GU114" s="39">
        <f>(IF(WEEKDAY(GU$82,2)&gt;5,0,17.48))*-1</f>
        <v>-17.48</v>
      </c>
      <c r="GV114" s="39">
        <f>(IF(WEEKDAY(GV$82,2)&gt;5,0,20.19))*-1</f>
        <v>-20.190000000000001</v>
      </c>
      <c r="GW114" s="39">
        <f>(IF(WEEKDAY(GW$82,2)&gt;5,0,20.24))*-1</f>
        <v>-20.239999999999998</v>
      </c>
      <c r="GX114" s="39">
        <f>(IF(WEEKDAY(GX$82,2)&gt;5,0,20.84))*-1</f>
        <v>0</v>
      </c>
      <c r="GY114" s="39">
        <f>(IF(WEEKDAY(GY$82,2)&gt;5,0,19.69))*-1</f>
        <v>0</v>
      </c>
      <c r="GZ114" s="39">
        <f>(IF(WEEKDAY(GZ$82,2)&gt;5,0,21.73))*-1</f>
        <v>-21.73</v>
      </c>
      <c r="HA114" s="39">
        <f>(IF(WEEKDAY(HA$82,2)&gt;5,0,21.55))*-1</f>
        <v>-21.55</v>
      </c>
      <c r="HB114" s="39">
        <f>(IF(WEEKDAY(HB$82,2)&gt;5,0,18.45))*-1</f>
        <v>-18.45</v>
      </c>
      <c r="HC114" s="39">
        <f>(IF(WEEKDAY(HC$82,2)&gt;5,0,20.01))*-1</f>
        <v>-20.010000000000002</v>
      </c>
      <c r="HD114" s="39">
        <f>(IF(WEEKDAY(HD$82,2)&gt;5,0,20.93))*-1</f>
        <v>-20.93</v>
      </c>
      <c r="HE114" s="39">
        <f>(IF(WEEKDAY(HE$82,2)&gt;5,0,22.68))*-1</f>
        <v>0</v>
      </c>
      <c r="HF114" s="39">
        <f>(IF(WEEKDAY(HF$82,2)&gt;5,0,22.44))*-1</f>
        <v>0</v>
      </c>
      <c r="HG114" s="39">
        <f>(IF(WEEKDAY(HG$82,2)&gt;5,0,19.27))*-1</f>
        <v>-19.27</v>
      </c>
      <c r="HH114" s="39">
        <f>(IF(WEEKDAY(HH$82,2)&gt;5,0,19.53))*-1</f>
        <v>-19.53</v>
      </c>
      <c r="HI114" s="39">
        <f>(IF(WEEKDAY(HI$82,2)&gt;5,0,19.12))*-1</f>
        <v>-19.12</v>
      </c>
      <c r="HJ114" s="39">
        <f>(IF(WEEKDAY(HJ$82,2)&gt;5,0,22.59))*-1</f>
        <v>-22.59</v>
      </c>
      <c r="HK114" s="39">
        <f>(IF(WEEKDAY(HK$82,2)&gt;5,0,21.54))*-1</f>
        <v>-21.54</v>
      </c>
      <c r="HL114" s="39">
        <f>(IF(WEEKDAY(HL$82,2)&gt;5,0,22.08))*-1</f>
        <v>0</v>
      </c>
      <c r="HM114" s="39">
        <f>(IF(WEEKDAY(HM$82,2)&gt;5,0,21.29))*-1</f>
        <v>0</v>
      </c>
      <c r="HN114" s="39">
        <f>(IF(WEEKDAY(HN$82,2)&gt;5,0,20.86))*-1</f>
        <v>-20.86</v>
      </c>
      <c r="HO114" s="39">
        <f>(IF(WEEKDAY(HO$82,2)&gt;5,0,22.42))*-1</f>
        <v>-22.42</v>
      </c>
      <c r="HP114" s="39">
        <f>(IF(WEEKDAY(HP$82,2)&gt;5,0,18.22))*-1</f>
        <v>-18.22</v>
      </c>
      <c r="HQ114" s="39">
        <f>(IF(WEEKDAY(HQ$82,2)&gt;5,0,22.7))*-1</f>
        <v>-22.7</v>
      </c>
      <c r="HR114" s="39">
        <f>(IF(WEEKDAY(HR$82,2)&gt;5,0,17.62))*-1</f>
        <v>-17.62</v>
      </c>
      <c r="HS114" s="39">
        <f>(IF(WEEKDAY(HS$82,2)&gt;5,0,18.11))*-1</f>
        <v>0</v>
      </c>
      <c r="HT114" s="39">
        <f>(IF(WEEKDAY(HT$82,2)&gt;5,0,17.97))*-1</f>
        <v>0</v>
      </c>
      <c r="HU114" s="39">
        <f>(IF(WEEKDAY(HU$82,2)&gt;5,0,22.96))*-1</f>
        <v>-22.96</v>
      </c>
      <c r="HV114" s="39">
        <f>(IF(WEEKDAY(HV$82,2)&gt;5,0,21.46))*-1</f>
        <v>-21.46</v>
      </c>
      <c r="HW114" s="39">
        <f>(IF(WEEKDAY(HW$82,2)&gt;5,0,18.24))*-1</f>
        <v>-18.239999999999998</v>
      </c>
      <c r="HX114" s="39">
        <f>(IF(WEEKDAY(HX$82,2)&gt;5,0,22.1))*-1</f>
        <v>-22.1</v>
      </c>
      <c r="HY114" s="39">
        <f>(IF(WEEKDAY(HY$82,2)&gt;5,0,22.54))*-1</f>
        <v>-22.54</v>
      </c>
      <c r="HZ114" s="39">
        <f>(IF(WEEKDAY(HZ$82,2)&gt;5,0,22.79))*-1</f>
        <v>0</v>
      </c>
      <c r="IA114" s="39">
        <f>(IF(WEEKDAY(IA$82,2)&gt;5,0,17))*-1</f>
        <v>0</v>
      </c>
      <c r="IB114" s="39">
        <f>(IF(WEEKDAY(IB$82,2)&gt;5,0,20.31))*-1</f>
        <v>-20.309999999999999</v>
      </c>
      <c r="IC114" s="39">
        <f>(IF(WEEKDAY(IC$82,2)&gt;5,0,22.51))*-1</f>
        <v>-22.51</v>
      </c>
      <c r="ID114" s="39">
        <f>(IF(WEEKDAY(ID$82,2)&gt;5,0,21.11))*-1</f>
        <v>-21.11</v>
      </c>
      <c r="IE114" s="39">
        <f>(IF(WEEKDAY(IE$82,2)&gt;5,0,20.88))*-1</f>
        <v>-20.88</v>
      </c>
      <c r="IF114" s="39">
        <f>(IF(WEEKDAY(IF$82,2)&gt;5,0,17.49))*-1</f>
        <v>-17.489999999999998</v>
      </c>
      <c r="IG114" s="39">
        <f>(IF(WEEKDAY(IG$82,2)&gt;5,0,18))*-1</f>
        <v>0</v>
      </c>
      <c r="IH114" s="39">
        <f>(IF(WEEKDAY(IH$82,2)&gt;5,0,17.33))*-1</f>
        <v>0</v>
      </c>
      <c r="II114" s="39">
        <f>(IF(WEEKDAY(II$82,2)&gt;5,0,17.61))*-1</f>
        <v>-17.61</v>
      </c>
      <c r="IJ114" s="39">
        <f>(IF(WEEKDAY(IJ$82,2)&gt;5,0,20.85))*-1</f>
        <v>-20.85</v>
      </c>
      <c r="IK114" s="39">
        <f>(IF(WEEKDAY(IK$82,2)&gt;5,0,18.41))*-1</f>
        <v>-18.41</v>
      </c>
      <c r="IL114" s="39">
        <f>(IF(WEEKDAY(IL$82,2)&gt;5,0,22.08))*-1</f>
        <v>-22.08</v>
      </c>
    </row>
    <row r="115" spans="1:246" x14ac:dyDescent="0.3">
      <c r="A115" t="s">
        <v>97</v>
      </c>
      <c r="B115" s="39">
        <f>(IF(WEEKDAY(B$82,2)&gt;5,0,37.59))*-1</f>
        <v>-37.590000000000003</v>
      </c>
      <c r="C115" s="39">
        <f>(IF(WEEKDAY(C$82,2)&gt;5,0,36.21))*-1</f>
        <v>0</v>
      </c>
      <c r="D115" s="39">
        <f>(IF(WEEKDAY(D$82,2)&gt;5,0,32.88))*-1</f>
        <v>0</v>
      </c>
      <c r="E115" s="39">
        <f>(IF(WEEKDAY(E$82,2)&gt;5,0,30.68))*-1</f>
        <v>-30.68</v>
      </c>
      <c r="F115" s="39">
        <f>(IF(WEEKDAY(F$82,2)&gt;5,0,30.69))*-1</f>
        <v>-30.69</v>
      </c>
      <c r="G115" s="39">
        <f>(IF(WEEKDAY(G$82,2)&gt;5,0,39.09))*-1</f>
        <v>-39.090000000000003</v>
      </c>
      <c r="H115" s="39">
        <f>(IF(WEEKDAY(H$82,2)&gt;5,0,38.49))*-1</f>
        <v>-38.49</v>
      </c>
      <c r="I115" s="39">
        <f>(IF(WEEKDAY(I$82,2)&gt;5,0,30.04))*-1</f>
        <v>-30.04</v>
      </c>
      <c r="J115" s="39">
        <f>(IF(WEEKDAY(J$82,2)&gt;5,0,40.2))*-1</f>
        <v>0</v>
      </c>
      <c r="K115" s="39">
        <f>(IF(WEEKDAY(K$82,2)&gt;5,0,31.03))*-1</f>
        <v>0</v>
      </c>
      <c r="L115" s="39">
        <f>(IF(WEEKDAY(L$82,2)&gt;5,0,34.09))*-1</f>
        <v>-34.090000000000003</v>
      </c>
      <c r="M115" s="39">
        <f>(IF(WEEKDAY(M$82,2)&gt;5,0,37.52))*-1</f>
        <v>-37.520000000000003</v>
      </c>
      <c r="N115" s="39">
        <f>(IF(WEEKDAY(N$82,2)&gt;5,0,32.92))*-1</f>
        <v>-32.92</v>
      </c>
      <c r="O115" s="39">
        <f>(IF(WEEKDAY(O$82,2)&gt;5,0,33.25))*-1</f>
        <v>-33.25</v>
      </c>
      <c r="P115" s="39">
        <f>(IF(WEEKDAY(P$82,2)&gt;5,0,40.04))*-1</f>
        <v>-40.04</v>
      </c>
      <c r="Q115" s="39">
        <f>(IF(WEEKDAY(Q$82,2)&gt;5,0,35.98))*-1</f>
        <v>0</v>
      </c>
      <c r="R115" s="39">
        <f>(IF(WEEKDAY(R$82,2)&gt;5,0,39.6))*-1</f>
        <v>0</v>
      </c>
      <c r="S115" s="39">
        <f>(IF(WEEKDAY(S$82,2)&gt;5,0,39.9))*-1</f>
        <v>-39.9</v>
      </c>
      <c r="T115" s="39">
        <f>(IF(WEEKDAY(T$82,2)&gt;5,0,37.96))*-1</f>
        <v>-37.96</v>
      </c>
      <c r="U115" s="39">
        <f>(IF(WEEKDAY(U$82,2)&gt;5,0,37.56))*-1</f>
        <v>-37.56</v>
      </c>
      <c r="V115" s="39">
        <f>(IF(WEEKDAY(V$82,2)&gt;5,0,37.9))*-1</f>
        <v>-37.9</v>
      </c>
      <c r="W115" s="39">
        <f>(IF(WEEKDAY(W$82,2)&gt;5,0,34.02))*-1</f>
        <v>-34.020000000000003</v>
      </c>
      <c r="X115" s="39">
        <f>(IF(WEEKDAY(X$82,2)&gt;5,0,31.58))*-1</f>
        <v>0</v>
      </c>
      <c r="Y115" s="39">
        <f>(IF(WEEKDAY(Y$82,2)&gt;5,0,36.69))*-1</f>
        <v>0</v>
      </c>
      <c r="Z115" s="39">
        <f>(IF(WEEKDAY(Z$82,2)&gt;5,0,34.01))*-1</f>
        <v>-34.01</v>
      </c>
      <c r="AA115" s="39">
        <f>(IF(WEEKDAY(AA$82,2)&gt;5,0,36.41))*-1</f>
        <v>-36.409999999999997</v>
      </c>
      <c r="AB115" s="39">
        <f>(IF(WEEKDAY(AB$82,2)&gt;5,0,32.06))*-1</f>
        <v>-32.06</v>
      </c>
      <c r="AC115" s="39">
        <f>(IF(WEEKDAY(AC$82,2)&gt;5,0,34.74))*-1</f>
        <v>-34.74</v>
      </c>
      <c r="AD115" s="39">
        <f>(IF(WEEKDAY(AD$82,2)&gt;5,0,39.83))*-1</f>
        <v>-39.83</v>
      </c>
      <c r="AE115" s="39">
        <f>(IF(WEEKDAY(AE$82,2)&gt;5,0,34.6))*-1</f>
        <v>0</v>
      </c>
      <c r="AF115" s="39">
        <f>(IF(WEEKDAY(AF$82,2)&gt;5,0,34.94))*-1</f>
        <v>0</v>
      </c>
      <c r="AG115" s="39">
        <f>(IF(WEEKDAY(AG$82,2)&gt;5,0,31.15))*-1</f>
        <v>-31.15</v>
      </c>
      <c r="AH115" s="39">
        <f>(IF(WEEKDAY(AH$82,2)&gt;5,0,31.23))*-1</f>
        <v>-31.23</v>
      </c>
      <c r="AI115" s="39">
        <f>(IF(WEEKDAY(AI$82,2)&gt;5,0,34.75))*-1</f>
        <v>-34.75</v>
      </c>
      <c r="AJ115" s="39">
        <f>(IF(WEEKDAY(AJ$82,2)&gt;5,0,32.09))*-1</f>
        <v>-32.090000000000003</v>
      </c>
      <c r="AK115" s="39">
        <f>(IF(WEEKDAY(AK$82,2)&gt;5,0,32.43))*-1</f>
        <v>-32.43</v>
      </c>
      <c r="AL115" s="39">
        <f>(IF(WEEKDAY(AL$82,2)&gt;5,0,38.98))*-1</f>
        <v>0</v>
      </c>
      <c r="AM115" s="39">
        <f>(IF(WEEKDAY(AM$82,2)&gt;5,0,32.61))*-1</f>
        <v>0</v>
      </c>
      <c r="AN115" s="39">
        <f>(IF(WEEKDAY(AN$82,2)&gt;5,0,39.84))*-1</f>
        <v>-39.840000000000003</v>
      </c>
      <c r="AO115" s="39">
        <f>(IF(WEEKDAY(AO$82,2)&gt;5,0,39.18))*-1</f>
        <v>-39.18</v>
      </c>
      <c r="AP115" s="39">
        <f>(IF(WEEKDAY(AP$82,2)&gt;5,0,38.54))*-1</f>
        <v>-38.54</v>
      </c>
      <c r="AQ115" s="39">
        <f>(IF(WEEKDAY(AQ$82,2)&gt;5,0,32.71))*-1</f>
        <v>-32.71</v>
      </c>
      <c r="AR115" s="39">
        <f>(IF(WEEKDAY(AR$82,2)&gt;5,0,38.17))*-1</f>
        <v>-38.17</v>
      </c>
      <c r="AS115" s="39">
        <f>(IF(WEEKDAY(AS$82,2)&gt;5,0,37.57))*-1</f>
        <v>0</v>
      </c>
      <c r="AT115" s="39">
        <f>(IF(WEEKDAY(AT$82,2)&gt;5,0,30.48))*-1</f>
        <v>0</v>
      </c>
      <c r="AU115" s="39">
        <f>(IF(WEEKDAY(AU$82,2)&gt;5,0,32.11))*-1</f>
        <v>-32.11</v>
      </c>
      <c r="AV115" s="39">
        <f>(IF(WEEKDAY(AV$82,2)&gt;5,0,33.93))*-1</f>
        <v>-33.93</v>
      </c>
      <c r="AW115" s="39">
        <f>(IF(WEEKDAY(AW$82,2)&gt;5,0,32.76))*-1</f>
        <v>-32.76</v>
      </c>
      <c r="AX115" s="39">
        <f>(IF(WEEKDAY(AX$82,2)&gt;5,0,34.27))*-1</f>
        <v>-34.270000000000003</v>
      </c>
      <c r="AY115" s="39">
        <f>(IF(WEEKDAY(AY$82,2)&gt;5,0,37.32))*-1</f>
        <v>-37.32</v>
      </c>
      <c r="AZ115" s="39">
        <f>(IF(WEEKDAY(AZ$82,2)&gt;5,0,32.77))*-1</f>
        <v>0</v>
      </c>
      <c r="BA115" s="39">
        <f>(IF(WEEKDAY(BA$82,2)&gt;5,0,34.61))*-1</f>
        <v>0</v>
      </c>
      <c r="BB115" s="39">
        <f>(IF(WEEKDAY(BB$82,2)&gt;5,0,34.44))*-1</f>
        <v>-34.44</v>
      </c>
      <c r="BC115" s="39">
        <f>(IF(WEEKDAY(BC$82,2)&gt;5,0,37.97))*-1</f>
        <v>-37.97</v>
      </c>
      <c r="BD115" s="39">
        <f>(IF(WEEKDAY(BD$82,2)&gt;5,0,31.57))*-1</f>
        <v>-31.57</v>
      </c>
      <c r="BE115" s="39">
        <f>(IF(WEEKDAY(BE$82,2)&gt;5,0,34.69))*-1</f>
        <v>-34.69</v>
      </c>
      <c r="BF115" s="39">
        <f>(IF(WEEKDAY(BF$82,2)&gt;5,0,32.18))*-1</f>
        <v>-32.18</v>
      </c>
      <c r="BG115" s="39">
        <f>(IF(WEEKDAY(BG$82,2)&gt;5,0,36.07))*-1</f>
        <v>0</v>
      </c>
      <c r="BH115" s="39">
        <f>(IF(WEEKDAY(BH$82,2)&gt;5,0,35.69))*-1</f>
        <v>0</v>
      </c>
      <c r="BI115" s="39">
        <f>(IF(WEEKDAY(BI$82,2)&gt;5,0,35.79))*-1</f>
        <v>-35.79</v>
      </c>
      <c r="BJ115" s="39">
        <f>(IF(WEEKDAY(BJ$82,2)&gt;5,0,40.25))*-1</f>
        <v>-40.25</v>
      </c>
      <c r="BK115" s="39">
        <f>(IF(WEEKDAY(BK$82,2)&gt;5,0,34.94))*-1</f>
        <v>-34.94</v>
      </c>
      <c r="BL115" s="39">
        <f>(IF(WEEKDAY(BL$82,2)&gt;5,0,29.9))*-1</f>
        <v>-29.9</v>
      </c>
      <c r="BM115" s="39">
        <f>(IF(WEEKDAY(BM$82,2)&gt;5,0,33.59))*-1</f>
        <v>-33.590000000000003</v>
      </c>
      <c r="BN115" s="39">
        <f>(IF(WEEKDAY(BN$82,2)&gt;5,0,37.46))*-1</f>
        <v>0</v>
      </c>
      <c r="BO115" s="39">
        <f>(IF(WEEKDAY(BO$82,2)&gt;5,0,38.95))*-1</f>
        <v>0</v>
      </c>
      <c r="BP115" s="39">
        <f>(IF(WEEKDAY(BP$82,2)&gt;5,0,34.5))*-1</f>
        <v>-34.5</v>
      </c>
      <c r="BQ115" s="39">
        <f>(IF(WEEKDAY(BQ$82,2)&gt;5,0,38.51))*-1</f>
        <v>-38.51</v>
      </c>
      <c r="BR115" s="39">
        <f>(IF(WEEKDAY(BR$82,2)&gt;5,0,39.57))*-1</f>
        <v>-39.57</v>
      </c>
      <c r="BS115" s="39">
        <f>(IF(WEEKDAY(BS$82,2)&gt;5,0,31.84))*-1</f>
        <v>-31.84</v>
      </c>
      <c r="BT115" s="39">
        <f>(IF(WEEKDAY(BT$82,2)&gt;5,0,36.38))*-1</f>
        <v>-36.380000000000003</v>
      </c>
      <c r="BU115" s="39">
        <f>(IF(WEEKDAY(BU$82,2)&gt;5,0,40.13))*-1</f>
        <v>0</v>
      </c>
      <c r="BV115" s="39">
        <f>(IF(WEEKDAY(BV$82,2)&gt;5,0,31.78))*-1</f>
        <v>0</v>
      </c>
      <c r="BW115" s="39">
        <f>(IF(WEEKDAY(BW$82,2)&gt;5,0,30.8))*-1</f>
        <v>-30.8</v>
      </c>
      <c r="BX115" s="39">
        <f>(IF(WEEKDAY(BX$82,2)&gt;5,0,35.71))*-1</f>
        <v>-35.71</v>
      </c>
      <c r="BY115" s="39">
        <f>(IF(WEEKDAY(BY$82,2)&gt;5,0,38.81))*-1</f>
        <v>-38.81</v>
      </c>
      <c r="BZ115" s="39">
        <f>(IF(WEEKDAY(BZ$82,2)&gt;5,0,37.66))*-1</f>
        <v>-37.659999999999997</v>
      </c>
      <c r="CA115" s="39">
        <f>(IF(WEEKDAY(CA$82,2)&gt;5,0,30.12))*-1</f>
        <v>-30.12</v>
      </c>
      <c r="CB115" s="39">
        <f>(IF(WEEKDAY(CB$82,2)&gt;5,0,34.56))*-1</f>
        <v>0</v>
      </c>
      <c r="CC115" s="39">
        <f>(IF(WEEKDAY(CC$82,2)&gt;5,0,36))*-1</f>
        <v>0</v>
      </c>
      <c r="CD115" s="39">
        <f>(IF(WEEKDAY(CD$82,2)&gt;5,0,29.81))*-1</f>
        <v>-29.81</v>
      </c>
      <c r="CE115" s="39">
        <f>(IF(WEEKDAY(CE$82,2)&gt;5,0,35.37))*-1</f>
        <v>-35.369999999999997</v>
      </c>
      <c r="CF115" s="39">
        <f>(IF(WEEKDAY(CF$82,2)&gt;5,0,33.34))*-1</f>
        <v>-33.340000000000003</v>
      </c>
      <c r="CG115" s="39">
        <f>(IF(WEEKDAY(CG$82,2)&gt;5,0,36.82))*-1</f>
        <v>-36.82</v>
      </c>
      <c r="CH115" s="39">
        <f>(IF(WEEKDAY(CH$82,2)&gt;5,0,35.24))*-1</f>
        <v>-35.24</v>
      </c>
      <c r="CI115" s="39">
        <f>(IF(WEEKDAY(CI$82,2)&gt;5,0,40.21))*-1</f>
        <v>0</v>
      </c>
      <c r="CJ115" s="39">
        <f>(IF(WEEKDAY(CJ$82,2)&gt;5,0,33.61))*-1</f>
        <v>0</v>
      </c>
      <c r="CK115" s="39">
        <f>(IF(WEEKDAY(CK$82,2)&gt;5,0,33.51))*-1</f>
        <v>-33.51</v>
      </c>
      <c r="CL115" s="39">
        <f>(IF(WEEKDAY(CL$82,2)&gt;5,0,33.27))*-1</f>
        <v>-33.270000000000003</v>
      </c>
      <c r="CM115" s="39">
        <f>(IF(WEEKDAY(CM$82,2)&gt;5,0,33.88))*-1</f>
        <v>-33.880000000000003</v>
      </c>
      <c r="CN115" s="39">
        <f>(IF(WEEKDAY(CN$82,2)&gt;5,0,30.64))*-1</f>
        <v>-30.64</v>
      </c>
      <c r="CO115" s="39">
        <f>(IF(WEEKDAY(CO$82,2)&gt;5,0,33.87))*-1</f>
        <v>-33.869999999999997</v>
      </c>
      <c r="CP115" s="39">
        <f>(IF(WEEKDAY(CP$82,2)&gt;5,0,32.66))*-1</f>
        <v>0</v>
      </c>
      <c r="CQ115" s="39">
        <f>(IF(WEEKDAY(CQ$82,2)&gt;5,0,36.36))*-1</f>
        <v>0</v>
      </c>
      <c r="CR115" s="39">
        <f>(IF(WEEKDAY(CR$82,2)&gt;5,0,33.59))*-1</f>
        <v>-33.590000000000003</v>
      </c>
      <c r="CS115" s="39">
        <f>(IF(WEEKDAY(CS$82,2)&gt;5,0,35.41))*-1</f>
        <v>-35.409999999999997</v>
      </c>
      <c r="CT115" s="39">
        <f>(IF(WEEKDAY(CT$82,2)&gt;5,0,33.91))*-1</f>
        <v>-33.909999999999997</v>
      </c>
      <c r="CU115" s="39">
        <f>(IF(WEEKDAY(CU$82,2)&gt;5,0,33.62))*-1</f>
        <v>-33.619999999999997</v>
      </c>
      <c r="CV115" s="39">
        <f>(IF(WEEKDAY(CV$82,2)&gt;5,0,37.47))*-1</f>
        <v>-37.47</v>
      </c>
      <c r="CW115" s="39">
        <f>(IF(WEEKDAY(CW$82,2)&gt;5,0,30.8))*-1</f>
        <v>0</v>
      </c>
      <c r="CX115" s="39">
        <f>(IF(WEEKDAY(CX$82,2)&gt;5,0,34.83))*-1</f>
        <v>0</v>
      </c>
      <c r="CY115" s="39">
        <f>(IF(WEEKDAY(CY$82,2)&gt;5,0,36.8))*-1</f>
        <v>-36.799999999999997</v>
      </c>
      <c r="CZ115" s="39">
        <f>(IF(WEEKDAY(CZ$82,2)&gt;5,0,30.32))*-1</f>
        <v>-30.32</v>
      </c>
      <c r="DA115" s="39">
        <f>(IF(WEEKDAY(DA$82,2)&gt;5,0,37.43))*-1</f>
        <v>-37.43</v>
      </c>
      <c r="DB115" s="39">
        <f>(IF(WEEKDAY(DB$82,2)&gt;5,0,40.15))*-1</f>
        <v>-40.15</v>
      </c>
      <c r="DC115" s="39">
        <f>(IF(WEEKDAY(DC$82,2)&gt;5,0,30.05))*-1</f>
        <v>-30.05</v>
      </c>
      <c r="DD115" s="39">
        <f>(IF(WEEKDAY(DD$82,2)&gt;5,0,30.5))*-1</f>
        <v>0</v>
      </c>
      <c r="DE115" s="39">
        <f>(IF(WEEKDAY(DE$82,2)&gt;5,0,34.32))*-1</f>
        <v>0</v>
      </c>
      <c r="DF115" s="39">
        <f>(IF(WEEKDAY(DF$82,2)&gt;5,0,29.88))*-1</f>
        <v>-29.88</v>
      </c>
      <c r="DG115" s="39">
        <f>(IF(WEEKDAY(DG$82,2)&gt;5,0,31.99))*-1</f>
        <v>-31.99</v>
      </c>
      <c r="DH115" s="39">
        <f>(IF(WEEKDAY(DH$82,2)&gt;5,0,35.79))*-1</f>
        <v>-35.79</v>
      </c>
      <c r="DI115" s="39">
        <f>(IF(WEEKDAY(DI$82,2)&gt;5,0,38.99))*-1</f>
        <v>-38.99</v>
      </c>
      <c r="DJ115" s="39">
        <f>(IF(WEEKDAY(DJ$82,2)&gt;5,0,30.56))*-1</f>
        <v>-30.56</v>
      </c>
      <c r="DK115" s="39">
        <f>(IF(WEEKDAY(DK$82,2)&gt;5,0,32.5))*-1</f>
        <v>0</v>
      </c>
      <c r="DL115" s="39">
        <f>(IF(WEEKDAY(DL$82,2)&gt;5,0,36.44))*-1</f>
        <v>0</v>
      </c>
      <c r="DM115" s="39">
        <f>(IF(WEEKDAY(DM$82,2)&gt;5,0,38.35))*-1</f>
        <v>-38.35</v>
      </c>
      <c r="DN115" s="39">
        <f>(IF(WEEKDAY(DN$82,2)&gt;5,0,29.88))*-1</f>
        <v>-29.88</v>
      </c>
      <c r="DO115" s="39">
        <f>(IF(WEEKDAY(DO$82,2)&gt;5,0,38.24))*-1</f>
        <v>-38.24</v>
      </c>
      <c r="DP115" s="39">
        <f>(IF(WEEKDAY(DP$82,2)&gt;5,0,38.61))*-1</f>
        <v>-38.61</v>
      </c>
      <c r="DQ115" s="39">
        <f>(IF(WEEKDAY(DQ$82,2)&gt;5,0,31.88))*-1</f>
        <v>-31.88</v>
      </c>
      <c r="DR115" s="39">
        <f>(IF(WEEKDAY(DR$82,2)&gt;5,0,35.68))*-1</f>
        <v>0</v>
      </c>
      <c r="DS115" s="39">
        <f>(IF(WEEKDAY(DS$82,2)&gt;5,0,35.55))*-1</f>
        <v>0</v>
      </c>
      <c r="DT115" s="39">
        <f>(IF(WEEKDAY(DT$82,2)&gt;5,0,31.66))*-1</f>
        <v>-31.66</v>
      </c>
      <c r="DU115" s="39">
        <f>(IF(WEEKDAY(DU$82,2)&gt;5,0,32.73))*-1</f>
        <v>-32.729999999999997</v>
      </c>
      <c r="DV115" s="39">
        <f>(IF(WEEKDAY(DV$82,2)&gt;5,0,39.76))*-1</f>
        <v>-39.76</v>
      </c>
      <c r="DW115" s="39">
        <f>(IF(WEEKDAY(DW$82,2)&gt;5,0,31.5))*-1</f>
        <v>-31.5</v>
      </c>
      <c r="DX115" s="39">
        <f>(IF(WEEKDAY(DX$82,2)&gt;5,0,31.84))*-1</f>
        <v>-31.84</v>
      </c>
      <c r="DY115" s="39">
        <f>(IF(WEEKDAY(DY$82,2)&gt;5,0,30.86))*-1</f>
        <v>0</v>
      </c>
      <c r="DZ115" s="39">
        <f>(IF(WEEKDAY(DZ$82,2)&gt;5,0,34.4))*-1</f>
        <v>0</v>
      </c>
      <c r="EA115" s="39">
        <f>(IF(WEEKDAY(EA$82,2)&gt;5,0,32.09))*-1</f>
        <v>-32.090000000000003</v>
      </c>
      <c r="EB115" s="39">
        <f>(IF(WEEKDAY(EB$82,2)&gt;5,0,37.99))*-1</f>
        <v>-37.99</v>
      </c>
      <c r="EC115" s="39">
        <f>(IF(WEEKDAY(EC$82,2)&gt;5,0,35.15))*-1</f>
        <v>-35.15</v>
      </c>
      <c r="ED115" s="39">
        <f>(IF(WEEKDAY(ED$82,2)&gt;5,0,38.78))*-1</f>
        <v>-38.78</v>
      </c>
      <c r="EE115" s="39">
        <f>(IF(WEEKDAY(EE$82,2)&gt;5,0,34.8))*-1</f>
        <v>-34.799999999999997</v>
      </c>
      <c r="EF115" s="39">
        <f>(IF(WEEKDAY(EF$82,2)&gt;5,0,37.63))*-1</f>
        <v>0</v>
      </c>
      <c r="EG115" s="39">
        <f>(IF(WEEKDAY(EG$82,2)&gt;5,0,31.4))*-1</f>
        <v>0</v>
      </c>
      <c r="EH115" s="39">
        <f>(IF(WEEKDAY(EH$82,2)&gt;5,0,36.69))*-1</f>
        <v>-36.69</v>
      </c>
      <c r="EI115" s="39">
        <f>(IF(WEEKDAY(EI$82,2)&gt;5,0,30.78))*-1</f>
        <v>-30.78</v>
      </c>
      <c r="EJ115" s="39">
        <f>(IF(WEEKDAY(EJ$82,2)&gt;5,0,37.17))*-1</f>
        <v>-37.17</v>
      </c>
      <c r="EK115" s="39">
        <f>(IF(WEEKDAY(EK$82,2)&gt;5,0,31.78))*-1</f>
        <v>-31.78</v>
      </c>
      <c r="EL115" s="39">
        <f>(IF(WEEKDAY(EL$82,2)&gt;5,0,31.64))*-1</f>
        <v>-31.64</v>
      </c>
      <c r="EM115" s="39">
        <f>(IF(WEEKDAY(EM$82,2)&gt;5,0,39.68))*-1</f>
        <v>0</v>
      </c>
      <c r="EN115" s="39">
        <f>(IF(WEEKDAY(EN$82,2)&gt;5,0,40.19))*-1</f>
        <v>0</v>
      </c>
      <c r="EO115" s="39">
        <f>(IF(WEEKDAY(EO$82,2)&gt;5,0,32.49))*-1</f>
        <v>-32.49</v>
      </c>
      <c r="EP115" s="39">
        <f>(IF(WEEKDAY(EP$82,2)&gt;5,0,30.47))*-1</f>
        <v>-30.47</v>
      </c>
      <c r="EQ115" s="39">
        <f>(IF(WEEKDAY(EQ$82,2)&gt;5,0,30.99))*-1</f>
        <v>-30.99</v>
      </c>
      <c r="ER115" s="39">
        <f>(IF(WEEKDAY(ER$82,2)&gt;5,0,38.83))*-1</f>
        <v>-38.83</v>
      </c>
      <c r="ES115" s="39">
        <f>(IF(WEEKDAY(ES$82,2)&gt;5,0,36.65))*-1</f>
        <v>-36.65</v>
      </c>
      <c r="ET115" s="39">
        <f>(IF(WEEKDAY(ET$82,2)&gt;5,0,39.48))*-1</f>
        <v>0</v>
      </c>
      <c r="EU115" s="39">
        <f>(IF(WEEKDAY(EU$82,2)&gt;5,0,32.65))*-1</f>
        <v>0</v>
      </c>
      <c r="EV115" s="39">
        <f>(IF(WEEKDAY(EV$82,2)&gt;5,0,39.19))*-1</f>
        <v>-39.19</v>
      </c>
      <c r="EW115" s="39">
        <f>(IF(WEEKDAY(EW$82,2)&gt;5,0,29.86))*-1</f>
        <v>-29.86</v>
      </c>
      <c r="EX115" s="39">
        <f>(IF(WEEKDAY(EX$82,2)&gt;5,0,30.72))*-1</f>
        <v>-30.72</v>
      </c>
      <c r="EY115" s="39">
        <f>(IF(WEEKDAY(EY$82,2)&gt;5,0,34.34))*-1</f>
        <v>-34.340000000000003</v>
      </c>
      <c r="EZ115" s="39">
        <f>(IF(WEEKDAY(EZ$82,2)&gt;5,0,35.03))*-1</f>
        <v>-35.03</v>
      </c>
      <c r="FA115" s="39">
        <f>(IF(WEEKDAY(FA$82,2)&gt;5,0,39.96))*-1</f>
        <v>0</v>
      </c>
      <c r="FB115" s="39">
        <f>(IF(WEEKDAY(FB$82,2)&gt;5,0,35.96))*-1</f>
        <v>0</v>
      </c>
      <c r="FC115" s="39">
        <f>(IF(WEEKDAY(FC$82,2)&gt;5,0,35.05))*-1</f>
        <v>-35.049999999999997</v>
      </c>
      <c r="FD115" s="39">
        <f>(IF(WEEKDAY(FD$82,2)&gt;5,0,31.39))*-1</f>
        <v>-31.39</v>
      </c>
      <c r="FE115" s="39">
        <f>(IF(WEEKDAY(FE$82,2)&gt;5,0,34.07))*-1</f>
        <v>-34.07</v>
      </c>
      <c r="FF115" s="39">
        <f>(IF(WEEKDAY(FF$82,2)&gt;5,0,34.08))*-1</f>
        <v>-34.08</v>
      </c>
      <c r="FG115" s="39">
        <f>(IF(WEEKDAY(FG$82,2)&gt;5,0,32.86))*-1</f>
        <v>-32.86</v>
      </c>
      <c r="FH115" s="39">
        <f>(IF(WEEKDAY(FH$82,2)&gt;5,0,35.33))*-1</f>
        <v>0</v>
      </c>
      <c r="FI115" s="39">
        <f>(IF(WEEKDAY(FI$82,2)&gt;5,0,37.78))*-1</f>
        <v>0</v>
      </c>
      <c r="FJ115" s="39">
        <f>(IF(WEEKDAY(FJ$82,2)&gt;5,0,31.79))*-1</f>
        <v>-31.79</v>
      </c>
      <c r="FK115" s="39">
        <f>(IF(WEEKDAY(FK$82,2)&gt;5,0,36.83))*-1</f>
        <v>-36.83</v>
      </c>
      <c r="FL115" s="39">
        <f>(IF(WEEKDAY(FL$82,2)&gt;5,0,39.94))*-1</f>
        <v>-39.94</v>
      </c>
      <c r="FM115" s="39">
        <f>(IF(WEEKDAY(FM$82,2)&gt;5,0,39.5))*-1</f>
        <v>-39.5</v>
      </c>
      <c r="FN115" s="39">
        <f>(IF(WEEKDAY(FN$82,2)&gt;5,0,33.53))*-1</f>
        <v>-33.53</v>
      </c>
      <c r="FO115" s="39">
        <f>(IF(WEEKDAY(FO$82,2)&gt;5,0,31.92))*-1</f>
        <v>0</v>
      </c>
      <c r="FP115" s="39">
        <f>(IF(WEEKDAY(FP$82,2)&gt;5,0,37.97))*-1</f>
        <v>0</v>
      </c>
      <c r="FQ115" s="39">
        <f>(IF(WEEKDAY(FQ$82,2)&gt;5,0,37.68))*-1</f>
        <v>-37.68</v>
      </c>
      <c r="FR115" s="39">
        <f>(IF(WEEKDAY(FR$82,2)&gt;5,0,39.48))*-1</f>
        <v>-39.479999999999997</v>
      </c>
      <c r="FS115" s="39">
        <f>(IF(WEEKDAY(FS$82,2)&gt;5,0,37.61))*-1</f>
        <v>-37.61</v>
      </c>
      <c r="FT115" s="39">
        <f>(IF(WEEKDAY(FT$82,2)&gt;5,0,36.45))*-1</f>
        <v>-36.450000000000003</v>
      </c>
      <c r="FU115" s="39">
        <f>(IF(WEEKDAY(FU$82,2)&gt;5,0,37.13))*-1</f>
        <v>-37.130000000000003</v>
      </c>
      <c r="FV115" s="39">
        <f>(IF(WEEKDAY(FV$82,2)&gt;5,0,38.04))*-1</f>
        <v>0</v>
      </c>
      <c r="FW115" s="39">
        <f>(IF(WEEKDAY(FW$82,2)&gt;5,0,39.65))*-1</f>
        <v>0</v>
      </c>
      <c r="FX115" s="39">
        <f>(IF(WEEKDAY(FX$82,2)&gt;5,0,34.83))*-1</f>
        <v>-34.83</v>
      </c>
      <c r="FY115" s="39">
        <f>(IF(WEEKDAY(FY$82,2)&gt;5,0,31.63))*-1</f>
        <v>-31.63</v>
      </c>
      <c r="FZ115" s="39">
        <f>(IF(WEEKDAY(FZ$82,2)&gt;5,0,32.34))*-1</f>
        <v>-32.340000000000003</v>
      </c>
      <c r="GA115" s="39">
        <f>(IF(WEEKDAY(GA$82,2)&gt;5,0,35.85))*-1</f>
        <v>-35.85</v>
      </c>
      <c r="GB115" s="39">
        <f>(IF(WEEKDAY(GB$82,2)&gt;5,0,35.72))*-1</f>
        <v>-35.72</v>
      </c>
      <c r="GC115" s="39">
        <f>(IF(WEEKDAY(GC$82,2)&gt;5,0,31.06))*-1</f>
        <v>0</v>
      </c>
      <c r="GD115" s="39">
        <f>(IF(WEEKDAY(GD$82,2)&gt;5,0,34.45))*-1</f>
        <v>0</v>
      </c>
      <c r="GE115" s="39">
        <f>(IF(WEEKDAY(GE$82,2)&gt;5,0,37.18))*-1</f>
        <v>-37.18</v>
      </c>
      <c r="GF115" s="39">
        <f>(IF(WEEKDAY(GF$82,2)&gt;5,0,33.59))*-1</f>
        <v>-33.590000000000003</v>
      </c>
      <c r="GG115" s="39">
        <f>(IF(WEEKDAY(GG$82,2)&gt;5,0,30.43))*-1</f>
        <v>-30.43</v>
      </c>
      <c r="GH115" s="39">
        <f>(IF(WEEKDAY(GH$82,2)&gt;5,0,32.76))*-1</f>
        <v>-32.76</v>
      </c>
      <c r="GI115" s="39">
        <f>(IF(WEEKDAY(GI$82,2)&gt;5,0,33.5))*-1</f>
        <v>-33.5</v>
      </c>
      <c r="GJ115" s="39">
        <f>(IF(WEEKDAY(GJ$82,2)&gt;5,0,39.5))*-1</f>
        <v>0</v>
      </c>
      <c r="GK115" s="39">
        <f>(IF(WEEKDAY(GK$82,2)&gt;5,0,39.69))*-1</f>
        <v>0</v>
      </c>
      <c r="GL115" s="39">
        <f>(IF(WEEKDAY(GL$82,2)&gt;5,0,38.75))*-1</f>
        <v>-38.75</v>
      </c>
      <c r="GM115" s="39">
        <f>(IF(WEEKDAY(GM$82,2)&gt;5,0,39.96))*-1</f>
        <v>-39.96</v>
      </c>
      <c r="GN115" s="39">
        <f>(IF(WEEKDAY(GN$82,2)&gt;5,0,40.17))*-1</f>
        <v>-40.17</v>
      </c>
      <c r="GO115" s="39">
        <f>(IF(WEEKDAY(GO$82,2)&gt;5,0,30.45))*-1</f>
        <v>-30.45</v>
      </c>
      <c r="GP115" s="39">
        <f>(IF(WEEKDAY(GP$82,2)&gt;5,0,34.96))*-1</f>
        <v>-34.96</v>
      </c>
      <c r="GQ115" s="39">
        <f>(IF(WEEKDAY(GQ$82,2)&gt;5,0,36.07))*-1</f>
        <v>0</v>
      </c>
      <c r="GR115" s="39">
        <f>(IF(WEEKDAY(GR$82,2)&gt;5,0,34.57))*-1</f>
        <v>0</v>
      </c>
      <c r="GS115" s="39">
        <f>(IF(WEEKDAY(GS$82,2)&gt;5,0,32.67))*-1</f>
        <v>-32.67</v>
      </c>
      <c r="GT115" s="39">
        <f>(IF(WEEKDAY(GT$82,2)&gt;5,0,30.22))*-1</f>
        <v>-30.22</v>
      </c>
      <c r="GU115" s="39">
        <f>(IF(WEEKDAY(GU$82,2)&gt;5,0,31.59))*-1</f>
        <v>-31.59</v>
      </c>
      <c r="GV115" s="39">
        <f>(IF(WEEKDAY(GV$82,2)&gt;5,0,38.94))*-1</f>
        <v>-38.94</v>
      </c>
      <c r="GW115" s="39">
        <f>(IF(WEEKDAY(GW$82,2)&gt;5,0,30.84))*-1</f>
        <v>-30.84</v>
      </c>
      <c r="GX115" s="39">
        <f>(IF(WEEKDAY(GX$82,2)&gt;5,0,32.42))*-1</f>
        <v>0</v>
      </c>
      <c r="GY115" s="39">
        <f>(IF(WEEKDAY(GY$82,2)&gt;5,0,38.54))*-1</f>
        <v>0</v>
      </c>
      <c r="GZ115" s="39">
        <f>(IF(WEEKDAY(GZ$82,2)&gt;5,0,30.71))*-1</f>
        <v>-30.71</v>
      </c>
      <c r="HA115" s="39">
        <f>(IF(WEEKDAY(HA$82,2)&gt;5,0,35.99))*-1</f>
        <v>-35.99</v>
      </c>
      <c r="HB115" s="39">
        <f>(IF(WEEKDAY(HB$82,2)&gt;5,0,29.76))*-1</f>
        <v>-29.76</v>
      </c>
      <c r="HC115" s="39">
        <f>(IF(WEEKDAY(HC$82,2)&gt;5,0,37.8))*-1</f>
        <v>-37.799999999999997</v>
      </c>
      <c r="HD115" s="39">
        <f>(IF(WEEKDAY(HD$82,2)&gt;5,0,34.77))*-1</f>
        <v>-34.770000000000003</v>
      </c>
      <c r="HE115" s="39">
        <f>(IF(WEEKDAY(HE$82,2)&gt;5,0,36.7))*-1</f>
        <v>0</v>
      </c>
      <c r="HF115" s="39">
        <f>(IF(WEEKDAY(HF$82,2)&gt;5,0,39.58))*-1</f>
        <v>0</v>
      </c>
      <c r="HG115" s="39">
        <f>(IF(WEEKDAY(HG$82,2)&gt;5,0,33.14))*-1</f>
        <v>-33.14</v>
      </c>
      <c r="HH115" s="39">
        <f>(IF(WEEKDAY(HH$82,2)&gt;5,0,36.46))*-1</f>
        <v>-36.46</v>
      </c>
      <c r="HI115" s="39">
        <f>(IF(WEEKDAY(HI$82,2)&gt;5,0,35.42))*-1</f>
        <v>-35.42</v>
      </c>
      <c r="HJ115" s="39">
        <f>(IF(WEEKDAY(HJ$82,2)&gt;5,0,35.45))*-1</f>
        <v>-35.450000000000003</v>
      </c>
      <c r="HK115" s="39">
        <f>(IF(WEEKDAY(HK$82,2)&gt;5,0,31.32))*-1</f>
        <v>-31.32</v>
      </c>
      <c r="HL115" s="39">
        <f>(IF(WEEKDAY(HL$82,2)&gt;5,0,33.81))*-1</f>
        <v>0</v>
      </c>
      <c r="HM115" s="39">
        <f>(IF(WEEKDAY(HM$82,2)&gt;5,0,30.66))*-1</f>
        <v>0</v>
      </c>
      <c r="HN115" s="39">
        <f>(IF(WEEKDAY(HN$82,2)&gt;5,0,36.04))*-1</f>
        <v>-36.04</v>
      </c>
      <c r="HO115" s="39">
        <f>(IF(WEEKDAY(HO$82,2)&gt;5,0,29.95))*-1</f>
        <v>-29.95</v>
      </c>
      <c r="HP115" s="39">
        <f>(IF(WEEKDAY(HP$82,2)&gt;5,0,37.16))*-1</f>
        <v>-37.159999999999997</v>
      </c>
      <c r="HQ115" s="39">
        <f>(IF(WEEKDAY(HQ$82,2)&gt;5,0,37.11))*-1</f>
        <v>-37.11</v>
      </c>
      <c r="HR115" s="39">
        <f>(IF(WEEKDAY(HR$82,2)&gt;5,0,35.35))*-1</f>
        <v>-35.35</v>
      </c>
      <c r="HS115" s="39">
        <f>(IF(WEEKDAY(HS$82,2)&gt;5,0,30.65))*-1</f>
        <v>0</v>
      </c>
      <c r="HT115" s="39">
        <f>(IF(WEEKDAY(HT$82,2)&gt;5,0,31.27))*-1</f>
        <v>0</v>
      </c>
      <c r="HU115" s="39">
        <f>(IF(WEEKDAY(HU$82,2)&gt;5,0,30.68))*-1</f>
        <v>-30.68</v>
      </c>
      <c r="HV115" s="39">
        <f>(IF(WEEKDAY(HV$82,2)&gt;5,0,37.84))*-1</f>
        <v>-37.840000000000003</v>
      </c>
      <c r="HW115" s="39">
        <f>(IF(WEEKDAY(HW$82,2)&gt;5,0,39.62))*-1</f>
        <v>-39.619999999999997</v>
      </c>
      <c r="HX115" s="39">
        <f>(IF(WEEKDAY(HX$82,2)&gt;5,0,35.51))*-1</f>
        <v>-35.51</v>
      </c>
      <c r="HY115" s="39">
        <f>(IF(WEEKDAY(HY$82,2)&gt;5,0,37.2))*-1</f>
        <v>-37.200000000000003</v>
      </c>
      <c r="HZ115" s="39">
        <f>(IF(WEEKDAY(HZ$82,2)&gt;5,0,37.62))*-1</f>
        <v>0</v>
      </c>
      <c r="IA115" s="39">
        <f>(IF(WEEKDAY(IA$82,2)&gt;5,0,36.08))*-1</f>
        <v>0</v>
      </c>
      <c r="IB115" s="39">
        <f>(IF(WEEKDAY(IB$82,2)&gt;5,0,32))*-1</f>
        <v>-32</v>
      </c>
      <c r="IC115" s="39">
        <f>(IF(WEEKDAY(IC$82,2)&gt;5,0,30.83))*-1</f>
        <v>-30.83</v>
      </c>
      <c r="ID115" s="39">
        <f>(IF(WEEKDAY(ID$82,2)&gt;5,0,30.87))*-1</f>
        <v>-30.87</v>
      </c>
      <c r="IE115" s="39">
        <f>(IF(WEEKDAY(IE$82,2)&gt;5,0,38.44))*-1</f>
        <v>-38.44</v>
      </c>
      <c r="IF115" s="39">
        <f>(IF(WEEKDAY(IF$82,2)&gt;5,0,36.29))*-1</f>
        <v>-36.29</v>
      </c>
      <c r="IG115" s="39">
        <f>(IF(WEEKDAY(IG$82,2)&gt;5,0,32.37))*-1</f>
        <v>0</v>
      </c>
      <c r="IH115" s="39">
        <f>(IF(WEEKDAY(IH$82,2)&gt;5,0,33.92))*-1</f>
        <v>0</v>
      </c>
      <c r="II115" s="39">
        <f>(IF(WEEKDAY(II$82,2)&gt;5,0,36.32))*-1</f>
        <v>-36.32</v>
      </c>
      <c r="IJ115" s="39">
        <f>(IF(WEEKDAY(IJ$82,2)&gt;5,0,37.4))*-1</f>
        <v>-37.4</v>
      </c>
      <c r="IK115" s="39">
        <f>(IF(WEEKDAY(IK$82,2)&gt;5,0,35.29))*-1</f>
        <v>-35.29</v>
      </c>
      <c r="IL115" s="39">
        <f>(IF(WEEKDAY(IL$82,2)&gt;5,0,31.19))*-1</f>
        <v>-31.19</v>
      </c>
    </row>
    <row r="116" spans="1:246" x14ac:dyDescent="0.3">
      <c r="A116" t="s">
        <v>98</v>
      </c>
      <c r="B116" s="39">
        <f>(IF(WEEKDAY(B$82,2)&gt;5,0,224.02))*-1</f>
        <v>-224.02</v>
      </c>
      <c r="C116" s="39">
        <f>(IF(WEEKDAY(C$82,2)&gt;5,0,234.66))*-1</f>
        <v>0</v>
      </c>
      <c r="D116" s="39">
        <f>(IF(WEEKDAY(D$82,2)&gt;5,0,284.63))*-1</f>
        <v>0</v>
      </c>
      <c r="E116" s="39">
        <f>(IF(WEEKDAY(E$82,2)&gt;5,0,286.2))*-1</f>
        <v>-286.2</v>
      </c>
      <c r="F116" s="39">
        <f>(IF(WEEKDAY(F$82,2)&gt;5,0,254.75))*-1</f>
        <v>-254.75</v>
      </c>
      <c r="G116" s="39">
        <f>(IF(WEEKDAY(G$82,2)&gt;5,0,275.39))*-1</f>
        <v>-275.39</v>
      </c>
      <c r="H116" s="39">
        <f>(IF(WEEKDAY(H$82,2)&gt;5,0,267.68))*-1</f>
        <v>-267.68</v>
      </c>
      <c r="I116" s="39">
        <f>(IF(WEEKDAY(I$82,2)&gt;5,0,244.02))*-1</f>
        <v>-244.02</v>
      </c>
      <c r="J116" s="39">
        <f>(IF(WEEKDAY(J$82,2)&gt;5,0,254.38))*-1</f>
        <v>0</v>
      </c>
      <c r="K116" s="39">
        <f>(IF(WEEKDAY(K$82,2)&gt;5,0,213.23))*-1</f>
        <v>0</v>
      </c>
      <c r="L116" s="39">
        <f>(IF(WEEKDAY(L$82,2)&gt;5,0,216.68))*-1</f>
        <v>-216.68</v>
      </c>
      <c r="M116" s="39">
        <f>(IF(WEEKDAY(M$82,2)&gt;5,0,284.52))*-1</f>
        <v>-284.52</v>
      </c>
      <c r="N116" s="39">
        <f>(IF(WEEKDAY(N$82,2)&gt;5,0,216.62))*-1</f>
        <v>-216.62</v>
      </c>
      <c r="O116" s="39">
        <f>(IF(WEEKDAY(O$82,2)&gt;5,0,244.9))*-1</f>
        <v>-244.9</v>
      </c>
      <c r="P116" s="39">
        <f>(IF(WEEKDAY(P$82,2)&gt;5,0,219.08))*-1</f>
        <v>-219.08</v>
      </c>
      <c r="Q116" s="39">
        <f>(IF(WEEKDAY(Q$82,2)&gt;5,0,240.19))*-1</f>
        <v>0</v>
      </c>
      <c r="R116" s="39">
        <f>(IF(WEEKDAY(R$82,2)&gt;5,0,223.39))*-1</f>
        <v>0</v>
      </c>
      <c r="S116" s="39">
        <f>(IF(WEEKDAY(S$82,2)&gt;5,0,225.81))*-1</f>
        <v>-225.81</v>
      </c>
      <c r="T116" s="39">
        <f>(IF(WEEKDAY(T$82,2)&gt;5,0,267.81))*-1</f>
        <v>-267.81</v>
      </c>
      <c r="U116" s="39">
        <f>(IF(WEEKDAY(U$82,2)&gt;5,0,271.65))*-1</f>
        <v>-271.64999999999998</v>
      </c>
      <c r="V116" s="39">
        <f>(IF(WEEKDAY(V$82,2)&gt;5,0,231.72))*-1</f>
        <v>-231.72</v>
      </c>
      <c r="W116" s="39">
        <f>(IF(WEEKDAY(W$82,2)&gt;5,0,234.95))*-1</f>
        <v>-234.95</v>
      </c>
      <c r="X116" s="39">
        <f>(IF(WEEKDAY(X$82,2)&gt;5,0,234.21))*-1</f>
        <v>0</v>
      </c>
      <c r="Y116" s="39">
        <f>(IF(WEEKDAY(Y$82,2)&gt;5,0,267.58))*-1</f>
        <v>0</v>
      </c>
      <c r="Z116" s="39">
        <f>(IF(WEEKDAY(Z$82,2)&gt;5,0,252.9))*-1</f>
        <v>-252.9</v>
      </c>
      <c r="AA116" s="39">
        <f>(IF(WEEKDAY(AA$82,2)&gt;5,0,278.74))*-1</f>
        <v>-278.74</v>
      </c>
      <c r="AB116" s="39">
        <f>(IF(WEEKDAY(AB$82,2)&gt;5,0,250.92))*-1</f>
        <v>-250.92</v>
      </c>
      <c r="AC116" s="39">
        <f>(IF(WEEKDAY(AC$82,2)&gt;5,0,286.93))*-1</f>
        <v>-286.93</v>
      </c>
      <c r="AD116" s="39">
        <f>(IF(WEEKDAY(AD$82,2)&gt;5,0,233.99))*-1</f>
        <v>-233.99</v>
      </c>
      <c r="AE116" s="39">
        <f>(IF(WEEKDAY(AE$82,2)&gt;5,0,281.14))*-1</f>
        <v>0</v>
      </c>
      <c r="AF116" s="39">
        <f>(IF(WEEKDAY(AF$82,2)&gt;5,0,268.92))*-1</f>
        <v>0</v>
      </c>
      <c r="AG116" s="39">
        <f>(IF(WEEKDAY(AG$82,2)&gt;5,0,259.44))*-1</f>
        <v>-259.44</v>
      </c>
      <c r="AH116" s="39">
        <f>(IF(WEEKDAY(AH$82,2)&gt;5,0,235.18))*-1</f>
        <v>-235.18</v>
      </c>
      <c r="AI116" s="39">
        <f>(IF(WEEKDAY(AI$82,2)&gt;5,0,257.25))*-1</f>
        <v>-257.25</v>
      </c>
      <c r="AJ116" s="39">
        <f>(IF(WEEKDAY(AJ$82,2)&gt;5,0,264.66))*-1</f>
        <v>-264.66000000000003</v>
      </c>
      <c r="AK116" s="39">
        <f>(IF(WEEKDAY(AK$82,2)&gt;5,0,247.7))*-1</f>
        <v>-247.7</v>
      </c>
      <c r="AL116" s="39">
        <f>(IF(WEEKDAY(AL$82,2)&gt;5,0,245.79))*-1</f>
        <v>0</v>
      </c>
      <c r="AM116" s="39">
        <f>(IF(WEEKDAY(AM$82,2)&gt;5,0,245.86))*-1</f>
        <v>0</v>
      </c>
      <c r="AN116" s="39">
        <f>(IF(WEEKDAY(AN$82,2)&gt;5,0,266.38))*-1</f>
        <v>-266.38</v>
      </c>
      <c r="AO116" s="39">
        <f>(IF(WEEKDAY(AO$82,2)&gt;5,0,245.94))*-1</f>
        <v>-245.94</v>
      </c>
      <c r="AP116" s="39">
        <f>(IF(WEEKDAY(AP$82,2)&gt;5,0,270.5))*-1</f>
        <v>-270.5</v>
      </c>
      <c r="AQ116" s="39">
        <f>(IF(WEEKDAY(AQ$82,2)&gt;5,0,277.59))*-1</f>
        <v>-277.58999999999997</v>
      </c>
      <c r="AR116" s="39">
        <f>(IF(WEEKDAY(AR$82,2)&gt;5,0,281.15))*-1</f>
        <v>-281.14999999999998</v>
      </c>
      <c r="AS116" s="39">
        <f>(IF(WEEKDAY(AS$82,2)&gt;5,0,235.13))*-1</f>
        <v>0</v>
      </c>
      <c r="AT116" s="39">
        <f>(IF(WEEKDAY(AT$82,2)&gt;5,0,276.16))*-1</f>
        <v>0</v>
      </c>
      <c r="AU116" s="39">
        <f>(IF(WEEKDAY(AU$82,2)&gt;5,0,277.86))*-1</f>
        <v>-277.86</v>
      </c>
      <c r="AV116" s="39">
        <f>(IF(WEEKDAY(AV$82,2)&gt;5,0,230.7))*-1</f>
        <v>-230.7</v>
      </c>
      <c r="AW116" s="39">
        <f>(IF(WEEKDAY(AW$82,2)&gt;5,0,242.3))*-1</f>
        <v>-242.3</v>
      </c>
      <c r="AX116" s="39">
        <f>(IF(WEEKDAY(AX$82,2)&gt;5,0,248.82))*-1</f>
        <v>-248.82</v>
      </c>
      <c r="AY116" s="39">
        <f>(IF(WEEKDAY(AY$82,2)&gt;5,0,261.42))*-1</f>
        <v>-261.42</v>
      </c>
      <c r="AZ116" s="39">
        <f>(IF(WEEKDAY(AZ$82,2)&gt;5,0,268.44))*-1</f>
        <v>0</v>
      </c>
      <c r="BA116" s="39">
        <f>(IF(WEEKDAY(BA$82,2)&gt;5,0,265.13))*-1</f>
        <v>0</v>
      </c>
      <c r="BB116" s="39">
        <f>(IF(WEEKDAY(BB$82,2)&gt;5,0,241.46))*-1</f>
        <v>-241.46</v>
      </c>
      <c r="BC116" s="39">
        <f>(IF(WEEKDAY(BC$82,2)&gt;5,0,248.38))*-1</f>
        <v>-248.38</v>
      </c>
      <c r="BD116" s="39">
        <f>(IF(WEEKDAY(BD$82,2)&gt;5,0,232.2))*-1</f>
        <v>-232.2</v>
      </c>
      <c r="BE116" s="39">
        <f>(IF(WEEKDAY(BE$82,2)&gt;5,0,275.41))*-1</f>
        <v>-275.41000000000003</v>
      </c>
      <c r="BF116" s="39">
        <f>(IF(WEEKDAY(BF$82,2)&gt;5,0,283.9))*-1</f>
        <v>-283.89999999999998</v>
      </c>
      <c r="BG116" s="39">
        <f>(IF(WEEKDAY(BG$82,2)&gt;5,0,258))*-1</f>
        <v>0</v>
      </c>
      <c r="BH116" s="39">
        <f>(IF(WEEKDAY(BH$82,2)&gt;5,0,214.94))*-1</f>
        <v>0</v>
      </c>
      <c r="BI116" s="39">
        <f>(IF(WEEKDAY(BI$82,2)&gt;5,0,224.35))*-1</f>
        <v>-224.35</v>
      </c>
      <c r="BJ116" s="39">
        <f>(IF(WEEKDAY(BJ$82,2)&gt;5,0,258.78))*-1</f>
        <v>-258.77999999999997</v>
      </c>
      <c r="BK116" s="39">
        <f>(IF(WEEKDAY(BK$82,2)&gt;5,0,245.64))*-1</f>
        <v>-245.64</v>
      </c>
      <c r="BL116" s="39">
        <f>(IF(WEEKDAY(BL$82,2)&gt;5,0,267.67))*-1</f>
        <v>-267.67</v>
      </c>
      <c r="BM116" s="39">
        <f>(IF(WEEKDAY(BM$82,2)&gt;5,0,245.88))*-1</f>
        <v>-245.88</v>
      </c>
      <c r="BN116" s="39">
        <f>(IF(WEEKDAY(BN$82,2)&gt;5,0,286.47))*-1</f>
        <v>0</v>
      </c>
      <c r="BO116" s="39">
        <f>(IF(WEEKDAY(BO$82,2)&gt;5,0,267.26))*-1</f>
        <v>0</v>
      </c>
      <c r="BP116" s="39">
        <f>(IF(WEEKDAY(BP$82,2)&gt;5,0,223.29))*-1</f>
        <v>-223.29</v>
      </c>
      <c r="BQ116" s="39">
        <f>(IF(WEEKDAY(BQ$82,2)&gt;5,0,260.14))*-1</f>
        <v>-260.14</v>
      </c>
      <c r="BR116" s="39">
        <f>(IF(WEEKDAY(BR$82,2)&gt;5,0,254.28))*-1</f>
        <v>-254.28</v>
      </c>
      <c r="BS116" s="39">
        <f>(IF(WEEKDAY(BS$82,2)&gt;5,0,250))*-1</f>
        <v>-250</v>
      </c>
      <c r="BT116" s="39">
        <f>(IF(WEEKDAY(BT$82,2)&gt;5,0,279.22))*-1</f>
        <v>-279.22000000000003</v>
      </c>
      <c r="BU116" s="39">
        <f>(IF(WEEKDAY(BU$82,2)&gt;5,0,270.64))*-1</f>
        <v>0</v>
      </c>
      <c r="BV116" s="39">
        <f>(IF(WEEKDAY(BV$82,2)&gt;5,0,246.29))*-1</f>
        <v>0</v>
      </c>
      <c r="BW116" s="39">
        <f>(IF(WEEKDAY(BW$82,2)&gt;5,0,263.68))*-1</f>
        <v>-263.68</v>
      </c>
      <c r="BX116" s="39">
        <f>(IF(WEEKDAY(BX$82,2)&gt;5,0,266.73))*-1</f>
        <v>-266.73</v>
      </c>
      <c r="BY116" s="39">
        <f>(IF(WEEKDAY(BY$82,2)&gt;5,0,247.51))*-1</f>
        <v>-247.51</v>
      </c>
      <c r="BZ116" s="39">
        <f>(IF(WEEKDAY(BZ$82,2)&gt;5,0,247.73))*-1</f>
        <v>-247.73</v>
      </c>
      <c r="CA116" s="39">
        <f>(IF(WEEKDAY(CA$82,2)&gt;5,0,250.57))*-1</f>
        <v>-250.57</v>
      </c>
      <c r="CB116" s="39">
        <f>(IF(WEEKDAY(CB$82,2)&gt;5,0,261.81))*-1</f>
        <v>0</v>
      </c>
      <c r="CC116" s="39">
        <f>(IF(WEEKDAY(CC$82,2)&gt;5,0,228.69))*-1</f>
        <v>0</v>
      </c>
      <c r="CD116" s="39">
        <f>(IF(WEEKDAY(CD$82,2)&gt;5,0,267.43))*-1</f>
        <v>-267.43</v>
      </c>
      <c r="CE116" s="39">
        <f>(IF(WEEKDAY(CE$82,2)&gt;5,0,235.05))*-1</f>
        <v>-235.05</v>
      </c>
      <c r="CF116" s="39">
        <f>(IF(WEEKDAY(CF$82,2)&gt;5,0,218.12))*-1</f>
        <v>-218.12</v>
      </c>
      <c r="CG116" s="39">
        <f>(IF(WEEKDAY(CG$82,2)&gt;5,0,214))*-1</f>
        <v>-214</v>
      </c>
      <c r="CH116" s="39">
        <f>(IF(WEEKDAY(CH$82,2)&gt;5,0,256.32))*-1</f>
        <v>-256.32</v>
      </c>
      <c r="CI116" s="39">
        <f>(IF(WEEKDAY(CI$82,2)&gt;5,0,227.77))*-1</f>
        <v>0</v>
      </c>
      <c r="CJ116" s="39">
        <f>(IF(WEEKDAY(CJ$82,2)&gt;5,0,240.4))*-1</f>
        <v>0</v>
      </c>
      <c r="CK116" s="39">
        <f>(IF(WEEKDAY(CK$82,2)&gt;5,0,222.23))*-1</f>
        <v>-222.23</v>
      </c>
      <c r="CL116" s="39">
        <f>(IF(WEEKDAY(CL$82,2)&gt;5,0,219.52))*-1</f>
        <v>-219.52</v>
      </c>
      <c r="CM116" s="39">
        <f>(IF(WEEKDAY(CM$82,2)&gt;5,0,235.45))*-1</f>
        <v>-235.45</v>
      </c>
      <c r="CN116" s="39">
        <f>(IF(WEEKDAY(CN$82,2)&gt;5,0,260.21))*-1</f>
        <v>-260.20999999999998</v>
      </c>
      <c r="CO116" s="39">
        <f>(IF(WEEKDAY(CO$82,2)&gt;5,0,232.78))*-1</f>
        <v>-232.78</v>
      </c>
      <c r="CP116" s="39">
        <f>(IF(WEEKDAY(CP$82,2)&gt;5,0,218.43))*-1</f>
        <v>0</v>
      </c>
      <c r="CQ116" s="39">
        <f>(IF(WEEKDAY(CQ$82,2)&gt;5,0,277.4))*-1</f>
        <v>0</v>
      </c>
      <c r="CR116" s="39">
        <f>(IF(WEEKDAY(CR$82,2)&gt;5,0,264.01))*-1</f>
        <v>-264.01</v>
      </c>
      <c r="CS116" s="39">
        <f>(IF(WEEKDAY(CS$82,2)&gt;5,0,249.07))*-1</f>
        <v>-249.07</v>
      </c>
      <c r="CT116" s="39">
        <f>(IF(WEEKDAY(CT$82,2)&gt;5,0,277.48))*-1</f>
        <v>-277.48</v>
      </c>
      <c r="CU116" s="39">
        <f>(IF(WEEKDAY(CU$82,2)&gt;5,0,272.62))*-1</f>
        <v>-272.62</v>
      </c>
      <c r="CV116" s="39">
        <f>(IF(WEEKDAY(CV$82,2)&gt;5,0,257.67))*-1</f>
        <v>-257.67</v>
      </c>
      <c r="CW116" s="39">
        <f>(IF(WEEKDAY(CW$82,2)&gt;5,0,272.42))*-1</f>
        <v>0</v>
      </c>
      <c r="CX116" s="39">
        <f>(IF(WEEKDAY(CX$82,2)&gt;5,0,275.7))*-1</f>
        <v>0</v>
      </c>
      <c r="CY116" s="39">
        <f>(IF(WEEKDAY(CY$82,2)&gt;5,0,272.82))*-1</f>
        <v>-272.82</v>
      </c>
      <c r="CZ116" s="39">
        <f>(IF(WEEKDAY(CZ$82,2)&gt;5,0,257.39))*-1</f>
        <v>-257.39</v>
      </c>
      <c r="DA116" s="39">
        <f>(IF(WEEKDAY(DA$82,2)&gt;5,0,234.44))*-1</f>
        <v>-234.44</v>
      </c>
      <c r="DB116" s="39">
        <f>(IF(WEEKDAY(DB$82,2)&gt;5,0,256.45))*-1</f>
        <v>-256.45</v>
      </c>
      <c r="DC116" s="39">
        <f>(IF(WEEKDAY(DC$82,2)&gt;5,0,255.35))*-1</f>
        <v>-255.35</v>
      </c>
      <c r="DD116" s="39">
        <f>(IF(WEEKDAY(DD$82,2)&gt;5,0,282.28))*-1</f>
        <v>0</v>
      </c>
      <c r="DE116" s="39">
        <f>(IF(WEEKDAY(DE$82,2)&gt;5,0,222.44))*-1</f>
        <v>0</v>
      </c>
      <c r="DF116" s="39">
        <f>(IF(WEEKDAY(DF$82,2)&gt;5,0,230.43))*-1</f>
        <v>-230.43</v>
      </c>
      <c r="DG116" s="39">
        <f>(IF(WEEKDAY(DG$82,2)&gt;5,0,262.93))*-1</f>
        <v>-262.93</v>
      </c>
      <c r="DH116" s="39">
        <f>(IF(WEEKDAY(DH$82,2)&gt;5,0,262.82))*-1</f>
        <v>-262.82</v>
      </c>
      <c r="DI116" s="39">
        <f>(IF(WEEKDAY(DI$82,2)&gt;5,0,273.51))*-1</f>
        <v>-273.51</v>
      </c>
      <c r="DJ116" s="39">
        <f>(IF(WEEKDAY(DJ$82,2)&gt;5,0,228.45))*-1</f>
        <v>-228.45</v>
      </c>
      <c r="DK116" s="39">
        <f>(IF(WEEKDAY(DK$82,2)&gt;5,0,262.16))*-1</f>
        <v>0</v>
      </c>
      <c r="DL116" s="39">
        <f>(IF(WEEKDAY(DL$82,2)&gt;5,0,224.59))*-1</f>
        <v>0</v>
      </c>
      <c r="DM116" s="39">
        <f>(IF(WEEKDAY(DM$82,2)&gt;5,0,243.43))*-1</f>
        <v>-243.43</v>
      </c>
      <c r="DN116" s="39">
        <f>(IF(WEEKDAY(DN$82,2)&gt;5,0,236.26))*-1</f>
        <v>-236.26</v>
      </c>
      <c r="DO116" s="39">
        <f>(IF(WEEKDAY(DO$82,2)&gt;5,0,225.28))*-1</f>
        <v>-225.28</v>
      </c>
      <c r="DP116" s="39">
        <f>(IF(WEEKDAY(DP$82,2)&gt;5,0,275.64))*-1</f>
        <v>-275.64</v>
      </c>
      <c r="DQ116" s="39">
        <f>(IF(WEEKDAY(DQ$82,2)&gt;5,0,226.12))*-1</f>
        <v>-226.12</v>
      </c>
      <c r="DR116" s="39">
        <f>(IF(WEEKDAY(DR$82,2)&gt;5,0,250.09))*-1</f>
        <v>0</v>
      </c>
      <c r="DS116" s="39">
        <f>(IF(WEEKDAY(DS$82,2)&gt;5,0,270.36))*-1</f>
        <v>0</v>
      </c>
      <c r="DT116" s="39">
        <f>(IF(WEEKDAY(DT$82,2)&gt;5,0,247.83))*-1</f>
        <v>-247.83</v>
      </c>
      <c r="DU116" s="39">
        <f>(IF(WEEKDAY(DU$82,2)&gt;5,0,227.51))*-1</f>
        <v>-227.51</v>
      </c>
      <c r="DV116" s="39">
        <f>(IF(WEEKDAY(DV$82,2)&gt;5,0,256.17))*-1</f>
        <v>-256.17</v>
      </c>
      <c r="DW116" s="39">
        <f>(IF(WEEKDAY(DW$82,2)&gt;5,0,280.93))*-1</f>
        <v>-280.93</v>
      </c>
      <c r="DX116" s="39">
        <f>(IF(WEEKDAY(DX$82,2)&gt;5,0,216.3))*-1</f>
        <v>-216.3</v>
      </c>
      <c r="DY116" s="39">
        <f>(IF(WEEKDAY(DY$82,2)&gt;5,0,281.64))*-1</f>
        <v>0</v>
      </c>
      <c r="DZ116" s="39">
        <f>(IF(WEEKDAY(DZ$82,2)&gt;5,0,258.4))*-1</f>
        <v>0</v>
      </c>
      <c r="EA116" s="39">
        <f>(IF(WEEKDAY(EA$82,2)&gt;5,0,223.61))*-1</f>
        <v>-223.61</v>
      </c>
      <c r="EB116" s="39">
        <f>(IF(WEEKDAY(EB$82,2)&gt;5,0,222.67))*-1</f>
        <v>-222.67</v>
      </c>
      <c r="EC116" s="39">
        <f>(IF(WEEKDAY(EC$82,2)&gt;5,0,237.67))*-1</f>
        <v>-237.67</v>
      </c>
      <c r="ED116" s="39">
        <f>(IF(WEEKDAY(ED$82,2)&gt;5,0,281.81))*-1</f>
        <v>-281.81</v>
      </c>
      <c r="EE116" s="39">
        <f>(IF(WEEKDAY(EE$82,2)&gt;5,0,266.25))*-1</f>
        <v>-266.25</v>
      </c>
      <c r="EF116" s="39">
        <f>(IF(WEEKDAY(EF$82,2)&gt;5,0,214.25))*-1</f>
        <v>0</v>
      </c>
      <c r="EG116" s="39">
        <f>(IF(WEEKDAY(EG$82,2)&gt;5,0,263.54))*-1</f>
        <v>0</v>
      </c>
      <c r="EH116" s="39">
        <f>(IF(WEEKDAY(EH$82,2)&gt;5,0,239.31))*-1</f>
        <v>-239.31</v>
      </c>
      <c r="EI116" s="39">
        <f>(IF(WEEKDAY(EI$82,2)&gt;5,0,249.87))*-1</f>
        <v>-249.87</v>
      </c>
      <c r="EJ116" s="39">
        <f>(IF(WEEKDAY(EJ$82,2)&gt;5,0,270.47))*-1</f>
        <v>-270.47000000000003</v>
      </c>
      <c r="EK116" s="39">
        <f>(IF(WEEKDAY(EK$82,2)&gt;5,0,249.88))*-1</f>
        <v>-249.88</v>
      </c>
      <c r="EL116" s="39">
        <f>(IF(WEEKDAY(EL$82,2)&gt;5,0,281.27))*-1</f>
        <v>-281.27</v>
      </c>
      <c r="EM116" s="39">
        <f>(IF(WEEKDAY(EM$82,2)&gt;5,0,250.73))*-1</f>
        <v>0</v>
      </c>
      <c r="EN116" s="39">
        <f>(IF(WEEKDAY(EN$82,2)&gt;5,0,257.16))*-1</f>
        <v>0</v>
      </c>
      <c r="EO116" s="39">
        <f>(IF(WEEKDAY(EO$82,2)&gt;5,0,268.88))*-1</f>
        <v>-268.88</v>
      </c>
      <c r="EP116" s="39">
        <f>(IF(WEEKDAY(EP$82,2)&gt;5,0,250.71))*-1</f>
        <v>-250.71</v>
      </c>
      <c r="EQ116" s="39">
        <f>(IF(WEEKDAY(EQ$82,2)&gt;5,0,243.37))*-1</f>
        <v>-243.37</v>
      </c>
      <c r="ER116" s="39">
        <f>(IF(WEEKDAY(ER$82,2)&gt;5,0,250.6))*-1</f>
        <v>-250.6</v>
      </c>
      <c r="ES116" s="39">
        <f>(IF(WEEKDAY(ES$82,2)&gt;5,0,218.8))*-1</f>
        <v>-218.8</v>
      </c>
      <c r="ET116" s="39">
        <f>(IF(WEEKDAY(ET$82,2)&gt;5,0,284.41))*-1</f>
        <v>0</v>
      </c>
      <c r="EU116" s="39">
        <f>(IF(WEEKDAY(EU$82,2)&gt;5,0,251.45))*-1</f>
        <v>0</v>
      </c>
      <c r="EV116" s="39">
        <f>(IF(WEEKDAY(EV$82,2)&gt;5,0,278.55))*-1</f>
        <v>-278.55</v>
      </c>
      <c r="EW116" s="39">
        <f>(IF(WEEKDAY(EW$82,2)&gt;5,0,273.88))*-1</f>
        <v>-273.88</v>
      </c>
      <c r="EX116" s="39">
        <f>(IF(WEEKDAY(EX$82,2)&gt;5,0,237.78))*-1</f>
        <v>-237.78</v>
      </c>
      <c r="EY116" s="39">
        <f>(IF(WEEKDAY(EY$82,2)&gt;5,0,219.26))*-1</f>
        <v>-219.26</v>
      </c>
      <c r="EZ116" s="39">
        <f>(IF(WEEKDAY(EZ$82,2)&gt;5,0,217.12))*-1</f>
        <v>-217.12</v>
      </c>
      <c r="FA116" s="39">
        <f>(IF(WEEKDAY(FA$82,2)&gt;5,0,284.3))*-1</f>
        <v>0</v>
      </c>
      <c r="FB116" s="39">
        <f>(IF(WEEKDAY(FB$82,2)&gt;5,0,238.12))*-1</f>
        <v>0</v>
      </c>
      <c r="FC116" s="39">
        <f>(IF(WEEKDAY(FC$82,2)&gt;5,0,247.07))*-1</f>
        <v>-247.07</v>
      </c>
      <c r="FD116" s="39">
        <f>(IF(WEEKDAY(FD$82,2)&gt;5,0,226.94))*-1</f>
        <v>-226.94</v>
      </c>
      <c r="FE116" s="39">
        <f>(IF(WEEKDAY(FE$82,2)&gt;5,0,271.56))*-1</f>
        <v>-271.56</v>
      </c>
      <c r="FF116" s="39">
        <f>(IF(WEEKDAY(FF$82,2)&gt;5,0,229.51))*-1</f>
        <v>-229.51</v>
      </c>
      <c r="FG116" s="39">
        <f>(IF(WEEKDAY(FG$82,2)&gt;5,0,251.3))*-1</f>
        <v>-251.3</v>
      </c>
      <c r="FH116" s="39">
        <f>(IF(WEEKDAY(FH$82,2)&gt;5,0,215.29))*-1</f>
        <v>0</v>
      </c>
      <c r="FI116" s="39">
        <f>(IF(WEEKDAY(FI$82,2)&gt;5,0,246.16))*-1</f>
        <v>0</v>
      </c>
      <c r="FJ116" s="39">
        <f>(IF(WEEKDAY(FJ$82,2)&gt;5,0,260.57))*-1</f>
        <v>-260.57</v>
      </c>
      <c r="FK116" s="39">
        <f>(IF(WEEKDAY(FK$82,2)&gt;5,0,248.3))*-1</f>
        <v>-248.3</v>
      </c>
      <c r="FL116" s="39">
        <f>(IF(WEEKDAY(FL$82,2)&gt;5,0,226.92))*-1</f>
        <v>-226.92</v>
      </c>
      <c r="FM116" s="39">
        <f>(IF(WEEKDAY(FM$82,2)&gt;5,0,223.08))*-1</f>
        <v>-223.08</v>
      </c>
      <c r="FN116" s="39">
        <f>(IF(WEEKDAY(FN$82,2)&gt;5,0,283.59))*-1</f>
        <v>-283.58999999999997</v>
      </c>
      <c r="FO116" s="39">
        <f>(IF(WEEKDAY(FO$82,2)&gt;5,0,239.06))*-1</f>
        <v>0</v>
      </c>
      <c r="FP116" s="39">
        <f>(IF(WEEKDAY(FP$82,2)&gt;5,0,266.14))*-1</f>
        <v>0</v>
      </c>
      <c r="FQ116" s="39">
        <f>(IF(WEEKDAY(FQ$82,2)&gt;5,0,219.59))*-1</f>
        <v>-219.59</v>
      </c>
      <c r="FR116" s="39">
        <f>(IF(WEEKDAY(FR$82,2)&gt;5,0,279.8))*-1</f>
        <v>-279.8</v>
      </c>
      <c r="FS116" s="39">
        <f>(IF(WEEKDAY(FS$82,2)&gt;5,0,258.32))*-1</f>
        <v>-258.32</v>
      </c>
      <c r="FT116" s="39">
        <f>(IF(WEEKDAY(FT$82,2)&gt;5,0,216.36))*-1</f>
        <v>-216.36</v>
      </c>
      <c r="FU116" s="39">
        <f>(IF(WEEKDAY(FU$82,2)&gt;5,0,253.26))*-1</f>
        <v>-253.26</v>
      </c>
      <c r="FV116" s="39">
        <f>(IF(WEEKDAY(FV$82,2)&gt;5,0,226.48))*-1</f>
        <v>0</v>
      </c>
      <c r="FW116" s="39">
        <f>(IF(WEEKDAY(FW$82,2)&gt;5,0,239.35))*-1</f>
        <v>0</v>
      </c>
      <c r="FX116" s="39">
        <f>(IF(WEEKDAY(FX$82,2)&gt;5,0,227.3))*-1</f>
        <v>-227.3</v>
      </c>
      <c r="FY116" s="39">
        <f>(IF(WEEKDAY(FY$82,2)&gt;5,0,271.39))*-1</f>
        <v>-271.39</v>
      </c>
      <c r="FZ116" s="39">
        <f>(IF(WEEKDAY(FZ$82,2)&gt;5,0,277.33))*-1</f>
        <v>-277.33</v>
      </c>
      <c r="GA116" s="39">
        <f>(IF(WEEKDAY(GA$82,2)&gt;5,0,269.58))*-1</f>
        <v>-269.58</v>
      </c>
      <c r="GB116" s="39">
        <f>(IF(WEEKDAY(GB$82,2)&gt;5,0,274.78))*-1</f>
        <v>-274.77999999999997</v>
      </c>
      <c r="GC116" s="39">
        <f>(IF(WEEKDAY(GC$82,2)&gt;5,0,272.38))*-1</f>
        <v>0</v>
      </c>
      <c r="GD116" s="39">
        <f>(IF(WEEKDAY(GD$82,2)&gt;5,0,237.57))*-1</f>
        <v>0</v>
      </c>
      <c r="GE116" s="39">
        <f>(IF(WEEKDAY(GE$82,2)&gt;5,0,279.1))*-1</f>
        <v>-279.10000000000002</v>
      </c>
      <c r="GF116" s="39">
        <f>(IF(WEEKDAY(GF$82,2)&gt;5,0,254.85))*-1</f>
        <v>-254.85</v>
      </c>
      <c r="GG116" s="39">
        <f>(IF(WEEKDAY(GG$82,2)&gt;5,0,254.94))*-1</f>
        <v>-254.94</v>
      </c>
      <c r="GH116" s="39">
        <f>(IF(WEEKDAY(GH$82,2)&gt;5,0,225.64))*-1</f>
        <v>-225.64</v>
      </c>
      <c r="GI116" s="39">
        <f>(IF(WEEKDAY(GI$82,2)&gt;5,0,219.77))*-1</f>
        <v>-219.77</v>
      </c>
      <c r="GJ116" s="39">
        <f>(IF(WEEKDAY(GJ$82,2)&gt;5,0,240.27))*-1</f>
        <v>0</v>
      </c>
      <c r="GK116" s="39">
        <f>(IF(WEEKDAY(GK$82,2)&gt;5,0,278.31))*-1</f>
        <v>0</v>
      </c>
      <c r="GL116" s="39">
        <f>(IF(WEEKDAY(GL$82,2)&gt;5,0,279.12))*-1</f>
        <v>-279.12</v>
      </c>
      <c r="GM116" s="39">
        <f>(IF(WEEKDAY(GM$82,2)&gt;5,0,281.39))*-1</f>
        <v>-281.39</v>
      </c>
      <c r="GN116" s="39">
        <f>(IF(WEEKDAY(GN$82,2)&gt;5,0,237.74))*-1</f>
        <v>-237.74</v>
      </c>
      <c r="GO116" s="39">
        <f>(IF(WEEKDAY(GO$82,2)&gt;5,0,231.92))*-1</f>
        <v>-231.92</v>
      </c>
      <c r="GP116" s="39">
        <f>(IF(WEEKDAY(GP$82,2)&gt;5,0,252.4))*-1</f>
        <v>-252.4</v>
      </c>
      <c r="GQ116" s="39">
        <f>(IF(WEEKDAY(GQ$82,2)&gt;5,0,262.73))*-1</f>
        <v>0</v>
      </c>
      <c r="GR116" s="39">
        <f>(IF(WEEKDAY(GR$82,2)&gt;5,0,274.69))*-1</f>
        <v>0</v>
      </c>
      <c r="GS116" s="39">
        <f>(IF(WEEKDAY(GS$82,2)&gt;5,0,264.11))*-1</f>
        <v>-264.11</v>
      </c>
      <c r="GT116" s="39">
        <f>(IF(WEEKDAY(GT$82,2)&gt;5,0,276.67))*-1</f>
        <v>-276.67</v>
      </c>
      <c r="GU116" s="39">
        <f>(IF(WEEKDAY(GU$82,2)&gt;5,0,237.23))*-1</f>
        <v>-237.23</v>
      </c>
      <c r="GV116" s="39">
        <f>(IF(WEEKDAY(GV$82,2)&gt;5,0,218.25))*-1</f>
        <v>-218.25</v>
      </c>
      <c r="GW116" s="39">
        <f>(IF(WEEKDAY(GW$82,2)&gt;5,0,279.65))*-1</f>
        <v>-279.64999999999998</v>
      </c>
      <c r="GX116" s="39">
        <f>(IF(WEEKDAY(GX$82,2)&gt;5,0,273.36))*-1</f>
        <v>0</v>
      </c>
      <c r="GY116" s="39">
        <f>(IF(WEEKDAY(GY$82,2)&gt;5,0,261.51))*-1</f>
        <v>0</v>
      </c>
      <c r="GZ116" s="39">
        <f>(IF(WEEKDAY(GZ$82,2)&gt;5,0,264.17))*-1</f>
        <v>-264.17</v>
      </c>
      <c r="HA116" s="39">
        <f>(IF(WEEKDAY(HA$82,2)&gt;5,0,237.95))*-1</f>
        <v>-237.95</v>
      </c>
      <c r="HB116" s="39">
        <f>(IF(WEEKDAY(HB$82,2)&gt;5,0,263.6))*-1</f>
        <v>-263.60000000000002</v>
      </c>
      <c r="HC116" s="39">
        <f>(IF(WEEKDAY(HC$82,2)&gt;5,0,230.27))*-1</f>
        <v>-230.27</v>
      </c>
      <c r="HD116" s="39">
        <f>(IF(WEEKDAY(HD$82,2)&gt;5,0,246.43))*-1</f>
        <v>-246.43</v>
      </c>
      <c r="HE116" s="39">
        <f>(IF(WEEKDAY(HE$82,2)&gt;5,0,223.38))*-1</f>
        <v>0</v>
      </c>
      <c r="HF116" s="39">
        <f>(IF(WEEKDAY(HF$82,2)&gt;5,0,243.78))*-1</f>
        <v>0</v>
      </c>
      <c r="HG116" s="39">
        <f>(IF(WEEKDAY(HG$82,2)&gt;5,0,239.57))*-1</f>
        <v>-239.57</v>
      </c>
      <c r="HH116" s="39">
        <f>(IF(WEEKDAY(HH$82,2)&gt;5,0,227.35))*-1</f>
        <v>-227.35</v>
      </c>
      <c r="HI116" s="39">
        <f>(IF(WEEKDAY(HI$82,2)&gt;5,0,284.9))*-1</f>
        <v>-284.89999999999998</v>
      </c>
      <c r="HJ116" s="39">
        <f>(IF(WEEKDAY(HJ$82,2)&gt;5,0,226.89))*-1</f>
        <v>-226.89</v>
      </c>
      <c r="HK116" s="39">
        <f>(IF(WEEKDAY(HK$82,2)&gt;5,0,248.93))*-1</f>
        <v>-248.93</v>
      </c>
      <c r="HL116" s="39">
        <f>(IF(WEEKDAY(HL$82,2)&gt;5,0,286.41))*-1</f>
        <v>0</v>
      </c>
      <c r="HM116" s="39">
        <f>(IF(WEEKDAY(HM$82,2)&gt;5,0,260.16))*-1</f>
        <v>0</v>
      </c>
      <c r="HN116" s="39">
        <f>(IF(WEEKDAY(HN$82,2)&gt;5,0,257.77))*-1</f>
        <v>-257.77</v>
      </c>
      <c r="HO116" s="39">
        <f>(IF(WEEKDAY(HO$82,2)&gt;5,0,268.49))*-1</f>
        <v>-268.49</v>
      </c>
      <c r="HP116" s="39">
        <f>(IF(WEEKDAY(HP$82,2)&gt;5,0,233.15))*-1</f>
        <v>-233.15</v>
      </c>
      <c r="HQ116" s="39">
        <f>(IF(WEEKDAY(HQ$82,2)&gt;5,0,228.3))*-1</f>
        <v>-228.3</v>
      </c>
      <c r="HR116" s="39">
        <f>(IF(WEEKDAY(HR$82,2)&gt;5,0,238.38))*-1</f>
        <v>-238.38</v>
      </c>
      <c r="HS116" s="39">
        <f>(IF(WEEKDAY(HS$82,2)&gt;5,0,252.37))*-1</f>
        <v>0</v>
      </c>
      <c r="HT116" s="39">
        <f>(IF(WEEKDAY(HT$82,2)&gt;5,0,277.65))*-1</f>
        <v>0</v>
      </c>
      <c r="HU116" s="39">
        <f>(IF(WEEKDAY(HU$82,2)&gt;5,0,271.56))*-1</f>
        <v>-271.56</v>
      </c>
      <c r="HV116" s="39">
        <f>(IF(WEEKDAY(HV$82,2)&gt;5,0,256.88))*-1</f>
        <v>-256.88</v>
      </c>
      <c r="HW116" s="39">
        <f>(IF(WEEKDAY(HW$82,2)&gt;5,0,237.45))*-1</f>
        <v>-237.45</v>
      </c>
      <c r="HX116" s="39">
        <f>(IF(WEEKDAY(HX$82,2)&gt;5,0,270.9))*-1</f>
        <v>-270.89999999999998</v>
      </c>
      <c r="HY116" s="39">
        <f>(IF(WEEKDAY(HY$82,2)&gt;5,0,286.1))*-1</f>
        <v>-286.10000000000002</v>
      </c>
      <c r="HZ116" s="39">
        <f>(IF(WEEKDAY(HZ$82,2)&gt;5,0,244.57))*-1</f>
        <v>0</v>
      </c>
      <c r="IA116" s="39">
        <f>(IF(WEEKDAY(IA$82,2)&gt;5,0,239.56))*-1</f>
        <v>0</v>
      </c>
      <c r="IB116" s="39">
        <f>(IF(WEEKDAY(IB$82,2)&gt;5,0,283.46))*-1</f>
        <v>-283.45999999999998</v>
      </c>
      <c r="IC116" s="39">
        <f>(IF(WEEKDAY(IC$82,2)&gt;5,0,268.01))*-1</f>
        <v>-268.01</v>
      </c>
      <c r="ID116" s="39">
        <f>(IF(WEEKDAY(ID$82,2)&gt;5,0,265.43))*-1</f>
        <v>-265.43</v>
      </c>
      <c r="IE116" s="39">
        <f>(IF(WEEKDAY(IE$82,2)&gt;5,0,279.81))*-1</f>
        <v>-279.81</v>
      </c>
      <c r="IF116" s="39">
        <f>(IF(WEEKDAY(IF$82,2)&gt;5,0,279.42))*-1</f>
        <v>-279.42</v>
      </c>
      <c r="IG116" s="39">
        <f>(IF(WEEKDAY(IG$82,2)&gt;5,0,224.46))*-1</f>
        <v>0</v>
      </c>
      <c r="IH116" s="39">
        <f>(IF(WEEKDAY(IH$82,2)&gt;5,0,223.71))*-1</f>
        <v>0</v>
      </c>
      <c r="II116" s="39">
        <f>(IF(WEEKDAY(II$82,2)&gt;5,0,284.21))*-1</f>
        <v>-284.20999999999998</v>
      </c>
      <c r="IJ116" s="39">
        <f>(IF(WEEKDAY(IJ$82,2)&gt;5,0,245.63))*-1</f>
        <v>-245.63</v>
      </c>
      <c r="IK116" s="39">
        <f>(IF(WEEKDAY(IK$82,2)&gt;5,0,255.06))*-1</f>
        <v>-255.06</v>
      </c>
      <c r="IL116" s="39">
        <f>(IF(WEEKDAY(IL$82,2)&gt;5,0,238.29))*-1</f>
        <v>-238.29</v>
      </c>
    </row>
    <row r="117" spans="1:246" x14ac:dyDescent="0.3">
      <c r="A117" t="s">
        <v>99</v>
      </c>
      <c r="B117" s="39">
        <f>(IF(WEEKDAY(B$82,2)&gt;5,0,87.64))*-1</f>
        <v>-87.64</v>
      </c>
      <c r="C117" s="39">
        <f>(IF(WEEKDAY(C$82,2)&gt;5,0,72.74))*-1</f>
        <v>0</v>
      </c>
      <c r="D117" s="39">
        <f>(IF(WEEKDAY(D$82,2)&gt;5,0,90.51))*-1</f>
        <v>0</v>
      </c>
      <c r="E117" s="39">
        <f>(IF(WEEKDAY(E$82,2)&gt;5,0,79.82))*-1</f>
        <v>-79.819999999999993</v>
      </c>
      <c r="F117" s="39">
        <f>(IF(WEEKDAY(F$82,2)&gt;5,0,91.52))*-1</f>
        <v>-91.52</v>
      </c>
      <c r="G117" s="39">
        <f>(IF(WEEKDAY(G$82,2)&gt;5,0,79.02))*-1</f>
        <v>-79.02</v>
      </c>
      <c r="H117" s="39">
        <f>(IF(WEEKDAY(H$82,2)&gt;5,0,78.75))*-1</f>
        <v>-78.75</v>
      </c>
      <c r="I117" s="39">
        <f>(IF(WEEKDAY(I$82,2)&gt;5,0,77.12))*-1</f>
        <v>-77.12</v>
      </c>
      <c r="J117" s="39">
        <f>(IF(WEEKDAY(J$82,2)&gt;5,0,74.11))*-1</f>
        <v>0</v>
      </c>
      <c r="K117" s="39">
        <f>(IF(WEEKDAY(K$82,2)&gt;5,0,75.6))*-1</f>
        <v>0</v>
      </c>
      <c r="L117" s="39">
        <f>(IF(WEEKDAY(L$82,2)&gt;5,0,88.65))*-1</f>
        <v>-88.65</v>
      </c>
      <c r="M117" s="39">
        <f>(IF(WEEKDAY(M$82,2)&gt;5,0,75.81))*-1</f>
        <v>-75.81</v>
      </c>
      <c r="N117" s="39">
        <f>(IF(WEEKDAY(N$82,2)&gt;5,0,75.23))*-1</f>
        <v>-75.23</v>
      </c>
      <c r="O117" s="39">
        <f>(IF(WEEKDAY(O$82,2)&gt;5,0,82.9))*-1</f>
        <v>-82.9</v>
      </c>
      <c r="P117" s="39">
        <f>(IF(WEEKDAY(P$82,2)&gt;5,0,89.47))*-1</f>
        <v>-89.47</v>
      </c>
      <c r="Q117" s="39">
        <f>(IF(WEEKDAY(Q$82,2)&gt;5,0,84.85))*-1</f>
        <v>0</v>
      </c>
      <c r="R117" s="39">
        <f>(IF(WEEKDAY(R$82,2)&gt;5,0,82.93))*-1</f>
        <v>0</v>
      </c>
      <c r="S117" s="39">
        <f>(IF(WEEKDAY(S$82,2)&gt;5,0,73.45))*-1</f>
        <v>-73.45</v>
      </c>
      <c r="T117" s="39">
        <f>(IF(WEEKDAY(T$82,2)&gt;5,0,91.26))*-1</f>
        <v>-91.26</v>
      </c>
      <c r="U117" s="39">
        <f>(IF(WEEKDAY(U$82,2)&gt;5,0,75.37))*-1</f>
        <v>-75.37</v>
      </c>
      <c r="V117" s="39">
        <f>(IF(WEEKDAY(V$82,2)&gt;5,0,72.46))*-1</f>
        <v>-72.459999999999994</v>
      </c>
      <c r="W117" s="39">
        <f>(IF(WEEKDAY(W$82,2)&gt;5,0,87.8))*-1</f>
        <v>-87.8</v>
      </c>
      <c r="X117" s="39">
        <f>(IF(WEEKDAY(X$82,2)&gt;5,0,77.94))*-1</f>
        <v>0</v>
      </c>
      <c r="Y117" s="39">
        <f>(IF(WEEKDAY(Y$82,2)&gt;5,0,85.7))*-1</f>
        <v>0</v>
      </c>
      <c r="Z117" s="39">
        <f>(IF(WEEKDAY(Z$82,2)&gt;5,0,90.77))*-1</f>
        <v>-90.77</v>
      </c>
      <c r="AA117" s="39">
        <f>(IF(WEEKDAY(AA$82,2)&gt;5,0,69.34))*-1</f>
        <v>-69.34</v>
      </c>
      <c r="AB117" s="39">
        <f>(IF(WEEKDAY(AB$82,2)&gt;5,0,89.49))*-1</f>
        <v>-89.49</v>
      </c>
      <c r="AC117" s="39">
        <f>(IF(WEEKDAY(AC$82,2)&gt;5,0,75.78))*-1</f>
        <v>-75.78</v>
      </c>
      <c r="AD117" s="39">
        <f>(IF(WEEKDAY(AD$82,2)&gt;5,0,82.82))*-1</f>
        <v>-82.82</v>
      </c>
      <c r="AE117" s="39">
        <f>(IF(WEEKDAY(AE$82,2)&gt;5,0,75.67))*-1</f>
        <v>0</v>
      </c>
      <c r="AF117" s="39">
        <f>(IF(WEEKDAY(AF$82,2)&gt;5,0,87.05))*-1</f>
        <v>0</v>
      </c>
      <c r="AG117" s="39">
        <f>(IF(WEEKDAY(AG$82,2)&gt;5,0,83.61))*-1</f>
        <v>-83.61</v>
      </c>
      <c r="AH117" s="39">
        <f>(IF(WEEKDAY(AH$82,2)&gt;5,0,86.01))*-1</f>
        <v>-86.01</v>
      </c>
      <c r="AI117" s="39">
        <f>(IF(WEEKDAY(AI$82,2)&gt;5,0,90.21))*-1</f>
        <v>-90.21</v>
      </c>
      <c r="AJ117" s="39">
        <f>(IF(WEEKDAY(AJ$82,2)&gt;5,0,87.72))*-1</f>
        <v>-87.72</v>
      </c>
      <c r="AK117" s="39">
        <f>(IF(WEEKDAY(AK$82,2)&gt;5,0,78.47))*-1</f>
        <v>-78.47</v>
      </c>
      <c r="AL117" s="39">
        <f>(IF(WEEKDAY(AL$82,2)&gt;5,0,81.19))*-1</f>
        <v>0</v>
      </c>
      <c r="AM117" s="39">
        <f>(IF(WEEKDAY(AM$82,2)&gt;5,0,90.88))*-1</f>
        <v>0</v>
      </c>
      <c r="AN117" s="39">
        <f>(IF(WEEKDAY(AN$82,2)&gt;5,0,87.33))*-1</f>
        <v>-87.33</v>
      </c>
      <c r="AO117" s="39">
        <f>(IF(WEEKDAY(AO$82,2)&gt;5,0,81.53))*-1</f>
        <v>-81.53</v>
      </c>
      <c r="AP117" s="39">
        <f>(IF(WEEKDAY(AP$82,2)&gt;5,0,90.31))*-1</f>
        <v>-90.31</v>
      </c>
      <c r="AQ117" s="39">
        <f>(IF(WEEKDAY(AQ$82,2)&gt;5,0,75.71))*-1</f>
        <v>-75.709999999999994</v>
      </c>
      <c r="AR117" s="39">
        <f>(IF(WEEKDAY(AR$82,2)&gt;5,0,84.6))*-1</f>
        <v>-84.6</v>
      </c>
      <c r="AS117" s="39">
        <f>(IF(WEEKDAY(AS$82,2)&gt;5,0,80.59))*-1</f>
        <v>0</v>
      </c>
      <c r="AT117" s="39">
        <f>(IF(WEEKDAY(AT$82,2)&gt;5,0,90.28))*-1</f>
        <v>0</v>
      </c>
      <c r="AU117" s="39">
        <f>(IF(WEEKDAY(AU$82,2)&gt;5,0,86.31))*-1</f>
        <v>-86.31</v>
      </c>
      <c r="AV117" s="39">
        <f>(IF(WEEKDAY(AV$82,2)&gt;5,0,68.05))*-1</f>
        <v>-68.05</v>
      </c>
      <c r="AW117" s="39">
        <f>(IF(WEEKDAY(AW$82,2)&gt;5,0,78.5))*-1</f>
        <v>-78.5</v>
      </c>
      <c r="AX117" s="39">
        <f>(IF(WEEKDAY(AX$82,2)&gt;5,0,79.72))*-1</f>
        <v>-79.72</v>
      </c>
      <c r="AY117" s="39">
        <f>(IF(WEEKDAY(AY$82,2)&gt;5,0,69.43))*-1</f>
        <v>-69.430000000000007</v>
      </c>
      <c r="AZ117" s="39">
        <f>(IF(WEEKDAY(AZ$82,2)&gt;5,0,74.75))*-1</f>
        <v>0</v>
      </c>
      <c r="BA117" s="39">
        <f>(IF(WEEKDAY(BA$82,2)&gt;5,0,90.09))*-1</f>
        <v>0</v>
      </c>
      <c r="BB117" s="39">
        <f>(IF(WEEKDAY(BB$82,2)&gt;5,0,77.05))*-1</f>
        <v>-77.05</v>
      </c>
      <c r="BC117" s="39">
        <f>(IF(WEEKDAY(BC$82,2)&gt;5,0,88.21))*-1</f>
        <v>-88.21</v>
      </c>
      <c r="BD117" s="39">
        <f>(IF(WEEKDAY(BD$82,2)&gt;5,0,76.22))*-1</f>
        <v>-76.22</v>
      </c>
      <c r="BE117" s="39">
        <f>(IF(WEEKDAY(BE$82,2)&gt;5,0,85.65))*-1</f>
        <v>-85.65</v>
      </c>
      <c r="BF117" s="39">
        <f>(IF(WEEKDAY(BF$82,2)&gt;5,0,72.5))*-1</f>
        <v>-72.5</v>
      </c>
      <c r="BG117" s="39">
        <f>(IF(WEEKDAY(BG$82,2)&gt;5,0,80.58))*-1</f>
        <v>0</v>
      </c>
      <c r="BH117" s="39">
        <f>(IF(WEEKDAY(BH$82,2)&gt;5,0,87.42))*-1</f>
        <v>0</v>
      </c>
      <c r="BI117" s="39">
        <f>(IF(WEEKDAY(BI$82,2)&gt;5,0,87.85))*-1</f>
        <v>-87.85</v>
      </c>
      <c r="BJ117" s="39">
        <f>(IF(WEEKDAY(BJ$82,2)&gt;5,0,81.79))*-1</f>
        <v>-81.790000000000006</v>
      </c>
      <c r="BK117" s="39">
        <f>(IF(WEEKDAY(BK$82,2)&gt;5,0,73.67))*-1</f>
        <v>-73.67</v>
      </c>
      <c r="BL117" s="39">
        <f>(IF(WEEKDAY(BL$82,2)&gt;5,0,90.99))*-1</f>
        <v>-90.99</v>
      </c>
      <c r="BM117" s="39">
        <f>(IF(WEEKDAY(BM$82,2)&gt;5,0,68.93))*-1</f>
        <v>-68.930000000000007</v>
      </c>
      <c r="BN117" s="39">
        <f>(IF(WEEKDAY(BN$82,2)&gt;5,0,82.71))*-1</f>
        <v>0</v>
      </c>
      <c r="BO117" s="39">
        <f>(IF(WEEKDAY(BO$82,2)&gt;5,0,75.4))*-1</f>
        <v>0</v>
      </c>
      <c r="BP117" s="39">
        <f>(IF(WEEKDAY(BP$82,2)&gt;5,0,86.8))*-1</f>
        <v>-86.8</v>
      </c>
      <c r="BQ117" s="39">
        <f>(IF(WEEKDAY(BQ$82,2)&gt;5,0,73.37))*-1</f>
        <v>-73.37</v>
      </c>
      <c r="BR117" s="39">
        <f>(IF(WEEKDAY(BR$82,2)&gt;5,0,88.9))*-1</f>
        <v>-88.9</v>
      </c>
      <c r="BS117" s="39">
        <f>(IF(WEEKDAY(BS$82,2)&gt;5,0,74.95))*-1</f>
        <v>-74.95</v>
      </c>
      <c r="BT117" s="39">
        <f>(IF(WEEKDAY(BT$82,2)&gt;5,0,83.57))*-1</f>
        <v>-83.57</v>
      </c>
      <c r="BU117" s="39">
        <f>(IF(WEEKDAY(BU$82,2)&gt;5,0,79.61))*-1</f>
        <v>0</v>
      </c>
      <c r="BV117" s="39">
        <f>(IF(WEEKDAY(BV$82,2)&gt;5,0,87.29))*-1</f>
        <v>0</v>
      </c>
      <c r="BW117" s="39">
        <f>(IF(WEEKDAY(BW$82,2)&gt;5,0,79.07))*-1</f>
        <v>-79.069999999999993</v>
      </c>
      <c r="BX117" s="39">
        <f>(IF(WEEKDAY(BX$82,2)&gt;5,0,71.02))*-1</f>
        <v>-71.02</v>
      </c>
      <c r="BY117" s="39">
        <f>(IF(WEEKDAY(BY$82,2)&gt;5,0,72.96))*-1</f>
        <v>-72.959999999999994</v>
      </c>
      <c r="BZ117" s="39">
        <f>(IF(WEEKDAY(BZ$82,2)&gt;5,0,72.04))*-1</f>
        <v>-72.040000000000006</v>
      </c>
      <c r="CA117" s="39">
        <f>(IF(WEEKDAY(CA$82,2)&gt;5,0,69.25))*-1</f>
        <v>-69.25</v>
      </c>
      <c r="CB117" s="39">
        <f>(IF(WEEKDAY(CB$82,2)&gt;5,0,83.51))*-1</f>
        <v>0</v>
      </c>
      <c r="CC117" s="39">
        <f>(IF(WEEKDAY(CC$82,2)&gt;5,0,73.48))*-1</f>
        <v>0</v>
      </c>
      <c r="CD117" s="39">
        <f>(IF(WEEKDAY(CD$82,2)&gt;5,0,80.94))*-1</f>
        <v>-80.94</v>
      </c>
      <c r="CE117" s="39">
        <f>(IF(WEEKDAY(CE$82,2)&gt;5,0,72.74))*-1</f>
        <v>-72.739999999999995</v>
      </c>
      <c r="CF117" s="39">
        <f>(IF(WEEKDAY(CF$82,2)&gt;5,0,80.45))*-1</f>
        <v>-80.45</v>
      </c>
      <c r="CG117" s="39">
        <f>(IF(WEEKDAY(CG$82,2)&gt;5,0,90.32))*-1</f>
        <v>-90.32</v>
      </c>
      <c r="CH117" s="39">
        <f>(IF(WEEKDAY(CH$82,2)&gt;5,0,85.88))*-1</f>
        <v>-85.88</v>
      </c>
      <c r="CI117" s="39">
        <f>(IF(WEEKDAY(CI$82,2)&gt;5,0,75.28))*-1</f>
        <v>0</v>
      </c>
      <c r="CJ117" s="39">
        <f>(IF(WEEKDAY(CJ$82,2)&gt;5,0,86.83))*-1</f>
        <v>0</v>
      </c>
      <c r="CK117" s="39">
        <f>(IF(WEEKDAY(CK$82,2)&gt;5,0,72.13))*-1</f>
        <v>-72.13</v>
      </c>
      <c r="CL117" s="39">
        <f>(IF(WEEKDAY(CL$82,2)&gt;5,0,72.34))*-1</f>
        <v>-72.34</v>
      </c>
      <c r="CM117" s="39">
        <f>(IF(WEEKDAY(CM$82,2)&gt;5,0,86.19))*-1</f>
        <v>-86.19</v>
      </c>
      <c r="CN117" s="39">
        <f>(IF(WEEKDAY(CN$82,2)&gt;5,0,69.3))*-1</f>
        <v>-69.3</v>
      </c>
      <c r="CO117" s="39">
        <f>(IF(WEEKDAY(CO$82,2)&gt;5,0,69.68))*-1</f>
        <v>-69.680000000000007</v>
      </c>
      <c r="CP117" s="39">
        <f>(IF(WEEKDAY(CP$82,2)&gt;5,0,80.04))*-1</f>
        <v>0</v>
      </c>
      <c r="CQ117" s="39">
        <f>(IF(WEEKDAY(CQ$82,2)&gt;5,0,83.6))*-1</f>
        <v>0</v>
      </c>
      <c r="CR117" s="39">
        <f>(IF(WEEKDAY(CR$82,2)&gt;5,0,69.4))*-1</f>
        <v>-69.400000000000006</v>
      </c>
      <c r="CS117" s="39">
        <f>(IF(WEEKDAY(CS$82,2)&gt;5,0,89.37))*-1</f>
        <v>-89.37</v>
      </c>
      <c r="CT117" s="39">
        <f>(IF(WEEKDAY(CT$82,2)&gt;5,0,74.69))*-1</f>
        <v>-74.69</v>
      </c>
      <c r="CU117" s="39">
        <f>(IF(WEEKDAY(CU$82,2)&gt;5,0,76.33))*-1</f>
        <v>-76.33</v>
      </c>
      <c r="CV117" s="39">
        <f>(IF(WEEKDAY(CV$82,2)&gt;5,0,72.71))*-1</f>
        <v>-72.709999999999994</v>
      </c>
      <c r="CW117" s="39">
        <f>(IF(WEEKDAY(CW$82,2)&gt;5,0,77.56))*-1</f>
        <v>0</v>
      </c>
      <c r="CX117" s="39">
        <f>(IF(WEEKDAY(CX$82,2)&gt;5,0,76.21))*-1</f>
        <v>0</v>
      </c>
      <c r="CY117" s="39">
        <f>(IF(WEEKDAY(CY$82,2)&gt;5,0,68.27))*-1</f>
        <v>-68.27</v>
      </c>
      <c r="CZ117" s="39">
        <f>(IF(WEEKDAY(CZ$82,2)&gt;5,0,80.49))*-1</f>
        <v>-80.489999999999995</v>
      </c>
      <c r="DA117" s="39">
        <f>(IF(WEEKDAY(DA$82,2)&gt;5,0,91.91))*-1</f>
        <v>-91.91</v>
      </c>
      <c r="DB117" s="39">
        <f>(IF(WEEKDAY(DB$82,2)&gt;5,0,75.87))*-1</f>
        <v>-75.87</v>
      </c>
      <c r="DC117" s="39">
        <f>(IF(WEEKDAY(DC$82,2)&gt;5,0,83.65))*-1</f>
        <v>-83.65</v>
      </c>
      <c r="DD117" s="39">
        <f>(IF(WEEKDAY(DD$82,2)&gt;5,0,70.83))*-1</f>
        <v>0</v>
      </c>
      <c r="DE117" s="39">
        <f>(IF(WEEKDAY(DE$82,2)&gt;5,0,85.5))*-1</f>
        <v>0</v>
      </c>
      <c r="DF117" s="39">
        <f>(IF(WEEKDAY(DF$82,2)&gt;5,0,81.63))*-1</f>
        <v>-81.63</v>
      </c>
      <c r="DG117" s="39">
        <f>(IF(WEEKDAY(DG$82,2)&gt;5,0,91.68))*-1</f>
        <v>-91.68</v>
      </c>
      <c r="DH117" s="39">
        <f>(IF(WEEKDAY(DH$82,2)&gt;5,0,78.18))*-1</f>
        <v>-78.180000000000007</v>
      </c>
      <c r="DI117" s="39">
        <f>(IF(WEEKDAY(DI$82,2)&gt;5,0,86.82))*-1</f>
        <v>-86.82</v>
      </c>
      <c r="DJ117" s="39">
        <f>(IF(WEEKDAY(DJ$82,2)&gt;5,0,73.02))*-1</f>
        <v>-73.02</v>
      </c>
      <c r="DK117" s="39">
        <f>(IF(WEEKDAY(DK$82,2)&gt;5,0,84.95))*-1</f>
        <v>0</v>
      </c>
      <c r="DL117" s="39">
        <f>(IF(WEEKDAY(DL$82,2)&gt;5,0,82.5))*-1</f>
        <v>0</v>
      </c>
      <c r="DM117" s="39">
        <f>(IF(WEEKDAY(DM$82,2)&gt;5,0,71.26))*-1</f>
        <v>-71.260000000000005</v>
      </c>
      <c r="DN117" s="39">
        <f>(IF(WEEKDAY(DN$82,2)&gt;5,0,75.92))*-1</f>
        <v>-75.92</v>
      </c>
      <c r="DO117" s="39">
        <f>(IF(WEEKDAY(DO$82,2)&gt;5,0,87.96))*-1</f>
        <v>-87.96</v>
      </c>
      <c r="DP117" s="39">
        <f>(IF(WEEKDAY(DP$82,2)&gt;5,0,78.36))*-1</f>
        <v>-78.36</v>
      </c>
      <c r="DQ117" s="39">
        <f>(IF(WEEKDAY(DQ$82,2)&gt;5,0,74.96))*-1</f>
        <v>-74.959999999999994</v>
      </c>
      <c r="DR117" s="39">
        <f>(IF(WEEKDAY(DR$82,2)&gt;5,0,81.38))*-1</f>
        <v>0</v>
      </c>
      <c r="DS117" s="39">
        <f>(IF(WEEKDAY(DS$82,2)&gt;5,0,70.84))*-1</f>
        <v>0</v>
      </c>
      <c r="DT117" s="39">
        <f>(IF(WEEKDAY(DT$82,2)&gt;5,0,88.06))*-1</f>
        <v>-88.06</v>
      </c>
      <c r="DU117" s="39">
        <f>(IF(WEEKDAY(DU$82,2)&gt;5,0,70.64))*-1</f>
        <v>-70.64</v>
      </c>
      <c r="DV117" s="39">
        <f>(IF(WEEKDAY(DV$82,2)&gt;5,0,73.35))*-1</f>
        <v>-73.349999999999994</v>
      </c>
      <c r="DW117" s="39">
        <f>(IF(WEEKDAY(DW$82,2)&gt;5,0,82.61))*-1</f>
        <v>-82.61</v>
      </c>
      <c r="DX117" s="39">
        <f>(IF(WEEKDAY(DX$82,2)&gt;5,0,69.15))*-1</f>
        <v>-69.150000000000006</v>
      </c>
      <c r="DY117" s="39">
        <f>(IF(WEEKDAY(DY$82,2)&gt;5,0,70.69))*-1</f>
        <v>0</v>
      </c>
      <c r="DZ117" s="39">
        <f>(IF(WEEKDAY(DZ$82,2)&gt;5,0,74.69))*-1</f>
        <v>0</v>
      </c>
      <c r="EA117" s="39">
        <f>(IF(WEEKDAY(EA$82,2)&gt;5,0,87.68))*-1</f>
        <v>-87.68</v>
      </c>
      <c r="EB117" s="39">
        <f>(IF(WEEKDAY(EB$82,2)&gt;5,0,83.68))*-1</f>
        <v>-83.68</v>
      </c>
      <c r="EC117" s="39">
        <f>(IF(WEEKDAY(EC$82,2)&gt;5,0,85.8))*-1</f>
        <v>-85.8</v>
      </c>
      <c r="ED117" s="39">
        <f>(IF(WEEKDAY(ED$82,2)&gt;5,0,80.93))*-1</f>
        <v>-80.930000000000007</v>
      </c>
      <c r="EE117" s="39">
        <f>(IF(WEEKDAY(EE$82,2)&gt;5,0,71.7))*-1</f>
        <v>-71.7</v>
      </c>
      <c r="EF117" s="39">
        <f>(IF(WEEKDAY(EF$82,2)&gt;5,0,81.33))*-1</f>
        <v>0</v>
      </c>
      <c r="EG117" s="39">
        <f>(IF(WEEKDAY(EG$82,2)&gt;5,0,89.23))*-1</f>
        <v>0</v>
      </c>
      <c r="EH117" s="39">
        <f>(IF(WEEKDAY(EH$82,2)&gt;5,0,87.2))*-1</f>
        <v>-87.2</v>
      </c>
      <c r="EI117" s="39">
        <f>(IF(WEEKDAY(EI$82,2)&gt;5,0,73.97))*-1</f>
        <v>-73.97</v>
      </c>
      <c r="EJ117" s="39">
        <f>(IF(WEEKDAY(EJ$82,2)&gt;5,0,68.03))*-1</f>
        <v>-68.03</v>
      </c>
      <c r="EK117" s="39">
        <f>(IF(WEEKDAY(EK$82,2)&gt;5,0,71.2))*-1</f>
        <v>-71.2</v>
      </c>
      <c r="EL117" s="39">
        <f>(IF(WEEKDAY(EL$82,2)&gt;5,0,74.87))*-1</f>
        <v>-74.87</v>
      </c>
      <c r="EM117" s="39">
        <f>(IF(WEEKDAY(EM$82,2)&gt;5,0,78.64))*-1</f>
        <v>0</v>
      </c>
      <c r="EN117" s="39">
        <f>(IF(WEEKDAY(EN$82,2)&gt;5,0,80.34))*-1</f>
        <v>0</v>
      </c>
      <c r="EO117" s="39">
        <f>(IF(WEEKDAY(EO$82,2)&gt;5,0,69.68))*-1</f>
        <v>-69.680000000000007</v>
      </c>
      <c r="EP117" s="39">
        <f>(IF(WEEKDAY(EP$82,2)&gt;5,0,73.88))*-1</f>
        <v>-73.88</v>
      </c>
      <c r="EQ117" s="39">
        <f>(IF(WEEKDAY(EQ$82,2)&gt;5,0,80.46))*-1</f>
        <v>-80.459999999999994</v>
      </c>
      <c r="ER117" s="39">
        <f>(IF(WEEKDAY(ER$82,2)&gt;5,0,81.14))*-1</f>
        <v>-81.14</v>
      </c>
      <c r="ES117" s="39">
        <f>(IF(WEEKDAY(ES$82,2)&gt;5,0,76.35))*-1</f>
        <v>-76.349999999999994</v>
      </c>
      <c r="ET117" s="39">
        <f>(IF(WEEKDAY(ET$82,2)&gt;5,0,85.1))*-1</f>
        <v>0</v>
      </c>
      <c r="EU117" s="39">
        <f>(IF(WEEKDAY(EU$82,2)&gt;5,0,78.65))*-1</f>
        <v>0</v>
      </c>
      <c r="EV117" s="39">
        <f>(IF(WEEKDAY(EV$82,2)&gt;5,0,83.13))*-1</f>
        <v>-83.13</v>
      </c>
      <c r="EW117" s="39">
        <f>(IF(WEEKDAY(EW$82,2)&gt;5,0,68.48))*-1</f>
        <v>-68.48</v>
      </c>
      <c r="EX117" s="39">
        <f>(IF(WEEKDAY(EX$82,2)&gt;5,0,89.89))*-1</f>
        <v>-89.89</v>
      </c>
      <c r="EY117" s="39">
        <f>(IF(WEEKDAY(EY$82,2)&gt;5,0,87.11))*-1</f>
        <v>-87.11</v>
      </c>
      <c r="EZ117" s="39">
        <f>(IF(WEEKDAY(EZ$82,2)&gt;5,0,72.33))*-1</f>
        <v>-72.33</v>
      </c>
      <c r="FA117" s="39">
        <f>(IF(WEEKDAY(FA$82,2)&gt;5,0,86.28))*-1</f>
        <v>0</v>
      </c>
      <c r="FB117" s="39">
        <f>(IF(WEEKDAY(FB$82,2)&gt;5,0,78.96))*-1</f>
        <v>0</v>
      </c>
      <c r="FC117" s="39">
        <f>(IF(WEEKDAY(FC$82,2)&gt;5,0,87.89))*-1</f>
        <v>-87.89</v>
      </c>
      <c r="FD117" s="39">
        <f>(IF(WEEKDAY(FD$82,2)&gt;5,0,86.59))*-1</f>
        <v>-86.59</v>
      </c>
      <c r="FE117" s="39">
        <f>(IF(WEEKDAY(FE$82,2)&gt;5,0,88.63))*-1</f>
        <v>-88.63</v>
      </c>
      <c r="FF117" s="39">
        <f>(IF(WEEKDAY(FF$82,2)&gt;5,0,88.79))*-1</f>
        <v>-88.79</v>
      </c>
      <c r="FG117" s="39">
        <f>(IF(WEEKDAY(FG$82,2)&gt;5,0,77.56))*-1</f>
        <v>-77.56</v>
      </c>
      <c r="FH117" s="39">
        <f>(IF(WEEKDAY(FH$82,2)&gt;5,0,84.57))*-1</f>
        <v>0</v>
      </c>
      <c r="FI117" s="39">
        <f>(IF(WEEKDAY(FI$82,2)&gt;5,0,84.33))*-1</f>
        <v>0</v>
      </c>
      <c r="FJ117" s="39">
        <f>(IF(WEEKDAY(FJ$82,2)&gt;5,0,87.33))*-1</f>
        <v>-87.33</v>
      </c>
      <c r="FK117" s="39">
        <f>(IF(WEEKDAY(FK$82,2)&gt;5,0,86.73))*-1</f>
        <v>-86.73</v>
      </c>
      <c r="FL117" s="39">
        <f>(IF(WEEKDAY(FL$82,2)&gt;5,0,79.82))*-1</f>
        <v>-79.819999999999993</v>
      </c>
      <c r="FM117" s="39">
        <f>(IF(WEEKDAY(FM$82,2)&gt;5,0,91.25))*-1</f>
        <v>-91.25</v>
      </c>
      <c r="FN117" s="39">
        <f>(IF(WEEKDAY(FN$82,2)&gt;5,0,78.3))*-1</f>
        <v>-78.3</v>
      </c>
      <c r="FO117" s="39">
        <f>(IF(WEEKDAY(FO$82,2)&gt;5,0,75.88))*-1</f>
        <v>0</v>
      </c>
      <c r="FP117" s="39">
        <f>(IF(WEEKDAY(FP$82,2)&gt;5,0,79.03))*-1</f>
        <v>0</v>
      </c>
      <c r="FQ117" s="39">
        <f>(IF(WEEKDAY(FQ$82,2)&gt;5,0,73.6))*-1</f>
        <v>-73.599999999999994</v>
      </c>
      <c r="FR117" s="39">
        <f>(IF(WEEKDAY(FR$82,2)&gt;5,0,82.34))*-1</f>
        <v>-82.34</v>
      </c>
      <c r="FS117" s="39">
        <f>(IF(WEEKDAY(FS$82,2)&gt;5,0,71.74))*-1</f>
        <v>-71.739999999999995</v>
      </c>
      <c r="FT117" s="39">
        <f>(IF(WEEKDAY(FT$82,2)&gt;5,0,70.3))*-1</f>
        <v>-70.3</v>
      </c>
      <c r="FU117" s="39">
        <f>(IF(WEEKDAY(FU$82,2)&gt;5,0,72.56))*-1</f>
        <v>-72.56</v>
      </c>
      <c r="FV117" s="39">
        <f>(IF(WEEKDAY(FV$82,2)&gt;5,0,84.87))*-1</f>
        <v>0</v>
      </c>
      <c r="FW117" s="39">
        <f>(IF(WEEKDAY(FW$82,2)&gt;5,0,72.82))*-1</f>
        <v>0</v>
      </c>
      <c r="FX117" s="39">
        <f>(IF(WEEKDAY(FX$82,2)&gt;5,0,75.79))*-1</f>
        <v>-75.790000000000006</v>
      </c>
      <c r="FY117" s="39">
        <f>(IF(WEEKDAY(FY$82,2)&gt;5,0,86.37))*-1</f>
        <v>-86.37</v>
      </c>
      <c r="FZ117" s="39">
        <f>(IF(WEEKDAY(FZ$82,2)&gt;5,0,79.76))*-1</f>
        <v>-79.760000000000005</v>
      </c>
      <c r="GA117" s="39">
        <f>(IF(WEEKDAY(GA$82,2)&gt;5,0,77.44))*-1</f>
        <v>-77.44</v>
      </c>
      <c r="GB117" s="39">
        <f>(IF(WEEKDAY(GB$82,2)&gt;5,0,78.32))*-1</f>
        <v>-78.319999999999993</v>
      </c>
      <c r="GC117" s="39">
        <f>(IF(WEEKDAY(GC$82,2)&gt;5,0,71.78))*-1</f>
        <v>0</v>
      </c>
      <c r="GD117" s="39">
        <f>(IF(WEEKDAY(GD$82,2)&gt;5,0,75.32))*-1</f>
        <v>0</v>
      </c>
      <c r="GE117" s="39">
        <f>(IF(WEEKDAY(GE$82,2)&gt;5,0,88.46))*-1</f>
        <v>-88.46</v>
      </c>
      <c r="GF117" s="39">
        <f>(IF(WEEKDAY(GF$82,2)&gt;5,0,76.57))*-1</f>
        <v>-76.569999999999993</v>
      </c>
      <c r="GG117" s="39">
        <f>(IF(WEEKDAY(GG$82,2)&gt;5,0,75.97))*-1</f>
        <v>-75.97</v>
      </c>
      <c r="GH117" s="39">
        <f>(IF(WEEKDAY(GH$82,2)&gt;5,0,76.51))*-1</f>
        <v>-76.510000000000005</v>
      </c>
      <c r="GI117" s="39">
        <f>(IF(WEEKDAY(GI$82,2)&gt;5,0,83.08))*-1</f>
        <v>-83.08</v>
      </c>
      <c r="GJ117" s="39">
        <f>(IF(WEEKDAY(GJ$82,2)&gt;5,0,82.53))*-1</f>
        <v>0</v>
      </c>
      <c r="GK117" s="39">
        <f>(IF(WEEKDAY(GK$82,2)&gt;5,0,74.84))*-1</f>
        <v>0</v>
      </c>
      <c r="GL117" s="39">
        <f>(IF(WEEKDAY(GL$82,2)&gt;5,0,74.04))*-1</f>
        <v>-74.040000000000006</v>
      </c>
      <c r="GM117" s="39">
        <f>(IF(WEEKDAY(GM$82,2)&gt;5,0,83.83))*-1</f>
        <v>-83.83</v>
      </c>
      <c r="GN117" s="39">
        <f>(IF(WEEKDAY(GN$82,2)&gt;5,0,70.11))*-1</f>
        <v>-70.11</v>
      </c>
      <c r="GO117" s="39">
        <f>(IF(WEEKDAY(GO$82,2)&gt;5,0,73.84))*-1</f>
        <v>-73.84</v>
      </c>
      <c r="GP117" s="39">
        <f>(IF(WEEKDAY(GP$82,2)&gt;5,0,85.15))*-1</f>
        <v>-85.15</v>
      </c>
      <c r="GQ117" s="39">
        <f>(IF(WEEKDAY(GQ$82,2)&gt;5,0,75.03))*-1</f>
        <v>0</v>
      </c>
      <c r="GR117" s="39">
        <f>(IF(WEEKDAY(GR$82,2)&gt;5,0,70.65))*-1</f>
        <v>0</v>
      </c>
      <c r="GS117" s="39">
        <f>(IF(WEEKDAY(GS$82,2)&gt;5,0,78.69))*-1</f>
        <v>-78.69</v>
      </c>
      <c r="GT117" s="39">
        <f>(IF(WEEKDAY(GT$82,2)&gt;5,0,79.35))*-1</f>
        <v>-79.349999999999994</v>
      </c>
      <c r="GU117" s="39">
        <f>(IF(WEEKDAY(GU$82,2)&gt;5,0,76.13))*-1</f>
        <v>-76.13</v>
      </c>
      <c r="GV117" s="39">
        <f>(IF(WEEKDAY(GV$82,2)&gt;5,0,90.16))*-1</f>
        <v>-90.16</v>
      </c>
      <c r="GW117" s="39">
        <f>(IF(WEEKDAY(GW$82,2)&gt;5,0,80.65))*-1</f>
        <v>-80.650000000000006</v>
      </c>
      <c r="GX117" s="39">
        <f>(IF(WEEKDAY(GX$82,2)&gt;5,0,76.31))*-1</f>
        <v>0</v>
      </c>
      <c r="GY117" s="39">
        <f>(IF(WEEKDAY(GY$82,2)&gt;5,0,79.29))*-1</f>
        <v>0</v>
      </c>
      <c r="GZ117" s="39">
        <f>(IF(WEEKDAY(GZ$82,2)&gt;5,0,76.14))*-1</f>
        <v>-76.14</v>
      </c>
      <c r="HA117" s="39">
        <f>(IF(WEEKDAY(HA$82,2)&gt;5,0,69.09))*-1</f>
        <v>-69.09</v>
      </c>
      <c r="HB117" s="39">
        <f>(IF(WEEKDAY(HB$82,2)&gt;5,0,68.94))*-1</f>
        <v>-68.94</v>
      </c>
      <c r="HC117" s="39">
        <f>(IF(WEEKDAY(HC$82,2)&gt;5,0,78.87))*-1</f>
        <v>-78.87</v>
      </c>
      <c r="HD117" s="39">
        <f>(IF(WEEKDAY(HD$82,2)&gt;5,0,77.2))*-1</f>
        <v>-77.2</v>
      </c>
      <c r="HE117" s="39">
        <f>(IF(WEEKDAY(HE$82,2)&gt;5,0,90.09))*-1</f>
        <v>0</v>
      </c>
      <c r="HF117" s="39">
        <f>(IF(WEEKDAY(HF$82,2)&gt;5,0,72.89))*-1</f>
        <v>0</v>
      </c>
      <c r="HG117" s="39">
        <f>(IF(WEEKDAY(HG$82,2)&gt;5,0,74.97))*-1</f>
        <v>-74.97</v>
      </c>
      <c r="HH117" s="39">
        <f>(IF(WEEKDAY(HH$82,2)&gt;5,0,76.32))*-1</f>
        <v>-76.319999999999993</v>
      </c>
      <c r="HI117" s="39">
        <f>(IF(WEEKDAY(HI$82,2)&gt;5,0,81.21))*-1</f>
        <v>-81.209999999999994</v>
      </c>
      <c r="HJ117" s="39">
        <f>(IF(WEEKDAY(HJ$82,2)&gt;5,0,91.63))*-1</f>
        <v>-91.63</v>
      </c>
      <c r="HK117" s="39">
        <f>(IF(WEEKDAY(HK$82,2)&gt;5,0,71.02))*-1</f>
        <v>-71.02</v>
      </c>
      <c r="HL117" s="39">
        <f>(IF(WEEKDAY(HL$82,2)&gt;5,0,76.3))*-1</f>
        <v>0</v>
      </c>
      <c r="HM117" s="39">
        <f>(IF(WEEKDAY(HM$82,2)&gt;5,0,75.13))*-1</f>
        <v>0</v>
      </c>
      <c r="HN117" s="39">
        <f>(IF(WEEKDAY(HN$82,2)&gt;5,0,91.99))*-1</f>
        <v>-91.99</v>
      </c>
      <c r="HO117" s="39">
        <f>(IF(WEEKDAY(HO$82,2)&gt;5,0,78.39))*-1</f>
        <v>-78.39</v>
      </c>
      <c r="HP117" s="39">
        <f>(IF(WEEKDAY(HP$82,2)&gt;5,0,71.84))*-1</f>
        <v>-71.84</v>
      </c>
      <c r="HQ117" s="39">
        <f>(IF(WEEKDAY(HQ$82,2)&gt;5,0,82.93))*-1</f>
        <v>-82.93</v>
      </c>
      <c r="HR117" s="39">
        <f>(IF(WEEKDAY(HR$82,2)&gt;5,0,75.76))*-1</f>
        <v>-75.760000000000005</v>
      </c>
      <c r="HS117" s="39">
        <f>(IF(WEEKDAY(HS$82,2)&gt;5,0,81.81))*-1</f>
        <v>0</v>
      </c>
      <c r="HT117" s="39">
        <f>(IF(WEEKDAY(HT$82,2)&gt;5,0,84.93))*-1</f>
        <v>0</v>
      </c>
      <c r="HU117" s="39">
        <f>(IF(WEEKDAY(HU$82,2)&gt;5,0,80.59))*-1</f>
        <v>-80.59</v>
      </c>
      <c r="HV117" s="39">
        <f>(IF(WEEKDAY(HV$82,2)&gt;5,0,78.37))*-1</f>
        <v>-78.37</v>
      </c>
      <c r="HW117" s="39">
        <f>(IF(WEEKDAY(HW$82,2)&gt;5,0,89.44))*-1</f>
        <v>-89.44</v>
      </c>
      <c r="HX117" s="39">
        <f>(IF(WEEKDAY(HX$82,2)&gt;5,0,84.67))*-1</f>
        <v>-84.67</v>
      </c>
      <c r="HY117" s="39">
        <f>(IF(WEEKDAY(HY$82,2)&gt;5,0,77.74))*-1</f>
        <v>-77.739999999999995</v>
      </c>
      <c r="HZ117" s="39">
        <f>(IF(WEEKDAY(HZ$82,2)&gt;5,0,87.65))*-1</f>
        <v>0</v>
      </c>
      <c r="IA117" s="39">
        <f>(IF(WEEKDAY(IA$82,2)&gt;5,0,82.71))*-1</f>
        <v>0</v>
      </c>
      <c r="IB117" s="39">
        <f>(IF(WEEKDAY(IB$82,2)&gt;5,0,68.22))*-1</f>
        <v>-68.22</v>
      </c>
      <c r="IC117" s="39">
        <f>(IF(WEEKDAY(IC$82,2)&gt;5,0,81.88))*-1</f>
        <v>-81.88</v>
      </c>
      <c r="ID117" s="39">
        <f>(IF(WEEKDAY(ID$82,2)&gt;5,0,80.78))*-1</f>
        <v>-80.78</v>
      </c>
      <c r="IE117" s="39">
        <f>(IF(WEEKDAY(IE$82,2)&gt;5,0,69.36))*-1</f>
        <v>-69.36</v>
      </c>
      <c r="IF117" s="39">
        <f>(IF(WEEKDAY(IF$82,2)&gt;5,0,86.25))*-1</f>
        <v>-86.25</v>
      </c>
      <c r="IG117" s="39">
        <f>(IF(WEEKDAY(IG$82,2)&gt;5,0,68.04))*-1</f>
        <v>0</v>
      </c>
      <c r="IH117" s="39">
        <f>(IF(WEEKDAY(IH$82,2)&gt;5,0,82.8))*-1</f>
        <v>0</v>
      </c>
      <c r="II117" s="39">
        <f>(IF(WEEKDAY(II$82,2)&gt;5,0,87.81))*-1</f>
        <v>-87.81</v>
      </c>
      <c r="IJ117" s="39">
        <f>(IF(WEEKDAY(IJ$82,2)&gt;5,0,75.36))*-1</f>
        <v>-75.36</v>
      </c>
      <c r="IK117" s="39">
        <f>(IF(WEEKDAY(IK$82,2)&gt;5,0,75.94))*-1</f>
        <v>-75.94</v>
      </c>
      <c r="IL117" s="39">
        <f>(IF(WEEKDAY(IL$82,2)&gt;5,0,78.46))*-1</f>
        <v>-78.459999999999994</v>
      </c>
    </row>
    <row r="118" spans="1:246" x14ac:dyDescent="0.3">
      <c r="A118" t="s">
        <v>100</v>
      </c>
      <c r="B118" s="39">
        <f>(IF(WEEKDAY(B$82,2)&gt;5,0,27.83))*-1</f>
        <v>-27.83</v>
      </c>
      <c r="C118" s="39">
        <f>(IF(WEEKDAY(C$82,2)&gt;5,0,24.17))*-1</f>
        <v>0</v>
      </c>
      <c r="D118" s="39">
        <f>(IF(WEEKDAY(D$82,2)&gt;5,0,23.09))*-1</f>
        <v>0</v>
      </c>
      <c r="E118" s="39">
        <f>(IF(WEEKDAY(E$82,2)&gt;5,0,23.78))*-1</f>
        <v>-23.78</v>
      </c>
      <c r="F118" s="39">
        <f>(IF(WEEKDAY(F$82,2)&gt;5,0,21.42))*-1</f>
        <v>-21.42</v>
      </c>
      <c r="G118" s="39">
        <f>(IF(WEEKDAY(G$82,2)&gt;5,0,28.66))*-1</f>
        <v>-28.66</v>
      </c>
      <c r="H118" s="39">
        <f>(IF(WEEKDAY(H$82,2)&gt;5,0,23))*-1</f>
        <v>-23</v>
      </c>
      <c r="I118" s="39">
        <f>(IF(WEEKDAY(I$82,2)&gt;5,0,22.43))*-1</f>
        <v>-22.43</v>
      </c>
      <c r="J118" s="39">
        <f>(IF(WEEKDAY(J$82,2)&gt;5,0,21.87))*-1</f>
        <v>0</v>
      </c>
      <c r="K118" s="39">
        <f>(IF(WEEKDAY(K$82,2)&gt;5,0,24.49))*-1</f>
        <v>0</v>
      </c>
      <c r="L118" s="39">
        <f>(IF(WEEKDAY(L$82,2)&gt;5,0,25.11))*-1</f>
        <v>-25.11</v>
      </c>
      <c r="M118" s="39">
        <f>(IF(WEEKDAY(M$82,2)&gt;5,0,26.08))*-1</f>
        <v>-26.08</v>
      </c>
      <c r="N118" s="39">
        <f>(IF(WEEKDAY(N$82,2)&gt;5,0,23.71))*-1</f>
        <v>-23.71</v>
      </c>
      <c r="O118" s="39">
        <f>(IF(WEEKDAY(O$82,2)&gt;5,0,27.87))*-1</f>
        <v>-27.87</v>
      </c>
      <c r="P118" s="39">
        <f>(IF(WEEKDAY(P$82,2)&gt;5,0,23.43))*-1</f>
        <v>-23.43</v>
      </c>
      <c r="Q118" s="39">
        <f>(IF(WEEKDAY(Q$82,2)&gt;5,0,24.99))*-1</f>
        <v>0</v>
      </c>
      <c r="R118" s="39">
        <f>(IF(WEEKDAY(R$82,2)&gt;5,0,27.22))*-1</f>
        <v>0</v>
      </c>
      <c r="S118" s="39">
        <f>(IF(WEEKDAY(S$82,2)&gt;5,0,26.49))*-1</f>
        <v>-26.49</v>
      </c>
      <c r="T118" s="39">
        <f>(IF(WEEKDAY(T$82,2)&gt;5,0,27.56))*-1</f>
        <v>-27.56</v>
      </c>
      <c r="U118" s="39">
        <f>(IF(WEEKDAY(U$82,2)&gt;5,0,26.12))*-1</f>
        <v>-26.12</v>
      </c>
      <c r="V118" s="39">
        <f>(IF(WEEKDAY(V$82,2)&gt;5,0,24.77))*-1</f>
        <v>-24.77</v>
      </c>
      <c r="W118" s="39">
        <f>(IF(WEEKDAY(W$82,2)&gt;5,0,24.77))*-1</f>
        <v>-24.77</v>
      </c>
      <c r="X118" s="39">
        <f>(IF(WEEKDAY(X$82,2)&gt;5,0,23.81))*-1</f>
        <v>0</v>
      </c>
      <c r="Y118" s="39">
        <f>(IF(WEEKDAY(Y$82,2)&gt;5,0,24.61))*-1</f>
        <v>0</v>
      </c>
      <c r="Z118" s="39">
        <f>(IF(WEEKDAY(Z$82,2)&gt;5,0,27.47))*-1</f>
        <v>-27.47</v>
      </c>
      <c r="AA118" s="39">
        <f>(IF(WEEKDAY(AA$82,2)&gt;5,0,23.09))*-1</f>
        <v>-23.09</v>
      </c>
      <c r="AB118" s="39">
        <f>(IF(WEEKDAY(AB$82,2)&gt;5,0,27.32))*-1</f>
        <v>-27.32</v>
      </c>
      <c r="AC118" s="39">
        <f>(IF(WEEKDAY(AC$82,2)&gt;5,0,26.04))*-1</f>
        <v>-26.04</v>
      </c>
      <c r="AD118" s="39">
        <f>(IF(WEEKDAY(AD$82,2)&gt;5,0,25.18))*-1</f>
        <v>-25.18</v>
      </c>
      <c r="AE118" s="39">
        <f>(IF(WEEKDAY(AE$82,2)&gt;5,0,25.33))*-1</f>
        <v>0</v>
      </c>
      <c r="AF118" s="39">
        <f>(IF(WEEKDAY(AF$82,2)&gt;5,0,28.46))*-1</f>
        <v>0</v>
      </c>
      <c r="AG118" s="39">
        <f>(IF(WEEKDAY(AG$82,2)&gt;5,0,26.47))*-1</f>
        <v>-26.47</v>
      </c>
      <c r="AH118" s="39">
        <f>(IF(WEEKDAY(AH$82,2)&gt;5,0,22.63))*-1</f>
        <v>-22.63</v>
      </c>
      <c r="AI118" s="39">
        <f>(IF(WEEKDAY(AI$82,2)&gt;5,0,27.27))*-1</f>
        <v>-27.27</v>
      </c>
      <c r="AJ118" s="39">
        <f>(IF(WEEKDAY(AJ$82,2)&gt;5,0,26.62))*-1</f>
        <v>-26.62</v>
      </c>
      <c r="AK118" s="39">
        <f>(IF(WEEKDAY(AK$82,2)&gt;5,0,25.84))*-1</f>
        <v>-25.84</v>
      </c>
      <c r="AL118" s="39">
        <f>(IF(WEEKDAY(AL$82,2)&gt;5,0,23.61))*-1</f>
        <v>0</v>
      </c>
      <c r="AM118" s="39">
        <f>(IF(WEEKDAY(AM$82,2)&gt;5,0,23.48))*-1</f>
        <v>0</v>
      </c>
      <c r="AN118" s="39">
        <f>(IF(WEEKDAY(AN$82,2)&gt;5,0,28.08))*-1</f>
        <v>-28.08</v>
      </c>
      <c r="AO118" s="39">
        <f>(IF(WEEKDAY(AO$82,2)&gt;5,0,22.12))*-1</f>
        <v>-22.12</v>
      </c>
      <c r="AP118" s="39">
        <f>(IF(WEEKDAY(AP$82,2)&gt;5,0,22.04))*-1</f>
        <v>-22.04</v>
      </c>
      <c r="AQ118" s="39">
        <f>(IF(WEEKDAY(AQ$82,2)&gt;5,0,22.57))*-1</f>
        <v>-22.57</v>
      </c>
      <c r="AR118" s="39">
        <f>(IF(WEEKDAY(AR$82,2)&gt;5,0,21.62))*-1</f>
        <v>-21.62</v>
      </c>
      <c r="AS118" s="39">
        <f>(IF(WEEKDAY(AS$82,2)&gt;5,0,26.97))*-1</f>
        <v>0</v>
      </c>
      <c r="AT118" s="39">
        <f>(IF(WEEKDAY(AT$82,2)&gt;5,0,23.27))*-1</f>
        <v>0</v>
      </c>
      <c r="AU118" s="39">
        <f>(IF(WEEKDAY(AU$82,2)&gt;5,0,28.34))*-1</f>
        <v>-28.34</v>
      </c>
      <c r="AV118" s="39">
        <f>(IF(WEEKDAY(AV$82,2)&gt;5,0,21.44))*-1</f>
        <v>-21.44</v>
      </c>
      <c r="AW118" s="39">
        <f>(IF(WEEKDAY(AW$82,2)&gt;5,0,24.1))*-1</f>
        <v>-24.1</v>
      </c>
      <c r="AX118" s="39">
        <f>(IF(WEEKDAY(AX$82,2)&gt;5,0,26.85))*-1</f>
        <v>-26.85</v>
      </c>
      <c r="AY118" s="39">
        <f>(IF(WEEKDAY(AY$82,2)&gt;5,0,27.48))*-1</f>
        <v>-27.48</v>
      </c>
      <c r="AZ118" s="39">
        <f>(IF(WEEKDAY(AZ$82,2)&gt;5,0,27.97))*-1</f>
        <v>0</v>
      </c>
      <c r="BA118" s="39">
        <f>(IF(WEEKDAY(BA$82,2)&gt;5,0,24.26))*-1</f>
        <v>0</v>
      </c>
      <c r="BB118" s="39">
        <f>(IF(WEEKDAY(BB$82,2)&gt;5,0,27.64))*-1</f>
        <v>-27.64</v>
      </c>
      <c r="BC118" s="39">
        <f>(IF(WEEKDAY(BC$82,2)&gt;5,0,22.19))*-1</f>
        <v>-22.19</v>
      </c>
      <c r="BD118" s="39">
        <f>(IF(WEEKDAY(BD$82,2)&gt;5,0,25.78))*-1</f>
        <v>-25.78</v>
      </c>
      <c r="BE118" s="39">
        <f>(IF(WEEKDAY(BE$82,2)&gt;5,0,27.22))*-1</f>
        <v>-27.22</v>
      </c>
      <c r="BF118" s="39">
        <f>(IF(WEEKDAY(BF$82,2)&gt;5,0,23.8))*-1</f>
        <v>-23.8</v>
      </c>
      <c r="BG118" s="39">
        <f>(IF(WEEKDAY(BG$82,2)&gt;5,0,21.44))*-1</f>
        <v>0</v>
      </c>
      <c r="BH118" s="39">
        <f>(IF(WEEKDAY(BH$82,2)&gt;5,0,25.81))*-1</f>
        <v>0</v>
      </c>
      <c r="BI118" s="39">
        <f>(IF(WEEKDAY(BI$82,2)&gt;5,0,27.38))*-1</f>
        <v>-27.38</v>
      </c>
      <c r="BJ118" s="39">
        <f>(IF(WEEKDAY(BJ$82,2)&gt;5,0,26.04))*-1</f>
        <v>-26.04</v>
      </c>
      <c r="BK118" s="39">
        <f>(IF(WEEKDAY(BK$82,2)&gt;5,0,28.4))*-1</f>
        <v>-28.4</v>
      </c>
      <c r="BL118" s="39">
        <f>(IF(WEEKDAY(BL$82,2)&gt;5,0,28.14))*-1</f>
        <v>-28.14</v>
      </c>
      <c r="BM118" s="39">
        <f>(IF(WEEKDAY(BM$82,2)&gt;5,0,25.44))*-1</f>
        <v>-25.44</v>
      </c>
      <c r="BN118" s="39">
        <f>(IF(WEEKDAY(BN$82,2)&gt;5,0,26.39))*-1</f>
        <v>0</v>
      </c>
      <c r="BO118" s="39">
        <f>(IF(WEEKDAY(BO$82,2)&gt;5,0,25.86))*-1</f>
        <v>0</v>
      </c>
      <c r="BP118" s="39">
        <f>(IF(WEEKDAY(BP$82,2)&gt;5,0,24.27))*-1</f>
        <v>-24.27</v>
      </c>
      <c r="BQ118" s="39">
        <f>(IF(WEEKDAY(BQ$82,2)&gt;5,0,27.15))*-1</f>
        <v>-27.15</v>
      </c>
      <c r="BR118" s="39">
        <f>(IF(WEEKDAY(BR$82,2)&gt;5,0,26.28))*-1</f>
        <v>-26.28</v>
      </c>
      <c r="BS118" s="39">
        <f>(IF(WEEKDAY(BS$82,2)&gt;5,0,24.31))*-1</f>
        <v>-24.31</v>
      </c>
      <c r="BT118" s="39">
        <f>(IF(WEEKDAY(BT$82,2)&gt;5,0,25.97))*-1</f>
        <v>-25.97</v>
      </c>
      <c r="BU118" s="39">
        <f>(IF(WEEKDAY(BU$82,2)&gt;5,0,22.71))*-1</f>
        <v>0</v>
      </c>
      <c r="BV118" s="39">
        <f>(IF(WEEKDAY(BV$82,2)&gt;5,0,26.75))*-1</f>
        <v>0</v>
      </c>
      <c r="BW118" s="39">
        <f>(IF(WEEKDAY(BW$82,2)&gt;5,0,28.53))*-1</f>
        <v>-28.53</v>
      </c>
      <c r="BX118" s="39">
        <f>(IF(WEEKDAY(BX$82,2)&gt;5,0,26.28))*-1</f>
        <v>-26.28</v>
      </c>
      <c r="BY118" s="39">
        <f>(IF(WEEKDAY(BY$82,2)&gt;5,0,24.22))*-1</f>
        <v>-24.22</v>
      </c>
      <c r="BZ118" s="39">
        <f>(IF(WEEKDAY(BZ$82,2)&gt;5,0,23.69))*-1</f>
        <v>-23.69</v>
      </c>
      <c r="CA118" s="39">
        <f>(IF(WEEKDAY(CA$82,2)&gt;5,0,28.54))*-1</f>
        <v>-28.54</v>
      </c>
      <c r="CB118" s="39">
        <f>(IF(WEEKDAY(CB$82,2)&gt;5,0,26.8))*-1</f>
        <v>0</v>
      </c>
      <c r="CC118" s="39">
        <f>(IF(WEEKDAY(CC$82,2)&gt;5,0,25.65))*-1</f>
        <v>0</v>
      </c>
      <c r="CD118" s="39">
        <f>(IF(WEEKDAY(CD$82,2)&gt;5,0,22.16))*-1</f>
        <v>-22.16</v>
      </c>
      <c r="CE118" s="39">
        <f>(IF(WEEKDAY(CE$82,2)&gt;5,0,21.58))*-1</f>
        <v>-21.58</v>
      </c>
      <c r="CF118" s="39">
        <f>(IF(WEEKDAY(CF$82,2)&gt;5,0,27.47))*-1</f>
        <v>-27.47</v>
      </c>
      <c r="CG118" s="39">
        <f>(IF(WEEKDAY(CG$82,2)&gt;5,0,26.65))*-1</f>
        <v>-26.65</v>
      </c>
      <c r="CH118" s="39">
        <f>(IF(WEEKDAY(CH$82,2)&gt;5,0,26.68))*-1</f>
        <v>-26.68</v>
      </c>
      <c r="CI118" s="39">
        <f>(IF(WEEKDAY(CI$82,2)&gt;5,0,28.52))*-1</f>
        <v>0</v>
      </c>
      <c r="CJ118" s="39">
        <f>(IF(WEEKDAY(CJ$82,2)&gt;5,0,25.61))*-1</f>
        <v>0</v>
      </c>
      <c r="CK118" s="39">
        <f>(IF(WEEKDAY(CK$82,2)&gt;5,0,24.33))*-1</f>
        <v>-24.33</v>
      </c>
      <c r="CL118" s="39">
        <f>(IF(WEEKDAY(CL$82,2)&gt;5,0,24.26))*-1</f>
        <v>-24.26</v>
      </c>
      <c r="CM118" s="39">
        <f>(IF(WEEKDAY(CM$82,2)&gt;5,0,22.57))*-1</f>
        <v>-22.57</v>
      </c>
      <c r="CN118" s="39">
        <f>(IF(WEEKDAY(CN$82,2)&gt;5,0,27.55))*-1</f>
        <v>-27.55</v>
      </c>
      <c r="CO118" s="39">
        <f>(IF(WEEKDAY(CO$82,2)&gt;5,0,22.86))*-1</f>
        <v>-22.86</v>
      </c>
      <c r="CP118" s="39">
        <f>(IF(WEEKDAY(CP$82,2)&gt;5,0,21.52))*-1</f>
        <v>0</v>
      </c>
      <c r="CQ118" s="39">
        <f>(IF(WEEKDAY(CQ$82,2)&gt;5,0,24.49))*-1</f>
        <v>0</v>
      </c>
      <c r="CR118" s="39">
        <f>(IF(WEEKDAY(CR$82,2)&gt;5,0,26.37))*-1</f>
        <v>-26.37</v>
      </c>
      <c r="CS118" s="39">
        <f>(IF(WEEKDAY(CS$82,2)&gt;5,0,27.58))*-1</f>
        <v>-27.58</v>
      </c>
      <c r="CT118" s="39">
        <f>(IF(WEEKDAY(CT$82,2)&gt;5,0,27.79))*-1</f>
        <v>-27.79</v>
      </c>
      <c r="CU118" s="39">
        <f>(IF(WEEKDAY(CU$82,2)&gt;5,0,24.16))*-1</f>
        <v>-24.16</v>
      </c>
      <c r="CV118" s="39">
        <f>(IF(WEEKDAY(CV$82,2)&gt;5,0,25.76))*-1</f>
        <v>-25.76</v>
      </c>
      <c r="CW118" s="39">
        <f>(IF(WEEKDAY(CW$82,2)&gt;5,0,26.71))*-1</f>
        <v>0</v>
      </c>
      <c r="CX118" s="39">
        <f>(IF(WEEKDAY(CX$82,2)&gt;5,0,25.79))*-1</f>
        <v>0</v>
      </c>
      <c r="CY118" s="39">
        <f>(IF(WEEKDAY(CY$82,2)&gt;5,0,22.18))*-1</f>
        <v>-22.18</v>
      </c>
      <c r="CZ118" s="39">
        <f>(IF(WEEKDAY(CZ$82,2)&gt;5,0,21.33))*-1</f>
        <v>-21.33</v>
      </c>
      <c r="DA118" s="39">
        <f>(IF(WEEKDAY(DA$82,2)&gt;5,0,26.29))*-1</f>
        <v>-26.29</v>
      </c>
      <c r="DB118" s="39">
        <f>(IF(WEEKDAY(DB$82,2)&gt;5,0,24.21))*-1</f>
        <v>-24.21</v>
      </c>
      <c r="DC118" s="39">
        <f>(IF(WEEKDAY(DC$82,2)&gt;5,0,24.31))*-1</f>
        <v>-24.31</v>
      </c>
      <c r="DD118" s="39">
        <f>(IF(WEEKDAY(DD$82,2)&gt;5,0,24.22))*-1</f>
        <v>0</v>
      </c>
      <c r="DE118" s="39">
        <f>(IF(WEEKDAY(DE$82,2)&gt;5,0,23.34))*-1</f>
        <v>0</v>
      </c>
      <c r="DF118" s="39">
        <f>(IF(WEEKDAY(DF$82,2)&gt;5,0,27.53))*-1</f>
        <v>-27.53</v>
      </c>
      <c r="DG118" s="39">
        <f>(IF(WEEKDAY(DG$82,2)&gt;5,0,23.48))*-1</f>
        <v>-23.48</v>
      </c>
      <c r="DH118" s="39">
        <f>(IF(WEEKDAY(DH$82,2)&gt;5,0,23.03))*-1</f>
        <v>-23.03</v>
      </c>
      <c r="DI118" s="39">
        <f>(IF(WEEKDAY(DI$82,2)&gt;5,0,28.14))*-1</f>
        <v>-28.14</v>
      </c>
      <c r="DJ118" s="39">
        <f>(IF(WEEKDAY(DJ$82,2)&gt;5,0,24.58))*-1</f>
        <v>-24.58</v>
      </c>
      <c r="DK118" s="39">
        <f>(IF(WEEKDAY(DK$82,2)&gt;5,0,26.26))*-1</f>
        <v>0</v>
      </c>
      <c r="DL118" s="39">
        <f>(IF(WEEKDAY(DL$82,2)&gt;5,0,24.18))*-1</f>
        <v>0</v>
      </c>
      <c r="DM118" s="39">
        <f>(IF(WEEKDAY(DM$82,2)&gt;5,0,23.19))*-1</f>
        <v>-23.19</v>
      </c>
      <c r="DN118" s="39">
        <f>(IF(WEEKDAY(DN$82,2)&gt;5,0,23.18))*-1</f>
        <v>-23.18</v>
      </c>
      <c r="DO118" s="39">
        <f>(IF(WEEKDAY(DO$82,2)&gt;5,0,21.73))*-1</f>
        <v>-21.73</v>
      </c>
      <c r="DP118" s="39">
        <f>(IF(WEEKDAY(DP$82,2)&gt;5,0,25))*-1</f>
        <v>-25</v>
      </c>
      <c r="DQ118" s="39">
        <f>(IF(WEEKDAY(DQ$82,2)&gt;5,0,23.04))*-1</f>
        <v>-23.04</v>
      </c>
      <c r="DR118" s="39">
        <f>(IF(WEEKDAY(DR$82,2)&gt;5,0,28.38))*-1</f>
        <v>0</v>
      </c>
      <c r="DS118" s="39">
        <f>(IF(WEEKDAY(DS$82,2)&gt;5,0,25.68))*-1</f>
        <v>0</v>
      </c>
      <c r="DT118" s="39">
        <f>(IF(WEEKDAY(DT$82,2)&gt;5,0,24.04))*-1</f>
        <v>-24.04</v>
      </c>
      <c r="DU118" s="39">
        <f>(IF(WEEKDAY(DU$82,2)&gt;5,0,26.75))*-1</f>
        <v>-26.75</v>
      </c>
      <c r="DV118" s="39">
        <f>(IF(WEEKDAY(DV$82,2)&gt;5,0,28.2))*-1</f>
        <v>-28.2</v>
      </c>
      <c r="DW118" s="39">
        <f>(IF(WEEKDAY(DW$82,2)&gt;5,0,26.25))*-1</f>
        <v>-26.25</v>
      </c>
      <c r="DX118" s="39">
        <f>(IF(WEEKDAY(DX$82,2)&gt;5,0,26.93))*-1</f>
        <v>-26.93</v>
      </c>
      <c r="DY118" s="39">
        <f>(IF(WEEKDAY(DY$82,2)&gt;5,0,23.61))*-1</f>
        <v>0</v>
      </c>
      <c r="DZ118" s="39">
        <f>(IF(WEEKDAY(DZ$82,2)&gt;5,0,22.04))*-1</f>
        <v>0</v>
      </c>
      <c r="EA118" s="39">
        <f>(IF(WEEKDAY(EA$82,2)&gt;5,0,25.33))*-1</f>
        <v>-25.33</v>
      </c>
      <c r="EB118" s="39">
        <f>(IF(WEEKDAY(EB$82,2)&gt;5,0,23.66))*-1</f>
        <v>-23.66</v>
      </c>
      <c r="EC118" s="39">
        <f>(IF(WEEKDAY(EC$82,2)&gt;5,0,21.66))*-1</f>
        <v>-21.66</v>
      </c>
      <c r="ED118" s="39">
        <f>(IF(WEEKDAY(ED$82,2)&gt;5,0,22.52))*-1</f>
        <v>-22.52</v>
      </c>
      <c r="EE118" s="39">
        <f>(IF(WEEKDAY(EE$82,2)&gt;5,0,27.3))*-1</f>
        <v>-27.3</v>
      </c>
      <c r="EF118" s="39">
        <f>(IF(WEEKDAY(EF$82,2)&gt;5,0,22.5))*-1</f>
        <v>0</v>
      </c>
      <c r="EG118" s="39">
        <f>(IF(WEEKDAY(EG$82,2)&gt;5,0,25.29))*-1</f>
        <v>0</v>
      </c>
      <c r="EH118" s="39">
        <f>(IF(WEEKDAY(EH$82,2)&gt;5,0,22.11))*-1</f>
        <v>-22.11</v>
      </c>
      <c r="EI118" s="39">
        <f>(IF(WEEKDAY(EI$82,2)&gt;5,0,27.99))*-1</f>
        <v>-27.99</v>
      </c>
      <c r="EJ118" s="39">
        <f>(IF(WEEKDAY(EJ$82,2)&gt;5,0,22.78))*-1</f>
        <v>-22.78</v>
      </c>
      <c r="EK118" s="39">
        <f>(IF(WEEKDAY(EK$82,2)&gt;5,0,22.67))*-1</f>
        <v>-22.67</v>
      </c>
      <c r="EL118" s="39">
        <f>(IF(WEEKDAY(EL$82,2)&gt;5,0,27.1))*-1</f>
        <v>-27.1</v>
      </c>
      <c r="EM118" s="39">
        <f>(IF(WEEKDAY(EM$82,2)&gt;5,0,22.88))*-1</f>
        <v>0</v>
      </c>
      <c r="EN118" s="39">
        <f>(IF(WEEKDAY(EN$82,2)&gt;5,0,28.43))*-1</f>
        <v>0</v>
      </c>
      <c r="EO118" s="39">
        <f>(IF(WEEKDAY(EO$82,2)&gt;5,0,22.06))*-1</f>
        <v>-22.06</v>
      </c>
      <c r="EP118" s="39">
        <f>(IF(WEEKDAY(EP$82,2)&gt;5,0,25.3))*-1</f>
        <v>-25.3</v>
      </c>
      <c r="EQ118" s="39">
        <f>(IF(WEEKDAY(EQ$82,2)&gt;5,0,23.33))*-1</f>
        <v>-23.33</v>
      </c>
      <c r="ER118" s="39">
        <f>(IF(WEEKDAY(ER$82,2)&gt;5,0,27.8))*-1</f>
        <v>-27.8</v>
      </c>
      <c r="ES118" s="39">
        <f>(IF(WEEKDAY(ES$82,2)&gt;5,0,22.95))*-1</f>
        <v>-22.95</v>
      </c>
      <c r="ET118" s="39">
        <f>(IF(WEEKDAY(ET$82,2)&gt;5,0,22.76))*-1</f>
        <v>0</v>
      </c>
      <c r="EU118" s="39">
        <f>(IF(WEEKDAY(EU$82,2)&gt;5,0,27.38))*-1</f>
        <v>0</v>
      </c>
      <c r="EV118" s="39">
        <f>(IF(WEEKDAY(EV$82,2)&gt;5,0,21.43))*-1</f>
        <v>-21.43</v>
      </c>
      <c r="EW118" s="39">
        <f>(IF(WEEKDAY(EW$82,2)&gt;5,0,23.7))*-1</f>
        <v>-23.7</v>
      </c>
      <c r="EX118" s="39">
        <f>(IF(WEEKDAY(EX$82,2)&gt;5,0,26.45))*-1</f>
        <v>-26.45</v>
      </c>
      <c r="EY118" s="39">
        <f>(IF(WEEKDAY(EY$82,2)&gt;5,0,24.63))*-1</f>
        <v>-24.63</v>
      </c>
      <c r="EZ118" s="39">
        <f>(IF(WEEKDAY(EZ$82,2)&gt;5,0,24.71))*-1</f>
        <v>-24.71</v>
      </c>
      <c r="FA118" s="39">
        <f>(IF(WEEKDAY(FA$82,2)&gt;5,0,26.18))*-1</f>
        <v>0</v>
      </c>
      <c r="FB118" s="39">
        <f>(IF(WEEKDAY(FB$82,2)&gt;5,0,21.42))*-1</f>
        <v>0</v>
      </c>
      <c r="FC118" s="39">
        <f>(IF(WEEKDAY(FC$82,2)&gt;5,0,24.93))*-1</f>
        <v>-24.93</v>
      </c>
      <c r="FD118" s="39">
        <f>(IF(WEEKDAY(FD$82,2)&gt;5,0,23.96))*-1</f>
        <v>-23.96</v>
      </c>
      <c r="FE118" s="39">
        <f>(IF(WEEKDAY(FE$82,2)&gt;5,0,22.92))*-1</f>
        <v>-22.92</v>
      </c>
      <c r="FF118" s="39">
        <f>(IF(WEEKDAY(FF$82,2)&gt;5,0,24.05))*-1</f>
        <v>-24.05</v>
      </c>
      <c r="FG118" s="39">
        <f>(IF(WEEKDAY(FG$82,2)&gt;5,0,24.9))*-1</f>
        <v>-24.9</v>
      </c>
      <c r="FH118" s="39">
        <f>(IF(WEEKDAY(FH$82,2)&gt;5,0,22.73))*-1</f>
        <v>0</v>
      </c>
      <c r="FI118" s="39">
        <f>(IF(WEEKDAY(FI$82,2)&gt;5,0,25.21))*-1</f>
        <v>0</v>
      </c>
      <c r="FJ118" s="39">
        <f>(IF(WEEKDAY(FJ$82,2)&gt;5,0,25.13))*-1</f>
        <v>-25.13</v>
      </c>
      <c r="FK118" s="39">
        <f>(IF(WEEKDAY(FK$82,2)&gt;5,0,21.62))*-1</f>
        <v>-21.62</v>
      </c>
      <c r="FL118" s="39">
        <f>(IF(WEEKDAY(FL$82,2)&gt;5,0,23.79))*-1</f>
        <v>-23.79</v>
      </c>
      <c r="FM118" s="39">
        <f>(IF(WEEKDAY(FM$82,2)&gt;5,0,23.88))*-1</f>
        <v>-23.88</v>
      </c>
      <c r="FN118" s="39">
        <f>(IF(WEEKDAY(FN$82,2)&gt;5,0,23.1))*-1</f>
        <v>-23.1</v>
      </c>
      <c r="FO118" s="39">
        <f>(IF(WEEKDAY(FO$82,2)&gt;5,0,24.08))*-1</f>
        <v>0</v>
      </c>
      <c r="FP118" s="39">
        <f>(IF(WEEKDAY(FP$82,2)&gt;5,0,27.7))*-1</f>
        <v>0</v>
      </c>
      <c r="FQ118" s="39">
        <f>(IF(WEEKDAY(FQ$82,2)&gt;5,0,26))*-1</f>
        <v>-26</v>
      </c>
      <c r="FR118" s="39">
        <f>(IF(WEEKDAY(FR$82,2)&gt;5,0,21.99))*-1</f>
        <v>-21.99</v>
      </c>
      <c r="FS118" s="39">
        <f>(IF(WEEKDAY(FS$82,2)&gt;5,0,24.46))*-1</f>
        <v>-24.46</v>
      </c>
      <c r="FT118" s="39">
        <f>(IF(WEEKDAY(FT$82,2)&gt;5,0,22.5))*-1</f>
        <v>-22.5</v>
      </c>
      <c r="FU118" s="39">
        <f>(IF(WEEKDAY(FU$82,2)&gt;5,0,28.15))*-1</f>
        <v>-28.15</v>
      </c>
      <c r="FV118" s="39">
        <f>(IF(WEEKDAY(FV$82,2)&gt;5,0,23.41))*-1</f>
        <v>0</v>
      </c>
      <c r="FW118" s="39">
        <f>(IF(WEEKDAY(FW$82,2)&gt;5,0,23))*-1</f>
        <v>0</v>
      </c>
      <c r="FX118" s="39">
        <f>(IF(WEEKDAY(FX$82,2)&gt;5,0,22.15))*-1</f>
        <v>-22.15</v>
      </c>
      <c r="FY118" s="39">
        <f>(IF(WEEKDAY(FY$82,2)&gt;5,0,21.82))*-1</f>
        <v>-21.82</v>
      </c>
      <c r="FZ118" s="39">
        <f>(IF(WEEKDAY(FZ$82,2)&gt;5,0,26.33))*-1</f>
        <v>-26.33</v>
      </c>
      <c r="GA118" s="39">
        <f>(IF(WEEKDAY(GA$82,2)&gt;5,0,27.06))*-1</f>
        <v>-27.06</v>
      </c>
      <c r="GB118" s="39">
        <f>(IF(WEEKDAY(GB$82,2)&gt;5,0,27.08))*-1</f>
        <v>-27.08</v>
      </c>
      <c r="GC118" s="39">
        <f>(IF(WEEKDAY(GC$82,2)&gt;5,0,26.79))*-1</f>
        <v>0</v>
      </c>
      <c r="GD118" s="39">
        <f>(IF(WEEKDAY(GD$82,2)&gt;5,0,25.54))*-1</f>
        <v>0</v>
      </c>
      <c r="GE118" s="39">
        <f>(IF(WEEKDAY(GE$82,2)&gt;5,0,21.69))*-1</f>
        <v>-21.69</v>
      </c>
      <c r="GF118" s="39">
        <f>(IF(WEEKDAY(GF$82,2)&gt;5,0,26.89))*-1</f>
        <v>-26.89</v>
      </c>
      <c r="GG118" s="39">
        <f>(IF(WEEKDAY(GG$82,2)&gt;5,0,26.71))*-1</f>
        <v>-26.71</v>
      </c>
      <c r="GH118" s="39">
        <f>(IF(WEEKDAY(GH$82,2)&gt;5,0,28.36))*-1</f>
        <v>-28.36</v>
      </c>
      <c r="GI118" s="39">
        <f>(IF(WEEKDAY(GI$82,2)&gt;5,0,25.89))*-1</f>
        <v>-25.89</v>
      </c>
      <c r="GJ118" s="39">
        <f>(IF(WEEKDAY(GJ$82,2)&gt;5,0,22.46))*-1</f>
        <v>0</v>
      </c>
      <c r="GK118" s="39">
        <f>(IF(WEEKDAY(GK$82,2)&gt;5,0,26.13))*-1</f>
        <v>0</v>
      </c>
      <c r="GL118" s="39">
        <f>(IF(WEEKDAY(GL$82,2)&gt;5,0,23.56))*-1</f>
        <v>-23.56</v>
      </c>
      <c r="GM118" s="39">
        <f>(IF(WEEKDAY(GM$82,2)&gt;5,0,24.93))*-1</f>
        <v>-24.93</v>
      </c>
      <c r="GN118" s="39">
        <f>(IF(WEEKDAY(GN$82,2)&gt;5,0,24.07))*-1</f>
        <v>-24.07</v>
      </c>
      <c r="GO118" s="39">
        <f>(IF(WEEKDAY(GO$82,2)&gt;5,0,23.12))*-1</f>
        <v>-23.12</v>
      </c>
      <c r="GP118" s="39">
        <f>(IF(WEEKDAY(GP$82,2)&gt;5,0,25.82))*-1</f>
        <v>-25.82</v>
      </c>
      <c r="GQ118" s="39">
        <f>(IF(WEEKDAY(GQ$82,2)&gt;5,0,27.38))*-1</f>
        <v>0</v>
      </c>
      <c r="GR118" s="39">
        <f>(IF(WEEKDAY(GR$82,2)&gt;5,0,27.22))*-1</f>
        <v>0</v>
      </c>
      <c r="GS118" s="39">
        <f>(IF(WEEKDAY(GS$82,2)&gt;5,0,28.08))*-1</f>
        <v>-28.08</v>
      </c>
      <c r="GT118" s="39">
        <f>(IF(WEEKDAY(GT$82,2)&gt;5,0,21.84))*-1</f>
        <v>-21.84</v>
      </c>
      <c r="GU118" s="39">
        <f>(IF(WEEKDAY(GU$82,2)&gt;5,0,27.26))*-1</f>
        <v>-27.26</v>
      </c>
      <c r="GV118" s="39">
        <f>(IF(WEEKDAY(GV$82,2)&gt;5,0,28.23))*-1</f>
        <v>-28.23</v>
      </c>
      <c r="GW118" s="39">
        <f>(IF(WEEKDAY(GW$82,2)&gt;5,0,24.49))*-1</f>
        <v>-24.49</v>
      </c>
      <c r="GX118" s="39">
        <f>(IF(WEEKDAY(GX$82,2)&gt;5,0,26.06))*-1</f>
        <v>0</v>
      </c>
      <c r="GY118" s="39">
        <f>(IF(WEEKDAY(GY$82,2)&gt;5,0,28.3))*-1</f>
        <v>0</v>
      </c>
      <c r="GZ118" s="39">
        <f>(IF(WEEKDAY(GZ$82,2)&gt;5,0,23.66))*-1</f>
        <v>-23.66</v>
      </c>
      <c r="HA118" s="39">
        <f>(IF(WEEKDAY(HA$82,2)&gt;5,0,27.15))*-1</f>
        <v>-27.15</v>
      </c>
      <c r="HB118" s="39">
        <f>(IF(WEEKDAY(HB$82,2)&gt;5,0,27.34))*-1</f>
        <v>-27.34</v>
      </c>
      <c r="HC118" s="39">
        <f>(IF(WEEKDAY(HC$82,2)&gt;5,0,22.64))*-1</f>
        <v>-22.64</v>
      </c>
      <c r="HD118" s="39">
        <f>(IF(WEEKDAY(HD$82,2)&gt;5,0,27.39))*-1</f>
        <v>-27.39</v>
      </c>
      <c r="HE118" s="39">
        <f>(IF(WEEKDAY(HE$82,2)&gt;5,0,28.29))*-1</f>
        <v>0</v>
      </c>
      <c r="HF118" s="39">
        <f>(IF(WEEKDAY(HF$82,2)&gt;5,0,21.78))*-1</f>
        <v>0</v>
      </c>
      <c r="HG118" s="39">
        <f>(IF(WEEKDAY(HG$82,2)&gt;5,0,21.48))*-1</f>
        <v>-21.48</v>
      </c>
      <c r="HH118" s="39">
        <f>(IF(WEEKDAY(HH$82,2)&gt;5,0,28.54))*-1</f>
        <v>-28.54</v>
      </c>
      <c r="HI118" s="39">
        <f>(IF(WEEKDAY(HI$82,2)&gt;5,0,26.17))*-1</f>
        <v>-26.17</v>
      </c>
      <c r="HJ118" s="39">
        <f>(IF(WEEKDAY(HJ$82,2)&gt;5,0,23.99))*-1</f>
        <v>-23.99</v>
      </c>
      <c r="HK118" s="39">
        <f>(IF(WEEKDAY(HK$82,2)&gt;5,0,22.16))*-1</f>
        <v>-22.16</v>
      </c>
      <c r="HL118" s="39">
        <f>(IF(WEEKDAY(HL$82,2)&gt;5,0,21.73))*-1</f>
        <v>0</v>
      </c>
      <c r="HM118" s="39">
        <f>(IF(WEEKDAY(HM$82,2)&gt;5,0,24.88))*-1</f>
        <v>0</v>
      </c>
      <c r="HN118" s="39">
        <f>(IF(WEEKDAY(HN$82,2)&gt;5,0,21.42))*-1</f>
        <v>-21.42</v>
      </c>
      <c r="HO118" s="39">
        <f>(IF(WEEKDAY(HO$82,2)&gt;5,0,24.08))*-1</f>
        <v>-24.08</v>
      </c>
      <c r="HP118" s="39">
        <f>(IF(WEEKDAY(HP$82,2)&gt;5,0,21.79))*-1</f>
        <v>-21.79</v>
      </c>
      <c r="HQ118" s="39">
        <f>(IF(WEEKDAY(HQ$82,2)&gt;5,0,21.25))*-1</f>
        <v>-21.25</v>
      </c>
      <c r="HR118" s="39">
        <f>(IF(WEEKDAY(HR$82,2)&gt;5,0,24.15))*-1</f>
        <v>-24.15</v>
      </c>
      <c r="HS118" s="39">
        <f>(IF(WEEKDAY(HS$82,2)&gt;5,0,27.63))*-1</f>
        <v>0</v>
      </c>
      <c r="HT118" s="39">
        <f>(IF(WEEKDAY(HT$82,2)&gt;5,0,23.45))*-1</f>
        <v>0</v>
      </c>
      <c r="HU118" s="39">
        <f>(IF(WEEKDAY(HU$82,2)&gt;5,0,26.53))*-1</f>
        <v>-26.53</v>
      </c>
      <c r="HV118" s="39">
        <f>(IF(WEEKDAY(HV$82,2)&gt;5,0,26.44))*-1</f>
        <v>-26.44</v>
      </c>
      <c r="HW118" s="39">
        <f>(IF(WEEKDAY(HW$82,2)&gt;5,0,24.9))*-1</f>
        <v>-24.9</v>
      </c>
      <c r="HX118" s="39">
        <f>(IF(WEEKDAY(HX$82,2)&gt;5,0,26.74))*-1</f>
        <v>-26.74</v>
      </c>
      <c r="HY118" s="39">
        <f>(IF(WEEKDAY(HY$82,2)&gt;5,0,27.06))*-1</f>
        <v>-27.06</v>
      </c>
      <c r="HZ118" s="39">
        <f>(IF(WEEKDAY(HZ$82,2)&gt;5,0,28.45))*-1</f>
        <v>0</v>
      </c>
      <c r="IA118" s="39">
        <f>(IF(WEEKDAY(IA$82,2)&gt;5,0,28.01))*-1</f>
        <v>0</v>
      </c>
      <c r="IB118" s="39">
        <f>(IF(WEEKDAY(IB$82,2)&gt;5,0,25.19))*-1</f>
        <v>-25.19</v>
      </c>
      <c r="IC118" s="39">
        <f>(IF(WEEKDAY(IC$82,2)&gt;5,0,22.41))*-1</f>
        <v>-22.41</v>
      </c>
      <c r="ID118" s="39">
        <f>(IF(WEEKDAY(ID$82,2)&gt;5,0,23.4))*-1</f>
        <v>-23.4</v>
      </c>
      <c r="IE118" s="39">
        <f>(IF(WEEKDAY(IE$82,2)&gt;5,0,26.8))*-1</f>
        <v>-26.8</v>
      </c>
      <c r="IF118" s="39">
        <f>(IF(WEEKDAY(IF$82,2)&gt;5,0,28.71))*-1</f>
        <v>-28.71</v>
      </c>
      <c r="IG118" s="39">
        <f>(IF(WEEKDAY(IG$82,2)&gt;5,0,22.84))*-1</f>
        <v>0</v>
      </c>
      <c r="IH118" s="39">
        <f>(IF(WEEKDAY(IH$82,2)&gt;5,0,25.81))*-1</f>
        <v>0</v>
      </c>
      <c r="II118" s="39">
        <f>(IF(WEEKDAY(II$82,2)&gt;5,0,27.21))*-1</f>
        <v>-27.21</v>
      </c>
      <c r="IJ118" s="39">
        <f>(IF(WEEKDAY(IJ$82,2)&gt;5,0,24.82))*-1</f>
        <v>-24.82</v>
      </c>
      <c r="IK118" s="39">
        <f>(IF(WEEKDAY(IK$82,2)&gt;5,0,26.01))*-1</f>
        <v>-26.01</v>
      </c>
      <c r="IL118" s="39">
        <f>(IF(WEEKDAY(IL$82,2)&gt;5,0,26.31))*-1</f>
        <v>-26.31</v>
      </c>
    </row>
    <row r="119" spans="1:246" x14ac:dyDescent="0.3">
      <c r="A119" t="s">
        <v>101</v>
      </c>
      <c r="B119" s="39">
        <f>(IF(WEEKDAY(B$82,2)&gt;5,0,12.59))*-1</f>
        <v>-12.59</v>
      </c>
      <c r="C119" s="39">
        <f>(IF(WEEKDAY(C$82,2)&gt;5,0,13.57))*-1</f>
        <v>0</v>
      </c>
      <c r="D119" s="39">
        <f>(IF(WEEKDAY(D$82,2)&gt;5,0,13.18))*-1</f>
        <v>0</v>
      </c>
      <c r="E119" s="39">
        <f>(IF(WEEKDAY(E$82,2)&gt;5,0,13.58))*-1</f>
        <v>-13.58</v>
      </c>
      <c r="F119" s="39">
        <f>(IF(WEEKDAY(F$82,2)&gt;5,0,12.96))*-1</f>
        <v>-12.96</v>
      </c>
      <c r="G119" s="39">
        <f>(IF(WEEKDAY(G$82,2)&gt;5,0,12.92))*-1</f>
        <v>-12.92</v>
      </c>
      <c r="H119" s="39">
        <f>(IF(WEEKDAY(H$82,2)&gt;5,0,11.18))*-1</f>
        <v>-11.18</v>
      </c>
      <c r="I119" s="39">
        <f>(IF(WEEKDAY(I$82,2)&gt;5,0,13.75))*-1</f>
        <v>-13.75</v>
      </c>
      <c r="J119" s="39">
        <f>(IF(WEEKDAY(J$82,2)&gt;5,0,10.55))*-1</f>
        <v>0</v>
      </c>
      <c r="K119" s="39">
        <f>(IF(WEEKDAY(K$82,2)&gt;5,0,10.37))*-1</f>
        <v>0</v>
      </c>
      <c r="L119" s="39">
        <f>(IF(WEEKDAY(L$82,2)&gt;5,0,12.66))*-1</f>
        <v>-12.66</v>
      </c>
      <c r="M119" s="39">
        <f>(IF(WEEKDAY(M$82,2)&gt;5,0,13.14))*-1</f>
        <v>-13.14</v>
      </c>
      <c r="N119" s="39">
        <f>(IF(WEEKDAY(N$82,2)&gt;5,0,11.09))*-1</f>
        <v>-11.09</v>
      </c>
      <c r="O119" s="39">
        <f>(IF(WEEKDAY(O$82,2)&gt;5,0,11.04))*-1</f>
        <v>-11.04</v>
      </c>
      <c r="P119" s="39">
        <f>(IF(WEEKDAY(P$82,2)&gt;5,0,13.76))*-1</f>
        <v>-13.76</v>
      </c>
      <c r="Q119" s="39">
        <f>(IF(WEEKDAY(Q$82,2)&gt;5,0,13.25))*-1</f>
        <v>0</v>
      </c>
      <c r="R119" s="39">
        <f>(IF(WEEKDAY(R$82,2)&gt;5,0,10.59))*-1</f>
        <v>0</v>
      </c>
      <c r="S119" s="39">
        <f>(IF(WEEKDAY(S$82,2)&gt;5,0,12.03))*-1</f>
        <v>-12.03</v>
      </c>
      <c r="T119" s="39">
        <f>(IF(WEEKDAY(T$82,2)&gt;5,0,11.95))*-1</f>
        <v>-11.95</v>
      </c>
      <c r="U119" s="39">
        <f>(IF(WEEKDAY(U$82,2)&gt;5,0,12.22))*-1</f>
        <v>-12.22</v>
      </c>
      <c r="V119" s="39">
        <f>(IF(WEEKDAY(V$82,2)&gt;5,0,13.53))*-1</f>
        <v>-13.53</v>
      </c>
      <c r="W119" s="39">
        <f>(IF(WEEKDAY(W$82,2)&gt;5,0,11.83))*-1</f>
        <v>-11.83</v>
      </c>
      <c r="X119" s="39">
        <f>(IF(WEEKDAY(X$82,2)&gt;5,0,11.94))*-1</f>
        <v>0</v>
      </c>
      <c r="Y119" s="39">
        <f>(IF(WEEKDAY(Y$82,2)&gt;5,0,11.59))*-1</f>
        <v>0</v>
      </c>
      <c r="Z119" s="39">
        <f>(IF(WEEKDAY(Z$82,2)&gt;5,0,13.31))*-1</f>
        <v>-13.31</v>
      </c>
      <c r="AA119" s="39">
        <f>(IF(WEEKDAY(AA$82,2)&gt;5,0,10.24))*-1</f>
        <v>-10.24</v>
      </c>
      <c r="AB119" s="39">
        <f>(IF(WEEKDAY(AB$82,2)&gt;5,0,10.53))*-1</f>
        <v>-10.53</v>
      </c>
      <c r="AC119" s="39">
        <f>(IF(WEEKDAY(AC$82,2)&gt;5,0,10.55))*-1</f>
        <v>-10.55</v>
      </c>
      <c r="AD119" s="39">
        <f>(IF(WEEKDAY(AD$82,2)&gt;5,0,11.43))*-1</f>
        <v>-11.43</v>
      </c>
      <c r="AE119" s="39">
        <f>(IF(WEEKDAY(AE$82,2)&gt;5,0,11.71))*-1</f>
        <v>0</v>
      </c>
      <c r="AF119" s="39">
        <f>(IF(WEEKDAY(AF$82,2)&gt;5,0,12.72))*-1</f>
        <v>0</v>
      </c>
      <c r="AG119" s="39">
        <f>(IF(WEEKDAY(AG$82,2)&gt;5,0,10.7))*-1</f>
        <v>-10.7</v>
      </c>
      <c r="AH119" s="39">
        <f>(IF(WEEKDAY(AH$82,2)&gt;5,0,10.41))*-1</f>
        <v>-10.41</v>
      </c>
      <c r="AI119" s="39">
        <f>(IF(WEEKDAY(AI$82,2)&gt;5,0,10.92))*-1</f>
        <v>-10.92</v>
      </c>
      <c r="AJ119" s="39">
        <f>(IF(WEEKDAY(AJ$82,2)&gt;5,0,12.07))*-1</f>
        <v>-12.07</v>
      </c>
      <c r="AK119" s="39">
        <f>(IF(WEEKDAY(AK$82,2)&gt;5,0,13.6))*-1</f>
        <v>-13.6</v>
      </c>
      <c r="AL119" s="39">
        <f>(IF(WEEKDAY(AL$82,2)&gt;5,0,11.64))*-1</f>
        <v>0</v>
      </c>
      <c r="AM119" s="39">
        <f>(IF(WEEKDAY(AM$82,2)&gt;5,0,13.53))*-1</f>
        <v>0</v>
      </c>
      <c r="AN119" s="39">
        <f>(IF(WEEKDAY(AN$82,2)&gt;5,0,10.8))*-1</f>
        <v>-10.8</v>
      </c>
      <c r="AO119" s="39">
        <f>(IF(WEEKDAY(AO$82,2)&gt;5,0,11.72))*-1</f>
        <v>-11.72</v>
      </c>
      <c r="AP119" s="39">
        <f>(IF(WEEKDAY(AP$82,2)&gt;5,0,10.38))*-1</f>
        <v>-10.38</v>
      </c>
      <c r="AQ119" s="39">
        <f>(IF(WEEKDAY(AQ$82,2)&gt;5,0,12.39))*-1</f>
        <v>-12.39</v>
      </c>
      <c r="AR119" s="39">
        <f>(IF(WEEKDAY(AR$82,2)&gt;5,0,12.25))*-1</f>
        <v>-12.25</v>
      </c>
      <c r="AS119" s="39">
        <f>(IF(WEEKDAY(AS$82,2)&gt;5,0,11.6))*-1</f>
        <v>0</v>
      </c>
      <c r="AT119" s="39">
        <f>(IF(WEEKDAY(AT$82,2)&gt;5,0,13))*-1</f>
        <v>0</v>
      </c>
      <c r="AU119" s="39">
        <f>(IF(WEEKDAY(AU$82,2)&gt;5,0,11.5))*-1</f>
        <v>-11.5</v>
      </c>
      <c r="AV119" s="39">
        <f>(IF(WEEKDAY(AV$82,2)&gt;5,0,11.01))*-1</f>
        <v>-11.01</v>
      </c>
      <c r="AW119" s="39">
        <f>(IF(WEEKDAY(AW$82,2)&gt;5,0,10.69))*-1</f>
        <v>-10.69</v>
      </c>
      <c r="AX119" s="39">
        <f>(IF(WEEKDAY(AX$82,2)&gt;5,0,13.66))*-1</f>
        <v>-13.66</v>
      </c>
      <c r="AY119" s="39">
        <f>(IF(WEEKDAY(AY$82,2)&gt;5,0,11.32))*-1</f>
        <v>-11.32</v>
      </c>
      <c r="AZ119" s="39">
        <f>(IF(WEEKDAY(AZ$82,2)&gt;5,0,13.08))*-1</f>
        <v>0</v>
      </c>
      <c r="BA119" s="39">
        <f>(IF(WEEKDAY(BA$82,2)&gt;5,0,13.25))*-1</f>
        <v>0</v>
      </c>
      <c r="BB119" s="39">
        <f>(IF(WEEKDAY(BB$82,2)&gt;5,0,11.13))*-1</f>
        <v>-11.13</v>
      </c>
      <c r="BC119" s="39">
        <f>(IF(WEEKDAY(BC$82,2)&gt;5,0,13.19))*-1</f>
        <v>-13.19</v>
      </c>
      <c r="BD119" s="39">
        <f>(IF(WEEKDAY(BD$82,2)&gt;5,0,12.65))*-1</f>
        <v>-12.65</v>
      </c>
      <c r="BE119" s="39">
        <f>(IF(WEEKDAY(BE$82,2)&gt;5,0,10.56))*-1</f>
        <v>-10.56</v>
      </c>
      <c r="BF119" s="39">
        <f>(IF(WEEKDAY(BF$82,2)&gt;5,0,12.83))*-1</f>
        <v>-12.83</v>
      </c>
      <c r="BG119" s="39">
        <f>(IF(WEEKDAY(BG$82,2)&gt;5,0,10.87))*-1</f>
        <v>0</v>
      </c>
      <c r="BH119" s="39">
        <f>(IF(WEEKDAY(BH$82,2)&gt;5,0,12.55))*-1</f>
        <v>0</v>
      </c>
      <c r="BI119" s="39">
        <f>(IF(WEEKDAY(BI$82,2)&gt;5,0,12.88))*-1</f>
        <v>-12.88</v>
      </c>
      <c r="BJ119" s="39">
        <f>(IF(WEEKDAY(BJ$82,2)&gt;5,0,12.3))*-1</f>
        <v>-12.3</v>
      </c>
      <c r="BK119" s="39">
        <f>(IF(WEEKDAY(BK$82,2)&gt;5,0,12.27))*-1</f>
        <v>-12.27</v>
      </c>
      <c r="BL119" s="39">
        <f>(IF(WEEKDAY(BL$82,2)&gt;5,0,12.93))*-1</f>
        <v>-12.93</v>
      </c>
      <c r="BM119" s="39">
        <f>(IF(WEEKDAY(BM$82,2)&gt;5,0,11.88))*-1</f>
        <v>-11.88</v>
      </c>
      <c r="BN119" s="39">
        <f>(IF(WEEKDAY(BN$82,2)&gt;5,0,12.06))*-1</f>
        <v>0</v>
      </c>
      <c r="BO119" s="39">
        <f>(IF(WEEKDAY(BO$82,2)&gt;5,0,10.93))*-1</f>
        <v>0</v>
      </c>
      <c r="BP119" s="39">
        <f>(IF(WEEKDAY(BP$82,2)&gt;5,0,13.78))*-1</f>
        <v>-13.78</v>
      </c>
      <c r="BQ119" s="39">
        <f>(IF(WEEKDAY(BQ$82,2)&gt;5,0,10.36))*-1</f>
        <v>-10.36</v>
      </c>
      <c r="BR119" s="39">
        <f>(IF(WEEKDAY(BR$82,2)&gt;5,0,11.68))*-1</f>
        <v>-11.68</v>
      </c>
      <c r="BS119" s="39">
        <f>(IF(WEEKDAY(BS$82,2)&gt;5,0,10.33))*-1</f>
        <v>-10.33</v>
      </c>
      <c r="BT119" s="39">
        <f>(IF(WEEKDAY(BT$82,2)&gt;5,0,12.83))*-1</f>
        <v>-12.83</v>
      </c>
      <c r="BU119" s="39">
        <f>(IF(WEEKDAY(BU$82,2)&gt;5,0,11.89))*-1</f>
        <v>0</v>
      </c>
      <c r="BV119" s="39">
        <f>(IF(WEEKDAY(BV$82,2)&gt;5,0,12.95))*-1</f>
        <v>0</v>
      </c>
      <c r="BW119" s="39">
        <f>(IF(WEEKDAY(BW$82,2)&gt;5,0,13.18))*-1</f>
        <v>-13.18</v>
      </c>
      <c r="BX119" s="39">
        <f>(IF(WEEKDAY(BX$82,2)&gt;5,0,10.36))*-1</f>
        <v>-10.36</v>
      </c>
      <c r="BY119" s="39">
        <f>(IF(WEEKDAY(BY$82,2)&gt;5,0,12.47))*-1</f>
        <v>-12.47</v>
      </c>
      <c r="BZ119" s="39">
        <f>(IF(WEEKDAY(BZ$82,2)&gt;5,0,12.87))*-1</f>
        <v>-12.87</v>
      </c>
      <c r="CA119" s="39">
        <f>(IF(WEEKDAY(CA$82,2)&gt;5,0,12.74))*-1</f>
        <v>-12.74</v>
      </c>
      <c r="CB119" s="39">
        <f>(IF(WEEKDAY(CB$82,2)&gt;5,0,11.94))*-1</f>
        <v>0</v>
      </c>
      <c r="CC119" s="39">
        <f>(IF(WEEKDAY(CC$82,2)&gt;5,0,12.62))*-1</f>
        <v>0</v>
      </c>
      <c r="CD119" s="39">
        <f>(IF(WEEKDAY(CD$82,2)&gt;5,0,10.82))*-1</f>
        <v>-10.82</v>
      </c>
      <c r="CE119" s="39">
        <f>(IF(WEEKDAY(CE$82,2)&gt;5,0,12.45))*-1</f>
        <v>-12.45</v>
      </c>
      <c r="CF119" s="39">
        <f>(IF(WEEKDAY(CF$82,2)&gt;5,0,10.89))*-1</f>
        <v>-10.89</v>
      </c>
      <c r="CG119" s="39">
        <f>(IF(WEEKDAY(CG$82,2)&gt;5,0,10.35))*-1</f>
        <v>-10.35</v>
      </c>
      <c r="CH119" s="39">
        <f>(IF(WEEKDAY(CH$82,2)&gt;5,0,12.45))*-1</f>
        <v>-12.45</v>
      </c>
      <c r="CI119" s="39">
        <f>(IF(WEEKDAY(CI$82,2)&gt;5,0,13.21))*-1</f>
        <v>0</v>
      </c>
      <c r="CJ119" s="39">
        <f>(IF(WEEKDAY(CJ$82,2)&gt;5,0,13.64))*-1</f>
        <v>0</v>
      </c>
      <c r="CK119" s="39">
        <f>(IF(WEEKDAY(CK$82,2)&gt;5,0,12.33))*-1</f>
        <v>-12.33</v>
      </c>
      <c r="CL119" s="39">
        <f>(IF(WEEKDAY(CL$82,2)&gt;5,0,10.61))*-1</f>
        <v>-10.61</v>
      </c>
      <c r="CM119" s="39">
        <f>(IF(WEEKDAY(CM$82,2)&gt;5,0,10.69))*-1</f>
        <v>-10.69</v>
      </c>
      <c r="CN119" s="39">
        <f>(IF(WEEKDAY(CN$82,2)&gt;5,0,11.53))*-1</f>
        <v>-11.53</v>
      </c>
      <c r="CO119" s="39">
        <f>(IF(WEEKDAY(CO$82,2)&gt;5,0,11.83))*-1</f>
        <v>-11.83</v>
      </c>
      <c r="CP119" s="39">
        <f>(IF(WEEKDAY(CP$82,2)&gt;5,0,10.7))*-1</f>
        <v>0</v>
      </c>
      <c r="CQ119" s="39">
        <f>(IF(WEEKDAY(CQ$82,2)&gt;5,0,10.74))*-1</f>
        <v>0</v>
      </c>
      <c r="CR119" s="39">
        <f>(IF(WEEKDAY(CR$82,2)&gt;5,0,12.14))*-1</f>
        <v>-12.14</v>
      </c>
      <c r="CS119" s="39">
        <f>(IF(WEEKDAY(CS$82,2)&gt;5,0,13.32))*-1</f>
        <v>-13.32</v>
      </c>
      <c r="CT119" s="39">
        <f>(IF(WEEKDAY(CT$82,2)&gt;5,0,13.68))*-1</f>
        <v>-13.68</v>
      </c>
      <c r="CU119" s="39">
        <f>(IF(WEEKDAY(CU$82,2)&gt;5,0,13.22))*-1</f>
        <v>-13.22</v>
      </c>
      <c r="CV119" s="39">
        <f>(IF(WEEKDAY(CV$82,2)&gt;5,0,12.34))*-1</f>
        <v>-12.34</v>
      </c>
      <c r="CW119" s="39">
        <f>(IF(WEEKDAY(CW$82,2)&gt;5,0,12.8))*-1</f>
        <v>0</v>
      </c>
      <c r="CX119" s="39">
        <f>(IF(WEEKDAY(CX$82,2)&gt;5,0,10.21))*-1</f>
        <v>0</v>
      </c>
      <c r="CY119" s="39">
        <f>(IF(WEEKDAY(CY$82,2)&gt;5,0,12.24))*-1</f>
        <v>-12.24</v>
      </c>
      <c r="CZ119" s="39">
        <f>(IF(WEEKDAY(CZ$82,2)&gt;5,0,13.72))*-1</f>
        <v>-13.72</v>
      </c>
      <c r="DA119" s="39">
        <f>(IF(WEEKDAY(DA$82,2)&gt;5,0,10.63))*-1</f>
        <v>-10.63</v>
      </c>
      <c r="DB119" s="39">
        <f>(IF(WEEKDAY(DB$82,2)&gt;5,0,11.59))*-1</f>
        <v>-11.59</v>
      </c>
      <c r="DC119" s="39">
        <f>(IF(WEEKDAY(DC$82,2)&gt;5,0,11.14))*-1</f>
        <v>-11.14</v>
      </c>
      <c r="DD119" s="39">
        <f>(IF(WEEKDAY(DD$82,2)&gt;5,0,11.81))*-1</f>
        <v>0</v>
      </c>
      <c r="DE119" s="39">
        <f>(IF(WEEKDAY(DE$82,2)&gt;5,0,12.92))*-1</f>
        <v>0</v>
      </c>
      <c r="DF119" s="39">
        <f>(IF(WEEKDAY(DF$82,2)&gt;5,0,10.59))*-1</f>
        <v>-10.59</v>
      </c>
      <c r="DG119" s="39">
        <f>(IF(WEEKDAY(DG$82,2)&gt;5,0,12.47))*-1</f>
        <v>-12.47</v>
      </c>
      <c r="DH119" s="39">
        <f>(IF(WEEKDAY(DH$82,2)&gt;5,0,12.07))*-1</f>
        <v>-12.07</v>
      </c>
      <c r="DI119" s="39">
        <f>(IF(WEEKDAY(DI$82,2)&gt;5,0,10.97))*-1</f>
        <v>-10.97</v>
      </c>
      <c r="DJ119" s="39">
        <f>(IF(WEEKDAY(DJ$82,2)&gt;5,0,13.56))*-1</f>
        <v>-13.56</v>
      </c>
      <c r="DK119" s="39">
        <f>(IF(WEEKDAY(DK$82,2)&gt;5,0,11.33))*-1</f>
        <v>0</v>
      </c>
      <c r="DL119" s="39">
        <f>(IF(WEEKDAY(DL$82,2)&gt;5,0,13.07))*-1</f>
        <v>0</v>
      </c>
      <c r="DM119" s="39">
        <f>(IF(WEEKDAY(DM$82,2)&gt;5,0,12.71))*-1</f>
        <v>-12.71</v>
      </c>
      <c r="DN119" s="39">
        <f>(IF(WEEKDAY(DN$82,2)&gt;5,0,12.47))*-1</f>
        <v>-12.47</v>
      </c>
      <c r="DO119" s="39">
        <f>(IF(WEEKDAY(DO$82,2)&gt;5,0,12.3))*-1</f>
        <v>-12.3</v>
      </c>
      <c r="DP119" s="39">
        <f>(IF(WEEKDAY(DP$82,2)&gt;5,0,12.38))*-1</f>
        <v>-12.38</v>
      </c>
      <c r="DQ119" s="39">
        <f>(IF(WEEKDAY(DQ$82,2)&gt;5,0,10.84))*-1</f>
        <v>-10.84</v>
      </c>
      <c r="DR119" s="39">
        <f>(IF(WEEKDAY(DR$82,2)&gt;5,0,11.23))*-1</f>
        <v>0</v>
      </c>
      <c r="DS119" s="39">
        <f>(IF(WEEKDAY(DS$82,2)&gt;5,0,11.51))*-1</f>
        <v>0</v>
      </c>
      <c r="DT119" s="39">
        <f>(IF(WEEKDAY(DT$82,2)&gt;5,0,12.65))*-1</f>
        <v>-12.65</v>
      </c>
      <c r="DU119" s="39">
        <f>(IF(WEEKDAY(DU$82,2)&gt;5,0,10.91))*-1</f>
        <v>-10.91</v>
      </c>
      <c r="DV119" s="39">
        <f>(IF(WEEKDAY(DV$82,2)&gt;5,0,10.93))*-1</f>
        <v>-10.93</v>
      </c>
      <c r="DW119" s="39">
        <f>(IF(WEEKDAY(DW$82,2)&gt;5,0,11.04))*-1</f>
        <v>-11.04</v>
      </c>
      <c r="DX119" s="39">
        <f>(IF(WEEKDAY(DX$82,2)&gt;5,0,10.66))*-1</f>
        <v>-10.66</v>
      </c>
      <c r="DY119" s="39">
        <f>(IF(WEEKDAY(DY$82,2)&gt;5,0,12.54))*-1</f>
        <v>0</v>
      </c>
      <c r="DZ119" s="39">
        <f>(IF(WEEKDAY(DZ$82,2)&gt;5,0,12.21))*-1</f>
        <v>0</v>
      </c>
      <c r="EA119" s="39">
        <f>(IF(WEEKDAY(EA$82,2)&gt;5,0,12.21))*-1</f>
        <v>-12.21</v>
      </c>
      <c r="EB119" s="39">
        <f>(IF(WEEKDAY(EB$82,2)&gt;5,0,13.51))*-1</f>
        <v>-13.51</v>
      </c>
      <c r="EC119" s="39">
        <f>(IF(WEEKDAY(EC$82,2)&gt;5,0,13.3))*-1</f>
        <v>-13.3</v>
      </c>
      <c r="ED119" s="39">
        <f>(IF(WEEKDAY(ED$82,2)&gt;5,0,13.78))*-1</f>
        <v>-13.78</v>
      </c>
      <c r="EE119" s="39">
        <f>(IF(WEEKDAY(EE$82,2)&gt;5,0,11.12))*-1</f>
        <v>-11.12</v>
      </c>
      <c r="EF119" s="39">
        <f>(IF(WEEKDAY(EF$82,2)&gt;5,0,13.51))*-1</f>
        <v>0</v>
      </c>
      <c r="EG119" s="39">
        <f>(IF(WEEKDAY(EG$82,2)&gt;5,0,13.32))*-1</f>
        <v>0</v>
      </c>
      <c r="EH119" s="39">
        <f>(IF(WEEKDAY(EH$82,2)&gt;5,0,12.78))*-1</f>
        <v>-12.78</v>
      </c>
      <c r="EI119" s="39">
        <f>(IF(WEEKDAY(EI$82,2)&gt;5,0,10.5))*-1</f>
        <v>-10.5</v>
      </c>
      <c r="EJ119" s="39">
        <f>(IF(WEEKDAY(EJ$82,2)&gt;5,0,12.47))*-1</f>
        <v>-12.47</v>
      </c>
      <c r="EK119" s="39">
        <f>(IF(WEEKDAY(EK$82,2)&gt;5,0,11.83))*-1</f>
        <v>-11.83</v>
      </c>
      <c r="EL119" s="39">
        <f>(IF(WEEKDAY(EL$82,2)&gt;5,0,12.33))*-1</f>
        <v>-12.33</v>
      </c>
      <c r="EM119" s="39">
        <f>(IF(WEEKDAY(EM$82,2)&gt;5,0,12.5))*-1</f>
        <v>0</v>
      </c>
      <c r="EN119" s="39">
        <f>(IF(WEEKDAY(EN$82,2)&gt;5,0,12.43))*-1</f>
        <v>0</v>
      </c>
      <c r="EO119" s="39">
        <f>(IF(WEEKDAY(EO$82,2)&gt;5,0,12.48))*-1</f>
        <v>-12.48</v>
      </c>
      <c r="EP119" s="39">
        <f>(IF(WEEKDAY(EP$82,2)&gt;5,0,11.28))*-1</f>
        <v>-11.28</v>
      </c>
      <c r="EQ119" s="39">
        <f>(IF(WEEKDAY(EQ$82,2)&gt;5,0,11.71))*-1</f>
        <v>-11.71</v>
      </c>
      <c r="ER119" s="39">
        <f>(IF(WEEKDAY(ER$82,2)&gt;5,0,11.28))*-1</f>
        <v>-11.28</v>
      </c>
      <c r="ES119" s="39">
        <f>(IF(WEEKDAY(ES$82,2)&gt;5,0,10.48))*-1</f>
        <v>-10.48</v>
      </c>
      <c r="ET119" s="39">
        <f>(IF(WEEKDAY(ET$82,2)&gt;5,0,13.75))*-1</f>
        <v>0</v>
      </c>
      <c r="EU119" s="39">
        <f>(IF(WEEKDAY(EU$82,2)&gt;5,0,13.34))*-1</f>
        <v>0</v>
      </c>
      <c r="EV119" s="39">
        <f>(IF(WEEKDAY(EV$82,2)&gt;5,0,12.32))*-1</f>
        <v>-12.32</v>
      </c>
      <c r="EW119" s="39">
        <f>(IF(WEEKDAY(EW$82,2)&gt;5,0,11.1))*-1</f>
        <v>-11.1</v>
      </c>
      <c r="EX119" s="39">
        <f>(IF(WEEKDAY(EX$82,2)&gt;5,0,11.2))*-1</f>
        <v>-11.2</v>
      </c>
      <c r="EY119" s="39">
        <f>(IF(WEEKDAY(EY$82,2)&gt;5,0,12.44))*-1</f>
        <v>-12.44</v>
      </c>
      <c r="EZ119" s="39">
        <f>(IF(WEEKDAY(EZ$82,2)&gt;5,0,11.92))*-1</f>
        <v>-11.92</v>
      </c>
      <c r="FA119" s="39">
        <f>(IF(WEEKDAY(FA$82,2)&gt;5,0,10.45))*-1</f>
        <v>0</v>
      </c>
      <c r="FB119" s="39">
        <f>(IF(WEEKDAY(FB$82,2)&gt;5,0,11.29))*-1</f>
        <v>0</v>
      </c>
      <c r="FC119" s="39">
        <f>(IF(WEEKDAY(FC$82,2)&gt;5,0,11.51))*-1</f>
        <v>-11.51</v>
      </c>
      <c r="FD119" s="39">
        <f>(IF(WEEKDAY(FD$82,2)&gt;5,0,11.38))*-1</f>
        <v>-11.38</v>
      </c>
      <c r="FE119" s="39">
        <f>(IF(WEEKDAY(FE$82,2)&gt;5,0,10.71))*-1</f>
        <v>-10.71</v>
      </c>
      <c r="FF119" s="39">
        <f>(IF(WEEKDAY(FF$82,2)&gt;5,0,11.51))*-1</f>
        <v>-11.51</v>
      </c>
      <c r="FG119" s="39">
        <f>(IF(WEEKDAY(FG$82,2)&gt;5,0,13.77))*-1</f>
        <v>-13.77</v>
      </c>
      <c r="FH119" s="39">
        <f>(IF(WEEKDAY(FH$82,2)&gt;5,0,12.01))*-1</f>
        <v>0</v>
      </c>
      <c r="FI119" s="39">
        <f>(IF(WEEKDAY(FI$82,2)&gt;5,0,10.26))*-1</f>
        <v>0</v>
      </c>
      <c r="FJ119" s="39">
        <f>(IF(WEEKDAY(FJ$82,2)&gt;5,0,11.12))*-1</f>
        <v>-11.12</v>
      </c>
      <c r="FK119" s="39">
        <f>(IF(WEEKDAY(FK$82,2)&gt;5,0,13.32))*-1</f>
        <v>-13.32</v>
      </c>
      <c r="FL119" s="39">
        <f>(IF(WEEKDAY(FL$82,2)&gt;5,0,11.71))*-1</f>
        <v>-11.71</v>
      </c>
      <c r="FM119" s="39">
        <f>(IF(WEEKDAY(FM$82,2)&gt;5,0,12.6))*-1</f>
        <v>-12.6</v>
      </c>
      <c r="FN119" s="39">
        <f>(IF(WEEKDAY(FN$82,2)&gt;5,0,13.25))*-1</f>
        <v>-13.25</v>
      </c>
      <c r="FO119" s="39">
        <f>(IF(WEEKDAY(FO$82,2)&gt;5,0,10.87))*-1</f>
        <v>0</v>
      </c>
      <c r="FP119" s="39">
        <f>(IF(WEEKDAY(FP$82,2)&gt;5,0,11.5))*-1</f>
        <v>0</v>
      </c>
      <c r="FQ119" s="39">
        <f>(IF(WEEKDAY(FQ$82,2)&gt;5,0,12.76))*-1</f>
        <v>-12.76</v>
      </c>
      <c r="FR119" s="39">
        <f>(IF(WEEKDAY(FR$82,2)&gt;5,0,11.32))*-1</f>
        <v>-11.32</v>
      </c>
      <c r="FS119" s="39">
        <f>(IF(WEEKDAY(FS$82,2)&gt;5,0,12.49))*-1</f>
        <v>-12.49</v>
      </c>
      <c r="FT119" s="39">
        <f>(IF(WEEKDAY(FT$82,2)&gt;5,0,11.04))*-1</f>
        <v>-11.04</v>
      </c>
      <c r="FU119" s="39">
        <f>(IF(WEEKDAY(FU$82,2)&gt;5,0,11.14))*-1</f>
        <v>-11.14</v>
      </c>
      <c r="FV119" s="39">
        <f>(IF(WEEKDAY(FV$82,2)&gt;5,0,13.61))*-1</f>
        <v>0</v>
      </c>
      <c r="FW119" s="39">
        <f>(IF(WEEKDAY(FW$82,2)&gt;5,0,10.34))*-1</f>
        <v>0</v>
      </c>
      <c r="FX119" s="39">
        <f>(IF(WEEKDAY(FX$82,2)&gt;5,0,11.48))*-1</f>
        <v>-11.48</v>
      </c>
      <c r="FY119" s="39">
        <f>(IF(WEEKDAY(FY$82,2)&gt;5,0,11.54))*-1</f>
        <v>-11.54</v>
      </c>
      <c r="FZ119" s="39">
        <f>(IF(WEEKDAY(FZ$82,2)&gt;5,0,12.17))*-1</f>
        <v>-12.17</v>
      </c>
      <c r="GA119" s="39">
        <f>(IF(WEEKDAY(GA$82,2)&gt;5,0,11.61))*-1</f>
        <v>-11.61</v>
      </c>
      <c r="GB119" s="39">
        <f>(IF(WEEKDAY(GB$82,2)&gt;5,0,13.27))*-1</f>
        <v>-13.27</v>
      </c>
      <c r="GC119" s="39">
        <f>(IF(WEEKDAY(GC$82,2)&gt;5,0,10.96))*-1</f>
        <v>0</v>
      </c>
      <c r="GD119" s="39">
        <f>(IF(WEEKDAY(GD$82,2)&gt;5,0,11.43))*-1</f>
        <v>0</v>
      </c>
      <c r="GE119" s="39">
        <f>(IF(WEEKDAY(GE$82,2)&gt;5,0,12.8))*-1</f>
        <v>-12.8</v>
      </c>
      <c r="GF119" s="39">
        <f>(IF(WEEKDAY(GF$82,2)&gt;5,0,11.31))*-1</f>
        <v>-11.31</v>
      </c>
      <c r="GG119" s="39">
        <f>(IF(WEEKDAY(GG$82,2)&gt;5,0,10.42))*-1</f>
        <v>-10.42</v>
      </c>
      <c r="GH119" s="39">
        <f>(IF(WEEKDAY(GH$82,2)&gt;5,0,10.7))*-1</f>
        <v>-10.7</v>
      </c>
      <c r="GI119" s="39">
        <f>(IF(WEEKDAY(GI$82,2)&gt;5,0,12.41))*-1</f>
        <v>-12.41</v>
      </c>
      <c r="GJ119" s="39">
        <f>(IF(WEEKDAY(GJ$82,2)&gt;5,0,12.62))*-1</f>
        <v>0</v>
      </c>
      <c r="GK119" s="39">
        <f>(IF(WEEKDAY(GK$82,2)&gt;5,0,13.18))*-1</f>
        <v>0</v>
      </c>
      <c r="GL119" s="39">
        <f>(IF(WEEKDAY(GL$82,2)&gt;5,0,12.29))*-1</f>
        <v>-12.29</v>
      </c>
      <c r="GM119" s="39">
        <f>(IF(WEEKDAY(GM$82,2)&gt;5,0,12.44))*-1</f>
        <v>-12.44</v>
      </c>
      <c r="GN119" s="39">
        <f>(IF(WEEKDAY(GN$82,2)&gt;5,0,12.76))*-1</f>
        <v>-12.76</v>
      </c>
      <c r="GO119" s="39">
        <f>(IF(WEEKDAY(GO$82,2)&gt;5,0,10.29))*-1</f>
        <v>-10.29</v>
      </c>
      <c r="GP119" s="39">
        <f>(IF(WEEKDAY(GP$82,2)&gt;5,0,11.15))*-1</f>
        <v>-11.15</v>
      </c>
      <c r="GQ119" s="39">
        <f>(IF(WEEKDAY(GQ$82,2)&gt;5,0,12.78))*-1</f>
        <v>0</v>
      </c>
      <c r="GR119" s="39">
        <f>(IF(WEEKDAY(GR$82,2)&gt;5,0,11.33))*-1</f>
        <v>0</v>
      </c>
      <c r="GS119" s="39">
        <f>(IF(WEEKDAY(GS$82,2)&gt;5,0,13.11))*-1</f>
        <v>-13.11</v>
      </c>
      <c r="GT119" s="39">
        <f>(IF(WEEKDAY(GT$82,2)&gt;5,0,12.91))*-1</f>
        <v>-12.91</v>
      </c>
      <c r="GU119" s="39">
        <f>(IF(WEEKDAY(GU$82,2)&gt;5,0,13.17))*-1</f>
        <v>-13.17</v>
      </c>
      <c r="GV119" s="39">
        <f>(IF(WEEKDAY(GV$82,2)&gt;5,0,11.06))*-1</f>
        <v>-11.06</v>
      </c>
      <c r="GW119" s="39">
        <f>(IF(WEEKDAY(GW$82,2)&gt;5,0,12.05))*-1</f>
        <v>-12.05</v>
      </c>
      <c r="GX119" s="39">
        <f>(IF(WEEKDAY(GX$82,2)&gt;5,0,12.59))*-1</f>
        <v>0</v>
      </c>
      <c r="GY119" s="39">
        <f>(IF(WEEKDAY(GY$82,2)&gt;5,0,11.92))*-1</f>
        <v>0</v>
      </c>
      <c r="GZ119" s="39">
        <f>(IF(WEEKDAY(GZ$82,2)&gt;5,0,12.08))*-1</f>
        <v>-12.08</v>
      </c>
      <c r="HA119" s="39">
        <f>(IF(WEEKDAY(HA$82,2)&gt;5,0,12.97))*-1</f>
        <v>-12.97</v>
      </c>
      <c r="HB119" s="39">
        <f>(IF(WEEKDAY(HB$82,2)&gt;5,0,11.96))*-1</f>
        <v>-11.96</v>
      </c>
      <c r="HC119" s="39">
        <f>(IF(WEEKDAY(HC$82,2)&gt;5,0,11.96))*-1</f>
        <v>-11.96</v>
      </c>
      <c r="HD119" s="39">
        <f>(IF(WEEKDAY(HD$82,2)&gt;5,0,13.22))*-1</f>
        <v>-13.22</v>
      </c>
      <c r="HE119" s="39">
        <f>(IF(WEEKDAY(HE$82,2)&gt;5,0,11.4))*-1</f>
        <v>0</v>
      </c>
      <c r="HF119" s="39">
        <f>(IF(WEEKDAY(HF$82,2)&gt;5,0,10.73))*-1</f>
        <v>0</v>
      </c>
      <c r="HG119" s="39">
        <f>(IF(WEEKDAY(HG$82,2)&gt;5,0,12.35))*-1</f>
        <v>-12.35</v>
      </c>
      <c r="HH119" s="39">
        <f>(IF(WEEKDAY(HH$82,2)&gt;5,0,12.24))*-1</f>
        <v>-12.24</v>
      </c>
      <c r="HI119" s="39">
        <f>(IF(WEEKDAY(HI$82,2)&gt;5,0,10.99))*-1</f>
        <v>-10.99</v>
      </c>
      <c r="HJ119" s="39">
        <f>(IF(WEEKDAY(HJ$82,2)&gt;5,0,10.7))*-1</f>
        <v>-10.7</v>
      </c>
      <c r="HK119" s="39">
        <f>(IF(WEEKDAY(HK$82,2)&gt;5,0,13.23))*-1</f>
        <v>-13.23</v>
      </c>
      <c r="HL119" s="39">
        <f>(IF(WEEKDAY(HL$82,2)&gt;5,0,11.55))*-1</f>
        <v>0</v>
      </c>
      <c r="HM119" s="39">
        <f>(IF(WEEKDAY(HM$82,2)&gt;5,0,11.96))*-1</f>
        <v>0</v>
      </c>
      <c r="HN119" s="39">
        <f>(IF(WEEKDAY(HN$82,2)&gt;5,0,11.98))*-1</f>
        <v>-11.98</v>
      </c>
      <c r="HO119" s="39">
        <f>(IF(WEEKDAY(HO$82,2)&gt;5,0,12.96))*-1</f>
        <v>-12.96</v>
      </c>
      <c r="HP119" s="39">
        <f>(IF(WEEKDAY(HP$82,2)&gt;5,0,13.75))*-1</f>
        <v>-13.75</v>
      </c>
      <c r="HQ119" s="39">
        <f>(IF(WEEKDAY(HQ$82,2)&gt;5,0,12.63))*-1</f>
        <v>-12.63</v>
      </c>
      <c r="HR119" s="39">
        <f>(IF(WEEKDAY(HR$82,2)&gt;5,0,10.44))*-1</f>
        <v>-10.44</v>
      </c>
      <c r="HS119" s="39">
        <f>(IF(WEEKDAY(HS$82,2)&gt;5,0,10.62))*-1</f>
        <v>0</v>
      </c>
      <c r="HT119" s="39">
        <f>(IF(WEEKDAY(HT$82,2)&gt;5,0,11.8))*-1</f>
        <v>0</v>
      </c>
      <c r="HU119" s="39">
        <f>(IF(WEEKDAY(HU$82,2)&gt;5,0,12.51))*-1</f>
        <v>-12.51</v>
      </c>
      <c r="HV119" s="39">
        <f>(IF(WEEKDAY(HV$82,2)&gt;5,0,11.93))*-1</f>
        <v>-11.93</v>
      </c>
      <c r="HW119" s="39">
        <f>(IF(WEEKDAY(HW$82,2)&gt;5,0,13.56))*-1</f>
        <v>-13.56</v>
      </c>
      <c r="HX119" s="39">
        <f>(IF(WEEKDAY(HX$82,2)&gt;5,0,11.16))*-1</f>
        <v>-11.16</v>
      </c>
      <c r="HY119" s="39">
        <f>(IF(WEEKDAY(HY$82,2)&gt;5,0,10.33))*-1</f>
        <v>-10.33</v>
      </c>
      <c r="HZ119" s="39">
        <f>(IF(WEEKDAY(HZ$82,2)&gt;5,0,12.35))*-1</f>
        <v>0</v>
      </c>
      <c r="IA119" s="39">
        <f>(IF(WEEKDAY(IA$82,2)&gt;5,0,11.79))*-1</f>
        <v>0</v>
      </c>
      <c r="IB119" s="39">
        <f>(IF(WEEKDAY(IB$82,2)&gt;5,0,10.8))*-1</f>
        <v>-10.8</v>
      </c>
      <c r="IC119" s="39">
        <f>(IF(WEEKDAY(IC$82,2)&gt;5,0,13.37))*-1</f>
        <v>-13.37</v>
      </c>
      <c r="ID119" s="39">
        <f>(IF(WEEKDAY(ID$82,2)&gt;5,0,11.94))*-1</f>
        <v>-11.94</v>
      </c>
      <c r="IE119" s="39">
        <f>(IF(WEEKDAY(IE$82,2)&gt;5,0,12.6))*-1</f>
        <v>-12.6</v>
      </c>
      <c r="IF119" s="39">
        <f>(IF(WEEKDAY(IF$82,2)&gt;5,0,13.49))*-1</f>
        <v>-13.49</v>
      </c>
      <c r="IG119" s="39">
        <f>(IF(WEEKDAY(IG$82,2)&gt;5,0,12.57))*-1</f>
        <v>0</v>
      </c>
      <c r="IH119" s="39">
        <f>(IF(WEEKDAY(IH$82,2)&gt;5,0,10.41))*-1</f>
        <v>0</v>
      </c>
      <c r="II119" s="39">
        <f>(IF(WEEKDAY(II$82,2)&gt;5,0,12.15))*-1</f>
        <v>-12.15</v>
      </c>
      <c r="IJ119" s="39">
        <f>(IF(WEEKDAY(IJ$82,2)&gt;5,0,11.44))*-1</f>
        <v>-11.44</v>
      </c>
      <c r="IK119" s="39">
        <f>(IF(WEEKDAY(IK$82,2)&gt;5,0,13.22))*-1</f>
        <v>-13.22</v>
      </c>
      <c r="IL119" s="39">
        <f>(IF(WEEKDAY(IL$82,2)&gt;5,0,11.48))*-1</f>
        <v>-11.48</v>
      </c>
    </row>
    <row r="120" spans="1:246" x14ac:dyDescent="0.3">
      <c r="A120" t="s">
        <v>102</v>
      </c>
      <c r="B120" s="39">
        <f>(IF(WEEKDAY(B$82,2)&gt;5,0,16.23))*-1</f>
        <v>-16.23</v>
      </c>
      <c r="C120" s="39">
        <f>(IF(WEEKDAY(C$82,2)&gt;5,0,16.46))*-1</f>
        <v>0</v>
      </c>
      <c r="D120" s="39">
        <f>(IF(WEEKDAY(D$82,2)&gt;5,0,15.98))*-1</f>
        <v>0</v>
      </c>
      <c r="E120" s="39">
        <f>(IF(WEEKDAY(E$82,2)&gt;5,0,14.16))*-1</f>
        <v>-14.16</v>
      </c>
      <c r="F120" s="39">
        <f>(IF(WEEKDAY(F$82,2)&gt;5,0,14.42))*-1</f>
        <v>-14.42</v>
      </c>
      <c r="G120" s="39">
        <f>(IF(WEEKDAY(G$82,2)&gt;5,0,14.44))*-1</f>
        <v>-14.44</v>
      </c>
      <c r="H120" s="39">
        <f>(IF(WEEKDAY(H$82,2)&gt;5,0,17.1))*-1</f>
        <v>-17.100000000000001</v>
      </c>
      <c r="I120" s="39">
        <f>(IF(WEEKDAY(I$82,2)&gt;5,0,15.53))*-1</f>
        <v>-15.53</v>
      </c>
      <c r="J120" s="39">
        <f>(IF(WEEKDAY(J$82,2)&gt;5,0,12.9))*-1</f>
        <v>0</v>
      </c>
      <c r="K120" s="39">
        <f>(IF(WEEKDAY(K$82,2)&gt;5,0,13.78))*-1</f>
        <v>0</v>
      </c>
      <c r="L120" s="39">
        <f>(IF(WEEKDAY(L$82,2)&gt;5,0,15.86))*-1</f>
        <v>-15.86</v>
      </c>
      <c r="M120" s="39">
        <f>(IF(WEEKDAY(M$82,2)&gt;5,0,15.35))*-1</f>
        <v>-15.35</v>
      </c>
      <c r="N120" s="39">
        <f>(IF(WEEKDAY(N$82,2)&gt;5,0,15.35))*-1</f>
        <v>-15.35</v>
      </c>
      <c r="O120" s="39">
        <f>(IF(WEEKDAY(O$82,2)&gt;5,0,15.81))*-1</f>
        <v>-15.81</v>
      </c>
      <c r="P120" s="39">
        <f>(IF(WEEKDAY(P$82,2)&gt;5,0,15.66))*-1</f>
        <v>-15.66</v>
      </c>
      <c r="Q120" s="39">
        <f>(IF(WEEKDAY(Q$82,2)&gt;5,0,16.84))*-1</f>
        <v>0</v>
      </c>
      <c r="R120" s="39">
        <f>(IF(WEEKDAY(R$82,2)&gt;5,0,15.59))*-1</f>
        <v>0</v>
      </c>
      <c r="S120" s="39">
        <f>(IF(WEEKDAY(S$82,2)&gt;5,0,15.67))*-1</f>
        <v>-15.67</v>
      </c>
      <c r="T120" s="39">
        <f>(IF(WEEKDAY(T$82,2)&gt;5,0,16.77))*-1</f>
        <v>-16.77</v>
      </c>
      <c r="U120" s="39">
        <f>(IF(WEEKDAY(U$82,2)&gt;5,0,13.2))*-1</f>
        <v>-13.2</v>
      </c>
      <c r="V120" s="39">
        <f>(IF(WEEKDAY(V$82,2)&gt;5,0,14.73))*-1</f>
        <v>-14.73</v>
      </c>
      <c r="W120" s="39">
        <f>(IF(WEEKDAY(W$82,2)&gt;5,0,13.19))*-1</f>
        <v>-13.19</v>
      </c>
      <c r="X120" s="39">
        <f>(IF(WEEKDAY(X$82,2)&gt;5,0,13.85))*-1</f>
        <v>0</v>
      </c>
      <c r="Y120" s="39">
        <f>(IF(WEEKDAY(Y$82,2)&gt;5,0,15.22))*-1</f>
        <v>0</v>
      </c>
      <c r="Z120" s="39">
        <f>(IF(WEEKDAY(Z$82,2)&gt;5,0,15.68))*-1</f>
        <v>-15.68</v>
      </c>
      <c r="AA120" s="39">
        <f>(IF(WEEKDAY(AA$82,2)&gt;5,0,13.77))*-1</f>
        <v>-13.77</v>
      </c>
      <c r="AB120" s="39">
        <f>(IF(WEEKDAY(AB$82,2)&gt;5,0,12.8))*-1</f>
        <v>-12.8</v>
      </c>
      <c r="AC120" s="39">
        <f>(IF(WEEKDAY(AC$82,2)&gt;5,0,14.82))*-1</f>
        <v>-14.82</v>
      </c>
      <c r="AD120" s="39">
        <f>(IF(WEEKDAY(AD$82,2)&gt;5,0,17.1))*-1</f>
        <v>-17.100000000000001</v>
      </c>
      <c r="AE120" s="39">
        <f>(IF(WEEKDAY(AE$82,2)&gt;5,0,16.34))*-1</f>
        <v>0</v>
      </c>
      <c r="AF120" s="39">
        <f>(IF(WEEKDAY(AF$82,2)&gt;5,0,13.91))*-1</f>
        <v>0</v>
      </c>
      <c r="AG120" s="39">
        <f>(IF(WEEKDAY(AG$82,2)&gt;5,0,13.97))*-1</f>
        <v>-13.97</v>
      </c>
      <c r="AH120" s="39">
        <f>(IF(WEEKDAY(AH$82,2)&gt;5,0,16.68))*-1</f>
        <v>-16.68</v>
      </c>
      <c r="AI120" s="39">
        <f>(IF(WEEKDAY(AI$82,2)&gt;5,0,16.75))*-1</f>
        <v>-16.75</v>
      </c>
      <c r="AJ120" s="39">
        <f>(IF(WEEKDAY(AJ$82,2)&gt;5,0,13.58))*-1</f>
        <v>-13.58</v>
      </c>
      <c r="AK120" s="39">
        <f>(IF(WEEKDAY(AK$82,2)&gt;5,0,15.33))*-1</f>
        <v>-15.33</v>
      </c>
      <c r="AL120" s="39">
        <f>(IF(WEEKDAY(AL$82,2)&gt;5,0,15.05))*-1</f>
        <v>0</v>
      </c>
      <c r="AM120" s="39">
        <f>(IF(WEEKDAY(AM$82,2)&gt;5,0,15.16))*-1</f>
        <v>0</v>
      </c>
      <c r="AN120" s="39">
        <f>(IF(WEEKDAY(AN$82,2)&gt;5,0,14.12))*-1</f>
        <v>-14.12</v>
      </c>
      <c r="AO120" s="39">
        <f>(IF(WEEKDAY(AO$82,2)&gt;5,0,13.28))*-1</f>
        <v>-13.28</v>
      </c>
      <c r="AP120" s="39">
        <f>(IF(WEEKDAY(AP$82,2)&gt;5,0,16.31))*-1</f>
        <v>-16.309999999999999</v>
      </c>
      <c r="AQ120" s="39">
        <f>(IF(WEEKDAY(AQ$82,2)&gt;5,0,14.22))*-1</f>
        <v>-14.22</v>
      </c>
      <c r="AR120" s="39">
        <f>(IF(WEEKDAY(AR$82,2)&gt;5,0,14.87))*-1</f>
        <v>-14.87</v>
      </c>
      <c r="AS120" s="39">
        <f>(IF(WEEKDAY(AS$82,2)&gt;5,0,15.92))*-1</f>
        <v>0</v>
      </c>
      <c r="AT120" s="39">
        <f>(IF(WEEKDAY(AT$82,2)&gt;5,0,13.06))*-1</f>
        <v>0</v>
      </c>
      <c r="AU120" s="39">
        <f>(IF(WEEKDAY(AU$82,2)&gt;5,0,15.41))*-1</f>
        <v>-15.41</v>
      </c>
      <c r="AV120" s="39">
        <f>(IF(WEEKDAY(AV$82,2)&gt;5,0,13.57))*-1</f>
        <v>-13.57</v>
      </c>
      <c r="AW120" s="39">
        <f>(IF(WEEKDAY(AW$82,2)&gt;5,0,13.45))*-1</f>
        <v>-13.45</v>
      </c>
      <c r="AX120" s="39">
        <f>(IF(WEEKDAY(AX$82,2)&gt;5,0,14.61))*-1</f>
        <v>-14.61</v>
      </c>
      <c r="AY120" s="39">
        <f>(IF(WEEKDAY(AY$82,2)&gt;5,0,16.75))*-1</f>
        <v>-16.75</v>
      </c>
      <c r="AZ120" s="39">
        <f>(IF(WEEKDAY(AZ$82,2)&gt;5,0,15.58))*-1</f>
        <v>0</v>
      </c>
      <c r="BA120" s="39">
        <f>(IF(WEEKDAY(BA$82,2)&gt;5,0,15.01))*-1</f>
        <v>0</v>
      </c>
      <c r="BB120" s="39">
        <f>(IF(WEEKDAY(BB$82,2)&gt;5,0,13.72))*-1</f>
        <v>-13.72</v>
      </c>
      <c r="BC120" s="39">
        <f>(IF(WEEKDAY(BC$82,2)&gt;5,0,14.39))*-1</f>
        <v>-14.39</v>
      </c>
      <c r="BD120" s="39">
        <f>(IF(WEEKDAY(BD$82,2)&gt;5,0,17.13))*-1</f>
        <v>-17.13</v>
      </c>
      <c r="BE120" s="39">
        <f>(IF(WEEKDAY(BE$82,2)&gt;5,0,15.39))*-1</f>
        <v>-15.39</v>
      </c>
      <c r="BF120" s="39">
        <f>(IF(WEEKDAY(BF$82,2)&gt;5,0,17))*-1</f>
        <v>-17</v>
      </c>
      <c r="BG120" s="39">
        <f>(IF(WEEKDAY(BG$82,2)&gt;5,0,13.33))*-1</f>
        <v>0</v>
      </c>
      <c r="BH120" s="39">
        <f>(IF(WEEKDAY(BH$82,2)&gt;5,0,15.45))*-1</f>
        <v>0</v>
      </c>
      <c r="BI120" s="39">
        <f>(IF(WEEKDAY(BI$82,2)&gt;5,0,16.31))*-1</f>
        <v>-16.309999999999999</v>
      </c>
      <c r="BJ120" s="39">
        <f>(IF(WEEKDAY(BJ$82,2)&gt;5,0,16.21))*-1</f>
        <v>-16.21</v>
      </c>
      <c r="BK120" s="39">
        <f>(IF(WEEKDAY(BK$82,2)&gt;5,0,15.01))*-1</f>
        <v>-15.01</v>
      </c>
      <c r="BL120" s="39">
        <f>(IF(WEEKDAY(BL$82,2)&gt;5,0,15.7))*-1</f>
        <v>-15.7</v>
      </c>
      <c r="BM120" s="39">
        <f>(IF(WEEKDAY(BM$82,2)&gt;5,0,17.22))*-1</f>
        <v>-17.22</v>
      </c>
      <c r="BN120" s="39">
        <f>(IF(WEEKDAY(BN$82,2)&gt;5,0,15.22))*-1</f>
        <v>0</v>
      </c>
      <c r="BO120" s="39">
        <f>(IF(WEEKDAY(BO$82,2)&gt;5,0,16.9))*-1</f>
        <v>0</v>
      </c>
      <c r="BP120" s="39">
        <f>(IF(WEEKDAY(BP$82,2)&gt;5,0,14.88))*-1</f>
        <v>-14.88</v>
      </c>
      <c r="BQ120" s="39">
        <f>(IF(WEEKDAY(BQ$82,2)&gt;5,0,15.47))*-1</f>
        <v>-15.47</v>
      </c>
      <c r="BR120" s="39">
        <f>(IF(WEEKDAY(BR$82,2)&gt;5,0,13.89))*-1</f>
        <v>-13.89</v>
      </c>
      <c r="BS120" s="39">
        <f>(IF(WEEKDAY(BS$82,2)&gt;5,0,12.82))*-1</f>
        <v>-12.82</v>
      </c>
      <c r="BT120" s="39">
        <f>(IF(WEEKDAY(BT$82,2)&gt;5,0,15.58))*-1</f>
        <v>-15.58</v>
      </c>
      <c r="BU120" s="39">
        <f>(IF(WEEKDAY(BU$82,2)&gt;5,0,17.19))*-1</f>
        <v>0</v>
      </c>
      <c r="BV120" s="39">
        <f>(IF(WEEKDAY(BV$82,2)&gt;5,0,16.64))*-1</f>
        <v>0</v>
      </c>
      <c r="BW120" s="39">
        <f>(IF(WEEKDAY(BW$82,2)&gt;5,0,15.32))*-1</f>
        <v>-15.32</v>
      </c>
      <c r="BX120" s="39">
        <f>(IF(WEEKDAY(BX$82,2)&gt;5,0,14.79))*-1</f>
        <v>-14.79</v>
      </c>
      <c r="BY120" s="39">
        <f>(IF(WEEKDAY(BY$82,2)&gt;5,0,15.94))*-1</f>
        <v>-15.94</v>
      </c>
      <c r="BZ120" s="39">
        <f>(IF(WEEKDAY(BZ$82,2)&gt;5,0,15.63))*-1</f>
        <v>-15.63</v>
      </c>
      <c r="CA120" s="39">
        <f>(IF(WEEKDAY(CA$82,2)&gt;5,0,12.83))*-1</f>
        <v>-12.83</v>
      </c>
      <c r="CB120" s="39">
        <f>(IF(WEEKDAY(CB$82,2)&gt;5,0,14.3))*-1</f>
        <v>0</v>
      </c>
      <c r="CC120" s="39">
        <f>(IF(WEEKDAY(CC$82,2)&gt;5,0,15.13))*-1</f>
        <v>0</v>
      </c>
      <c r="CD120" s="39">
        <f>(IF(WEEKDAY(CD$82,2)&gt;5,0,14.97))*-1</f>
        <v>-14.97</v>
      </c>
      <c r="CE120" s="39">
        <f>(IF(WEEKDAY(CE$82,2)&gt;5,0,12.95))*-1</f>
        <v>-12.95</v>
      </c>
      <c r="CF120" s="39">
        <f>(IF(WEEKDAY(CF$82,2)&gt;5,0,14.6))*-1</f>
        <v>-14.6</v>
      </c>
      <c r="CG120" s="39">
        <f>(IF(WEEKDAY(CG$82,2)&gt;5,0,17.05))*-1</f>
        <v>-17.05</v>
      </c>
      <c r="CH120" s="39">
        <f>(IF(WEEKDAY(CH$82,2)&gt;5,0,14.81))*-1</f>
        <v>-14.81</v>
      </c>
      <c r="CI120" s="39">
        <f>(IF(WEEKDAY(CI$82,2)&gt;5,0,14.67))*-1</f>
        <v>0</v>
      </c>
      <c r="CJ120" s="39">
        <f>(IF(WEEKDAY(CJ$82,2)&gt;5,0,14.22))*-1</f>
        <v>0</v>
      </c>
      <c r="CK120" s="39">
        <f>(IF(WEEKDAY(CK$82,2)&gt;5,0,16.69))*-1</f>
        <v>-16.690000000000001</v>
      </c>
      <c r="CL120" s="39">
        <f>(IF(WEEKDAY(CL$82,2)&gt;5,0,15.8))*-1</f>
        <v>-15.8</v>
      </c>
      <c r="CM120" s="39">
        <f>(IF(WEEKDAY(CM$82,2)&gt;5,0,13.32))*-1</f>
        <v>-13.32</v>
      </c>
      <c r="CN120" s="39">
        <f>(IF(WEEKDAY(CN$82,2)&gt;5,0,15.9))*-1</f>
        <v>-15.9</v>
      </c>
      <c r="CO120" s="39">
        <f>(IF(WEEKDAY(CO$82,2)&gt;5,0,17.03))*-1</f>
        <v>-17.03</v>
      </c>
      <c r="CP120" s="39">
        <f>(IF(WEEKDAY(CP$82,2)&gt;5,0,16.72))*-1</f>
        <v>0</v>
      </c>
      <c r="CQ120" s="39">
        <f>(IF(WEEKDAY(CQ$82,2)&gt;5,0,13.49))*-1</f>
        <v>0</v>
      </c>
      <c r="CR120" s="39">
        <f>(IF(WEEKDAY(CR$82,2)&gt;5,0,13.99))*-1</f>
        <v>-13.99</v>
      </c>
      <c r="CS120" s="39">
        <f>(IF(WEEKDAY(CS$82,2)&gt;5,0,13.3))*-1</f>
        <v>-13.3</v>
      </c>
      <c r="CT120" s="39">
        <f>(IF(WEEKDAY(CT$82,2)&gt;5,0,14.5))*-1</f>
        <v>-14.5</v>
      </c>
      <c r="CU120" s="39">
        <f>(IF(WEEKDAY(CU$82,2)&gt;5,0,13.04))*-1</f>
        <v>-13.04</v>
      </c>
      <c r="CV120" s="39">
        <f>(IF(WEEKDAY(CV$82,2)&gt;5,0,15.29))*-1</f>
        <v>-15.29</v>
      </c>
      <c r="CW120" s="39">
        <f>(IF(WEEKDAY(CW$82,2)&gt;5,0,13.92))*-1</f>
        <v>0</v>
      </c>
      <c r="CX120" s="39">
        <f>(IF(WEEKDAY(CX$82,2)&gt;5,0,16.3))*-1</f>
        <v>0</v>
      </c>
      <c r="CY120" s="39">
        <f>(IF(WEEKDAY(CY$82,2)&gt;5,0,15.18))*-1</f>
        <v>-15.18</v>
      </c>
      <c r="CZ120" s="39">
        <f>(IF(WEEKDAY(CZ$82,2)&gt;5,0,13.93))*-1</f>
        <v>-13.93</v>
      </c>
      <c r="DA120" s="39">
        <f>(IF(WEEKDAY(DA$82,2)&gt;5,0,13.6))*-1</f>
        <v>-13.6</v>
      </c>
      <c r="DB120" s="39">
        <f>(IF(WEEKDAY(DB$82,2)&gt;5,0,17.08))*-1</f>
        <v>-17.079999999999998</v>
      </c>
      <c r="DC120" s="39">
        <f>(IF(WEEKDAY(DC$82,2)&gt;5,0,13.35))*-1</f>
        <v>-13.35</v>
      </c>
      <c r="DD120" s="39">
        <f>(IF(WEEKDAY(DD$82,2)&gt;5,0,13.72))*-1</f>
        <v>0</v>
      </c>
      <c r="DE120" s="39">
        <f>(IF(WEEKDAY(DE$82,2)&gt;5,0,15.07))*-1</f>
        <v>0</v>
      </c>
      <c r="DF120" s="39">
        <f>(IF(WEEKDAY(DF$82,2)&gt;5,0,13))*-1</f>
        <v>-13</v>
      </c>
      <c r="DG120" s="39">
        <f>(IF(WEEKDAY(DG$82,2)&gt;5,0,15.56))*-1</f>
        <v>-15.56</v>
      </c>
      <c r="DH120" s="39">
        <f>(IF(WEEKDAY(DH$82,2)&gt;5,0,15.22))*-1</f>
        <v>-15.22</v>
      </c>
      <c r="DI120" s="39">
        <f>(IF(WEEKDAY(DI$82,2)&gt;5,0,12.88))*-1</f>
        <v>-12.88</v>
      </c>
      <c r="DJ120" s="39">
        <f>(IF(WEEKDAY(DJ$82,2)&gt;5,0,14.41))*-1</f>
        <v>-14.41</v>
      </c>
      <c r="DK120" s="39">
        <f>(IF(WEEKDAY(DK$82,2)&gt;5,0,13.73))*-1</f>
        <v>0</v>
      </c>
      <c r="DL120" s="39">
        <f>(IF(WEEKDAY(DL$82,2)&gt;5,0,15.39))*-1</f>
        <v>0</v>
      </c>
      <c r="DM120" s="39">
        <f>(IF(WEEKDAY(DM$82,2)&gt;5,0,14.19))*-1</f>
        <v>-14.19</v>
      </c>
      <c r="DN120" s="39">
        <f>(IF(WEEKDAY(DN$82,2)&gt;5,0,16.24))*-1</f>
        <v>-16.239999999999998</v>
      </c>
      <c r="DO120" s="39">
        <f>(IF(WEEKDAY(DO$82,2)&gt;5,0,13.73))*-1</f>
        <v>-13.73</v>
      </c>
      <c r="DP120" s="39">
        <f>(IF(WEEKDAY(DP$82,2)&gt;5,0,13.03))*-1</f>
        <v>-13.03</v>
      </c>
      <c r="DQ120" s="39">
        <f>(IF(WEEKDAY(DQ$82,2)&gt;5,0,16.14))*-1</f>
        <v>-16.14</v>
      </c>
      <c r="DR120" s="39">
        <f>(IF(WEEKDAY(DR$82,2)&gt;5,0,12.8))*-1</f>
        <v>0</v>
      </c>
      <c r="DS120" s="39">
        <f>(IF(WEEKDAY(DS$82,2)&gt;5,0,16.04))*-1</f>
        <v>0</v>
      </c>
      <c r="DT120" s="39">
        <f>(IF(WEEKDAY(DT$82,2)&gt;5,0,16.13))*-1</f>
        <v>-16.13</v>
      </c>
      <c r="DU120" s="39">
        <f>(IF(WEEKDAY(DU$82,2)&gt;5,0,15.34))*-1</f>
        <v>-15.34</v>
      </c>
      <c r="DV120" s="39">
        <f>(IF(WEEKDAY(DV$82,2)&gt;5,0,15.66))*-1</f>
        <v>-15.66</v>
      </c>
      <c r="DW120" s="39">
        <f>(IF(WEEKDAY(DW$82,2)&gt;5,0,13.09))*-1</f>
        <v>-13.09</v>
      </c>
      <c r="DX120" s="39">
        <f>(IF(WEEKDAY(DX$82,2)&gt;5,0,17.15))*-1</f>
        <v>-17.149999999999999</v>
      </c>
      <c r="DY120" s="39">
        <f>(IF(WEEKDAY(DY$82,2)&gt;5,0,17.25))*-1</f>
        <v>0</v>
      </c>
      <c r="DZ120" s="39">
        <f>(IF(WEEKDAY(DZ$82,2)&gt;5,0,13.62))*-1</f>
        <v>0</v>
      </c>
      <c r="EA120" s="39">
        <f>(IF(WEEKDAY(EA$82,2)&gt;5,0,13.93))*-1</f>
        <v>-13.93</v>
      </c>
      <c r="EB120" s="39">
        <f>(IF(WEEKDAY(EB$82,2)&gt;5,0,14.46))*-1</f>
        <v>-14.46</v>
      </c>
      <c r="EC120" s="39">
        <f>(IF(WEEKDAY(EC$82,2)&gt;5,0,13.06))*-1</f>
        <v>-13.06</v>
      </c>
      <c r="ED120" s="39">
        <f>(IF(WEEKDAY(ED$82,2)&gt;5,0,14.27))*-1</f>
        <v>-14.27</v>
      </c>
      <c r="EE120" s="39">
        <f>(IF(WEEKDAY(EE$82,2)&gt;5,0,16.22))*-1</f>
        <v>-16.22</v>
      </c>
      <c r="EF120" s="39">
        <f>(IF(WEEKDAY(EF$82,2)&gt;5,0,14.51))*-1</f>
        <v>0</v>
      </c>
      <c r="EG120" s="39">
        <f>(IF(WEEKDAY(EG$82,2)&gt;5,0,14.15))*-1</f>
        <v>0</v>
      </c>
      <c r="EH120" s="39">
        <f>(IF(WEEKDAY(EH$82,2)&gt;5,0,16.43))*-1</f>
        <v>-16.43</v>
      </c>
      <c r="EI120" s="39">
        <f>(IF(WEEKDAY(EI$82,2)&gt;5,0,15.81))*-1</f>
        <v>-15.81</v>
      </c>
      <c r="EJ120" s="39">
        <f>(IF(WEEKDAY(EJ$82,2)&gt;5,0,13.1))*-1</f>
        <v>-13.1</v>
      </c>
      <c r="EK120" s="39">
        <f>(IF(WEEKDAY(EK$82,2)&gt;5,0,16.62))*-1</f>
        <v>-16.62</v>
      </c>
      <c r="EL120" s="39">
        <f>(IF(WEEKDAY(EL$82,2)&gt;5,0,15.47))*-1</f>
        <v>-15.47</v>
      </c>
      <c r="EM120" s="39">
        <f>(IF(WEEKDAY(EM$82,2)&gt;5,0,14.75))*-1</f>
        <v>0</v>
      </c>
      <c r="EN120" s="39">
        <f>(IF(WEEKDAY(EN$82,2)&gt;5,0,14.08))*-1</f>
        <v>0</v>
      </c>
      <c r="EO120" s="39">
        <f>(IF(WEEKDAY(EO$82,2)&gt;5,0,16.26))*-1</f>
        <v>-16.260000000000002</v>
      </c>
      <c r="EP120" s="39">
        <f>(IF(WEEKDAY(EP$82,2)&gt;5,0,16.95))*-1</f>
        <v>-16.95</v>
      </c>
      <c r="EQ120" s="39">
        <f>(IF(WEEKDAY(EQ$82,2)&gt;5,0,16.57))*-1</f>
        <v>-16.57</v>
      </c>
      <c r="ER120" s="39">
        <f>(IF(WEEKDAY(ER$82,2)&gt;5,0,13.79))*-1</f>
        <v>-13.79</v>
      </c>
      <c r="ES120" s="39">
        <f>(IF(WEEKDAY(ES$82,2)&gt;5,0,14.11))*-1</f>
        <v>-14.11</v>
      </c>
      <c r="ET120" s="39">
        <f>(IF(WEEKDAY(ET$82,2)&gt;5,0,16.77))*-1</f>
        <v>0</v>
      </c>
      <c r="EU120" s="39">
        <f>(IF(WEEKDAY(EU$82,2)&gt;5,0,15.47))*-1</f>
        <v>0</v>
      </c>
      <c r="EV120" s="39">
        <f>(IF(WEEKDAY(EV$82,2)&gt;5,0,15.55))*-1</f>
        <v>-15.55</v>
      </c>
      <c r="EW120" s="39">
        <f>(IF(WEEKDAY(EW$82,2)&gt;5,0,16.13))*-1</f>
        <v>-16.13</v>
      </c>
      <c r="EX120" s="39">
        <f>(IF(WEEKDAY(EX$82,2)&gt;5,0,16.38))*-1</f>
        <v>-16.38</v>
      </c>
      <c r="EY120" s="39">
        <f>(IF(WEEKDAY(EY$82,2)&gt;5,0,16.23))*-1</f>
        <v>-16.23</v>
      </c>
      <c r="EZ120" s="39">
        <f>(IF(WEEKDAY(EZ$82,2)&gt;5,0,13.32))*-1</f>
        <v>-13.32</v>
      </c>
      <c r="FA120" s="39">
        <f>(IF(WEEKDAY(FA$82,2)&gt;5,0,16.77))*-1</f>
        <v>0</v>
      </c>
      <c r="FB120" s="39">
        <f>(IF(WEEKDAY(FB$82,2)&gt;5,0,15.57))*-1</f>
        <v>0</v>
      </c>
      <c r="FC120" s="39">
        <f>(IF(WEEKDAY(FC$82,2)&gt;5,0,16.06))*-1</f>
        <v>-16.059999999999999</v>
      </c>
      <c r="FD120" s="39">
        <f>(IF(WEEKDAY(FD$82,2)&gt;5,0,16.24))*-1</f>
        <v>-16.239999999999998</v>
      </c>
      <c r="FE120" s="39">
        <f>(IF(WEEKDAY(FE$82,2)&gt;5,0,15.04))*-1</f>
        <v>-15.04</v>
      </c>
      <c r="FF120" s="39">
        <f>(IF(WEEKDAY(FF$82,2)&gt;5,0,13.92))*-1</f>
        <v>-13.92</v>
      </c>
      <c r="FG120" s="39">
        <f>(IF(WEEKDAY(FG$82,2)&gt;5,0,12.96))*-1</f>
        <v>-12.96</v>
      </c>
      <c r="FH120" s="39">
        <f>(IF(WEEKDAY(FH$82,2)&gt;5,0,13.63))*-1</f>
        <v>0</v>
      </c>
      <c r="FI120" s="39">
        <f>(IF(WEEKDAY(FI$82,2)&gt;5,0,17.05))*-1</f>
        <v>0</v>
      </c>
      <c r="FJ120" s="39">
        <f>(IF(WEEKDAY(FJ$82,2)&gt;5,0,17.03))*-1</f>
        <v>-17.03</v>
      </c>
      <c r="FK120" s="39">
        <f>(IF(WEEKDAY(FK$82,2)&gt;5,0,14.41))*-1</f>
        <v>-14.41</v>
      </c>
      <c r="FL120" s="39">
        <f>(IF(WEEKDAY(FL$82,2)&gt;5,0,16.66))*-1</f>
        <v>-16.66</v>
      </c>
      <c r="FM120" s="39">
        <f>(IF(WEEKDAY(FM$82,2)&gt;5,0,16.76))*-1</f>
        <v>-16.760000000000002</v>
      </c>
      <c r="FN120" s="39">
        <f>(IF(WEEKDAY(FN$82,2)&gt;5,0,17.16))*-1</f>
        <v>-17.16</v>
      </c>
      <c r="FO120" s="39">
        <f>(IF(WEEKDAY(FO$82,2)&gt;5,0,16.44))*-1</f>
        <v>0</v>
      </c>
      <c r="FP120" s="39">
        <f>(IF(WEEKDAY(FP$82,2)&gt;5,0,15.4))*-1</f>
        <v>0</v>
      </c>
      <c r="FQ120" s="39">
        <f>(IF(WEEKDAY(FQ$82,2)&gt;5,0,13.23))*-1</f>
        <v>-13.23</v>
      </c>
      <c r="FR120" s="39">
        <f>(IF(WEEKDAY(FR$82,2)&gt;5,0,15.14))*-1</f>
        <v>-15.14</v>
      </c>
      <c r="FS120" s="39">
        <f>(IF(WEEKDAY(FS$82,2)&gt;5,0,16.47))*-1</f>
        <v>-16.47</v>
      </c>
      <c r="FT120" s="39">
        <f>(IF(WEEKDAY(FT$82,2)&gt;5,0,14.09))*-1</f>
        <v>-14.09</v>
      </c>
      <c r="FU120" s="39">
        <f>(IF(WEEKDAY(FU$82,2)&gt;5,0,13.16))*-1</f>
        <v>-13.16</v>
      </c>
      <c r="FV120" s="39">
        <f>(IF(WEEKDAY(FV$82,2)&gt;5,0,14.59))*-1</f>
        <v>0</v>
      </c>
      <c r="FW120" s="39">
        <f>(IF(WEEKDAY(FW$82,2)&gt;5,0,16.36))*-1</f>
        <v>0</v>
      </c>
      <c r="FX120" s="39">
        <f>(IF(WEEKDAY(FX$82,2)&gt;5,0,13.93))*-1</f>
        <v>-13.93</v>
      </c>
      <c r="FY120" s="39">
        <f>(IF(WEEKDAY(FY$82,2)&gt;5,0,13.46))*-1</f>
        <v>-13.46</v>
      </c>
      <c r="FZ120" s="39">
        <f>(IF(WEEKDAY(FZ$82,2)&gt;5,0,13.61))*-1</f>
        <v>-13.61</v>
      </c>
      <c r="GA120" s="39">
        <f>(IF(WEEKDAY(GA$82,2)&gt;5,0,13.26))*-1</f>
        <v>-13.26</v>
      </c>
      <c r="GB120" s="39">
        <f>(IF(WEEKDAY(GB$82,2)&gt;5,0,15.7))*-1</f>
        <v>-15.7</v>
      </c>
      <c r="GC120" s="39">
        <f>(IF(WEEKDAY(GC$82,2)&gt;5,0,16.76))*-1</f>
        <v>0</v>
      </c>
      <c r="GD120" s="39">
        <f>(IF(WEEKDAY(GD$82,2)&gt;5,0,16.3))*-1</f>
        <v>0</v>
      </c>
      <c r="GE120" s="39">
        <f>(IF(WEEKDAY(GE$82,2)&gt;5,0,15.86))*-1</f>
        <v>-15.86</v>
      </c>
      <c r="GF120" s="39">
        <f>(IF(WEEKDAY(GF$82,2)&gt;5,0,13.69))*-1</f>
        <v>-13.69</v>
      </c>
      <c r="GG120" s="39">
        <f>(IF(WEEKDAY(GG$82,2)&gt;5,0,13.05))*-1</f>
        <v>-13.05</v>
      </c>
      <c r="GH120" s="39">
        <f>(IF(WEEKDAY(GH$82,2)&gt;5,0,15.48))*-1</f>
        <v>-15.48</v>
      </c>
      <c r="GI120" s="39">
        <f>(IF(WEEKDAY(GI$82,2)&gt;5,0,17.01))*-1</f>
        <v>-17.010000000000002</v>
      </c>
      <c r="GJ120" s="39">
        <f>(IF(WEEKDAY(GJ$82,2)&gt;5,0,15.97))*-1</f>
        <v>0</v>
      </c>
      <c r="GK120" s="39">
        <f>(IF(WEEKDAY(GK$82,2)&gt;5,0,15.13))*-1</f>
        <v>0</v>
      </c>
      <c r="GL120" s="39">
        <f>(IF(WEEKDAY(GL$82,2)&gt;5,0,13.7))*-1</f>
        <v>-13.7</v>
      </c>
      <c r="GM120" s="39">
        <f>(IF(WEEKDAY(GM$82,2)&gt;5,0,14.53))*-1</f>
        <v>-14.53</v>
      </c>
      <c r="GN120" s="39">
        <f>(IF(WEEKDAY(GN$82,2)&gt;5,0,13.2))*-1</f>
        <v>-13.2</v>
      </c>
      <c r="GO120" s="39">
        <f>(IF(WEEKDAY(GO$82,2)&gt;5,0,16.94))*-1</f>
        <v>-16.940000000000001</v>
      </c>
      <c r="GP120" s="39">
        <f>(IF(WEEKDAY(GP$82,2)&gt;5,0,13.47))*-1</f>
        <v>-13.47</v>
      </c>
      <c r="GQ120" s="39">
        <f>(IF(WEEKDAY(GQ$82,2)&gt;5,0,16.3))*-1</f>
        <v>0</v>
      </c>
      <c r="GR120" s="39">
        <f>(IF(WEEKDAY(GR$82,2)&gt;5,0,16.37))*-1</f>
        <v>0</v>
      </c>
      <c r="GS120" s="39">
        <f>(IF(WEEKDAY(GS$82,2)&gt;5,0,15.44))*-1</f>
        <v>-15.44</v>
      </c>
      <c r="GT120" s="39">
        <f>(IF(WEEKDAY(GT$82,2)&gt;5,0,12.98))*-1</f>
        <v>-12.98</v>
      </c>
      <c r="GU120" s="39">
        <f>(IF(WEEKDAY(GU$82,2)&gt;5,0,13.25))*-1</f>
        <v>-13.25</v>
      </c>
      <c r="GV120" s="39">
        <f>(IF(WEEKDAY(GV$82,2)&gt;5,0,15.57))*-1</f>
        <v>-15.57</v>
      </c>
      <c r="GW120" s="39">
        <f>(IF(WEEKDAY(GW$82,2)&gt;5,0,14.16))*-1</f>
        <v>-14.16</v>
      </c>
      <c r="GX120" s="39">
        <f>(IF(WEEKDAY(GX$82,2)&gt;5,0,16.34))*-1</f>
        <v>0</v>
      </c>
      <c r="GY120" s="39">
        <f>(IF(WEEKDAY(GY$82,2)&gt;5,0,16.66))*-1</f>
        <v>0</v>
      </c>
      <c r="GZ120" s="39">
        <f>(IF(WEEKDAY(GZ$82,2)&gt;5,0,15.96))*-1</f>
        <v>-15.96</v>
      </c>
      <c r="HA120" s="39">
        <f>(IF(WEEKDAY(HA$82,2)&gt;5,0,16.5))*-1</f>
        <v>-16.5</v>
      </c>
      <c r="HB120" s="39">
        <f>(IF(WEEKDAY(HB$82,2)&gt;5,0,12.76))*-1</f>
        <v>-12.76</v>
      </c>
      <c r="HC120" s="39">
        <f>(IF(WEEKDAY(HC$82,2)&gt;5,0,16.51))*-1</f>
        <v>-16.510000000000002</v>
      </c>
      <c r="HD120" s="39">
        <f>(IF(WEEKDAY(HD$82,2)&gt;5,0,16.01))*-1</f>
        <v>-16.010000000000002</v>
      </c>
      <c r="HE120" s="39">
        <f>(IF(WEEKDAY(HE$82,2)&gt;5,0,16.03))*-1</f>
        <v>0</v>
      </c>
      <c r="HF120" s="39">
        <f>(IF(WEEKDAY(HF$82,2)&gt;5,0,13.07))*-1</f>
        <v>0</v>
      </c>
      <c r="HG120" s="39">
        <f>(IF(WEEKDAY(HG$82,2)&gt;5,0,14.76))*-1</f>
        <v>-14.76</v>
      </c>
      <c r="HH120" s="39">
        <f>(IF(WEEKDAY(HH$82,2)&gt;5,0,12.97))*-1</f>
        <v>-12.97</v>
      </c>
      <c r="HI120" s="39">
        <f>(IF(WEEKDAY(HI$82,2)&gt;5,0,13.61))*-1</f>
        <v>-13.61</v>
      </c>
      <c r="HJ120" s="39">
        <f>(IF(WEEKDAY(HJ$82,2)&gt;5,0,14.11))*-1</f>
        <v>-14.11</v>
      </c>
      <c r="HK120" s="39">
        <f>(IF(WEEKDAY(HK$82,2)&gt;5,0,13.11))*-1</f>
        <v>-13.11</v>
      </c>
      <c r="HL120" s="39">
        <f>(IF(WEEKDAY(HL$82,2)&gt;5,0,15.13))*-1</f>
        <v>0</v>
      </c>
      <c r="HM120" s="39">
        <f>(IF(WEEKDAY(HM$82,2)&gt;5,0,12.86))*-1</f>
        <v>0</v>
      </c>
      <c r="HN120" s="39">
        <f>(IF(WEEKDAY(HN$82,2)&gt;5,0,14.21))*-1</f>
        <v>-14.21</v>
      </c>
      <c r="HO120" s="39">
        <f>(IF(WEEKDAY(HO$82,2)&gt;5,0,15.7))*-1</f>
        <v>-15.7</v>
      </c>
      <c r="HP120" s="39">
        <f>(IF(WEEKDAY(HP$82,2)&gt;5,0,14.12))*-1</f>
        <v>-14.12</v>
      </c>
      <c r="HQ120" s="39">
        <f>(IF(WEEKDAY(HQ$82,2)&gt;5,0,16.29))*-1</f>
        <v>-16.29</v>
      </c>
      <c r="HR120" s="39">
        <f>(IF(WEEKDAY(HR$82,2)&gt;5,0,16.16))*-1</f>
        <v>-16.16</v>
      </c>
      <c r="HS120" s="39">
        <f>(IF(WEEKDAY(HS$82,2)&gt;5,0,15.17))*-1</f>
        <v>0</v>
      </c>
      <c r="HT120" s="39">
        <f>(IF(WEEKDAY(HT$82,2)&gt;5,0,14.16))*-1</f>
        <v>0</v>
      </c>
      <c r="HU120" s="39">
        <f>(IF(WEEKDAY(HU$82,2)&gt;5,0,14.94))*-1</f>
        <v>-14.94</v>
      </c>
      <c r="HV120" s="39">
        <f>(IF(WEEKDAY(HV$82,2)&gt;5,0,16.67))*-1</f>
        <v>-16.670000000000002</v>
      </c>
      <c r="HW120" s="39">
        <f>(IF(WEEKDAY(HW$82,2)&gt;5,0,15.96))*-1</f>
        <v>-15.96</v>
      </c>
      <c r="HX120" s="39">
        <f>(IF(WEEKDAY(HX$82,2)&gt;5,0,14.04))*-1</f>
        <v>-14.04</v>
      </c>
      <c r="HY120" s="39">
        <f>(IF(WEEKDAY(HY$82,2)&gt;5,0,14.18))*-1</f>
        <v>-14.18</v>
      </c>
      <c r="HZ120" s="39">
        <f>(IF(WEEKDAY(HZ$82,2)&gt;5,0,14.37))*-1</f>
        <v>0</v>
      </c>
      <c r="IA120" s="39">
        <f>(IF(WEEKDAY(IA$82,2)&gt;5,0,13.09))*-1</f>
        <v>0</v>
      </c>
      <c r="IB120" s="39">
        <f>(IF(WEEKDAY(IB$82,2)&gt;5,0,16.9))*-1</f>
        <v>-16.899999999999999</v>
      </c>
      <c r="IC120" s="39">
        <f>(IF(WEEKDAY(IC$82,2)&gt;5,0,14.63))*-1</f>
        <v>-14.63</v>
      </c>
      <c r="ID120" s="39">
        <f>(IF(WEEKDAY(ID$82,2)&gt;5,0,15.86))*-1</f>
        <v>-15.86</v>
      </c>
      <c r="IE120" s="39">
        <f>(IF(WEEKDAY(IE$82,2)&gt;5,0,15.81))*-1</f>
        <v>-15.81</v>
      </c>
      <c r="IF120" s="39">
        <f>(IF(WEEKDAY(IF$82,2)&gt;5,0,15.88))*-1</f>
        <v>-15.88</v>
      </c>
      <c r="IG120" s="39">
        <f>(IF(WEEKDAY(IG$82,2)&gt;5,0,15.55))*-1</f>
        <v>0</v>
      </c>
      <c r="IH120" s="39">
        <f>(IF(WEEKDAY(IH$82,2)&gt;5,0,16.1))*-1</f>
        <v>0</v>
      </c>
      <c r="II120" s="39">
        <f>(IF(WEEKDAY(II$82,2)&gt;5,0,14.09))*-1</f>
        <v>-14.09</v>
      </c>
      <c r="IJ120" s="39">
        <f>(IF(WEEKDAY(IJ$82,2)&gt;5,0,14.13))*-1</f>
        <v>-14.13</v>
      </c>
      <c r="IK120" s="39">
        <f>(IF(WEEKDAY(IK$82,2)&gt;5,0,17.04))*-1</f>
        <v>-17.04</v>
      </c>
      <c r="IL120" s="39">
        <f>(IF(WEEKDAY(IL$82,2)&gt;5,0,15.2))*-1</f>
        <v>-15.2</v>
      </c>
    </row>
    <row r="121" spans="1:246" x14ac:dyDescent="0.3">
      <c r="A121" t="s">
        <v>103</v>
      </c>
      <c r="B121" s="39">
        <f>(IF(WEEKDAY(B$82,2)&gt;5,0,17.91))*-1</f>
        <v>-17.91</v>
      </c>
      <c r="C121" s="39">
        <f>(IF(WEEKDAY(C$82,2)&gt;5,0,17.91))*-1</f>
        <v>0</v>
      </c>
      <c r="D121" s="39">
        <f>(IF(WEEKDAY(D$82,2)&gt;5,0,20.67))*-1</f>
        <v>0</v>
      </c>
      <c r="E121" s="39">
        <f>(IF(WEEKDAY(E$82,2)&gt;5,0,17.47))*-1</f>
        <v>-17.47</v>
      </c>
      <c r="F121" s="39">
        <f>(IF(WEEKDAY(F$82,2)&gt;5,0,21.01))*-1</f>
        <v>-21.01</v>
      </c>
      <c r="G121" s="39">
        <f>(IF(WEEKDAY(G$82,2)&gt;5,0,20.62))*-1</f>
        <v>-20.62</v>
      </c>
      <c r="H121" s="39">
        <f>(IF(WEEKDAY(H$82,2)&gt;5,0,19.65))*-1</f>
        <v>-19.649999999999999</v>
      </c>
      <c r="I121" s="39">
        <f>(IF(WEEKDAY(I$82,2)&gt;5,0,18.51))*-1</f>
        <v>-18.510000000000002</v>
      </c>
      <c r="J121" s="39">
        <f>(IF(WEEKDAY(J$82,2)&gt;5,0,19.9))*-1</f>
        <v>0</v>
      </c>
      <c r="K121" s="39">
        <f>(IF(WEEKDAY(K$82,2)&gt;5,0,20.04))*-1</f>
        <v>0</v>
      </c>
      <c r="L121" s="39">
        <f>(IF(WEEKDAY(L$82,2)&gt;5,0,19.36))*-1</f>
        <v>-19.36</v>
      </c>
      <c r="M121" s="39">
        <f>(IF(WEEKDAY(M$82,2)&gt;5,0,22.95))*-1</f>
        <v>-22.95</v>
      </c>
      <c r="N121" s="39">
        <f>(IF(WEEKDAY(N$82,2)&gt;5,0,18.03))*-1</f>
        <v>-18.03</v>
      </c>
      <c r="O121" s="39">
        <f>(IF(WEEKDAY(O$82,2)&gt;5,0,22.47))*-1</f>
        <v>-22.47</v>
      </c>
      <c r="P121" s="39">
        <f>(IF(WEEKDAY(P$82,2)&gt;5,0,21.74))*-1</f>
        <v>-21.74</v>
      </c>
      <c r="Q121" s="39">
        <f>(IF(WEEKDAY(Q$82,2)&gt;5,0,21.64))*-1</f>
        <v>0</v>
      </c>
      <c r="R121" s="39">
        <f>(IF(WEEKDAY(R$82,2)&gt;5,0,20.8))*-1</f>
        <v>0</v>
      </c>
      <c r="S121" s="39">
        <f>(IF(WEEKDAY(S$82,2)&gt;5,0,19.69))*-1</f>
        <v>-19.690000000000001</v>
      </c>
      <c r="T121" s="39">
        <f>(IF(WEEKDAY(T$82,2)&gt;5,0,22.75))*-1</f>
        <v>-22.75</v>
      </c>
      <c r="U121" s="39">
        <f>(IF(WEEKDAY(U$82,2)&gt;5,0,22.04))*-1</f>
        <v>-22.04</v>
      </c>
      <c r="V121" s="39">
        <f>(IF(WEEKDAY(V$82,2)&gt;5,0,19.31))*-1</f>
        <v>-19.309999999999999</v>
      </c>
      <c r="W121" s="39">
        <f>(IF(WEEKDAY(W$82,2)&gt;5,0,21.04))*-1</f>
        <v>-21.04</v>
      </c>
      <c r="X121" s="39">
        <f>(IF(WEEKDAY(X$82,2)&gt;5,0,20.91))*-1</f>
        <v>0</v>
      </c>
      <c r="Y121" s="39">
        <f>(IF(WEEKDAY(Y$82,2)&gt;5,0,17.8))*-1</f>
        <v>0</v>
      </c>
      <c r="Z121" s="39">
        <f>(IF(WEEKDAY(Z$82,2)&gt;5,0,22.54))*-1</f>
        <v>-22.54</v>
      </c>
      <c r="AA121" s="39">
        <f>(IF(WEEKDAY(AA$82,2)&gt;5,0,22.19))*-1</f>
        <v>-22.19</v>
      </c>
      <c r="AB121" s="39">
        <f>(IF(WEEKDAY(AB$82,2)&gt;5,0,18.13))*-1</f>
        <v>-18.13</v>
      </c>
      <c r="AC121" s="39">
        <f>(IF(WEEKDAY(AC$82,2)&gt;5,0,20.3))*-1</f>
        <v>-20.3</v>
      </c>
      <c r="AD121" s="39">
        <f>(IF(WEEKDAY(AD$82,2)&gt;5,0,18.68))*-1</f>
        <v>-18.68</v>
      </c>
      <c r="AE121" s="39">
        <f>(IF(WEEKDAY(AE$82,2)&gt;5,0,21.87))*-1</f>
        <v>0</v>
      </c>
      <c r="AF121" s="39">
        <f>(IF(WEEKDAY(AF$82,2)&gt;5,0,20.43))*-1</f>
        <v>0</v>
      </c>
      <c r="AG121" s="39">
        <f>(IF(WEEKDAY(AG$82,2)&gt;5,0,19.08))*-1</f>
        <v>-19.079999999999998</v>
      </c>
      <c r="AH121" s="39">
        <f>(IF(WEEKDAY(AH$82,2)&gt;5,0,17.36))*-1</f>
        <v>-17.36</v>
      </c>
      <c r="AI121" s="39">
        <f>(IF(WEEKDAY(AI$82,2)&gt;5,0,17.6))*-1</f>
        <v>-17.600000000000001</v>
      </c>
      <c r="AJ121" s="39">
        <f>(IF(WEEKDAY(AJ$82,2)&gt;5,0,18.94))*-1</f>
        <v>-18.940000000000001</v>
      </c>
      <c r="AK121" s="39">
        <f>(IF(WEEKDAY(AK$82,2)&gt;5,0,18.72))*-1</f>
        <v>-18.72</v>
      </c>
      <c r="AL121" s="39">
        <f>(IF(WEEKDAY(AL$82,2)&gt;5,0,20.03))*-1</f>
        <v>0</v>
      </c>
      <c r="AM121" s="39">
        <f>(IF(WEEKDAY(AM$82,2)&gt;5,0,22))*-1</f>
        <v>0</v>
      </c>
      <c r="AN121" s="39">
        <f>(IF(WEEKDAY(AN$82,2)&gt;5,0,18.11))*-1</f>
        <v>-18.11</v>
      </c>
      <c r="AO121" s="39">
        <f>(IF(WEEKDAY(AO$82,2)&gt;5,0,17.57))*-1</f>
        <v>-17.57</v>
      </c>
      <c r="AP121" s="39">
        <f>(IF(WEEKDAY(AP$82,2)&gt;5,0,20.92))*-1</f>
        <v>-20.92</v>
      </c>
      <c r="AQ121" s="39">
        <f>(IF(WEEKDAY(AQ$82,2)&gt;5,0,18.39))*-1</f>
        <v>-18.39</v>
      </c>
      <c r="AR121" s="39">
        <f>(IF(WEEKDAY(AR$82,2)&gt;5,0,22.22))*-1</f>
        <v>-22.22</v>
      </c>
      <c r="AS121" s="39">
        <f>(IF(WEEKDAY(AS$82,2)&gt;5,0,18.1))*-1</f>
        <v>0</v>
      </c>
      <c r="AT121" s="39">
        <f>(IF(WEEKDAY(AT$82,2)&gt;5,0,21.02))*-1</f>
        <v>0</v>
      </c>
      <c r="AU121" s="39">
        <f>(IF(WEEKDAY(AU$82,2)&gt;5,0,20.24))*-1</f>
        <v>-20.239999999999998</v>
      </c>
      <c r="AV121" s="39">
        <f>(IF(WEEKDAY(AV$82,2)&gt;5,0,20.55))*-1</f>
        <v>-20.55</v>
      </c>
      <c r="AW121" s="39">
        <f>(IF(WEEKDAY(AW$82,2)&gt;5,0,18.46))*-1</f>
        <v>-18.46</v>
      </c>
      <c r="AX121" s="39">
        <f>(IF(WEEKDAY(AX$82,2)&gt;5,0,22.05))*-1</f>
        <v>-22.05</v>
      </c>
      <c r="AY121" s="39">
        <f>(IF(WEEKDAY(AY$82,2)&gt;5,0,22.51))*-1</f>
        <v>-22.51</v>
      </c>
      <c r="AZ121" s="39">
        <f>(IF(WEEKDAY(AZ$82,2)&gt;5,0,19.27))*-1</f>
        <v>0</v>
      </c>
      <c r="BA121" s="39">
        <f>(IF(WEEKDAY(BA$82,2)&gt;5,0,20.04))*-1</f>
        <v>0</v>
      </c>
      <c r="BB121" s="39">
        <f>(IF(WEEKDAY(BB$82,2)&gt;5,0,22.83))*-1</f>
        <v>-22.83</v>
      </c>
      <c r="BC121" s="39">
        <f>(IF(WEEKDAY(BC$82,2)&gt;5,0,17.54))*-1</f>
        <v>-17.54</v>
      </c>
      <c r="BD121" s="39">
        <f>(IF(WEEKDAY(BD$82,2)&gt;5,0,20.74))*-1</f>
        <v>-20.74</v>
      </c>
      <c r="BE121" s="39">
        <f>(IF(WEEKDAY(BE$82,2)&gt;5,0,19.07))*-1</f>
        <v>-19.07</v>
      </c>
      <c r="BF121" s="39">
        <f>(IF(WEEKDAY(BF$82,2)&gt;5,0,21.87))*-1</f>
        <v>-21.87</v>
      </c>
      <c r="BG121" s="39">
        <f>(IF(WEEKDAY(BG$82,2)&gt;5,0,22.81))*-1</f>
        <v>0</v>
      </c>
      <c r="BH121" s="39">
        <f>(IF(WEEKDAY(BH$82,2)&gt;5,0,18.59))*-1</f>
        <v>0</v>
      </c>
      <c r="BI121" s="39">
        <f>(IF(WEEKDAY(BI$82,2)&gt;5,0,18.35))*-1</f>
        <v>-18.350000000000001</v>
      </c>
      <c r="BJ121" s="39">
        <f>(IF(WEEKDAY(BJ$82,2)&gt;5,0,20.11))*-1</f>
        <v>-20.11</v>
      </c>
      <c r="BK121" s="39">
        <f>(IF(WEEKDAY(BK$82,2)&gt;5,0,19.7))*-1</f>
        <v>-19.7</v>
      </c>
      <c r="BL121" s="39">
        <f>(IF(WEEKDAY(BL$82,2)&gt;5,0,21.92))*-1</f>
        <v>-21.92</v>
      </c>
      <c r="BM121" s="39">
        <f>(IF(WEEKDAY(BM$82,2)&gt;5,0,20.34))*-1</f>
        <v>-20.34</v>
      </c>
      <c r="BN121" s="39">
        <f>(IF(WEEKDAY(BN$82,2)&gt;5,0,17.05))*-1</f>
        <v>0</v>
      </c>
      <c r="BO121" s="39">
        <f>(IF(WEEKDAY(BO$82,2)&gt;5,0,17.08))*-1</f>
        <v>0</v>
      </c>
      <c r="BP121" s="39">
        <f>(IF(WEEKDAY(BP$82,2)&gt;5,0,18.57))*-1</f>
        <v>-18.57</v>
      </c>
      <c r="BQ121" s="39">
        <f>(IF(WEEKDAY(BQ$82,2)&gt;5,0,18.09))*-1</f>
        <v>-18.09</v>
      </c>
      <c r="BR121" s="39">
        <f>(IF(WEEKDAY(BR$82,2)&gt;5,0,17.36))*-1</f>
        <v>-17.36</v>
      </c>
      <c r="BS121" s="39">
        <f>(IF(WEEKDAY(BS$82,2)&gt;5,0,17.54))*-1</f>
        <v>-17.54</v>
      </c>
      <c r="BT121" s="39">
        <f>(IF(WEEKDAY(BT$82,2)&gt;5,0,17.37))*-1</f>
        <v>-17.37</v>
      </c>
      <c r="BU121" s="39">
        <f>(IF(WEEKDAY(BU$82,2)&gt;5,0,21.36))*-1</f>
        <v>0</v>
      </c>
      <c r="BV121" s="39">
        <f>(IF(WEEKDAY(BV$82,2)&gt;5,0,19.92))*-1</f>
        <v>0</v>
      </c>
      <c r="BW121" s="39">
        <f>(IF(WEEKDAY(BW$82,2)&gt;5,0,22.13))*-1</f>
        <v>-22.13</v>
      </c>
      <c r="BX121" s="39">
        <f>(IF(WEEKDAY(BX$82,2)&gt;5,0,19.06))*-1</f>
        <v>-19.059999999999999</v>
      </c>
      <c r="BY121" s="39">
        <f>(IF(WEEKDAY(BY$82,2)&gt;5,0,22.71))*-1</f>
        <v>-22.71</v>
      </c>
      <c r="BZ121" s="39">
        <f>(IF(WEEKDAY(BZ$82,2)&gt;5,0,19.59))*-1</f>
        <v>-19.59</v>
      </c>
      <c r="CA121" s="39">
        <f>(IF(WEEKDAY(CA$82,2)&gt;5,0,22.44))*-1</f>
        <v>-22.44</v>
      </c>
      <c r="CB121" s="39">
        <f>(IF(WEEKDAY(CB$82,2)&gt;5,0,19.13))*-1</f>
        <v>0</v>
      </c>
      <c r="CC121" s="39">
        <f>(IF(WEEKDAY(CC$82,2)&gt;5,0,19.05))*-1</f>
        <v>0</v>
      </c>
      <c r="CD121" s="39">
        <f>(IF(WEEKDAY(CD$82,2)&gt;5,0,17.08))*-1</f>
        <v>-17.079999999999998</v>
      </c>
      <c r="CE121" s="39">
        <f>(IF(WEEKDAY(CE$82,2)&gt;5,0,19.18))*-1</f>
        <v>-19.18</v>
      </c>
      <c r="CF121" s="39">
        <f>(IF(WEEKDAY(CF$82,2)&gt;5,0,21.22))*-1</f>
        <v>-21.22</v>
      </c>
      <c r="CG121" s="39">
        <f>(IF(WEEKDAY(CG$82,2)&gt;5,0,22.3))*-1</f>
        <v>-22.3</v>
      </c>
      <c r="CH121" s="39">
        <f>(IF(WEEKDAY(CH$82,2)&gt;5,0,20.28))*-1</f>
        <v>-20.28</v>
      </c>
      <c r="CI121" s="39">
        <f>(IF(WEEKDAY(CI$82,2)&gt;5,0,20.21))*-1</f>
        <v>0</v>
      </c>
      <c r="CJ121" s="39">
        <f>(IF(WEEKDAY(CJ$82,2)&gt;5,0,18.64))*-1</f>
        <v>0</v>
      </c>
      <c r="CK121" s="39">
        <f>(IF(WEEKDAY(CK$82,2)&gt;5,0,17.46))*-1</f>
        <v>-17.46</v>
      </c>
      <c r="CL121" s="39">
        <f>(IF(WEEKDAY(CL$82,2)&gt;5,0,17.88))*-1</f>
        <v>-17.88</v>
      </c>
      <c r="CM121" s="39">
        <f>(IF(WEEKDAY(CM$82,2)&gt;5,0,18.08))*-1</f>
        <v>-18.079999999999998</v>
      </c>
      <c r="CN121" s="39">
        <f>(IF(WEEKDAY(CN$82,2)&gt;5,0,17.37))*-1</f>
        <v>-17.37</v>
      </c>
      <c r="CO121" s="39">
        <f>(IF(WEEKDAY(CO$82,2)&gt;5,0,19.04))*-1</f>
        <v>-19.04</v>
      </c>
      <c r="CP121" s="39">
        <f>(IF(WEEKDAY(CP$82,2)&gt;5,0,20.03))*-1</f>
        <v>0</v>
      </c>
      <c r="CQ121" s="39">
        <f>(IF(WEEKDAY(CQ$82,2)&gt;5,0,21.89))*-1</f>
        <v>0</v>
      </c>
      <c r="CR121" s="39">
        <f>(IF(WEEKDAY(CR$82,2)&gt;5,0,18.66))*-1</f>
        <v>-18.66</v>
      </c>
      <c r="CS121" s="39">
        <f>(IF(WEEKDAY(CS$82,2)&gt;5,0,18.89))*-1</f>
        <v>-18.89</v>
      </c>
      <c r="CT121" s="39">
        <f>(IF(WEEKDAY(CT$82,2)&gt;5,0,20.8))*-1</f>
        <v>-20.8</v>
      </c>
      <c r="CU121" s="39">
        <f>(IF(WEEKDAY(CU$82,2)&gt;5,0,17.6))*-1</f>
        <v>-17.600000000000001</v>
      </c>
      <c r="CV121" s="39">
        <f>(IF(WEEKDAY(CV$82,2)&gt;5,0,17.72))*-1</f>
        <v>-17.72</v>
      </c>
      <c r="CW121" s="39">
        <f>(IF(WEEKDAY(CW$82,2)&gt;5,0,22.97))*-1</f>
        <v>0</v>
      </c>
      <c r="CX121" s="39">
        <f>(IF(WEEKDAY(CX$82,2)&gt;5,0,19.36))*-1</f>
        <v>0</v>
      </c>
      <c r="CY121" s="39">
        <f>(IF(WEEKDAY(CY$82,2)&gt;5,0,19.54))*-1</f>
        <v>-19.54</v>
      </c>
      <c r="CZ121" s="39">
        <f>(IF(WEEKDAY(CZ$82,2)&gt;5,0,17.16))*-1</f>
        <v>-17.16</v>
      </c>
      <c r="DA121" s="39">
        <f>(IF(WEEKDAY(DA$82,2)&gt;5,0,18.8))*-1</f>
        <v>-18.8</v>
      </c>
      <c r="DB121" s="39">
        <f>(IF(WEEKDAY(DB$82,2)&gt;5,0,21.46))*-1</f>
        <v>-21.46</v>
      </c>
      <c r="DC121" s="39">
        <f>(IF(WEEKDAY(DC$82,2)&gt;5,0,20.35))*-1</f>
        <v>-20.350000000000001</v>
      </c>
      <c r="DD121" s="39">
        <f>(IF(WEEKDAY(DD$82,2)&gt;5,0,20))*-1</f>
        <v>0</v>
      </c>
      <c r="DE121" s="39">
        <f>(IF(WEEKDAY(DE$82,2)&gt;5,0,18.04))*-1</f>
        <v>0</v>
      </c>
      <c r="DF121" s="39">
        <f>(IF(WEEKDAY(DF$82,2)&gt;5,0,18.96))*-1</f>
        <v>-18.96</v>
      </c>
      <c r="DG121" s="39">
        <f>(IF(WEEKDAY(DG$82,2)&gt;5,0,20.93))*-1</f>
        <v>-20.93</v>
      </c>
      <c r="DH121" s="39">
        <f>(IF(WEEKDAY(DH$82,2)&gt;5,0,21.9))*-1</f>
        <v>-21.9</v>
      </c>
      <c r="DI121" s="39">
        <f>(IF(WEEKDAY(DI$82,2)&gt;5,0,18.57))*-1</f>
        <v>-18.57</v>
      </c>
      <c r="DJ121" s="39">
        <f>(IF(WEEKDAY(DJ$82,2)&gt;5,0,22.25))*-1</f>
        <v>-22.25</v>
      </c>
      <c r="DK121" s="39">
        <f>(IF(WEEKDAY(DK$82,2)&gt;5,0,20.84))*-1</f>
        <v>0</v>
      </c>
      <c r="DL121" s="39">
        <f>(IF(WEEKDAY(DL$82,2)&gt;5,0,19.5))*-1</f>
        <v>0</v>
      </c>
      <c r="DM121" s="39">
        <f>(IF(WEEKDAY(DM$82,2)&gt;5,0,20.93))*-1</f>
        <v>-20.93</v>
      </c>
      <c r="DN121" s="39">
        <f>(IF(WEEKDAY(DN$82,2)&gt;5,0,20.1))*-1</f>
        <v>-20.100000000000001</v>
      </c>
      <c r="DO121" s="39">
        <f>(IF(WEEKDAY(DO$82,2)&gt;5,0,21.04))*-1</f>
        <v>-21.04</v>
      </c>
      <c r="DP121" s="39">
        <f>(IF(WEEKDAY(DP$82,2)&gt;5,0,22.08))*-1</f>
        <v>-22.08</v>
      </c>
      <c r="DQ121" s="39">
        <f>(IF(WEEKDAY(DQ$82,2)&gt;5,0,19.69))*-1</f>
        <v>-19.690000000000001</v>
      </c>
      <c r="DR121" s="39">
        <f>(IF(WEEKDAY(DR$82,2)&gt;5,0,19.93))*-1</f>
        <v>0</v>
      </c>
      <c r="DS121" s="39">
        <f>(IF(WEEKDAY(DS$82,2)&gt;5,0,21.54))*-1</f>
        <v>0</v>
      </c>
      <c r="DT121" s="39">
        <f>(IF(WEEKDAY(DT$82,2)&gt;5,0,20.72))*-1</f>
        <v>-20.72</v>
      </c>
      <c r="DU121" s="39">
        <f>(IF(WEEKDAY(DU$82,2)&gt;5,0,19.91))*-1</f>
        <v>-19.91</v>
      </c>
      <c r="DV121" s="39">
        <f>(IF(WEEKDAY(DV$82,2)&gt;5,0,17.16))*-1</f>
        <v>-17.16</v>
      </c>
      <c r="DW121" s="39">
        <f>(IF(WEEKDAY(DW$82,2)&gt;5,0,22.63))*-1</f>
        <v>-22.63</v>
      </c>
      <c r="DX121" s="39">
        <f>(IF(WEEKDAY(DX$82,2)&gt;5,0,18.36))*-1</f>
        <v>-18.36</v>
      </c>
      <c r="DY121" s="39">
        <f>(IF(WEEKDAY(DY$82,2)&gt;5,0,17.27))*-1</f>
        <v>0</v>
      </c>
      <c r="DZ121" s="39">
        <f>(IF(WEEKDAY(DZ$82,2)&gt;5,0,21.99))*-1</f>
        <v>0</v>
      </c>
      <c r="EA121" s="39">
        <f>(IF(WEEKDAY(EA$82,2)&gt;5,0,21.76))*-1</f>
        <v>-21.76</v>
      </c>
      <c r="EB121" s="39">
        <f>(IF(WEEKDAY(EB$82,2)&gt;5,0,19.99))*-1</f>
        <v>-19.989999999999998</v>
      </c>
      <c r="EC121" s="39">
        <f>(IF(WEEKDAY(EC$82,2)&gt;5,0,20.6))*-1</f>
        <v>-20.6</v>
      </c>
      <c r="ED121" s="39">
        <f>(IF(WEEKDAY(ED$82,2)&gt;5,0,22.8))*-1</f>
        <v>-22.8</v>
      </c>
      <c r="EE121" s="39">
        <f>(IF(WEEKDAY(EE$82,2)&gt;5,0,22.37))*-1</f>
        <v>-22.37</v>
      </c>
      <c r="EF121" s="39">
        <f>(IF(WEEKDAY(EF$82,2)&gt;5,0,17.45))*-1</f>
        <v>0</v>
      </c>
      <c r="EG121" s="39">
        <f>(IF(WEEKDAY(EG$82,2)&gt;5,0,18.29))*-1</f>
        <v>0</v>
      </c>
      <c r="EH121" s="39">
        <f>(IF(WEEKDAY(EH$82,2)&gt;5,0,21.25))*-1</f>
        <v>-21.25</v>
      </c>
      <c r="EI121" s="39">
        <f>(IF(WEEKDAY(EI$82,2)&gt;5,0,22.84))*-1</f>
        <v>-22.84</v>
      </c>
      <c r="EJ121" s="39">
        <f>(IF(WEEKDAY(EJ$82,2)&gt;5,0,18.28))*-1</f>
        <v>-18.28</v>
      </c>
      <c r="EK121" s="39">
        <f>(IF(WEEKDAY(EK$82,2)&gt;5,0,21.18))*-1</f>
        <v>-21.18</v>
      </c>
      <c r="EL121" s="39">
        <f>(IF(WEEKDAY(EL$82,2)&gt;5,0,21.22))*-1</f>
        <v>-21.22</v>
      </c>
      <c r="EM121" s="39">
        <f>(IF(WEEKDAY(EM$82,2)&gt;5,0,21.42))*-1</f>
        <v>0</v>
      </c>
      <c r="EN121" s="39">
        <f>(IF(WEEKDAY(EN$82,2)&gt;5,0,19.18))*-1</f>
        <v>0</v>
      </c>
      <c r="EO121" s="39">
        <f>(IF(WEEKDAY(EO$82,2)&gt;5,0,19.99))*-1</f>
        <v>-19.989999999999998</v>
      </c>
      <c r="EP121" s="39">
        <f>(IF(WEEKDAY(EP$82,2)&gt;5,0,22.43))*-1</f>
        <v>-22.43</v>
      </c>
      <c r="EQ121" s="39">
        <f>(IF(WEEKDAY(EQ$82,2)&gt;5,0,17.47))*-1</f>
        <v>-17.47</v>
      </c>
      <c r="ER121" s="39">
        <f>(IF(WEEKDAY(ER$82,2)&gt;5,0,19.65))*-1</f>
        <v>-19.649999999999999</v>
      </c>
      <c r="ES121" s="39">
        <f>(IF(WEEKDAY(ES$82,2)&gt;5,0,21.84))*-1</f>
        <v>-21.84</v>
      </c>
      <c r="ET121" s="39">
        <f>(IF(WEEKDAY(ET$82,2)&gt;5,0,17.81))*-1</f>
        <v>0</v>
      </c>
      <c r="EU121" s="39">
        <f>(IF(WEEKDAY(EU$82,2)&gt;5,0,18.74))*-1</f>
        <v>0</v>
      </c>
      <c r="EV121" s="39">
        <f>(IF(WEEKDAY(EV$82,2)&gt;5,0,22.24))*-1</f>
        <v>-22.24</v>
      </c>
      <c r="EW121" s="39">
        <f>(IF(WEEKDAY(EW$82,2)&gt;5,0,19.03))*-1</f>
        <v>-19.03</v>
      </c>
      <c r="EX121" s="39">
        <f>(IF(WEEKDAY(EX$82,2)&gt;5,0,20.73))*-1</f>
        <v>-20.73</v>
      </c>
      <c r="EY121" s="39">
        <f>(IF(WEEKDAY(EY$82,2)&gt;5,0,22.94))*-1</f>
        <v>-22.94</v>
      </c>
      <c r="EZ121" s="39">
        <f>(IF(WEEKDAY(EZ$82,2)&gt;5,0,17.05))*-1</f>
        <v>-17.05</v>
      </c>
      <c r="FA121" s="39">
        <f>(IF(WEEKDAY(FA$82,2)&gt;5,0,19.3))*-1</f>
        <v>0</v>
      </c>
      <c r="FB121" s="39">
        <f>(IF(WEEKDAY(FB$82,2)&gt;5,0,22.46))*-1</f>
        <v>0</v>
      </c>
      <c r="FC121" s="39">
        <f>(IF(WEEKDAY(FC$82,2)&gt;5,0,19.92))*-1</f>
        <v>-19.920000000000002</v>
      </c>
      <c r="FD121" s="39">
        <f>(IF(WEEKDAY(FD$82,2)&gt;5,0,19.58))*-1</f>
        <v>-19.579999999999998</v>
      </c>
      <c r="FE121" s="39">
        <f>(IF(WEEKDAY(FE$82,2)&gt;5,0,20.81))*-1</f>
        <v>-20.81</v>
      </c>
      <c r="FF121" s="39">
        <f>(IF(WEEKDAY(FF$82,2)&gt;5,0,19.65))*-1</f>
        <v>-19.649999999999999</v>
      </c>
      <c r="FG121" s="39">
        <f>(IF(WEEKDAY(FG$82,2)&gt;5,0,18.07))*-1</f>
        <v>-18.07</v>
      </c>
      <c r="FH121" s="39">
        <f>(IF(WEEKDAY(FH$82,2)&gt;5,0,17.87))*-1</f>
        <v>0</v>
      </c>
      <c r="FI121" s="39">
        <f>(IF(WEEKDAY(FI$82,2)&gt;5,0,19.12))*-1</f>
        <v>0</v>
      </c>
      <c r="FJ121" s="39">
        <f>(IF(WEEKDAY(FJ$82,2)&gt;5,0,17.62))*-1</f>
        <v>-17.62</v>
      </c>
      <c r="FK121" s="39">
        <f>(IF(WEEKDAY(FK$82,2)&gt;5,0,20.61))*-1</f>
        <v>-20.61</v>
      </c>
      <c r="FL121" s="39">
        <f>(IF(WEEKDAY(FL$82,2)&gt;5,0,21.86))*-1</f>
        <v>-21.86</v>
      </c>
      <c r="FM121" s="39">
        <f>(IF(WEEKDAY(FM$82,2)&gt;5,0,21.04))*-1</f>
        <v>-21.04</v>
      </c>
      <c r="FN121" s="39">
        <f>(IF(WEEKDAY(FN$82,2)&gt;5,0,20.03))*-1</f>
        <v>-20.03</v>
      </c>
      <c r="FO121" s="39">
        <f>(IF(WEEKDAY(FO$82,2)&gt;5,0,22.03))*-1</f>
        <v>0</v>
      </c>
      <c r="FP121" s="39">
        <f>(IF(WEEKDAY(FP$82,2)&gt;5,0,20.77))*-1</f>
        <v>0</v>
      </c>
      <c r="FQ121" s="39">
        <f>(IF(WEEKDAY(FQ$82,2)&gt;5,0,20.71))*-1</f>
        <v>-20.71</v>
      </c>
      <c r="FR121" s="39">
        <f>(IF(WEEKDAY(FR$82,2)&gt;5,0,22.34))*-1</f>
        <v>-22.34</v>
      </c>
      <c r="FS121" s="39">
        <f>(IF(WEEKDAY(FS$82,2)&gt;5,0,19.55))*-1</f>
        <v>-19.55</v>
      </c>
      <c r="FT121" s="39">
        <f>(IF(WEEKDAY(FT$82,2)&gt;5,0,22.85))*-1</f>
        <v>-22.85</v>
      </c>
      <c r="FU121" s="39">
        <f>(IF(WEEKDAY(FU$82,2)&gt;5,0,19.62))*-1</f>
        <v>-19.62</v>
      </c>
      <c r="FV121" s="39">
        <f>(IF(WEEKDAY(FV$82,2)&gt;5,0,18.04))*-1</f>
        <v>0</v>
      </c>
      <c r="FW121" s="39">
        <f>(IF(WEEKDAY(FW$82,2)&gt;5,0,22.23))*-1</f>
        <v>0</v>
      </c>
      <c r="FX121" s="39">
        <f>(IF(WEEKDAY(FX$82,2)&gt;5,0,17.36))*-1</f>
        <v>-17.36</v>
      </c>
      <c r="FY121" s="39">
        <f>(IF(WEEKDAY(FY$82,2)&gt;5,0,22.99))*-1</f>
        <v>-22.99</v>
      </c>
      <c r="FZ121" s="39">
        <f>(IF(WEEKDAY(FZ$82,2)&gt;5,0,21.76))*-1</f>
        <v>-21.76</v>
      </c>
      <c r="GA121" s="39">
        <f>(IF(WEEKDAY(GA$82,2)&gt;5,0,18.29))*-1</f>
        <v>-18.29</v>
      </c>
      <c r="GB121" s="39">
        <f>(IF(WEEKDAY(GB$82,2)&gt;5,0,20.18))*-1</f>
        <v>-20.18</v>
      </c>
      <c r="GC121" s="39">
        <f>(IF(WEEKDAY(GC$82,2)&gt;5,0,22.12))*-1</f>
        <v>0</v>
      </c>
      <c r="GD121" s="39">
        <f>(IF(WEEKDAY(GD$82,2)&gt;5,0,21.06))*-1</f>
        <v>0</v>
      </c>
      <c r="GE121" s="39">
        <f>(IF(WEEKDAY(GE$82,2)&gt;5,0,17.35))*-1</f>
        <v>-17.350000000000001</v>
      </c>
      <c r="GF121" s="39">
        <f>(IF(WEEKDAY(GF$82,2)&gt;5,0,17.91))*-1</f>
        <v>-17.91</v>
      </c>
      <c r="GG121" s="39">
        <f>(IF(WEEKDAY(GG$82,2)&gt;5,0,17.65))*-1</f>
        <v>-17.649999999999999</v>
      </c>
      <c r="GH121" s="39">
        <f>(IF(WEEKDAY(GH$82,2)&gt;5,0,18.44))*-1</f>
        <v>-18.440000000000001</v>
      </c>
      <c r="GI121" s="39">
        <f>(IF(WEEKDAY(GI$82,2)&gt;5,0,17.4))*-1</f>
        <v>-17.399999999999999</v>
      </c>
      <c r="GJ121" s="39">
        <f>(IF(WEEKDAY(GJ$82,2)&gt;5,0,17.67))*-1</f>
        <v>0</v>
      </c>
      <c r="GK121" s="39">
        <f>(IF(WEEKDAY(GK$82,2)&gt;5,0,17.1))*-1</f>
        <v>0</v>
      </c>
      <c r="GL121" s="39">
        <f>(IF(WEEKDAY(GL$82,2)&gt;5,0,21.8))*-1</f>
        <v>-21.8</v>
      </c>
      <c r="GM121" s="39">
        <f>(IF(WEEKDAY(GM$82,2)&gt;5,0,18.23))*-1</f>
        <v>-18.23</v>
      </c>
      <c r="GN121" s="39">
        <f>(IF(WEEKDAY(GN$82,2)&gt;5,0,21.83))*-1</f>
        <v>-21.83</v>
      </c>
      <c r="GO121" s="39">
        <f>(IF(WEEKDAY(GO$82,2)&gt;5,0,21.78))*-1</f>
        <v>-21.78</v>
      </c>
      <c r="GP121" s="39">
        <f>(IF(WEEKDAY(GP$82,2)&gt;5,0,20.08))*-1</f>
        <v>-20.079999999999998</v>
      </c>
      <c r="GQ121" s="39">
        <f>(IF(WEEKDAY(GQ$82,2)&gt;5,0,18.4))*-1</f>
        <v>0</v>
      </c>
      <c r="GR121" s="39">
        <f>(IF(WEEKDAY(GR$82,2)&gt;5,0,19.57))*-1</f>
        <v>0</v>
      </c>
      <c r="GS121" s="39">
        <f>(IF(WEEKDAY(GS$82,2)&gt;5,0,18.17))*-1</f>
        <v>-18.170000000000002</v>
      </c>
      <c r="GT121" s="39">
        <f>(IF(WEEKDAY(GT$82,2)&gt;5,0,22.01))*-1</f>
        <v>-22.01</v>
      </c>
      <c r="GU121" s="39">
        <f>(IF(WEEKDAY(GU$82,2)&gt;5,0,18.1))*-1</f>
        <v>-18.100000000000001</v>
      </c>
      <c r="GV121" s="39">
        <f>(IF(WEEKDAY(GV$82,2)&gt;5,0,21.78))*-1</f>
        <v>-21.78</v>
      </c>
      <c r="GW121" s="39">
        <f>(IF(WEEKDAY(GW$82,2)&gt;5,0,17.18))*-1</f>
        <v>-17.18</v>
      </c>
      <c r="GX121" s="39">
        <f>(IF(WEEKDAY(GX$82,2)&gt;5,0,19.38))*-1</f>
        <v>0</v>
      </c>
      <c r="GY121" s="39">
        <f>(IF(WEEKDAY(GY$82,2)&gt;5,0,18.97))*-1</f>
        <v>0</v>
      </c>
      <c r="GZ121" s="39">
        <f>(IF(WEEKDAY(GZ$82,2)&gt;5,0,19.55))*-1</f>
        <v>-19.55</v>
      </c>
      <c r="HA121" s="39">
        <f>(IF(WEEKDAY(HA$82,2)&gt;5,0,21.74))*-1</f>
        <v>-21.74</v>
      </c>
      <c r="HB121" s="39">
        <f>(IF(WEEKDAY(HB$82,2)&gt;5,0,21.97))*-1</f>
        <v>-21.97</v>
      </c>
      <c r="HC121" s="39">
        <f>(IF(WEEKDAY(HC$82,2)&gt;5,0,19.26))*-1</f>
        <v>-19.260000000000002</v>
      </c>
      <c r="HD121" s="39">
        <f>(IF(WEEKDAY(HD$82,2)&gt;5,0,19.55))*-1</f>
        <v>-19.55</v>
      </c>
      <c r="HE121" s="39">
        <f>(IF(WEEKDAY(HE$82,2)&gt;5,0,17.27))*-1</f>
        <v>0</v>
      </c>
      <c r="HF121" s="39">
        <f>(IF(WEEKDAY(HF$82,2)&gt;5,0,21.77))*-1</f>
        <v>0</v>
      </c>
      <c r="HG121" s="39">
        <f>(IF(WEEKDAY(HG$82,2)&gt;5,0,18.11))*-1</f>
        <v>-18.11</v>
      </c>
      <c r="HH121" s="39">
        <f>(IF(WEEKDAY(HH$82,2)&gt;5,0,22.2))*-1</f>
        <v>-22.2</v>
      </c>
      <c r="HI121" s="39">
        <f>(IF(WEEKDAY(HI$82,2)&gt;5,0,22.75))*-1</f>
        <v>-22.75</v>
      </c>
      <c r="HJ121" s="39">
        <f>(IF(WEEKDAY(HJ$82,2)&gt;5,0,22.5))*-1</f>
        <v>-22.5</v>
      </c>
      <c r="HK121" s="39">
        <f>(IF(WEEKDAY(HK$82,2)&gt;5,0,18.32))*-1</f>
        <v>-18.32</v>
      </c>
      <c r="HL121" s="39">
        <f>(IF(WEEKDAY(HL$82,2)&gt;5,0,20.32))*-1</f>
        <v>0</v>
      </c>
      <c r="HM121" s="39">
        <f>(IF(WEEKDAY(HM$82,2)&gt;5,0,17.41))*-1</f>
        <v>0</v>
      </c>
      <c r="HN121" s="39">
        <f>(IF(WEEKDAY(HN$82,2)&gt;5,0,20.05))*-1</f>
        <v>-20.05</v>
      </c>
      <c r="HO121" s="39">
        <f>(IF(WEEKDAY(HO$82,2)&gt;5,0,19.5))*-1</f>
        <v>-19.5</v>
      </c>
      <c r="HP121" s="39">
        <f>(IF(WEEKDAY(HP$82,2)&gt;5,0,20.31))*-1</f>
        <v>-20.309999999999999</v>
      </c>
      <c r="HQ121" s="39">
        <f>(IF(WEEKDAY(HQ$82,2)&gt;5,0,17.59))*-1</f>
        <v>-17.59</v>
      </c>
      <c r="HR121" s="39">
        <f>(IF(WEEKDAY(HR$82,2)&gt;5,0,17.83))*-1</f>
        <v>-17.829999999999998</v>
      </c>
      <c r="HS121" s="39">
        <f>(IF(WEEKDAY(HS$82,2)&gt;5,0,20.32))*-1</f>
        <v>0</v>
      </c>
      <c r="HT121" s="39">
        <f>(IF(WEEKDAY(HT$82,2)&gt;5,0,22.11))*-1</f>
        <v>0</v>
      </c>
      <c r="HU121" s="39">
        <f>(IF(WEEKDAY(HU$82,2)&gt;5,0,22.63))*-1</f>
        <v>-22.63</v>
      </c>
      <c r="HV121" s="39">
        <f>(IF(WEEKDAY(HV$82,2)&gt;5,0,17.13))*-1</f>
        <v>-17.13</v>
      </c>
      <c r="HW121" s="39">
        <f>(IF(WEEKDAY(HW$82,2)&gt;5,0,17.59))*-1</f>
        <v>-17.59</v>
      </c>
      <c r="HX121" s="39">
        <f>(IF(WEEKDAY(HX$82,2)&gt;5,0,20.29))*-1</f>
        <v>-20.29</v>
      </c>
      <c r="HY121" s="39">
        <f>(IF(WEEKDAY(HY$82,2)&gt;5,0,22.82))*-1</f>
        <v>-22.82</v>
      </c>
      <c r="HZ121" s="39">
        <f>(IF(WEEKDAY(HZ$82,2)&gt;5,0,19.92))*-1</f>
        <v>0</v>
      </c>
      <c r="IA121" s="39">
        <f>(IF(WEEKDAY(IA$82,2)&gt;5,0,17.08))*-1</f>
        <v>0</v>
      </c>
      <c r="IB121" s="39">
        <f>(IF(WEEKDAY(IB$82,2)&gt;5,0,20.61))*-1</f>
        <v>-20.61</v>
      </c>
      <c r="IC121" s="39">
        <f>(IF(WEEKDAY(IC$82,2)&gt;5,0,21.69))*-1</f>
        <v>-21.69</v>
      </c>
      <c r="ID121" s="39">
        <f>(IF(WEEKDAY(ID$82,2)&gt;5,0,17.95))*-1</f>
        <v>-17.95</v>
      </c>
      <c r="IE121" s="39">
        <f>(IF(WEEKDAY(IE$82,2)&gt;5,0,20.86))*-1</f>
        <v>-20.86</v>
      </c>
      <c r="IF121" s="39">
        <f>(IF(WEEKDAY(IF$82,2)&gt;5,0,18.86))*-1</f>
        <v>-18.86</v>
      </c>
      <c r="IG121" s="39">
        <f>(IF(WEEKDAY(IG$82,2)&gt;5,0,17.12))*-1</f>
        <v>0</v>
      </c>
      <c r="IH121" s="39">
        <f>(IF(WEEKDAY(IH$82,2)&gt;5,0,20.81))*-1</f>
        <v>0</v>
      </c>
      <c r="II121" s="39">
        <f>(IF(WEEKDAY(II$82,2)&gt;5,0,21.25))*-1</f>
        <v>-21.25</v>
      </c>
      <c r="IJ121" s="39">
        <f>(IF(WEEKDAY(IJ$82,2)&gt;5,0,18.64))*-1</f>
        <v>-18.64</v>
      </c>
      <c r="IK121" s="39">
        <f>(IF(WEEKDAY(IK$82,2)&gt;5,0,21.15))*-1</f>
        <v>-21.15</v>
      </c>
      <c r="IL121" s="39">
        <f>(IF(WEEKDAY(IL$82,2)&gt;5,0,21.87))*-1</f>
        <v>-21.87</v>
      </c>
    </row>
    <row r="122" spans="1:246" x14ac:dyDescent="0.3">
      <c r="A122" t="s">
        <v>104</v>
      </c>
      <c r="B122" s="39">
        <f>(IF(WEEKDAY(B$82,2)&gt;5,0,16.77))*-1</f>
        <v>-16.77</v>
      </c>
      <c r="C122" s="39">
        <f>(IF(WEEKDAY(C$82,2)&gt;5,0,15.2))*-1</f>
        <v>0</v>
      </c>
      <c r="D122" s="39">
        <f>(IF(WEEKDAY(D$82,2)&gt;5,0,14.09))*-1</f>
        <v>0</v>
      </c>
      <c r="E122" s="39">
        <f>(IF(WEEKDAY(E$82,2)&gt;5,0,13.37))*-1</f>
        <v>-13.37</v>
      </c>
      <c r="F122" s="39">
        <f>(IF(WEEKDAY(F$82,2)&gt;5,0,16.85))*-1</f>
        <v>-16.850000000000001</v>
      </c>
      <c r="G122" s="39">
        <f>(IF(WEEKDAY(G$82,2)&gt;5,0,16.66))*-1</f>
        <v>-16.66</v>
      </c>
      <c r="H122" s="39">
        <f>(IF(WEEKDAY(H$82,2)&gt;5,0,13.21))*-1</f>
        <v>-13.21</v>
      </c>
      <c r="I122" s="39">
        <f>(IF(WEEKDAY(I$82,2)&gt;5,0,14.33))*-1</f>
        <v>-14.33</v>
      </c>
      <c r="J122" s="39">
        <f>(IF(WEEKDAY(J$82,2)&gt;5,0,16.96))*-1</f>
        <v>0</v>
      </c>
      <c r="K122" s="39">
        <f>(IF(WEEKDAY(K$82,2)&gt;5,0,14.7))*-1</f>
        <v>0</v>
      </c>
      <c r="L122" s="39">
        <f>(IF(WEEKDAY(L$82,2)&gt;5,0,15.94))*-1</f>
        <v>-15.94</v>
      </c>
      <c r="M122" s="39">
        <f>(IF(WEEKDAY(M$82,2)&gt;5,0,15.23))*-1</f>
        <v>-15.23</v>
      </c>
      <c r="N122" s="39">
        <f>(IF(WEEKDAY(N$82,2)&gt;5,0,15.82))*-1</f>
        <v>-15.82</v>
      </c>
      <c r="O122" s="39">
        <f>(IF(WEEKDAY(O$82,2)&gt;5,0,13.99))*-1</f>
        <v>-13.99</v>
      </c>
      <c r="P122" s="39">
        <f>(IF(WEEKDAY(P$82,2)&gt;5,0,13.12))*-1</f>
        <v>-13.12</v>
      </c>
      <c r="Q122" s="39">
        <f>(IF(WEEKDAY(Q$82,2)&gt;5,0,15.98))*-1</f>
        <v>0</v>
      </c>
      <c r="R122" s="39">
        <f>(IF(WEEKDAY(R$82,2)&gt;5,0,13.57))*-1</f>
        <v>0</v>
      </c>
      <c r="S122" s="39">
        <f>(IF(WEEKDAY(S$82,2)&gt;5,0,13.21))*-1</f>
        <v>-13.21</v>
      </c>
      <c r="T122" s="39">
        <f>(IF(WEEKDAY(T$82,2)&gt;5,0,17.15))*-1</f>
        <v>-17.149999999999999</v>
      </c>
      <c r="U122" s="39">
        <f>(IF(WEEKDAY(U$82,2)&gt;5,0,16.64))*-1</f>
        <v>-16.64</v>
      </c>
      <c r="V122" s="39">
        <f>(IF(WEEKDAY(V$82,2)&gt;5,0,13.7))*-1</f>
        <v>-13.7</v>
      </c>
      <c r="W122" s="39">
        <f>(IF(WEEKDAY(W$82,2)&gt;5,0,13.91))*-1</f>
        <v>-13.91</v>
      </c>
      <c r="X122" s="39">
        <f>(IF(WEEKDAY(X$82,2)&gt;5,0,13.43))*-1</f>
        <v>0</v>
      </c>
      <c r="Y122" s="39">
        <f>(IF(WEEKDAY(Y$82,2)&gt;5,0,13.46))*-1</f>
        <v>0</v>
      </c>
      <c r="Z122" s="39">
        <f>(IF(WEEKDAY(Z$82,2)&gt;5,0,12.79))*-1</f>
        <v>-12.79</v>
      </c>
      <c r="AA122" s="39">
        <f>(IF(WEEKDAY(AA$82,2)&gt;5,0,16.89))*-1</f>
        <v>-16.89</v>
      </c>
      <c r="AB122" s="39">
        <f>(IF(WEEKDAY(AB$82,2)&gt;5,0,16.12))*-1</f>
        <v>-16.12</v>
      </c>
      <c r="AC122" s="39">
        <f>(IF(WEEKDAY(AC$82,2)&gt;5,0,15.07))*-1</f>
        <v>-15.07</v>
      </c>
      <c r="AD122" s="39">
        <f>(IF(WEEKDAY(AD$82,2)&gt;5,0,13.55))*-1</f>
        <v>-13.55</v>
      </c>
      <c r="AE122" s="39">
        <f>(IF(WEEKDAY(AE$82,2)&gt;5,0,15.37))*-1</f>
        <v>0</v>
      </c>
      <c r="AF122" s="39">
        <f>(IF(WEEKDAY(AF$82,2)&gt;5,0,15.63))*-1</f>
        <v>0</v>
      </c>
      <c r="AG122" s="39">
        <f>(IF(WEEKDAY(AG$82,2)&gt;5,0,15.27))*-1</f>
        <v>-15.27</v>
      </c>
      <c r="AH122" s="39">
        <f>(IF(WEEKDAY(AH$82,2)&gt;5,0,16.57))*-1</f>
        <v>-16.57</v>
      </c>
      <c r="AI122" s="39">
        <f>(IF(WEEKDAY(AI$82,2)&gt;5,0,13.96))*-1</f>
        <v>-13.96</v>
      </c>
      <c r="AJ122" s="39">
        <f>(IF(WEEKDAY(AJ$82,2)&gt;5,0,16.94))*-1</f>
        <v>-16.940000000000001</v>
      </c>
      <c r="AK122" s="39">
        <f>(IF(WEEKDAY(AK$82,2)&gt;5,0,16.71))*-1</f>
        <v>-16.71</v>
      </c>
      <c r="AL122" s="39">
        <f>(IF(WEEKDAY(AL$82,2)&gt;5,0,13.54))*-1</f>
        <v>0</v>
      </c>
      <c r="AM122" s="39">
        <f>(IF(WEEKDAY(AM$82,2)&gt;5,0,14.47))*-1</f>
        <v>0</v>
      </c>
      <c r="AN122" s="39">
        <f>(IF(WEEKDAY(AN$82,2)&gt;5,0,14.48))*-1</f>
        <v>-14.48</v>
      </c>
      <c r="AO122" s="39">
        <f>(IF(WEEKDAY(AO$82,2)&gt;5,0,15.77))*-1</f>
        <v>-15.77</v>
      </c>
      <c r="AP122" s="39">
        <f>(IF(WEEKDAY(AP$82,2)&gt;5,0,15.64))*-1</f>
        <v>-15.64</v>
      </c>
      <c r="AQ122" s="39">
        <f>(IF(WEEKDAY(AQ$82,2)&gt;5,0,14.33))*-1</f>
        <v>-14.33</v>
      </c>
      <c r="AR122" s="39">
        <f>(IF(WEEKDAY(AR$82,2)&gt;5,0,14.54))*-1</f>
        <v>-14.54</v>
      </c>
      <c r="AS122" s="39">
        <f>(IF(WEEKDAY(AS$82,2)&gt;5,0,17.07))*-1</f>
        <v>0</v>
      </c>
      <c r="AT122" s="39">
        <f>(IF(WEEKDAY(AT$82,2)&gt;5,0,12.96))*-1</f>
        <v>0</v>
      </c>
      <c r="AU122" s="39">
        <f>(IF(WEEKDAY(AU$82,2)&gt;5,0,13.22))*-1</f>
        <v>-13.22</v>
      </c>
      <c r="AV122" s="39">
        <f>(IF(WEEKDAY(AV$82,2)&gt;5,0,15.36))*-1</f>
        <v>-15.36</v>
      </c>
      <c r="AW122" s="39">
        <f>(IF(WEEKDAY(AW$82,2)&gt;5,0,14.4))*-1</f>
        <v>-14.4</v>
      </c>
      <c r="AX122" s="39">
        <f>(IF(WEEKDAY(AX$82,2)&gt;5,0,16.82))*-1</f>
        <v>-16.82</v>
      </c>
      <c r="AY122" s="39">
        <f>(IF(WEEKDAY(AY$82,2)&gt;5,0,15.52))*-1</f>
        <v>-15.52</v>
      </c>
      <c r="AZ122" s="39">
        <f>(IF(WEEKDAY(AZ$82,2)&gt;5,0,13.57))*-1</f>
        <v>0</v>
      </c>
      <c r="BA122" s="39">
        <f>(IF(WEEKDAY(BA$82,2)&gt;5,0,15.01))*-1</f>
        <v>0</v>
      </c>
      <c r="BB122" s="39">
        <f>(IF(WEEKDAY(BB$82,2)&gt;5,0,17.13))*-1</f>
        <v>-17.13</v>
      </c>
      <c r="BC122" s="39">
        <f>(IF(WEEKDAY(BC$82,2)&gt;5,0,15.71))*-1</f>
        <v>-15.71</v>
      </c>
      <c r="BD122" s="39">
        <f>(IF(WEEKDAY(BD$82,2)&gt;5,0,16.61))*-1</f>
        <v>-16.61</v>
      </c>
      <c r="BE122" s="39">
        <f>(IF(WEEKDAY(BE$82,2)&gt;5,0,16.01))*-1</f>
        <v>-16.010000000000002</v>
      </c>
      <c r="BF122" s="39">
        <f>(IF(WEEKDAY(BF$82,2)&gt;5,0,16.93))*-1</f>
        <v>-16.93</v>
      </c>
      <c r="BG122" s="39">
        <f>(IF(WEEKDAY(BG$82,2)&gt;5,0,16.77))*-1</f>
        <v>0</v>
      </c>
      <c r="BH122" s="39">
        <f>(IF(WEEKDAY(BH$82,2)&gt;5,0,17.19))*-1</f>
        <v>0</v>
      </c>
      <c r="BI122" s="39">
        <f>(IF(WEEKDAY(BI$82,2)&gt;5,0,16.27))*-1</f>
        <v>-16.27</v>
      </c>
      <c r="BJ122" s="39">
        <f>(IF(WEEKDAY(BJ$82,2)&gt;5,0,15))*-1</f>
        <v>-15</v>
      </c>
      <c r="BK122" s="39">
        <f>(IF(WEEKDAY(BK$82,2)&gt;5,0,13.04))*-1</f>
        <v>-13.04</v>
      </c>
      <c r="BL122" s="39">
        <f>(IF(WEEKDAY(BL$82,2)&gt;5,0,15.78))*-1</f>
        <v>-15.78</v>
      </c>
      <c r="BM122" s="39">
        <f>(IF(WEEKDAY(BM$82,2)&gt;5,0,15))*-1</f>
        <v>-15</v>
      </c>
      <c r="BN122" s="39">
        <f>(IF(WEEKDAY(BN$82,2)&gt;5,0,14.15))*-1</f>
        <v>0</v>
      </c>
      <c r="BO122" s="39">
        <f>(IF(WEEKDAY(BO$82,2)&gt;5,0,16.88))*-1</f>
        <v>0</v>
      </c>
      <c r="BP122" s="39">
        <f>(IF(WEEKDAY(BP$82,2)&gt;5,0,12.99))*-1</f>
        <v>-12.99</v>
      </c>
      <c r="BQ122" s="39">
        <f>(IF(WEEKDAY(BQ$82,2)&gt;5,0,15.91))*-1</f>
        <v>-15.91</v>
      </c>
      <c r="BR122" s="39">
        <f>(IF(WEEKDAY(BR$82,2)&gt;5,0,13.47))*-1</f>
        <v>-13.47</v>
      </c>
      <c r="BS122" s="39">
        <f>(IF(WEEKDAY(BS$82,2)&gt;5,0,12.89))*-1</f>
        <v>-12.89</v>
      </c>
      <c r="BT122" s="39">
        <f>(IF(WEEKDAY(BT$82,2)&gt;5,0,16.84))*-1</f>
        <v>-16.84</v>
      </c>
      <c r="BU122" s="39">
        <f>(IF(WEEKDAY(BU$82,2)&gt;5,0,14.99))*-1</f>
        <v>0</v>
      </c>
      <c r="BV122" s="39">
        <f>(IF(WEEKDAY(BV$82,2)&gt;5,0,13.87))*-1</f>
        <v>0</v>
      </c>
      <c r="BW122" s="39">
        <f>(IF(WEEKDAY(BW$82,2)&gt;5,0,14.42))*-1</f>
        <v>-14.42</v>
      </c>
      <c r="BX122" s="39">
        <f>(IF(WEEKDAY(BX$82,2)&gt;5,0,12.89))*-1</f>
        <v>-12.89</v>
      </c>
      <c r="BY122" s="39">
        <f>(IF(WEEKDAY(BY$82,2)&gt;5,0,13.38))*-1</f>
        <v>-13.38</v>
      </c>
      <c r="BZ122" s="39">
        <f>(IF(WEEKDAY(BZ$82,2)&gt;5,0,15.07))*-1</f>
        <v>-15.07</v>
      </c>
      <c r="CA122" s="39">
        <f>(IF(WEEKDAY(CA$82,2)&gt;5,0,15.67))*-1</f>
        <v>-15.67</v>
      </c>
      <c r="CB122" s="39">
        <f>(IF(WEEKDAY(CB$82,2)&gt;5,0,13.92))*-1</f>
        <v>0</v>
      </c>
      <c r="CC122" s="39">
        <f>(IF(WEEKDAY(CC$82,2)&gt;5,0,14.79))*-1</f>
        <v>0</v>
      </c>
      <c r="CD122" s="39">
        <f>(IF(WEEKDAY(CD$82,2)&gt;5,0,16.81))*-1</f>
        <v>-16.809999999999999</v>
      </c>
      <c r="CE122" s="39">
        <f>(IF(WEEKDAY(CE$82,2)&gt;5,0,13.3))*-1</f>
        <v>-13.3</v>
      </c>
      <c r="CF122" s="39">
        <f>(IF(WEEKDAY(CF$82,2)&gt;5,0,15.49))*-1</f>
        <v>-15.49</v>
      </c>
      <c r="CG122" s="39">
        <f>(IF(WEEKDAY(CG$82,2)&gt;5,0,14.98))*-1</f>
        <v>-14.98</v>
      </c>
      <c r="CH122" s="39">
        <f>(IF(WEEKDAY(CH$82,2)&gt;5,0,12.83))*-1</f>
        <v>-12.83</v>
      </c>
      <c r="CI122" s="39">
        <f>(IF(WEEKDAY(CI$82,2)&gt;5,0,13.15))*-1</f>
        <v>0</v>
      </c>
      <c r="CJ122" s="39">
        <f>(IF(WEEKDAY(CJ$82,2)&gt;5,0,14.06))*-1</f>
        <v>0</v>
      </c>
      <c r="CK122" s="39">
        <f>(IF(WEEKDAY(CK$82,2)&gt;5,0,14.9))*-1</f>
        <v>-14.9</v>
      </c>
      <c r="CL122" s="39">
        <f>(IF(WEEKDAY(CL$82,2)&gt;5,0,17.01))*-1</f>
        <v>-17.010000000000002</v>
      </c>
      <c r="CM122" s="39">
        <f>(IF(WEEKDAY(CM$82,2)&gt;5,0,13.4))*-1</f>
        <v>-13.4</v>
      </c>
      <c r="CN122" s="39">
        <f>(IF(WEEKDAY(CN$82,2)&gt;5,0,14.26))*-1</f>
        <v>-14.26</v>
      </c>
      <c r="CO122" s="39">
        <f>(IF(WEEKDAY(CO$82,2)&gt;5,0,15.24))*-1</f>
        <v>-15.24</v>
      </c>
      <c r="CP122" s="39">
        <f>(IF(WEEKDAY(CP$82,2)&gt;5,0,16.93))*-1</f>
        <v>0</v>
      </c>
      <c r="CQ122" s="39">
        <f>(IF(WEEKDAY(CQ$82,2)&gt;5,0,13.06))*-1</f>
        <v>0</v>
      </c>
      <c r="CR122" s="39">
        <f>(IF(WEEKDAY(CR$82,2)&gt;5,0,16.89))*-1</f>
        <v>-16.89</v>
      </c>
      <c r="CS122" s="39">
        <f>(IF(WEEKDAY(CS$82,2)&gt;5,0,14.58))*-1</f>
        <v>-14.58</v>
      </c>
      <c r="CT122" s="39">
        <f>(IF(WEEKDAY(CT$82,2)&gt;5,0,15.9))*-1</f>
        <v>-15.9</v>
      </c>
      <c r="CU122" s="39">
        <f>(IF(WEEKDAY(CU$82,2)&gt;5,0,15.76))*-1</f>
        <v>-15.76</v>
      </c>
      <c r="CV122" s="39">
        <f>(IF(WEEKDAY(CV$82,2)&gt;5,0,14.24))*-1</f>
        <v>-14.24</v>
      </c>
      <c r="CW122" s="39">
        <f>(IF(WEEKDAY(CW$82,2)&gt;5,0,15.83))*-1</f>
        <v>0</v>
      </c>
      <c r="CX122" s="39">
        <f>(IF(WEEKDAY(CX$82,2)&gt;5,0,13.84))*-1</f>
        <v>0</v>
      </c>
      <c r="CY122" s="39">
        <f>(IF(WEEKDAY(CY$82,2)&gt;5,0,14.47))*-1</f>
        <v>-14.47</v>
      </c>
      <c r="CZ122" s="39">
        <f>(IF(WEEKDAY(CZ$82,2)&gt;5,0,16.21))*-1</f>
        <v>-16.21</v>
      </c>
      <c r="DA122" s="39">
        <f>(IF(WEEKDAY(DA$82,2)&gt;5,0,13.95))*-1</f>
        <v>-13.95</v>
      </c>
      <c r="DB122" s="39">
        <f>(IF(WEEKDAY(DB$82,2)&gt;5,0,16.17))*-1</f>
        <v>-16.170000000000002</v>
      </c>
      <c r="DC122" s="39">
        <f>(IF(WEEKDAY(DC$82,2)&gt;5,0,14.71))*-1</f>
        <v>-14.71</v>
      </c>
      <c r="DD122" s="39">
        <f>(IF(WEEKDAY(DD$82,2)&gt;5,0,15.22))*-1</f>
        <v>0</v>
      </c>
      <c r="DE122" s="39">
        <f>(IF(WEEKDAY(DE$82,2)&gt;5,0,16.41))*-1</f>
        <v>0</v>
      </c>
      <c r="DF122" s="39">
        <f>(IF(WEEKDAY(DF$82,2)&gt;5,0,15.14))*-1</f>
        <v>-15.14</v>
      </c>
      <c r="DG122" s="39">
        <f>(IF(WEEKDAY(DG$82,2)&gt;5,0,16.2))*-1</f>
        <v>-16.2</v>
      </c>
      <c r="DH122" s="39">
        <f>(IF(WEEKDAY(DH$82,2)&gt;5,0,13))*-1</f>
        <v>-13</v>
      </c>
      <c r="DI122" s="39">
        <f>(IF(WEEKDAY(DI$82,2)&gt;5,0,16.12))*-1</f>
        <v>-16.12</v>
      </c>
      <c r="DJ122" s="39">
        <f>(IF(WEEKDAY(DJ$82,2)&gt;5,0,14.74))*-1</f>
        <v>-14.74</v>
      </c>
      <c r="DK122" s="39">
        <f>(IF(WEEKDAY(DK$82,2)&gt;5,0,13.25))*-1</f>
        <v>0</v>
      </c>
      <c r="DL122" s="39">
        <f>(IF(WEEKDAY(DL$82,2)&gt;5,0,17.13))*-1</f>
        <v>0</v>
      </c>
      <c r="DM122" s="39">
        <f>(IF(WEEKDAY(DM$82,2)&gt;5,0,13.98))*-1</f>
        <v>-13.98</v>
      </c>
      <c r="DN122" s="39">
        <f>(IF(WEEKDAY(DN$82,2)&gt;5,0,15.98))*-1</f>
        <v>-15.98</v>
      </c>
      <c r="DO122" s="39">
        <f>(IF(WEEKDAY(DO$82,2)&gt;5,0,17.24))*-1</f>
        <v>-17.239999999999998</v>
      </c>
      <c r="DP122" s="39">
        <f>(IF(WEEKDAY(DP$82,2)&gt;5,0,14.63))*-1</f>
        <v>-14.63</v>
      </c>
      <c r="DQ122" s="39">
        <f>(IF(WEEKDAY(DQ$82,2)&gt;5,0,13.83))*-1</f>
        <v>-13.83</v>
      </c>
      <c r="DR122" s="39">
        <f>(IF(WEEKDAY(DR$82,2)&gt;5,0,15.51))*-1</f>
        <v>0</v>
      </c>
      <c r="DS122" s="39">
        <f>(IF(WEEKDAY(DS$82,2)&gt;5,0,15.3))*-1</f>
        <v>0</v>
      </c>
      <c r="DT122" s="39">
        <f>(IF(WEEKDAY(DT$82,2)&gt;5,0,16.81))*-1</f>
        <v>-16.809999999999999</v>
      </c>
      <c r="DU122" s="39">
        <f>(IF(WEEKDAY(DU$82,2)&gt;5,0,13.46))*-1</f>
        <v>-13.46</v>
      </c>
      <c r="DV122" s="39">
        <f>(IF(WEEKDAY(DV$82,2)&gt;5,0,16.4))*-1</f>
        <v>-16.399999999999999</v>
      </c>
      <c r="DW122" s="39">
        <f>(IF(WEEKDAY(DW$82,2)&gt;5,0,15.65))*-1</f>
        <v>-15.65</v>
      </c>
      <c r="DX122" s="39">
        <f>(IF(WEEKDAY(DX$82,2)&gt;5,0,15.92))*-1</f>
        <v>-15.92</v>
      </c>
      <c r="DY122" s="39">
        <f>(IF(WEEKDAY(DY$82,2)&gt;5,0,17.08))*-1</f>
        <v>0</v>
      </c>
      <c r="DZ122" s="39">
        <f>(IF(WEEKDAY(DZ$82,2)&gt;5,0,15.21))*-1</f>
        <v>0</v>
      </c>
      <c r="EA122" s="39">
        <f>(IF(WEEKDAY(EA$82,2)&gt;5,0,17.15))*-1</f>
        <v>-17.149999999999999</v>
      </c>
      <c r="EB122" s="39">
        <f>(IF(WEEKDAY(EB$82,2)&gt;5,0,14.95))*-1</f>
        <v>-14.95</v>
      </c>
      <c r="EC122" s="39">
        <f>(IF(WEEKDAY(EC$82,2)&gt;5,0,15))*-1</f>
        <v>-15</v>
      </c>
      <c r="ED122" s="39">
        <f>(IF(WEEKDAY(ED$82,2)&gt;5,0,15.95))*-1</f>
        <v>-15.95</v>
      </c>
      <c r="EE122" s="39">
        <f>(IF(WEEKDAY(EE$82,2)&gt;5,0,16.15))*-1</f>
        <v>-16.149999999999999</v>
      </c>
      <c r="EF122" s="39">
        <f>(IF(WEEKDAY(EF$82,2)&gt;5,0,15.01))*-1</f>
        <v>0</v>
      </c>
      <c r="EG122" s="39">
        <f>(IF(WEEKDAY(EG$82,2)&gt;5,0,13.11))*-1</f>
        <v>0</v>
      </c>
      <c r="EH122" s="39">
        <f>(IF(WEEKDAY(EH$82,2)&gt;5,0,15.82))*-1</f>
        <v>-15.82</v>
      </c>
      <c r="EI122" s="39">
        <f>(IF(WEEKDAY(EI$82,2)&gt;5,0,13.14))*-1</f>
        <v>-13.14</v>
      </c>
      <c r="EJ122" s="39">
        <f>(IF(WEEKDAY(EJ$82,2)&gt;5,0,14.33))*-1</f>
        <v>-14.33</v>
      </c>
      <c r="EK122" s="39">
        <f>(IF(WEEKDAY(EK$82,2)&gt;5,0,14.07))*-1</f>
        <v>-14.07</v>
      </c>
      <c r="EL122" s="39">
        <f>(IF(WEEKDAY(EL$82,2)&gt;5,0,16.23))*-1</f>
        <v>-16.23</v>
      </c>
      <c r="EM122" s="39">
        <f>(IF(WEEKDAY(EM$82,2)&gt;5,0,15.95))*-1</f>
        <v>0</v>
      </c>
      <c r="EN122" s="39">
        <f>(IF(WEEKDAY(EN$82,2)&gt;5,0,12.93))*-1</f>
        <v>0</v>
      </c>
      <c r="EO122" s="39">
        <f>(IF(WEEKDAY(EO$82,2)&gt;5,0,15.97))*-1</f>
        <v>-15.97</v>
      </c>
      <c r="EP122" s="39">
        <f>(IF(WEEKDAY(EP$82,2)&gt;5,0,14.91))*-1</f>
        <v>-14.91</v>
      </c>
      <c r="EQ122" s="39">
        <f>(IF(WEEKDAY(EQ$82,2)&gt;5,0,12.79))*-1</f>
        <v>-12.79</v>
      </c>
      <c r="ER122" s="39">
        <f>(IF(WEEKDAY(ER$82,2)&gt;5,0,14.88))*-1</f>
        <v>-14.88</v>
      </c>
      <c r="ES122" s="39">
        <f>(IF(WEEKDAY(ES$82,2)&gt;5,0,14.98))*-1</f>
        <v>-14.98</v>
      </c>
      <c r="ET122" s="39">
        <f>(IF(WEEKDAY(ET$82,2)&gt;5,0,13.48))*-1</f>
        <v>0</v>
      </c>
      <c r="EU122" s="39">
        <f>(IF(WEEKDAY(EU$82,2)&gt;5,0,14.15))*-1</f>
        <v>0</v>
      </c>
      <c r="EV122" s="39">
        <f>(IF(WEEKDAY(EV$82,2)&gt;5,0,15.63))*-1</f>
        <v>-15.63</v>
      </c>
      <c r="EW122" s="39">
        <f>(IF(WEEKDAY(EW$82,2)&gt;5,0,17.24))*-1</f>
        <v>-17.239999999999998</v>
      </c>
      <c r="EX122" s="39">
        <f>(IF(WEEKDAY(EX$82,2)&gt;5,0,13.54))*-1</f>
        <v>-13.54</v>
      </c>
      <c r="EY122" s="39">
        <f>(IF(WEEKDAY(EY$82,2)&gt;5,0,13.54))*-1</f>
        <v>-13.54</v>
      </c>
      <c r="EZ122" s="39">
        <f>(IF(WEEKDAY(EZ$82,2)&gt;5,0,16.69))*-1</f>
        <v>-16.690000000000001</v>
      </c>
      <c r="FA122" s="39">
        <f>(IF(WEEKDAY(FA$82,2)&gt;5,0,14.79))*-1</f>
        <v>0</v>
      </c>
      <c r="FB122" s="39">
        <f>(IF(WEEKDAY(FB$82,2)&gt;5,0,13.08))*-1</f>
        <v>0</v>
      </c>
      <c r="FC122" s="39">
        <f>(IF(WEEKDAY(FC$82,2)&gt;5,0,14.23))*-1</f>
        <v>-14.23</v>
      </c>
      <c r="FD122" s="39">
        <f>(IF(WEEKDAY(FD$82,2)&gt;5,0,13.54))*-1</f>
        <v>-13.54</v>
      </c>
      <c r="FE122" s="39">
        <f>(IF(WEEKDAY(FE$82,2)&gt;5,0,13.96))*-1</f>
        <v>-13.96</v>
      </c>
      <c r="FF122" s="39">
        <f>(IF(WEEKDAY(FF$82,2)&gt;5,0,13.57))*-1</f>
        <v>-13.57</v>
      </c>
      <c r="FG122" s="39">
        <f>(IF(WEEKDAY(FG$82,2)&gt;5,0,14.49))*-1</f>
        <v>-14.49</v>
      </c>
      <c r="FH122" s="39">
        <f>(IF(WEEKDAY(FH$82,2)&gt;5,0,15.38))*-1</f>
        <v>0</v>
      </c>
      <c r="FI122" s="39">
        <f>(IF(WEEKDAY(FI$82,2)&gt;5,0,13.66))*-1</f>
        <v>0</v>
      </c>
      <c r="FJ122" s="39">
        <f>(IF(WEEKDAY(FJ$82,2)&gt;5,0,15.84))*-1</f>
        <v>-15.84</v>
      </c>
      <c r="FK122" s="39">
        <f>(IF(WEEKDAY(FK$82,2)&gt;5,0,12.8))*-1</f>
        <v>-12.8</v>
      </c>
      <c r="FL122" s="39">
        <f>(IF(WEEKDAY(FL$82,2)&gt;5,0,17.14))*-1</f>
        <v>-17.14</v>
      </c>
      <c r="FM122" s="39">
        <f>(IF(WEEKDAY(FM$82,2)&gt;5,0,15.96))*-1</f>
        <v>-15.96</v>
      </c>
      <c r="FN122" s="39">
        <f>(IF(WEEKDAY(FN$82,2)&gt;5,0,13.17))*-1</f>
        <v>-13.17</v>
      </c>
      <c r="FO122" s="39">
        <f>(IF(WEEKDAY(FO$82,2)&gt;5,0,15.47))*-1</f>
        <v>0</v>
      </c>
      <c r="FP122" s="39">
        <f>(IF(WEEKDAY(FP$82,2)&gt;5,0,14.77))*-1</f>
        <v>0</v>
      </c>
      <c r="FQ122" s="39">
        <f>(IF(WEEKDAY(FQ$82,2)&gt;5,0,15.8))*-1</f>
        <v>-15.8</v>
      </c>
      <c r="FR122" s="39">
        <f>(IF(WEEKDAY(FR$82,2)&gt;5,0,16.58))*-1</f>
        <v>-16.579999999999998</v>
      </c>
      <c r="FS122" s="39">
        <f>(IF(WEEKDAY(FS$82,2)&gt;5,0,16.53))*-1</f>
        <v>-16.53</v>
      </c>
      <c r="FT122" s="39">
        <f>(IF(WEEKDAY(FT$82,2)&gt;5,0,13.49))*-1</f>
        <v>-13.49</v>
      </c>
      <c r="FU122" s="39">
        <f>(IF(WEEKDAY(FU$82,2)&gt;5,0,17.06))*-1</f>
        <v>-17.059999999999999</v>
      </c>
      <c r="FV122" s="39">
        <f>(IF(WEEKDAY(FV$82,2)&gt;5,0,16.17))*-1</f>
        <v>0</v>
      </c>
      <c r="FW122" s="39">
        <f>(IF(WEEKDAY(FW$82,2)&gt;5,0,17.15))*-1</f>
        <v>0</v>
      </c>
      <c r="FX122" s="39">
        <f>(IF(WEEKDAY(FX$82,2)&gt;5,0,14.17))*-1</f>
        <v>-14.17</v>
      </c>
      <c r="FY122" s="39">
        <f>(IF(WEEKDAY(FY$82,2)&gt;5,0,14.66))*-1</f>
        <v>-14.66</v>
      </c>
      <c r="FZ122" s="39">
        <f>(IF(WEEKDAY(FZ$82,2)&gt;5,0,17.01))*-1</f>
        <v>-17.010000000000002</v>
      </c>
      <c r="GA122" s="39">
        <f>(IF(WEEKDAY(GA$82,2)&gt;5,0,14.38))*-1</f>
        <v>-14.38</v>
      </c>
      <c r="GB122" s="39">
        <f>(IF(WEEKDAY(GB$82,2)&gt;5,0,14.29))*-1</f>
        <v>-14.29</v>
      </c>
      <c r="GC122" s="39">
        <f>(IF(WEEKDAY(GC$82,2)&gt;5,0,13.91))*-1</f>
        <v>0</v>
      </c>
      <c r="GD122" s="39">
        <f>(IF(WEEKDAY(GD$82,2)&gt;5,0,16.34))*-1</f>
        <v>0</v>
      </c>
      <c r="GE122" s="39">
        <f>(IF(WEEKDAY(GE$82,2)&gt;5,0,13.64))*-1</f>
        <v>-13.64</v>
      </c>
      <c r="GF122" s="39">
        <f>(IF(WEEKDAY(GF$82,2)&gt;5,0,16.13))*-1</f>
        <v>-16.13</v>
      </c>
      <c r="GG122" s="39">
        <f>(IF(WEEKDAY(GG$82,2)&gt;5,0,13.69))*-1</f>
        <v>-13.69</v>
      </c>
      <c r="GH122" s="39">
        <f>(IF(WEEKDAY(GH$82,2)&gt;5,0,16.32))*-1</f>
        <v>-16.32</v>
      </c>
      <c r="GI122" s="39">
        <f>(IF(WEEKDAY(GI$82,2)&gt;5,0,12.8))*-1</f>
        <v>-12.8</v>
      </c>
      <c r="GJ122" s="39">
        <f>(IF(WEEKDAY(GJ$82,2)&gt;5,0,13.44))*-1</f>
        <v>0</v>
      </c>
      <c r="GK122" s="39">
        <f>(IF(WEEKDAY(GK$82,2)&gt;5,0,17.25))*-1</f>
        <v>0</v>
      </c>
      <c r="GL122" s="39">
        <f>(IF(WEEKDAY(GL$82,2)&gt;5,0,13.63))*-1</f>
        <v>-13.63</v>
      </c>
      <c r="GM122" s="39">
        <f>(IF(WEEKDAY(GM$82,2)&gt;5,0,16.63))*-1</f>
        <v>-16.63</v>
      </c>
      <c r="GN122" s="39">
        <f>(IF(WEEKDAY(GN$82,2)&gt;5,0,13.43))*-1</f>
        <v>-13.43</v>
      </c>
      <c r="GO122" s="39">
        <f>(IF(WEEKDAY(GO$82,2)&gt;5,0,15.4))*-1</f>
        <v>-15.4</v>
      </c>
      <c r="GP122" s="39">
        <f>(IF(WEEKDAY(GP$82,2)&gt;5,0,12.94))*-1</f>
        <v>-12.94</v>
      </c>
      <c r="GQ122" s="39">
        <f>(IF(WEEKDAY(GQ$82,2)&gt;5,0,14.34))*-1</f>
        <v>0</v>
      </c>
      <c r="GR122" s="39">
        <f>(IF(WEEKDAY(GR$82,2)&gt;5,0,14.19))*-1</f>
        <v>0</v>
      </c>
      <c r="GS122" s="39">
        <f>(IF(WEEKDAY(GS$82,2)&gt;5,0,15.68))*-1</f>
        <v>-15.68</v>
      </c>
      <c r="GT122" s="39">
        <f>(IF(WEEKDAY(GT$82,2)&gt;5,0,13.32))*-1</f>
        <v>-13.32</v>
      </c>
      <c r="GU122" s="39">
        <f>(IF(WEEKDAY(GU$82,2)&gt;5,0,17.18))*-1</f>
        <v>-17.18</v>
      </c>
      <c r="GV122" s="39">
        <f>(IF(WEEKDAY(GV$82,2)&gt;5,0,14.81))*-1</f>
        <v>-14.81</v>
      </c>
      <c r="GW122" s="39">
        <f>(IF(WEEKDAY(GW$82,2)&gt;5,0,16.58))*-1</f>
        <v>-16.579999999999998</v>
      </c>
      <c r="GX122" s="39">
        <f>(IF(WEEKDAY(GX$82,2)&gt;5,0,17.18))*-1</f>
        <v>0</v>
      </c>
      <c r="GY122" s="39">
        <f>(IF(WEEKDAY(GY$82,2)&gt;5,0,13.14))*-1</f>
        <v>0</v>
      </c>
      <c r="GZ122" s="39">
        <f>(IF(WEEKDAY(GZ$82,2)&gt;5,0,16.25))*-1</f>
        <v>-16.25</v>
      </c>
      <c r="HA122" s="39">
        <f>(IF(WEEKDAY(HA$82,2)&gt;5,0,16.79))*-1</f>
        <v>-16.79</v>
      </c>
      <c r="HB122" s="39">
        <f>(IF(WEEKDAY(HB$82,2)&gt;5,0,15.38))*-1</f>
        <v>-15.38</v>
      </c>
      <c r="HC122" s="39">
        <f>(IF(WEEKDAY(HC$82,2)&gt;5,0,12.76))*-1</f>
        <v>-12.76</v>
      </c>
      <c r="HD122" s="39">
        <f>(IF(WEEKDAY(HD$82,2)&gt;5,0,13.11))*-1</f>
        <v>-13.11</v>
      </c>
      <c r="HE122" s="39">
        <f>(IF(WEEKDAY(HE$82,2)&gt;5,0,12.92))*-1</f>
        <v>0</v>
      </c>
      <c r="HF122" s="39">
        <f>(IF(WEEKDAY(HF$82,2)&gt;5,0,16.67))*-1</f>
        <v>0</v>
      </c>
      <c r="HG122" s="39">
        <f>(IF(WEEKDAY(HG$82,2)&gt;5,0,17.21))*-1</f>
        <v>-17.21</v>
      </c>
      <c r="HH122" s="39">
        <f>(IF(WEEKDAY(HH$82,2)&gt;5,0,14.31))*-1</f>
        <v>-14.31</v>
      </c>
      <c r="HI122" s="39">
        <f>(IF(WEEKDAY(HI$82,2)&gt;5,0,13.16))*-1</f>
        <v>-13.16</v>
      </c>
      <c r="HJ122" s="39">
        <f>(IF(WEEKDAY(HJ$82,2)&gt;5,0,13.4))*-1</f>
        <v>-13.4</v>
      </c>
      <c r="HK122" s="39">
        <f>(IF(WEEKDAY(HK$82,2)&gt;5,0,15.48))*-1</f>
        <v>-15.48</v>
      </c>
      <c r="HL122" s="39">
        <f>(IF(WEEKDAY(HL$82,2)&gt;5,0,15.51))*-1</f>
        <v>0</v>
      </c>
      <c r="HM122" s="39">
        <f>(IF(WEEKDAY(HM$82,2)&gt;5,0,15.46))*-1</f>
        <v>0</v>
      </c>
      <c r="HN122" s="39">
        <f>(IF(WEEKDAY(HN$82,2)&gt;5,0,14.28))*-1</f>
        <v>-14.28</v>
      </c>
      <c r="HO122" s="39">
        <f>(IF(WEEKDAY(HO$82,2)&gt;5,0,14.32))*-1</f>
        <v>-14.32</v>
      </c>
      <c r="HP122" s="39">
        <f>(IF(WEEKDAY(HP$82,2)&gt;5,0,14.96))*-1</f>
        <v>-14.96</v>
      </c>
      <c r="HQ122" s="39">
        <f>(IF(WEEKDAY(HQ$82,2)&gt;5,0,15.3))*-1</f>
        <v>-15.3</v>
      </c>
      <c r="HR122" s="39">
        <f>(IF(WEEKDAY(HR$82,2)&gt;5,0,12.9))*-1</f>
        <v>-12.9</v>
      </c>
      <c r="HS122" s="39">
        <f>(IF(WEEKDAY(HS$82,2)&gt;5,0,12.76))*-1</f>
        <v>0</v>
      </c>
      <c r="HT122" s="39">
        <f>(IF(WEEKDAY(HT$82,2)&gt;5,0,15.16))*-1</f>
        <v>0</v>
      </c>
      <c r="HU122" s="39">
        <f>(IF(WEEKDAY(HU$82,2)&gt;5,0,16.16))*-1</f>
        <v>-16.16</v>
      </c>
      <c r="HV122" s="39">
        <f>(IF(WEEKDAY(HV$82,2)&gt;5,0,17.12))*-1</f>
        <v>-17.12</v>
      </c>
      <c r="HW122" s="39">
        <f>(IF(WEEKDAY(HW$82,2)&gt;5,0,14.56))*-1</f>
        <v>-14.56</v>
      </c>
      <c r="HX122" s="39">
        <f>(IF(WEEKDAY(HX$82,2)&gt;5,0,15.87))*-1</f>
        <v>-15.87</v>
      </c>
      <c r="HY122" s="39">
        <f>(IF(WEEKDAY(HY$82,2)&gt;5,0,13.47))*-1</f>
        <v>-13.47</v>
      </c>
      <c r="HZ122" s="39">
        <f>(IF(WEEKDAY(HZ$82,2)&gt;5,0,15.17))*-1</f>
        <v>0</v>
      </c>
      <c r="IA122" s="39">
        <f>(IF(WEEKDAY(IA$82,2)&gt;5,0,16.23))*-1</f>
        <v>0</v>
      </c>
      <c r="IB122" s="39">
        <f>(IF(WEEKDAY(IB$82,2)&gt;5,0,15.85))*-1</f>
        <v>-15.85</v>
      </c>
      <c r="IC122" s="39">
        <f>(IF(WEEKDAY(IC$82,2)&gt;5,0,16.52))*-1</f>
        <v>-16.52</v>
      </c>
      <c r="ID122" s="39">
        <f>(IF(WEEKDAY(ID$82,2)&gt;5,0,16.39))*-1</f>
        <v>-16.39</v>
      </c>
      <c r="IE122" s="39">
        <f>(IF(WEEKDAY(IE$82,2)&gt;5,0,14.58))*-1</f>
        <v>-14.58</v>
      </c>
      <c r="IF122" s="39">
        <f>(IF(WEEKDAY(IF$82,2)&gt;5,0,15.8))*-1</f>
        <v>-15.8</v>
      </c>
      <c r="IG122" s="39">
        <f>(IF(WEEKDAY(IG$82,2)&gt;5,0,16.72))*-1</f>
        <v>0</v>
      </c>
      <c r="IH122" s="39">
        <f>(IF(WEEKDAY(IH$82,2)&gt;5,0,13.47))*-1</f>
        <v>0</v>
      </c>
      <c r="II122" s="39">
        <f>(IF(WEEKDAY(II$82,2)&gt;5,0,14.57))*-1</f>
        <v>-14.57</v>
      </c>
      <c r="IJ122" s="39">
        <f>(IF(WEEKDAY(IJ$82,2)&gt;5,0,14.58))*-1</f>
        <v>-14.58</v>
      </c>
      <c r="IK122" s="39">
        <f>(IF(WEEKDAY(IK$82,2)&gt;5,0,13.09))*-1</f>
        <v>-13.09</v>
      </c>
      <c r="IL122" s="39">
        <f>(IF(WEEKDAY(IL$82,2)&gt;5,0,15.6))*-1</f>
        <v>-15.6</v>
      </c>
    </row>
    <row r="123" spans="1:246" x14ac:dyDescent="0.3">
      <c r="A123" t="s">
        <v>105</v>
      </c>
      <c r="B123" s="39">
        <f>(IF(WEEKDAY(B$82,2)&gt;5,0,48.36))*-1</f>
        <v>-48.36</v>
      </c>
      <c r="C123" s="39">
        <f>(IF(WEEKDAY(C$82,2)&gt;5,0,43.24))*-1</f>
        <v>0</v>
      </c>
      <c r="D123" s="39">
        <f>(IF(WEEKDAY(D$82,2)&gt;5,0,48.86))*-1</f>
        <v>0</v>
      </c>
      <c r="E123" s="39">
        <f>(IF(WEEKDAY(E$82,2)&gt;5,0,47.89))*-1</f>
        <v>-47.89</v>
      </c>
      <c r="F123" s="39">
        <f>(IF(WEEKDAY(F$82,2)&gt;5,0,56.8))*-1</f>
        <v>-56.8</v>
      </c>
      <c r="G123" s="39">
        <f>(IF(WEEKDAY(G$82,2)&gt;5,0,42.54))*-1</f>
        <v>-42.54</v>
      </c>
      <c r="H123" s="39">
        <f>(IF(WEEKDAY(H$82,2)&gt;5,0,46.07))*-1</f>
        <v>-46.07</v>
      </c>
      <c r="I123" s="39">
        <f>(IF(WEEKDAY(I$82,2)&gt;5,0,54.1))*-1</f>
        <v>-54.1</v>
      </c>
      <c r="J123" s="39">
        <f>(IF(WEEKDAY(J$82,2)&gt;5,0,44.29))*-1</f>
        <v>0</v>
      </c>
      <c r="K123" s="39">
        <f>(IF(WEEKDAY(K$82,2)&gt;5,0,56.3))*-1</f>
        <v>0</v>
      </c>
      <c r="L123" s="39">
        <f>(IF(WEEKDAY(L$82,2)&gt;5,0,43.22))*-1</f>
        <v>-43.22</v>
      </c>
      <c r="M123" s="39">
        <f>(IF(WEEKDAY(M$82,2)&gt;5,0,49))*-1</f>
        <v>-49</v>
      </c>
      <c r="N123" s="39">
        <f>(IF(WEEKDAY(N$82,2)&gt;5,0,52.35))*-1</f>
        <v>-52.35</v>
      </c>
      <c r="O123" s="39">
        <f>(IF(WEEKDAY(O$82,2)&gt;5,0,45.66))*-1</f>
        <v>-45.66</v>
      </c>
      <c r="P123" s="39">
        <f>(IF(WEEKDAY(P$82,2)&gt;5,0,43.32))*-1</f>
        <v>-43.32</v>
      </c>
      <c r="Q123" s="39">
        <f>(IF(WEEKDAY(Q$82,2)&gt;5,0,56.75))*-1</f>
        <v>0</v>
      </c>
      <c r="R123" s="39">
        <f>(IF(WEEKDAY(R$82,2)&gt;5,0,50.38))*-1</f>
        <v>0</v>
      </c>
      <c r="S123" s="39">
        <f>(IF(WEEKDAY(S$82,2)&gt;5,0,45.88))*-1</f>
        <v>-45.88</v>
      </c>
      <c r="T123" s="39">
        <f>(IF(WEEKDAY(T$82,2)&gt;5,0,55))*-1</f>
        <v>-55</v>
      </c>
      <c r="U123" s="39">
        <f>(IF(WEEKDAY(U$82,2)&gt;5,0,53.51))*-1</f>
        <v>-53.51</v>
      </c>
      <c r="V123" s="39">
        <f>(IF(WEEKDAY(V$82,2)&gt;5,0,43.24))*-1</f>
        <v>-43.24</v>
      </c>
      <c r="W123" s="39">
        <f>(IF(WEEKDAY(W$82,2)&gt;5,0,46.25))*-1</f>
        <v>-46.25</v>
      </c>
      <c r="X123" s="39">
        <f>(IF(WEEKDAY(X$82,2)&gt;5,0,49.99))*-1</f>
        <v>0</v>
      </c>
      <c r="Y123" s="39">
        <f>(IF(WEEKDAY(Y$82,2)&gt;5,0,53.38))*-1</f>
        <v>0</v>
      </c>
      <c r="Z123" s="39">
        <f>(IF(WEEKDAY(Z$82,2)&gt;5,0,44.15))*-1</f>
        <v>-44.15</v>
      </c>
      <c r="AA123" s="39">
        <f>(IF(WEEKDAY(AA$82,2)&gt;5,0,48.01))*-1</f>
        <v>-48.01</v>
      </c>
      <c r="AB123" s="39">
        <f>(IF(WEEKDAY(AB$82,2)&gt;5,0,42.85))*-1</f>
        <v>-42.85</v>
      </c>
      <c r="AC123" s="39">
        <f>(IF(WEEKDAY(AC$82,2)&gt;5,0,53.1))*-1</f>
        <v>-53.1</v>
      </c>
      <c r="AD123" s="39">
        <f>(IF(WEEKDAY(AD$82,2)&gt;5,0,51.91))*-1</f>
        <v>-51.91</v>
      </c>
      <c r="AE123" s="39">
        <f>(IF(WEEKDAY(AE$82,2)&gt;5,0,47.33))*-1</f>
        <v>0</v>
      </c>
      <c r="AF123" s="39">
        <f>(IF(WEEKDAY(AF$82,2)&gt;5,0,55.29))*-1</f>
        <v>0</v>
      </c>
      <c r="AG123" s="39">
        <f>(IF(WEEKDAY(AG$82,2)&gt;5,0,52.78))*-1</f>
        <v>-52.78</v>
      </c>
      <c r="AH123" s="39">
        <f>(IF(WEEKDAY(AH$82,2)&gt;5,0,54.02))*-1</f>
        <v>-54.02</v>
      </c>
      <c r="AI123" s="39">
        <f>(IF(WEEKDAY(AI$82,2)&gt;5,0,47.83))*-1</f>
        <v>-47.83</v>
      </c>
      <c r="AJ123" s="39">
        <f>(IF(WEEKDAY(AJ$82,2)&gt;5,0,49.56))*-1</f>
        <v>-49.56</v>
      </c>
      <c r="AK123" s="39">
        <f>(IF(WEEKDAY(AK$82,2)&gt;5,0,49.04))*-1</f>
        <v>-49.04</v>
      </c>
      <c r="AL123" s="39">
        <f>(IF(WEEKDAY(AL$82,2)&gt;5,0,51.47))*-1</f>
        <v>0</v>
      </c>
      <c r="AM123" s="39">
        <f>(IF(WEEKDAY(AM$82,2)&gt;5,0,56.16))*-1</f>
        <v>0</v>
      </c>
      <c r="AN123" s="39">
        <f>(IF(WEEKDAY(AN$82,2)&gt;5,0,45.58))*-1</f>
        <v>-45.58</v>
      </c>
      <c r="AO123" s="39">
        <f>(IF(WEEKDAY(AO$82,2)&gt;5,0,45.19))*-1</f>
        <v>-45.19</v>
      </c>
      <c r="AP123" s="39">
        <f>(IF(WEEKDAY(AP$82,2)&gt;5,0,45.7))*-1</f>
        <v>-45.7</v>
      </c>
      <c r="AQ123" s="39">
        <f>(IF(WEEKDAY(AQ$82,2)&gt;5,0,52.73))*-1</f>
        <v>-52.73</v>
      </c>
      <c r="AR123" s="39">
        <f>(IF(WEEKDAY(AR$82,2)&gt;5,0,55.24))*-1</f>
        <v>-55.24</v>
      </c>
      <c r="AS123" s="39">
        <f>(IF(WEEKDAY(AS$82,2)&gt;5,0,56.65))*-1</f>
        <v>0</v>
      </c>
      <c r="AT123" s="39">
        <f>(IF(WEEKDAY(AT$82,2)&gt;5,0,52.84))*-1</f>
        <v>0</v>
      </c>
      <c r="AU123" s="39">
        <f>(IF(WEEKDAY(AU$82,2)&gt;5,0,46.1))*-1</f>
        <v>-46.1</v>
      </c>
      <c r="AV123" s="39">
        <f>(IF(WEEKDAY(AV$82,2)&gt;5,0,52.97))*-1</f>
        <v>-52.97</v>
      </c>
      <c r="AW123" s="39">
        <f>(IF(WEEKDAY(AW$82,2)&gt;5,0,43.76))*-1</f>
        <v>-43.76</v>
      </c>
      <c r="AX123" s="39">
        <f>(IF(WEEKDAY(AX$82,2)&gt;5,0,50.78))*-1</f>
        <v>-50.78</v>
      </c>
      <c r="AY123" s="39">
        <f>(IF(WEEKDAY(AY$82,2)&gt;5,0,52.85))*-1</f>
        <v>-52.85</v>
      </c>
      <c r="AZ123" s="39">
        <f>(IF(WEEKDAY(AZ$82,2)&gt;5,0,55.35))*-1</f>
        <v>0</v>
      </c>
      <c r="BA123" s="39">
        <f>(IF(WEEKDAY(BA$82,2)&gt;5,0,55.91))*-1</f>
        <v>0</v>
      </c>
      <c r="BB123" s="39">
        <f>(IF(WEEKDAY(BB$82,2)&gt;5,0,49.63))*-1</f>
        <v>-49.63</v>
      </c>
      <c r="BC123" s="39">
        <f>(IF(WEEKDAY(BC$82,2)&gt;5,0,50.36))*-1</f>
        <v>-50.36</v>
      </c>
      <c r="BD123" s="39">
        <f>(IF(WEEKDAY(BD$82,2)&gt;5,0,45.54))*-1</f>
        <v>-45.54</v>
      </c>
      <c r="BE123" s="39">
        <f>(IF(WEEKDAY(BE$82,2)&gt;5,0,46.51))*-1</f>
        <v>-46.51</v>
      </c>
      <c r="BF123" s="39">
        <f>(IF(WEEKDAY(BF$82,2)&gt;5,0,51.19))*-1</f>
        <v>-51.19</v>
      </c>
      <c r="BG123" s="39">
        <f>(IF(WEEKDAY(BG$82,2)&gt;5,0,44.74))*-1</f>
        <v>0</v>
      </c>
      <c r="BH123" s="39">
        <f>(IF(WEEKDAY(BH$82,2)&gt;5,0,57.09))*-1</f>
        <v>0</v>
      </c>
      <c r="BI123" s="39">
        <f>(IF(WEEKDAY(BI$82,2)&gt;5,0,45.11))*-1</f>
        <v>-45.11</v>
      </c>
      <c r="BJ123" s="39">
        <f>(IF(WEEKDAY(BJ$82,2)&gt;5,0,48.56))*-1</f>
        <v>-48.56</v>
      </c>
      <c r="BK123" s="39">
        <f>(IF(WEEKDAY(BK$82,2)&gt;5,0,42.68))*-1</f>
        <v>-42.68</v>
      </c>
      <c r="BL123" s="39">
        <f>(IF(WEEKDAY(BL$82,2)&gt;5,0,44.31))*-1</f>
        <v>-44.31</v>
      </c>
      <c r="BM123" s="39">
        <f>(IF(WEEKDAY(BM$82,2)&gt;5,0,45.08))*-1</f>
        <v>-45.08</v>
      </c>
      <c r="BN123" s="39">
        <f>(IF(WEEKDAY(BN$82,2)&gt;5,0,51.4))*-1</f>
        <v>0</v>
      </c>
      <c r="BO123" s="39">
        <f>(IF(WEEKDAY(BO$82,2)&gt;5,0,46.95))*-1</f>
        <v>0</v>
      </c>
      <c r="BP123" s="39">
        <f>(IF(WEEKDAY(BP$82,2)&gt;5,0,43.54))*-1</f>
        <v>-43.54</v>
      </c>
      <c r="BQ123" s="39">
        <f>(IF(WEEKDAY(BQ$82,2)&gt;5,0,52.29))*-1</f>
        <v>-52.29</v>
      </c>
      <c r="BR123" s="39">
        <f>(IF(WEEKDAY(BR$82,2)&gt;5,0,49.95))*-1</f>
        <v>-49.95</v>
      </c>
      <c r="BS123" s="39">
        <f>(IF(WEEKDAY(BS$82,2)&gt;5,0,44.31))*-1</f>
        <v>-44.31</v>
      </c>
      <c r="BT123" s="39">
        <f>(IF(WEEKDAY(BT$82,2)&gt;5,0,56.14))*-1</f>
        <v>-56.14</v>
      </c>
      <c r="BU123" s="39">
        <f>(IF(WEEKDAY(BU$82,2)&gt;5,0,53.14))*-1</f>
        <v>0</v>
      </c>
      <c r="BV123" s="39">
        <f>(IF(WEEKDAY(BV$82,2)&gt;5,0,55.08))*-1</f>
        <v>0</v>
      </c>
      <c r="BW123" s="39">
        <f>(IF(WEEKDAY(BW$82,2)&gt;5,0,51.73))*-1</f>
        <v>-51.73</v>
      </c>
      <c r="BX123" s="39">
        <f>(IF(WEEKDAY(BX$82,2)&gt;5,0,52.56))*-1</f>
        <v>-52.56</v>
      </c>
      <c r="BY123" s="39">
        <f>(IF(WEEKDAY(BY$82,2)&gt;5,0,51.73))*-1</f>
        <v>-51.73</v>
      </c>
      <c r="BZ123" s="39">
        <f>(IF(WEEKDAY(BZ$82,2)&gt;5,0,49.22))*-1</f>
        <v>-49.22</v>
      </c>
      <c r="CA123" s="39">
        <f>(IF(WEEKDAY(CA$82,2)&gt;5,0,56.64))*-1</f>
        <v>-56.64</v>
      </c>
      <c r="CB123" s="39">
        <f>(IF(WEEKDAY(CB$82,2)&gt;5,0,45.95))*-1</f>
        <v>0</v>
      </c>
      <c r="CC123" s="39">
        <f>(IF(WEEKDAY(CC$82,2)&gt;5,0,44.99))*-1</f>
        <v>0</v>
      </c>
      <c r="CD123" s="39">
        <f>(IF(WEEKDAY(CD$82,2)&gt;5,0,53.62))*-1</f>
        <v>-53.62</v>
      </c>
      <c r="CE123" s="39">
        <f>(IF(WEEKDAY(CE$82,2)&gt;5,0,46.3))*-1</f>
        <v>-46.3</v>
      </c>
      <c r="CF123" s="39">
        <f>(IF(WEEKDAY(CF$82,2)&gt;5,0,45.07))*-1</f>
        <v>-45.07</v>
      </c>
      <c r="CG123" s="39">
        <f>(IF(WEEKDAY(CG$82,2)&gt;5,0,55.6))*-1</f>
        <v>-55.6</v>
      </c>
      <c r="CH123" s="39">
        <f>(IF(WEEKDAY(CH$82,2)&gt;5,0,53.15))*-1</f>
        <v>-53.15</v>
      </c>
      <c r="CI123" s="39">
        <f>(IF(WEEKDAY(CI$82,2)&gt;5,0,51.45))*-1</f>
        <v>0</v>
      </c>
      <c r="CJ123" s="39">
        <f>(IF(WEEKDAY(CJ$82,2)&gt;5,0,43.34))*-1</f>
        <v>0</v>
      </c>
      <c r="CK123" s="39">
        <f>(IF(WEEKDAY(CK$82,2)&gt;5,0,52))*-1</f>
        <v>-52</v>
      </c>
      <c r="CL123" s="39">
        <f>(IF(WEEKDAY(CL$82,2)&gt;5,0,53.38))*-1</f>
        <v>-53.38</v>
      </c>
      <c r="CM123" s="39">
        <f>(IF(WEEKDAY(CM$82,2)&gt;5,0,55.32))*-1</f>
        <v>-55.32</v>
      </c>
      <c r="CN123" s="39">
        <f>(IF(WEEKDAY(CN$82,2)&gt;5,0,45.15))*-1</f>
        <v>-45.15</v>
      </c>
      <c r="CO123" s="39">
        <f>(IF(WEEKDAY(CO$82,2)&gt;5,0,53.22))*-1</f>
        <v>-53.22</v>
      </c>
      <c r="CP123" s="39">
        <f>(IF(WEEKDAY(CP$82,2)&gt;5,0,48.09))*-1</f>
        <v>0</v>
      </c>
      <c r="CQ123" s="39">
        <f>(IF(WEEKDAY(CQ$82,2)&gt;5,0,47.49))*-1</f>
        <v>0</v>
      </c>
      <c r="CR123" s="39">
        <f>(IF(WEEKDAY(CR$82,2)&gt;5,0,47.61))*-1</f>
        <v>-47.61</v>
      </c>
      <c r="CS123" s="39">
        <f>(IF(WEEKDAY(CS$82,2)&gt;5,0,45.95))*-1</f>
        <v>-45.95</v>
      </c>
      <c r="CT123" s="39">
        <f>(IF(WEEKDAY(CT$82,2)&gt;5,0,45.49))*-1</f>
        <v>-45.49</v>
      </c>
      <c r="CU123" s="39">
        <f>(IF(WEEKDAY(CU$82,2)&gt;5,0,57.15))*-1</f>
        <v>-57.15</v>
      </c>
      <c r="CV123" s="39">
        <f>(IF(WEEKDAY(CV$82,2)&gt;5,0,46.33))*-1</f>
        <v>-46.33</v>
      </c>
      <c r="CW123" s="39">
        <f>(IF(WEEKDAY(CW$82,2)&gt;5,0,44.13))*-1</f>
        <v>0</v>
      </c>
      <c r="CX123" s="39">
        <f>(IF(WEEKDAY(CX$82,2)&gt;5,0,46.03))*-1</f>
        <v>0</v>
      </c>
      <c r="CY123" s="39">
        <f>(IF(WEEKDAY(CY$82,2)&gt;5,0,56.22))*-1</f>
        <v>-56.22</v>
      </c>
      <c r="CZ123" s="39">
        <f>(IF(WEEKDAY(CZ$82,2)&gt;5,0,52.13))*-1</f>
        <v>-52.13</v>
      </c>
      <c r="DA123" s="39">
        <f>(IF(WEEKDAY(DA$82,2)&gt;5,0,43.09))*-1</f>
        <v>-43.09</v>
      </c>
      <c r="DB123" s="39">
        <f>(IF(WEEKDAY(DB$82,2)&gt;5,0,47.72))*-1</f>
        <v>-47.72</v>
      </c>
      <c r="DC123" s="39">
        <f>(IF(WEEKDAY(DC$82,2)&gt;5,0,53.39))*-1</f>
        <v>-53.39</v>
      </c>
      <c r="DD123" s="39">
        <f>(IF(WEEKDAY(DD$82,2)&gt;5,0,55.46))*-1</f>
        <v>0</v>
      </c>
      <c r="DE123" s="39">
        <f>(IF(WEEKDAY(DE$82,2)&gt;5,0,51.1))*-1</f>
        <v>0</v>
      </c>
      <c r="DF123" s="39">
        <f>(IF(WEEKDAY(DF$82,2)&gt;5,0,48.04))*-1</f>
        <v>-48.04</v>
      </c>
      <c r="DG123" s="39">
        <f>(IF(WEEKDAY(DG$82,2)&gt;5,0,56.99))*-1</f>
        <v>-56.99</v>
      </c>
      <c r="DH123" s="39">
        <f>(IF(WEEKDAY(DH$82,2)&gt;5,0,57.08))*-1</f>
        <v>-57.08</v>
      </c>
      <c r="DI123" s="39">
        <f>(IF(WEEKDAY(DI$82,2)&gt;5,0,47.04))*-1</f>
        <v>-47.04</v>
      </c>
      <c r="DJ123" s="39">
        <f>(IF(WEEKDAY(DJ$82,2)&gt;5,0,52.65))*-1</f>
        <v>-52.65</v>
      </c>
      <c r="DK123" s="39">
        <f>(IF(WEEKDAY(DK$82,2)&gt;5,0,46.51))*-1</f>
        <v>0</v>
      </c>
      <c r="DL123" s="39">
        <f>(IF(WEEKDAY(DL$82,2)&gt;5,0,53.25))*-1</f>
        <v>0</v>
      </c>
      <c r="DM123" s="39">
        <f>(IF(WEEKDAY(DM$82,2)&gt;5,0,54.11))*-1</f>
        <v>-54.11</v>
      </c>
      <c r="DN123" s="39">
        <f>(IF(WEEKDAY(DN$82,2)&gt;5,0,50.07))*-1</f>
        <v>-50.07</v>
      </c>
      <c r="DO123" s="39">
        <f>(IF(WEEKDAY(DO$82,2)&gt;5,0,43.91))*-1</f>
        <v>-43.91</v>
      </c>
      <c r="DP123" s="39">
        <f>(IF(WEEKDAY(DP$82,2)&gt;5,0,45.89))*-1</f>
        <v>-45.89</v>
      </c>
      <c r="DQ123" s="39">
        <f>(IF(WEEKDAY(DQ$82,2)&gt;5,0,44.09))*-1</f>
        <v>-44.09</v>
      </c>
      <c r="DR123" s="39">
        <f>(IF(WEEKDAY(DR$82,2)&gt;5,0,49.8))*-1</f>
        <v>0</v>
      </c>
      <c r="DS123" s="39">
        <f>(IF(WEEKDAY(DS$82,2)&gt;5,0,52.88))*-1</f>
        <v>0</v>
      </c>
      <c r="DT123" s="39">
        <f>(IF(WEEKDAY(DT$82,2)&gt;5,0,53))*-1</f>
        <v>-53</v>
      </c>
      <c r="DU123" s="39">
        <f>(IF(WEEKDAY(DU$82,2)&gt;5,0,43.84))*-1</f>
        <v>-43.84</v>
      </c>
      <c r="DV123" s="39">
        <f>(IF(WEEKDAY(DV$82,2)&gt;5,0,57.04))*-1</f>
        <v>-57.04</v>
      </c>
      <c r="DW123" s="39">
        <f>(IF(WEEKDAY(DW$82,2)&gt;5,0,43.87))*-1</f>
        <v>-43.87</v>
      </c>
      <c r="DX123" s="39">
        <f>(IF(WEEKDAY(DX$82,2)&gt;5,0,55.66))*-1</f>
        <v>-55.66</v>
      </c>
      <c r="DY123" s="39">
        <f>(IF(WEEKDAY(DY$82,2)&gt;5,0,49.77))*-1</f>
        <v>0</v>
      </c>
      <c r="DZ123" s="39">
        <f>(IF(WEEKDAY(DZ$82,2)&gt;5,0,46.9))*-1</f>
        <v>0</v>
      </c>
      <c r="EA123" s="39">
        <f>(IF(WEEKDAY(EA$82,2)&gt;5,0,44.5))*-1</f>
        <v>-44.5</v>
      </c>
      <c r="EB123" s="39">
        <f>(IF(WEEKDAY(EB$82,2)&gt;5,0,51.08))*-1</f>
        <v>-51.08</v>
      </c>
      <c r="EC123" s="39">
        <f>(IF(WEEKDAY(EC$82,2)&gt;5,0,50.27))*-1</f>
        <v>-50.27</v>
      </c>
      <c r="ED123" s="39">
        <f>(IF(WEEKDAY(ED$82,2)&gt;5,0,52.98))*-1</f>
        <v>-52.98</v>
      </c>
      <c r="EE123" s="39">
        <f>(IF(WEEKDAY(EE$82,2)&gt;5,0,56.37))*-1</f>
        <v>-56.37</v>
      </c>
      <c r="EF123" s="39">
        <f>(IF(WEEKDAY(EF$82,2)&gt;5,0,54.95))*-1</f>
        <v>0</v>
      </c>
      <c r="EG123" s="39">
        <f>(IF(WEEKDAY(EG$82,2)&gt;5,0,43.02))*-1</f>
        <v>0</v>
      </c>
      <c r="EH123" s="39">
        <f>(IF(WEEKDAY(EH$82,2)&gt;5,0,45.37))*-1</f>
        <v>-45.37</v>
      </c>
      <c r="EI123" s="39">
        <f>(IF(WEEKDAY(EI$82,2)&gt;5,0,54.78))*-1</f>
        <v>-54.78</v>
      </c>
      <c r="EJ123" s="39">
        <f>(IF(WEEKDAY(EJ$82,2)&gt;5,0,44.11))*-1</f>
        <v>-44.11</v>
      </c>
      <c r="EK123" s="39">
        <f>(IF(WEEKDAY(EK$82,2)&gt;5,0,45.54))*-1</f>
        <v>-45.54</v>
      </c>
      <c r="EL123" s="39">
        <f>(IF(WEEKDAY(EL$82,2)&gt;5,0,51.86))*-1</f>
        <v>-51.86</v>
      </c>
      <c r="EM123" s="39">
        <f>(IF(WEEKDAY(EM$82,2)&gt;5,0,51.91))*-1</f>
        <v>0</v>
      </c>
      <c r="EN123" s="39">
        <f>(IF(WEEKDAY(EN$82,2)&gt;5,0,49.84))*-1</f>
        <v>0</v>
      </c>
      <c r="EO123" s="39">
        <f>(IF(WEEKDAY(EO$82,2)&gt;5,0,48.43))*-1</f>
        <v>-48.43</v>
      </c>
      <c r="EP123" s="39">
        <f>(IF(WEEKDAY(EP$82,2)&gt;5,0,48.94))*-1</f>
        <v>-48.94</v>
      </c>
      <c r="EQ123" s="39">
        <f>(IF(WEEKDAY(EQ$82,2)&gt;5,0,43.76))*-1</f>
        <v>-43.76</v>
      </c>
      <c r="ER123" s="39">
        <f>(IF(WEEKDAY(ER$82,2)&gt;5,0,49.34))*-1</f>
        <v>-49.34</v>
      </c>
      <c r="ES123" s="39">
        <f>(IF(WEEKDAY(ES$82,2)&gt;5,0,45.79))*-1</f>
        <v>-45.79</v>
      </c>
      <c r="ET123" s="39">
        <f>(IF(WEEKDAY(ET$82,2)&gt;5,0,49.58))*-1</f>
        <v>0</v>
      </c>
      <c r="EU123" s="39">
        <f>(IF(WEEKDAY(EU$82,2)&gt;5,0,50.1))*-1</f>
        <v>0</v>
      </c>
      <c r="EV123" s="39">
        <f>(IF(WEEKDAY(EV$82,2)&gt;5,0,53.51))*-1</f>
        <v>-53.51</v>
      </c>
      <c r="EW123" s="39">
        <f>(IF(WEEKDAY(EW$82,2)&gt;5,0,43.25))*-1</f>
        <v>-43.25</v>
      </c>
      <c r="EX123" s="39">
        <f>(IF(WEEKDAY(EX$82,2)&gt;5,0,47.86))*-1</f>
        <v>-47.86</v>
      </c>
      <c r="EY123" s="39">
        <f>(IF(WEEKDAY(EY$82,2)&gt;5,0,57.2))*-1</f>
        <v>-57.2</v>
      </c>
      <c r="EZ123" s="39">
        <f>(IF(WEEKDAY(EZ$82,2)&gt;5,0,51.16))*-1</f>
        <v>-51.16</v>
      </c>
      <c r="FA123" s="39">
        <f>(IF(WEEKDAY(FA$82,2)&gt;5,0,43.55))*-1</f>
        <v>0</v>
      </c>
      <c r="FB123" s="39">
        <f>(IF(WEEKDAY(FB$82,2)&gt;5,0,52.29))*-1</f>
        <v>0</v>
      </c>
      <c r="FC123" s="39">
        <f>(IF(WEEKDAY(FC$82,2)&gt;5,0,45.34))*-1</f>
        <v>-45.34</v>
      </c>
      <c r="FD123" s="39">
        <f>(IF(WEEKDAY(FD$82,2)&gt;5,0,48.8))*-1</f>
        <v>-48.8</v>
      </c>
      <c r="FE123" s="39">
        <f>(IF(WEEKDAY(FE$82,2)&gt;5,0,54.3))*-1</f>
        <v>-54.3</v>
      </c>
      <c r="FF123" s="39">
        <f>(IF(WEEKDAY(FF$82,2)&gt;5,0,53.23))*-1</f>
        <v>-53.23</v>
      </c>
      <c r="FG123" s="39">
        <f>(IF(WEEKDAY(FG$82,2)&gt;5,0,46.09))*-1</f>
        <v>-46.09</v>
      </c>
      <c r="FH123" s="39">
        <f>(IF(WEEKDAY(FH$82,2)&gt;5,0,53.6))*-1</f>
        <v>0</v>
      </c>
      <c r="FI123" s="39">
        <f>(IF(WEEKDAY(FI$82,2)&gt;5,0,53.71))*-1</f>
        <v>0</v>
      </c>
      <c r="FJ123" s="39">
        <f>(IF(WEEKDAY(FJ$82,2)&gt;5,0,43.07))*-1</f>
        <v>-43.07</v>
      </c>
      <c r="FK123" s="39">
        <f>(IF(WEEKDAY(FK$82,2)&gt;5,0,54.27))*-1</f>
        <v>-54.27</v>
      </c>
      <c r="FL123" s="39">
        <f>(IF(WEEKDAY(FL$82,2)&gt;5,0,47.76))*-1</f>
        <v>-47.76</v>
      </c>
      <c r="FM123" s="39">
        <f>(IF(WEEKDAY(FM$82,2)&gt;5,0,50.8))*-1</f>
        <v>-50.8</v>
      </c>
      <c r="FN123" s="39">
        <f>(IF(WEEKDAY(FN$82,2)&gt;5,0,48.67))*-1</f>
        <v>-48.67</v>
      </c>
      <c r="FO123" s="39">
        <f>(IF(WEEKDAY(FO$82,2)&gt;5,0,46.81))*-1</f>
        <v>0</v>
      </c>
      <c r="FP123" s="39">
        <f>(IF(WEEKDAY(FP$82,2)&gt;5,0,47.39))*-1</f>
        <v>0</v>
      </c>
      <c r="FQ123" s="39">
        <f>(IF(WEEKDAY(FQ$82,2)&gt;5,0,46.35))*-1</f>
        <v>-46.35</v>
      </c>
      <c r="FR123" s="39">
        <f>(IF(WEEKDAY(FR$82,2)&gt;5,0,50.05))*-1</f>
        <v>-50.05</v>
      </c>
      <c r="FS123" s="39">
        <f>(IF(WEEKDAY(FS$82,2)&gt;5,0,47.23))*-1</f>
        <v>-47.23</v>
      </c>
      <c r="FT123" s="39">
        <f>(IF(WEEKDAY(FT$82,2)&gt;5,0,55.72))*-1</f>
        <v>-55.72</v>
      </c>
      <c r="FU123" s="39">
        <f>(IF(WEEKDAY(FU$82,2)&gt;5,0,55.12))*-1</f>
        <v>-55.12</v>
      </c>
      <c r="FV123" s="39">
        <f>(IF(WEEKDAY(FV$82,2)&gt;5,0,46.67))*-1</f>
        <v>0</v>
      </c>
      <c r="FW123" s="39">
        <f>(IF(WEEKDAY(FW$82,2)&gt;5,0,43.21))*-1</f>
        <v>0</v>
      </c>
      <c r="FX123" s="39">
        <f>(IF(WEEKDAY(FX$82,2)&gt;5,0,46.06))*-1</f>
        <v>-46.06</v>
      </c>
      <c r="FY123" s="39">
        <f>(IF(WEEKDAY(FY$82,2)&gt;5,0,54.35))*-1</f>
        <v>-54.35</v>
      </c>
      <c r="FZ123" s="39">
        <f>(IF(WEEKDAY(FZ$82,2)&gt;5,0,42.66))*-1</f>
        <v>-42.66</v>
      </c>
      <c r="GA123" s="39">
        <f>(IF(WEEKDAY(GA$82,2)&gt;5,0,54.14))*-1</f>
        <v>-54.14</v>
      </c>
      <c r="GB123" s="39">
        <f>(IF(WEEKDAY(GB$82,2)&gt;5,0,51.65))*-1</f>
        <v>-51.65</v>
      </c>
      <c r="GC123" s="39">
        <f>(IF(WEEKDAY(GC$82,2)&gt;5,0,57.42))*-1</f>
        <v>0</v>
      </c>
      <c r="GD123" s="39">
        <f>(IF(WEEKDAY(GD$82,2)&gt;5,0,48.96))*-1</f>
        <v>0</v>
      </c>
      <c r="GE123" s="39">
        <f>(IF(WEEKDAY(GE$82,2)&gt;5,0,44.24))*-1</f>
        <v>-44.24</v>
      </c>
      <c r="GF123" s="39">
        <f>(IF(WEEKDAY(GF$82,2)&gt;5,0,53.52))*-1</f>
        <v>-53.52</v>
      </c>
      <c r="GG123" s="39">
        <f>(IF(WEEKDAY(GG$82,2)&gt;5,0,46.53))*-1</f>
        <v>-46.53</v>
      </c>
      <c r="GH123" s="39">
        <f>(IF(WEEKDAY(GH$82,2)&gt;5,0,45.43))*-1</f>
        <v>-45.43</v>
      </c>
      <c r="GI123" s="39">
        <f>(IF(WEEKDAY(GI$82,2)&gt;5,0,50.95))*-1</f>
        <v>-50.95</v>
      </c>
      <c r="GJ123" s="39">
        <f>(IF(WEEKDAY(GJ$82,2)&gt;5,0,54.03))*-1</f>
        <v>0</v>
      </c>
      <c r="GK123" s="39">
        <f>(IF(WEEKDAY(GK$82,2)&gt;5,0,44.56))*-1</f>
        <v>0</v>
      </c>
      <c r="GL123" s="39">
        <f>(IF(WEEKDAY(GL$82,2)&gt;5,0,50.4))*-1</f>
        <v>-50.4</v>
      </c>
      <c r="GM123" s="39">
        <f>(IF(WEEKDAY(GM$82,2)&gt;5,0,52.96))*-1</f>
        <v>-52.96</v>
      </c>
      <c r="GN123" s="39">
        <f>(IF(WEEKDAY(GN$82,2)&gt;5,0,50.33))*-1</f>
        <v>-50.33</v>
      </c>
      <c r="GO123" s="39">
        <f>(IF(WEEKDAY(GO$82,2)&gt;5,0,55.33))*-1</f>
        <v>-55.33</v>
      </c>
      <c r="GP123" s="39">
        <f>(IF(WEEKDAY(GP$82,2)&gt;5,0,43.02))*-1</f>
        <v>-43.02</v>
      </c>
      <c r="GQ123" s="39">
        <f>(IF(WEEKDAY(GQ$82,2)&gt;5,0,52.73))*-1</f>
        <v>0</v>
      </c>
      <c r="GR123" s="39">
        <f>(IF(WEEKDAY(GR$82,2)&gt;5,0,53.63))*-1</f>
        <v>0</v>
      </c>
      <c r="GS123" s="39">
        <f>(IF(WEEKDAY(GS$82,2)&gt;5,0,57.3))*-1</f>
        <v>-57.3</v>
      </c>
      <c r="GT123" s="39">
        <f>(IF(WEEKDAY(GT$82,2)&gt;5,0,46.3))*-1</f>
        <v>-46.3</v>
      </c>
      <c r="GU123" s="39">
        <f>(IF(WEEKDAY(GU$82,2)&gt;5,0,42.76))*-1</f>
        <v>-42.76</v>
      </c>
      <c r="GV123" s="39">
        <f>(IF(WEEKDAY(GV$82,2)&gt;5,0,55.71))*-1</f>
        <v>-55.71</v>
      </c>
      <c r="GW123" s="39">
        <f>(IF(WEEKDAY(GW$82,2)&gt;5,0,56.9))*-1</f>
        <v>-56.9</v>
      </c>
      <c r="GX123" s="39">
        <f>(IF(WEEKDAY(GX$82,2)&gt;5,0,53.46))*-1</f>
        <v>0</v>
      </c>
      <c r="GY123" s="39">
        <f>(IF(WEEKDAY(GY$82,2)&gt;5,0,46))*-1</f>
        <v>0</v>
      </c>
      <c r="GZ123" s="39">
        <f>(IF(WEEKDAY(GZ$82,2)&gt;5,0,51.35))*-1</f>
        <v>-51.35</v>
      </c>
      <c r="HA123" s="39">
        <f>(IF(WEEKDAY(HA$82,2)&gt;5,0,51.14))*-1</f>
        <v>-51.14</v>
      </c>
      <c r="HB123" s="39">
        <f>(IF(WEEKDAY(HB$82,2)&gt;5,0,53.28))*-1</f>
        <v>-53.28</v>
      </c>
      <c r="HC123" s="39">
        <f>(IF(WEEKDAY(HC$82,2)&gt;5,0,47.02))*-1</f>
        <v>-47.02</v>
      </c>
      <c r="HD123" s="39">
        <f>(IF(WEEKDAY(HD$82,2)&gt;5,0,46.7))*-1</f>
        <v>-46.7</v>
      </c>
      <c r="HE123" s="39">
        <f>(IF(WEEKDAY(HE$82,2)&gt;5,0,51.19))*-1</f>
        <v>0</v>
      </c>
      <c r="HF123" s="39">
        <f>(IF(WEEKDAY(HF$82,2)&gt;5,0,49.18))*-1</f>
        <v>0</v>
      </c>
      <c r="HG123" s="39">
        <f>(IF(WEEKDAY(HG$82,2)&gt;5,0,52.4))*-1</f>
        <v>-52.4</v>
      </c>
      <c r="HH123" s="39">
        <f>(IF(WEEKDAY(HH$82,2)&gt;5,0,54.73))*-1</f>
        <v>-54.73</v>
      </c>
      <c r="HI123" s="39">
        <f>(IF(WEEKDAY(HI$82,2)&gt;5,0,52.84))*-1</f>
        <v>-52.84</v>
      </c>
      <c r="HJ123" s="39">
        <f>(IF(WEEKDAY(HJ$82,2)&gt;5,0,49.65))*-1</f>
        <v>-49.65</v>
      </c>
      <c r="HK123" s="39">
        <f>(IF(WEEKDAY(HK$82,2)&gt;5,0,51.13))*-1</f>
        <v>-51.13</v>
      </c>
      <c r="HL123" s="39">
        <f>(IF(WEEKDAY(HL$82,2)&gt;5,0,49.46))*-1</f>
        <v>0</v>
      </c>
      <c r="HM123" s="39">
        <f>(IF(WEEKDAY(HM$82,2)&gt;5,0,52.49))*-1</f>
        <v>0</v>
      </c>
      <c r="HN123" s="39">
        <f>(IF(WEEKDAY(HN$82,2)&gt;5,0,46.27))*-1</f>
        <v>-46.27</v>
      </c>
      <c r="HO123" s="39">
        <f>(IF(WEEKDAY(HO$82,2)&gt;5,0,45.25))*-1</f>
        <v>-45.25</v>
      </c>
      <c r="HP123" s="39">
        <f>(IF(WEEKDAY(HP$82,2)&gt;5,0,50.31))*-1</f>
        <v>-50.31</v>
      </c>
      <c r="HQ123" s="39">
        <f>(IF(WEEKDAY(HQ$82,2)&gt;5,0,52.32))*-1</f>
        <v>-52.32</v>
      </c>
      <c r="HR123" s="39">
        <f>(IF(WEEKDAY(HR$82,2)&gt;5,0,57.34))*-1</f>
        <v>-57.34</v>
      </c>
      <c r="HS123" s="39">
        <f>(IF(WEEKDAY(HS$82,2)&gt;5,0,52.67))*-1</f>
        <v>0</v>
      </c>
      <c r="HT123" s="39">
        <f>(IF(WEEKDAY(HT$82,2)&gt;5,0,48.99))*-1</f>
        <v>0</v>
      </c>
      <c r="HU123" s="39">
        <f>(IF(WEEKDAY(HU$82,2)&gt;5,0,44.4))*-1</f>
        <v>-44.4</v>
      </c>
      <c r="HV123" s="39">
        <f>(IF(WEEKDAY(HV$82,2)&gt;5,0,47.34))*-1</f>
        <v>-47.34</v>
      </c>
      <c r="HW123" s="39">
        <f>(IF(WEEKDAY(HW$82,2)&gt;5,0,56.63))*-1</f>
        <v>-56.63</v>
      </c>
      <c r="HX123" s="39">
        <f>(IF(WEEKDAY(HX$82,2)&gt;5,0,55.59))*-1</f>
        <v>-55.59</v>
      </c>
      <c r="HY123" s="39">
        <f>(IF(WEEKDAY(HY$82,2)&gt;5,0,55.29))*-1</f>
        <v>-55.29</v>
      </c>
      <c r="HZ123" s="39">
        <f>(IF(WEEKDAY(HZ$82,2)&gt;5,0,44.03))*-1</f>
        <v>0</v>
      </c>
      <c r="IA123" s="39">
        <f>(IF(WEEKDAY(IA$82,2)&gt;5,0,52.96))*-1</f>
        <v>0</v>
      </c>
      <c r="IB123" s="39">
        <f>(IF(WEEKDAY(IB$82,2)&gt;5,0,56.37))*-1</f>
        <v>-56.37</v>
      </c>
      <c r="IC123" s="39">
        <f>(IF(WEEKDAY(IC$82,2)&gt;5,0,55.57))*-1</f>
        <v>-55.57</v>
      </c>
      <c r="ID123" s="39">
        <f>(IF(WEEKDAY(ID$82,2)&gt;5,0,54.25))*-1</f>
        <v>-54.25</v>
      </c>
      <c r="IE123" s="39">
        <f>(IF(WEEKDAY(IE$82,2)&gt;5,0,44.56))*-1</f>
        <v>-44.56</v>
      </c>
      <c r="IF123" s="39">
        <f>(IF(WEEKDAY(IF$82,2)&gt;5,0,55.81))*-1</f>
        <v>-55.81</v>
      </c>
      <c r="IG123" s="39">
        <f>(IF(WEEKDAY(IG$82,2)&gt;5,0,53.66))*-1</f>
        <v>0</v>
      </c>
      <c r="IH123" s="39">
        <f>(IF(WEEKDAY(IH$82,2)&gt;5,0,46.44))*-1</f>
        <v>0</v>
      </c>
      <c r="II123" s="39">
        <f>(IF(WEEKDAY(II$82,2)&gt;5,0,55.88))*-1</f>
        <v>-55.88</v>
      </c>
      <c r="IJ123" s="39">
        <f>(IF(WEEKDAY(IJ$82,2)&gt;5,0,50.73))*-1</f>
        <v>-50.73</v>
      </c>
      <c r="IK123" s="39">
        <f>(IF(WEEKDAY(IK$82,2)&gt;5,0,48.98))*-1</f>
        <v>-48.98</v>
      </c>
      <c r="IL123" s="39">
        <f>(IF(WEEKDAY(IL$82,2)&gt;5,0,51.52))*-1</f>
        <v>-51.52</v>
      </c>
    </row>
    <row r="124" spans="1:246" x14ac:dyDescent="0.3">
      <c r="A124" t="s">
        <v>106</v>
      </c>
      <c r="B124" s="39">
        <f>(IF(WEEKDAY(B$82,2)&gt;5,0,22.66))*-1</f>
        <v>-22.66</v>
      </c>
      <c r="C124" s="39">
        <f>(IF(WEEKDAY(C$82,2)&gt;5,0,28.29))*-1</f>
        <v>0</v>
      </c>
      <c r="D124" s="39">
        <f>(IF(WEEKDAY(D$82,2)&gt;5,0,23.69))*-1</f>
        <v>0</v>
      </c>
      <c r="E124" s="39">
        <f>(IF(WEEKDAY(E$82,2)&gt;5,0,25.61))*-1</f>
        <v>-25.61</v>
      </c>
      <c r="F124" s="39">
        <f>(IF(WEEKDAY(F$82,2)&gt;5,0,27.33))*-1</f>
        <v>-27.33</v>
      </c>
      <c r="G124" s="39">
        <f>(IF(WEEKDAY(G$82,2)&gt;5,0,21.33))*-1</f>
        <v>-21.33</v>
      </c>
      <c r="H124" s="39">
        <f>(IF(WEEKDAY(H$82,2)&gt;5,0,25.66))*-1</f>
        <v>-25.66</v>
      </c>
      <c r="I124" s="39">
        <f>(IF(WEEKDAY(I$82,2)&gt;5,0,26.87))*-1</f>
        <v>-26.87</v>
      </c>
      <c r="J124" s="39">
        <f>(IF(WEEKDAY(J$82,2)&gt;5,0,25.63))*-1</f>
        <v>0</v>
      </c>
      <c r="K124" s="39">
        <f>(IF(WEEKDAY(K$82,2)&gt;5,0,25.02))*-1</f>
        <v>0</v>
      </c>
      <c r="L124" s="39">
        <f>(IF(WEEKDAY(L$82,2)&gt;5,0,26.37))*-1</f>
        <v>-26.37</v>
      </c>
      <c r="M124" s="39">
        <f>(IF(WEEKDAY(M$82,2)&gt;5,0,23.96))*-1</f>
        <v>-23.96</v>
      </c>
      <c r="N124" s="39">
        <f>(IF(WEEKDAY(N$82,2)&gt;5,0,27.2))*-1</f>
        <v>-27.2</v>
      </c>
      <c r="O124" s="39">
        <f>(IF(WEEKDAY(O$82,2)&gt;5,0,23.23))*-1</f>
        <v>-23.23</v>
      </c>
      <c r="P124" s="39">
        <f>(IF(WEEKDAY(P$82,2)&gt;5,0,23.16))*-1</f>
        <v>-23.16</v>
      </c>
      <c r="Q124" s="39">
        <f>(IF(WEEKDAY(Q$82,2)&gt;5,0,27.52))*-1</f>
        <v>0</v>
      </c>
      <c r="R124" s="39">
        <f>(IF(WEEKDAY(R$82,2)&gt;5,0,24.27))*-1</f>
        <v>0</v>
      </c>
      <c r="S124" s="39">
        <f>(IF(WEEKDAY(S$82,2)&gt;5,0,27.72))*-1</f>
        <v>-27.72</v>
      </c>
      <c r="T124" s="39">
        <f>(IF(WEEKDAY(T$82,2)&gt;5,0,28))*-1</f>
        <v>-28</v>
      </c>
      <c r="U124" s="39">
        <f>(IF(WEEKDAY(U$82,2)&gt;5,0,28.4))*-1</f>
        <v>-28.4</v>
      </c>
      <c r="V124" s="39">
        <f>(IF(WEEKDAY(V$82,2)&gt;5,0,22.78))*-1</f>
        <v>-22.78</v>
      </c>
      <c r="W124" s="39">
        <f>(IF(WEEKDAY(W$82,2)&gt;5,0,25.3))*-1</f>
        <v>-25.3</v>
      </c>
      <c r="X124" s="39">
        <f>(IF(WEEKDAY(X$82,2)&gt;5,0,27.48))*-1</f>
        <v>0</v>
      </c>
      <c r="Y124" s="39">
        <f>(IF(WEEKDAY(Y$82,2)&gt;5,0,28.6))*-1</f>
        <v>0</v>
      </c>
      <c r="Z124" s="39">
        <f>(IF(WEEKDAY(Z$82,2)&gt;5,0,28.71))*-1</f>
        <v>-28.71</v>
      </c>
      <c r="AA124" s="39">
        <f>(IF(WEEKDAY(AA$82,2)&gt;5,0,27.18))*-1</f>
        <v>-27.18</v>
      </c>
      <c r="AB124" s="39">
        <f>(IF(WEEKDAY(AB$82,2)&gt;5,0,26.44))*-1</f>
        <v>-26.44</v>
      </c>
      <c r="AC124" s="39">
        <f>(IF(WEEKDAY(AC$82,2)&gt;5,0,28.07))*-1</f>
        <v>-28.07</v>
      </c>
      <c r="AD124" s="39">
        <f>(IF(WEEKDAY(AD$82,2)&gt;5,0,26.37))*-1</f>
        <v>-26.37</v>
      </c>
      <c r="AE124" s="39">
        <f>(IF(WEEKDAY(AE$82,2)&gt;5,0,23.5))*-1</f>
        <v>0</v>
      </c>
      <c r="AF124" s="39">
        <f>(IF(WEEKDAY(AF$82,2)&gt;5,0,21.72))*-1</f>
        <v>0</v>
      </c>
      <c r="AG124" s="39">
        <f>(IF(WEEKDAY(AG$82,2)&gt;5,0,23.5))*-1</f>
        <v>-23.5</v>
      </c>
      <c r="AH124" s="39">
        <f>(IF(WEEKDAY(AH$82,2)&gt;5,0,25.96))*-1</f>
        <v>-25.96</v>
      </c>
      <c r="AI124" s="39">
        <f>(IF(WEEKDAY(AI$82,2)&gt;5,0,23.11))*-1</f>
        <v>-23.11</v>
      </c>
      <c r="AJ124" s="39">
        <f>(IF(WEEKDAY(AJ$82,2)&gt;5,0,24.2))*-1</f>
        <v>-24.2</v>
      </c>
      <c r="AK124" s="39">
        <f>(IF(WEEKDAY(AK$82,2)&gt;5,0,25))*-1</f>
        <v>-25</v>
      </c>
      <c r="AL124" s="39">
        <f>(IF(WEEKDAY(AL$82,2)&gt;5,0,24.77))*-1</f>
        <v>0</v>
      </c>
      <c r="AM124" s="39">
        <f>(IF(WEEKDAY(AM$82,2)&gt;5,0,22.73))*-1</f>
        <v>0</v>
      </c>
      <c r="AN124" s="39">
        <f>(IF(WEEKDAY(AN$82,2)&gt;5,0,22.78))*-1</f>
        <v>-22.78</v>
      </c>
      <c r="AO124" s="39">
        <f>(IF(WEEKDAY(AO$82,2)&gt;5,0,23.69))*-1</f>
        <v>-23.69</v>
      </c>
      <c r="AP124" s="39">
        <f>(IF(WEEKDAY(AP$82,2)&gt;5,0,25.61))*-1</f>
        <v>-25.61</v>
      </c>
      <c r="AQ124" s="39">
        <f>(IF(WEEKDAY(AQ$82,2)&gt;5,0,21.29))*-1</f>
        <v>-21.29</v>
      </c>
      <c r="AR124" s="39">
        <f>(IF(WEEKDAY(AR$82,2)&gt;5,0,23.51))*-1</f>
        <v>-23.51</v>
      </c>
      <c r="AS124" s="39">
        <f>(IF(WEEKDAY(AS$82,2)&gt;5,0,27.53))*-1</f>
        <v>0</v>
      </c>
      <c r="AT124" s="39">
        <f>(IF(WEEKDAY(AT$82,2)&gt;5,0,24.15))*-1</f>
        <v>0</v>
      </c>
      <c r="AU124" s="39">
        <f>(IF(WEEKDAY(AU$82,2)&gt;5,0,22.87))*-1</f>
        <v>-22.87</v>
      </c>
      <c r="AV124" s="39">
        <f>(IF(WEEKDAY(AV$82,2)&gt;5,0,24.66))*-1</f>
        <v>-24.66</v>
      </c>
      <c r="AW124" s="39">
        <f>(IF(WEEKDAY(AW$82,2)&gt;5,0,24.18))*-1</f>
        <v>-24.18</v>
      </c>
      <c r="AX124" s="39">
        <f>(IF(WEEKDAY(AX$82,2)&gt;5,0,26.27))*-1</f>
        <v>-26.27</v>
      </c>
      <c r="AY124" s="39">
        <f>(IF(WEEKDAY(AY$82,2)&gt;5,0,28.54))*-1</f>
        <v>-28.54</v>
      </c>
      <c r="AZ124" s="39">
        <f>(IF(WEEKDAY(AZ$82,2)&gt;5,0,21.79))*-1</f>
        <v>0</v>
      </c>
      <c r="BA124" s="39">
        <f>(IF(WEEKDAY(BA$82,2)&gt;5,0,22.27))*-1</f>
        <v>0</v>
      </c>
      <c r="BB124" s="39">
        <f>(IF(WEEKDAY(BB$82,2)&gt;5,0,23.75))*-1</f>
        <v>-23.75</v>
      </c>
      <c r="BC124" s="39">
        <f>(IF(WEEKDAY(BC$82,2)&gt;5,0,22.6))*-1</f>
        <v>-22.6</v>
      </c>
      <c r="BD124" s="39">
        <f>(IF(WEEKDAY(BD$82,2)&gt;5,0,21.43))*-1</f>
        <v>-21.43</v>
      </c>
      <c r="BE124" s="39">
        <f>(IF(WEEKDAY(BE$82,2)&gt;5,0,24.12))*-1</f>
        <v>-24.12</v>
      </c>
      <c r="BF124" s="39">
        <f>(IF(WEEKDAY(BF$82,2)&gt;5,0,21.81))*-1</f>
        <v>-21.81</v>
      </c>
      <c r="BG124" s="39">
        <f>(IF(WEEKDAY(BG$82,2)&gt;5,0,24.73))*-1</f>
        <v>0</v>
      </c>
      <c r="BH124" s="39">
        <f>(IF(WEEKDAY(BH$82,2)&gt;5,0,25.54))*-1</f>
        <v>0</v>
      </c>
      <c r="BI124" s="39">
        <f>(IF(WEEKDAY(BI$82,2)&gt;5,0,23.23))*-1</f>
        <v>-23.23</v>
      </c>
      <c r="BJ124" s="39">
        <f>(IF(WEEKDAY(BJ$82,2)&gt;5,0,23.47))*-1</f>
        <v>-23.47</v>
      </c>
      <c r="BK124" s="39">
        <f>(IF(WEEKDAY(BK$82,2)&gt;5,0,27.33))*-1</f>
        <v>-27.33</v>
      </c>
      <c r="BL124" s="39">
        <f>(IF(WEEKDAY(BL$82,2)&gt;5,0,26.13))*-1</f>
        <v>-26.13</v>
      </c>
      <c r="BM124" s="39">
        <f>(IF(WEEKDAY(BM$82,2)&gt;5,0,24.52))*-1</f>
        <v>-24.52</v>
      </c>
      <c r="BN124" s="39">
        <f>(IF(WEEKDAY(BN$82,2)&gt;5,0,24.7))*-1</f>
        <v>0</v>
      </c>
      <c r="BO124" s="39">
        <f>(IF(WEEKDAY(BO$82,2)&gt;5,0,27.91))*-1</f>
        <v>0</v>
      </c>
      <c r="BP124" s="39">
        <f>(IF(WEEKDAY(BP$82,2)&gt;5,0,22.07))*-1</f>
        <v>-22.07</v>
      </c>
      <c r="BQ124" s="39">
        <f>(IF(WEEKDAY(BQ$82,2)&gt;5,0,27.4))*-1</f>
        <v>-27.4</v>
      </c>
      <c r="BR124" s="39">
        <f>(IF(WEEKDAY(BR$82,2)&gt;5,0,22.05))*-1</f>
        <v>-22.05</v>
      </c>
      <c r="BS124" s="39">
        <f>(IF(WEEKDAY(BS$82,2)&gt;5,0,22.33))*-1</f>
        <v>-22.33</v>
      </c>
      <c r="BT124" s="39">
        <f>(IF(WEEKDAY(BT$82,2)&gt;5,0,27.34))*-1</f>
        <v>-27.34</v>
      </c>
      <c r="BU124" s="39">
        <f>(IF(WEEKDAY(BU$82,2)&gt;5,0,25.1))*-1</f>
        <v>0</v>
      </c>
      <c r="BV124" s="39">
        <f>(IF(WEEKDAY(BV$82,2)&gt;5,0,28.28))*-1</f>
        <v>0</v>
      </c>
      <c r="BW124" s="39">
        <f>(IF(WEEKDAY(BW$82,2)&gt;5,0,26.53))*-1</f>
        <v>-26.53</v>
      </c>
      <c r="BX124" s="39">
        <f>(IF(WEEKDAY(BX$82,2)&gt;5,0,23.79))*-1</f>
        <v>-23.79</v>
      </c>
      <c r="BY124" s="39">
        <f>(IF(WEEKDAY(BY$82,2)&gt;5,0,26.74))*-1</f>
        <v>-26.74</v>
      </c>
      <c r="BZ124" s="39">
        <f>(IF(WEEKDAY(BZ$82,2)&gt;5,0,22.22))*-1</f>
        <v>-22.22</v>
      </c>
      <c r="CA124" s="39">
        <f>(IF(WEEKDAY(CA$82,2)&gt;5,0,23.39))*-1</f>
        <v>-23.39</v>
      </c>
      <c r="CB124" s="39">
        <f>(IF(WEEKDAY(CB$82,2)&gt;5,0,26.68))*-1</f>
        <v>0</v>
      </c>
      <c r="CC124" s="39">
        <f>(IF(WEEKDAY(CC$82,2)&gt;5,0,25.89))*-1</f>
        <v>0</v>
      </c>
      <c r="CD124" s="39">
        <f>(IF(WEEKDAY(CD$82,2)&gt;5,0,28.24))*-1</f>
        <v>-28.24</v>
      </c>
      <c r="CE124" s="39">
        <f>(IF(WEEKDAY(CE$82,2)&gt;5,0,25.68))*-1</f>
        <v>-25.68</v>
      </c>
      <c r="CF124" s="39">
        <f>(IF(WEEKDAY(CF$82,2)&gt;5,0,24.68))*-1</f>
        <v>-24.68</v>
      </c>
      <c r="CG124" s="39">
        <f>(IF(WEEKDAY(CG$82,2)&gt;5,0,26.64))*-1</f>
        <v>-26.64</v>
      </c>
      <c r="CH124" s="39">
        <f>(IF(WEEKDAY(CH$82,2)&gt;5,0,24.45))*-1</f>
        <v>-24.45</v>
      </c>
      <c r="CI124" s="39">
        <f>(IF(WEEKDAY(CI$82,2)&gt;5,0,22.28))*-1</f>
        <v>0</v>
      </c>
      <c r="CJ124" s="39">
        <f>(IF(WEEKDAY(CJ$82,2)&gt;5,0,21.4))*-1</f>
        <v>0</v>
      </c>
      <c r="CK124" s="39">
        <f>(IF(WEEKDAY(CK$82,2)&gt;5,0,27.73))*-1</f>
        <v>-27.73</v>
      </c>
      <c r="CL124" s="39">
        <f>(IF(WEEKDAY(CL$82,2)&gt;5,0,25.03))*-1</f>
        <v>-25.03</v>
      </c>
      <c r="CM124" s="39">
        <f>(IF(WEEKDAY(CM$82,2)&gt;5,0,25.88))*-1</f>
        <v>-25.88</v>
      </c>
      <c r="CN124" s="39">
        <f>(IF(WEEKDAY(CN$82,2)&gt;5,0,22.36))*-1</f>
        <v>-22.36</v>
      </c>
      <c r="CO124" s="39">
        <f>(IF(WEEKDAY(CO$82,2)&gt;5,0,23.61))*-1</f>
        <v>-23.61</v>
      </c>
      <c r="CP124" s="39">
        <f>(IF(WEEKDAY(CP$82,2)&gt;5,0,26.7))*-1</f>
        <v>0</v>
      </c>
      <c r="CQ124" s="39">
        <f>(IF(WEEKDAY(CQ$82,2)&gt;5,0,23.8))*-1</f>
        <v>0</v>
      </c>
      <c r="CR124" s="39">
        <f>(IF(WEEKDAY(CR$82,2)&gt;5,0,25.32))*-1</f>
        <v>-25.32</v>
      </c>
      <c r="CS124" s="39">
        <f>(IF(WEEKDAY(CS$82,2)&gt;5,0,26.56))*-1</f>
        <v>-26.56</v>
      </c>
      <c r="CT124" s="39">
        <f>(IF(WEEKDAY(CT$82,2)&gt;5,0,24.04))*-1</f>
        <v>-24.04</v>
      </c>
      <c r="CU124" s="39">
        <f>(IF(WEEKDAY(CU$82,2)&gt;5,0,28.01))*-1</f>
        <v>-28.01</v>
      </c>
      <c r="CV124" s="39">
        <f>(IF(WEEKDAY(CV$82,2)&gt;5,0,27.09))*-1</f>
        <v>-27.09</v>
      </c>
      <c r="CW124" s="39">
        <f>(IF(WEEKDAY(CW$82,2)&gt;5,0,25.27))*-1</f>
        <v>0</v>
      </c>
      <c r="CX124" s="39">
        <f>(IF(WEEKDAY(CX$82,2)&gt;5,0,28.4))*-1</f>
        <v>0</v>
      </c>
      <c r="CY124" s="39">
        <f>(IF(WEEKDAY(CY$82,2)&gt;5,0,26.3))*-1</f>
        <v>-26.3</v>
      </c>
      <c r="CZ124" s="39">
        <f>(IF(WEEKDAY(CZ$82,2)&gt;5,0,24.89))*-1</f>
        <v>-24.89</v>
      </c>
      <c r="DA124" s="39">
        <f>(IF(WEEKDAY(DA$82,2)&gt;5,0,23.7))*-1</f>
        <v>-23.7</v>
      </c>
      <c r="DB124" s="39">
        <f>(IF(WEEKDAY(DB$82,2)&gt;5,0,24.53))*-1</f>
        <v>-24.53</v>
      </c>
      <c r="DC124" s="39">
        <f>(IF(WEEKDAY(DC$82,2)&gt;5,0,27.28))*-1</f>
        <v>-27.28</v>
      </c>
      <c r="DD124" s="39">
        <f>(IF(WEEKDAY(DD$82,2)&gt;5,0,23.85))*-1</f>
        <v>0</v>
      </c>
      <c r="DE124" s="39">
        <f>(IF(WEEKDAY(DE$82,2)&gt;5,0,24.73))*-1</f>
        <v>0</v>
      </c>
      <c r="DF124" s="39">
        <f>(IF(WEEKDAY(DF$82,2)&gt;5,0,24.24))*-1</f>
        <v>-24.24</v>
      </c>
      <c r="DG124" s="39">
        <f>(IF(WEEKDAY(DG$82,2)&gt;5,0,25.4))*-1</f>
        <v>-25.4</v>
      </c>
      <c r="DH124" s="39">
        <f>(IF(WEEKDAY(DH$82,2)&gt;5,0,22.19))*-1</f>
        <v>-22.19</v>
      </c>
      <c r="DI124" s="39">
        <f>(IF(WEEKDAY(DI$82,2)&gt;5,0,28.36))*-1</f>
        <v>-28.36</v>
      </c>
      <c r="DJ124" s="39">
        <f>(IF(WEEKDAY(DJ$82,2)&gt;5,0,23.78))*-1</f>
        <v>-23.78</v>
      </c>
      <c r="DK124" s="39">
        <f>(IF(WEEKDAY(DK$82,2)&gt;5,0,27.61))*-1</f>
        <v>0</v>
      </c>
      <c r="DL124" s="39">
        <f>(IF(WEEKDAY(DL$82,2)&gt;5,0,21.66))*-1</f>
        <v>0</v>
      </c>
      <c r="DM124" s="39">
        <f>(IF(WEEKDAY(DM$82,2)&gt;5,0,26.96))*-1</f>
        <v>-26.96</v>
      </c>
      <c r="DN124" s="39">
        <f>(IF(WEEKDAY(DN$82,2)&gt;5,0,25.59))*-1</f>
        <v>-25.59</v>
      </c>
      <c r="DO124" s="39">
        <f>(IF(WEEKDAY(DO$82,2)&gt;5,0,28.09))*-1</f>
        <v>-28.09</v>
      </c>
      <c r="DP124" s="39">
        <f>(IF(WEEKDAY(DP$82,2)&gt;5,0,23.02))*-1</f>
        <v>-23.02</v>
      </c>
      <c r="DQ124" s="39">
        <f>(IF(WEEKDAY(DQ$82,2)&gt;5,0,21.89))*-1</f>
        <v>-21.89</v>
      </c>
      <c r="DR124" s="39">
        <f>(IF(WEEKDAY(DR$82,2)&gt;5,0,22.87))*-1</f>
        <v>0</v>
      </c>
      <c r="DS124" s="39">
        <f>(IF(WEEKDAY(DS$82,2)&gt;5,0,26.35))*-1</f>
        <v>0</v>
      </c>
      <c r="DT124" s="39">
        <f>(IF(WEEKDAY(DT$82,2)&gt;5,0,22.55))*-1</f>
        <v>-22.55</v>
      </c>
      <c r="DU124" s="39">
        <f>(IF(WEEKDAY(DU$82,2)&gt;5,0,23.98))*-1</f>
        <v>-23.98</v>
      </c>
      <c r="DV124" s="39">
        <f>(IF(WEEKDAY(DV$82,2)&gt;5,0,21.31))*-1</f>
        <v>-21.31</v>
      </c>
      <c r="DW124" s="39">
        <f>(IF(WEEKDAY(DW$82,2)&gt;5,0,25.65))*-1</f>
        <v>-25.65</v>
      </c>
      <c r="DX124" s="39">
        <f>(IF(WEEKDAY(DX$82,2)&gt;5,0,26.91))*-1</f>
        <v>-26.91</v>
      </c>
      <c r="DY124" s="39">
        <f>(IF(WEEKDAY(DY$82,2)&gt;5,0,28.74))*-1</f>
        <v>0</v>
      </c>
      <c r="DZ124" s="39">
        <f>(IF(WEEKDAY(DZ$82,2)&gt;5,0,21.94))*-1</f>
        <v>0</v>
      </c>
      <c r="EA124" s="39">
        <f>(IF(WEEKDAY(EA$82,2)&gt;5,0,23.74))*-1</f>
        <v>-23.74</v>
      </c>
      <c r="EB124" s="39">
        <f>(IF(WEEKDAY(EB$82,2)&gt;5,0,25.72))*-1</f>
        <v>-25.72</v>
      </c>
      <c r="EC124" s="39">
        <f>(IF(WEEKDAY(EC$82,2)&gt;5,0,25.92))*-1</f>
        <v>-25.92</v>
      </c>
      <c r="ED124" s="39">
        <f>(IF(WEEKDAY(ED$82,2)&gt;5,0,27.37))*-1</f>
        <v>-27.37</v>
      </c>
      <c r="EE124" s="39">
        <f>(IF(WEEKDAY(EE$82,2)&gt;5,0,25.18))*-1</f>
        <v>-25.18</v>
      </c>
      <c r="EF124" s="39">
        <f>(IF(WEEKDAY(EF$82,2)&gt;5,0,23.31))*-1</f>
        <v>0</v>
      </c>
      <c r="EG124" s="39">
        <f>(IF(WEEKDAY(EG$82,2)&gt;5,0,25.48))*-1</f>
        <v>0</v>
      </c>
      <c r="EH124" s="39">
        <f>(IF(WEEKDAY(EH$82,2)&gt;5,0,24.21))*-1</f>
        <v>-24.21</v>
      </c>
      <c r="EI124" s="39">
        <f>(IF(WEEKDAY(EI$82,2)&gt;5,0,28.71))*-1</f>
        <v>-28.71</v>
      </c>
      <c r="EJ124" s="39">
        <f>(IF(WEEKDAY(EJ$82,2)&gt;5,0,26.58))*-1</f>
        <v>-26.58</v>
      </c>
      <c r="EK124" s="39">
        <f>(IF(WEEKDAY(EK$82,2)&gt;5,0,27.78))*-1</f>
        <v>-27.78</v>
      </c>
      <c r="EL124" s="39">
        <f>(IF(WEEKDAY(EL$82,2)&gt;5,0,24.81))*-1</f>
        <v>-24.81</v>
      </c>
      <c r="EM124" s="39">
        <f>(IF(WEEKDAY(EM$82,2)&gt;5,0,28.56))*-1</f>
        <v>0</v>
      </c>
      <c r="EN124" s="39">
        <f>(IF(WEEKDAY(EN$82,2)&gt;5,0,27.8))*-1</f>
        <v>0</v>
      </c>
      <c r="EO124" s="39">
        <f>(IF(WEEKDAY(EO$82,2)&gt;5,0,21.74))*-1</f>
        <v>-21.74</v>
      </c>
      <c r="EP124" s="39">
        <f>(IF(WEEKDAY(EP$82,2)&gt;5,0,28.69))*-1</f>
        <v>-28.69</v>
      </c>
      <c r="EQ124" s="39">
        <f>(IF(WEEKDAY(EQ$82,2)&gt;5,0,25.56))*-1</f>
        <v>-25.56</v>
      </c>
      <c r="ER124" s="39">
        <f>(IF(WEEKDAY(ER$82,2)&gt;5,0,26.93))*-1</f>
        <v>-26.93</v>
      </c>
      <c r="ES124" s="39">
        <f>(IF(WEEKDAY(ES$82,2)&gt;5,0,24.35))*-1</f>
        <v>-24.35</v>
      </c>
      <c r="ET124" s="39">
        <f>(IF(WEEKDAY(ET$82,2)&gt;5,0,22.93))*-1</f>
        <v>0</v>
      </c>
      <c r="EU124" s="39">
        <f>(IF(WEEKDAY(EU$82,2)&gt;5,0,22.36))*-1</f>
        <v>0</v>
      </c>
      <c r="EV124" s="39">
        <f>(IF(WEEKDAY(EV$82,2)&gt;5,0,26.06))*-1</f>
        <v>-26.06</v>
      </c>
      <c r="EW124" s="39">
        <f>(IF(WEEKDAY(EW$82,2)&gt;5,0,27.34))*-1</f>
        <v>-27.34</v>
      </c>
      <c r="EX124" s="39">
        <f>(IF(WEEKDAY(EX$82,2)&gt;5,0,26.83))*-1</f>
        <v>-26.83</v>
      </c>
      <c r="EY124" s="39">
        <f>(IF(WEEKDAY(EY$82,2)&gt;5,0,27.38))*-1</f>
        <v>-27.38</v>
      </c>
      <c r="EZ124" s="39">
        <f>(IF(WEEKDAY(EZ$82,2)&gt;5,0,21.36))*-1</f>
        <v>-21.36</v>
      </c>
      <c r="FA124" s="39">
        <f>(IF(WEEKDAY(FA$82,2)&gt;5,0,26.35))*-1</f>
        <v>0</v>
      </c>
      <c r="FB124" s="39">
        <f>(IF(WEEKDAY(FB$82,2)&gt;5,0,25.61))*-1</f>
        <v>0</v>
      </c>
      <c r="FC124" s="39">
        <f>(IF(WEEKDAY(FC$82,2)&gt;5,0,21.99))*-1</f>
        <v>-21.99</v>
      </c>
      <c r="FD124" s="39">
        <f>(IF(WEEKDAY(FD$82,2)&gt;5,0,26.51))*-1</f>
        <v>-26.51</v>
      </c>
      <c r="FE124" s="39">
        <f>(IF(WEEKDAY(FE$82,2)&gt;5,0,23.4))*-1</f>
        <v>-23.4</v>
      </c>
      <c r="FF124" s="39">
        <f>(IF(WEEKDAY(FF$82,2)&gt;5,0,25.07))*-1</f>
        <v>-25.07</v>
      </c>
      <c r="FG124" s="39">
        <f>(IF(WEEKDAY(FG$82,2)&gt;5,0,28.57))*-1</f>
        <v>-28.57</v>
      </c>
      <c r="FH124" s="39">
        <f>(IF(WEEKDAY(FH$82,2)&gt;5,0,27.78))*-1</f>
        <v>0</v>
      </c>
      <c r="FI124" s="39">
        <f>(IF(WEEKDAY(FI$82,2)&gt;5,0,25.21))*-1</f>
        <v>0</v>
      </c>
      <c r="FJ124" s="39">
        <f>(IF(WEEKDAY(FJ$82,2)&gt;5,0,28.37))*-1</f>
        <v>-28.37</v>
      </c>
      <c r="FK124" s="39">
        <f>(IF(WEEKDAY(FK$82,2)&gt;5,0,21.5))*-1</f>
        <v>-21.5</v>
      </c>
      <c r="FL124" s="39">
        <f>(IF(WEEKDAY(FL$82,2)&gt;5,0,22.81))*-1</f>
        <v>-22.81</v>
      </c>
      <c r="FM124" s="39">
        <f>(IF(WEEKDAY(FM$82,2)&gt;5,0,24.83))*-1</f>
        <v>-24.83</v>
      </c>
      <c r="FN124" s="39">
        <f>(IF(WEEKDAY(FN$82,2)&gt;5,0,26.84))*-1</f>
        <v>-26.84</v>
      </c>
      <c r="FO124" s="39">
        <f>(IF(WEEKDAY(FO$82,2)&gt;5,0,28.65))*-1</f>
        <v>0</v>
      </c>
      <c r="FP124" s="39">
        <f>(IF(WEEKDAY(FP$82,2)&gt;5,0,23.49))*-1</f>
        <v>0</v>
      </c>
      <c r="FQ124" s="39">
        <f>(IF(WEEKDAY(FQ$82,2)&gt;5,0,23.81))*-1</f>
        <v>-23.81</v>
      </c>
      <c r="FR124" s="39">
        <f>(IF(WEEKDAY(FR$82,2)&gt;5,0,21.62))*-1</f>
        <v>-21.62</v>
      </c>
      <c r="FS124" s="39">
        <f>(IF(WEEKDAY(FS$82,2)&gt;5,0,23.71))*-1</f>
        <v>-23.71</v>
      </c>
      <c r="FT124" s="39">
        <f>(IF(WEEKDAY(FT$82,2)&gt;5,0,26))*-1</f>
        <v>-26</v>
      </c>
      <c r="FU124" s="39">
        <f>(IF(WEEKDAY(FU$82,2)&gt;5,0,23.89))*-1</f>
        <v>-23.89</v>
      </c>
      <c r="FV124" s="39">
        <f>(IF(WEEKDAY(FV$82,2)&gt;5,0,28.42))*-1</f>
        <v>0</v>
      </c>
      <c r="FW124" s="39">
        <f>(IF(WEEKDAY(FW$82,2)&gt;5,0,23.16))*-1</f>
        <v>0</v>
      </c>
      <c r="FX124" s="39">
        <f>(IF(WEEKDAY(FX$82,2)&gt;5,0,26.54))*-1</f>
        <v>-26.54</v>
      </c>
      <c r="FY124" s="39">
        <f>(IF(WEEKDAY(FY$82,2)&gt;5,0,26.67))*-1</f>
        <v>-26.67</v>
      </c>
      <c r="FZ124" s="39">
        <f>(IF(WEEKDAY(FZ$82,2)&gt;5,0,26.13))*-1</f>
        <v>-26.13</v>
      </c>
      <c r="GA124" s="39">
        <f>(IF(WEEKDAY(GA$82,2)&gt;5,0,27.77))*-1</f>
        <v>-27.77</v>
      </c>
      <c r="GB124" s="39">
        <f>(IF(WEEKDAY(GB$82,2)&gt;5,0,25.79))*-1</f>
        <v>-25.79</v>
      </c>
      <c r="GC124" s="39">
        <f>(IF(WEEKDAY(GC$82,2)&gt;5,0,28.02))*-1</f>
        <v>0</v>
      </c>
      <c r="GD124" s="39">
        <f>(IF(WEEKDAY(GD$82,2)&gt;5,0,24.11))*-1</f>
        <v>0</v>
      </c>
      <c r="GE124" s="39">
        <f>(IF(WEEKDAY(GE$82,2)&gt;5,0,24.05))*-1</f>
        <v>-24.05</v>
      </c>
      <c r="GF124" s="39">
        <f>(IF(WEEKDAY(GF$82,2)&gt;5,0,27.83))*-1</f>
        <v>-27.83</v>
      </c>
      <c r="GG124" s="39">
        <f>(IF(WEEKDAY(GG$82,2)&gt;5,0,28.16))*-1</f>
        <v>-28.16</v>
      </c>
      <c r="GH124" s="39">
        <f>(IF(WEEKDAY(GH$82,2)&gt;5,0,23.5))*-1</f>
        <v>-23.5</v>
      </c>
      <c r="GI124" s="39">
        <f>(IF(WEEKDAY(GI$82,2)&gt;5,0,26.33))*-1</f>
        <v>-26.33</v>
      </c>
      <c r="GJ124" s="39">
        <f>(IF(WEEKDAY(GJ$82,2)&gt;5,0,21.27))*-1</f>
        <v>0</v>
      </c>
      <c r="GK124" s="39">
        <f>(IF(WEEKDAY(GK$82,2)&gt;5,0,25.24))*-1</f>
        <v>0</v>
      </c>
      <c r="GL124" s="39">
        <f>(IF(WEEKDAY(GL$82,2)&gt;5,0,24.15))*-1</f>
        <v>-24.15</v>
      </c>
      <c r="GM124" s="39">
        <f>(IF(WEEKDAY(GM$82,2)&gt;5,0,24.27))*-1</f>
        <v>-24.27</v>
      </c>
      <c r="GN124" s="39">
        <f>(IF(WEEKDAY(GN$82,2)&gt;5,0,27.84))*-1</f>
        <v>-27.84</v>
      </c>
      <c r="GO124" s="39">
        <f>(IF(WEEKDAY(GO$82,2)&gt;5,0,22.77))*-1</f>
        <v>-22.77</v>
      </c>
      <c r="GP124" s="39">
        <f>(IF(WEEKDAY(GP$82,2)&gt;5,0,25.12))*-1</f>
        <v>-25.12</v>
      </c>
      <c r="GQ124" s="39">
        <f>(IF(WEEKDAY(GQ$82,2)&gt;5,0,22.69))*-1</f>
        <v>0</v>
      </c>
      <c r="GR124" s="39">
        <f>(IF(WEEKDAY(GR$82,2)&gt;5,0,28.64))*-1</f>
        <v>0</v>
      </c>
      <c r="GS124" s="39">
        <f>(IF(WEEKDAY(GS$82,2)&gt;5,0,27.37))*-1</f>
        <v>-27.37</v>
      </c>
      <c r="GT124" s="39">
        <f>(IF(WEEKDAY(GT$82,2)&gt;5,0,26.94))*-1</f>
        <v>-26.94</v>
      </c>
      <c r="GU124" s="39">
        <f>(IF(WEEKDAY(GU$82,2)&gt;5,0,21.36))*-1</f>
        <v>-21.36</v>
      </c>
      <c r="GV124" s="39">
        <f>(IF(WEEKDAY(GV$82,2)&gt;5,0,24.79))*-1</f>
        <v>-24.79</v>
      </c>
      <c r="GW124" s="39">
        <f>(IF(WEEKDAY(GW$82,2)&gt;5,0,24.71))*-1</f>
        <v>-24.71</v>
      </c>
      <c r="GX124" s="39">
        <f>(IF(WEEKDAY(GX$82,2)&gt;5,0,25.65))*-1</f>
        <v>0</v>
      </c>
      <c r="GY124" s="39">
        <f>(IF(WEEKDAY(GY$82,2)&gt;5,0,25.55))*-1</f>
        <v>0</v>
      </c>
      <c r="GZ124" s="39">
        <f>(IF(WEEKDAY(GZ$82,2)&gt;5,0,21.72))*-1</f>
        <v>-21.72</v>
      </c>
      <c r="HA124" s="39">
        <f>(IF(WEEKDAY(HA$82,2)&gt;5,0,26.56))*-1</f>
        <v>-26.56</v>
      </c>
      <c r="HB124" s="39">
        <f>(IF(WEEKDAY(HB$82,2)&gt;5,0,21.49))*-1</f>
        <v>-21.49</v>
      </c>
      <c r="HC124" s="39">
        <f>(IF(WEEKDAY(HC$82,2)&gt;5,0,24.18))*-1</f>
        <v>-24.18</v>
      </c>
      <c r="HD124" s="39">
        <f>(IF(WEEKDAY(HD$82,2)&gt;5,0,21.81))*-1</f>
        <v>-21.81</v>
      </c>
      <c r="HE124" s="39">
        <f>(IF(WEEKDAY(HE$82,2)&gt;5,0,25.17))*-1</f>
        <v>0</v>
      </c>
      <c r="HF124" s="39">
        <f>(IF(WEEKDAY(HF$82,2)&gt;5,0,23.47))*-1</f>
        <v>0</v>
      </c>
      <c r="HG124" s="39">
        <f>(IF(WEEKDAY(HG$82,2)&gt;5,0,27.8))*-1</f>
        <v>-27.8</v>
      </c>
      <c r="HH124" s="39">
        <f>(IF(WEEKDAY(HH$82,2)&gt;5,0,24.09))*-1</f>
        <v>-24.09</v>
      </c>
      <c r="HI124" s="39">
        <f>(IF(WEEKDAY(HI$82,2)&gt;5,0,27.66))*-1</f>
        <v>-27.66</v>
      </c>
      <c r="HJ124" s="39">
        <f>(IF(WEEKDAY(HJ$82,2)&gt;5,0,26.84))*-1</f>
        <v>-26.84</v>
      </c>
      <c r="HK124" s="39">
        <f>(IF(WEEKDAY(HK$82,2)&gt;5,0,27.57))*-1</f>
        <v>-27.57</v>
      </c>
      <c r="HL124" s="39">
        <f>(IF(WEEKDAY(HL$82,2)&gt;5,0,24.85))*-1</f>
        <v>0</v>
      </c>
      <c r="HM124" s="39">
        <f>(IF(WEEKDAY(HM$82,2)&gt;5,0,23.34))*-1</f>
        <v>0</v>
      </c>
      <c r="HN124" s="39">
        <f>(IF(WEEKDAY(HN$82,2)&gt;5,0,21.85))*-1</f>
        <v>-21.85</v>
      </c>
      <c r="HO124" s="39">
        <f>(IF(WEEKDAY(HO$82,2)&gt;5,0,28.68))*-1</f>
        <v>-28.68</v>
      </c>
      <c r="HP124" s="39">
        <f>(IF(WEEKDAY(HP$82,2)&gt;5,0,24.31))*-1</f>
        <v>-24.31</v>
      </c>
      <c r="HQ124" s="39">
        <f>(IF(WEEKDAY(HQ$82,2)&gt;5,0,24.27))*-1</f>
        <v>-24.27</v>
      </c>
      <c r="HR124" s="39">
        <f>(IF(WEEKDAY(HR$82,2)&gt;5,0,28.06))*-1</f>
        <v>-28.06</v>
      </c>
      <c r="HS124" s="39">
        <f>(IF(WEEKDAY(HS$82,2)&gt;5,0,23.12))*-1</f>
        <v>0</v>
      </c>
      <c r="HT124" s="39">
        <f>(IF(WEEKDAY(HT$82,2)&gt;5,0,21.65))*-1</f>
        <v>0</v>
      </c>
      <c r="HU124" s="39">
        <f>(IF(WEEKDAY(HU$82,2)&gt;5,0,21.57))*-1</f>
        <v>-21.57</v>
      </c>
      <c r="HV124" s="39">
        <f>(IF(WEEKDAY(HV$82,2)&gt;5,0,25.62))*-1</f>
        <v>-25.62</v>
      </c>
      <c r="HW124" s="39">
        <f>(IF(WEEKDAY(HW$82,2)&gt;5,0,22.54))*-1</f>
        <v>-22.54</v>
      </c>
      <c r="HX124" s="39">
        <f>(IF(WEEKDAY(HX$82,2)&gt;5,0,22.71))*-1</f>
        <v>-22.71</v>
      </c>
      <c r="HY124" s="39">
        <f>(IF(WEEKDAY(HY$82,2)&gt;5,0,24.15))*-1</f>
        <v>-24.15</v>
      </c>
      <c r="HZ124" s="39">
        <f>(IF(WEEKDAY(HZ$82,2)&gt;5,0,27.71))*-1</f>
        <v>0</v>
      </c>
      <c r="IA124" s="39">
        <f>(IF(WEEKDAY(IA$82,2)&gt;5,0,26.68))*-1</f>
        <v>0</v>
      </c>
      <c r="IB124" s="39">
        <f>(IF(WEEKDAY(IB$82,2)&gt;5,0,27.79))*-1</f>
        <v>-27.79</v>
      </c>
      <c r="IC124" s="39">
        <f>(IF(WEEKDAY(IC$82,2)&gt;5,0,24.2))*-1</f>
        <v>-24.2</v>
      </c>
      <c r="ID124" s="39">
        <f>(IF(WEEKDAY(ID$82,2)&gt;5,0,25.76))*-1</f>
        <v>-25.76</v>
      </c>
      <c r="IE124" s="39">
        <f>(IF(WEEKDAY(IE$82,2)&gt;5,0,23.31))*-1</f>
        <v>-23.31</v>
      </c>
      <c r="IF124" s="39">
        <f>(IF(WEEKDAY(IF$82,2)&gt;5,0,23.05))*-1</f>
        <v>-23.05</v>
      </c>
      <c r="IG124" s="39">
        <f>(IF(WEEKDAY(IG$82,2)&gt;5,0,27.82))*-1</f>
        <v>0</v>
      </c>
      <c r="IH124" s="39">
        <f>(IF(WEEKDAY(IH$82,2)&gt;5,0,24.19))*-1</f>
        <v>0</v>
      </c>
      <c r="II124" s="39">
        <f>(IF(WEEKDAY(II$82,2)&gt;5,0,28.34))*-1</f>
        <v>-28.34</v>
      </c>
      <c r="IJ124" s="39">
        <f>(IF(WEEKDAY(IJ$82,2)&gt;5,0,23.86))*-1</f>
        <v>-23.86</v>
      </c>
      <c r="IK124" s="39">
        <f>(IF(WEEKDAY(IK$82,2)&gt;5,0,23.46))*-1</f>
        <v>-23.46</v>
      </c>
      <c r="IL124" s="39">
        <f>(IF(WEEKDAY(IL$82,2)&gt;5,0,22.12))*-1</f>
        <v>-22.12</v>
      </c>
    </row>
    <row r="125" spans="1:246" x14ac:dyDescent="0.3">
      <c r="A125" t="s">
        <v>107</v>
      </c>
      <c r="B125" s="39">
        <f>(IF(WEEKDAY(B$82,2)&gt;5,0,34.49))*-1</f>
        <v>-34.49</v>
      </c>
      <c r="C125" s="39">
        <f>(IF(WEEKDAY(C$82,2)&gt;5,0,32.82))*-1</f>
        <v>0</v>
      </c>
      <c r="D125" s="39">
        <f>(IF(WEEKDAY(D$82,2)&gt;5,0,27.36))*-1</f>
        <v>0</v>
      </c>
      <c r="E125" s="39">
        <f>(IF(WEEKDAY(E$82,2)&gt;5,0,25.53))*-1</f>
        <v>-25.53</v>
      </c>
      <c r="F125" s="39">
        <f>(IF(WEEKDAY(F$82,2)&gt;5,0,33.11))*-1</f>
        <v>-33.11</v>
      </c>
      <c r="G125" s="39">
        <f>(IF(WEEKDAY(G$82,2)&gt;5,0,28.7))*-1</f>
        <v>-28.7</v>
      </c>
      <c r="H125" s="39">
        <f>(IF(WEEKDAY(H$82,2)&gt;5,0,34.32))*-1</f>
        <v>-34.32</v>
      </c>
      <c r="I125" s="39">
        <f>(IF(WEEKDAY(I$82,2)&gt;5,0,33.39))*-1</f>
        <v>-33.39</v>
      </c>
      <c r="J125" s="39">
        <f>(IF(WEEKDAY(J$82,2)&gt;5,0,33.19))*-1</f>
        <v>0</v>
      </c>
      <c r="K125" s="39">
        <f>(IF(WEEKDAY(K$82,2)&gt;5,0,28.13))*-1</f>
        <v>0</v>
      </c>
      <c r="L125" s="39">
        <f>(IF(WEEKDAY(L$82,2)&gt;5,0,30.93))*-1</f>
        <v>-30.93</v>
      </c>
      <c r="M125" s="39">
        <f>(IF(WEEKDAY(M$82,2)&gt;5,0,31.76))*-1</f>
        <v>-31.76</v>
      </c>
      <c r="N125" s="39">
        <f>(IF(WEEKDAY(N$82,2)&gt;5,0,27.32))*-1</f>
        <v>-27.32</v>
      </c>
      <c r="O125" s="39">
        <f>(IF(WEEKDAY(O$82,2)&gt;5,0,33.08))*-1</f>
        <v>-33.08</v>
      </c>
      <c r="P125" s="39">
        <f>(IF(WEEKDAY(P$82,2)&gt;5,0,27.96))*-1</f>
        <v>-27.96</v>
      </c>
      <c r="Q125" s="39">
        <f>(IF(WEEKDAY(Q$82,2)&gt;5,0,32.16))*-1</f>
        <v>0</v>
      </c>
      <c r="R125" s="39">
        <f>(IF(WEEKDAY(R$82,2)&gt;5,0,32.11))*-1</f>
        <v>0</v>
      </c>
      <c r="S125" s="39">
        <f>(IF(WEEKDAY(S$82,2)&gt;5,0,26.62))*-1</f>
        <v>-26.62</v>
      </c>
      <c r="T125" s="39">
        <f>(IF(WEEKDAY(T$82,2)&gt;5,0,31.32))*-1</f>
        <v>-31.32</v>
      </c>
      <c r="U125" s="39">
        <f>(IF(WEEKDAY(U$82,2)&gt;5,0,33.9))*-1</f>
        <v>-33.9</v>
      </c>
      <c r="V125" s="39">
        <f>(IF(WEEKDAY(V$82,2)&gt;5,0,29.25))*-1</f>
        <v>-29.25</v>
      </c>
      <c r="W125" s="39">
        <f>(IF(WEEKDAY(W$82,2)&gt;5,0,34.43))*-1</f>
        <v>-34.43</v>
      </c>
      <c r="X125" s="39">
        <f>(IF(WEEKDAY(X$82,2)&gt;5,0,26.69))*-1</f>
        <v>0</v>
      </c>
      <c r="Y125" s="39">
        <f>(IF(WEEKDAY(Y$82,2)&gt;5,0,30.03))*-1</f>
        <v>0</v>
      </c>
      <c r="Z125" s="39">
        <f>(IF(WEEKDAY(Z$82,2)&gt;5,0,32.52))*-1</f>
        <v>-32.520000000000003</v>
      </c>
      <c r="AA125" s="39">
        <f>(IF(WEEKDAY(AA$82,2)&gt;5,0,29.12))*-1</f>
        <v>-29.12</v>
      </c>
      <c r="AB125" s="39">
        <f>(IF(WEEKDAY(AB$82,2)&gt;5,0,28.56))*-1</f>
        <v>-28.56</v>
      </c>
      <c r="AC125" s="39">
        <f>(IF(WEEKDAY(AC$82,2)&gt;5,0,33.6))*-1</f>
        <v>-33.6</v>
      </c>
      <c r="AD125" s="39">
        <f>(IF(WEEKDAY(AD$82,2)&gt;5,0,26.55))*-1</f>
        <v>-26.55</v>
      </c>
      <c r="AE125" s="39">
        <f>(IF(WEEKDAY(AE$82,2)&gt;5,0,29.75))*-1</f>
        <v>0</v>
      </c>
      <c r="AF125" s="39">
        <f>(IF(WEEKDAY(AF$82,2)&gt;5,0,33.52))*-1</f>
        <v>0</v>
      </c>
      <c r="AG125" s="39">
        <f>(IF(WEEKDAY(AG$82,2)&gt;5,0,28.8))*-1</f>
        <v>-28.8</v>
      </c>
      <c r="AH125" s="39">
        <f>(IF(WEEKDAY(AH$82,2)&gt;5,0,32.85))*-1</f>
        <v>-32.85</v>
      </c>
      <c r="AI125" s="39">
        <f>(IF(WEEKDAY(AI$82,2)&gt;5,0,27.74))*-1</f>
        <v>-27.74</v>
      </c>
      <c r="AJ125" s="39">
        <f>(IF(WEEKDAY(AJ$82,2)&gt;5,0,29.41))*-1</f>
        <v>-29.41</v>
      </c>
      <c r="AK125" s="39">
        <f>(IF(WEEKDAY(AK$82,2)&gt;5,0,31.93))*-1</f>
        <v>-31.93</v>
      </c>
      <c r="AL125" s="39">
        <f>(IF(WEEKDAY(AL$82,2)&gt;5,0,25.53))*-1</f>
        <v>0</v>
      </c>
      <c r="AM125" s="39">
        <f>(IF(WEEKDAY(AM$82,2)&gt;5,0,31.54))*-1</f>
        <v>0</v>
      </c>
      <c r="AN125" s="39">
        <f>(IF(WEEKDAY(AN$82,2)&gt;5,0,26.3))*-1</f>
        <v>-26.3</v>
      </c>
      <c r="AO125" s="39">
        <f>(IF(WEEKDAY(AO$82,2)&gt;5,0,32.84))*-1</f>
        <v>-32.840000000000003</v>
      </c>
      <c r="AP125" s="39">
        <f>(IF(WEEKDAY(AP$82,2)&gt;5,0,34.5))*-1</f>
        <v>-34.5</v>
      </c>
      <c r="AQ125" s="39">
        <f>(IF(WEEKDAY(AQ$82,2)&gt;5,0,28.84))*-1</f>
        <v>-28.84</v>
      </c>
      <c r="AR125" s="39">
        <f>(IF(WEEKDAY(AR$82,2)&gt;5,0,25.63))*-1</f>
        <v>-25.63</v>
      </c>
      <c r="AS125" s="39">
        <f>(IF(WEEKDAY(AS$82,2)&gt;5,0,31.35))*-1</f>
        <v>0</v>
      </c>
      <c r="AT125" s="39">
        <f>(IF(WEEKDAY(AT$82,2)&gt;5,0,34.06))*-1</f>
        <v>0</v>
      </c>
      <c r="AU125" s="39">
        <f>(IF(WEEKDAY(AU$82,2)&gt;5,0,27.06))*-1</f>
        <v>-27.06</v>
      </c>
      <c r="AV125" s="39">
        <f>(IF(WEEKDAY(AV$82,2)&gt;5,0,33.82))*-1</f>
        <v>-33.82</v>
      </c>
      <c r="AW125" s="39">
        <f>(IF(WEEKDAY(AW$82,2)&gt;5,0,33.38))*-1</f>
        <v>-33.380000000000003</v>
      </c>
      <c r="AX125" s="39">
        <f>(IF(WEEKDAY(AX$82,2)&gt;5,0,27.22))*-1</f>
        <v>-27.22</v>
      </c>
      <c r="AY125" s="39">
        <f>(IF(WEEKDAY(AY$82,2)&gt;5,0,30.53))*-1</f>
        <v>-30.53</v>
      </c>
      <c r="AZ125" s="39">
        <f>(IF(WEEKDAY(AZ$82,2)&gt;5,0,30.45))*-1</f>
        <v>0</v>
      </c>
      <c r="BA125" s="39">
        <f>(IF(WEEKDAY(BA$82,2)&gt;5,0,33.03))*-1</f>
        <v>0</v>
      </c>
      <c r="BB125" s="39">
        <f>(IF(WEEKDAY(BB$82,2)&gt;5,0,26.36))*-1</f>
        <v>-26.36</v>
      </c>
      <c r="BC125" s="39">
        <f>(IF(WEEKDAY(BC$82,2)&gt;5,0,27.44))*-1</f>
        <v>-27.44</v>
      </c>
      <c r="BD125" s="39">
        <f>(IF(WEEKDAY(BD$82,2)&gt;5,0,27.09))*-1</f>
        <v>-27.09</v>
      </c>
      <c r="BE125" s="39">
        <f>(IF(WEEKDAY(BE$82,2)&gt;5,0,28.11))*-1</f>
        <v>-28.11</v>
      </c>
      <c r="BF125" s="39">
        <f>(IF(WEEKDAY(BF$82,2)&gt;5,0,33.15))*-1</f>
        <v>-33.15</v>
      </c>
      <c r="BG125" s="39">
        <f>(IF(WEEKDAY(BG$82,2)&gt;5,0,30.4))*-1</f>
        <v>0</v>
      </c>
      <c r="BH125" s="39">
        <f>(IF(WEEKDAY(BH$82,2)&gt;5,0,30))*-1</f>
        <v>0</v>
      </c>
      <c r="BI125" s="39">
        <f>(IF(WEEKDAY(BI$82,2)&gt;5,0,28.16))*-1</f>
        <v>-28.16</v>
      </c>
      <c r="BJ125" s="39">
        <f>(IF(WEEKDAY(BJ$82,2)&gt;5,0,29.89))*-1</f>
        <v>-29.89</v>
      </c>
      <c r="BK125" s="39">
        <f>(IF(WEEKDAY(BK$82,2)&gt;5,0,33.66))*-1</f>
        <v>-33.659999999999997</v>
      </c>
      <c r="BL125" s="39">
        <f>(IF(WEEKDAY(BL$82,2)&gt;5,0,28.93))*-1</f>
        <v>-28.93</v>
      </c>
      <c r="BM125" s="39">
        <f>(IF(WEEKDAY(BM$82,2)&gt;5,0,26.1))*-1</f>
        <v>-26.1</v>
      </c>
      <c r="BN125" s="39">
        <f>(IF(WEEKDAY(BN$82,2)&gt;5,0,32.76))*-1</f>
        <v>0</v>
      </c>
      <c r="BO125" s="39">
        <f>(IF(WEEKDAY(BO$82,2)&gt;5,0,26.53))*-1</f>
        <v>0</v>
      </c>
      <c r="BP125" s="39">
        <f>(IF(WEEKDAY(BP$82,2)&gt;5,0,30.76))*-1</f>
        <v>-30.76</v>
      </c>
      <c r="BQ125" s="39">
        <f>(IF(WEEKDAY(BQ$82,2)&gt;5,0,28.11))*-1</f>
        <v>-28.11</v>
      </c>
      <c r="BR125" s="39">
        <f>(IF(WEEKDAY(BR$82,2)&gt;5,0,33.35))*-1</f>
        <v>-33.35</v>
      </c>
      <c r="BS125" s="39">
        <f>(IF(WEEKDAY(BS$82,2)&gt;5,0,25.89))*-1</f>
        <v>-25.89</v>
      </c>
      <c r="BT125" s="39">
        <f>(IF(WEEKDAY(BT$82,2)&gt;5,0,32.35))*-1</f>
        <v>-32.35</v>
      </c>
      <c r="BU125" s="39">
        <f>(IF(WEEKDAY(BU$82,2)&gt;5,0,33.57))*-1</f>
        <v>0</v>
      </c>
      <c r="BV125" s="39">
        <f>(IF(WEEKDAY(BV$82,2)&gt;5,0,25.99))*-1</f>
        <v>0</v>
      </c>
      <c r="BW125" s="39">
        <f>(IF(WEEKDAY(BW$82,2)&gt;5,0,28.33))*-1</f>
        <v>-28.33</v>
      </c>
      <c r="BX125" s="39">
        <f>(IF(WEEKDAY(BX$82,2)&gt;5,0,27.04))*-1</f>
        <v>-27.04</v>
      </c>
      <c r="BY125" s="39">
        <f>(IF(WEEKDAY(BY$82,2)&gt;5,0,27.87))*-1</f>
        <v>-27.87</v>
      </c>
      <c r="BZ125" s="39">
        <f>(IF(WEEKDAY(BZ$82,2)&gt;5,0,26.1))*-1</f>
        <v>-26.1</v>
      </c>
      <c r="CA125" s="39">
        <f>(IF(WEEKDAY(CA$82,2)&gt;5,0,33.93))*-1</f>
        <v>-33.93</v>
      </c>
      <c r="CB125" s="39">
        <f>(IF(WEEKDAY(CB$82,2)&gt;5,0,29.41))*-1</f>
        <v>0</v>
      </c>
      <c r="CC125" s="39">
        <f>(IF(WEEKDAY(CC$82,2)&gt;5,0,31.17))*-1</f>
        <v>0</v>
      </c>
      <c r="CD125" s="39">
        <f>(IF(WEEKDAY(CD$82,2)&gt;5,0,26))*-1</f>
        <v>-26</v>
      </c>
      <c r="CE125" s="39">
        <f>(IF(WEEKDAY(CE$82,2)&gt;5,0,29.86))*-1</f>
        <v>-29.86</v>
      </c>
      <c r="CF125" s="39">
        <f>(IF(WEEKDAY(CF$82,2)&gt;5,0,26.63))*-1</f>
        <v>-26.63</v>
      </c>
      <c r="CG125" s="39">
        <f>(IF(WEEKDAY(CG$82,2)&gt;5,0,32.61))*-1</f>
        <v>-32.61</v>
      </c>
      <c r="CH125" s="39">
        <f>(IF(WEEKDAY(CH$82,2)&gt;5,0,29.22))*-1</f>
        <v>-29.22</v>
      </c>
      <c r="CI125" s="39">
        <f>(IF(WEEKDAY(CI$82,2)&gt;5,0,33.35))*-1</f>
        <v>0</v>
      </c>
      <c r="CJ125" s="39">
        <f>(IF(WEEKDAY(CJ$82,2)&gt;5,0,25.77))*-1</f>
        <v>0</v>
      </c>
      <c r="CK125" s="39">
        <f>(IF(WEEKDAY(CK$82,2)&gt;5,0,27.13))*-1</f>
        <v>-27.13</v>
      </c>
      <c r="CL125" s="39">
        <f>(IF(WEEKDAY(CL$82,2)&gt;5,0,28.8))*-1</f>
        <v>-28.8</v>
      </c>
      <c r="CM125" s="39">
        <f>(IF(WEEKDAY(CM$82,2)&gt;5,0,30.63))*-1</f>
        <v>-30.63</v>
      </c>
      <c r="CN125" s="39">
        <f>(IF(WEEKDAY(CN$82,2)&gt;5,0,27.97))*-1</f>
        <v>-27.97</v>
      </c>
      <c r="CO125" s="39">
        <f>(IF(WEEKDAY(CO$82,2)&gt;5,0,32.53))*-1</f>
        <v>-32.53</v>
      </c>
      <c r="CP125" s="39">
        <f>(IF(WEEKDAY(CP$82,2)&gt;5,0,29.99))*-1</f>
        <v>0</v>
      </c>
      <c r="CQ125" s="39">
        <f>(IF(WEEKDAY(CQ$82,2)&gt;5,0,29.58))*-1</f>
        <v>0</v>
      </c>
      <c r="CR125" s="39">
        <f>(IF(WEEKDAY(CR$82,2)&gt;5,0,28.33))*-1</f>
        <v>-28.33</v>
      </c>
      <c r="CS125" s="39">
        <f>(IF(WEEKDAY(CS$82,2)&gt;5,0,33.29))*-1</f>
        <v>-33.29</v>
      </c>
      <c r="CT125" s="39">
        <f>(IF(WEEKDAY(CT$82,2)&gt;5,0,27.81))*-1</f>
        <v>-27.81</v>
      </c>
      <c r="CU125" s="39">
        <f>(IF(WEEKDAY(CU$82,2)&gt;5,0,30.03))*-1</f>
        <v>-30.03</v>
      </c>
      <c r="CV125" s="39">
        <f>(IF(WEEKDAY(CV$82,2)&gt;5,0,29.06))*-1</f>
        <v>-29.06</v>
      </c>
      <c r="CW125" s="39">
        <f>(IF(WEEKDAY(CW$82,2)&gt;5,0,30.33))*-1</f>
        <v>0</v>
      </c>
      <c r="CX125" s="39">
        <f>(IF(WEEKDAY(CX$82,2)&gt;5,0,30.93))*-1</f>
        <v>0</v>
      </c>
      <c r="CY125" s="39">
        <f>(IF(WEEKDAY(CY$82,2)&gt;5,0,26.56))*-1</f>
        <v>-26.56</v>
      </c>
      <c r="CZ125" s="39">
        <f>(IF(WEEKDAY(CZ$82,2)&gt;5,0,33.78))*-1</f>
        <v>-33.78</v>
      </c>
      <c r="DA125" s="39">
        <f>(IF(WEEKDAY(DA$82,2)&gt;5,0,26.42))*-1</f>
        <v>-26.42</v>
      </c>
      <c r="DB125" s="39">
        <f>(IF(WEEKDAY(DB$82,2)&gt;5,0,32.06))*-1</f>
        <v>-32.06</v>
      </c>
      <c r="DC125" s="39">
        <f>(IF(WEEKDAY(DC$82,2)&gt;5,0,31.16))*-1</f>
        <v>-31.16</v>
      </c>
      <c r="DD125" s="39">
        <f>(IF(WEEKDAY(DD$82,2)&gt;5,0,27.95))*-1</f>
        <v>0</v>
      </c>
      <c r="DE125" s="39">
        <f>(IF(WEEKDAY(DE$82,2)&gt;5,0,28.03))*-1</f>
        <v>0</v>
      </c>
      <c r="DF125" s="39">
        <f>(IF(WEEKDAY(DF$82,2)&gt;5,0,32.62))*-1</f>
        <v>-32.619999999999997</v>
      </c>
      <c r="DG125" s="39">
        <f>(IF(WEEKDAY(DG$82,2)&gt;5,0,25.86))*-1</f>
        <v>-25.86</v>
      </c>
      <c r="DH125" s="39">
        <f>(IF(WEEKDAY(DH$82,2)&gt;5,0,26.43))*-1</f>
        <v>-26.43</v>
      </c>
      <c r="DI125" s="39">
        <f>(IF(WEEKDAY(DI$82,2)&gt;5,0,33.26))*-1</f>
        <v>-33.26</v>
      </c>
      <c r="DJ125" s="39">
        <f>(IF(WEEKDAY(DJ$82,2)&gt;5,0,29.85))*-1</f>
        <v>-29.85</v>
      </c>
      <c r="DK125" s="39">
        <f>(IF(WEEKDAY(DK$82,2)&gt;5,0,34.16))*-1</f>
        <v>0</v>
      </c>
      <c r="DL125" s="39">
        <f>(IF(WEEKDAY(DL$82,2)&gt;5,0,30.37))*-1</f>
        <v>0</v>
      </c>
      <c r="DM125" s="39">
        <f>(IF(WEEKDAY(DM$82,2)&gt;5,0,31.32))*-1</f>
        <v>-31.32</v>
      </c>
      <c r="DN125" s="39">
        <f>(IF(WEEKDAY(DN$82,2)&gt;5,0,34.15))*-1</f>
        <v>-34.15</v>
      </c>
      <c r="DO125" s="39">
        <f>(IF(WEEKDAY(DO$82,2)&gt;5,0,33.64))*-1</f>
        <v>-33.64</v>
      </c>
      <c r="DP125" s="39">
        <f>(IF(WEEKDAY(DP$82,2)&gt;5,0,27.58))*-1</f>
        <v>-27.58</v>
      </c>
      <c r="DQ125" s="39">
        <f>(IF(WEEKDAY(DQ$82,2)&gt;5,0,31.13))*-1</f>
        <v>-31.13</v>
      </c>
      <c r="DR125" s="39">
        <f>(IF(WEEKDAY(DR$82,2)&gt;5,0,26.55))*-1</f>
        <v>0</v>
      </c>
      <c r="DS125" s="39">
        <f>(IF(WEEKDAY(DS$82,2)&gt;5,0,33.25))*-1</f>
        <v>0</v>
      </c>
      <c r="DT125" s="39">
        <f>(IF(WEEKDAY(DT$82,2)&gt;5,0,29.7))*-1</f>
        <v>-29.7</v>
      </c>
      <c r="DU125" s="39">
        <f>(IF(WEEKDAY(DU$82,2)&gt;5,0,26.94))*-1</f>
        <v>-26.94</v>
      </c>
      <c r="DV125" s="39">
        <f>(IF(WEEKDAY(DV$82,2)&gt;5,0,33.84))*-1</f>
        <v>-33.840000000000003</v>
      </c>
      <c r="DW125" s="39">
        <f>(IF(WEEKDAY(DW$82,2)&gt;5,0,31.74))*-1</f>
        <v>-31.74</v>
      </c>
      <c r="DX125" s="39">
        <f>(IF(WEEKDAY(DX$82,2)&gt;5,0,27.11))*-1</f>
        <v>-27.11</v>
      </c>
      <c r="DY125" s="39">
        <f>(IF(WEEKDAY(DY$82,2)&gt;5,0,30.99))*-1</f>
        <v>0</v>
      </c>
      <c r="DZ125" s="39">
        <f>(IF(WEEKDAY(DZ$82,2)&gt;5,0,32.74))*-1</f>
        <v>0</v>
      </c>
      <c r="EA125" s="39">
        <f>(IF(WEEKDAY(EA$82,2)&gt;5,0,26))*-1</f>
        <v>-26</v>
      </c>
      <c r="EB125" s="39">
        <f>(IF(WEEKDAY(EB$82,2)&gt;5,0,29.72))*-1</f>
        <v>-29.72</v>
      </c>
      <c r="EC125" s="39">
        <f>(IF(WEEKDAY(EC$82,2)&gt;5,0,32.89))*-1</f>
        <v>-32.89</v>
      </c>
      <c r="ED125" s="39">
        <f>(IF(WEEKDAY(ED$82,2)&gt;5,0,33.69))*-1</f>
        <v>-33.69</v>
      </c>
      <c r="EE125" s="39">
        <f>(IF(WEEKDAY(EE$82,2)&gt;5,0,29.94))*-1</f>
        <v>-29.94</v>
      </c>
      <c r="EF125" s="39">
        <f>(IF(WEEKDAY(EF$82,2)&gt;5,0,27.73))*-1</f>
        <v>0</v>
      </c>
      <c r="EG125" s="39">
        <f>(IF(WEEKDAY(EG$82,2)&gt;5,0,31.06))*-1</f>
        <v>0</v>
      </c>
      <c r="EH125" s="39">
        <f>(IF(WEEKDAY(EH$82,2)&gt;5,0,27.76))*-1</f>
        <v>-27.76</v>
      </c>
      <c r="EI125" s="39">
        <f>(IF(WEEKDAY(EI$82,2)&gt;5,0,26.99))*-1</f>
        <v>-26.99</v>
      </c>
      <c r="EJ125" s="39">
        <f>(IF(WEEKDAY(EJ$82,2)&gt;5,0,26.31))*-1</f>
        <v>-26.31</v>
      </c>
      <c r="EK125" s="39">
        <f>(IF(WEEKDAY(EK$82,2)&gt;5,0,28.47))*-1</f>
        <v>-28.47</v>
      </c>
      <c r="EL125" s="39">
        <f>(IF(WEEKDAY(EL$82,2)&gt;5,0,33.94))*-1</f>
        <v>-33.94</v>
      </c>
      <c r="EM125" s="39">
        <f>(IF(WEEKDAY(EM$82,2)&gt;5,0,27.83))*-1</f>
        <v>0</v>
      </c>
      <c r="EN125" s="39">
        <f>(IF(WEEKDAY(EN$82,2)&gt;5,0,27.68))*-1</f>
        <v>0</v>
      </c>
      <c r="EO125" s="39">
        <f>(IF(WEEKDAY(EO$82,2)&gt;5,0,33.08))*-1</f>
        <v>-33.08</v>
      </c>
      <c r="EP125" s="39">
        <f>(IF(WEEKDAY(EP$82,2)&gt;5,0,29.05))*-1</f>
        <v>-29.05</v>
      </c>
      <c r="EQ125" s="39">
        <f>(IF(WEEKDAY(EQ$82,2)&gt;5,0,30.66))*-1</f>
        <v>-30.66</v>
      </c>
      <c r="ER125" s="39">
        <f>(IF(WEEKDAY(ER$82,2)&gt;5,0,28.55))*-1</f>
        <v>-28.55</v>
      </c>
      <c r="ES125" s="39">
        <f>(IF(WEEKDAY(ES$82,2)&gt;5,0,31.84))*-1</f>
        <v>-31.84</v>
      </c>
      <c r="ET125" s="39">
        <f>(IF(WEEKDAY(ET$82,2)&gt;5,0,27.36))*-1</f>
        <v>0</v>
      </c>
      <c r="EU125" s="39">
        <f>(IF(WEEKDAY(EU$82,2)&gt;5,0,28.42))*-1</f>
        <v>0</v>
      </c>
      <c r="EV125" s="39">
        <f>(IF(WEEKDAY(EV$82,2)&gt;5,0,34.19))*-1</f>
        <v>-34.19</v>
      </c>
      <c r="EW125" s="39">
        <f>(IF(WEEKDAY(EW$82,2)&gt;5,0,31.5))*-1</f>
        <v>-31.5</v>
      </c>
      <c r="EX125" s="39">
        <f>(IF(WEEKDAY(EX$82,2)&gt;5,0,34.43))*-1</f>
        <v>-34.43</v>
      </c>
      <c r="EY125" s="39">
        <f>(IF(WEEKDAY(EY$82,2)&gt;5,0,30.86))*-1</f>
        <v>-30.86</v>
      </c>
      <c r="EZ125" s="39">
        <f>(IF(WEEKDAY(EZ$82,2)&gt;5,0,28.92))*-1</f>
        <v>-28.92</v>
      </c>
      <c r="FA125" s="39">
        <f>(IF(WEEKDAY(FA$82,2)&gt;5,0,30.93))*-1</f>
        <v>0</v>
      </c>
      <c r="FB125" s="39">
        <f>(IF(WEEKDAY(FB$82,2)&gt;5,0,26.05))*-1</f>
        <v>0</v>
      </c>
      <c r="FC125" s="39">
        <f>(IF(WEEKDAY(FC$82,2)&gt;5,0,29.63))*-1</f>
        <v>-29.63</v>
      </c>
      <c r="FD125" s="39">
        <f>(IF(WEEKDAY(FD$82,2)&gt;5,0,33.48))*-1</f>
        <v>-33.479999999999997</v>
      </c>
      <c r="FE125" s="39">
        <f>(IF(WEEKDAY(FE$82,2)&gt;5,0,29.92))*-1</f>
        <v>-29.92</v>
      </c>
      <c r="FF125" s="39">
        <f>(IF(WEEKDAY(FF$82,2)&gt;5,0,33.61))*-1</f>
        <v>-33.61</v>
      </c>
      <c r="FG125" s="39">
        <f>(IF(WEEKDAY(FG$82,2)&gt;5,0,28.68))*-1</f>
        <v>-28.68</v>
      </c>
      <c r="FH125" s="39">
        <f>(IF(WEEKDAY(FH$82,2)&gt;5,0,33.44))*-1</f>
        <v>0</v>
      </c>
      <c r="FI125" s="39">
        <f>(IF(WEEKDAY(FI$82,2)&gt;5,0,26.88))*-1</f>
        <v>0</v>
      </c>
      <c r="FJ125" s="39">
        <f>(IF(WEEKDAY(FJ$82,2)&gt;5,0,32.93))*-1</f>
        <v>-32.93</v>
      </c>
      <c r="FK125" s="39">
        <f>(IF(WEEKDAY(FK$82,2)&gt;5,0,33.92))*-1</f>
        <v>-33.92</v>
      </c>
      <c r="FL125" s="39">
        <f>(IF(WEEKDAY(FL$82,2)&gt;5,0,29.42))*-1</f>
        <v>-29.42</v>
      </c>
      <c r="FM125" s="39">
        <f>(IF(WEEKDAY(FM$82,2)&gt;5,0,25.55))*-1</f>
        <v>-25.55</v>
      </c>
      <c r="FN125" s="39">
        <f>(IF(WEEKDAY(FN$82,2)&gt;5,0,33.3))*-1</f>
        <v>-33.299999999999997</v>
      </c>
      <c r="FO125" s="39">
        <f>(IF(WEEKDAY(FO$82,2)&gt;5,0,32.67))*-1</f>
        <v>0</v>
      </c>
      <c r="FP125" s="39">
        <f>(IF(WEEKDAY(FP$82,2)&gt;5,0,30.42))*-1</f>
        <v>0</v>
      </c>
      <c r="FQ125" s="39">
        <f>(IF(WEEKDAY(FQ$82,2)&gt;5,0,27.67))*-1</f>
        <v>-27.67</v>
      </c>
      <c r="FR125" s="39">
        <f>(IF(WEEKDAY(FR$82,2)&gt;5,0,28.7))*-1</f>
        <v>-28.7</v>
      </c>
      <c r="FS125" s="39">
        <f>(IF(WEEKDAY(FS$82,2)&gt;5,0,26.81))*-1</f>
        <v>-26.81</v>
      </c>
      <c r="FT125" s="39">
        <f>(IF(WEEKDAY(FT$82,2)&gt;5,0,30.76))*-1</f>
        <v>-30.76</v>
      </c>
      <c r="FU125" s="39">
        <f>(IF(WEEKDAY(FU$82,2)&gt;5,0,28.37))*-1</f>
        <v>-28.37</v>
      </c>
      <c r="FV125" s="39">
        <f>(IF(WEEKDAY(FV$82,2)&gt;5,0,27.94))*-1</f>
        <v>0</v>
      </c>
      <c r="FW125" s="39">
        <f>(IF(WEEKDAY(FW$82,2)&gt;5,0,27.72))*-1</f>
        <v>0</v>
      </c>
      <c r="FX125" s="39">
        <f>(IF(WEEKDAY(FX$82,2)&gt;5,0,28.67))*-1</f>
        <v>-28.67</v>
      </c>
      <c r="FY125" s="39">
        <f>(IF(WEEKDAY(FY$82,2)&gt;5,0,27.69))*-1</f>
        <v>-27.69</v>
      </c>
      <c r="FZ125" s="39">
        <f>(IF(WEEKDAY(FZ$82,2)&gt;5,0,27))*-1</f>
        <v>-27</v>
      </c>
      <c r="GA125" s="39">
        <f>(IF(WEEKDAY(GA$82,2)&gt;5,0,33.43))*-1</f>
        <v>-33.43</v>
      </c>
      <c r="GB125" s="39">
        <f>(IF(WEEKDAY(GB$82,2)&gt;5,0,34.37))*-1</f>
        <v>-34.369999999999997</v>
      </c>
      <c r="GC125" s="39">
        <f>(IF(WEEKDAY(GC$82,2)&gt;5,0,25.86))*-1</f>
        <v>0</v>
      </c>
      <c r="GD125" s="39">
        <f>(IF(WEEKDAY(GD$82,2)&gt;5,0,31.14))*-1</f>
        <v>0</v>
      </c>
      <c r="GE125" s="39">
        <f>(IF(WEEKDAY(GE$82,2)&gt;5,0,32.74))*-1</f>
        <v>-32.74</v>
      </c>
      <c r="GF125" s="39">
        <f>(IF(WEEKDAY(GF$82,2)&gt;5,0,31.37))*-1</f>
        <v>-31.37</v>
      </c>
      <c r="GG125" s="39">
        <f>(IF(WEEKDAY(GG$82,2)&gt;5,0,27.9))*-1</f>
        <v>-27.9</v>
      </c>
      <c r="GH125" s="39">
        <f>(IF(WEEKDAY(GH$82,2)&gt;5,0,25.74))*-1</f>
        <v>-25.74</v>
      </c>
      <c r="GI125" s="39">
        <f>(IF(WEEKDAY(GI$82,2)&gt;5,0,33.46))*-1</f>
        <v>-33.46</v>
      </c>
      <c r="GJ125" s="39">
        <f>(IF(WEEKDAY(GJ$82,2)&gt;5,0,31.41))*-1</f>
        <v>0</v>
      </c>
      <c r="GK125" s="39">
        <f>(IF(WEEKDAY(GK$82,2)&gt;5,0,32.7))*-1</f>
        <v>0</v>
      </c>
      <c r="GL125" s="39">
        <f>(IF(WEEKDAY(GL$82,2)&gt;5,0,27.19))*-1</f>
        <v>-27.19</v>
      </c>
      <c r="GM125" s="39">
        <f>(IF(WEEKDAY(GM$82,2)&gt;5,0,31.6))*-1</f>
        <v>-31.6</v>
      </c>
      <c r="GN125" s="39">
        <f>(IF(WEEKDAY(GN$82,2)&gt;5,0,29.63))*-1</f>
        <v>-29.63</v>
      </c>
      <c r="GO125" s="39">
        <f>(IF(WEEKDAY(GO$82,2)&gt;5,0,32.28))*-1</f>
        <v>-32.28</v>
      </c>
      <c r="GP125" s="39">
        <f>(IF(WEEKDAY(GP$82,2)&gt;5,0,26.13))*-1</f>
        <v>-26.13</v>
      </c>
      <c r="GQ125" s="39">
        <f>(IF(WEEKDAY(GQ$82,2)&gt;5,0,26.98))*-1</f>
        <v>0</v>
      </c>
      <c r="GR125" s="39">
        <f>(IF(WEEKDAY(GR$82,2)&gt;5,0,33.03))*-1</f>
        <v>0</v>
      </c>
      <c r="GS125" s="39">
        <f>(IF(WEEKDAY(GS$82,2)&gt;5,0,25.94))*-1</f>
        <v>-25.94</v>
      </c>
      <c r="GT125" s="39">
        <f>(IF(WEEKDAY(GT$82,2)&gt;5,0,28.44))*-1</f>
        <v>-28.44</v>
      </c>
      <c r="GU125" s="39">
        <f>(IF(WEEKDAY(GU$82,2)&gt;5,0,32.05))*-1</f>
        <v>-32.049999999999997</v>
      </c>
      <c r="GV125" s="39">
        <f>(IF(WEEKDAY(GV$82,2)&gt;5,0,29.55))*-1</f>
        <v>-29.55</v>
      </c>
      <c r="GW125" s="39">
        <f>(IF(WEEKDAY(GW$82,2)&gt;5,0,29.66))*-1</f>
        <v>-29.66</v>
      </c>
      <c r="GX125" s="39">
        <f>(IF(WEEKDAY(GX$82,2)&gt;5,0,32.61))*-1</f>
        <v>0</v>
      </c>
      <c r="GY125" s="39">
        <f>(IF(WEEKDAY(GY$82,2)&gt;5,0,28.72))*-1</f>
        <v>0</v>
      </c>
      <c r="GZ125" s="39">
        <f>(IF(WEEKDAY(GZ$82,2)&gt;5,0,25.78))*-1</f>
        <v>-25.78</v>
      </c>
      <c r="HA125" s="39">
        <f>(IF(WEEKDAY(HA$82,2)&gt;5,0,31.68))*-1</f>
        <v>-31.68</v>
      </c>
      <c r="HB125" s="39">
        <f>(IF(WEEKDAY(HB$82,2)&gt;5,0,33.08))*-1</f>
        <v>-33.08</v>
      </c>
      <c r="HC125" s="39">
        <f>(IF(WEEKDAY(HC$82,2)&gt;5,0,28.24))*-1</f>
        <v>-28.24</v>
      </c>
      <c r="HD125" s="39">
        <f>(IF(WEEKDAY(HD$82,2)&gt;5,0,25.97))*-1</f>
        <v>-25.97</v>
      </c>
      <c r="HE125" s="39">
        <f>(IF(WEEKDAY(HE$82,2)&gt;5,0,25.67))*-1</f>
        <v>0</v>
      </c>
      <c r="HF125" s="39">
        <f>(IF(WEEKDAY(HF$82,2)&gt;5,0,26.95))*-1</f>
        <v>0</v>
      </c>
      <c r="HG125" s="39">
        <f>(IF(WEEKDAY(HG$82,2)&gt;5,0,32.41))*-1</f>
        <v>-32.409999999999997</v>
      </c>
      <c r="HH125" s="39">
        <f>(IF(WEEKDAY(HH$82,2)&gt;5,0,28.12))*-1</f>
        <v>-28.12</v>
      </c>
      <c r="HI125" s="39">
        <f>(IF(WEEKDAY(HI$82,2)&gt;5,0,32.51))*-1</f>
        <v>-32.51</v>
      </c>
      <c r="HJ125" s="39">
        <f>(IF(WEEKDAY(HJ$82,2)&gt;5,0,26.95))*-1</f>
        <v>-26.95</v>
      </c>
      <c r="HK125" s="39">
        <f>(IF(WEEKDAY(HK$82,2)&gt;5,0,33.62))*-1</f>
        <v>-33.619999999999997</v>
      </c>
      <c r="HL125" s="39">
        <f>(IF(WEEKDAY(HL$82,2)&gt;5,0,30.64))*-1</f>
        <v>0</v>
      </c>
      <c r="HM125" s="39">
        <f>(IF(WEEKDAY(HM$82,2)&gt;5,0,25.63))*-1</f>
        <v>0</v>
      </c>
      <c r="HN125" s="39">
        <f>(IF(WEEKDAY(HN$82,2)&gt;5,0,33.7))*-1</f>
        <v>-33.700000000000003</v>
      </c>
      <c r="HO125" s="39">
        <f>(IF(WEEKDAY(HO$82,2)&gt;5,0,28.02))*-1</f>
        <v>-28.02</v>
      </c>
      <c r="HP125" s="39">
        <f>(IF(WEEKDAY(HP$82,2)&gt;5,0,34.33))*-1</f>
        <v>-34.33</v>
      </c>
      <c r="HQ125" s="39">
        <f>(IF(WEEKDAY(HQ$82,2)&gt;5,0,33.35))*-1</f>
        <v>-33.35</v>
      </c>
      <c r="HR125" s="39">
        <f>(IF(WEEKDAY(HR$82,2)&gt;5,0,30.83))*-1</f>
        <v>-30.83</v>
      </c>
      <c r="HS125" s="39">
        <f>(IF(WEEKDAY(HS$82,2)&gt;5,0,33.92))*-1</f>
        <v>0</v>
      </c>
      <c r="HT125" s="39">
        <f>(IF(WEEKDAY(HT$82,2)&gt;5,0,33.62))*-1</f>
        <v>0</v>
      </c>
      <c r="HU125" s="39">
        <f>(IF(WEEKDAY(HU$82,2)&gt;5,0,31.13))*-1</f>
        <v>-31.13</v>
      </c>
      <c r="HV125" s="39">
        <f>(IF(WEEKDAY(HV$82,2)&gt;5,0,33.99))*-1</f>
        <v>-33.99</v>
      </c>
      <c r="HW125" s="39">
        <f>(IF(WEEKDAY(HW$82,2)&gt;5,0,29.82))*-1</f>
        <v>-29.82</v>
      </c>
      <c r="HX125" s="39">
        <f>(IF(WEEKDAY(HX$82,2)&gt;5,0,32.28))*-1</f>
        <v>-32.28</v>
      </c>
      <c r="HY125" s="39">
        <f>(IF(WEEKDAY(HY$82,2)&gt;5,0,28.46))*-1</f>
        <v>-28.46</v>
      </c>
      <c r="HZ125" s="39">
        <f>(IF(WEEKDAY(HZ$82,2)&gt;5,0,32.92))*-1</f>
        <v>0</v>
      </c>
      <c r="IA125" s="39">
        <f>(IF(WEEKDAY(IA$82,2)&gt;5,0,27.15))*-1</f>
        <v>0</v>
      </c>
      <c r="IB125" s="39">
        <f>(IF(WEEKDAY(IB$82,2)&gt;5,0,30.82))*-1</f>
        <v>-30.82</v>
      </c>
      <c r="IC125" s="39">
        <f>(IF(WEEKDAY(IC$82,2)&gt;5,0,33.45))*-1</f>
        <v>-33.450000000000003</v>
      </c>
      <c r="ID125" s="39">
        <f>(IF(WEEKDAY(ID$82,2)&gt;5,0,27.86))*-1</f>
        <v>-27.86</v>
      </c>
      <c r="IE125" s="39">
        <f>(IF(WEEKDAY(IE$82,2)&gt;5,0,31.13))*-1</f>
        <v>-31.13</v>
      </c>
      <c r="IF125" s="39">
        <f>(IF(WEEKDAY(IF$82,2)&gt;5,0,34.47))*-1</f>
        <v>-34.47</v>
      </c>
      <c r="IG125" s="39">
        <f>(IF(WEEKDAY(IG$82,2)&gt;5,0,28.95))*-1</f>
        <v>0</v>
      </c>
      <c r="IH125" s="39">
        <f>(IF(WEEKDAY(IH$82,2)&gt;5,0,30.14))*-1</f>
        <v>0</v>
      </c>
      <c r="II125" s="39">
        <f>(IF(WEEKDAY(II$82,2)&gt;5,0,31.64))*-1</f>
        <v>-31.64</v>
      </c>
      <c r="IJ125" s="39">
        <f>(IF(WEEKDAY(IJ$82,2)&gt;5,0,32.39))*-1</f>
        <v>-32.39</v>
      </c>
      <c r="IK125" s="39">
        <f>(IF(WEEKDAY(IK$82,2)&gt;5,0,29.24))*-1</f>
        <v>-29.24</v>
      </c>
      <c r="IL125" s="39">
        <f>(IF(WEEKDAY(IL$82,2)&gt;5,0,25.88))*-1</f>
        <v>-25.88</v>
      </c>
    </row>
    <row r="126" spans="1:246" x14ac:dyDescent="0.3">
      <c r="A126" t="s">
        <v>108</v>
      </c>
      <c r="B126" s="39">
        <f>(IF(WEEKDAY(B$82,2)&gt;5,0,10))*-1</f>
        <v>-10</v>
      </c>
      <c r="C126" s="39">
        <f>(IF(WEEKDAY(C$82,2)&gt;5,0,11.06))*-1</f>
        <v>0</v>
      </c>
      <c r="D126" s="39">
        <f>(IF(WEEKDAY(D$82,2)&gt;5,0,10.27))*-1</f>
        <v>0</v>
      </c>
      <c r="E126" s="39">
        <f>(IF(WEEKDAY(E$82,2)&gt;5,0,9.64))*-1</f>
        <v>-9.64</v>
      </c>
      <c r="F126" s="39">
        <f>(IF(WEEKDAY(F$82,2)&gt;5,0,10.25))*-1</f>
        <v>-10.25</v>
      </c>
      <c r="G126" s="39">
        <f>(IF(WEEKDAY(G$82,2)&gt;5,0,10.51))*-1</f>
        <v>-10.51</v>
      </c>
      <c r="H126" s="39">
        <f>(IF(WEEKDAY(H$82,2)&gt;5,0,10.99))*-1</f>
        <v>-10.99</v>
      </c>
      <c r="I126" s="39">
        <f>(IF(WEEKDAY(I$82,2)&gt;5,0,10.69))*-1</f>
        <v>-10.69</v>
      </c>
      <c r="J126" s="39">
        <f>(IF(WEEKDAY(J$82,2)&gt;5,0,9.44))*-1</f>
        <v>0</v>
      </c>
      <c r="K126" s="39">
        <f>(IF(WEEKDAY(K$82,2)&gt;5,0,9.62))*-1</f>
        <v>0</v>
      </c>
      <c r="L126" s="39">
        <f>(IF(WEEKDAY(L$82,2)&gt;5,0,11.12))*-1</f>
        <v>-11.12</v>
      </c>
      <c r="M126" s="39">
        <f>(IF(WEEKDAY(M$82,2)&gt;5,0,9.65))*-1</f>
        <v>-9.65</v>
      </c>
      <c r="N126" s="39">
        <f>(IF(WEEKDAY(N$82,2)&gt;5,0,11.13))*-1</f>
        <v>-11.13</v>
      </c>
      <c r="O126" s="39">
        <f>(IF(WEEKDAY(O$82,2)&gt;5,0,11.47))*-1</f>
        <v>-11.47</v>
      </c>
      <c r="P126" s="39">
        <f>(IF(WEEKDAY(P$82,2)&gt;5,0,10.59))*-1</f>
        <v>-10.59</v>
      </c>
      <c r="Q126" s="39">
        <f>(IF(WEEKDAY(Q$82,2)&gt;5,0,8.69))*-1</f>
        <v>0</v>
      </c>
      <c r="R126" s="39">
        <f>(IF(WEEKDAY(R$82,2)&gt;5,0,11.22))*-1</f>
        <v>0</v>
      </c>
      <c r="S126" s="39">
        <f>(IF(WEEKDAY(S$82,2)&gt;5,0,10.95))*-1</f>
        <v>-10.95</v>
      </c>
      <c r="T126" s="39">
        <f>(IF(WEEKDAY(T$82,2)&gt;5,0,10.81))*-1</f>
        <v>-10.81</v>
      </c>
      <c r="U126" s="39">
        <f>(IF(WEEKDAY(U$82,2)&gt;5,0,11))*-1</f>
        <v>-11</v>
      </c>
      <c r="V126" s="39">
        <f>(IF(WEEKDAY(V$82,2)&gt;5,0,10.2))*-1</f>
        <v>-10.199999999999999</v>
      </c>
      <c r="W126" s="39">
        <f>(IF(WEEKDAY(W$82,2)&gt;5,0,9.05))*-1</f>
        <v>-9.0500000000000007</v>
      </c>
      <c r="X126" s="39">
        <f>(IF(WEEKDAY(X$82,2)&gt;5,0,9.18))*-1</f>
        <v>0</v>
      </c>
      <c r="Y126" s="39">
        <f>(IF(WEEKDAY(Y$82,2)&gt;5,0,10.23))*-1</f>
        <v>0</v>
      </c>
      <c r="Z126" s="39">
        <f>(IF(WEEKDAY(Z$82,2)&gt;5,0,11.24))*-1</f>
        <v>-11.24</v>
      </c>
      <c r="AA126" s="39">
        <f>(IF(WEEKDAY(AA$82,2)&gt;5,0,10.76))*-1</f>
        <v>-10.76</v>
      </c>
      <c r="AB126" s="39">
        <f>(IF(WEEKDAY(AB$82,2)&gt;5,0,10.95))*-1</f>
        <v>-10.95</v>
      </c>
      <c r="AC126" s="39">
        <f>(IF(WEEKDAY(AC$82,2)&gt;5,0,10.04))*-1</f>
        <v>-10.039999999999999</v>
      </c>
      <c r="AD126" s="39">
        <f>(IF(WEEKDAY(AD$82,2)&gt;5,0,11.19))*-1</f>
        <v>-11.19</v>
      </c>
      <c r="AE126" s="39">
        <f>(IF(WEEKDAY(AE$82,2)&gt;5,0,10.8))*-1</f>
        <v>0</v>
      </c>
      <c r="AF126" s="39">
        <f>(IF(WEEKDAY(AF$82,2)&gt;5,0,11.01))*-1</f>
        <v>0</v>
      </c>
      <c r="AG126" s="39">
        <f>(IF(WEEKDAY(AG$82,2)&gt;5,0,10.82))*-1</f>
        <v>-10.82</v>
      </c>
      <c r="AH126" s="39">
        <f>(IF(WEEKDAY(AH$82,2)&gt;5,0,11))*-1</f>
        <v>-11</v>
      </c>
      <c r="AI126" s="39">
        <f>(IF(WEEKDAY(AI$82,2)&gt;5,0,11.26))*-1</f>
        <v>-11.26</v>
      </c>
      <c r="AJ126" s="39">
        <f>(IF(WEEKDAY(AJ$82,2)&gt;5,0,8.61))*-1</f>
        <v>-8.61</v>
      </c>
      <c r="AK126" s="39">
        <f>(IF(WEEKDAY(AK$82,2)&gt;5,0,10.48))*-1</f>
        <v>-10.48</v>
      </c>
      <c r="AL126" s="39">
        <f>(IF(WEEKDAY(AL$82,2)&gt;5,0,9.12))*-1</f>
        <v>0</v>
      </c>
      <c r="AM126" s="39">
        <f>(IF(WEEKDAY(AM$82,2)&gt;5,0,8.93))*-1</f>
        <v>0</v>
      </c>
      <c r="AN126" s="39">
        <f>(IF(WEEKDAY(AN$82,2)&gt;5,0,10.33))*-1</f>
        <v>-10.33</v>
      </c>
      <c r="AO126" s="39">
        <f>(IF(WEEKDAY(AO$82,2)&gt;5,0,9.77))*-1</f>
        <v>-9.77</v>
      </c>
      <c r="AP126" s="39">
        <f>(IF(WEEKDAY(AP$82,2)&gt;5,0,9.54))*-1</f>
        <v>-9.5399999999999991</v>
      </c>
      <c r="AQ126" s="39">
        <f>(IF(WEEKDAY(AQ$82,2)&gt;5,0,9.07))*-1</f>
        <v>-9.07</v>
      </c>
      <c r="AR126" s="39">
        <f>(IF(WEEKDAY(AR$82,2)&gt;5,0,9.22))*-1</f>
        <v>-9.2200000000000006</v>
      </c>
      <c r="AS126" s="39">
        <f>(IF(WEEKDAY(AS$82,2)&gt;5,0,8.83))*-1</f>
        <v>0</v>
      </c>
      <c r="AT126" s="39">
        <f>(IF(WEEKDAY(AT$82,2)&gt;5,0,9.61))*-1</f>
        <v>0</v>
      </c>
      <c r="AU126" s="39">
        <f>(IF(WEEKDAY(AU$82,2)&gt;5,0,8.96))*-1</f>
        <v>-8.9600000000000009</v>
      </c>
      <c r="AV126" s="39">
        <f>(IF(WEEKDAY(AV$82,2)&gt;5,0,9.75))*-1</f>
        <v>-9.75</v>
      </c>
      <c r="AW126" s="39">
        <f>(IF(WEEKDAY(AW$82,2)&gt;5,0,8.79))*-1</f>
        <v>-8.7899999999999991</v>
      </c>
      <c r="AX126" s="39">
        <f>(IF(WEEKDAY(AX$82,2)&gt;5,0,9.74))*-1</f>
        <v>-9.74</v>
      </c>
      <c r="AY126" s="39">
        <f>(IF(WEEKDAY(AY$82,2)&gt;5,0,10.18))*-1</f>
        <v>-10.18</v>
      </c>
      <c r="AZ126" s="39">
        <f>(IF(WEEKDAY(AZ$82,2)&gt;5,0,9.05))*-1</f>
        <v>0</v>
      </c>
      <c r="BA126" s="39">
        <f>(IF(WEEKDAY(BA$82,2)&gt;5,0,9.73))*-1</f>
        <v>0</v>
      </c>
      <c r="BB126" s="39">
        <f>(IF(WEEKDAY(BB$82,2)&gt;5,0,10.62))*-1</f>
        <v>-10.62</v>
      </c>
      <c r="BC126" s="39">
        <f>(IF(WEEKDAY(BC$82,2)&gt;5,0,11.31))*-1</f>
        <v>-11.31</v>
      </c>
      <c r="BD126" s="39">
        <f>(IF(WEEKDAY(BD$82,2)&gt;5,0,9.07))*-1</f>
        <v>-9.07</v>
      </c>
      <c r="BE126" s="39">
        <f>(IF(WEEKDAY(BE$82,2)&gt;5,0,9.46))*-1</f>
        <v>-9.4600000000000009</v>
      </c>
      <c r="BF126" s="39">
        <f>(IF(WEEKDAY(BF$82,2)&gt;5,0,10.75))*-1</f>
        <v>-10.75</v>
      </c>
      <c r="BG126" s="39">
        <f>(IF(WEEKDAY(BG$82,2)&gt;5,0,8.86))*-1</f>
        <v>0</v>
      </c>
      <c r="BH126" s="39">
        <f>(IF(WEEKDAY(BH$82,2)&gt;5,0,11.02))*-1</f>
        <v>0</v>
      </c>
      <c r="BI126" s="39">
        <f>(IF(WEEKDAY(BI$82,2)&gt;5,0,11.12))*-1</f>
        <v>-11.12</v>
      </c>
      <c r="BJ126" s="39">
        <f>(IF(WEEKDAY(BJ$82,2)&gt;5,0,10.81))*-1</f>
        <v>-10.81</v>
      </c>
      <c r="BK126" s="39">
        <f>(IF(WEEKDAY(BK$82,2)&gt;5,0,10.47))*-1</f>
        <v>-10.47</v>
      </c>
      <c r="BL126" s="39">
        <f>(IF(WEEKDAY(BL$82,2)&gt;5,0,8.65))*-1</f>
        <v>-8.65</v>
      </c>
      <c r="BM126" s="39">
        <f>(IF(WEEKDAY(BM$82,2)&gt;5,0,9.07))*-1</f>
        <v>-9.07</v>
      </c>
      <c r="BN126" s="39">
        <f>(IF(WEEKDAY(BN$82,2)&gt;5,0,10.21))*-1</f>
        <v>0</v>
      </c>
      <c r="BO126" s="39">
        <f>(IF(WEEKDAY(BO$82,2)&gt;5,0,9.36))*-1</f>
        <v>0</v>
      </c>
      <c r="BP126" s="39">
        <f>(IF(WEEKDAY(BP$82,2)&gt;5,0,11.41))*-1</f>
        <v>-11.41</v>
      </c>
      <c r="BQ126" s="39">
        <f>(IF(WEEKDAY(BQ$82,2)&gt;5,0,8.95))*-1</f>
        <v>-8.9499999999999993</v>
      </c>
      <c r="BR126" s="39">
        <f>(IF(WEEKDAY(BR$82,2)&gt;5,0,9.17))*-1</f>
        <v>-9.17</v>
      </c>
      <c r="BS126" s="39">
        <f>(IF(WEEKDAY(BS$82,2)&gt;5,0,9.05))*-1</f>
        <v>-9.0500000000000007</v>
      </c>
      <c r="BT126" s="39">
        <f>(IF(WEEKDAY(BT$82,2)&gt;5,0,11.11))*-1</f>
        <v>-11.11</v>
      </c>
      <c r="BU126" s="39">
        <f>(IF(WEEKDAY(BU$82,2)&gt;5,0,9.1))*-1</f>
        <v>0</v>
      </c>
      <c r="BV126" s="39">
        <f>(IF(WEEKDAY(BV$82,2)&gt;5,0,9.44))*-1</f>
        <v>0</v>
      </c>
      <c r="BW126" s="39">
        <f>(IF(WEEKDAY(BW$82,2)&gt;5,0,11.11))*-1</f>
        <v>-11.11</v>
      </c>
      <c r="BX126" s="39">
        <f>(IF(WEEKDAY(BX$82,2)&gt;5,0,10.82))*-1</f>
        <v>-10.82</v>
      </c>
      <c r="BY126" s="39">
        <f>(IF(WEEKDAY(BY$82,2)&gt;5,0,10.86))*-1</f>
        <v>-10.86</v>
      </c>
      <c r="BZ126" s="39">
        <f>(IF(WEEKDAY(BZ$82,2)&gt;5,0,9.63))*-1</f>
        <v>-9.6300000000000008</v>
      </c>
      <c r="CA126" s="39">
        <f>(IF(WEEKDAY(CA$82,2)&gt;5,0,10.49))*-1</f>
        <v>-10.49</v>
      </c>
      <c r="CB126" s="39">
        <f>(IF(WEEKDAY(CB$82,2)&gt;5,0,8.68))*-1</f>
        <v>0</v>
      </c>
      <c r="CC126" s="39">
        <f>(IF(WEEKDAY(CC$82,2)&gt;5,0,10.83))*-1</f>
        <v>0</v>
      </c>
      <c r="CD126" s="39">
        <f>(IF(WEEKDAY(CD$82,2)&gt;5,0,8.95))*-1</f>
        <v>-8.9499999999999993</v>
      </c>
      <c r="CE126" s="39">
        <f>(IF(WEEKDAY(CE$82,2)&gt;5,0,8.83))*-1</f>
        <v>-8.83</v>
      </c>
      <c r="CF126" s="39">
        <f>(IF(WEEKDAY(CF$82,2)&gt;5,0,10.31))*-1</f>
        <v>-10.31</v>
      </c>
      <c r="CG126" s="39">
        <f>(IF(WEEKDAY(CG$82,2)&gt;5,0,8.63))*-1</f>
        <v>-8.6300000000000008</v>
      </c>
      <c r="CH126" s="39">
        <f>(IF(WEEKDAY(CH$82,2)&gt;5,0,9.92))*-1</f>
        <v>-9.92</v>
      </c>
      <c r="CI126" s="39">
        <f>(IF(WEEKDAY(CI$82,2)&gt;5,0,8.66))*-1</f>
        <v>0</v>
      </c>
      <c r="CJ126" s="39">
        <f>(IF(WEEKDAY(CJ$82,2)&gt;5,0,10.95))*-1</f>
        <v>0</v>
      </c>
      <c r="CK126" s="39">
        <f>(IF(WEEKDAY(CK$82,2)&gt;5,0,10.34))*-1</f>
        <v>-10.34</v>
      </c>
      <c r="CL126" s="39">
        <f>(IF(WEEKDAY(CL$82,2)&gt;5,0,8.84))*-1</f>
        <v>-8.84</v>
      </c>
      <c r="CM126" s="39">
        <f>(IF(WEEKDAY(CM$82,2)&gt;5,0,10.46))*-1</f>
        <v>-10.46</v>
      </c>
      <c r="CN126" s="39">
        <f>(IF(WEEKDAY(CN$82,2)&gt;5,0,9.42))*-1</f>
        <v>-9.42</v>
      </c>
      <c r="CO126" s="39">
        <f>(IF(WEEKDAY(CO$82,2)&gt;5,0,11.34))*-1</f>
        <v>-11.34</v>
      </c>
      <c r="CP126" s="39">
        <f>(IF(WEEKDAY(CP$82,2)&gt;5,0,9.92))*-1</f>
        <v>0</v>
      </c>
      <c r="CQ126" s="39">
        <f>(IF(WEEKDAY(CQ$82,2)&gt;5,0,9.05))*-1</f>
        <v>0</v>
      </c>
      <c r="CR126" s="39">
        <f>(IF(WEEKDAY(CR$82,2)&gt;5,0,8.5))*-1</f>
        <v>-8.5</v>
      </c>
      <c r="CS126" s="39">
        <f>(IF(WEEKDAY(CS$82,2)&gt;5,0,10.48))*-1</f>
        <v>-10.48</v>
      </c>
      <c r="CT126" s="39">
        <f>(IF(WEEKDAY(CT$82,2)&gt;5,0,11.46))*-1</f>
        <v>-11.46</v>
      </c>
      <c r="CU126" s="39">
        <f>(IF(WEEKDAY(CU$82,2)&gt;5,0,9.78))*-1</f>
        <v>-9.7799999999999994</v>
      </c>
      <c r="CV126" s="39">
        <f>(IF(WEEKDAY(CV$82,2)&gt;5,0,10.82))*-1</f>
        <v>-10.82</v>
      </c>
      <c r="CW126" s="39">
        <f>(IF(WEEKDAY(CW$82,2)&gt;5,0,9.55))*-1</f>
        <v>0</v>
      </c>
      <c r="CX126" s="39">
        <f>(IF(WEEKDAY(CX$82,2)&gt;5,0,10.68))*-1</f>
        <v>0</v>
      </c>
      <c r="CY126" s="39">
        <f>(IF(WEEKDAY(CY$82,2)&gt;5,0,10.94))*-1</f>
        <v>-10.94</v>
      </c>
      <c r="CZ126" s="39">
        <f>(IF(WEEKDAY(CZ$82,2)&gt;5,0,8.76))*-1</f>
        <v>-8.76</v>
      </c>
      <c r="DA126" s="39">
        <f>(IF(WEEKDAY(DA$82,2)&gt;5,0,11.15))*-1</f>
        <v>-11.15</v>
      </c>
      <c r="DB126" s="39">
        <f>(IF(WEEKDAY(DB$82,2)&gt;5,0,10.41))*-1</f>
        <v>-10.41</v>
      </c>
      <c r="DC126" s="39">
        <f>(IF(WEEKDAY(DC$82,2)&gt;5,0,10.63))*-1</f>
        <v>-10.63</v>
      </c>
      <c r="DD126" s="39">
        <f>(IF(WEEKDAY(DD$82,2)&gt;5,0,9.24))*-1</f>
        <v>0</v>
      </c>
      <c r="DE126" s="39">
        <f>(IF(WEEKDAY(DE$82,2)&gt;5,0,10.14))*-1</f>
        <v>0</v>
      </c>
      <c r="DF126" s="39">
        <f>(IF(WEEKDAY(DF$82,2)&gt;5,0,8.73))*-1</f>
        <v>-8.73</v>
      </c>
      <c r="DG126" s="39">
        <f>(IF(WEEKDAY(DG$82,2)&gt;5,0,8.69))*-1</f>
        <v>-8.69</v>
      </c>
      <c r="DH126" s="39">
        <f>(IF(WEEKDAY(DH$82,2)&gt;5,0,9.99))*-1</f>
        <v>-9.99</v>
      </c>
      <c r="DI126" s="39">
        <f>(IF(WEEKDAY(DI$82,2)&gt;5,0,9.09))*-1</f>
        <v>-9.09</v>
      </c>
      <c r="DJ126" s="39">
        <f>(IF(WEEKDAY(DJ$82,2)&gt;5,0,8.73))*-1</f>
        <v>-8.73</v>
      </c>
      <c r="DK126" s="39">
        <f>(IF(WEEKDAY(DK$82,2)&gt;5,0,11.38))*-1</f>
        <v>0</v>
      </c>
      <c r="DL126" s="39">
        <f>(IF(WEEKDAY(DL$82,2)&gt;5,0,10.63))*-1</f>
        <v>0</v>
      </c>
      <c r="DM126" s="39">
        <f>(IF(WEEKDAY(DM$82,2)&gt;5,0,9.77))*-1</f>
        <v>-9.77</v>
      </c>
      <c r="DN126" s="39">
        <f>(IF(WEEKDAY(DN$82,2)&gt;5,0,10.62))*-1</f>
        <v>-10.62</v>
      </c>
      <c r="DO126" s="39">
        <f>(IF(WEEKDAY(DO$82,2)&gt;5,0,10.02))*-1</f>
        <v>-10.02</v>
      </c>
      <c r="DP126" s="39">
        <f>(IF(WEEKDAY(DP$82,2)&gt;5,0,9.89))*-1</f>
        <v>-9.89</v>
      </c>
      <c r="DQ126" s="39">
        <f>(IF(WEEKDAY(DQ$82,2)&gt;5,0,11.07))*-1</f>
        <v>-11.07</v>
      </c>
      <c r="DR126" s="39">
        <f>(IF(WEEKDAY(DR$82,2)&gt;5,0,10.57))*-1</f>
        <v>0</v>
      </c>
      <c r="DS126" s="39">
        <f>(IF(WEEKDAY(DS$82,2)&gt;5,0,10.9))*-1</f>
        <v>0</v>
      </c>
      <c r="DT126" s="39">
        <f>(IF(WEEKDAY(DT$82,2)&gt;5,0,9.44))*-1</f>
        <v>-9.44</v>
      </c>
      <c r="DU126" s="39">
        <f>(IF(WEEKDAY(DU$82,2)&gt;5,0,8.9))*-1</f>
        <v>-8.9</v>
      </c>
      <c r="DV126" s="39">
        <f>(IF(WEEKDAY(DV$82,2)&gt;5,0,9.64))*-1</f>
        <v>-9.64</v>
      </c>
      <c r="DW126" s="39">
        <f>(IF(WEEKDAY(DW$82,2)&gt;5,0,10.95))*-1</f>
        <v>-10.95</v>
      </c>
      <c r="DX126" s="39">
        <f>(IF(WEEKDAY(DX$82,2)&gt;5,0,9.68))*-1</f>
        <v>-9.68</v>
      </c>
      <c r="DY126" s="39">
        <f>(IF(WEEKDAY(DY$82,2)&gt;5,0,8.85))*-1</f>
        <v>0</v>
      </c>
      <c r="DZ126" s="39">
        <f>(IF(WEEKDAY(DZ$82,2)&gt;5,0,9.45))*-1</f>
        <v>0</v>
      </c>
      <c r="EA126" s="39">
        <f>(IF(WEEKDAY(EA$82,2)&gt;5,0,9.02))*-1</f>
        <v>-9.02</v>
      </c>
      <c r="EB126" s="39">
        <f>(IF(WEEKDAY(EB$82,2)&gt;5,0,9.4))*-1</f>
        <v>-9.4</v>
      </c>
      <c r="EC126" s="39">
        <f>(IF(WEEKDAY(EC$82,2)&gt;5,0,9.31))*-1</f>
        <v>-9.31</v>
      </c>
      <c r="ED126" s="39">
        <f>(IF(WEEKDAY(ED$82,2)&gt;5,0,9.07))*-1</f>
        <v>-9.07</v>
      </c>
      <c r="EE126" s="39">
        <f>(IF(WEEKDAY(EE$82,2)&gt;5,0,10.67))*-1</f>
        <v>-10.67</v>
      </c>
      <c r="EF126" s="39">
        <f>(IF(WEEKDAY(EF$82,2)&gt;5,0,10.28))*-1</f>
        <v>0</v>
      </c>
      <c r="EG126" s="39">
        <f>(IF(WEEKDAY(EG$82,2)&gt;5,0,10.28))*-1</f>
        <v>0</v>
      </c>
      <c r="EH126" s="39">
        <f>(IF(WEEKDAY(EH$82,2)&gt;5,0,11.04))*-1</f>
        <v>-11.04</v>
      </c>
      <c r="EI126" s="39">
        <f>(IF(WEEKDAY(EI$82,2)&gt;5,0,9.84))*-1</f>
        <v>-9.84</v>
      </c>
      <c r="EJ126" s="39">
        <f>(IF(WEEKDAY(EJ$82,2)&gt;5,0,8.78))*-1</f>
        <v>-8.7799999999999994</v>
      </c>
      <c r="EK126" s="39">
        <f>(IF(WEEKDAY(EK$82,2)&gt;5,0,11.03))*-1</f>
        <v>-11.03</v>
      </c>
      <c r="EL126" s="39">
        <f>(IF(WEEKDAY(EL$82,2)&gt;5,0,11.42))*-1</f>
        <v>-11.42</v>
      </c>
      <c r="EM126" s="39">
        <f>(IF(WEEKDAY(EM$82,2)&gt;5,0,9.72))*-1</f>
        <v>0</v>
      </c>
      <c r="EN126" s="39">
        <f>(IF(WEEKDAY(EN$82,2)&gt;5,0,9.66))*-1</f>
        <v>0</v>
      </c>
      <c r="EO126" s="39">
        <f>(IF(WEEKDAY(EO$82,2)&gt;5,0,10.33))*-1</f>
        <v>-10.33</v>
      </c>
      <c r="EP126" s="39">
        <f>(IF(WEEKDAY(EP$82,2)&gt;5,0,10.25))*-1</f>
        <v>-10.25</v>
      </c>
      <c r="EQ126" s="39">
        <f>(IF(WEEKDAY(EQ$82,2)&gt;5,0,11.39))*-1</f>
        <v>-11.39</v>
      </c>
      <c r="ER126" s="39">
        <f>(IF(WEEKDAY(ER$82,2)&gt;5,0,10.05))*-1</f>
        <v>-10.050000000000001</v>
      </c>
      <c r="ES126" s="39">
        <f>(IF(WEEKDAY(ES$82,2)&gt;5,0,8.64))*-1</f>
        <v>-8.64</v>
      </c>
      <c r="ET126" s="39">
        <f>(IF(WEEKDAY(ET$82,2)&gt;5,0,11.06))*-1</f>
        <v>0</v>
      </c>
      <c r="EU126" s="39">
        <f>(IF(WEEKDAY(EU$82,2)&gt;5,0,10.26))*-1</f>
        <v>0</v>
      </c>
      <c r="EV126" s="39">
        <f>(IF(WEEKDAY(EV$82,2)&gt;5,0,10.55))*-1</f>
        <v>-10.55</v>
      </c>
      <c r="EW126" s="39">
        <f>(IF(WEEKDAY(EW$82,2)&gt;5,0,10.35))*-1</f>
        <v>-10.35</v>
      </c>
      <c r="EX126" s="39">
        <f>(IF(WEEKDAY(EX$82,2)&gt;5,0,9.91))*-1</f>
        <v>-9.91</v>
      </c>
      <c r="EY126" s="39">
        <f>(IF(WEEKDAY(EY$82,2)&gt;5,0,8.83))*-1</f>
        <v>-8.83</v>
      </c>
      <c r="EZ126" s="39">
        <f>(IF(WEEKDAY(EZ$82,2)&gt;5,0,9.96))*-1</f>
        <v>-9.9600000000000009</v>
      </c>
      <c r="FA126" s="39">
        <f>(IF(WEEKDAY(FA$82,2)&gt;5,0,11.26))*-1</f>
        <v>0</v>
      </c>
      <c r="FB126" s="39">
        <f>(IF(WEEKDAY(FB$82,2)&gt;5,0,11.25))*-1</f>
        <v>0</v>
      </c>
      <c r="FC126" s="39">
        <f>(IF(WEEKDAY(FC$82,2)&gt;5,0,9.7))*-1</f>
        <v>-9.6999999999999993</v>
      </c>
      <c r="FD126" s="39">
        <f>(IF(WEEKDAY(FD$82,2)&gt;5,0,9.28))*-1</f>
        <v>-9.2799999999999994</v>
      </c>
      <c r="FE126" s="39">
        <f>(IF(WEEKDAY(FE$82,2)&gt;5,0,9.84))*-1</f>
        <v>-9.84</v>
      </c>
      <c r="FF126" s="39">
        <f>(IF(WEEKDAY(FF$82,2)&gt;5,0,9.18))*-1</f>
        <v>-9.18</v>
      </c>
      <c r="FG126" s="39">
        <f>(IF(WEEKDAY(FG$82,2)&gt;5,0,11.1))*-1</f>
        <v>-11.1</v>
      </c>
      <c r="FH126" s="39">
        <f>(IF(WEEKDAY(FH$82,2)&gt;5,0,9.33))*-1</f>
        <v>0</v>
      </c>
      <c r="FI126" s="39">
        <f>(IF(WEEKDAY(FI$82,2)&gt;5,0,10.85))*-1</f>
        <v>0</v>
      </c>
      <c r="FJ126" s="39">
        <f>(IF(WEEKDAY(FJ$82,2)&gt;5,0,9.19))*-1</f>
        <v>-9.19</v>
      </c>
      <c r="FK126" s="39">
        <f>(IF(WEEKDAY(FK$82,2)&gt;5,0,8.53))*-1</f>
        <v>-8.5299999999999994</v>
      </c>
      <c r="FL126" s="39">
        <f>(IF(WEEKDAY(FL$82,2)&gt;5,0,9.29))*-1</f>
        <v>-9.2899999999999991</v>
      </c>
      <c r="FM126" s="39">
        <f>(IF(WEEKDAY(FM$82,2)&gt;5,0,10.48))*-1</f>
        <v>-10.48</v>
      </c>
      <c r="FN126" s="39">
        <f>(IF(WEEKDAY(FN$82,2)&gt;5,0,8.64))*-1</f>
        <v>-8.64</v>
      </c>
      <c r="FO126" s="39">
        <f>(IF(WEEKDAY(FO$82,2)&gt;5,0,8.68))*-1</f>
        <v>0</v>
      </c>
      <c r="FP126" s="39">
        <f>(IF(WEEKDAY(FP$82,2)&gt;5,0,10.88))*-1</f>
        <v>0</v>
      </c>
      <c r="FQ126" s="39">
        <f>(IF(WEEKDAY(FQ$82,2)&gt;5,0,10.82))*-1</f>
        <v>-10.82</v>
      </c>
      <c r="FR126" s="39">
        <f>(IF(WEEKDAY(FR$82,2)&gt;5,0,10.49))*-1</f>
        <v>-10.49</v>
      </c>
      <c r="FS126" s="39">
        <f>(IF(WEEKDAY(FS$82,2)&gt;5,0,10.05))*-1</f>
        <v>-10.050000000000001</v>
      </c>
      <c r="FT126" s="39">
        <f>(IF(WEEKDAY(FT$82,2)&gt;5,0,10.57))*-1</f>
        <v>-10.57</v>
      </c>
      <c r="FU126" s="39">
        <f>(IF(WEEKDAY(FU$82,2)&gt;5,0,10.89))*-1</f>
        <v>-10.89</v>
      </c>
      <c r="FV126" s="39">
        <f>(IF(WEEKDAY(FV$82,2)&gt;5,0,11.11))*-1</f>
        <v>0</v>
      </c>
      <c r="FW126" s="39">
        <f>(IF(WEEKDAY(FW$82,2)&gt;5,0,9.95))*-1</f>
        <v>0</v>
      </c>
      <c r="FX126" s="39">
        <f>(IF(WEEKDAY(FX$82,2)&gt;5,0,10.66))*-1</f>
        <v>-10.66</v>
      </c>
      <c r="FY126" s="39">
        <f>(IF(WEEKDAY(FY$82,2)&gt;5,0,10.15))*-1</f>
        <v>-10.15</v>
      </c>
      <c r="FZ126" s="39">
        <f>(IF(WEEKDAY(FZ$82,2)&gt;5,0,11.06))*-1</f>
        <v>-11.06</v>
      </c>
      <c r="GA126" s="39">
        <f>(IF(WEEKDAY(GA$82,2)&gt;5,0,8.8))*-1</f>
        <v>-8.8000000000000007</v>
      </c>
      <c r="GB126" s="39">
        <f>(IF(WEEKDAY(GB$82,2)&gt;5,0,9.68))*-1</f>
        <v>-9.68</v>
      </c>
      <c r="GC126" s="39">
        <f>(IF(WEEKDAY(GC$82,2)&gt;5,0,10.93))*-1</f>
        <v>0</v>
      </c>
      <c r="GD126" s="39">
        <f>(IF(WEEKDAY(GD$82,2)&gt;5,0,9.32))*-1</f>
        <v>0</v>
      </c>
      <c r="GE126" s="39">
        <f>(IF(WEEKDAY(GE$82,2)&gt;5,0,11.48))*-1</f>
        <v>-11.48</v>
      </c>
      <c r="GF126" s="39">
        <f>(IF(WEEKDAY(GF$82,2)&gt;5,0,10.84))*-1</f>
        <v>-10.84</v>
      </c>
      <c r="GG126" s="39">
        <f>(IF(WEEKDAY(GG$82,2)&gt;5,0,9.59))*-1</f>
        <v>-9.59</v>
      </c>
      <c r="GH126" s="39">
        <f>(IF(WEEKDAY(GH$82,2)&gt;5,0,9.77))*-1</f>
        <v>-9.77</v>
      </c>
      <c r="GI126" s="39">
        <f>(IF(WEEKDAY(GI$82,2)&gt;5,0,9.96))*-1</f>
        <v>-9.9600000000000009</v>
      </c>
      <c r="GJ126" s="39">
        <f>(IF(WEEKDAY(GJ$82,2)&gt;5,0,9.95))*-1</f>
        <v>0</v>
      </c>
      <c r="GK126" s="39">
        <f>(IF(WEEKDAY(GK$82,2)&gt;5,0,10.65))*-1</f>
        <v>0</v>
      </c>
      <c r="GL126" s="39">
        <f>(IF(WEEKDAY(GL$82,2)&gt;5,0,10.05))*-1</f>
        <v>-10.050000000000001</v>
      </c>
      <c r="GM126" s="39">
        <f>(IF(WEEKDAY(GM$82,2)&gt;5,0,8.71))*-1</f>
        <v>-8.7100000000000009</v>
      </c>
      <c r="GN126" s="39">
        <f>(IF(WEEKDAY(GN$82,2)&gt;5,0,11.4))*-1</f>
        <v>-11.4</v>
      </c>
      <c r="GO126" s="39">
        <f>(IF(WEEKDAY(GO$82,2)&gt;5,0,8.65))*-1</f>
        <v>-8.65</v>
      </c>
      <c r="GP126" s="39">
        <f>(IF(WEEKDAY(GP$82,2)&gt;5,0,9.79))*-1</f>
        <v>-9.7899999999999991</v>
      </c>
      <c r="GQ126" s="39">
        <f>(IF(WEEKDAY(GQ$82,2)&gt;5,0,10.32))*-1</f>
        <v>0</v>
      </c>
      <c r="GR126" s="39">
        <f>(IF(WEEKDAY(GR$82,2)&gt;5,0,11.49))*-1</f>
        <v>0</v>
      </c>
      <c r="GS126" s="39">
        <f>(IF(WEEKDAY(GS$82,2)&gt;5,0,9.75))*-1</f>
        <v>-9.75</v>
      </c>
      <c r="GT126" s="39">
        <f>(IF(WEEKDAY(GT$82,2)&gt;5,0,11.3))*-1</f>
        <v>-11.3</v>
      </c>
      <c r="GU126" s="39">
        <f>(IF(WEEKDAY(GU$82,2)&gt;5,0,11.09))*-1</f>
        <v>-11.09</v>
      </c>
      <c r="GV126" s="39">
        <f>(IF(WEEKDAY(GV$82,2)&gt;5,0,10.01))*-1</f>
        <v>-10.01</v>
      </c>
      <c r="GW126" s="39">
        <f>(IF(WEEKDAY(GW$82,2)&gt;5,0,10.41))*-1</f>
        <v>-10.41</v>
      </c>
      <c r="GX126" s="39">
        <f>(IF(WEEKDAY(GX$82,2)&gt;5,0,10.27))*-1</f>
        <v>0</v>
      </c>
      <c r="GY126" s="39">
        <f>(IF(WEEKDAY(GY$82,2)&gt;5,0,10.63))*-1</f>
        <v>0</v>
      </c>
      <c r="GZ126" s="39">
        <f>(IF(WEEKDAY(GZ$82,2)&gt;5,0,10.34))*-1</f>
        <v>-10.34</v>
      </c>
      <c r="HA126" s="39">
        <f>(IF(WEEKDAY(HA$82,2)&gt;5,0,11.45))*-1</f>
        <v>-11.45</v>
      </c>
      <c r="HB126" s="39">
        <f>(IF(WEEKDAY(HB$82,2)&gt;5,0,11.09))*-1</f>
        <v>-11.09</v>
      </c>
      <c r="HC126" s="39">
        <f>(IF(WEEKDAY(HC$82,2)&gt;5,0,10.54))*-1</f>
        <v>-10.54</v>
      </c>
      <c r="HD126" s="39">
        <f>(IF(WEEKDAY(HD$82,2)&gt;5,0,9.37))*-1</f>
        <v>-9.3699999999999992</v>
      </c>
      <c r="HE126" s="39">
        <f>(IF(WEEKDAY(HE$82,2)&gt;5,0,9.02))*-1</f>
        <v>0</v>
      </c>
      <c r="HF126" s="39">
        <f>(IF(WEEKDAY(HF$82,2)&gt;5,0,11.05))*-1</f>
        <v>0</v>
      </c>
      <c r="HG126" s="39">
        <f>(IF(WEEKDAY(HG$82,2)&gt;5,0,9.94))*-1</f>
        <v>-9.94</v>
      </c>
      <c r="HH126" s="39">
        <f>(IF(WEEKDAY(HH$82,2)&gt;5,0,8.76))*-1</f>
        <v>-8.76</v>
      </c>
      <c r="HI126" s="39">
        <f>(IF(WEEKDAY(HI$82,2)&gt;5,0,10.77))*-1</f>
        <v>-10.77</v>
      </c>
      <c r="HJ126" s="39">
        <f>(IF(WEEKDAY(HJ$82,2)&gt;5,0,9.89))*-1</f>
        <v>-9.89</v>
      </c>
      <c r="HK126" s="39">
        <f>(IF(WEEKDAY(HK$82,2)&gt;5,0,9.62))*-1</f>
        <v>-9.6199999999999992</v>
      </c>
      <c r="HL126" s="39">
        <f>(IF(WEEKDAY(HL$82,2)&gt;5,0,9.02))*-1</f>
        <v>0</v>
      </c>
      <c r="HM126" s="39">
        <f>(IF(WEEKDAY(HM$82,2)&gt;5,0,9.45))*-1</f>
        <v>0</v>
      </c>
      <c r="HN126" s="39">
        <f>(IF(WEEKDAY(HN$82,2)&gt;5,0,9.76))*-1</f>
        <v>-9.76</v>
      </c>
      <c r="HO126" s="39">
        <f>(IF(WEEKDAY(HO$82,2)&gt;5,0,9.67))*-1</f>
        <v>-9.67</v>
      </c>
      <c r="HP126" s="39">
        <f>(IF(WEEKDAY(HP$82,2)&gt;5,0,9.94))*-1</f>
        <v>-9.94</v>
      </c>
      <c r="HQ126" s="39">
        <f>(IF(WEEKDAY(HQ$82,2)&gt;5,0,10.44))*-1</f>
        <v>-10.44</v>
      </c>
      <c r="HR126" s="39">
        <f>(IF(WEEKDAY(HR$82,2)&gt;5,0,10.13))*-1</f>
        <v>-10.130000000000001</v>
      </c>
      <c r="HS126" s="39">
        <f>(IF(WEEKDAY(HS$82,2)&gt;5,0,9.56))*-1</f>
        <v>0</v>
      </c>
      <c r="HT126" s="39">
        <f>(IF(WEEKDAY(HT$82,2)&gt;5,0,9.25))*-1</f>
        <v>0</v>
      </c>
      <c r="HU126" s="39">
        <f>(IF(WEEKDAY(HU$82,2)&gt;5,0,11.22))*-1</f>
        <v>-11.22</v>
      </c>
      <c r="HV126" s="39">
        <f>(IF(WEEKDAY(HV$82,2)&gt;5,0,8.74))*-1</f>
        <v>-8.74</v>
      </c>
      <c r="HW126" s="39">
        <f>(IF(WEEKDAY(HW$82,2)&gt;5,0,8.84))*-1</f>
        <v>-8.84</v>
      </c>
      <c r="HX126" s="39">
        <f>(IF(WEEKDAY(HX$82,2)&gt;5,0,8.55))*-1</f>
        <v>-8.5500000000000007</v>
      </c>
      <c r="HY126" s="39">
        <f>(IF(WEEKDAY(HY$82,2)&gt;5,0,9.63))*-1</f>
        <v>-9.6300000000000008</v>
      </c>
      <c r="HZ126" s="39">
        <f>(IF(WEEKDAY(HZ$82,2)&gt;5,0,9.93))*-1</f>
        <v>0</v>
      </c>
      <c r="IA126" s="39">
        <f>(IF(WEEKDAY(IA$82,2)&gt;5,0,8.52))*-1</f>
        <v>0</v>
      </c>
      <c r="IB126" s="39">
        <f>(IF(WEEKDAY(IB$82,2)&gt;5,0,9.82))*-1</f>
        <v>-9.82</v>
      </c>
      <c r="IC126" s="39">
        <f>(IF(WEEKDAY(IC$82,2)&gt;5,0,9.21))*-1</f>
        <v>-9.2100000000000009</v>
      </c>
      <c r="ID126" s="39">
        <f>(IF(WEEKDAY(ID$82,2)&gt;5,0,11.33))*-1</f>
        <v>-11.33</v>
      </c>
      <c r="IE126" s="39">
        <f>(IF(WEEKDAY(IE$82,2)&gt;5,0,9.18))*-1</f>
        <v>-9.18</v>
      </c>
      <c r="IF126" s="39">
        <f>(IF(WEEKDAY(IF$82,2)&gt;5,0,11.19))*-1</f>
        <v>-11.19</v>
      </c>
      <c r="IG126" s="39">
        <f>(IF(WEEKDAY(IG$82,2)&gt;5,0,10.69))*-1</f>
        <v>0</v>
      </c>
      <c r="IH126" s="39">
        <f>(IF(WEEKDAY(IH$82,2)&gt;5,0,11.39))*-1</f>
        <v>0</v>
      </c>
      <c r="II126" s="39">
        <f>(IF(WEEKDAY(II$82,2)&gt;5,0,10.86))*-1</f>
        <v>-10.86</v>
      </c>
      <c r="IJ126" s="39">
        <f>(IF(WEEKDAY(IJ$82,2)&gt;5,0,11.34))*-1</f>
        <v>-11.34</v>
      </c>
      <c r="IK126" s="39">
        <f>(IF(WEEKDAY(IK$82,2)&gt;5,0,11.15))*-1</f>
        <v>-11.15</v>
      </c>
      <c r="IL126" s="39">
        <f>(IF(WEEKDAY(IL$82,2)&gt;5,0,9.84))*-1</f>
        <v>-9.84</v>
      </c>
    </row>
    <row r="127" spans="1:246" x14ac:dyDescent="0.3">
      <c r="A127" t="s">
        <v>109</v>
      </c>
      <c r="B127" s="39">
        <f>(IF(WEEKDAY(B$82,2)&gt;5,0,23.53))*-1</f>
        <v>-23.53</v>
      </c>
      <c r="C127" s="39">
        <f>(IF(WEEKDAY(C$82,2)&gt;5,0,27.68))*-1</f>
        <v>0</v>
      </c>
      <c r="D127" s="39">
        <f>(IF(WEEKDAY(D$82,2)&gt;5,0,24.21))*-1</f>
        <v>0</v>
      </c>
      <c r="E127" s="39">
        <f>(IF(WEEKDAY(E$82,2)&gt;5,0,22.9))*-1</f>
        <v>-22.9</v>
      </c>
      <c r="F127" s="39">
        <f>(IF(WEEKDAY(F$82,2)&gt;5,0,26.98))*-1</f>
        <v>-26.98</v>
      </c>
      <c r="G127" s="39">
        <f>(IF(WEEKDAY(G$82,2)&gt;5,0,27.18))*-1</f>
        <v>-27.18</v>
      </c>
      <c r="H127" s="39">
        <f>(IF(WEEKDAY(H$82,2)&gt;5,0,24.83))*-1</f>
        <v>-24.83</v>
      </c>
      <c r="I127" s="39">
        <f>(IF(WEEKDAY(I$82,2)&gt;5,0,25.25))*-1</f>
        <v>-25.25</v>
      </c>
      <c r="J127" s="39">
        <f>(IF(WEEKDAY(J$82,2)&gt;5,0,26.18))*-1</f>
        <v>0</v>
      </c>
      <c r="K127" s="39">
        <f>(IF(WEEKDAY(K$82,2)&gt;5,0,24.05))*-1</f>
        <v>0</v>
      </c>
      <c r="L127" s="39">
        <f>(IF(WEEKDAY(L$82,2)&gt;5,0,25.88))*-1</f>
        <v>-25.88</v>
      </c>
      <c r="M127" s="39">
        <f>(IF(WEEKDAY(M$82,2)&gt;5,0,25.48))*-1</f>
        <v>-25.48</v>
      </c>
      <c r="N127" s="39">
        <f>(IF(WEEKDAY(N$82,2)&gt;5,0,23.14))*-1</f>
        <v>-23.14</v>
      </c>
      <c r="O127" s="39">
        <f>(IF(WEEKDAY(O$82,2)&gt;5,0,21.48))*-1</f>
        <v>-21.48</v>
      </c>
      <c r="P127" s="39">
        <f>(IF(WEEKDAY(P$82,2)&gt;5,0,26.77))*-1</f>
        <v>-26.77</v>
      </c>
      <c r="Q127" s="39">
        <f>(IF(WEEKDAY(Q$82,2)&gt;5,0,24.42))*-1</f>
        <v>0</v>
      </c>
      <c r="R127" s="39">
        <f>(IF(WEEKDAY(R$82,2)&gt;5,0,28.2))*-1</f>
        <v>0</v>
      </c>
      <c r="S127" s="39">
        <f>(IF(WEEKDAY(S$82,2)&gt;5,0,25.68))*-1</f>
        <v>-25.68</v>
      </c>
      <c r="T127" s="39">
        <f>(IF(WEEKDAY(T$82,2)&gt;5,0,27.76))*-1</f>
        <v>-27.76</v>
      </c>
      <c r="U127" s="39">
        <f>(IF(WEEKDAY(U$82,2)&gt;5,0,26.08))*-1</f>
        <v>-26.08</v>
      </c>
      <c r="V127" s="39">
        <f>(IF(WEEKDAY(V$82,2)&gt;5,0,26.63))*-1</f>
        <v>-26.63</v>
      </c>
      <c r="W127" s="39">
        <f>(IF(WEEKDAY(W$82,2)&gt;5,0,23.04))*-1</f>
        <v>-23.04</v>
      </c>
      <c r="X127" s="39">
        <f>(IF(WEEKDAY(X$82,2)&gt;5,0,25.47))*-1</f>
        <v>0</v>
      </c>
      <c r="Y127" s="39">
        <f>(IF(WEEKDAY(Y$82,2)&gt;5,0,22.59))*-1</f>
        <v>0</v>
      </c>
      <c r="Z127" s="39">
        <f>(IF(WEEKDAY(Z$82,2)&gt;5,0,25.57))*-1</f>
        <v>-25.57</v>
      </c>
      <c r="AA127" s="39">
        <f>(IF(WEEKDAY(AA$82,2)&gt;5,0,28.24))*-1</f>
        <v>-28.24</v>
      </c>
      <c r="AB127" s="39">
        <f>(IF(WEEKDAY(AB$82,2)&gt;5,0,23.08))*-1</f>
        <v>-23.08</v>
      </c>
      <c r="AC127" s="39">
        <f>(IF(WEEKDAY(AC$82,2)&gt;5,0,28.33))*-1</f>
        <v>-28.33</v>
      </c>
      <c r="AD127" s="39">
        <f>(IF(WEEKDAY(AD$82,2)&gt;5,0,25.59))*-1</f>
        <v>-25.59</v>
      </c>
      <c r="AE127" s="39">
        <f>(IF(WEEKDAY(AE$82,2)&gt;5,0,24.64))*-1</f>
        <v>0</v>
      </c>
      <c r="AF127" s="39">
        <f>(IF(WEEKDAY(AF$82,2)&gt;5,0,23.24))*-1</f>
        <v>0</v>
      </c>
      <c r="AG127" s="39">
        <f>(IF(WEEKDAY(AG$82,2)&gt;5,0,28.36))*-1</f>
        <v>-28.36</v>
      </c>
      <c r="AH127" s="39">
        <f>(IF(WEEKDAY(AH$82,2)&gt;5,0,26.79))*-1</f>
        <v>-26.79</v>
      </c>
      <c r="AI127" s="39">
        <f>(IF(WEEKDAY(AI$82,2)&gt;5,0,27.19))*-1</f>
        <v>-27.19</v>
      </c>
      <c r="AJ127" s="39">
        <f>(IF(WEEKDAY(AJ$82,2)&gt;5,0,28.09))*-1</f>
        <v>-28.09</v>
      </c>
      <c r="AK127" s="39">
        <f>(IF(WEEKDAY(AK$82,2)&gt;5,0,23.67))*-1</f>
        <v>-23.67</v>
      </c>
      <c r="AL127" s="39">
        <f>(IF(WEEKDAY(AL$82,2)&gt;5,0,26.82))*-1</f>
        <v>0</v>
      </c>
      <c r="AM127" s="39">
        <f>(IF(WEEKDAY(AM$82,2)&gt;5,0,23.7))*-1</f>
        <v>0</v>
      </c>
      <c r="AN127" s="39">
        <f>(IF(WEEKDAY(AN$82,2)&gt;5,0,27.06))*-1</f>
        <v>-27.06</v>
      </c>
      <c r="AO127" s="39">
        <f>(IF(WEEKDAY(AO$82,2)&gt;5,0,22.43))*-1</f>
        <v>-22.43</v>
      </c>
      <c r="AP127" s="39">
        <f>(IF(WEEKDAY(AP$82,2)&gt;5,0,26.19))*-1</f>
        <v>-26.19</v>
      </c>
      <c r="AQ127" s="39">
        <f>(IF(WEEKDAY(AQ$82,2)&gt;5,0,25.24))*-1</f>
        <v>-25.24</v>
      </c>
      <c r="AR127" s="39">
        <f>(IF(WEEKDAY(AR$82,2)&gt;5,0,24.78))*-1</f>
        <v>-24.78</v>
      </c>
      <c r="AS127" s="39">
        <f>(IF(WEEKDAY(AS$82,2)&gt;5,0,26.74))*-1</f>
        <v>0</v>
      </c>
      <c r="AT127" s="39">
        <f>(IF(WEEKDAY(AT$82,2)&gt;5,0,22.65))*-1</f>
        <v>0</v>
      </c>
      <c r="AU127" s="39">
        <f>(IF(WEEKDAY(AU$82,2)&gt;5,0,25.04))*-1</f>
        <v>-25.04</v>
      </c>
      <c r="AV127" s="39">
        <f>(IF(WEEKDAY(AV$82,2)&gt;5,0,22.53))*-1</f>
        <v>-22.53</v>
      </c>
      <c r="AW127" s="39">
        <f>(IF(WEEKDAY(AW$82,2)&gt;5,0,27.8))*-1</f>
        <v>-27.8</v>
      </c>
      <c r="AX127" s="39">
        <f>(IF(WEEKDAY(AX$82,2)&gt;5,0,22.28))*-1</f>
        <v>-22.28</v>
      </c>
      <c r="AY127" s="39">
        <f>(IF(WEEKDAY(AY$82,2)&gt;5,0,27.14))*-1</f>
        <v>-27.14</v>
      </c>
      <c r="AZ127" s="39">
        <f>(IF(WEEKDAY(AZ$82,2)&gt;5,0,24.21))*-1</f>
        <v>0</v>
      </c>
      <c r="BA127" s="39">
        <f>(IF(WEEKDAY(BA$82,2)&gt;5,0,22.17))*-1</f>
        <v>0</v>
      </c>
      <c r="BB127" s="39">
        <f>(IF(WEEKDAY(BB$82,2)&gt;5,0,25.3))*-1</f>
        <v>-25.3</v>
      </c>
      <c r="BC127" s="39">
        <f>(IF(WEEKDAY(BC$82,2)&gt;5,0,22.18))*-1</f>
        <v>-22.18</v>
      </c>
      <c r="BD127" s="39">
        <f>(IF(WEEKDAY(BD$82,2)&gt;5,0,24.78))*-1</f>
        <v>-24.78</v>
      </c>
      <c r="BE127" s="39">
        <f>(IF(WEEKDAY(BE$82,2)&gt;5,0,25.06))*-1</f>
        <v>-25.06</v>
      </c>
      <c r="BF127" s="39">
        <f>(IF(WEEKDAY(BF$82,2)&gt;5,0,27.92))*-1</f>
        <v>-27.92</v>
      </c>
      <c r="BG127" s="39">
        <f>(IF(WEEKDAY(BG$82,2)&gt;5,0,25))*-1</f>
        <v>0</v>
      </c>
      <c r="BH127" s="39">
        <f>(IF(WEEKDAY(BH$82,2)&gt;5,0,21.56))*-1</f>
        <v>0</v>
      </c>
      <c r="BI127" s="39">
        <f>(IF(WEEKDAY(BI$82,2)&gt;5,0,21.51))*-1</f>
        <v>-21.51</v>
      </c>
      <c r="BJ127" s="39">
        <f>(IF(WEEKDAY(BJ$82,2)&gt;5,0,22.53))*-1</f>
        <v>-22.53</v>
      </c>
      <c r="BK127" s="39">
        <f>(IF(WEEKDAY(BK$82,2)&gt;5,0,24.41))*-1</f>
        <v>-24.41</v>
      </c>
      <c r="BL127" s="39">
        <f>(IF(WEEKDAY(BL$82,2)&gt;5,0,23.58))*-1</f>
        <v>-23.58</v>
      </c>
      <c r="BM127" s="39">
        <f>(IF(WEEKDAY(BM$82,2)&gt;5,0,23.64))*-1</f>
        <v>-23.64</v>
      </c>
      <c r="BN127" s="39">
        <f>(IF(WEEKDAY(BN$82,2)&gt;5,0,21.37))*-1</f>
        <v>0</v>
      </c>
      <c r="BO127" s="39">
        <f>(IF(WEEKDAY(BO$82,2)&gt;5,0,24.41))*-1</f>
        <v>0</v>
      </c>
      <c r="BP127" s="39">
        <f>(IF(WEEKDAY(BP$82,2)&gt;5,0,22.83))*-1</f>
        <v>-22.83</v>
      </c>
      <c r="BQ127" s="39">
        <f>(IF(WEEKDAY(BQ$82,2)&gt;5,0,28.42))*-1</f>
        <v>-28.42</v>
      </c>
      <c r="BR127" s="39">
        <f>(IF(WEEKDAY(BR$82,2)&gt;5,0,25.32))*-1</f>
        <v>-25.32</v>
      </c>
      <c r="BS127" s="39">
        <f>(IF(WEEKDAY(BS$82,2)&gt;5,0,27.43))*-1</f>
        <v>-27.43</v>
      </c>
      <c r="BT127" s="39">
        <f>(IF(WEEKDAY(BT$82,2)&gt;5,0,26.4))*-1</f>
        <v>-26.4</v>
      </c>
      <c r="BU127" s="39">
        <f>(IF(WEEKDAY(BU$82,2)&gt;5,0,28.27))*-1</f>
        <v>0</v>
      </c>
      <c r="BV127" s="39">
        <f>(IF(WEEKDAY(BV$82,2)&gt;5,0,28.31))*-1</f>
        <v>0</v>
      </c>
      <c r="BW127" s="39">
        <f>(IF(WEEKDAY(BW$82,2)&gt;5,0,23.53))*-1</f>
        <v>-23.53</v>
      </c>
      <c r="BX127" s="39">
        <f>(IF(WEEKDAY(BX$82,2)&gt;5,0,27.24))*-1</f>
        <v>-27.24</v>
      </c>
      <c r="BY127" s="39">
        <f>(IF(WEEKDAY(BY$82,2)&gt;5,0,27.69))*-1</f>
        <v>-27.69</v>
      </c>
      <c r="BZ127" s="39">
        <f>(IF(WEEKDAY(BZ$82,2)&gt;5,0,23.21))*-1</f>
        <v>-23.21</v>
      </c>
      <c r="CA127" s="39">
        <f>(IF(WEEKDAY(CA$82,2)&gt;5,0,26.44))*-1</f>
        <v>-26.44</v>
      </c>
      <c r="CB127" s="39">
        <f>(IF(WEEKDAY(CB$82,2)&gt;5,0,26.87))*-1</f>
        <v>0</v>
      </c>
      <c r="CC127" s="39">
        <f>(IF(WEEKDAY(CC$82,2)&gt;5,0,24.62))*-1</f>
        <v>0</v>
      </c>
      <c r="CD127" s="39">
        <f>(IF(WEEKDAY(CD$82,2)&gt;5,0,22.06))*-1</f>
        <v>-22.06</v>
      </c>
      <c r="CE127" s="39">
        <f>(IF(WEEKDAY(CE$82,2)&gt;5,0,23.9))*-1</f>
        <v>-23.9</v>
      </c>
      <c r="CF127" s="39">
        <f>(IF(WEEKDAY(CF$82,2)&gt;5,0,24.86))*-1</f>
        <v>-24.86</v>
      </c>
      <c r="CG127" s="39">
        <f>(IF(WEEKDAY(CG$82,2)&gt;5,0,21.36))*-1</f>
        <v>-21.36</v>
      </c>
      <c r="CH127" s="39">
        <f>(IF(WEEKDAY(CH$82,2)&gt;5,0,22.73))*-1</f>
        <v>-22.73</v>
      </c>
      <c r="CI127" s="39">
        <f>(IF(WEEKDAY(CI$82,2)&gt;5,0,28.11))*-1</f>
        <v>0</v>
      </c>
      <c r="CJ127" s="39">
        <f>(IF(WEEKDAY(CJ$82,2)&gt;5,0,26.53))*-1</f>
        <v>0</v>
      </c>
      <c r="CK127" s="39">
        <f>(IF(WEEKDAY(CK$82,2)&gt;5,0,27.65))*-1</f>
        <v>-27.65</v>
      </c>
      <c r="CL127" s="39">
        <f>(IF(WEEKDAY(CL$82,2)&gt;5,0,22.4))*-1</f>
        <v>-22.4</v>
      </c>
      <c r="CM127" s="39">
        <f>(IF(WEEKDAY(CM$82,2)&gt;5,0,22.71))*-1</f>
        <v>-22.71</v>
      </c>
      <c r="CN127" s="39">
        <f>(IF(WEEKDAY(CN$82,2)&gt;5,0,22.08))*-1</f>
        <v>-22.08</v>
      </c>
      <c r="CO127" s="39">
        <f>(IF(WEEKDAY(CO$82,2)&gt;5,0,28.54))*-1</f>
        <v>-28.54</v>
      </c>
      <c r="CP127" s="39">
        <f>(IF(WEEKDAY(CP$82,2)&gt;5,0,27.57))*-1</f>
        <v>0</v>
      </c>
      <c r="CQ127" s="39">
        <f>(IF(WEEKDAY(CQ$82,2)&gt;5,0,23.79))*-1</f>
        <v>0</v>
      </c>
      <c r="CR127" s="39">
        <f>(IF(WEEKDAY(CR$82,2)&gt;5,0,26.66))*-1</f>
        <v>-26.66</v>
      </c>
      <c r="CS127" s="39">
        <f>(IF(WEEKDAY(CS$82,2)&gt;5,0,21.79))*-1</f>
        <v>-21.79</v>
      </c>
      <c r="CT127" s="39">
        <f>(IF(WEEKDAY(CT$82,2)&gt;5,0,26.34))*-1</f>
        <v>-26.34</v>
      </c>
      <c r="CU127" s="39">
        <f>(IF(WEEKDAY(CU$82,2)&gt;5,0,25.51))*-1</f>
        <v>-25.51</v>
      </c>
      <c r="CV127" s="39">
        <f>(IF(WEEKDAY(CV$82,2)&gt;5,0,28.36))*-1</f>
        <v>-28.36</v>
      </c>
      <c r="CW127" s="39">
        <f>(IF(WEEKDAY(CW$82,2)&gt;5,0,28.45))*-1</f>
        <v>0</v>
      </c>
      <c r="CX127" s="39">
        <f>(IF(WEEKDAY(CX$82,2)&gt;5,0,28.29))*-1</f>
        <v>0</v>
      </c>
      <c r="CY127" s="39">
        <f>(IF(WEEKDAY(CY$82,2)&gt;5,0,23.07))*-1</f>
        <v>-23.07</v>
      </c>
      <c r="CZ127" s="39">
        <f>(IF(WEEKDAY(CZ$82,2)&gt;5,0,24.66))*-1</f>
        <v>-24.66</v>
      </c>
      <c r="DA127" s="39">
        <f>(IF(WEEKDAY(DA$82,2)&gt;5,0,22.69))*-1</f>
        <v>-22.69</v>
      </c>
      <c r="DB127" s="39">
        <f>(IF(WEEKDAY(DB$82,2)&gt;5,0,28.25))*-1</f>
        <v>-28.25</v>
      </c>
      <c r="DC127" s="39">
        <f>(IF(WEEKDAY(DC$82,2)&gt;5,0,25.17))*-1</f>
        <v>-25.17</v>
      </c>
      <c r="DD127" s="39">
        <f>(IF(WEEKDAY(DD$82,2)&gt;5,0,21.62))*-1</f>
        <v>0</v>
      </c>
      <c r="DE127" s="39">
        <f>(IF(WEEKDAY(DE$82,2)&gt;5,0,22.69))*-1</f>
        <v>0</v>
      </c>
      <c r="DF127" s="39">
        <f>(IF(WEEKDAY(DF$82,2)&gt;5,0,21.54))*-1</f>
        <v>-21.54</v>
      </c>
      <c r="DG127" s="39">
        <f>(IF(WEEKDAY(DG$82,2)&gt;5,0,23.91))*-1</f>
        <v>-23.91</v>
      </c>
      <c r="DH127" s="39">
        <f>(IF(WEEKDAY(DH$82,2)&gt;5,0,24.31))*-1</f>
        <v>-24.31</v>
      </c>
      <c r="DI127" s="39">
        <f>(IF(WEEKDAY(DI$82,2)&gt;5,0,25.04))*-1</f>
        <v>-25.04</v>
      </c>
      <c r="DJ127" s="39">
        <f>(IF(WEEKDAY(DJ$82,2)&gt;5,0,21.56))*-1</f>
        <v>-21.56</v>
      </c>
      <c r="DK127" s="39">
        <f>(IF(WEEKDAY(DK$82,2)&gt;5,0,22.77))*-1</f>
        <v>0</v>
      </c>
      <c r="DL127" s="39">
        <f>(IF(WEEKDAY(DL$82,2)&gt;5,0,28.57))*-1</f>
        <v>0</v>
      </c>
      <c r="DM127" s="39">
        <f>(IF(WEEKDAY(DM$82,2)&gt;5,0,24.58))*-1</f>
        <v>-24.58</v>
      </c>
      <c r="DN127" s="39">
        <f>(IF(WEEKDAY(DN$82,2)&gt;5,0,25.8))*-1</f>
        <v>-25.8</v>
      </c>
      <c r="DO127" s="39">
        <f>(IF(WEEKDAY(DO$82,2)&gt;5,0,25.76))*-1</f>
        <v>-25.76</v>
      </c>
      <c r="DP127" s="39">
        <f>(IF(WEEKDAY(DP$82,2)&gt;5,0,24.81))*-1</f>
        <v>-24.81</v>
      </c>
      <c r="DQ127" s="39">
        <f>(IF(WEEKDAY(DQ$82,2)&gt;5,0,24.85))*-1</f>
        <v>-24.85</v>
      </c>
      <c r="DR127" s="39">
        <f>(IF(WEEKDAY(DR$82,2)&gt;5,0,22.64))*-1</f>
        <v>0</v>
      </c>
      <c r="DS127" s="39">
        <f>(IF(WEEKDAY(DS$82,2)&gt;5,0,23.5))*-1</f>
        <v>0</v>
      </c>
      <c r="DT127" s="39">
        <f>(IF(WEEKDAY(DT$82,2)&gt;5,0,26.97))*-1</f>
        <v>-26.97</v>
      </c>
      <c r="DU127" s="39">
        <f>(IF(WEEKDAY(DU$82,2)&gt;5,0,25.84))*-1</f>
        <v>-25.84</v>
      </c>
      <c r="DV127" s="39">
        <f>(IF(WEEKDAY(DV$82,2)&gt;5,0,28.45))*-1</f>
        <v>-28.45</v>
      </c>
      <c r="DW127" s="39">
        <f>(IF(WEEKDAY(DW$82,2)&gt;5,0,27.24))*-1</f>
        <v>-27.24</v>
      </c>
      <c r="DX127" s="39">
        <f>(IF(WEEKDAY(DX$82,2)&gt;5,0,21.53))*-1</f>
        <v>-21.53</v>
      </c>
      <c r="DY127" s="39">
        <f>(IF(WEEKDAY(DY$82,2)&gt;5,0,22.59))*-1</f>
        <v>0</v>
      </c>
      <c r="DZ127" s="39">
        <f>(IF(WEEKDAY(DZ$82,2)&gt;5,0,27.21))*-1</f>
        <v>0</v>
      </c>
      <c r="EA127" s="39">
        <f>(IF(WEEKDAY(EA$82,2)&gt;5,0,25.63))*-1</f>
        <v>-25.63</v>
      </c>
      <c r="EB127" s="39">
        <f>(IF(WEEKDAY(EB$82,2)&gt;5,0,27.47))*-1</f>
        <v>-27.47</v>
      </c>
      <c r="EC127" s="39">
        <f>(IF(WEEKDAY(EC$82,2)&gt;5,0,23.88))*-1</f>
        <v>-23.88</v>
      </c>
      <c r="ED127" s="39">
        <f>(IF(WEEKDAY(ED$82,2)&gt;5,0,23.26))*-1</f>
        <v>-23.26</v>
      </c>
      <c r="EE127" s="39">
        <f>(IF(WEEKDAY(EE$82,2)&gt;5,0,23.69))*-1</f>
        <v>-23.69</v>
      </c>
      <c r="EF127" s="39">
        <f>(IF(WEEKDAY(EF$82,2)&gt;5,0,24.06))*-1</f>
        <v>0</v>
      </c>
      <c r="EG127" s="39">
        <f>(IF(WEEKDAY(EG$82,2)&gt;5,0,24.27))*-1</f>
        <v>0</v>
      </c>
      <c r="EH127" s="39">
        <f>(IF(WEEKDAY(EH$82,2)&gt;5,0,23.29))*-1</f>
        <v>-23.29</v>
      </c>
      <c r="EI127" s="39">
        <f>(IF(WEEKDAY(EI$82,2)&gt;5,0,28.12))*-1</f>
        <v>-28.12</v>
      </c>
      <c r="EJ127" s="39">
        <f>(IF(WEEKDAY(EJ$82,2)&gt;5,0,26.49))*-1</f>
        <v>-26.49</v>
      </c>
      <c r="EK127" s="39">
        <f>(IF(WEEKDAY(EK$82,2)&gt;5,0,24.62))*-1</f>
        <v>-24.62</v>
      </c>
      <c r="EL127" s="39">
        <f>(IF(WEEKDAY(EL$82,2)&gt;5,0,21.96))*-1</f>
        <v>-21.96</v>
      </c>
      <c r="EM127" s="39">
        <f>(IF(WEEKDAY(EM$82,2)&gt;5,0,24.12))*-1</f>
        <v>0</v>
      </c>
      <c r="EN127" s="39">
        <f>(IF(WEEKDAY(EN$82,2)&gt;5,0,24.73))*-1</f>
        <v>0</v>
      </c>
      <c r="EO127" s="39">
        <f>(IF(WEEKDAY(EO$82,2)&gt;5,0,24.13))*-1</f>
        <v>-24.13</v>
      </c>
      <c r="EP127" s="39">
        <f>(IF(WEEKDAY(EP$82,2)&gt;5,0,27.84))*-1</f>
        <v>-27.84</v>
      </c>
      <c r="EQ127" s="39">
        <f>(IF(WEEKDAY(EQ$82,2)&gt;5,0,25.48))*-1</f>
        <v>-25.48</v>
      </c>
      <c r="ER127" s="39">
        <f>(IF(WEEKDAY(ER$82,2)&gt;5,0,28.01))*-1</f>
        <v>-28.01</v>
      </c>
      <c r="ES127" s="39">
        <f>(IF(WEEKDAY(ES$82,2)&gt;5,0,27.54))*-1</f>
        <v>-27.54</v>
      </c>
      <c r="ET127" s="39">
        <f>(IF(WEEKDAY(ET$82,2)&gt;5,0,24.31))*-1</f>
        <v>0</v>
      </c>
      <c r="EU127" s="39">
        <f>(IF(WEEKDAY(EU$82,2)&gt;5,0,26.27))*-1</f>
        <v>0</v>
      </c>
      <c r="EV127" s="39">
        <f>(IF(WEEKDAY(EV$82,2)&gt;5,0,27.65))*-1</f>
        <v>-27.65</v>
      </c>
      <c r="EW127" s="39">
        <f>(IF(WEEKDAY(EW$82,2)&gt;5,0,27.64))*-1</f>
        <v>-27.64</v>
      </c>
      <c r="EX127" s="39">
        <f>(IF(WEEKDAY(EX$82,2)&gt;5,0,23.66))*-1</f>
        <v>-23.66</v>
      </c>
      <c r="EY127" s="39">
        <f>(IF(WEEKDAY(EY$82,2)&gt;5,0,27.55))*-1</f>
        <v>-27.55</v>
      </c>
      <c r="EZ127" s="39">
        <f>(IF(WEEKDAY(EZ$82,2)&gt;5,0,21.7))*-1</f>
        <v>-21.7</v>
      </c>
      <c r="FA127" s="39">
        <f>(IF(WEEKDAY(FA$82,2)&gt;5,0,25.68))*-1</f>
        <v>0</v>
      </c>
      <c r="FB127" s="39">
        <f>(IF(WEEKDAY(FB$82,2)&gt;5,0,24.12))*-1</f>
        <v>0</v>
      </c>
      <c r="FC127" s="39">
        <f>(IF(WEEKDAY(FC$82,2)&gt;5,0,27.19))*-1</f>
        <v>-27.19</v>
      </c>
      <c r="FD127" s="39">
        <f>(IF(WEEKDAY(FD$82,2)&gt;5,0,24))*-1</f>
        <v>-24</v>
      </c>
      <c r="FE127" s="39">
        <f>(IF(WEEKDAY(FE$82,2)&gt;5,0,26.48))*-1</f>
        <v>-26.48</v>
      </c>
      <c r="FF127" s="39">
        <f>(IF(WEEKDAY(FF$82,2)&gt;5,0,23.26))*-1</f>
        <v>-23.26</v>
      </c>
      <c r="FG127" s="39">
        <f>(IF(WEEKDAY(FG$82,2)&gt;5,0,28.33))*-1</f>
        <v>-28.33</v>
      </c>
      <c r="FH127" s="39">
        <f>(IF(WEEKDAY(FH$82,2)&gt;5,0,28))*-1</f>
        <v>0</v>
      </c>
      <c r="FI127" s="39">
        <f>(IF(WEEKDAY(FI$82,2)&gt;5,0,22.46))*-1</f>
        <v>0</v>
      </c>
      <c r="FJ127" s="39">
        <f>(IF(WEEKDAY(FJ$82,2)&gt;5,0,22.06))*-1</f>
        <v>-22.06</v>
      </c>
      <c r="FK127" s="39">
        <f>(IF(WEEKDAY(FK$82,2)&gt;5,0,27.76))*-1</f>
        <v>-27.76</v>
      </c>
      <c r="FL127" s="39">
        <f>(IF(WEEKDAY(FL$82,2)&gt;5,0,28.31))*-1</f>
        <v>-28.31</v>
      </c>
      <c r="FM127" s="39">
        <f>(IF(WEEKDAY(FM$82,2)&gt;5,0,27.17))*-1</f>
        <v>-27.17</v>
      </c>
      <c r="FN127" s="39">
        <f>(IF(WEEKDAY(FN$82,2)&gt;5,0,21.55))*-1</f>
        <v>-21.55</v>
      </c>
      <c r="FO127" s="39">
        <f>(IF(WEEKDAY(FO$82,2)&gt;5,0,24.74))*-1</f>
        <v>0</v>
      </c>
      <c r="FP127" s="39">
        <f>(IF(WEEKDAY(FP$82,2)&gt;5,0,26.76))*-1</f>
        <v>0</v>
      </c>
      <c r="FQ127" s="39">
        <f>(IF(WEEKDAY(FQ$82,2)&gt;5,0,23.48))*-1</f>
        <v>-23.48</v>
      </c>
      <c r="FR127" s="39">
        <f>(IF(WEEKDAY(FR$82,2)&gt;5,0,24.86))*-1</f>
        <v>-24.86</v>
      </c>
      <c r="FS127" s="39">
        <f>(IF(WEEKDAY(FS$82,2)&gt;5,0,28.37))*-1</f>
        <v>-28.37</v>
      </c>
      <c r="FT127" s="39">
        <f>(IF(WEEKDAY(FT$82,2)&gt;5,0,24.99))*-1</f>
        <v>-24.99</v>
      </c>
      <c r="FU127" s="39">
        <f>(IF(WEEKDAY(FU$82,2)&gt;5,0,23.43))*-1</f>
        <v>-23.43</v>
      </c>
      <c r="FV127" s="39">
        <f>(IF(WEEKDAY(FV$82,2)&gt;5,0,28.31))*-1</f>
        <v>0</v>
      </c>
      <c r="FW127" s="39">
        <f>(IF(WEEKDAY(FW$82,2)&gt;5,0,26.99))*-1</f>
        <v>0</v>
      </c>
      <c r="FX127" s="39">
        <f>(IF(WEEKDAY(FX$82,2)&gt;5,0,25.98))*-1</f>
        <v>-25.98</v>
      </c>
      <c r="FY127" s="39">
        <f>(IF(WEEKDAY(FY$82,2)&gt;5,0,25.58))*-1</f>
        <v>-25.58</v>
      </c>
      <c r="FZ127" s="39">
        <f>(IF(WEEKDAY(FZ$82,2)&gt;5,0,22.32))*-1</f>
        <v>-22.32</v>
      </c>
      <c r="GA127" s="39">
        <f>(IF(WEEKDAY(GA$82,2)&gt;5,0,27.18))*-1</f>
        <v>-27.18</v>
      </c>
      <c r="GB127" s="39">
        <f>(IF(WEEKDAY(GB$82,2)&gt;5,0,23.45))*-1</f>
        <v>-23.45</v>
      </c>
      <c r="GC127" s="39">
        <f>(IF(WEEKDAY(GC$82,2)&gt;5,0,27.77))*-1</f>
        <v>0</v>
      </c>
      <c r="GD127" s="39">
        <f>(IF(WEEKDAY(GD$82,2)&gt;5,0,27.7))*-1</f>
        <v>0</v>
      </c>
      <c r="GE127" s="39">
        <f>(IF(WEEKDAY(GE$82,2)&gt;5,0,25.67))*-1</f>
        <v>-25.67</v>
      </c>
      <c r="GF127" s="39">
        <f>(IF(WEEKDAY(GF$82,2)&gt;5,0,25.07))*-1</f>
        <v>-25.07</v>
      </c>
      <c r="GG127" s="39">
        <f>(IF(WEEKDAY(GG$82,2)&gt;5,0,28.04))*-1</f>
        <v>-28.04</v>
      </c>
      <c r="GH127" s="39">
        <f>(IF(WEEKDAY(GH$82,2)&gt;5,0,26.65))*-1</f>
        <v>-26.65</v>
      </c>
      <c r="GI127" s="39">
        <f>(IF(WEEKDAY(GI$82,2)&gt;5,0,25.95))*-1</f>
        <v>-25.95</v>
      </c>
      <c r="GJ127" s="39">
        <f>(IF(WEEKDAY(GJ$82,2)&gt;5,0,27.42))*-1</f>
        <v>0</v>
      </c>
      <c r="GK127" s="39">
        <f>(IF(WEEKDAY(GK$82,2)&gt;5,0,21.66))*-1</f>
        <v>0</v>
      </c>
      <c r="GL127" s="39">
        <f>(IF(WEEKDAY(GL$82,2)&gt;5,0,25.58))*-1</f>
        <v>-25.58</v>
      </c>
      <c r="GM127" s="39">
        <f>(IF(WEEKDAY(GM$82,2)&gt;5,0,27.91))*-1</f>
        <v>-27.91</v>
      </c>
      <c r="GN127" s="39">
        <f>(IF(WEEKDAY(GN$82,2)&gt;5,0,22.16))*-1</f>
        <v>-22.16</v>
      </c>
      <c r="GO127" s="39">
        <f>(IF(WEEKDAY(GO$82,2)&gt;5,0,26.64))*-1</f>
        <v>-26.64</v>
      </c>
      <c r="GP127" s="39">
        <f>(IF(WEEKDAY(GP$82,2)&gt;5,0,24.66))*-1</f>
        <v>-24.66</v>
      </c>
      <c r="GQ127" s="39">
        <f>(IF(WEEKDAY(GQ$82,2)&gt;5,0,24.21))*-1</f>
        <v>0</v>
      </c>
      <c r="GR127" s="39">
        <f>(IF(WEEKDAY(GR$82,2)&gt;5,0,24.7))*-1</f>
        <v>0</v>
      </c>
      <c r="GS127" s="39">
        <f>(IF(WEEKDAY(GS$82,2)&gt;5,0,25.87))*-1</f>
        <v>-25.87</v>
      </c>
      <c r="GT127" s="39">
        <f>(IF(WEEKDAY(GT$82,2)&gt;5,0,23.29))*-1</f>
        <v>-23.29</v>
      </c>
      <c r="GU127" s="39">
        <f>(IF(WEEKDAY(GU$82,2)&gt;5,0,22.43))*-1</f>
        <v>-22.43</v>
      </c>
      <c r="GV127" s="39">
        <f>(IF(WEEKDAY(GV$82,2)&gt;5,0,25.39))*-1</f>
        <v>-25.39</v>
      </c>
      <c r="GW127" s="39">
        <f>(IF(WEEKDAY(GW$82,2)&gt;5,0,23.01))*-1</f>
        <v>-23.01</v>
      </c>
      <c r="GX127" s="39">
        <f>(IF(WEEKDAY(GX$82,2)&gt;5,0,21.63))*-1</f>
        <v>0</v>
      </c>
      <c r="GY127" s="39">
        <f>(IF(WEEKDAY(GY$82,2)&gt;5,0,25.54))*-1</f>
        <v>0</v>
      </c>
      <c r="GZ127" s="39">
        <f>(IF(WEEKDAY(GZ$82,2)&gt;5,0,24.53))*-1</f>
        <v>-24.53</v>
      </c>
      <c r="HA127" s="39">
        <f>(IF(WEEKDAY(HA$82,2)&gt;5,0,24.5))*-1</f>
        <v>-24.5</v>
      </c>
      <c r="HB127" s="39">
        <f>(IF(WEEKDAY(HB$82,2)&gt;5,0,23.96))*-1</f>
        <v>-23.96</v>
      </c>
      <c r="HC127" s="39">
        <f>(IF(WEEKDAY(HC$82,2)&gt;5,0,24.94))*-1</f>
        <v>-24.94</v>
      </c>
      <c r="HD127" s="39">
        <f>(IF(WEEKDAY(HD$82,2)&gt;5,0,25.82))*-1</f>
        <v>-25.82</v>
      </c>
      <c r="HE127" s="39">
        <f>(IF(WEEKDAY(HE$82,2)&gt;5,0,26.62))*-1</f>
        <v>0</v>
      </c>
      <c r="HF127" s="39">
        <f>(IF(WEEKDAY(HF$82,2)&gt;5,0,24.62))*-1</f>
        <v>0</v>
      </c>
      <c r="HG127" s="39">
        <f>(IF(WEEKDAY(HG$82,2)&gt;5,0,23.62))*-1</f>
        <v>-23.62</v>
      </c>
      <c r="HH127" s="39">
        <f>(IF(WEEKDAY(HH$82,2)&gt;5,0,23.88))*-1</f>
        <v>-23.88</v>
      </c>
      <c r="HI127" s="39">
        <f>(IF(WEEKDAY(HI$82,2)&gt;5,0,26.92))*-1</f>
        <v>-26.92</v>
      </c>
      <c r="HJ127" s="39">
        <f>(IF(WEEKDAY(HJ$82,2)&gt;5,0,25.32))*-1</f>
        <v>-25.32</v>
      </c>
      <c r="HK127" s="39">
        <f>(IF(WEEKDAY(HK$82,2)&gt;5,0,24.51))*-1</f>
        <v>-24.51</v>
      </c>
      <c r="HL127" s="39">
        <f>(IF(WEEKDAY(HL$82,2)&gt;5,0,23.36))*-1</f>
        <v>0</v>
      </c>
      <c r="HM127" s="39">
        <f>(IF(WEEKDAY(HM$82,2)&gt;5,0,27.46))*-1</f>
        <v>0</v>
      </c>
      <c r="HN127" s="39">
        <f>(IF(WEEKDAY(HN$82,2)&gt;5,0,25.09))*-1</f>
        <v>-25.09</v>
      </c>
      <c r="HO127" s="39">
        <f>(IF(WEEKDAY(HO$82,2)&gt;5,0,23.61))*-1</f>
        <v>-23.61</v>
      </c>
      <c r="HP127" s="39">
        <f>(IF(WEEKDAY(HP$82,2)&gt;5,0,28.2))*-1</f>
        <v>-28.2</v>
      </c>
      <c r="HQ127" s="39">
        <f>(IF(WEEKDAY(HQ$82,2)&gt;5,0,26.21))*-1</f>
        <v>-26.21</v>
      </c>
      <c r="HR127" s="39">
        <f>(IF(WEEKDAY(HR$82,2)&gt;5,0,27.89))*-1</f>
        <v>-27.89</v>
      </c>
      <c r="HS127" s="39">
        <f>(IF(WEEKDAY(HS$82,2)&gt;5,0,26.27))*-1</f>
        <v>0</v>
      </c>
      <c r="HT127" s="39">
        <f>(IF(WEEKDAY(HT$82,2)&gt;5,0,24.55))*-1</f>
        <v>0</v>
      </c>
      <c r="HU127" s="39">
        <f>(IF(WEEKDAY(HU$82,2)&gt;5,0,24.56))*-1</f>
        <v>-24.56</v>
      </c>
      <c r="HV127" s="39">
        <f>(IF(WEEKDAY(HV$82,2)&gt;5,0,21.25))*-1</f>
        <v>-21.25</v>
      </c>
      <c r="HW127" s="39">
        <f>(IF(WEEKDAY(HW$82,2)&gt;5,0,27.66))*-1</f>
        <v>-27.66</v>
      </c>
      <c r="HX127" s="39">
        <f>(IF(WEEKDAY(HX$82,2)&gt;5,0,25.88))*-1</f>
        <v>-25.88</v>
      </c>
      <c r="HY127" s="39">
        <f>(IF(WEEKDAY(HY$82,2)&gt;5,0,27.04))*-1</f>
        <v>-27.04</v>
      </c>
      <c r="HZ127" s="39">
        <f>(IF(WEEKDAY(HZ$82,2)&gt;5,0,26.14))*-1</f>
        <v>0</v>
      </c>
      <c r="IA127" s="39">
        <f>(IF(WEEKDAY(IA$82,2)&gt;5,0,27.15))*-1</f>
        <v>0</v>
      </c>
      <c r="IB127" s="39">
        <f>(IF(WEEKDAY(IB$82,2)&gt;5,0,21.33))*-1</f>
        <v>-21.33</v>
      </c>
      <c r="IC127" s="39">
        <f>(IF(WEEKDAY(IC$82,2)&gt;5,0,25.52))*-1</f>
        <v>-25.52</v>
      </c>
      <c r="ID127" s="39">
        <f>(IF(WEEKDAY(ID$82,2)&gt;5,0,26.49))*-1</f>
        <v>-26.49</v>
      </c>
      <c r="IE127" s="39">
        <f>(IF(WEEKDAY(IE$82,2)&gt;5,0,25.18))*-1</f>
        <v>-25.18</v>
      </c>
      <c r="IF127" s="39">
        <f>(IF(WEEKDAY(IF$82,2)&gt;5,0,25.86))*-1</f>
        <v>-25.86</v>
      </c>
      <c r="IG127" s="39">
        <f>(IF(WEEKDAY(IG$82,2)&gt;5,0,24.83))*-1</f>
        <v>0</v>
      </c>
      <c r="IH127" s="39">
        <f>(IF(WEEKDAY(IH$82,2)&gt;5,0,27.95))*-1</f>
        <v>0</v>
      </c>
      <c r="II127" s="39">
        <f>(IF(WEEKDAY(II$82,2)&gt;5,0,22.13))*-1</f>
        <v>-22.13</v>
      </c>
      <c r="IJ127" s="39">
        <f>(IF(WEEKDAY(IJ$82,2)&gt;5,0,24.95))*-1</f>
        <v>-24.95</v>
      </c>
      <c r="IK127" s="39">
        <f>(IF(WEEKDAY(IK$82,2)&gt;5,0,26.92))*-1</f>
        <v>-26.92</v>
      </c>
      <c r="IL127" s="39">
        <f>(IF(WEEKDAY(IL$82,2)&gt;5,0,21.64))*-1</f>
        <v>-21.64</v>
      </c>
    </row>
    <row r="128" spans="1:246" x14ac:dyDescent="0.3">
      <c r="A128" t="s">
        <v>110</v>
      </c>
      <c r="B128" s="39">
        <f>(IF(WEEKDAY(B$82,2)&gt;5,0,13.9))*-1</f>
        <v>-13.9</v>
      </c>
      <c r="C128" s="39">
        <f>(IF(WEEKDAY(C$82,2)&gt;5,0,16.91))*-1</f>
        <v>0</v>
      </c>
      <c r="D128" s="39">
        <f>(IF(WEEKDAY(D$82,2)&gt;5,0,14.93))*-1</f>
        <v>0</v>
      </c>
      <c r="E128" s="39">
        <f>(IF(WEEKDAY(E$82,2)&gt;5,0,15.75))*-1</f>
        <v>-15.75</v>
      </c>
      <c r="F128" s="39">
        <f>(IF(WEEKDAY(F$82,2)&gt;5,0,15.61))*-1</f>
        <v>-15.61</v>
      </c>
      <c r="G128" s="39">
        <f>(IF(WEEKDAY(G$82,2)&gt;5,0,14.9))*-1</f>
        <v>-14.9</v>
      </c>
      <c r="H128" s="39">
        <f>(IF(WEEKDAY(H$82,2)&gt;5,0,13.75))*-1</f>
        <v>-13.75</v>
      </c>
      <c r="I128" s="39">
        <f>(IF(WEEKDAY(I$82,2)&gt;5,0,13.08))*-1</f>
        <v>-13.08</v>
      </c>
      <c r="J128" s="39">
        <f>(IF(WEEKDAY(J$82,2)&gt;5,0,15.27))*-1</f>
        <v>0</v>
      </c>
      <c r="K128" s="39">
        <f>(IF(WEEKDAY(K$82,2)&gt;5,0,14.82))*-1</f>
        <v>0</v>
      </c>
      <c r="L128" s="39">
        <f>(IF(WEEKDAY(L$82,2)&gt;5,0,16.59))*-1</f>
        <v>-16.59</v>
      </c>
      <c r="M128" s="39">
        <f>(IF(WEEKDAY(M$82,2)&gt;5,0,16.2))*-1</f>
        <v>-16.2</v>
      </c>
      <c r="N128" s="39">
        <f>(IF(WEEKDAY(N$82,2)&gt;5,0,13.87))*-1</f>
        <v>-13.87</v>
      </c>
      <c r="O128" s="39">
        <f>(IF(WEEKDAY(O$82,2)&gt;5,0,13.77))*-1</f>
        <v>-13.77</v>
      </c>
      <c r="P128" s="39">
        <f>(IF(WEEKDAY(P$82,2)&gt;5,0,16.07))*-1</f>
        <v>-16.07</v>
      </c>
      <c r="Q128" s="39">
        <f>(IF(WEEKDAY(Q$82,2)&gt;5,0,17.02))*-1</f>
        <v>0</v>
      </c>
      <c r="R128" s="39">
        <f>(IF(WEEKDAY(R$82,2)&gt;5,0,16.03))*-1</f>
        <v>0</v>
      </c>
      <c r="S128" s="39">
        <f>(IF(WEEKDAY(S$82,2)&gt;5,0,13.42))*-1</f>
        <v>-13.42</v>
      </c>
      <c r="T128" s="39">
        <f>(IF(WEEKDAY(T$82,2)&gt;5,0,15.5))*-1</f>
        <v>-15.5</v>
      </c>
      <c r="U128" s="39">
        <f>(IF(WEEKDAY(U$82,2)&gt;5,0,15.06))*-1</f>
        <v>-15.06</v>
      </c>
      <c r="V128" s="39">
        <f>(IF(WEEKDAY(V$82,2)&gt;5,0,15.61))*-1</f>
        <v>-15.61</v>
      </c>
      <c r="W128" s="39">
        <f>(IF(WEEKDAY(W$82,2)&gt;5,0,12.94))*-1</f>
        <v>-12.94</v>
      </c>
      <c r="X128" s="39">
        <f>(IF(WEEKDAY(X$82,2)&gt;5,0,15.56))*-1</f>
        <v>0</v>
      </c>
      <c r="Y128" s="39">
        <f>(IF(WEEKDAY(Y$82,2)&gt;5,0,15.02))*-1</f>
        <v>0</v>
      </c>
      <c r="Z128" s="39">
        <f>(IF(WEEKDAY(Z$82,2)&gt;5,0,15.37))*-1</f>
        <v>-15.37</v>
      </c>
      <c r="AA128" s="39">
        <f>(IF(WEEKDAY(AA$82,2)&gt;5,0,13.77))*-1</f>
        <v>-13.77</v>
      </c>
      <c r="AB128" s="39">
        <f>(IF(WEEKDAY(AB$82,2)&gt;5,0,14.97))*-1</f>
        <v>-14.97</v>
      </c>
      <c r="AC128" s="39">
        <f>(IF(WEEKDAY(AC$82,2)&gt;5,0,14))*-1</f>
        <v>-14</v>
      </c>
      <c r="AD128" s="39">
        <f>(IF(WEEKDAY(AD$82,2)&gt;5,0,14.48))*-1</f>
        <v>-14.48</v>
      </c>
      <c r="AE128" s="39">
        <f>(IF(WEEKDAY(AE$82,2)&gt;5,0,13.47))*-1</f>
        <v>0</v>
      </c>
      <c r="AF128" s="39">
        <f>(IF(WEEKDAY(AF$82,2)&gt;5,0,13.56))*-1</f>
        <v>0</v>
      </c>
      <c r="AG128" s="39">
        <f>(IF(WEEKDAY(AG$82,2)&gt;5,0,15.44))*-1</f>
        <v>-15.44</v>
      </c>
      <c r="AH128" s="39">
        <f>(IF(WEEKDAY(AH$82,2)&gt;5,0,17.1))*-1</f>
        <v>-17.100000000000001</v>
      </c>
      <c r="AI128" s="39">
        <f>(IF(WEEKDAY(AI$82,2)&gt;5,0,13.15))*-1</f>
        <v>-13.15</v>
      </c>
      <c r="AJ128" s="39">
        <f>(IF(WEEKDAY(AJ$82,2)&gt;5,0,14.09))*-1</f>
        <v>-14.09</v>
      </c>
      <c r="AK128" s="39">
        <f>(IF(WEEKDAY(AK$82,2)&gt;5,0,14.43))*-1</f>
        <v>-14.43</v>
      </c>
      <c r="AL128" s="39">
        <f>(IF(WEEKDAY(AL$82,2)&gt;5,0,13.93))*-1</f>
        <v>0</v>
      </c>
      <c r="AM128" s="39">
        <f>(IF(WEEKDAY(AM$82,2)&gt;5,0,15.32))*-1</f>
        <v>0</v>
      </c>
      <c r="AN128" s="39">
        <f>(IF(WEEKDAY(AN$82,2)&gt;5,0,15.85))*-1</f>
        <v>-15.85</v>
      </c>
      <c r="AO128" s="39">
        <f>(IF(WEEKDAY(AO$82,2)&gt;5,0,14.77))*-1</f>
        <v>-14.77</v>
      </c>
      <c r="AP128" s="39">
        <f>(IF(WEEKDAY(AP$82,2)&gt;5,0,14.4))*-1</f>
        <v>-14.4</v>
      </c>
      <c r="AQ128" s="39">
        <f>(IF(WEEKDAY(AQ$82,2)&gt;5,0,13.66))*-1</f>
        <v>-13.66</v>
      </c>
      <c r="AR128" s="39">
        <f>(IF(WEEKDAY(AR$82,2)&gt;5,0,14.68))*-1</f>
        <v>-14.68</v>
      </c>
      <c r="AS128" s="39">
        <f>(IF(WEEKDAY(AS$82,2)&gt;5,0,12.77))*-1</f>
        <v>0</v>
      </c>
      <c r="AT128" s="39">
        <f>(IF(WEEKDAY(AT$82,2)&gt;5,0,13.7))*-1</f>
        <v>0</v>
      </c>
      <c r="AU128" s="39">
        <f>(IF(WEEKDAY(AU$82,2)&gt;5,0,15.12))*-1</f>
        <v>-15.12</v>
      </c>
      <c r="AV128" s="39">
        <f>(IF(WEEKDAY(AV$82,2)&gt;5,0,15.05))*-1</f>
        <v>-15.05</v>
      </c>
      <c r="AW128" s="39">
        <f>(IF(WEEKDAY(AW$82,2)&gt;5,0,15.34))*-1</f>
        <v>-15.34</v>
      </c>
      <c r="AX128" s="39">
        <f>(IF(WEEKDAY(AX$82,2)&gt;5,0,16.26))*-1</f>
        <v>-16.260000000000002</v>
      </c>
      <c r="AY128" s="39">
        <f>(IF(WEEKDAY(AY$82,2)&gt;5,0,16.56))*-1</f>
        <v>-16.559999999999999</v>
      </c>
      <c r="AZ128" s="39">
        <f>(IF(WEEKDAY(AZ$82,2)&gt;5,0,13.87))*-1</f>
        <v>0</v>
      </c>
      <c r="BA128" s="39">
        <f>(IF(WEEKDAY(BA$82,2)&gt;5,0,15.47))*-1</f>
        <v>0</v>
      </c>
      <c r="BB128" s="39">
        <f>(IF(WEEKDAY(BB$82,2)&gt;5,0,17.24))*-1</f>
        <v>-17.239999999999998</v>
      </c>
      <c r="BC128" s="39">
        <f>(IF(WEEKDAY(BC$82,2)&gt;5,0,16.51))*-1</f>
        <v>-16.510000000000002</v>
      </c>
      <c r="BD128" s="39">
        <f>(IF(WEEKDAY(BD$82,2)&gt;5,0,15.88))*-1</f>
        <v>-15.88</v>
      </c>
      <c r="BE128" s="39">
        <f>(IF(WEEKDAY(BE$82,2)&gt;5,0,15.31))*-1</f>
        <v>-15.31</v>
      </c>
      <c r="BF128" s="39">
        <f>(IF(WEEKDAY(BF$82,2)&gt;5,0,15.17))*-1</f>
        <v>-15.17</v>
      </c>
      <c r="BG128" s="39">
        <f>(IF(WEEKDAY(BG$82,2)&gt;5,0,15))*-1</f>
        <v>0</v>
      </c>
      <c r="BH128" s="39">
        <f>(IF(WEEKDAY(BH$82,2)&gt;5,0,15.22))*-1</f>
        <v>0</v>
      </c>
      <c r="BI128" s="39">
        <f>(IF(WEEKDAY(BI$82,2)&gt;5,0,16.64))*-1</f>
        <v>-16.64</v>
      </c>
      <c r="BJ128" s="39">
        <f>(IF(WEEKDAY(BJ$82,2)&gt;5,0,16.93))*-1</f>
        <v>-16.93</v>
      </c>
      <c r="BK128" s="39">
        <f>(IF(WEEKDAY(BK$82,2)&gt;5,0,13.76))*-1</f>
        <v>-13.76</v>
      </c>
      <c r="BL128" s="39">
        <f>(IF(WEEKDAY(BL$82,2)&gt;5,0,12.87))*-1</f>
        <v>-12.87</v>
      </c>
      <c r="BM128" s="39">
        <f>(IF(WEEKDAY(BM$82,2)&gt;5,0,15.77))*-1</f>
        <v>-15.77</v>
      </c>
      <c r="BN128" s="39">
        <f>(IF(WEEKDAY(BN$82,2)&gt;5,0,15.38))*-1</f>
        <v>0</v>
      </c>
      <c r="BO128" s="39">
        <f>(IF(WEEKDAY(BO$82,2)&gt;5,0,13.67))*-1</f>
        <v>0</v>
      </c>
      <c r="BP128" s="39">
        <f>(IF(WEEKDAY(BP$82,2)&gt;5,0,14.2))*-1</f>
        <v>-14.2</v>
      </c>
      <c r="BQ128" s="39">
        <f>(IF(WEEKDAY(BQ$82,2)&gt;5,0,14.38))*-1</f>
        <v>-14.38</v>
      </c>
      <c r="BR128" s="39">
        <f>(IF(WEEKDAY(BR$82,2)&gt;5,0,15.33))*-1</f>
        <v>-15.33</v>
      </c>
      <c r="BS128" s="39">
        <f>(IF(WEEKDAY(BS$82,2)&gt;5,0,14.6))*-1</f>
        <v>-14.6</v>
      </c>
      <c r="BT128" s="39">
        <f>(IF(WEEKDAY(BT$82,2)&gt;5,0,15.27))*-1</f>
        <v>-15.27</v>
      </c>
      <c r="BU128" s="39">
        <f>(IF(WEEKDAY(BU$82,2)&gt;5,0,15.61))*-1</f>
        <v>0</v>
      </c>
      <c r="BV128" s="39">
        <f>(IF(WEEKDAY(BV$82,2)&gt;5,0,14.61))*-1</f>
        <v>0</v>
      </c>
      <c r="BW128" s="39">
        <f>(IF(WEEKDAY(BW$82,2)&gt;5,0,13.27))*-1</f>
        <v>-13.27</v>
      </c>
      <c r="BX128" s="39">
        <f>(IF(WEEKDAY(BX$82,2)&gt;5,0,15.91))*-1</f>
        <v>-15.91</v>
      </c>
      <c r="BY128" s="39">
        <f>(IF(WEEKDAY(BY$82,2)&gt;5,0,15.33))*-1</f>
        <v>-15.33</v>
      </c>
      <c r="BZ128" s="39">
        <f>(IF(WEEKDAY(BZ$82,2)&gt;5,0,14.68))*-1</f>
        <v>-14.68</v>
      </c>
      <c r="CA128" s="39">
        <f>(IF(WEEKDAY(CA$82,2)&gt;5,0,15.23))*-1</f>
        <v>-15.23</v>
      </c>
      <c r="CB128" s="39">
        <f>(IF(WEEKDAY(CB$82,2)&gt;5,0,14.5))*-1</f>
        <v>0</v>
      </c>
      <c r="CC128" s="39">
        <f>(IF(WEEKDAY(CC$82,2)&gt;5,0,15.07))*-1</f>
        <v>0</v>
      </c>
      <c r="CD128" s="39">
        <f>(IF(WEEKDAY(CD$82,2)&gt;5,0,14.13))*-1</f>
        <v>-14.13</v>
      </c>
      <c r="CE128" s="39">
        <f>(IF(WEEKDAY(CE$82,2)&gt;5,0,15.3))*-1</f>
        <v>-15.3</v>
      </c>
      <c r="CF128" s="39">
        <f>(IF(WEEKDAY(CF$82,2)&gt;5,0,16.07))*-1</f>
        <v>-16.07</v>
      </c>
      <c r="CG128" s="39">
        <f>(IF(WEEKDAY(CG$82,2)&gt;5,0,14.73))*-1</f>
        <v>-14.73</v>
      </c>
      <c r="CH128" s="39">
        <f>(IF(WEEKDAY(CH$82,2)&gt;5,0,14.82))*-1</f>
        <v>-14.82</v>
      </c>
      <c r="CI128" s="39">
        <f>(IF(WEEKDAY(CI$82,2)&gt;5,0,16.9))*-1</f>
        <v>0</v>
      </c>
      <c r="CJ128" s="39">
        <f>(IF(WEEKDAY(CJ$82,2)&gt;5,0,14.27))*-1</f>
        <v>0</v>
      </c>
      <c r="CK128" s="39">
        <f>(IF(WEEKDAY(CK$82,2)&gt;5,0,16.11))*-1</f>
        <v>-16.11</v>
      </c>
      <c r="CL128" s="39">
        <f>(IF(WEEKDAY(CL$82,2)&gt;5,0,12.83))*-1</f>
        <v>-12.83</v>
      </c>
      <c r="CM128" s="39">
        <f>(IF(WEEKDAY(CM$82,2)&gt;5,0,13.51))*-1</f>
        <v>-13.51</v>
      </c>
      <c r="CN128" s="39">
        <f>(IF(WEEKDAY(CN$82,2)&gt;5,0,13.24))*-1</f>
        <v>-13.24</v>
      </c>
      <c r="CO128" s="39">
        <f>(IF(WEEKDAY(CO$82,2)&gt;5,0,14.22))*-1</f>
        <v>-14.22</v>
      </c>
      <c r="CP128" s="39">
        <f>(IF(WEEKDAY(CP$82,2)&gt;5,0,16.97))*-1</f>
        <v>0</v>
      </c>
      <c r="CQ128" s="39">
        <f>(IF(WEEKDAY(CQ$82,2)&gt;5,0,14.29))*-1</f>
        <v>0</v>
      </c>
      <c r="CR128" s="39">
        <f>(IF(WEEKDAY(CR$82,2)&gt;5,0,13.19))*-1</f>
        <v>-13.19</v>
      </c>
      <c r="CS128" s="39">
        <f>(IF(WEEKDAY(CS$82,2)&gt;5,0,15.54))*-1</f>
        <v>-15.54</v>
      </c>
      <c r="CT128" s="39">
        <f>(IF(WEEKDAY(CT$82,2)&gt;5,0,14.53))*-1</f>
        <v>-14.53</v>
      </c>
      <c r="CU128" s="39">
        <f>(IF(WEEKDAY(CU$82,2)&gt;5,0,14.01))*-1</f>
        <v>-14.01</v>
      </c>
      <c r="CV128" s="39">
        <f>(IF(WEEKDAY(CV$82,2)&gt;5,0,14.08))*-1</f>
        <v>-14.08</v>
      </c>
      <c r="CW128" s="39">
        <f>(IF(WEEKDAY(CW$82,2)&gt;5,0,13.18))*-1</f>
        <v>0</v>
      </c>
      <c r="CX128" s="39">
        <f>(IF(WEEKDAY(CX$82,2)&gt;5,0,15.05))*-1</f>
        <v>0</v>
      </c>
      <c r="CY128" s="39">
        <f>(IF(WEEKDAY(CY$82,2)&gt;5,0,14.81))*-1</f>
        <v>-14.81</v>
      </c>
      <c r="CZ128" s="39">
        <f>(IF(WEEKDAY(CZ$82,2)&gt;5,0,14.03))*-1</f>
        <v>-14.03</v>
      </c>
      <c r="DA128" s="39">
        <f>(IF(WEEKDAY(DA$82,2)&gt;5,0,15.07))*-1</f>
        <v>-15.07</v>
      </c>
      <c r="DB128" s="39">
        <f>(IF(WEEKDAY(DB$82,2)&gt;5,0,16.11))*-1</f>
        <v>-16.11</v>
      </c>
      <c r="DC128" s="39">
        <f>(IF(WEEKDAY(DC$82,2)&gt;5,0,14.09))*-1</f>
        <v>-14.09</v>
      </c>
      <c r="DD128" s="39">
        <f>(IF(WEEKDAY(DD$82,2)&gt;5,0,14.72))*-1</f>
        <v>0</v>
      </c>
      <c r="DE128" s="39">
        <f>(IF(WEEKDAY(DE$82,2)&gt;5,0,15.1))*-1</f>
        <v>0</v>
      </c>
      <c r="DF128" s="39">
        <f>(IF(WEEKDAY(DF$82,2)&gt;5,0,14.61))*-1</f>
        <v>-14.61</v>
      </c>
      <c r="DG128" s="39">
        <f>(IF(WEEKDAY(DG$82,2)&gt;5,0,16.79))*-1</f>
        <v>-16.79</v>
      </c>
      <c r="DH128" s="39">
        <f>(IF(WEEKDAY(DH$82,2)&gt;5,0,16.48))*-1</f>
        <v>-16.48</v>
      </c>
      <c r="DI128" s="39">
        <f>(IF(WEEKDAY(DI$82,2)&gt;5,0,13.94))*-1</f>
        <v>-13.94</v>
      </c>
      <c r="DJ128" s="39">
        <f>(IF(WEEKDAY(DJ$82,2)&gt;5,0,16.54))*-1</f>
        <v>-16.54</v>
      </c>
      <c r="DK128" s="39">
        <f>(IF(WEEKDAY(DK$82,2)&gt;5,0,17.08))*-1</f>
        <v>0</v>
      </c>
      <c r="DL128" s="39">
        <f>(IF(WEEKDAY(DL$82,2)&gt;5,0,14.1))*-1</f>
        <v>0</v>
      </c>
      <c r="DM128" s="39">
        <f>(IF(WEEKDAY(DM$82,2)&gt;5,0,15.38))*-1</f>
        <v>-15.38</v>
      </c>
      <c r="DN128" s="39">
        <f>(IF(WEEKDAY(DN$82,2)&gt;5,0,14.31))*-1</f>
        <v>-14.31</v>
      </c>
      <c r="DO128" s="39">
        <f>(IF(WEEKDAY(DO$82,2)&gt;5,0,15.76))*-1</f>
        <v>-15.76</v>
      </c>
      <c r="DP128" s="39">
        <f>(IF(WEEKDAY(DP$82,2)&gt;5,0,13.52))*-1</f>
        <v>-13.52</v>
      </c>
      <c r="DQ128" s="39">
        <f>(IF(WEEKDAY(DQ$82,2)&gt;5,0,16.19))*-1</f>
        <v>-16.190000000000001</v>
      </c>
      <c r="DR128" s="39">
        <f>(IF(WEEKDAY(DR$82,2)&gt;5,0,13.12))*-1</f>
        <v>0</v>
      </c>
      <c r="DS128" s="39">
        <f>(IF(WEEKDAY(DS$82,2)&gt;5,0,13.75))*-1</f>
        <v>0</v>
      </c>
      <c r="DT128" s="39">
        <f>(IF(WEEKDAY(DT$82,2)&gt;5,0,14.78))*-1</f>
        <v>-14.78</v>
      </c>
      <c r="DU128" s="39">
        <f>(IF(WEEKDAY(DU$82,2)&gt;5,0,16.44))*-1</f>
        <v>-16.440000000000001</v>
      </c>
      <c r="DV128" s="39">
        <f>(IF(WEEKDAY(DV$82,2)&gt;5,0,15.31))*-1</f>
        <v>-15.31</v>
      </c>
      <c r="DW128" s="39">
        <f>(IF(WEEKDAY(DW$82,2)&gt;5,0,15.38))*-1</f>
        <v>-15.38</v>
      </c>
      <c r="DX128" s="39">
        <f>(IF(WEEKDAY(DX$82,2)&gt;5,0,16.14))*-1</f>
        <v>-16.14</v>
      </c>
      <c r="DY128" s="39">
        <f>(IF(WEEKDAY(DY$82,2)&gt;5,0,15.12))*-1</f>
        <v>0</v>
      </c>
      <c r="DZ128" s="39">
        <f>(IF(WEEKDAY(DZ$82,2)&gt;5,0,13.34))*-1</f>
        <v>0</v>
      </c>
      <c r="EA128" s="39">
        <f>(IF(WEEKDAY(EA$82,2)&gt;5,0,16.5))*-1</f>
        <v>-16.5</v>
      </c>
      <c r="EB128" s="39">
        <f>(IF(WEEKDAY(EB$82,2)&gt;5,0,16.8))*-1</f>
        <v>-16.8</v>
      </c>
      <c r="EC128" s="39">
        <f>(IF(WEEKDAY(EC$82,2)&gt;5,0,13.87))*-1</f>
        <v>-13.87</v>
      </c>
      <c r="ED128" s="39">
        <f>(IF(WEEKDAY(ED$82,2)&gt;5,0,14.16))*-1</f>
        <v>-14.16</v>
      </c>
      <c r="EE128" s="39">
        <f>(IF(WEEKDAY(EE$82,2)&gt;5,0,14.7))*-1</f>
        <v>-14.7</v>
      </c>
      <c r="EF128" s="39">
        <f>(IF(WEEKDAY(EF$82,2)&gt;5,0,13.83))*-1</f>
        <v>0</v>
      </c>
      <c r="EG128" s="39">
        <f>(IF(WEEKDAY(EG$82,2)&gt;5,0,16.56))*-1</f>
        <v>0</v>
      </c>
      <c r="EH128" s="39">
        <f>(IF(WEEKDAY(EH$82,2)&gt;5,0,16.63))*-1</f>
        <v>-16.63</v>
      </c>
      <c r="EI128" s="39">
        <f>(IF(WEEKDAY(EI$82,2)&gt;5,0,16.61))*-1</f>
        <v>-16.61</v>
      </c>
      <c r="EJ128" s="39">
        <f>(IF(WEEKDAY(EJ$82,2)&gt;5,0,16.28))*-1</f>
        <v>-16.28</v>
      </c>
      <c r="EK128" s="39">
        <f>(IF(WEEKDAY(EK$82,2)&gt;5,0,14.34))*-1</f>
        <v>-14.34</v>
      </c>
      <c r="EL128" s="39">
        <f>(IF(WEEKDAY(EL$82,2)&gt;5,0,14.96))*-1</f>
        <v>-14.96</v>
      </c>
      <c r="EM128" s="39">
        <f>(IF(WEEKDAY(EM$82,2)&gt;5,0,16.54))*-1</f>
        <v>0</v>
      </c>
      <c r="EN128" s="39">
        <f>(IF(WEEKDAY(EN$82,2)&gt;5,0,14.42))*-1</f>
        <v>0</v>
      </c>
      <c r="EO128" s="39">
        <f>(IF(WEEKDAY(EO$82,2)&gt;5,0,13.19))*-1</f>
        <v>-13.19</v>
      </c>
      <c r="EP128" s="39">
        <f>(IF(WEEKDAY(EP$82,2)&gt;5,0,13.74))*-1</f>
        <v>-13.74</v>
      </c>
      <c r="EQ128" s="39">
        <f>(IF(WEEKDAY(EQ$82,2)&gt;5,0,12.87))*-1</f>
        <v>-12.87</v>
      </c>
      <c r="ER128" s="39">
        <f>(IF(WEEKDAY(ER$82,2)&gt;5,0,15.13))*-1</f>
        <v>-15.13</v>
      </c>
      <c r="ES128" s="39">
        <f>(IF(WEEKDAY(ES$82,2)&gt;5,0,15.1))*-1</f>
        <v>-15.1</v>
      </c>
      <c r="ET128" s="39">
        <f>(IF(WEEKDAY(ET$82,2)&gt;5,0,16.01))*-1</f>
        <v>0</v>
      </c>
      <c r="EU128" s="39">
        <f>(IF(WEEKDAY(EU$82,2)&gt;5,0,13.94))*-1</f>
        <v>0</v>
      </c>
      <c r="EV128" s="39">
        <f>(IF(WEEKDAY(EV$82,2)&gt;5,0,16.99))*-1</f>
        <v>-16.989999999999998</v>
      </c>
      <c r="EW128" s="39">
        <f>(IF(WEEKDAY(EW$82,2)&gt;5,0,14.67))*-1</f>
        <v>-14.67</v>
      </c>
      <c r="EX128" s="39">
        <f>(IF(WEEKDAY(EX$82,2)&gt;5,0,15.12))*-1</f>
        <v>-15.12</v>
      </c>
      <c r="EY128" s="39">
        <f>(IF(WEEKDAY(EY$82,2)&gt;5,0,16.2))*-1</f>
        <v>-16.2</v>
      </c>
      <c r="EZ128" s="39">
        <f>(IF(WEEKDAY(EZ$82,2)&gt;5,0,14.2))*-1</f>
        <v>-14.2</v>
      </c>
      <c r="FA128" s="39">
        <f>(IF(WEEKDAY(FA$82,2)&gt;5,0,16.7))*-1</f>
        <v>0</v>
      </c>
      <c r="FB128" s="39">
        <f>(IF(WEEKDAY(FB$82,2)&gt;5,0,14.01))*-1</f>
        <v>0</v>
      </c>
      <c r="FC128" s="39">
        <f>(IF(WEEKDAY(FC$82,2)&gt;5,0,15.2))*-1</f>
        <v>-15.2</v>
      </c>
      <c r="FD128" s="39">
        <f>(IF(WEEKDAY(FD$82,2)&gt;5,0,15.57))*-1</f>
        <v>-15.57</v>
      </c>
      <c r="FE128" s="39">
        <f>(IF(WEEKDAY(FE$82,2)&gt;5,0,14.78))*-1</f>
        <v>-14.78</v>
      </c>
      <c r="FF128" s="39">
        <f>(IF(WEEKDAY(FF$82,2)&gt;5,0,13.19))*-1</f>
        <v>-13.19</v>
      </c>
      <c r="FG128" s="39">
        <f>(IF(WEEKDAY(FG$82,2)&gt;5,0,16.09))*-1</f>
        <v>-16.09</v>
      </c>
      <c r="FH128" s="39">
        <f>(IF(WEEKDAY(FH$82,2)&gt;5,0,16.47))*-1</f>
        <v>0</v>
      </c>
      <c r="FI128" s="39">
        <f>(IF(WEEKDAY(FI$82,2)&gt;5,0,14.69))*-1</f>
        <v>0</v>
      </c>
      <c r="FJ128" s="39">
        <f>(IF(WEEKDAY(FJ$82,2)&gt;5,0,16.19))*-1</f>
        <v>-16.190000000000001</v>
      </c>
      <c r="FK128" s="39">
        <f>(IF(WEEKDAY(FK$82,2)&gt;5,0,15.72))*-1</f>
        <v>-15.72</v>
      </c>
      <c r="FL128" s="39">
        <f>(IF(WEEKDAY(FL$82,2)&gt;5,0,16.62))*-1</f>
        <v>-16.62</v>
      </c>
      <c r="FM128" s="39">
        <f>(IF(WEEKDAY(FM$82,2)&gt;5,0,15.41))*-1</f>
        <v>-15.41</v>
      </c>
      <c r="FN128" s="39">
        <f>(IF(WEEKDAY(FN$82,2)&gt;5,0,16.64))*-1</f>
        <v>-16.64</v>
      </c>
      <c r="FO128" s="39">
        <f>(IF(WEEKDAY(FO$82,2)&gt;5,0,15.6))*-1</f>
        <v>0</v>
      </c>
      <c r="FP128" s="39">
        <f>(IF(WEEKDAY(FP$82,2)&gt;5,0,15.67))*-1</f>
        <v>0</v>
      </c>
      <c r="FQ128" s="39">
        <f>(IF(WEEKDAY(FQ$82,2)&gt;5,0,16.96))*-1</f>
        <v>-16.96</v>
      </c>
      <c r="FR128" s="39">
        <f>(IF(WEEKDAY(FR$82,2)&gt;5,0,15.97))*-1</f>
        <v>-15.97</v>
      </c>
      <c r="FS128" s="39">
        <f>(IF(WEEKDAY(FS$82,2)&gt;5,0,14.98))*-1</f>
        <v>-14.98</v>
      </c>
      <c r="FT128" s="39">
        <f>(IF(WEEKDAY(FT$82,2)&gt;5,0,16.17))*-1</f>
        <v>-16.170000000000002</v>
      </c>
      <c r="FU128" s="39">
        <f>(IF(WEEKDAY(FU$82,2)&gt;5,0,16.99))*-1</f>
        <v>-16.989999999999998</v>
      </c>
      <c r="FV128" s="39">
        <f>(IF(WEEKDAY(FV$82,2)&gt;5,0,13.19))*-1</f>
        <v>0</v>
      </c>
      <c r="FW128" s="39">
        <f>(IF(WEEKDAY(FW$82,2)&gt;5,0,17.16))*-1</f>
        <v>0</v>
      </c>
      <c r="FX128" s="39">
        <f>(IF(WEEKDAY(FX$82,2)&gt;5,0,15.46))*-1</f>
        <v>-15.46</v>
      </c>
      <c r="FY128" s="39">
        <f>(IF(WEEKDAY(FY$82,2)&gt;5,0,16.76))*-1</f>
        <v>-16.760000000000002</v>
      </c>
      <c r="FZ128" s="39">
        <f>(IF(WEEKDAY(FZ$82,2)&gt;5,0,14.1))*-1</f>
        <v>-14.1</v>
      </c>
      <c r="GA128" s="39">
        <f>(IF(WEEKDAY(GA$82,2)&gt;5,0,15.46))*-1</f>
        <v>-15.46</v>
      </c>
      <c r="GB128" s="39">
        <f>(IF(WEEKDAY(GB$82,2)&gt;5,0,14.45))*-1</f>
        <v>-14.45</v>
      </c>
      <c r="GC128" s="39">
        <f>(IF(WEEKDAY(GC$82,2)&gt;5,0,14.04))*-1</f>
        <v>0</v>
      </c>
      <c r="GD128" s="39">
        <f>(IF(WEEKDAY(GD$82,2)&gt;5,0,15.6))*-1</f>
        <v>0</v>
      </c>
      <c r="GE128" s="39">
        <f>(IF(WEEKDAY(GE$82,2)&gt;5,0,13.81))*-1</f>
        <v>-13.81</v>
      </c>
      <c r="GF128" s="39">
        <f>(IF(WEEKDAY(GF$82,2)&gt;5,0,15.76))*-1</f>
        <v>-15.76</v>
      </c>
      <c r="GG128" s="39">
        <f>(IF(WEEKDAY(GG$82,2)&gt;5,0,13.51))*-1</f>
        <v>-13.51</v>
      </c>
      <c r="GH128" s="39">
        <f>(IF(WEEKDAY(GH$82,2)&gt;5,0,16.3))*-1</f>
        <v>-16.3</v>
      </c>
      <c r="GI128" s="39">
        <f>(IF(WEEKDAY(GI$82,2)&gt;5,0,14.37))*-1</f>
        <v>-14.37</v>
      </c>
      <c r="GJ128" s="39">
        <f>(IF(WEEKDAY(GJ$82,2)&gt;5,0,15.06))*-1</f>
        <v>0</v>
      </c>
      <c r="GK128" s="39">
        <f>(IF(WEEKDAY(GK$82,2)&gt;5,0,12.88))*-1</f>
        <v>0</v>
      </c>
      <c r="GL128" s="39">
        <f>(IF(WEEKDAY(GL$82,2)&gt;5,0,16.2))*-1</f>
        <v>-16.2</v>
      </c>
      <c r="GM128" s="39">
        <f>(IF(WEEKDAY(GM$82,2)&gt;5,0,16.81))*-1</f>
        <v>-16.809999999999999</v>
      </c>
      <c r="GN128" s="39">
        <f>(IF(WEEKDAY(GN$82,2)&gt;5,0,14.97))*-1</f>
        <v>-14.97</v>
      </c>
      <c r="GO128" s="39">
        <f>(IF(WEEKDAY(GO$82,2)&gt;5,0,15.49))*-1</f>
        <v>-15.49</v>
      </c>
      <c r="GP128" s="39">
        <f>(IF(WEEKDAY(GP$82,2)&gt;5,0,12.9))*-1</f>
        <v>-12.9</v>
      </c>
      <c r="GQ128" s="39">
        <f>(IF(WEEKDAY(GQ$82,2)&gt;5,0,14.5))*-1</f>
        <v>0</v>
      </c>
      <c r="GR128" s="39">
        <f>(IF(WEEKDAY(GR$82,2)&gt;5,0,14.55))*-1</f>
        <v>0</v>
      </c>
      <c r="GS128" s="39">
        <f>(IF(WEEKDAY(GS$82,2)&gt;5,0,13.12))*-1</f>
        <v>-13.12</v>
      </c>
      <c r="GT128" s="39">
        <f>(IF(WEEKDAY(GT$82,2)&gt;5,0,15.96))*-1</f>
        <v>-15.96</v>
      </c>
      <c r="GU128" s="39">
        <f>(IF(WEEKDAY(GU$82,2)&gt;5,0,14.11))*-1</f>
        <v>-14.11</v>
      </c>
      <c r="GV128" s="39">
        <f>(IF(WEEKDAY(GV$82,2)&gt;5,0,16.14))*-1</f>
        <v>-16.14</v>
      </c>
      <c r="GW128" s="39">
        <f>(IF(WEEKDAY(GW$82,2)&gt;5,0,13.35))*-1</f>
        <v>-13.35</v>
      </c>
      <c r="GX128" s="39">
        <f>(IF(WEEKDAY(GX$82,2)&gt;5,0,15.02))*-1</f>
        <v>0</v>
      </c>
      <c r="GY128" s="39">
        <f>(IF(WEEKDAY(GY$82,2)&gt;5,0,14.45))*-1</f>
        <v>0</v>
      </c>
      <c r="GZ128" s="39">
        <f>(IF(WEEKDAY(GZ$82,2)&gt;5,0,16.67))*-1</f>
        <v>-16.670000000000002</v>
      </c>
      <c r="HA128" s="39">
        <f>(IF(WEEKDAY(HA$82,2)&gt;5,0,15.53))*-1</f>
        <v>-15.53</v>
      </c>
      <c r="HB128" s="39">
        <f>(IF(WEEKDAY(HB$82,2)&gt;5,0,14.46))*-1</f>
        <v>-14.46</v>
      </c>
      <c r="HC128" s="39">
        <f>(IF(WEEKDAY(HC$82,2)&gt;5,0,15.15))*-1</f>
        <v>-15.15</v>
      </c>
      <c r="HD128" s="39">
        <f>(IF(WEEKDAY(HD$82,2)&gt;5,0,16.77))*-1</f>
        <v>-16.77</v>
      </c>
      <c r="HE128" s="39">
        <f>(IF(WEEKDAY(HE$82,2)&gt;5,0,15.94))*-1</f>
        <v>0</v>
      </c>
      <c r="HF128" s="39">
        <f>(IF(WEEKDAY(HF$82,2)&gt;5,0,13.4))*-1</f>
        <v>0</v>
      </c>
      <c r="HG128" s="39">
        <f>(IF(WEEKDAY(HG$82,2)&gt;5,0,14.67))*-1</f>
        <v>-14.67</v>
      </c>
      <c r="HH128" s="39">
        <f>(IF(WEEKDAY(HH$82,2)&gt;5,0,17.02))*-1</f>
        <v>-17.02</v>
      </c>
      <c r="HI128" s="39">
        <f>(IF(WEEKDAY(HI$82,2)&gt;5,0,13.2))*-1</f>
        <v>-13.2</v>
      </c>
      <c r="HJ128" s="39">
        <f>(IF(WEEKDAY(HJ$82,2)&gt;5,0,15.91))*-1</f>
        <v>-15.91</v>
      </c>
      <c r="HK128" s="39">
        <f>(IF(WEEKDAY(HK$82,2)&gt;5,0,14.61))*-1</f>
        <v>-14.61</v>
      </c>
      <c r="HL128" s="39">
        <f>(IF(WEEKDAY(HL$82,2)&gt;5,0,15.94))*-1</f>
        <v>0</v>
      </c>
      <c r="HM128" s="39">
        <f>(IF(WEEKDAY(HM$82,2)&gt;5,0,15.26))*-1</f>
        <v>0</v>
      </c>
      <c r="HN128" s="39">
        <f>(IF(WEEKDAY(HN$82,2)&gt;5,0,14.85))*-1</f>
        <v>-14.85</v>
      </c>
      <c r="HO128" s="39">
        <f>(IF(WEEKDAY(HO$82,2)&gt;5,0,16.48))*-1</f>
        <v>-16.48</v>
      </c>
      <c r="HP128" s="39">
        <f>(IF(WEEKDAY(HP$82,2)&gt;5,0,12.98))*-1</f>
        <v>-12.98</v>
      </c>
      <c r="HQ128" s="39">
        <f>(IF(WEEKDAY(HQ$82,2)&gt;5,0,13.13))*-1</f>
        <v>-13.13</v>
      </c>
      <c r="HR128" s="39">
        <f>(IF(WEEKDAY(HR$82,2)&gt;5,0,15.72))*-1</f>
        <v>-15.72</v>
      </c>
      <c r="HS128" s="39">
        <f>(IF(WEEKDAY(HS$82,2)&gt;5,0,17.01))*-1</f>
        <v>0</v>
      </c>
      <c r="HT128" s="39">
        <f>(IF(WEEKDAY(HT$82,2)&gt;5,0,15.06))*-1</f>
        <v>0</v>
      </c>
      <c r="HU128" s="39">
        <f>(IF(WEEKDAY(HU$82,2)&gt;5,0,13.77))*-1</f>
        <v>-13.77</v>
      </c>
      <c r="HV128" s="39">
        <f>(IF(WEEKDAY(HV$82,2)&gt;5,0,16.92))*-1</f>
        <v>-16.920000000000002</v>
      </c>
      <c r="HW128" s="39">
        <f>(IF(WEEKDAY(HW$82,2)&gt;5,0,15.99))*-1</f>
        <v>-15.99</v>
      </c>
      <c r="HX128" s="39">
        <f>(IF(WEEKDAY(HX$82,2)&gt;5,0,16.01))*-1</f>
        <v>-16.010000000000002</v>
      </c>
      <c r="HY128" s="39">
        <f>(IF(WEEKDAY(HY$82,2)&gt;5,0,15.74))*-1</f>
        <v>-15.74</v>
      </c>
      <c r="HZ128" s="39">
        <f>(IF(WEEKDAY(HZ$82,2)&gt;5,0,16.13))*-1</f>
        <v>0</v>
      </c>
      <c r="IA128" s="39">
        <f>(IF(WEEKDAY(IA$82,2)&gt;5,0,16.47))*-1</f>
        <v>0</v>
      </c>
      <c r="IB128" s="39">
        <f>(IF(WEEKDAY(IB$82,2)&gt;5,0,15.51))*-1</f>
        <v>-15.51</v>
      </c>
      <c r="IC128" s="39">
        <f>(IF(WEEKDAY(IC$82,2)&gt;5,0,15.27))*-1</f>
        <v>-15.27</v>
      </c>
      <c r="ID128" s="39">
        <f>(IF(WEEKDAY(ID$82,2)&gt;5,0,13.51))*-1</f>
        <v>-13.51</v>
      </c>
      <c r="IE128" s="39">
        <f>(IF(WEEKDAY(IE$82,2)&gt;5,0,16.97))*-1</f>
        <v>-16.97</v>
      </c>
      <c r="IF128" s="39">
        <f>(IF(WEEKDAY(IF$82,2)&gt;5,0,15.15))*-1</f>
        <v>-15.15</v>
      </c>
      <c r="IG128" s="39">
        <f>(IF(WEEKDAY(IG$82,2)&gt;5,0,14.83))*-1</f>
        <v>0</v>
      </c>
      <c r="IH128" s="39">
        <f>(IF(WEEKDAY(IH$82,2)&gt;5,0,17.19))*-1</f>
        <v>0</v>
      </c>
      <c r="II128" s="39">
        <f>(IF(WEEKDAY(II$82,2)&gt;5,0,13.7))*-1</f>
        <v>-13.7</v>
      </c>
      <c r="IJ128" s="39">
        <f>(IF(WEEKDAY(IJ$82,2)&gt;5,0,16.67))*-1</f>
        <v>-16.670000000000002</v>
      </c>
      <c r="IK128" s="39">
        <f>(IF(WEEKDAY(IK$82,2)&gt;5,0,14.85))*-1</f>
        <v>-14.85</v>
      </c>
      <c r="IL128" s="39">
        <f>(IF(WEEKDAY(IL$82,2)&gt;5,0,16.82))*-1</f>
        <v>-16.82</v>
      </c>
    </row>
    <row r="129" spans="1:246" x14ac:dyDescent="0.3">
      <c r="A129" t="s">
        <v>111</v>
      </c>
      <c r="B129" s="39">
        <f>(IF(WEEKDAY(B$82,2)&gt;5,0,11.02))*-1</f>
        <v>-11.02</v>
      </c>
      <c r="C129" s="39">
        <f>(IF(WEEKDAY(C$82,2)&gt;5,0,11.01))*-1</f>
        <v>0</v>
      </c>
      <c r="D129" s="39">
        <f>(IF(WEEKDAY(D$82,2)&gt;5,0,9.75))*-1</f>
        <v>0</v>
      </c>
      <c r="E129" s="39">
        <f>(IF(WEEKDAY(E$82,2)&gt;5,0,8.56))*-1</f>
        <v>-8.56</v>
      </c>
      <c r="F129" s="39">
        <f>(IF(WEEKDAY(F$82,2)&gt;5,0,10.54))*-1</f>
        <v>-10.54</v>
      </c>
      <c r="G129" s="39">
        <f>(IF(WEEKDAY(G$82,2)&gt;5,0,10.98))*-1</f>
        <v>-10.98</v>
      </c>
      <c r="H129" s="39">
        <f>(IF(WEEKDAY(H$82,2)&gt;5,0,11.34))*-1</f>
        <v>-11.34</v>
      </c>
      <c r="I129" s="39">
        <f>(IF(WEEKDAY(I$82,2)&gt;5,0,10.29))*-1</f>
        <v>-10.29</v>
      </c>
      <c r="J129" s="39">
        <f>(IF(WEEKDAY(J$82,2)&gt;5,0,10.24))*-1</f>
        <v>0</v>
      </c>
      <c r="K129" s="39">
        <f>(IF(WEEKDAY(K$82,2)&gt;5,0,10.88))*-1</f>
        <v>0</v>
      </c>
      <c r="L129" s="39">
        <f>(IF(WEEKDAY(L$82,2)&gt;5,0,10.64))*-1</f>
        <v>-10.64</v>
      </c>
      <c r="M129" s="39">
        <f>(IF(WEEKDAY(M$82,2)&gt;5,0,11.07))*-1</f>
        <v>-11.07</v>
      </c>
      <c r="N129" s="39">
        <f>(IF(WEEKDAY(N$82,2)&gt;5,0,9.02))*-1</f>
        <v>-9.02</v>
      </c>
      <c r="O129" s="39">
        <f>(IF(WEEKDAY(O$82,2)&gt;5,0,10.29))*-1</f>
        <v>-10.29</v>
      </c>
      <c r="P129" s="39">
        <f>(IF(WEEKDAY(P$82,2)&gt;5,0,10.15))*-1</f>
        <v>-10.15</v>
      </c>
      <c r="Q129" s="39">
        <f>(IF(WEEKDAY(Q$82,2)&gt;5,0,9.87))*-1</f>
        <v>0</v>
      </c>
      <c r="R129" s="39">
        <f>(IF(WEEKDAY(R$82,2)&gt;5,0,10.49))*-1</f>
        <v>0</v>
      </c>
      <c r="S129" s="39">
        <f>(IF(WEEKDAY(S$82,2)&gt;5,0,9.01))*-1</f>
        <v>-9.01</v>
      </c>
      <c r="T129" s="39">
        <f>(IF(WEEKDAY(T$82,2)&gt;5,0,10.32))*-1</f>
        <v>-10.32</v>
      </c>
      <c r="U129" s="39">
        <f>(IF(WEEKDAY(U$82,2)&gt;5,0,8.59))*-1</f>
        <v>-8.59</v>
      </c>
      <c r="V129" s="39">
        <f>(IF(WEEKDAY(V$82,2)&gt;5,0,9.42))*-1</f>
        <v>-9.42</v>
      </c>
      <c r="W129" s="39">
        <f>(IF(WEEKDAY(W$82,2)&gt;5,0,11.16))*-1</f>
        <v>-11.16</v>
      </c>
      <c r="X129" s="39">
        <f>(IF(WEEKDAY(X$82,2)&gt;5,0,9.31))*-1</f>
        <v>0</v>
      </c>
      <c r="Y129" s="39">
        <f>(IF(WEEKDAY(Y$82,2)&gt;5,0,9.18))*-1</f>
        <v>0</v>
      </c>
      <c r="Z129" s="39">
        <f>(IF(WEEKDAY(Z$82,2)&gt;5,0,11.47))*-1</f>
        <v>-11.47</v>
      </c>
      <c r="AA129" s="39">
        <f>(IF(WEEKDAY(AA$82,2)&gt;5,0,11.47))*-1</f>
        <v>-11.47</v>
      </c>
      <c r="AB129" s="39">
        <f>(IF(WEEKDAY(AB$82,2)&gt;5,0,9.45))*-1</f>
        <v>-9.4499999999999993</v>
      </c>
      <c r="AC129" s="39">
        <f>(IF(WEEKDAY(AC$82,2)&gt;5,0,10.81))*-1</f>
        <v>-10.81</v>
      </c>
      <c r="AD129" s="39">
        <f>(IF(WEEKDAY(AD$82,2)&gt;5,0,9.85))*-1</f>
        <v>-9.85</v>
      </c>
      <c r="AE129" s="39">
        <f>(IF(WEEKDAY(AE$82,2)&gt;5,0,9.27))*-1</f>
        <v>0</v>
      </c>
      <c r="AF129" s="39">
        <f>(IF(WEEKDAY(AF$82,2)&gt;5,0,10.79))*-1</f>
        <v>0</v>
      </c>
      <c r="AG129" s="39">
        <f>(IF(WEEKDAY(AG$82,2)&gt;5,0,10.46))*-1</f>
        <v>-10.46</v>
      </c>
      <c r="AH129" s="39">
        <f>(IF(WEEKDAY(AH$82,2)&gt;5,0,9.49))*-1</f>
        <v>-9.49</v>
      </c>
      <c r="AI129" s="39">
        <f>(IF(WEEKDAY(AI$82,2)&gt;5,0,9.53))*-1</f>
        <v>-9.5299999999999994</v>
      </c>
      <c r="AJ129" s="39">
        <f>(IF(WEEKDAY(AJ$82,2)&gt;5,0,9.99))*-1</f>
        <v>-9.99</v>
      </c>
      <c r="AK129" s="39">
        <f>(IF(WEEKDAY(AK$82,2)&gt;5,0,10.4))*-1</f>
        <v>-10.4</v>
      </c>
      <c r="AL129" s="39">
        <f>(IF(WEEKDAY(AL$82,2)&gt;5,0,10.05))*-1</f>
        <v>0</v>
      </c>
      <c r="AM129" s="39">
        <f>(IF(WEEKDAY(AM$82,2)&gt;5,0,9.38))*-1</f>
        <v>0</v>
      </c>
      <c r="AN129" s="39">
        <f>(IF(WEEKDAY(AN$82,2)&gt;5,0,9.97))*-1</f>
        <v>-9.9700000000000006</v>
      </c>
      <c r="AO129" s="39">
        <f>(IF(WEEKDAY(AO$82,2)&gt;5,0,9.05))*-1</f>
        <v>-9.0500000000000007</v>
      </c>
      <c r="AP129" s="39">
        <f>(IF(WEEKDAY(AP$82,2)&gt;5,0,11.31))*-1</f>
        <v>-11.31</v>
      </c>
      <c r="AQ129" s="39">
        <f>(IF(WEEKDAY(AQ$82,2)&gt;5,0,9.75))*-1</f>
        <v>-9.75</v>
      </c>
      <c r="AR129" s="39">
        <f>(IF(WEEKDAY(AR$82,2)&gt;5,0,9.44))*-1</f>
        <v>-9.44</v>
      </c>
      <c r="AS129" s="39">
        <f>(IF(WEEKDAY(AS$82,2)&gt;5,0,10.71))*-1</f>
        <v>0</v>
      </c>
      <c r="AT129" s="39">
        <f>(IF(WEEKDAY(AT$82,2)&gt;5,0,9.78))*-1</f>
        <v>0</v>
      </c>
      <c r="AU129" s="39">
        <f>(IF(WEEKDAY(AU$82,2)&gt;5,0,10.54))*-1</f>
        <v>-10.54</v>
      </c>
      <c r="AV129" s="39">
        <f>(IF(WEEKDAY(AV$82,2)&gt;5,0,11.23))*-1</f>
        <v>-11.23</v>
      </c>
      <c r="AW129" s="39">
        <f>(IF(WEEKDAY(AW$82,2)&gt;5,0,10.58))*-1</f>
        <v>-10.58</v>
      </c>
      <c r="AX129" s="39">
        <f>(IF(WEEKDAY(AX$82,2)&gt;5,0,8.69))*-1</f>
        <v>-8.69</v>
      </c>
      <c r="AY129" s="39">
        <f>(IF(WEEKDAY(AY$82,2)&gt;5,0,11.36))*-1</f>
        <v>-11.36</v>
      </c>
      <c r="AZ129" s="39">
        <f>(IF(WEEKDAY(AZ$82,2)&gt;5,0,11.08))*-1</f>
        <v>0</v>
      </c>
      <c r="BA129" s="39">
        <f>(IF(WEEKDAY(BA$82,2)&gt;5,0,9.03))*-1</f>
        <v>0</v>
      </c>
      <c r="BB129" s="39">
        <f>(IF(WEEKDAY(BB$82,2)&gt;5,0,10.64))*-1</f>
        <v>-10.64</v>
      </c>
      <c r="BC129" s="39">
        <f>(IF(WEEKDAY(BC$82,2)&gt;5,0,10.14))*-1</f>
        <v>-10.14</v>
      </c>
      <c r="BD129" s="39">
        <f>(IF(WEEKDAY(BD$82,2)&gt;5,0,10.29))*-1</f>
        <v>-10.29</v>
      </c>
      <c r="BE129" s="39">
        <f>(IF(WEEKDAY(BE$82,2)&gt;5,0,9.8))*-1</f>
        <v>-9.8000000000000007</v>
      </c>
      <c r="BF129" s="39">
        <f>(IF(WEEKDAY(BF$82,2)&gt;5,0,10.94))*-1</f>
        <v>-10.94</v>
      </c>
      <c r="BG129" s="39">
        <f>(IF(WEEKDAY(BG$82,2)&gt;5,0,9.64))*-1</f>
        <v>0</v>
      </c>
      <c r="BH129" s="39">
        <f>(IF(WEEKDAY(BH$82,2)&gt;5,0,10.11))*-1</f>
        <v>0</v>
      </c>
      <c r="BI129" s="39">
        <f>(IF(WEEKDAY(BI$82,2)&gt;5,0,10.3))*-1</f>
        <v>-10.3</v>
      </c>
      <c r="BJ129" s="39">
        <f>(IF(WEEKDAY(BJ$82,2)&gt;5,0,10.74))*-1</f>
        <v>-10.74</v>
      </c>
      <c r="BK129" s="39">
        <f>(IF(WEEKDAY(BK$82,2)&gt;5,0,8.82))*-1</f>
        <v>-8.82</v>
      </c>
      <c r="BL129" s="39">
        <f>(IF(WEEKDAY(BL$82,2)&gt;5,0,9.43))*-1</f>
        <v>-9.43</v>
      </c>
      <c r="BM129" s="39">
        <f>(IF(WEEKDAY(BM$82,2)&gt;5,0,8.52))*-1</f>
        <v>-8.52</v>
      </c>
      <c r="BN129" s="39">
        <f>(IF(WEEKDAY(BN$82,2)&gt;5,0,11.21))*-1</f>
        <v>0</v>
      </c>
      <c r="BO129" s="39">
        <f>(IF(WEEKDAY(BO$82,2)&gt;5,0,9.89))*-1</f>
        <v>0</v>
      </c>
      <c r="BP129" s="39">
        <f>(IF(WEEKDAY(BP$82,2)&gt;5,0,8.64))*-1</f>
        <v>-8.64</v>
      </c>
      <c r="BQ129" s="39">
        <f>(IF(WEEKDAY(BQ$82,2)&gt;5,0,8.98))*-1</f>
        <v>-8.98</v>
      </c>
      <c r="BR129" s="39">
        <f>(IF(WEEKDAY(BR$82,2)&gt;5,0,9.84))*-1</f>
        <v>-9.84</v>
      </c>
      <c r="BS129" s="39">
        <f>(IF(WEEKDAY(BS$82,2)&gt;5,0,9.37))*-1</f>
        <v>-9.3699999999999992</v>
      </c>
      <c r="BT129" s="39">
        <f>(IF(WEEKDAY(BT$82,2)&gt;5,0,8.9))*-1</f>
        <v>-8.9</v>
      </c>
      <c r="BU129" s="39">
        <f>(IF(WEEKDAY(BU$82,2)&gt;5,0,10.52))*-1</f>
        <v>0</v>
      </c>
      <c r="BV129" s="39">
        <f>(IF(WEEKDAY(BV$82,2)&gt;5,0,8.6))*-1</f>
        <v>0</v>
      </c>
      <c r="BW129" s="39">
        <f>(IF(WEEKDAY(BW$82,2)&gt;5,0,9.1))*-1</f>
        <v>-9.1</v>
      </c>
      <c r="BX129" s="39">
        <f>(IF(WEEKDAY(BX$82,2)&gt;5,0,10.41))*-1</f>
        <v>-10.41</v>
      </c>
      <c r="BY129" s="39">
        <f>(IF(WEEKDAY(BY$82,2)&gt;5,0,10.56))*-1</f>
        <v>-10.56</v>
      </c>
      <c r="BZ129" s="39">
        <f>(IF(WEEKDAY(BZ$82,2)&gt;5,0,9.39))*-1</f>
        <v>-9.39</v>
      </c>
      <c r="CA129" s="39">
        <f>(IF(WEEKDAY(CA$82,2)&gt;5,0,9.23))*-1</f>
        <v>-9.23</v>
      </c>
      <c r="CB129" s="39">
        <f>(IF(WEEKDAY(CB$82,2)&gt;5,0,11.31))*-1</f>
        <v>0</v>
      </c>
      <c r="CC129" s="39">
        <f>(IF(WEEKDAY(CC$82,2)&gt;5,0,10.47))*-1</f>
        <v>0</v>
      </c>
      <c r="CD129" s="39">
        <f>(IF(WEEKDAY(CD$82,2)&gt;5,0,8.97))*-1</f>
        <v>-8.9700000000000006</v>
      </c>
      <c r="CE129" s="39">
        <f>(IF(WEEKDAY(CE$82,2)&gt;5,0,10.52))*-1</f>
        <v>-10.52</v>
      </c>
      <c r="CF129" s="39">
        <f>(IF(WEEKDAY(CF$82,2)&gt;5,0,10.62))*-1</f>
        <v>-10.62</v>
      </c>
      <c r="CG129" s="39">
        <f>(IF(WEEKDAY(CG$82,2)&gt;5,0,9.87))*-1</f>
        <v>-9.8699999999999992</v>
      </c>
      <c r="CH129" s="39">
        <f>(IF(WEEKDAY(CH$82,2)&gt;5,0,9.6))*-1</f>
        <v>-9.6</v>
      </c>
      <c r="CI129" s="39">
        <f>(IF(WEEKDAY(CI$82,2)&gt;5,0,11.49))*-1</f>
        <v>0</v>
      </c>
      <c r="CJ129" s="39">
        <f>(IF(WEEKDAY(CJ$82,2)&gt;5,0,10.5))*-1</f>
        <v>0</v>
      </c>
      <c r="CK129" s="39">
        <f>(IF(WEEKDAY(CK$82,2)&gt;5,0,10.34))*-1</f>
        <v>-10.34</v>
      </c>
      <c r="CL129" s="39">
        <f>(IF(WEEKDAY(CL$82,2)&gt;5,0,9.88))*-1</f>
        <v>-9.8800000000000008</v>
      </c>
      <c r="CM129" s="39">
        <f>(IF(WEEKDAY(CM$82,2)&gt;5,0,8.76))*-1</f>
        <v>-8.76</v>
      </c>
      <c r="CN129" s="39">
        <f>(IF(WEEKDAY(CN$82,2)&gt;5,0,8.78))*-1</f>
        <v>-8.7799999999999994</v>
      </c>
      <c r="CO129" s="39">
        <f>(IF(WEEKDAY(CO$82,2)&gt;5,0,11.19))*-1</f>
        <v>-11.19</v>
      </c>
      <c r="CP129" s="39">
        <f>(IF(WEEKDAY(CP$82,2)&gt;5,0,8.91))*-1</f>
        <v>0</v>
      </c>
      <c r="CQ129" s="39">
        <f>(IF(WEEKDAY(CQ$82,2)&gt;5,0,11.23))*-1</f>
        <v>0</v>
      </c>
      <c r="CR129" s="39">
        <f>(IF(WEEKDAY(CR$82,2)&gt;5,0,10.03))*-1</f>
        <v>-10.029999999999999</v>
      </c>
      <c r="CS129" s="39">
        <f>(IF(WEEKDAY(CS$82,2)&gt;5,0,11.35))*-1</f>
        <v>-11.35</v>
      </c>
      <c r="CT129" s="39">
        <f>(IF(WEEKDAY(CT$82,2)&gt;5,0,11.35))*-1</f>
        <v>-11.35</v>
      </c>
      <c r="CU129" s="39">
        <f>(IF(WEEKDAY(CU$82,2)&gt;5,0,9.39))*-1</f>
        <v>-9.39</v>
      </c>
      <c r="CV129" s="39">
        <f>(IF(WEEKDAY(CV$82,2)&gt;5,0,9.51))*-1</f>
        <v>-9.51</v>
      </c>
      <c r="CW129" s="39">
        <f>(IF(WEEKDAY(CW$82,2)&gt;5,0,10.45))*-1</f>
        <v>0</v>
      </c>
      <c r="CX129" s="39">
        <f>(IF(WEEKDAY(CX$82,2)&gt;5,0,9.79))*-1</f>
        <v>0</v>
      </c>
      <c r="CY129" s="39">
        <f>(IF(WEEKDAY(CY$82,2)&gt;5,0,10))*-1</f>
        <v>-10</v>
      </c>
      <c r="CZ129" s="39">
        <f>(IF(WEEKDAY(CZ$82,2)&gt;5,0,10.56))*-1</f>
        <v>-10.56</v>
      </c>
      <c r="DA129" s="39">
        <f>(IF(WEEKDAY(DA$82,2)&gt;5,0,8.91))*-1</f>
        <v>-8.91</v>
      </c>
      <c r="DB129" s="39">
        <f>(IF(WEEKDAY(DB$82,2)&gt;5,0,11.26))*-1</f>
        <v>-11.26</v>
      </c>
      <c r="DC129" s="39">
        <f>(IF(WEEKDAY(DC$82,2)&gt;5,0,9.07))*-1</f>
        <v>-9.07</v>
      </c>
      <c r="DD129" s="39">
        <f>(IF(WEEKDAY(DD$82,2)&gt;5,0,8.88))*-1</f>
        <v>0</v>
      </c>
      <c r="DE129" s="39">
        <f>(IF(WEEKDAY(DE$82,2)&gt;5,0,9.93))*-1</f>
        <v>0</v>
      </c>
      <c r="DF129" s="39">
        <f>(IF(WEEKDAY(DF$82,2)&gt;5,0,10.75))*-1</f>
        <v>-10.75</v>
      </c>
      <c r="DG129" s="39">
        <f>(IF(WEEKDAY(DG$82,2)&gt;5,0,9.51))*-1</f>
        <v>-9.51</v>
      </c>
      <c r="DH129" s="39">
        <f>(IF(WEEKDAY(DH$82,2)&gt;5,0,10.2))*-1</f>
        <v>-10.199999999999999</v>
      </c>
      <c r="DI129" s="39">
        <f>(IF(WEEKDAY(DI$82,2)&gt;5,0,9.82))*-1</f>
        <v>-9.82</v>
      </c>
      <c r="DJ129" s="39">
        <f>(IF(WEEKDAY(DJ$82,2)&gt;5,0,9.74))*-1</f>
        <v>-9.74</v>
      </c>
      <c r="DK129" s="39">
        <f>(IF(WEEKDAY(DK$82,2)&gt;5,0,9.81))*-1</f>
        <v>0</v>
      </c>
      <c r="DL129" s="39">
        <f>(IF(WEEKDAY(DL$82,2)&gt;5,0,9.32))*-1</f>
        <v>0</v>
      </c>
      <c r="DM129" s="39">
        <f>(IF(WEEKDAY(DM$82,2)&gt;5,0,9.13))*-1</f>
        <v>-9.1300000000000008</v>
      </c>
      <c r="DN129" s="39">
        <f>(IF(WEEKDAY(DN$82,2)&gt;5,0,9.34))*-1</f>
        <v>-9.34</v>
      </c>
      <c r="DO129" s="39">
        <f>(IF(WEEKDAY(DO$82,2)&gt;5,0,8.53))*-1</f>
        <v>-8.5299999999999994</v>
      </c>
      <c r="DP129" s="39">
        <f>(IF(WEEKDAY(DP$82,2)&gt;5,0,11.14))*-1</f>
        <v>-11.14</v>
      </c>
      <c r="DQ129" s="39">
        <f>(IF(WEEKDAY(DQ$82,2)&gt;5,0,9.21))*-1</f>
        <v>-9.2100000000000009</v>
      </c>
      <c r="DR129" s="39">
        <f>(IF(WEEKDAY(DR$82,2)&gt;5,0,9.51))*-1</f>
        <v>0</v>
      </c>
      <c r="DS129" s="39">
        <f>(IF(WEEKDAY(DS$82,2)&gt;5,0,9.69))*-1</f>
        <v>0</v>
      </c>
      <c r="DT129" s="39">
        <f>(IF(WEEKDAY(DT$82,2)&gt;5,0,9.96))*-1</f>
        <v>-9.9600000000000009</v>
      </c>
      <c r="DU129" s="39">
        <f>(IF(WEEKDAY(DU$82,2)&gt;5,0,8.69))*-1</f>
        <v>-8.69</v>
      </c>
      <c r="DV129" s="39">
        <f>(IF(WEEKDAY(DV$82,2)&gt;5,0,9.41))*-1</f>
        <v>-9.41</v>
      </c>
      <c r="DW129" s="39">
        <f>(IF(WEEKDAY(DW$82,2)&gt;5,0,8.83))*-1</f>
        <v>-8.83</v>
      </c>
      <c r="DX129" s="39">
        <f>(IF(WEEKDAY(DX$82,2)&gt;5,0,10.41))*-1</f>
        <v>-10.41</v>
      </c>
      <c r="DY129" s="39">
        <f>(IF(WEEKDAY(DY$82,2)&gt;5,0,9.38))*-1</f>
        <v>0</v>
      </c>
      <c r="DZ129" s="39">
        <f>(IF(WEEKDAY(DZ$82,2)&gt;5,0,11.47))*-1</f>
        <v>0</v>
      </c>
      <c r="EA129" s="39">
        <f>(IF(WEEKDAY(EA$82,2)&gt;5,0,9.52))*-1</f>
        <v>-9.52</v>
      </c>
      <c r="EB129" s="39">
        <f>(IF(WEEKDAY(EB$82,2)&gt;5,0,8.68))*-1</f>
        <v>-8.68</v>
      </c>
      <c r="EC129" s="39">
        <f>(IF(WEEKDAY(EC$82,2)&gt;5,0,10.68))*-1</f>
        <v>-10.68</v>
      </c>
      <c r="ED129" s="39">
        <f>(IF(WEEKDAY(ED$82,2)&gt;5,0,9.96))*-1</f>
        <v>-9.9600000000000009</v>
      </c>
      <c r="EE129" s="39">
        <f>(IF(WEEKDAY(EE$82,2)&gt;5,0,9.1))*-1</f>
        <v>-9.1</v>
      </c>
      <c r="EF129" s="39">
        <f>(IF(WEEKDAY(EF$82,2)&gt;5,0,9.34))*-1</f>
        <v>0</v>
      </c>
      <c r="EG129" s="39">
        <f>(IF(WEEKDAY(EG$82,2)&gt;5,0,9.48))*-1</f>
        <v>0</v>
      </c>
      <c r="EH129" s="39">
        <f>(IF(WEEKDAY(EH$82,2)&gt;5,0,11.18))*-1</f>
        <v>-11.18</v>
      </c>
      <c r="EI129" s="39">
        <f>(IF(WEEKDAY(EI$82,2)&gt;5,0,11.16))*-1</f>
        <v>-11.16</v>
      </c>
      <c r="EJ129" s="39">
        <f>(IF(WEEKDAY(EJ$82,2)&gt;5,0,9.46))*-1</f>
        <v>-9.4600000000000009</v>
      </c>
      <c r="EK129" s="39">
        <f>(IF(WEEKDAY(EK$82,2)&gt;5,0,11.44))*-1</f>
        <v>-11.44</v>
      </c>
      <c r="EL129" s="39">
        <f>(IF(WEEKDAY(EL$82,2)&gt;5,0,11.31))*-1</f>
        <v>-11.31</v>
      </c>
      <c r="EM129" s="39">
        <f>(IF(WEEKDAY(EM$82,2)&gt;5,0,9.85))*-1</f>
        <v>0</v>
      </c>
      <c r="EN129" s="39">
        <f>(IF(WEEKDAY(EN$82,2)&gt;5,0,10.76))*-1</f>
        <v>0</v>
      </c>
      <c r="EO129" s="39">
        <f>(IF(WEEKDAY(EO$82,2)&gt;5,0,11.19))*-1</f>
        <v>-11.19</v>
      </c>
      <c r="EP129" s="39">
        <f>(IF(WEEKDAY(EP$82,2)&gt;5,0,11.29))*-1</f>
        <v>-11.29</v>
      </c>
      <c r="EQ129" s="39">
        <f>(IF(WEEKDAY(EQ$82,2)&gt;5,0,9.21))*-1</f>
        <v>-9.2100000000000009</v>
      </c>
      <c r="ER129" s="39">
        <f>(IF(WEEKDAY(ER$82,2)&gt;5,0,9.66))*-1</f>
        <v>-9.66</v>
      </c>
      <c r="ES129" s="39">
        <f>(IF(WEEKDAY(ES$82,2)&gt;5,0,8.84))*-1</f>
        <v>-8.84</v>
      </c>
      <c r="ET129" s="39">
        <f>(IF(WEEKDAY(ET$82,2)&gt;5,0,11.07))*-1</f>
        <v>0</v>
      </c>
      <c r="EU129" s="39">
        <f>(IF(WEEKDAY(EU$82,2)&gt;5,0,9.19))*-1</f>
        <v>0</v>
      </c>
      <c r="EV129" s="39">
        <f>(IF(WEEKDAY(EV$82,2)&gt;5,0,10.66))*-1</f>
        <v>-10.66</v>
      </c>
      <c r="EW129" s="39">
        <f>(IF(WEEKDAY(EW$82,2)&gt;5,0,9.97))*-1</f>
        <v>-9.9700000000000006</v>
      </c>
      <c r="EX129" s="39">
        <f>(IF(WEEKDAY(EX$82,2)&gt;5,0,9.16))*-1</f>
        <v>-9.16</v>
      </c>
      <c r="EY129" s="39">
        <f>(IF(WEEKDAY(EY$82,2)&gt;5,0,11.15))*-1</f>
        <v>-11.15</v>
      </c>
      <c r="EZ129" s="39">
        <f>(IF(WEEKDAY(EZ$82,2)&gt;5,0,8.51))*-1</f>
        <v>-8.51</v>
      </c>
      <c r="FA129" s="39">
        <f>(IF(WEEKDAY(FA$82,2)&gt;5,0,8.57))*-1</f>
        <v>0</v>
      </c>
      <c r="FB129" s="39">
        <f>(IF(WEEKDAY(FB$82,2)&gt;5,0,9.77))*-1</f>
        <v>0</v>
      </c>
      <c r="FC129" s="39">
        <f>(IF(WEEKDAY(FC$82,2)&gt;5,0,9.4))*-1</f>
        <v>-9.4</v>
      </c>
      <c r="FD129" s="39">
        <f>(IF(WEEKDAY(FD$82,2)&gt;5,0,11.37))*-1</f>
        <v>-11.37</v>
      </c>
      <c r="FE129" s="39">
        <f>(IF(WEEKDAY(FE$82,2)&gt;5,0,8.94))*-1</f>
        <v>-8.94</v>
      </c>
      <c r="FF129" s="39">
        <f>(IF(WEEKDAY(FF$82,2)&gt;5,0,11.03))*-1</f>
        <v>-11.03</v>
      </c>
      <c r="FG129" s="39">
        <f>(IF(WEEKDAY(FG$82,2)&gt;5,0,10.45))*-1</f>
        <v>-10.45</v>
      </c>
      <c r="FH129" s="39">
        <f>(IF(WEEKDAY(FH$82,2)&gt;5,0,8.54))*-1</f>
        <v>0</v>
      </c>
      <c r="FI129" s="39">
        <f>(IF(WEEKDAY(FI$82,2)&gt;5,0,11.38))*-1</f>
        <v>0</v>
      </c>
      <c r="FJ129" s="39">
        <f>(IF(WEEKDAY(FJ$82,2)&gt;5,0,9.53))*-1</f>
        <v>-9.5299999999999994</v>
      </c>
      <c r="FK129" s="39">
        <f>(IF(WEEKDAY(FK$82,2)&gt;5,0,10))*-1</f>
        <v>-10</v>
      </c>
      <c r="FL129" s="39">
        <f>(IF(WEEKDAY(FL$82,2)&gt;5,0,11.43))*-1</f>
        <v>-11.43</v>
      </c>
      <c r="FM129" s="39">
        <f>(IF(WEEKDAY(FM$82,2)&gt;5,0,9.92))*-1</f>
        <v>-9.92</v>
      </c>
      <c r="FN129" s="39">
        <f>(IF(WEEKDAY(FN$82,2)&gt;5,0,10))*-1</f>
        <v>-10</v>
      </c>
      <c r="FO129" s="39">
        <f>(IF(WEEKDAY(FO$82,2)&gt;5,0,9.19))*-1</f>
        <v>0</v>
      </c>
      <c r="FP129" s="39">
        <f>(IF(WEEKDAY(FP$82,2)&gt;5,0,11.37))*-1</f>
        <v>0</v>
      </c>
      <c r="FQ129" s="39">
        <f>(IF(WEEKDAY(FQ$82,2)&gt;5,0,11.43))*-1</f>
        <v>-11.43</v>
      </c>
      <c r="FR129" s="39">
        <f>(IF(WEEKDAY(FR$82,2)&gt;5,0,8.87))*-1</f>
        <v>-8.8699999999999992</v>
      </c>
      <c r="FS129" s="39">
        <f>(IF(WEEKDAY(FS$82,2)&gt;5,0,10.08))*-1</f>
        <v>-10.08</v>
      </c>
      <c r="FT129" s="39">
        <f>(IF(WEEKDAY(FT$82,2)&gt;5,0,10.08))*-1</f>
        <v>-10.08</v>
      </c>
      <c r="FU129" s="39">
        <f>(IF(WEEKDAY(FU$82,2)&gt;5,0,9.18))*-1</f>
        <v>-9.18</v>
      </c>
      <c r="FV129" s="39">
        <f>(IF(WEEKDAY(FV$82,2)&gt;5,0,11.25))*-1</f>
        <v>0</v>
      </c>
      <c r="FW129" s="39">
        <f>(IF(WEEKDAY(FW$82,2)&gt;5,0,8.94))*-1</f>
        <v>0</v>
      </c>
      <c r="FX129" s="39">
        <f>(IF(WEEKDAY(FX$82,2)&gt;5,0,10.69))*-1</f>
        <v>-10.69</v>
      </c>
      <c r="FY129" s="39">
        <f>(IF(WEEKDAY(FY$82,2)&gt;5,0,9.33))*-1</f>
        <v>-9.33</v>
      </c>
      <c r="FZ129" s="39">
        <f>(IF(WEEKDAY(FZ$82,2)&gt;5,0,9.62))*-1</f>
        <v>-9.6199999999999992</v>
      </c>
      <c r="GA129" s="39">
        <f>(IF(WEEKDAY(GA$82,2)&gt;5,0,11.21))*-1</f>
        <v>-11.21</v>
      </c>
      <c r="GB129" s="39">
        <f>(IF(WEEKDAY(GB$82,2)&gt;5,0,8.86))*-1</f>
        <v>-8.86</v>
      </c>
      <c r="GC129" s="39">
        <f>(IF(WEEKDAY(GC$82,2)&gt;5,0,9.97))*-1</f>
        <v>0</v>
      </c>
      <c r="GD129" s="39">
        <f>(IF(WEEKDAY(GD$82,2)&gt;5,0,8.55))*-1</f>
        <v>0</v>
      </c>
      <c r="GE129" s="39">
        <f>(IF(WEEKDAY(GE$82,2)&gt;5,0,10.78))*-1</f>
        <v>-10.78</v>
      </c>
      <c r="GF129" s="39">
        <f>(IF(WEEKDAY(GF$82,2)&gt;5,0,9.85))*-1</f>
        <v>-9.85</v>
      </c>
      <c r="GG129" s="39">
        <f>(IF(WEEKDAY(GG$82,2)&gt;5,0,8.86))*-1</f>
        <v>-8.86</v>
      </c>
      <c r="GH129" s="39">
        <f>(IF(WEEKDAY(GH$82,2)&gt;5,0,9.14))*-1</f>
        <v>-9.14</v>
      </c>
      <c r="GI129" s="39">
        <f>(IF(WEEKDAY(GI$82,2)&gt;5,0,10.55))*-1</f>
        <v>-10.55</v>
      </c>
      <c r="GJ129" s="39">
        <f>(IF(WEEKDAY(GJ$82,2)&gt;5,0,10.55))*-1</f>
        <v>0</v>
      </c>
      <c r="GK129" s="39">
        <f>(IF(WEEKDAY(GK$82,2)&gt;5,0,9.53))*-1</f>
        <v>0</v>
      </c>
      <c r="GL129" s="39">
        <f>(IF(WEEKDAY(GL$82,2)&gt;5,0,10.33))*-1</f>
        <v>-10.33</v>
      </c>
      <c r="GM129" s="39">
        <f>(IF(WEEKDAY(GM$82,2)&gt;5,0,10.85))*-1</f>
        <v>-10.85</v>
      </c>
      <c r="GN129" s="39">
        <f>(IF(WEEKDAY(GN$82,2)&gt;5,0,10.01))*-1</f>
        <v>-10.01</v>
      </c>
      <c r="GO129" s="39">
        <f>(IF(WEEKDAY(GO$82,2)&gt;5,0,9.98))*-1</f>
        <v>-9.98</v>
      </c>
      <c r="GP129" s="39">
        <f>(IF(WEEKDAY(GP$82,2)&gt;5,0,9.52))*-1</f>
        <v>-9.52</v>
      </c>
      <c r="GQ129" s="39">
        <f>(IF(WEEKDAY(GQ$82,2)&gt;5,0,9.16))*-1</f>
        <v>0</v>
      </c>
      <c r="GR129" s="39">
        <f>(IF(WEEKDAY(GR$82,2)&gt;5,0,10.46))*-1</f>
        <v>0</v>
      </c>
      <c r="GS129" s="39">
        <f>(IF(WEEKDAY(GS$82,2)&gt;5,0,9.5))*-1</f>
        <v>-9.5</v>
      </c>
      <c r="GT129" s="39">
        <f>(IF(WEEKDAY(GT$82,2)&gt;5,0,9.4))*-1</f>
        <v>-9.4</v>
      </c>
      <c r="GU129" s="39">
        <f>(IF(WEEKDAY(GU$82,2)&gt;5,0,10.88))*-1</f>
        <v>-10.88</v>
      </c>
      <c r="GV129" s="39">
        <f>(IF(WEEKDAY(GV$82,2)&gt;5,0,10.27))*-1</f>
        <v>-10.27</v>
      </c>
      <c r="GW129" s="39">
        <f>(IF(WEEKDAY(GW$82,2)&gt;5,0,10.16))*-1</f>
        <v>-10.16</v>
      </c>
      <c r="GX129" s="39">
        <f>(IF(WEEKDAY(GX$82,2)&gt;5,0,10.58))*-1</f>
        <v>0</v>
      </c>
      <c r="GY129" s="39">
        <f>(IF(WEEKDAY(GY$82,2)&gt;5,0,9.66))*-1</f>
        <v>0</v>
      </c>
      <c r="GZ129" s="39">
        <f>(IF(WEEKDAY(GZ$82,2)&gt;5,0,10.75))*-1</f>
        <v>-10.75</v>
      </c>
      <c r="HA129" s="39">
        <f>(IF(WEEKDAY(HA$82,2)&gt;5,0,9.82))*-1</f>
        <v>-9.82</v>
      </c>
      <c r="HB129" s="39">
        <f>(IF(WEEKDAY(HB$82,2)&gt;5,0,11.21))*-1</f>
        <v>-11.21</v>
      </c>
      <c r="HC129" s="39">
        <f>(IF(WEEKDAY(HC$82,2)&gt;5,0,9.78))*-1</f>
        <v>-9.7799999999999994</v>
      </c>
      <c r="HD129" s="39">
        <f>(IF(WEEKDAY(HD$82,2)&gt;5,0,10.99))*-1</f>
        <v>-10.99</v>
      </c>
      <c r="HE129" s="39">
        <f>(IF(WEEKDAY(HE$82,2)&gt;5,0,10.48))*-1</f>
        <v>0</v>
      </c>
      <c r="HF129" s="39">
        <f>(IF(WEEKDAY(HF$82,2)&gt;5,0,9.6))*-1</f>
        <v>0</v>
      </c>
      <c r="HG129" s="39">
        <f>(IF(WEEKDAY(HG$82,2)&gt;5,0,11.31))*-1</f>
        <v>-11.31</v>
      </c>
      <c r="HH129" s="39">
        <f>(IF(WEEKDAY(HH$82,2)&gt;5,0,11.35))*-1</f>
        <v>-11.35</v>
      </c>
      <c r="HI129" s="39">
        <f>(IF(WEEKDAY(HI$82,2)&gt;5,0,10.05))*-1</f>
        <v>-10.050000000000001</v>
      </c>
      <c r="HJ129" s="39">
        <f>(IF(WEEKDAY(HJ$82,2)&gt;5,0,8.96))*-1</f>
        <v>-8.9600000000000009</v>
      </c>
      <c r="HK129" s="39">
        <f>(IF(WEEKDAY(HK$82,2)&gt;5,0,9.48))*-1</f>
        <v>-9.48</v>
      </c>
      <c r="HL129" s="39">
        <f>(IF(WEEKDAY(HL$82,2)&gt;5,0,10.21))*-1</f>
        <v>0</v>
      </c>
      <c r="HM129" s="39">
        <f>(IF(WEEKDAY(HM$82,2)&gt;5,0,9.92))*-1</f>
        <v>0</v>
      </c>
      <c r="HN129" s="39">
        <f>(IF(WEEKDAY(HN$82,2)&gt;5,0,9.18))*-1</f>
        <v>-9.18</v>
      </c>
      <c r="HO129" s="39">
        <f>(IF(WEEKDAY(HO$82,2)&gt;5,0,8.68))*-1</f>
        <v>-8.68</v>
      </c>
      <c r="HP129" s="39">
        <f>(IF(WEEKDAY(HP$82,2)&gt;5,0,9.39))*-1</f>
        <v>-9.39</v>
      </c>
      <c r="HQ129" s="39">
        <f>(IF(WEEKDAY(HQ$82,2)&gt;5,0,8.72))*-1</f>
        <v>-8.7200000000000006</v>
      </c>
      <c r="HR129" s="39">
        <f>(IF(WEEKDAY(HR$82,2)&gt;5,0,9.36))*-1</f>
        <v>-9.36</v>
      </c>
      <c r="HS129" s="39">
        <f>(IF(WEEKDAY(HS$82,2)&gt;5,0,9.28))*-1</f>
        <v>0</v>
      </c>
      <c r="HT129" s="39">
        <f>(IF(WEEKDAY(HT$82,2)&gt;5,0,9.6))*-1</f>
        <v>0</v>
      </c>
      <c r="HU129" s="39">
        <f>(IF(WEEKDAY(HU$82,2)&gt;5,0,10.47))*-1</f>
        <v>-10.47</v>
      </c>
      <c r="HV129" s="39">
        <f>(IF(WEEKDAY(HV$82,2)&gt;5,0,10.63))*-1</f>
        <v>-10.63</v>
      </c>
      <c r="HW129" s="39">
        <f>(IF(WEEKDAY(HW$82,2)&gt;5,0,8.78))*-1</f>
        <v>-8.7799999999999994</v>
      </c>
      <c r="HX129" s="39">
        <f>(IF(WEEKDAY(HX$82,2)&gt;5,0,11.16))*-1</f>
        <v>-11.16</v>
      </c>
      <c r="HY129" s="39">
        <f>(IF(WEEKDAY(HY$82,2)&gt;5,0,11.4))*-1</f>
        <v>-11.4</v>
      </c>
      <c r="HZ129" s="39">
        <f>(IF(WEEKDAY(HZ$82,2)&gt;5,0,10.06))*-1</f>
        <v>0</v>
      </c>
      <c r="IA129" s="39">
        <f>(IF(WEEKDAY(IA$82,2)&gt;5,0,9.41))*-1</f>
        <v>0</v>
      </c>
      <c r="IB129" s="39">
        <f>(IF(WEEKDAY(IB$82,2)&gt;5,0,8.56))*-1</f>
        <v>-8.56</v>
      </c>
      <c r="IC129" s="39">
        <f>(IF(WEEKDAY(IC$82,2)&gt;5,0,10.63))*-1</f>
        <v>-10.63</v>
      </c>
      <c r="ID129" s="39">
        <f>(IF(WEEKDAY(ID$82,2)&gt;5,0,10.4))*-1</f>
        <v>-10.4</v>
      </c>
      <c r="IE129" s="39">
        <f>(IF(WEEKDAY(IE$82,2)&gt;5,0,10.2))*-1</f>
        <v>-10.199999999999999</v>
      </c>
      <c r="IF129" s="39">
        <f>(IF(WEEKDAY(IF$82,2)&gt;5,0,8.87))*-1</f>
        <v>-8.8699999999999992</v>
      </c>
      <c r="IG129" s="39">
        <f>(IF(WEEKDAY(IG$82,2)&gt;5,0,9.42))*-1</f>
        <v>0</v>
      </c>
      <c r="IH129" s="39">
        <f>(IF(WEEKDAY(IH$82,2)&gt;5,0,8.96))*-1</f>
        <v>0</v>
      </c>
      <c r="II129" s="39">
        <f>(IF(WEEKDAY(II$82,2)&gt;5,0,9.3))*-1</f>
        <v>-9.3000000000000007</v>
      </c>
      <c r="IJ129" s="39">
        <f>(IF(WEEKDAY(IJ$82,2)&gt;5,0,9.11))*-1</f>
        <v>-9.11</v>
      </c>
      <c r="IK129" s="39">
        <f>(IF(WEEKDAY(IK$82,2)&gt;5,0,9.26))*-1</f>
        <v>-9.26</v>
      </c>
      <c r="IL129" s="39">
        <f>(IF(WEEKDAY(IL$82,2)&gt;5,0,10.54))*-1</f>
        <v>-10.54</v>
      </c>
    </row>
    <row r="130" spans="1:246" x14ac:dyDescent="0.3">
      <c r="A130" t="s">
        <v>112</v>
      </c>
      <c r="B130" s="39">
        <f>(IF(WEEKDAY(B$82,2)&gt;5,0,5.62))*-1</f>
        <v>-5.62</v>
      </c>
      <c r="C130" s="39">
        <f>(IF(WEEKDAY(C$82,2)&gt;5,0,5.1))*-1</f>
        <v>0</v>
      </c>
      <c r="D130" s="39">
        <f>(IF(WEEKDAY(D$82,2)&gt;5,0,4.65))*-1</f>
        <v>0</v>
      </c>
      <c r="E130" s="39">
        <f>(IF(WEEKDAY(E$82,2)&gt;5,0,5.58))*-1</f>
        <v>-5.58</v>
      </c>
      <c r="F130" s="39">
        <f>(IF(WEEKDAY(F$82,2)&gt;5,0,5.66))*-1</f>
        <v>-5.66</v>
      </c>
      <c r="G130" s="39">
        <f>(IF(WEEKDAY(G$82,2)&gt;5,0,4.53))*-1</f>
        <v>-4.53</v>
      </c>
      <c r="H130" s="39">
        <f>(IF(WEEKDAY(H$82,2)&gt;5,0,4.73))*-1</f>
        <v>-4.7300000000000004</v>
      </c>
      <c r="I130" s="39">
        <f>(IF(WEEKDAY(I$82,2)&gt;5,0,5.71))*-1</f>
        <v>-5.71</v>
      </c>
      <c r="J130" s="39">
        <f>(IF(WEEKDAY(J$82,2)&gt;5,0,4.33))*-1</f>
        <v>0</v>
      </c>
      <c r="K130" s="39">
        <f>(IF(WEEKDAY(K$82,2)&gt;5,0,4.45))*-1</f>
        <v>0</v>
      </c>
      <c r="L130" s="39">
        <f>(IF(WEEKDAY(L$82,2)&gt;5,0,5.58))*-1</f>
        <v>-5.58</v>
      </c>
      <c r="M130" s="39">
        <f>(IF(WEEKDAY(M$82,2)&gt;5,0,4.89))*-1</f>
        <v>-4.8899999999999997</v>
      </c>
      <c r="N130" s="39">
        <f>(IF(WEEKDAY(N$82,2)&gt;5,0,5.57))*-1</f>
        <v>-5.57</v>
      </c>
      <c r="O130" s="39">
        <f>(IF(WEEKDAY(O$82,2)&gt;5,0,5.66))*-1</f>
        <v>-5.66</v>
      </c>
      <c r="P130" s="39">
        <f>(IF(WEEKDAY(P$82,2)&gt;5,0,4.29))*-1</f>
        <v>-4.29</v>
      </c>
      <c r="Q130" s="39">
        <f>(IF(WEEKDAY(Q$82,2)&gt;5,0,4.53))*-1</f>
        <v>0</v>
      </c>
      <c r="R130" s="39">
        <f>(IF(WEEKDAY(R$82,2)&gt;5,0,5.35))*-1</f>
        <v>0</v>
      </c>
      <c r="S130" s="39">
        <f>(IF(WEEKDAY(S$82,2)&gt;5,0,4.62))*-1</f>
        <v>-4.62</v>
      </c>
      <c r="T130" s="39">
        <f>(IF(WEEKDAY(T$82,2)&gt;5,0,5.33))*-1</f>
        <v>-5.33</v>
      </c>
      <c r="U130" s="39">
        <f>(IF(WEEKDAY(U$82,2)&gt;5,0,4.34))*-1</f>
        <v>-4.34</v>
      </c>
      <c r="V130" s="39">
        <f>(IF(WEEKDAY(V$82,2)&gt;5,0,4.93))*-1</f>
        <v>-4.93</v>
      </c>
      <c r="W130" s="39">
        <f>(IF(WEEKDAY(W$82,2)&gt;5,0,4.93))*-1</f>
        <v>-4.93</v>
      </c>
      <c r="X130" s="39">
        <f>(IF(WEEKDAY(X$82,2)&gt;5,0,4.97))*-1</f>
        <v>0</v>
      </c>
      <c r="Y130" s="39">
        <f>(IF(WEEKDAY(Y$82,2)&gt;5,0,5.4))*-1</f>
        <v>0</v>
      </c>
      <c r="Z130" s="39">
        <f>(IF(WEEKDAY(Z$82,2)&gt;5,0,4.8))*-1</f>
        <v>-4.8</v>
      </c>
      <c r="AA130" s="39">
        <f>(IF(WEEKDAY(AA$82,2)&gt;5,0,4.45))*-1</f>
        <v>-4.45</v>
      </c>
      <c r="AB130" s="39">
        <f>(IF(WEEKDAY(AB$82,2)&gt;5,0,4.46))*-1</f>
        <v>-4.46</v>
      </c>
      <c r="AC130" s="39">
        <f>(IF(WEEKDAY(AC$82,2)&gt;5,0,4.5))*-1</f>
        <v>-4.5</v>
      </c>
      <c r="AD130" s="39">
        <f>(IF(WEEKDAY(AD$82,2)&gt;5,0,4.31))*-1</f>
        <v>-4.3099999999999996</v>
      </c>
      <c r="AE130" s="39">
        <f>(IF(WEEKDAY(AE$82,2)&gt;5,0,4.31))*-1</f>
        <v>0</v>
      </c>
      <c r="AF130" s="39">
        <f>(IF(WEEKDAY(AF$82,2)&gt;5,0,5.68))*-1</f>
        <v>0</v>
      </c>
      <c r="AG130" s="39">
        <f>(IF(WEEKDAY(AG$82,2)&gt;5,0,4.39))*-1</f>
        <v>-4.3899999999999997</v>
      </c>
      <c r="AH130" s="39">
        <f>(IF(WEEKDAY(AH$82,2)&gt;5,0,4.63))*-1</f>
        <v>-4.63</v>
      </c>
      <c r="AI130" s="39">
        <f>(IF(WEEKDAY(AI$82,2)&gt;5,0,5.05))*-1</f>
        <v>-5.05</v>
      </c>
      <c r="AJ130" s="39">
        <f>(IF(WEEKDAY(AJ$82,2)&gt;5,0,5.53))*-1</f>
        <v>-5.53</v>
      </c>
      <c r="AK130" s="39">
        <f>(IF(WEEKDAY(AK$82,2)&gt;5,0,5.7))*-1</f>
        <v>-5.7</v>
      </c>
      <c r="AL130" s="39">
        <f>(IF(WEEKDAY(AL$82,2)&gt;5,0,5.68))*-1</f>
        <v>0</v>
      </c>
      <c r="AM130" s="39">
        <f>(IF(WEEKDAY(AM$82,2)&gt;5,0,4.44))*-1</f>
        <v>0</v>
      </c>
      <c r="AN130" s="39">
        <f>(IF(WEEKDAY(AN$82,2)&gt;5,0,4.33))*-1</f>
        <v>-4.33</v>
      </c>
      <c r="AO130" s="39">
        <f>(IF(WEEKDAY(AO$82,2)&gt;5,0,5.08))*-1</f>
        <v>-5.08</v>
      </c>
      <c r="AP130" s="39">
        <f>(IF(WEEKDAY(AP$82,2)&gt;5,0,4.73))*-1</f>
        <v>-4.7300000000000004</v>
      </c>
      <c r="AQ130" s="39">
        <f>(IF(WEEKDAY(AQ$82,2)&gt;5,0,5.25))*-1</f>
        <v>-5.25</v>
      </c>
      <c r="AR130" s="39">
        <f>(IF(WEEKDAY(AR$82,2)&gt;5,0,5.33))*-1</f>
        <v>-5.33</v>
      </c>
      <c r="AS130" s="39">
        <f>(IF(WEEKDAY(AS$82,2)&gt;5,0,5.49))*-1</f>
        <v>0</v>
      </c>
      <c r="AT130" s="39">
        <f>(IF(WEEKDAY(AT$82,2)&gt;5,0,4.93))*-1</f>
        <v>0</v>
      </c>
      <c r="AU130" s="39">
        <f>(IF(WEEKDAY(AU$82,2)&gt;5,0,4.26))*-1</f>
        <v>-4.26</v>
      </c>
      <c r="AV130" s="39">
        <f>(IF(WEEKDAY(AV$82,2)&gt;5,0,5.34))*-1</f>
        <v>-5.34</v>
      </c>
      <c r="AW130" s="39">
        <f>(IF(WEEKDAY(AW$82,2)&gt;5,0,4.85))*-1</f>
        <v>-4.8499999999999996</v>
      </c>
      <c r="AX130" s="39">
        <f>(IF(WEEKDAY(AX$82,2)&gt;5,0,5.3))*-1</f>
        <v>-5.3</v>
      </c>
      <c r="AY130" s="39">
        <f>(IF(WEEKDAY(AY$82,2)&gt;5,0,5.24))*-1</f>
        <v>-5.24</v>
      </c>
      <c r="AZ130" s="39">
        <f>(IF(WEEKDAY(AZ$82,2)&gt;5,0,5.69))*-1</f>
        <v>0</v>
      </c>
      <c r="BA130" s="39">
        <f>(IF(WEEKDAY(BA$82,2)&gt;5,0,4.53))*-1</f>
        <v>0</v>
      </c>
      <c r="BB130" s="39">
        <f>(IF(WEEKDAY(BB$82,2)&gt;5,0,4.98))*-1</f>
        <v>-4.9800000000000004</v>
      </c>
      <c r="BC130" s="39">
        <f>(IF(WEEKDAY(BC$82,2)&gt;5,0,4.66))*-1</f>
        <v>-4.66</v>
      </c>
      <c r="BD130" s="39">
        <f>(IF(WEEKDAY(BD$82,2)&gt;5,0,5.11))*-1</f>
        <v>-5.1100000000000003</v>
      </c>
      <c r="BE130" s="39">
        <f>(IF(WEEKDAY(BE$82,2)&gt;5,0,5.3))*-1</f>
        <v>-5.3</v>
      </c>
      <c r="BF130" s="39">
        <f>(IF(WEEKDAY(BF$82,2)&gt;5,0,4.32))*-1</f>
        <v>-4.32</v>
      </c>
      <c r="BG130" s="39">
        <f>(IF(WEEKDAY(BG$82,2)&gt;5,0,4.48))*-1</f>
        <v>0</v>
      </c>
      <c r="BH130" s="39">
        <f>(IF(WEEKDAY(BH$82,2)&gt;5,0,4.43))*-1</f>
        <v>0</v>
      </c>
      <c r="BI130" s="39">
        <f>(IF(WEEKDAY(BI$82,2)&gt;5,0,4.7))*-1</f>
        <v>-4.7</v>
      </c>
      <c r="BJ130" s="39">
        <f>(IF(WEEKDAY(BJ$82,2)&gt;5,0,5.09))*-1</f>
        <v>-5.09</v>
      </c>
      <c r="BK130" s="39">
        <f>(IF(WEEKDAY(BK$82,2)&gt;5,0,5.17))*-1</f>
        <v>-5.17</v>
      </c>
      <c r="BL130" s="39">
        <f>(IF(WEEKDAY(BL$82,2)&gt;5,0,5.73))*-1</f>
        <v>-5.73</v>
      </c>
      <c r="BM130" s="39">
        <f>(IF(WEEKDAY(BM$82,2)&gt;5,0,5.4))*-1</f>
        <v>-5.4</v>
      </c>
      <c r="BN130" s="39">
        <f>(IF(WEEKDAY(BN$82,2)&gt;5,0,4.61))*-1</f>
        <v>0</v>
      </c>
      <c r="BO130" s="39">
        <f>(IF(WEEKDAY(BO$82,2)&gt;5,0,4.37))*-1</f>
        <v>0</v>
      </c>
      <c r="BP130" s="39">
        <f>(IF(WEEKDAY(BP$82,2)&gt;5,0,5.27))*-1</f>
        <v>-5.27</v>
      </c>
      <c r="BQ130" s="39">
        <f>(IF(WEEKDAY(BQ$82,2)&gt;5,0,5.51))*-1</f>
        <v>-5.51</v>
      </c>
      <c r="BR130" s="39">
        <f>(IF(WEEKDAY(BR$82,2)&gt;5,0,5.23))*-1</f>
        <v>-5.23</v>
      </c>
      <c r="BS130" s="39">
        <f>(IF(WEEKDAY(BS$82,2)&gt;5,0,4.29))*-1</f>
        <v>-4.29</v>
      </c>
      <c r="BT130" s="39">
        <f>(IF(WEEKDAY(BT$82,2)&gt;5,0,5.5))*-1</f>
        <v>-5.5</v>
      </c>
      <c r="BU130" s="39">
        <f>(IF(WEEKDAY(BU$82,2)&gt;5,0,5.34))*-1</f>
        <v>0</v>
      </c>
      <c r="BV130" s="39">
        <f>(IF(WEEKDAY(BV$82,2)&gt;5,0,4.4))*-1</f>
        <v>0</v>
      </c>
      <c r="BW130" s="39">
        <f>(IF(WEEKDAY(BW$82,2)&gt;5,0,4.35))*-1</f>
        <v>-4.3499999999999996</v>
      </c>
      <c r="BX130" s="39">
        <f>(IF(WEEKDAY(BX$82,2)&gt;5,0,4.52))*-1</f>
        <v>-4.5199999999999996</v>
      </c>
      <c r="BY130" s="39">
        <f>(IF(WEEKDAY(BY$82,2)&gt;5,0,5.12))*-1</f>
        <v>-5.12</v>
      </c>
      <c r="BZ130" s="39">
        <f>(IF(WEEKDAY(BZ$82,2)&gt;5,0,4.86))*-1</f>
        <v>-4.8600000000000003</v>
      </c>
      <c r="CA130" s="39">
        <f>(IF(WEEKDAY(CA$82,2)&gt;5,0,4.42))*-1</f>
        <v>-4.42</v>
      </c>
      <c r="CB130" s="39">
        <f>(IF(WEEKDAY(CB$82,2)&gt;5,0,4.47))*-1</f>
        <v>0</v>
      </c>
      <c r="CC130" s="39">
        <f>(IF(WEEKDAY(CC$82,2)&gt;5,0,5.21))*-1</f>
        <v>0</v>
      </c>
      <c r="CD130" s="39">
        <f>(IF(WEEKDAY(CD$82,2)&gt;5,0,5.6))*-1</f>
        <v>-5.6</v>
      </c>
      <c r="CE130" s="39">
        <f>(IF(WEEKDAY(CE$82,2)&gt;5,0,5.66))*-1</f>
        <v>-5.66</v>
      </c>
      <c r="CF130" s="39">
        <f>(IF(WEEKDAY(CF$82,2)&gt;5,0,5.3))*-1</f>
        <v>-5.3</v>
      </c>
      <c r="CG130" s="39">
        <f>(IF(WEEKDAY(CG$82,2)&gt;5,0,5.43))*-1</f>
        <v>-5.43</v>
      </c>
      <c r="CH130" s="39">
        <f>(IF(WEEKDAY(CH$82,2)&gt;5,0,5.49))*-1</f>
        <v>-5.49</v>
      </c>
      <c r="CI130" s="39">
        <f>(IF(WEEKDAY(CI$82,2)&gt;5,0,4.99))*-1</f>
        <v>0</v>
      </c>
      <c r="CJ130" s="39">
        <f>(IF(WEEKDAY(CJ$82,2)&gt;5,0,5.13))*-1</f>
        <v>0</v>
      </c>
      <c r="CK130" s="39">
        <f>(IF(WEEKDAY(CK$82,2)&gt;5,0,4.55))*-1</f>
        <v>-4.55</v>
      </c>
      <c r="CL130" s="39">
        <f>(IF(WEEKDAY(CL$82,2)&gt;5,0,5.52))*-1</f>
        <v>-5.52</v>
      </c>
      <c r="CM130" s="39">
        <f>(IF(WEEKDAY(CM$82,2)&gt;5,0,5))*-1</f>
        <v>-5</v>
      </c>
      <c r="CN130" s="39">
        <f>(IF(WEEKDAY(CN$82,2)&gt;5,0,4.91))*-1</f>
        <v>-4.91</v>
      </c>
      <c r="CO130" s="39">
        <f>(IF(WEEKDAY(CO$82,2)&gt;5,0,4.63))*-1</f>
        <v>-4.63</v>
      </c>
      <c r="CP130" s="39">
        <f>(IF(WEEKDAY(CP$82,2)&gt;5,0,4.44))*-1</f>
        <v>0</v>
      </c>
      <c r="CQ130" s="39">
        <f>(IF(WEEKDAY(CQ$82,2)&gt;5,0,5.14))*-1</f>
        <v>0</v>
      </c>
      <c r="CR130" s="39">
        <f>(IF(WEEKDAY(CR$82,2)&gt;5,0,5.2))*-1</f>
        <v>-5.2</v>
      </c>
      <c r="CS130" s="39">
        <f>(IF(WEEKDAY(CS$82,2)&gt;5,0,5.66))*-1</f>
        <v>-5.66</v>
      </c>
      <c r="CT130" s="39">
        <f>(IF(WEEKDAY(CT$82,2)&gt;5,0,4.74))*-1</f>
        <v>-4.74</v>
      </c>
      <c r="CU130" s="39">
        <f>(IF(WEEKDAY(CU$82,2)&gt;5,0,5.74))*-1</f>
        <v>-5.74</v>
      </c>
      <c r="CV130" s="39">
        <f>(IF(WEEKDAY(CV$82,2)&gt;5,0,5.29))*-1</f>
        <v>-5.29</v>
      </c>
      <c r="CW130" s="39">
        <f>(IF(WEEKDAY(CW$82,2)&gt;5,0,5.68))*-1</f>
        <v>0</v>
      </c>
      <c r="CX130" s="39">
        <f>(IF(WEEKDAY(CX$82,2)&gt;5,0,4.79))*-1</f>
        <v>0</v>
      </c>
      <c r="CY130" s="39">
        <f>(IF(WEEKDAY(CY$82,2)&gt;5,0,4.95))*-1</f>
        <v>-4.95</v>
      </c>
      <c r="CZ130" s="39">
        <f>(IF(WEEKDAY(CZ$82,2)&gt;5,0,5.54))*-1</f>
        <v>-5.54</v>
      </c>
      <c r="DA130" s="39">
        <f>(IF(WEEKDAY(DA$82,2)&gt;5,0,4.81))*-1</f>
        <v>-4.8099999999999996</v>
      </c>
      <c r="DB130" s="39">
        <f>(IF(WEEKDAY(DB$82,2)&gt;5,0,4.34))*-1</f>
        <v>-4.34</v>
      </c>
      <c r="DC130" s="39">
        <f>(IF(WEEKDAY(DC$82,2)&gt;5,0,4.66))*-1</f>
        <v>-4.66</v>
      </c>
      <c r="DD130" s="39">
        <f>(IF(WEEKDAY(DD$82,2)&gt;5,0,5.61))*-1</f>
        <v>0</v>
      </c>
      <c r="DE130" s="39">
        <f>(IF(WEEKDAY(DE$82,2)&gt;5,0,4.94))*-1</f>
        <v>0</v>
      </c>
      <c r="DF130" s="39">
        <f>(IF(WEEKDAY(DF$82,2)&gt;5,0,4.51))*-1</f>
        <v>-4.51</v>
      </c>
      <c r="DG130" s="39">
        <f>(IF(WEEKDAY(DG$82,2)&gt;5,0,5.61))*-1</f>
        <v>-5.61</v>
      </c>
      <c r="DH130" s="39">
        <f>(IF(WEEKDAY(DH$82,2)&gt;5,0,4.37))*-1</f>
        <v>-4.37</v>
      </c>
      <c r="DI130" s="39">
        <f>(IF(WEEKDAY(DI$82,2)&gt;5,0,5.64))*-1</f>
        <v>-5.64</v>
      </c>
      <c r="DJ130" s="39">
        <f>(IF(WEEKDAY(DJ$82,2)&gt;5,0,4.47))*-1</f>
        <v>-4.47</v>
      </c>
      <c r="DK130" s="39">
        <f>(IF(WEEKDAY(DK$82,2)&gt;5,0,4.98))*-1</f>
        <v>0</v>
      </c>
      <c r="DL130" s="39">
        <f>(IF(WEEKDAY(DL$82,2)&gt;5,0,4.56))*-1</f>
        <v>0</v>
      </c>
      <c r="DM130" s="39">
        <f>(IF(WEEKDAY(DM$82,2)&gt;5,0,4.96))*-1</f>
        <v>-4.96</v>
      </c>
      <c r="DN130" s="39">
        <f>(IF(WEEKDAY(DN$82,2)&gt;5,0,5.56))*-1</f>
        <v>-5.56</v>
      </c>
      <c r="DO130" s="39">
        <f>(IF(WEEKDAY(DO$82,2)&gt;5,0,5.61))*-1</f>
        <v>-5.61</v>
      </c>
      <c r="DP130" s="39">
        <f>(IF(WEEKDAY(DP$82,2)&gt;5,0,5.74))*-1</f>
        <v>-5.74</v>
      </c>
      <c r="DQ130" s="39">
        <f>(IF(WEEKDAY(DQ$82,2)&gt;5,0,5.23))*-1</f>
        <v>-5.23</v>
      </c>
      <c r="DR130" s="39">
        <f>(IF(WEEKDAY(DR$82,2)&gt;5,0,4.95))*-1</f>
        <v>0</v>
      </c>
      <c r="DS130" s="39">
        <f>(IF(WEEKDAY(DS$82,2)&gt;5,0,5.56))*-1</f>
        <v>0</v>
      </c>
      <c r="DT130" s="39">
        <f>(IF(WEEKDAY(DT$82,2)&gt;5,0,4.44))*-1</f>
        <v>-4.4400000000000004</v>
      </c>
      <c r="DU130" s="39">
        <f>(IF(WEEKDAY(DU$82,2)&gt;5,0,5.03))*-1</f>
        <v>-5.03</v>
      </c>
      <c r="DV130" s="39">
        <f>(IF(WEEKDAY(DV$82,2)&gt;5,0,5.06))*-1</f>
        <v>-5.0599999999999996</v>
      </c>
      <c r="DW130" s="39">
        <f>(IF(WEEKDAY(DW$82,2)&gt;5,0,4.58))*-1</f>
        <v>-4.58</v>
      </c>
      <c r="DX130" s="39">
        <f>(IF(WEEKDAY(DX$82,2)&gt;5,0,5.34))*-1</f>
        <v>-5.34</v>
      </c>
      <c r="DY130" s="39">
        <f>(IF(WEEKDAY(DY$82,2)&gt;5,0,5.74))*-1</f>
        <v>0</v>
      </c>
      <c r="DZ130" s="39">
        <f>(IF(WEEKDAY(DZ$82,2)&gt;5,0,4.63))*-1</f>
        <v>0</v>
      </c>
      <c r="EA130" s="39">
        <f>(IF(WEEKDAY(EA$82,2)&gt;5,0,4.96))*-1</f>
        <v>-4.96</v>
      </c>
      <c r="EB130" s="39">
        <f>(IF(WEEKDAY(EB$82,2)&gt;5,0,4.8))*-1</f>
        <v>-4.8</v>
      </c>
      <c r="EC130" s="39">
        <f>(IF(WEEKDAY(EC$82,2)&gt;5,0,5.28))*-1</f>
        <v>-5.28</v>
      </c>
      <c r="ED130" s="39">
        <f>(IF(WEEKDAY(ED$82,2)&gt;5,0,5.25))*-1</f>
        <v>-5.25</v>
      </c>
      <c r="EE130" s="39">
        <f>(IF(WEEKDAY(EE$82,2)&gt;5,0,5.51))*-1</f>
        <v>-5.51</v>
      </c>
      <c r="EF130" s="39">
        <f>(IF(WEEKDAY(EF$82,2)&gt;5,0,5.57))*-1</f>
        <v>0</v>
      </c>
      <c r="EG130" s="39">
        <f>(IF(WEEKDAY(EG$82,2)&gt;5,0,4.76))*-1</f>
        <v>0</v>
      </c>
      <c r="EH130" s="39">
        <f>(IF(WEEKDAY(EH$82,2)&gt;5,0,4.77))*-1</f>
        <v>-4.7699999999999996</v>
      </c>
      <c r="EI130" s="39">
        <f>(IF(WEEKDAY(EI$82,2)&gt;5,0,4.39))*-1</f>
        <v>-4.3899999999999997</v>
      </c>
      <c r="EJ130" s="39">
        <f>(IF(WEEKDAY(EJ$82,2)&gt;5,0,4.88))*-1</f>
        <v>-4.88</v>
      </c>
      <c r="EK130" s="39">
        <f>(IF(WEEKDAY(EK$82,2)&gt;5,0,5.04))*-1</f>
        <v>-5.04</v>
      </c>
      <c r="EL130" s="39">
        <f>(IF(WEEKDAY(EL$82,2)&gt;5,0,5.47))*-1</f>
        <v>-5.47</v>
      </c>
      <c r="EM130" s="39">
        <f>(IF(WEEKDAY(EM$82,2)&gt;5,0,5.5))*-1</f>
        <v>0</v>
      </c>
      <c r="EN130" s="39">
        <f>(IF(WEEKDAY(EN$82,2)&gt;5,0,5.26))*-1</f>
        <v>0</v>
      </c>
      <c r="EO130" s="39">
        <f>(IF(WEEKDAY(EO$82,2)&gt;5,0,4.95))*-1</f>
        <v>-4.95</v>
      </c>
      <c r="EP130" s="39">
        <f>(IF(WEEKDAY(EP$82,2)&gt;5,0,5.71))*-1</f>
        <v>-5.71</v>
      </c>
      <c r="EQ130" s="39">
        <f>(IF(WEEKDAY(EQ$82,2)&gt;5,0,4.57))*-1</f>
        <v>-4.57</v>
      </c>
      <c r="ER130" s="39">
        <f>(IF(WEEKDAY(ER$82,2)&gt;5,0,4.72))*-1</f>
        <v>-4.72</v>
      </c>
      <c r="ES130" s="39">
        <f>(IF(WEEKDAY(ES$82,2)&gt;5,0,5.54))*-1</f>
        <v>-5.54</v>
      </c>
      <c r="ET130" s="39">
        <f>(IF(WEEKDAY(ET$82,2)&gt;5,0,4.59))*-1</f>
        <v>0</v>
      </c>
      <c r="EU130" s="39">
        <f>(IF(WEEKDAY(EU$82,2)&gt;5,0,5.6))*-1</f>
        <v>0</v>
      </c>
      <c r="EV130" s="39">
        <f>(IF(WEEKDAY(EV$82,2)&gt;5,0,5.22))*-1</f>
        <v>-5.22</v>
      </c>
      <c r="EW130" s="39">
        <f>(IF(WEEKDAY(EW$82,2)&gt;5,0,4.87))*-1</f>
        <v>-4.87</v>
      </c>
      <c r="EX130" s="39">
        <f>(IF(WEEKDAY(EX$82,2)&gt;5,0,5.27))*-1</f>
        <v>-5.27</v>
      </c>
      <c r="EY130" s="39">
        <f>(IF(WEEKDAY(EY$82,2)&gt;5,0,4.57))*-1</f>
        <v>-4.57</v>
      </c>
      <c r="EZ130" s="39">
        <f>(IF(WEEKDAY(EZ$82,2)&gt;5,0,4.52))*-1</f>
        <v>-4.5199999999999996</v>
      </c>
      <c r="FA130" s="39">
        <f>(IF(WEEKDAY(FA$82,2)&gt;5,0,4.29))*-1</f>
        <v>0</v>
      </c>
      <c r="FB130" s="39">
        <f>(IF(WEEKDAY(FB$82,2)&gt;5,0,4.71))*-1</f>
        <v>0</v>
      </c>
      <c r="FC130" s="39">
        <f>(IF(WEEKDAY(FC$82,2)&gt;5,0,5.59))*-1</f>
        <v>-5.59</v>
      </c>
      <c r="FD130" s="39">
        <f>(IF(WEEKDAY(FD$82,2)&gt;5,0,4.27))*-1</f>
        <v>-4.2699999999999996</v>
      </c>
      <c r="FE130" s="39">
        <f>(IF(WEEKDAY(FE$82,2)&gt;5,0,5.02))*-1</f>
        <v>-5.0199999999999996</v>
      </c>
      <c r="FF130" s="39">
        <f>(IF(WEEKDAY(FF$82,2)&gt;5,0,5.34))*-1</f>
        <v>-5.34</v>
      </c>
      <c r="FG130" s="39">
        <f>(IF(WEEKDAY(FG$82,2)&gt;5,0,5.39))*-1</f>
        <v>-5.39</v>
      </c>
      <c r="FH130" s="39">
        <f>(IF(WEEKDAY(FH$82,2)&gt;5,0,5.45))*-1</f>
        <v>0</v>
      </c>
      <c r="FI130" s="39">
        <f>(IF(WEEKDAY(FI$82,2)&gt;5,0,4.44))*-1</f>
        <v>0</v>
      </c>
      <c r="FJ130" s="39">
        <f>(IF(WEEKDAY(FJ$82,2)&gt;5,0,4.82))*-1</f>
        <v>-4.82</v>
      </c>
      <c r="FK130" s="39">
        <f>(IF(WEEKDAY(FK$82,2)&gt;5,0,5.16))*-1</f>
        <v>-5.16</v>
      </c>
      <c r="FL130" s="39">
        <f>(IF(WEEKDAY(FL$82,2)&gt;5,0,5.68))*-1</f>
        <v>-5.68</v>
      </c>
      <c r="FM130" s="39">
        <f>(IF(WEEKDAY(FM$82,2)&gt;5,0,4.29))*-1</f>
        <v>-4.29</v>
      </c>
      <c r="FN130" s="39">
        <f>(IF(WEEKDAY(FN$82,2)&gt;5,0,5.22))*-1</f>
        <v>-5.22</v>
      </c>
      <c r="FO130" s="39">
        <f>(IF(WEEKDAY(FO$82,2)&gt;5,0,4.48))*-1</f>
        <v>0</v>
      </c>
      <c r="FP130" s="39">
        <f>(IF(WEEKDAY(FP$82,2)&gt;5,0,5.57))*-1</f>
        <v>0</v>
      </c>
      <c r="FQ130" s="39">
        <f>(IF(WEEKDAY(FQ$82,2)&gt;5,0,4.42))*-1</f>
        <v>-4.42</v>
      </c>
      <c r="FR130" s="39">
        <f>(IF(WEEKDAY(FR$82,2)&gt;5,0,4.58))*-1</f>
        <v>-4.58</v>
      </c>
      <c r="FS130" s="39">
        <f>(IF(WEEKDAY(FS$82,2)&gt;5,0,5.35))*-1</f>
        <v>-5.35</v>
      </c>
      <c r="FT130" s="39">
        <f>(IF(WEEKDAY(FT$82,2)&gt;5,0,4.28))*-1</f>
        <v>-4.28</v>
      </c>
      <c r="FU130" s="39">
        <f>(IF(WEEKDAY(FU$82,2)&gt;5,0,5.21))*-1</f>
        <v>-5.21</v>
      </c>
      <c r="FV130" s="39">
        <f>(IF(WEEKDAY(FV$82,2)&gt;5,0,4.93))*-1</f>
        <v>0</v>
      </c>
      <c r="FW130" s="39">
        <f>(IF(WEEKDAY(FW$82,2)&gt;5,0,4.69))*-1</f>
        <v>0</v>
      </c>
      <c r="FX130" s="39">
        <f>(IF(WEEKDAY(FX$82,2)&gt;5,0,4.42))*-1</f>
        <v>-4.42</v>
      </c>
      <c r="FY130" s="39">
        <f>(IF(WEEKDAY(FY$82,2)&gt;5,0,4.44))*-1</f>
        <v>-4.4400000000000004</v>
      </c>
      <c r="FZ130" s="39">
        <f>(IF(WEEKDAY(FZ$82,2)&gt;5,0,4.82))*-1</f>
        <v>-4.82</v>
      </c>
      <c r="GA130" s="39">
        <f>(IF(WEEKDAY(GA$82,2)&gt;5,0,4.74))*-1</f>
        <v>-4.74</v>
      </c>
      <c r="GB130" s="39">
        <f>(IF(WEEKDAY(GB$82,2)&gt;5,0,4.69))*-1</f>
        <v>-4.6900000000000004</v>
      </c>
      <c r="GC130" s="39">
        <f>(IF(WEEKDAY(GC$82,2)&gt;5,0,4.82))*-1</f>
        <v>0</v>
      </c>
      <c r="GD130" s="39">
        <f>(IF(WEEKDAY(GD$82,2)&gt;5,0,4.72))*-1</f>
        <v>0</v>
      </c>
      <c r="GE130" s="39">
        <f>(IF(WEEKDAY(GE$82,2)&gt;5,0,5.5))*-1</f>
        <v>-5.5</v>
      </c>
      <c r="GF130" s="39">
        <f>(IF(WEEKDAY(GF$82,2)&gt;5,0,5.55))*-1</f>
        <v>-5.55</v>
      </c>
      <c r="GG130" s="39">
        <f>(IF(WEEKDAY(GG$82,2)&gt;5,0,5.09))*-1</f>
        <v>-5.09</v>
      </c>
      <c r="GH130" s="39">
        <f>(IF(WEEKDAY(GH$82,2)&gt;5,0,5.16))*-1</f>
        <v>-5.16</v>
      </c>
      <c r="GI130" s="39">
        <f>(IF(WEEKDAY(GI$82,2)&gt;5,0,4.73))*-1</f>
        <v>-4.7300000000000004</v>
      </c>
      <c r="GJ130" s="39">
        <f>(IF(WEEKDAY(GJ$82,2)&gt;5,0,4.45))*-1</f>
        <v>0</v>
      </c>
      <c r="GK130" s="39">
        <f>(IF(WEEKDAY(GK$82,2)&gt;5,0,4.42))*-1</f>
        <v>0</v>
      </c>
      <c r="GL130" s="39">
        <f>(IF(WEEKDAY(GL$82,2)&gt;5,0,5.52))*-1</f>
        <v>-5.52</v>
      </c>
      <c r="GM130" s="39">
        <f>(IF(WEEKDAY(GM$82,2)&gt;5,0,5.58))*-1</f>
        <v>-5.58</v>
      </c>
      <c r="GN130" s="39">
        <f>(IF(WEEKDAY(GN$82,2)&gt;5,0,5.67))*-1</f>
        <v>-5.67</v>
      </c>
      <c r="GO130" s="39">
        <f>(IF(WEEKDAY(GO$82,2)&gt;5,0,4.6))*-1</f>
        <v>-4.5999999999999996</v>
      </c>
      <c r="GP130" s="39">
        <f>(IF(WEEKDAY(GP$82,2)&gt;5,0,5.73))*-1</f>
        <v>-5.73</v>
      </c>
      <c r="GQ130" s="39">
        <f>(IF(WEEKDAY(GQ$82,2)&gt;5,0,5.33))*-1</f>
        <v>0</v>
      </c>
      <c r="GR130" s="39">
        <f>(IF(WEEKDAY(GR$82,2)&gt;5,0,4.95))*-1</f>
        <v>0</v>
      </c>
      <c r="GS130" s="39">
        <f>(IF(WEEKDAY(GS$82,2)&gt;5,0,4.89))*-1</f>
        <v>-4.8899999999999997</v>
      </c>
      <c r="GT130" s="39">
        <f>(IF(WEEKDAY(GT$82,2)&gt;5,0,5.33))*-1</f>
        <v>-5.33</v>
      </c>
      <c r="GU130" s="39">
        <f>(IF(WEEKDAY(GU$82,2)&gt;5,0,5.43))*-1</f>
        <v>-5.43</v>
      </c>
      <c r="GV130" s="39">
        <f>(IF(WEEKDAY(GV$82,2)&gt;5,0,4.79))*-1</f>
        <v>-4.79</v>
      </c>
      <c r="GW130" s="39">
        <f>(IF(WEEKDAY(GW$82,2)&gt;5,0,5.28))*-1</f>
        <v>-5.28</v>
      </c>
      <c r="GX130" s="39">
        <f>(IF(WEEKDAY(GX$82,2)&gt;5,0,5.52))*-1</f>
        <v>0</v>
      </c>
      <c r="GY130" s="39">
        <f>(IF(WEEKDAY(GY$82,2)&gt;5,0,4.85))*-1</f>
        <v>0</v>
      </c>
      <c r="GZ130" s="39">
        <f>(IF(WEEKDAY(GZ$82,2)&gt;5,0,4.47))*-1</f>
        <v>-4.47</v>
      </c>
      <c r="HA130" s="39">
        <f>(IF(WEEKDAY(HA$82,2)&gt;5,0,5.14))*-1</f>
        <v>-5.14</v>
      </c>
      <c r="HB130" s="39">
        <f>(IF(WEEKDAY(HB$82,2)&gt;5,0,5.47))*-1</f>
        <v>-5.47</v>
      </c>
      <c r="HC130" s="39">
        <f>(IF(WEEKDAY(HC$82,2)&gt;5,0,4.38))*-1</f>
        <v>-4.38</v>
      </c>
      <c r="HD130" s="39">
        <f>(IF(WEEKDAY(HD$82,2)&gt;5,0,5.39))*-1</f>
        <v>-5.39</v>
      </c>
      <c r="HE130" s="39">
        <f>(IF(WEEKDAY(HE$82,2)&gt;5,0,5.32))*-1</f>
        <v>0</v>
      </c>
      <c r="HF130" s="39">
        <f>(IF(WEEKDAY(HF$82,2)&gt;5,0,4.36))*-1</f>
        <v>0</v>
      </c>
      <c r="HG130" s="39">
        <f>(IF(WEEKDAY(HG$82,2)&gt;5,0,4.85))*-1</f>
        <v>-4.8499999999999996</v>
      </c>
      <c r="HH130" s="39">
        <f>(IF(WEEKDAY(HH$82,2)&gt;5,0,5.31))*-1</f>
        <v>-5.31</v>
      </c>
      <c r="HI130" s="39">
        <f>(IF(WEEKDAY(HI$82,2)&gt;5,0,4.46))*-1</f>
        <v>-4.46</v>
      </c>
      <c r="HJ130" s="39">
        <f>(IF(WEEKDAY(HJ$82,2)&gt;5,0,4.34))*-1</f>
        <v>-4.34</v>
      </c>
      <c r="HK130" s="39">
        <f>(IF(WEEKDAY(HK$82,2)&gt;5,0,5.37))*-1</f>
        <v>-5.37</v>
      </c>
      <c r="HL130" s="39">
        <f>(IF(WEEKDAY(HL$82,2)&gt;5,0,5.64))*-1</f>
        <v>0</v>
      </c>
      <c r="HM130" s="39">
        <f>(IF(WEEKDAY(HM$82,2)&gt;5,0,4.46))*-1</f>
        <v>0</v>
      </c>
      <c r="HN130" s="39">
        <f>(IF(WEEKDAY(HN$82,2)&gt;5,0,5.24))*-1</f>
        <v>-5.24</v>
      </c>
      <c r="HO130" s="39">
        <f>(IF(WEEKDAY(HO$82,2)&gt;5,0,4.43))*-1</f>
        <v>-4.43</v>
      </c>
      <c r="HP130" s="39">
        <f>(IF(WEEKDAY(HP$82,2)&gt;5,0,4.27))*-1</f>
        <v>-4.2699999999999996</v>
      </c>
      <c r="HQ130" s="39">
        <f>(IF(WEEKDAY(HQ$82,2)&gt;5,0,5.47))*-1</f>
        <v>-5.47</v>
      </c>
      <c r="HR130" s="39">
        <f>(IF(WEEKDAY(HR$82,2)&gt;5,0,4.64))*-1</f>
        <v>-4.6399999999999997</v>
      </c>
      <c r="HS130" s="39">
        <f>(IF(WEEKDAY(HS$82,2)&gt;5,0,5.25))*-1</f>
        <v>0</v>
      </c>
      <c r="HT130" s="39">
        <f>(IF(WEEKDAY(HT$82,2)&gt;5,0,4.7))*-1</f>
        <v>0</v>
      </c>
      <c r="HU130" s="39">
        <f>(IF(WEEKDAY(HU$82,2)&gt;5,0,5.48))*-1</f>
        <v>-5.48</v>
      </c>
      <c r="HV130" s="39">
        <f>(IF(WEEKDAY(HV$82,2)&gt;5,0,5.16))*-1</f>
        <v>-5.16</v>
      </c>
      <c r="HW130" s="39">
        <f>(IF(WEEKDAY(HW$82,2)&gt;5,0,5.11))*-1</f>
        <v>-5.1100000000000003</v>
      </c>
      <c r="HX130" s="39">
        <f>(IF(WEEKDAY(HX$82,2)&gt;5,0,4.41))*-1</f>
        <v>-4.41</v>
      </c>
      <c r="HY130" s="39">
        <f>(IF(WEEKDAY(HY$82,2)&gt;5,0,5.52))*-1</f>
        <v>-5.52</v>
      </c>
      <c r="HZ130" s="39">
        <f>(IF(WEEKDAY(HZ$82,2)&gt;5,0,5.64))*-1</f>
        <v>0</v>
      </c>
      <c r="IA130" s="39">
        <f>(IF(WEEKDAY(IA$82,2)&gt;5,0,5.4))*-1</f>
        <v>0</v>
      </c>
      <c r="IB130" s="39">
        <f>(IF(WEEKDAY(IB$82,2)&gt;5,0,4.93))*-1</f>
        <v>-4.93</v>
      </c>
      <c r="IC130" s="39">
        <f>(IF(WEEKDAY(IC$82,2)&gt;5,0,4.86))*-1</f>
        <v>-4.8600000000000003</v>
      </c>
      <c r="ID130" s="39">
        <f>(IF(WEEKDAY(ID$82,2)&gt;5,0,5.59))*-1</f>
        <v>-5.59</v>
      </c>
      <c r="IE130" s="39">
        <f>(IF(WEEKDAY(IE$82,2)&gt;5,0,5.74))*-1</f>
        <v>-5.74</v>
      </c>
      <c r="IF130" s="39">
        <f>(IF(WEEKDAY(IF$82,2)&gt;5,0,5))*-1</f>
        <v>-5</v>
      </c>
      <c r="IG130" s="39">
        <f>(IF(WEEKDAY(IG$82,2)&gt;5,0,5.68))*-1</f>
        <v>0</v>
      </c>
      <c r="IH130" s="39">
        <f>(IF(WEEKDAY(IH$82,2)&gt;5,0,4.5))*-1</f>
        <v>0</v>
      </c>
      <c r="II130" s="39">
        <f>(IF(WEEKDAY(II$82,2)&gt;5,0,5.28))*-1</f>
        <v>-5.28</v>
      </c>
      <c r="IJ130" s="39">
        <f>(IF(WEEKDAY(IJ$82,2)&gt;5,0,4.59))*-1</f>
        <v>-4.59</v>
      </c>
      <c r="IK130" s="39">
        <f>(IF(WEEKDAY(IK$82,2)&gt;5,0,4.52))*-1</f>
        <v>-4.5199999999999996</v>
      </c>
      <c r="IL130" s="39">
        <f>(IF(WEEKDAY(IL$82,2)&gt;5,0,4.79))*-1</f>
        <v>-4.79</v>
      </c>
    </row>
    <row r="131" spans="1:246" x14ac:dyDescent="0.3">
      <c r="A131" t="s">
        <v>113</v>
      </c>
      <c r="B131" s="39">
        <f>(IF(WEEKDAY(B$82,2)&gt;5,0,54.81))*-1</f>
        <v>-54.81</v>
      </c>
      <c r="C131" s="39">
        <f>(IF(WEEKDAY(C$82,2)&gt;5,0,56.52))*-1</f>
        <v>0</v>
      </c>
      <c r="D131" s="39">
        <f>(IF(WEEKDAY(D$82,2)&gt;5,0,45.39))*-1</f>
        <v>0</v>
      </c>
      <c r="E131" s="39">
        <f>(IF(WEEKDAY(E$82,2)&gt;5,0,55.82))*-1</f>
        <v>-55.82</v>
      </c>
      <c r="F131" s="39">
        <f>(IF(WEEKDAY(F$82,2)&gt;5,0,46.28))*-1</f>
        <v>-46.28</v>
      </c>
      <c r="G131" s="39">
        <f>(IF(WEEKDAY(G$82,2)&gt;5,0,55.86))*-1</f>
        <v>-55.86</v>
      </c>
      <c r="H131" s="39">
        <f>(IF(WEEKDAY(H$82,2)&gt;5,0,48.36))*-1</f>
        <v>-48.36</v>
      </c>
      <c r="I131" s="39">
        <f>(IF(WEEKDAY(I$82,2)&gt;5,0,55.43))*-1</f>
        <v>-55.43</v>
      </c>
      <c r="J131" s="39">
        <f>(IF(WEEKDAY(J$82,2)&gt;5,0,43.85))*-1</f>
        <v>0</v>
      </c>
      <c r="K131" s="39">
        <f>(IF(WEEKDAY(K$82,2)&gt;5,0,50.94))*-1</f>
        <v>0</v>
      </c>
      <c r="L131" s="39">
        <f>(IF(WEEKDAY(L$82,2)&gt;5,0,44.17))*-1</f>
        <v>-44.17</v>
      </c>
      <c r="M131" s="39">
        <f>(IF(WEEKDAY(M$82,2)&gt;5,0,52.44))*-1</f>
        <v>-52.44</v>
      </c>
      <c r="N131" s="39">
        <f>(IF(WEEKDAY(N$82,2)&gt;5,0,51.76))*-1</f>
        <v>-51.76</v>
      </c>
      <c r="O131" s="39">
        <f>(IF(WEEKDAY(O$82,2)&gt;5,0,49.52))*-1</f>
        <v>-49.52</v>
      </c>
      <c r="P131" s="39">
        <f>(IF(WEEKDAY(P$82,2)&gt;5,0,46.27))*-1</f>
        <v>-46.27</v>
      </c>
      <c r="Q131" s="39">
        <f>(IF(WEEKDAY(Q$82,2)&gt;5,0,47.39))*-1</f>
        <v>0</v>
      </c>
      <c r="R131" s="39">
        <f>(IF(WEEKDAY(R$82,2)&gt;5,0,55.46))*-1</f>
        <v>0</v>
      </c>
      <c r="S131" s="39">
        <f>(IF(WEEKDAY(S$82,2)&gt;5,0,54.55))*-1</f>
        <v>-54.55</v>
      </c>
      <c r="T131" s="39">
        <f>(IF(WEEKDAY(T$82,2)&gt;5,0,48.53))*-1</f>
        <v>-48.53</v>
      </c>
      <c r="U131" s="39">
        <f>(IF(WEEKDAY(U$82,2)&gt;5,0,54.78))*-1</f>
        <v>-54.78</v>
      </c>
      <c r="V131" s="39">
        <f>(IF(WEEKDAY(V$82,2)&gt;5,0,46.86))*-1</f>
        <v>-46.86</v>
      </c>
      <c r="W131" s="39">
        <f>(IF(WEEKDAY(W$82,2)&gt;5,0,51.77))*-1</f>
        <v>-51.77</v>
      </c>
      <c r="X131" s="39">
        <f>(IF(WEEKDAY(X$82,2)&gt;5,0,52.28))*-1</f>
        <v>0</v>
      </c>
      <c r="Y131" s="39">
        <f>(IF(WEEKDAY(Y$82,2)&gt;5,0,56.15))*-1</f>
        <v>0</v>
      </c>
      <c r="Z131" s="39">
        <f>(IF(WEEKDAY(Z$82,2)&gt;5,0,47.85))*-1</f>
        <v>-47.85</v>
      </c>
      <c r="AA131" s="39">
        <f>(IF(WEEKDAY(AA$82,2)&gt;5,0,48.85))*-1</f>
        <v>-48.85</v>
      </c>
      <c r="AB131" s="39">
        <f>(IF(WEEKDAY(AB$82,2)&gt;5,0,53.79))*-1</f>
        <v>-53.79</v>
      </c>
      <c r="AC131" s="39">
        <f>(IF(WEEKDAY(AC$82,2)&gt;5,0,49.07))*-1</f>
        <v>-49.07</v>
      </c>
      <c r="AD131" s="39">
        <f>(IF(WEEKDAY(AD$82,2)&gt;5,0,55.18))*-1</f>
        <v>-55.18</v>
      </c>
      <c r="AE131" s="39">
        <f>(IF(WEEKDAY(AE$82,2)&gt;5,0,51.96))*-1</f>
        <v>0</v>
      </c>
      <c r="AF131" s="39">
        <f>(IF(WEEKDAY(AF$82,2)&gt;5,0,46.22))*-1</f>
        <v>0</v>
      </c>
      <c r="AG131" s="39">
        <f>(IF(WEEKDAY(AG$82,2)&gt;5,0,55.15))*-1</f>
        <v>-55.15</v>
      </c>
      <c r="AH131" s="39">
        <f>(IF(WEEKDAY(AH$82,2)&gt;5,0,54.02))*-1</f>
        <v>-54.02</v>
      </c>
      <c r="AI131" s="39">
        <f>(IF(WEEKDAY(AI$82,2)&gt;5,0,51.6))*-1</f>
        <v>-51.6</v>
      </c>
      <c r="AJ131" s="39">
        <f>(IF(WEEKDAY(AJ$82,2)&gt;5,0,46.01))*-1</f>
        <v>-46.01</v>
      </c>
      <c r="AK131" s="39">
        <f>(IF(WEEKDAY(AK$82,2)&gt;5,0,43.86))*-1</f>
        <v>-43.86</v>
      </c>
      <c r="AL131" s="39">
        <f>(IF(WEEKDAY(AL$82,2)&gt;5,0,50.02))*-1</f>
        <v>0</v>
      </c>
      <c r="AM131" s="39">
        <f>(IF(WEEKDAY(AM$82,2)&gt;5,0,55.77))*-1</f>
        <v>0</v>
      </c>
      <c r="AN131" s="39">
        <f>(IF(WEEKDAY(AN$82,2)&gt;5,0,48.3))*-1</f>
        <v>-48.3</v>
      </c>
      <c r="AO131" s="39">
        <f>(IF(WEEKDAY(AO$82,2)&gt;5,0,57.31))*-1</f>
        <v>-57.31</v>
      </c>
      <c r="AP131" s="39">
        <f>(IF(WEEKDAY(AP$82,2)&gt;5,0,55.62))*-1</f>
        <v>-55.62</v>
      </c>
      <c r="AQ131" s="39">
        <f>(IF(WEEKDAY(AQ$82,2)&gt;5,0,48.29))*-1</f>
        <v>-48.29</v>
      </c>
      <c r="AR131" s="39">
        <f>(IF(WEEKDAY(AR$82,2)&gt;5,0,45.53))*-1</f>
        <v>-45.53</v>
      </c>
      <c r="AS131" s="39">
        <f>(IF(WEEKDAY(AS$82,2)&gt;5,0,43.7))*-1</f>
        <v>0</v>
      </c>
      <c r="AT131" s="39">
        <f>(IF(WEEKDAY(AT$82,2)&gt;5,0,53.38))*-1</f>
        <v>0</v>
      </c>
      <c r="AU131" s="39">
        <f>(IF(WEEKDAY(AU$82,2)&gt;5,0,48.09))*-1</f>
        <v>-48.09</v>
      </c>
      <c r="AV131" s="39">
        <f>(IF(WEEKDAY(AV$82,2)&gt;5,0,49.02))*-1</f>
        <v>-49.02</v>
      </c>
      <c r="AW131" s="39">
        <f>(IF(WEEKDAY(AW$82,2)&gt;5,0,54.07))*-1</f>
        <v>-54.07</v>
      </c>
      <c r="AX131" s="39">
        <f>(IF(WEEKDAY(AX$82,2)&gt;5,0,43.31))*-1</f>
        <v>-43.31</v>
      </c>
      <c r="AY131" s="39">
        <f>(IF(WEEKDAY(AY$82,2)&gt;5,0,45.77))*-1</f>
        <v>-45.77</v>
      </c>
      <c r="AZ131" s="39">
        <f>(IF(WEEKDAY(AZ$82,2)&gt;5,0,44.45))*-1</f>
        <v>0</v>
      </c>
      <c r="BA131" s="39">
        <f>(IF(WEEKDAY(BA$82,2)&gt;5,0,52.35))*-1</f>
        <v>0</v>
      </c>
      <c r="BB131" s="39">
        <f>(IF(WEEKDAY(BB$82,2)&gt;5,0,54.57))*-1</f>
        <v>-54.57</v>
      </c>
      <c r="BC131" s="39">
        <f>(IF(WEEKDAY(BC$82,2)&gt;5,0,50.46))*-1</f>
        <v>-50.46</v>
      </c>
      <c r="BD131" s="39">
        <f>(IF(WEEKDAY(BD$82,2)&gt;5,0,54.57))*-1</f>
        <v>-54.57</v>
      </c>
      <c r="BE131" s="39">
        <f>(IF(WEEKDAY(BE$82,2)&gt;5,0,49))*-1</f>
        <v>-49</v>
      </c>
      <c r="BF131" s="39">
        <f>(IF(WEEKDAY(BF$82,2)&gt;5,0,46.25))*-1</f>
        <v>-46.25</v>
      </c>
      <c r="BG131" s="39">
        <f>(IF(WEEKDAY(BG$82,2)&gt;5,0,55.98))*-1</f>
        <v>0</v>
      </c>
      <c r="BH131" s="39">
        <f>(IF(WEEKDAY(BH$82,2)&gt;5,0,50.37))*-1</f>
        <v>0</v>
      </c>
      <c r="BI131" s="39">
        <f>(IF(WEEKDAY(BI$82,2)&gt;5,0,46.81))*-1</f>
        <v>-46.81</v>
      </c>
      <c r="BJ131" s="39">
        <f>(IF(WEEKDAY(BJ$82,2)&gt;5,0,45.76))*-1</f>
        <v>-45.76</v>
      </c>
      <c r="BK131" s="39">
        <f>(IF(WEEKDAY(BK$82,2)&gt;5,0,56.54))*-1</f>
        <v>-56.54</v>
      </c>
      <c r="BL131" s="39">
        <f>(IF(WEEKDAY(BL$82,2)&gt;5,0,51.31))*-1</f>
        <v>-51.31</v>
      </c>
      <c r="BM131" s="39">
        <f>(IF(WEEKDAY(BM$82,2)&gt;5,0,55.53))*-1</f>
        <v>-55.53</v>
      </c>
      <c r="BN131" s="39">
        <f>(IF(WEEKDAY(BN$82,2)&gt;5,0,54.43))*-1</f>
        <v>0</v>
      </c>
      <c r="BO131" s="39">
        <f>(IF(WEEKDAY(BO$82,2)&gt;5,0,54.82))*-1</f>
        <v>0</v>
      </c>
      <c r="BP131" s="39">
        <f>(IF(WEEKDAY(BP$82,2)&gt;5,0,43.51))*-1</f>
        <v>-43.51</v>
      </c>
      <c r="BQ131" s="39">
        <f>(IF(WEEKDAY(BQ$82,2)&gt;5,0,47.84))*-1</f>
        <v>-47.84</v>
      </c>
      <c r="BR131" s="39">
        <f>(IF(WEEKDAY(BR$82,2)&gt;5,0,47.27))*-1</f>
        <v>-47.27</v>
      </c>
      <c r="BS131" s="39">
        <f>(IF(WEEKDAY(BS$82,2)&gt;5,0,54.55))*-1</f>
        <v>-54.55</v>
      </c>
      <c r="BT131" s="39">
        <f>(IF(WEEKDAY(BT$82,2)&gt;5,0,45.58))*-1</f>
        <v>-45.58</v>
      </c>
      <c r="BU131" s="39">
        <f>(IF(WEEKDAY(BU$82,2)&gt;5,0,51.3))*-1</f>
        <v>0</v>
      </c>
      <c r="BV131" s="39">
        <f>(IF(WEEKDAY(BV$82,2)&gt;5,0,48.02))*-1</f>
        <v>0</v>
      </c>
      <c r="BW131" s="39">
        <f>(IF(WEEKDAY(BW$82,2)&gt;5,0,50.47))*-1</f>
        <v>-50.47</v>
      </c>
      <c r="BX131" s="39">
        <f>(IF(WEEKDAY(BX$82,2)&gt;5,0,52.46))*-1</f>
        <v>-52.46</v>
      </c>
      <c r="BY131" s="39">
        <f>(IF(WEEKDAY(BY$82,2)&gt;5,0,48.69))*-1</f>
        <v>-48.69</v>
      </c>
      <c r="BZ131" s="39">
        <f>(IF(WEEKDAY(BZ$82,2)&gt;5,0,43.07))*-1</f>
        <v>-43.07</v>
      </c>
      <c r="CA131" s="39">
        <f>(IF(WEEKDAY(CA$82,2)&gt;5,0,51.53))*-1</f>
        <v>-51.53</v>
      </c>
      <c r="CB131" s="39">
        <f>(IF(WEEKDAY(CB$82,2)&gt;5,0,42.8))*-1</f>
        <v>0</v>
      </c>
      <c r="CC131" s="39">
        <f>(IF(WEEKDAY(CC$82,2)&gt;5,0,56.63))*-1</f>
        <v>0</v>
      </c>
      <c r="CD131" s="39">
        <f>(IF(WEEKDAY(CD$82,2)&gt;5,0,47.14))*-1</f>
        <v>-47.14</v>
      </c>
      <c r="CE131" s="39">
        <f>(IF(WEEKDAY(CE$82,2)&gt;5,0,50.98))*-1</f>
        <v>-50.98</v>
      </c>
      <c r="CF131" s="39">
        <f>(IF(WEEKDAY(CF$82,2)&gt;5,0,49.4))*-1</f>
        <v>-49.4</v>
      </c>
      <c r="CG131" s="39">
        <f>(IF(WEEKDAY(CG$82,2)&gt;5,0,44.96))*-1</f>
        <v>-44.96</v>
      </c>
      <c r="CH131" s="39">
        <f>(IF(WEEKDAY(CH$82,2)&gt;5,0,44.22))*-1</f>
        <v>-44.22</v>
      </c>
      <c r="CI131" s="39">
        <f>(IF(WEEKDAY(CI$82,2)&gt;5,0,54.59))*-1</f>
        <v>0</v>
      </c>
      <c r="CJ131" s="39">
        <f>(IF(WEEKDAY(CJ$82,2)&gt;5,0,43.46))*-1</f>
        <v>0</v>
      </c>
      <c r="CK131" s="39">
        <f>(IF(WEEKDAY(CK$82,2)&gt;5,0,46.29))*-1</f>
        <v>-46.29</v>
      </c>
      <c r="CL131" s="39">
        <f>(IF(WEEKDAY(CL$82,2)&gt;5,0,49.61))*-1</f>
        <v>-49.61</v>
      </c>
      <c r="CM131" s="39">
        <f>(IF(WEEKDAY(CM$82,2)&gt;5,0,55.64))*-1</f>
        <v>-55.64</v>
      </c>
      <c r="CN131" s="39">
        <f>(IF(WEEKDAY(CN$82,2)&gt;5,0,46.71))*-1</f>
        <v>-46.71</v>
      </c>
      <c r="CO131" s="39">
        <f>(IF(WEEKDAY(CO$82,2)&gt;5,0,43.28))*-1</f>
        <v>-43.28</v>
      </c>
      <c r="CP131" s="39">
        <f>(IF(WEEKDAY(CP$82,2)&gt;5,0,56.36))*-1</f>
        <v>0</v>
      </c>
      <c r="CQ131" s="39">
        <f>(IF(WEEKDAY(CQ$82,2)&gt;5,0,53.5))*-1</f>
        <v>0</v>
      </c>
      <c r="CR131" s="39">
        <f>(IF(WEEKDAY(CR$82,2)&gt;5,0,43.3))*-1</f>
        <v>-43.3</v>
      </c>
      <c r="CS131" s="39">
        <f>(IF(WEEKDAY(CS$82,2)&gt;5,0,55.2))*-1</f>
        <v>-55.2</v>
      </c>
      <c r="CT131" s="39">
        <f>(IF(WEEKDAY(CT$82,2)&gt;5,0,48.45))*-1</f>
        <v>-48.45</v>
      </c>
      <c r="CU131" s="39">
        <f>(IF(WEEKDAY(CU$82,2)&gt;5,0,57.24))*-1</f>
        <v>-57.24</v>
      </c>
      <c r="CV131" s="39">
        <f>(IF(WEEKDAY(CV$82,2)&gt;5,0,48.89))*-1</f>
        <v>-48.89</v>
      </c>
      <c r="CW131" s="39">
        <f>(IF(WEEKDAY(CW$82,2)&gt;5,0,42.9))*-1</f>
        <v>0</v>
      </c>
      <c r="CX131" s="39">
        <f>(IF(WEEKDAY(CX$82,2)&gt;5,0,48.4))*-1</f>
        <v>0</v>
      </c>
      <c r="CY131" s="39">
        <f>(IF(WEEKDAY(CY$82,2)&gt;5,0,54.96))*-1</f>
        <v>-54.96</v>
      </c>
      <c r="CZ131" s="39">
        <f>(IF(WEEKDAY(CZ$82,2)&gt;5,0,47.17))*-1</f>
        <v>-47.17</v>
      </c>
      <c r="DA131" s="39">
        <f>(IF(WEEKDAY(DA$82,2)&gt;5,0,53.37))*-1</f>
        <v>-53.37</v>
      </c>
      <c r="DB131" s="39">
        <f>(IF(WEEKDAY(DB$82,2)&gt;5,0,51.66))*-1</f>
        <v>-51.66</v>
      </c>
      <c r="DC131" s="39">
        <f>(IF(WEEKDAY(DC$82,2)&gt;5,0,54.7))*-1</f>
        <v>-54.7</v>
      </c>
      <c r="DD131" s="39">
        <f>(IF(WEEKDAY(DD$82,2)&gt;5,0,57.06))*-1</f>
        <v>0</v>
      </c>
      <c r="DE131" s="39">
        <f>(IF(WEEKDAY(DE$82,2)&gt;5,0,50.65))*-1</f>
        <v>0</v>
      </c>
      <c r="DF131" s="39">
        <f>(IF(WEEKDAY(DF$82,2)&gt;5,0,56.19))*-1</f>
        <v>-56.19</v>
      </c>
      <c r="DG131" s="39">
        <f>(IF(WEEKDAY(DG$82,2)&gt;5,0,46.57))*-1</f>
        <v>-46.57</v>
      </c>
      <c r="DH131" s="39">
        <f>(IF(WEEKDAY(DH$82,2)&gt;5,0,46.7))*-1</f>
        <v>-46.7</v>
      </c>
      <c r="DI131" s="39">
        <f>(IF(WEEKDAY(DI$82,2)&gt;5,0,56.4))*-1</f>
        <v>-56.4</v>
      </c>
      <c r="DJ131" s="39">
        <f>(IF(WEEKDAY(DJ$82,2)&gt;5,0,53.41))*-1</f>
        <v>-53.41</v>
      </c>
      <c r="DK131" s="39">
        <f>(IF(WEEKDAY(DK$82,2)&gt;5,0,45.13))*-1</f>
        <v>0</v>
      </c>
      <c r="DL131" s="39">
        <f>(IF(WEEKDAY(DL$82,2)&gt;5,0,48.44))*-1</f>
        <v>0</v>
      </c>
      <c r="DM131" s="39">
        <f>(IF(WEEKDAY(DM$82,2)&gt;5,0,51.49))*-1</f>
        <v>-51.49</v>
      </c>
      <c r="DN131" s="39">
        <f>(IF(WEEKDAY(DN$82,2)&gt;5,0,50.47))*-1</f>
        <v>-50.47</v>
      </c>
      <c r="DO131" s="39">
        <f>(IF(WEEKDAY(DO$82,2)&gt;5,0,52.76))*-1</f>
        <v>-52.76</v>
      </c>
      <c r="DP131" s="39">
        <f>(IF(WEEKDAY(DP$82,2)&gt;5,0,52.7))*-1</f>
        <v>-52.7</v>
      </c>
      <c r="DQ131" s="39">
        <f>(IF(WEEKDAY(DQ$82,2)&gt;5,0,51.02))*-1</f>
        <v>-51.02</v>
      </c>
      <c r="DR131" s="39">
        <f>(IF(WEEKDAY(DR$82,2)&gt;5,0,51.87))*-1</f>
        <v>0</v>
      </c>
      <c r="DS131" s="39">
        <f>(IF(WEEKDAY(DS$82,2)&gt;5,0,50.16))*-1</f>
        <v>0</v>
      </c>
      <c r="DT131" s="39">
        <f>(IF(WEEKDAY(DT$82,2)&gt;5,0,52.54))*-1</f>
        <v>-52.54</v>
      </c>
      <c r="DU131" s="39">
        <f>(IF(WEEKDAY(DU$82,2)&gt;5,0,56.4))*-1</f>
        <v>-56.4</v>
      </c>
      <c r="DV131" s="39">
        <f>(IF(WEEKDAY(DV$82,2)&gt;5,0,51.64))*-1</f>
        <v>-51.64</v>
      </c>
      <c r="DW131" s="39">
        <f>(IF(WEEKDAY(DW$82,2)&gt;5,0,54.97))*-1</f>
        <v>-54.97</v>
      </c>
      <c r="DX131" s="39">
        <f>(IF(WEEKDAY(DX$82,2)&gt;5,0,53.05))*-1</f>
        <v>-53.05</v>
      </c>
      <c r="DY131" s="39">
        <f>(IF(WEEKDAY(DY$82,2)&gt;5,0,51.6))*-1</f>
        <v>0</v>
      </c>
      <c r="DZ131" s="39">
        <f>(IF(WEEKDAY(DZ$82,2)&gt;5,0,47.48))*-1</f>
        <v>0</v>
      </c>
      <c r="EA131" s="39">
        <f>(IF(WEEKDAY(EA$82,2)&gt;5,0,56.18))*-1</f>
        <v>-56.18</v>
      </c>
      <c r="EB131" s="39">
        <f>(IF(WEEKDAY(EB$82,2)&gt;5,0,42.68))*-1</f>
        <v>-42.68</v>
      </c>
      <c r="EC131" s="39">
        <f>(IF(WEEKDAY(EC$82,2)&gt;5,0,55.65))*-1</f>
        <v>-55.65</v>
      </c>
      <c r="ED131" s="39">
        <f>(IF(WEEKDAY(ED$82,2)&gt;5,0,44.62))*-1</f>
        <v>-44.62</v>
      </c>
      <c r="EE131" s="39">
        <f>(IF(WEEKDAY(EE$82,2)&gt;5,0,42.69))*-1</f>
        <v>-42.69</v>
      </c>
      <c r="EF131" s="39">
        <f>(IF(WEEKDAY(EF$82,2)&gt;5,0,50.83))*-1</f>
        <v>0</v>
      </c>
      <c r="EG131" s="39">
        <f>(IF(WEEKDAY(EG$82,2)&gt;5,0,53.45))*-1</f>
        <v>0</v>
      </c>
      <c r="EH131" s="39">
        <f>(IF(WEEKDAY(EH$82,2)&gt;5,0,47.31))*-1</f>
        <v>-47.31</v>
      </c>
      <c r="EI131" s="39">
        <f>(IF(WEEKDAY(EI$82,2)&gt;5,0,48.41))*-1</f>
        <v>-48.41</v>
      </c>
      <c r="EJ131" s="39">
        <f>(IF(WEEKDAY(EJ$82,2)&gt;5,0,46.66))*-1</f>
        <v>-46.66</v>
      </c>
      <c r="EK131" s="39">
        <f>(IF(WEEKDAY(EK$82,2)&gt;5,0,43.01))*-1</f>
        <v>-43.01</v>
      </c>
      <c r="EL131" s="39">
        <f>(IF(WEEKDAY(EL$82,2)&gt;5,0,56.63))*-1</f>
        <v>-56.63</v>
      </c>
      <c r="EM131" s="39">
        <f>(IF(WEEKDAY(EM$82,2)&gt;5,0,45.55))*-1</f>
        <v>0</v>
      </c>
      <c r="EN131" s="39">
        <f>(IF(WEEKDAY(EN$82,2)&gt;5,0,49.25))*-1</f>
        <v>0</v>
      </c>
      <c r="EO131" s="39">
        <f>(IF(WEEKDAY(EO$82,2)&gt;5,0,49.13))*-1</f>
        <v>-49.13</v>
      </c>
      <c r="EP131" s="39">
        <f>(IF(WEEKDAY(EP$82,2)&gt;5,0,51.5))*-1</f>
        <v>-51.5</v>
      </c>
      <c r="EQ131" s="39">
        <f>(IF(WEEKDAY(EQ$82,2)&gt;5,0,53.41))*-1</f>
        <v>-53.41</v>
      </c>
      <c r="ER131" s="39">
        <f>(IF(WEEKDAY(ER$82,2)&gt;5,0,53.9))*-1</f>
        <v>-53.9</v>
      </c>
      <c r="ES131" s="39">
        <f>(IF(WEEKDAY(ES$82,2)&gt;5,0,47.09))*-1</f>
        <v>-47.09</v>
      </c>
      <c r="ET131" s="39">
        <f>(IF(WEEKDAY(ET$82,2)&gt;5,0,50.42))*-1</f>
        <v>0</v>
      </c>
      <c r="EU131" s="39">
        <f>(IF(WEEKDAY(EU$82,2)&gt;5,0,52.52))*-1</f>
        <v>0</v>
      </c>
      <c r="EV131" s="39">
        <f>(IF(WEEKDAY(EV$82,2)&gt;5,0,54.58))*-1</f>
        <v>-54.58</v>
      </c>
      <c r="EW131" s="39">
        <f>(IF(WEEKDAY(EW$82,2)&gt;5,0,45.48))*-1</f>
        <v>-45.48</v>
      </c>
      <c r="EX131" s="39">
        <f>(IF(WEEKDAY(EX$82,2)&gt;5,0,53.5))*-1</f>
        <v>-53.5</v>
      </c>
      <c r="EY131" s="39">
        <f>(IF(WEEKDAY(EY$82,2)&gt;5,0,57.34))*-1</f>
        <v>-57.34</v>
      </c>
      <c r="EZ131" s="39">
        <f>(IF(WEEKDAY(EZ$82,2)&gt;5,0,56.01))*-1</f>
        <v>-56.01</v>
      </c>
      <c r="FA131" s="39">
        <f>(IF(WEEKDAY(FA$82,2)&gt;5,0,54.87))*-1</f>
        <v>0</v>
      </c>
      <c r="FB131" s="39">
        <f>(IF(WEEKDAY(FB$82,2)&gt;5,0,48.89))*-1</f>
        <v>0</v>
      </c>
      <c r="FC131" s="39">
        <f>(IF(WEEKDAY(FC$82,2)&gt;5,0,56.04))*-1</f>
        <v>-56.04</v>
      </c>
      <c r="FD131" s="39">
        <f>(IF(WEEKDAY(FD$82,2)&gt;5,0,55.51))*-1</f>
        <v>-55.51</v>
      </c>
      <c r="FE131" s="39">
        <f>(IF(WEEKDAY(FE$82,2)&gt;5,0,54.6))*-1</f>
        <v>-54.6</v>
      </c>
      <c r="FF131" s="39">
        <f>(IF(WEEKDAY(FF$82,2)&gt;5,0,45.58))*-1</f>
        <v>-45.58</v>
      </c>
      <c r="FG131" s="39">
        <f>(IF(WEEKDAY(FG$82,2)&gt;5,0,43.55))*-1</f>
        <v>-43.55</v>
      </c>
      <c r="FH131" s="39">
        <f>(IF(WEEKDAY(FH$82,2)&gt;5,0,44.16))*-1</f>
        <v>0</v>
      </c>
      <c r="FI131" s="39">
        <f>(IF(WEEKDAY(FI$82,2)&gt;5,0,57.29))*-1</f>
        <v>0</v>
      </c>
      <c r="FJ131" s="39">
        <f>(IF(WEEKDAY(FJ$82,2)&gt;5,0,46.3))*-1</f>
        <v>-46.3</v>
      </c>
      <c r="FK131" s="39">
        <f>(IF(WEEKDAY(FK$82,2)&gt;5,0,43.38))*-1</f>
        <v>-43.38</v>
      </c>
      <c r="FL131" s="39">
        <f>(IF(WEEKDAY(FL$82,2)&gt;5,0,54.08))*-1</f>
        <v>-54.08</v>
      </c>
      <c r="FM131" s="39">
        <f>(IF(WEEKDAY(FM$82,2)&gt;5,0,47.41))*-1</f>
        <v>-47.41</v>
      </c>
      <c r="FN131" s="39">
        <f>(IF(WEEKDAY(FN$82,2)&gt;5,0,44.88))*-1</f>
        <v>-44.88</v>
      </c>
      <c r="FO131" s="39">
        <f>(IF(WEEKDAY(FO$82,2)&gt;5,0,45.42))*-1</f>
        <v>0</v>
      </c>
      <c r="FP131" s="39">
        <f>(IF(WEEKDAY(FP$82,2)&gt;5,0,49.61))*-1</f>
        <v>0</v>
      </c>
      <c r="FQ131" s="39">
        <f>(IF(WEEKDAY(FQ$82,2)&gt;5,0,48.7))*-1</f>
        <v>-48.7</v>
      </c>
      <c r="FR131" s="39">
        <f>(IF(WEEKDAY(FR$82,2)&gt;5,0,47.13))*-1</f>
        <v>-47.13</v>
      </c>
      <c r="FS131" s="39">
        <f>(IF(WEEKDAY(FS$82,2)&gt;5,0,57.18))*-1</f>
        <v>-57.18</v>
      </c>
      <c r="FT131" s="39">
        <f>(IF(WEEKDAY(FT$82,2)&gt;5,0,53.24))*-1</f>
        <v>-53.24</v>
      </c>
      <c r="FU131" s="39">
        <f>(IF(WEEKDAY(FU$82,2)&gt;5,0,43.99))*-1</f>
        <v>-43.99</v>
      </c>
      <c r="FV131" s="39">
        <f>(IF(WEEKDAY(FV$82,2)&gt;5,0,53.85))*-1</f>
        <v>0</v>
      </c>
      <c r="FW131" s="39">
        <f>(IF(WEEKDAY(FW$82,2)&gt;5,0,57.22))*-1</f>
        <v>0</v>
      </c>
      <c r="FX131" s="39">
        <f>(IF(WEEKDAY(FX$82,2)&gt;5,0,44.58))*-1</f>
        <v>-44.58</v>
      </c>
      <c r="FY131" s="39">
        <f>(IF(WEEKDAY(FY$82,2)&gt;5,0,52.34))*-1</f>
        <v>-52.34</v>
      </c>
      <c r="FZ131" s="39">
        <f>(IF(WEEKDAY(FZ$82,2)&gt;5,0,48.06))*-1</f>
        <v>-48.06</v>
      </c>
      <c r="GA131" s="39">
        <f>(IF(WEEKDAY(GA$82,2)&gt;5,0,55.97))*-1</f>
        <v>-55.97</v>
      </c>
      <c r="GB131" s="39">
        <f>(IF(WEEKDAY(GB$82,2)&gt;5,0,56.93))*-1</f>
        <v>-56.93</v>
      </c>
      <c r="GC131" s="39">
        <f>(IF(WEEKDAY(GC$82,2)&gt;5,0,46.38))*-1</f>
        <v>0</v>
      </c>
      <c r="GD131" s="39">
        <f>(IF(WEEKDAY(GD$82,2)&gt;5,0,57.11))*-1</f>
        <v>0</v>
      </c>
      <c r="GE131" s="39">
        <f>(IF(WEEKDAY(GE$82,2)&gt;5,0,44.97))*-1</f>
        <v>-44.97</v>
      </c>
      <c r="GF131" s="39">
        <f>(IF(WEEKDAY(GF$82,2)&gt;5,0,44.84))*-1</f>
        <v>-44.84</v>
      </c>
      <c r="GG131" s="39">
        <f>(IF(WEEKDAY(GG$82,2)&gt;5,0,56.98))*-1</f>
        <v>-56.98</v>
      </c>
      <c r="GH131" s="39">
        <f>(IF(WEEKDAY(GH$82,2)&gt;5,0,54.12))*-1</f>
        <v>-54.12</v>
      </c>
      <c r="GI131" s="39">
        <f>(IF(WEEKDAY(GI$82,2)&gt;5,0,48.3))*-1</f>
        <v>-48.3</v>
      </c>
      <c r="GJ131" s="39">
        <f>(IF(WEEKDAY(GJ$82,2)&gt;5,0,51.31))*-1</f>
        <v>0</v>
      </c>
      <c r="GK131" s="39">
        <f>(IF(WEEKDAY(GK$82,2)&gt;5,0,44.91))*-1</f>
        <v>0</v>
      </c>
      <c r="GL131" s="39">
        <f>(IF(WEEKDAY(GL$82,2)&gt;5,0,43.02))*-1</f>
        <v>-43.02</v>
      </c>
      <c r="GM131" s="39">
        <f>(IF(WEEKDAY(GM$82,2)&gt;5,0,46.62))*-1</f>
        <v>-46.62</v>
      </c>
      <c r="GN131" s="39">
        <f>(IF(WEEKDAY(GN$82,2)&gt;5,0,49.75))*-1</f>
        <v>-49.75</v>
      </c>
      <c r="GO131" s="39">
        <f>(IF(WEEKDAY(GO$82,2)&gt;5,0,44.61))*-1</f>
        <v>-44.61</v>
      </c>
      <c r="GP131" s="39">
        <f>(IF(WEEKDAY(GP$82,2)&gt;5,0,46.3))*-1</f>
        <v>-46.3</v>
      </c>
      <c r="GQ131" s="39">
        <f>(IF(WEEKDAY(GQ$82,2)&gt;5,0,54.29))*-1</f>
        <v>0</v>
      </c>
      <c r="GR131" s="39">
        <f>(IF(WEEKDAY(GR$82,2)&gt;5,0,47.87))*-1</f>
        <v>0</v>
      </c>
      <c r="GS131" s="39">
        <f>(IF(WEEKDAY(GS$82,2)&gt;5,0,42.57))*-1</f>
        <v>-42.57</v>
      </c>
      <c r="GT131" s="39">
        <f>(IF(WEEKDAY(GT$82,2)&gt;5,0,51.08))*-1</f>
        <v>-51.08</v>
      </c>
      <c r="GU131" s="39">
        <f>(IF(WEEKDAY(GU$82,2)&gt;5,0,45.38))*-1</f>
        <v>-45.38</v>
      </c>
      <c r="GV131" s="39">
        <f>(IF(WEEKDAY(GV$82,2)&gt;5,0,53.35))*-1</f>
        <v>-53.35</v>
      </c>
      <c r="GW131" s="39">
        <f>(IF(WEEKDAY(GW$82,2)&gt;5,0,55.84))*-1</f>
        <v>-55.84</v>
      </c>
      <c r="GX131" s="39">
        <f>(IF(WEEKDAY(GX$82,2)&gt;5,0,52.07))*-1</f>
        <v>0</v>
      </c>
      <c r="GY131" s="39">
        <f>(IF(WEEKDAY(GY$82,2)&gt;5,0,52.02))*-1</f>
        <v>0</v>
      </c>
      <c r="GZ131" s="39">
        <f>(IF(WEEKDAY(GZ$82,2)&gt;5,0,46.2))*-1</f>
        <v>-46.2</v>
      </c>
      <c r="HA131" s="39">
        <f>(IF(WEEKDAY(HA$82,2)&gt;5,0,44.55))*-1</f>
        <v>-44.55</v>
      </c>
      <c r="HB131" s="39">
        <f>(IF(WEEKDAY(HB$82,2)&gt;5,0,48.37))*-1</f>
        <v>-48.37</v>
      </c>
      <c r="HC131" s="39">
        <f>(IF(WEEKDAY(HC$82,2)&gt;5,0,56.15))*-1</f>
        <v>-56.15</v>
      </c>
      <c r="HD131" s="39">
        <f>(IF(WEEKDAY(HD$82,2)&gt;5,0,50.32))*-1</f>
        <v>-50.32</v>
      </c>
      <c r="HE131" s="39">
        <f>(IF(WEEKDAY(HE$82,2)&gt;5,0,56.23))*-1</f>
        <v>0</v>
      </c>
      <c r="HF131" s="39">
        <f>(IF(WEEKDAY(HF$82,2)&gt;5,0,50.22))*-1</f>
        <v>0</v>
      </c>
      <c r="HG131" s="39">
        <f>(IF(WEEKDAY(HG$82,2)&gt;5,0,42.93))*-1</f>
        <v>-42.93</v>
      </c>
      <c r="HH131" s="39">
        <f>(IF(WEEKDAY(HH$82,2)&gt;5,0,43.84))*-1</f>
        <v>-43.84</v>
      </c>
      <c r="HI131" s="39">
        <f>(IF(WEEKDAY(HI$82,2)&gt;5,0,54.43))*-1</f>
        <v>-54.43</v>
      </c>
      <c r="HJ131" s="39">
        <f>(IF(WEEKDAY(HJ$82,2)&gt;5,0,56.98))*-1</f>
        <v>-56.98</v>
      </c>
      <c r="HK131" s="39">
        <f>(IF(WEEKDAY(HK$82,2)&gt;5,0,57.05))*-1</f>
        <v>-57.05</v>
      </c>
      <c r="HL131" s="39">
        <f>(IF(WEEKDAY(HL$82,2)&gt;5,0,56.37))*-1</f>
        <v>0</v>
      </c>
      <c r="HM131" s="39">
        <f>(IF(WEEKDAY(HM$82,2)&gt;5,0,52.42))*-1</f>
        <v>0</v>
      </c>
      <c r="HN131" s="39">
        <f>(IF(WEEKDAY(HN$82,2)&gt;5,0,50.18))*-1</f>
        <v>-50.18</v>
      </c>
      <c r="HO131" s="39">
        <f>(IF(WEEKDAY(HO$82,2)&gt;5,0,51.03))*-1</f>
        <v>-51.03</v>
      </c>
      <c r="HP131" s="39">
        <f>(IF(WEEKDAY(HP$82,2)&gt;5,0,52.28))*-1</f>
        <v>-52.28</v>
      </c>
      <c r="HQ131" s="39">
        <f>(IF(WEEKDAY(HQ$82,2)&gt;5,0,50.19))*-1</f>
        <v>-50.19</v>
      </c>
      <c r="HR131" s="39">
        <f>(IF(WEEKDAY(HR$82,2)&gt;5,0,42.58))*-1</f>
        <v>-42.58</v>
      </c>
      <c r="HS131" s="39">
        <f>(IF(WEEKDAY(HS$82,2)&gt;5,0,52.87))*-1</f>
        <v>0</v>
      </c>
      <c r="HT131" s="39">
        <f>(IF(WEEKDAY(HT$82,2)&gt;5,0,52.3))*-1</f>
        <v>0</v>
      </c>
      <c r="HU131" s="39">
        <f>(IF(WEEKDAY(HU$82,2)&gt;5,0,46.57))*-1</f>
        <v>-46.57</v>
      </c>
      <c r="HV131" s="39">
        <f>(IF(WEEKDAY(HV$82,2)&gt;5,0,57.25))*-1</f>
        <v>-57.25</v>
      </c>
      <c r="HW131" s="39">
        <f>(IF(WEEKDAY(HW$82,2)&gt;5,0,55.37))*-1</f>
        <v>-55.37</v>
      </c>
      <c r="HX131" s="39">
        <f>(IF(WEEKDAY(HX$82,2)&gt;5,0,46.59))*-1</f>
        <v>-46.59</v>
      </c>
      <c r="HY131" s="39">
        <f>(IF(WEEKDAY(HY$82,2)&gt;5,0,48.74))*-1</f>
        <v>-48.74</v>
      </c>
      <c r="HZ131" s="39">
        <f>(IF(WEEKDAY(HZ$82,2)&gt;5,0,43.25))*-1</f>
        <v>0</v>
      </c>
      <c r="IA131" s="39">
        <f>(IF(WEEKDAY(IA$82,2)&gt;5,0,54.82))*-1</f>
        <v>0</v>
      </c>
      <c r="IB131" s="39">
        <f>(IF(WEEKDAY(IB$82,2)&gt;5,0,47.61))*-1</f>
        <v>-47.61</v>
      </c>
      <c r="IC131" s="39">
        <f>(IF(WEEKDAY(IC$82,2)&gt;5,0,47.57))*-1</f>
        <v>-47.57</v>
      </c>
      <c r="ID131" s="39">
        <f>(IF(WEEKDAY(ID$82,2)&gt;5,0,50.64))*-1</f>
        <v>-50.64</v>
      </c>
      <c r="IE131" s="39">
        <f>(IF(WEEKDAY(IE$82,2)&gt;5,0,48.22))*-1</f>
        <v>-48.22</v>
      </c>
      <c r="IF131" s="39">
        <f>(IF(WEEKDAY(IF$82,2)&gt;5,0,50.53))*-1</f>
        <v>-50.53</v>
      </c>
      <c r="IG131" s="39">
        <f>(IF(WEEKDAY(IG$82,2)&gt;5,0,48.94))*-1</f>
        <v>0</v>
      </c>
      <c r="IH131" s="39">
        <f>(IF(WEEKDAY(IH$82,2)&gt;5,0,55.83))*-1</f>
        <v>0</v>
      </c>
      <c r="II131" s="39">
        <f>(IF(WEEKDAY(II$82,2)&gt;5,0,51.11))*-1</f>
        <v>-51.11</v>
      </c>
      <c r="IJ131" s="39">
        <f>(IF(WEEKDAY(IJ$82,2)&gt;5,0,56.12))*-1</f>
        <v>-56.12</v>
      </c>
      <c r="IK131" s="39">
        <f>(IF(WEEKDAY(IK$82,2)&gt;5,0,50.98))*-1</f>
        <v>-50.98</v>
      </c>
      <c r="IL131" s="39">
        <f>(IF(WEEKDAY(IL$82,2)&gt;5,0,53.74))*-1</f>
        <v>-53.74</v>
      </c>
    </row>
    <row r="132" spans="1:246" x14ac:dyDescent="0.3">
      <c r="A132" t="s">
        <v>114</v>
      </c>
      <c r="B132" s="39">
        <f>(IF(WEEKDAY(B$82,2)&gt;5,0,5.11))*-1</f>
        <v>-5.1100000000000003</v>
      </c>
      <c r="C132" s="39">
        <f>(IF(WEEKDAY(C$82,2)&gt;5,0,5.1))*-1</f>
        <v>0</v>
      </c>
      <c r="D132" s="39">
        <f>(IF(WEEKDAY(D$82,2)&gt;5,0,4.9))*-1</f>
        <v>0</v>
      </c>
      <c r="E132" s="39">
        <f>(IF(WEEKDAY(E$82,2)&gt;5,0,5.08))*-1</f>
        <v>-5.08</v>
      </c>
      <c r="F132" s="39">
        <f>(IF(WEEKDAY(F$82,2)&gt;5,0,5.3))*-1</f>
        <v>-5.3</v>
      </c>
      <c r="G132" s="39">
        <f>(IF(WEEKDAY(G$82,2)&gt;5,0,4.92))*-1</f>
        <v>-4.92</v>
      </c>
      <c r="H132" s="39">
        <f>(IF(WEEKDAY(H$82,2)&gt;5,0,5.49))*-1</f>
        <v>-5.49</v>
      </c>
      <c r="I132" s="39">
        <f>(IF(WEEKDAY(I$82,2)&gt;5,0,5.1))*-1</f>
        <v>-5.0999999999999996</v>
      </c>
      <c r="J132" s="39">
        <f>(IF(WEEKDAY(J$82,2)&gt;5,0,5.01))*-1</f>
        <v>0</v>
      </c>
      <c r="K132" s="39">
        <f>(IF(WEEKDAY(K$82,2)&gt;5,0,5.71))*-1</f>
        <v>0</v>
      </c>
      <c r="L132" s="39">
        <f>(IF(WEEKDAY(L$82,2)&gt;5,0,5.48))*-1</f>
        <v>-5.48</v>
      </c>
      <c r="M132" s="39">
        <f>(IF(WEEKDAY(M$82,2)&gt;5,0,4.83))*-1</f>
        <v>-4.83</v>
      </c>
      <c r="N132" s="39">
        <f>(IF(WEEKDAY(N$82,2)&gt;5,0,4.73))*-1</f>
        <v>-4.7300000000000004</v>
      </c>
      <c r="O132" s="39">
        <f>(IF(WEEKDAY(O$82,2)&gt;5,0,4.4))*-1</f>
        <v>-4.4000000000000004</v>
      </c>
      <c r="P132" s="39">
        <f>(IF(WEEKDAY(P$82,2)&gt;5,0,4.76))*-1</f>
        <v>-4.76</v>
      </c>
      <c r="Q132" s="39">
        <f>(IF(WEEKDAY(Q$82,2)&gt;5,0,5.61))*-1</f>
        <v>0</v>
      </c>
      <c r="R132" s="39">
        <f>(IF(WEEKDAY(R$82,2)&gt;5,0,5.27))*-1</f>
        <v>0</v>
      </c>
      <c r="S132" s="39">
        <f>(IF(WEEKDAY(S$82,2)&gt;5,0,5.16))*-1</f>
        <v>-5.16</v>
      </c>
      <c r="T132" s="39">
        <f>(IF(WEEKDAY(T$82,2)&gt;5,0,4.34))*-1</f>
        <v>-4.34</v>
      </c>
      <c r="U132" s="39">
        <f>(IF(WEEKDAY(U$82,2)&gt;5,0,5.21))*-1</f>
        <v>-5.21</v>
      </c>
      <c r="V132" s="39">
        <f>(IF(WEEKDAY(V$82,2)&gt;5,0,5.74))*-1</f>
        <v>-5.74</v>
      </c>
      <c r="W132" s="39">
        <f>(IF(WEEKDAY(W$82,2)&gt;5,0,4.62))*-1</f>
        <v>-4.62</v>
      </c>
      <c r="X132" s="39">
        <f>(IF(WEEKDAY(X$82,2)&gt;5,0,4.68))*-1</f>
        <v>0</v>
      </c>
      <c r="Y132" s="39">
        <f>(IF(WEEKDAY(Y$82,2)&gt;5,0,5.35))*-1</f>
        <v>0</v>
      </c>
      <c r="Z132" s="39">
        <f>(IF(WEEKDAY(Z$82,2)&gt;5,0,4.36))*-1</f>
        <v>-4.3600000000000003</v>
      </c>
      <c r="AA132" s="39">
        <f>(IF(WEEKDAY(AA$82,2)&gt;5,0,5.15))*-1</f>
        <v>-5.15</v>
      </c>
      <c r="AB132" s="39">
        <f>(IF(WEEKDAY(AB$82,2)&gt;5,0,4.65))*-1</f>
        <v>-4.6500000000000004</v>
      </c>
      <c r="AC132" s="39">
        <f>(IF(WEEKDAY(AC$82,2)&gt;5,0,4.46))*-1</f>
        <v>-4.46</v>
      </c>
      <c r="AD132" s="39">
        <f>(IF(WEEKDAY(AD$82,2)&gt;5,0,4.45))*-1</f>
        <v>-4.45</v>
      </c>
      <c r="AE132" s="39">
        <f>(IF(WEEKDAY(AE$82,2)&gt;5,0,4.84))*-1</f>
        <v>0</v>
      </c>
      <c r="AF132" s="39">
        <f>(IF(WEEKDAY(AF$82,2)&gt;5,0,5.65))*-1</f>
        <v>0</v>
      </c>
      <c r="AG132" s="39">
        <f>(IF(WEEKDAY(AG$82,2)&gt;5,0,4.32))*-1</f>
        <v>-4.32</v>
      </c>
      <c r="AH132" s="39">
        <f>(IF(WEEKDAY(AH$82,2)&gt;5,0,4.58))*-1</f>
        <v>-4.58</v>
      </c>
      <c r="AI132" s="39">
        <f>(IF(WEEKDAY(AI$82,2)&gt;5,0,5.31))*-1</f>
        <v>-5.31</v>
      </c>
      <c r="AJ132" s="39">
        <f>(IF(WEEKDAY(AJ$82,2)&gt;5,0,4.72))*-1</f>
        <v>-4.72</v>
      </c>
      <c r="AK132" s="39">
        <f>(IF(WEEKDAY(AK$82,2)&gt;5,0,4.35))*-1</f>
        <v>-4.3499999999999996</v>
      </c>
      <c r="AL132" s="39">
        <f>(IF(WEEKDAY(AL$82,2)&gt;5,0,4.45))*-1</f>
        <v>0</v>
      </c>
      <c r="AM132" s="39">
        <f>(IF(WEEKDAY(AM$82,2)&gt;5,0,4.32))*-1</f>
        <v>0</v>
      </c>
      <c r="AN132" s="39">
        <f>(IF(WEEKDAY(AN$82,2)&gt;5,0,4.66))*-1</f>
        <v>-4.66</v>
      </c>
      <c r="AO132" s="39">
        <f>(IF(WEEKDAY(AO$82,2)&gt;5,0,4.7))*-1</f>
        <v>-4.7</v>
      </c>
      <c r="AP132" s="39">
        <f>(IF(WEEKDAY(AP$82,2)&gt;5,0,4.82))*-1</f>
        <v>-4.82</v>
      </c>
      <c r="AQ132" s="39">
        <f>(IF(WEEKDAY(AQ$82,2)&gt;5,0,5.21))*-1</f>
        <v>-5.21</v>
      </c>
      <c r="AR132" s="39">
        <f>(IF(WEEKDAY(AR$82,2)&gt;5,0,5.33))*-1</f>
        <v>-5.33</v>
      </c>
      <c r="AS132" s="39">
        <f>(IF(WEEKDAY(AS$82,2)&gt;5,0,5.26))*-1</f>
        <v>0</v>
      </c>
      <c r="AT132" s="39">
        <f>(IF(WEEKDAY(AT$82,2)&gt;5,0,4.33))*-1</f>
        <v>0</v>
      </c>
      <c r="AU132" s="39">
        <f>(IF(WEEKDAY(AU$82,2)&gt;5,0,5.18))*-1</f>
        <v>-5.18</v>
      </c>
      <c r="AV132" s="39">
        <f>(IF(WEEKDAY(AV$82,2)&gt;5,0,4.31))*-1</f>
        <v>-4.3099999999999996</v>
      </c>
      <c r="AW132" s="39">
        <f>(IF(WEEKDAY(AW$82,2)&gt;5,0,5.16))*-1</f>
        <v>-5.16</v>
      </c>
      <c r="AX132" s="39">
        <f>(IF(WEEKDAY(AX$82,2)&gt;5,0,4.78))*-1</f>
        <v>-4.78</v>
      </c>
      <c r="AY132" s="39">
        <f>(IF(WEEKDAY(AY$82,2)&gt;5,0,5.28))*-1</f>
        <v>-5.28</v>
      </c>
      <c r="AZ132" s="39">
        <f>(IF(WEEKDAY(AZ$82,2)&gt;5,0,4.31))*-1</f>
        <v>0</v>
      </c>
      <c r="BA132" s="39">
        <f>(IF(WEEKDAY(BA$82,2)&gt;5,0,5.39))*-1</f>
        <v>0</v>
      </c>
      <c r="BB132" s="39">
        <f>(IF(WEEKDAY(BB$82,2)&gt;5,0,4.7))*-1</f>
        <v>-4.7</v>
      </c>
      <c r="BC132" s="39">
        <f>(IF(WEEKDAY(BC$82,2)&gt;5,0,5.34))*-1</f>
        <v>-5.34</v>
      </c>
      <c r="BD132" s="39">
        <f>(IF(WEEKDAY(BD$82,2)&gt;5,0,5.18))*-1</f>
        <v>-5.18</v>
      </c>
      <c r="BE132" s="39">
        <f>(IF(WEEKDAY(BE$82,2)&gt;5,0,4.43))*-1</f>
        <v>-4.43</v>
      </c>
      <c r="BF132" s="39">
        <f>(IF(WEEKDAY(BF$82,2)&gt;5,0,5.43))*-1</f>
        <v>-5.43</v>
      </c>
      <c r="BG132" s="39">
        <f>(IF(WEEKDAY(BG$82,2)&gt;5,0,5.56))*-1</f>
        <v>0</v>
      </c>
      <c r="BH132" s="39">
        <f>(IF(WEEKDAY(BH$82,2)&gt;5,0,4.77))*-1</f>
        <v>0</v>
      </c>
      <c r="BI132" s="39">
        <f>(IF(WEEKDAY(BI$82,2)&gt;5,0,4.36))*-1</f>
        <v>-4.3600000000000003</v>
      </c>
      <c r="BJ132" s="39">
        <f>(IF(WEEKDAY(BJ$82,2)&gt;5,0,4.86))*-1</f>
        <v>-4.8600000000000003</v>
      </c>
      <c r="BK132" s="39">
        <f>(IF(WEEKDAY(BK$82,2)&gt;5,0,5.05))*-1</f>
        <v>-5.05</v>
      </c>
      <c r="BL132" s="39">
        <f>(IF(WEEKDAY(BL$82,2)&gt;5,0,5.33))*-1</f>
        <v>-5.33</v>
      </c>
      <c r="BM132" s="39">
        <f>(IF(WEEKDAY(BM$82,2)&gt;5,0,5.72))*-1</f>
        <v>-5.72</v>
      </c>
      <c r="BN132" s="39">
        <f>(IF(WEEKDAY(BN$82,2)&gt;5,0,5.17))*-1</f>
        <v>0</v>
      </c>
      <c r="BO132" s="39">
        <f>(IF(WEEKDAY(BO$82,2)&gt;5,0,4.76))*-1</f>
        <v>0</v>
      </c>
      <c r="BP132" s="39">
        <f>(IF(WEEKDAY(BP$82,2)&gt;5,0,5.51))*-1</f>
        <v>-5.51</v>
      </c>
      <c r="BQ132" s="39">
        <f>(IF(WEEKDAY(BQ$82,2)&gt;5,0,5.4))*-1</f>
        <v>-5.4</v>
      </c>
      <c r="BR132" s="39">
        <f>(IF(WEEKDAY(BR$82,2)&gt;5,0,4.28))*-1</f>
        <v>-4.28</v>
      </c>
      <c r="BS132" s="39">
        <f>(IF(WEEKDAY(BS$82,2)&gt;5,0,5.31))*-1</f>
        <v>-5.31</v>
      </c>
      <c r="BT132" s="39">
        <f>(IF(WEEKDAY(BT$82,2)&gt;5,0,4.96))*-1</f>
        <v>-4.96</v>
      </c>
      <c r="BU132" s="39">
        <f>(IF(WEEKDAY(BU$82,2)&gt;5,0,4.46))*-1</f>
        <v>0</v>
      </c>
      <c r="BV132" s="39">
        <f>(IF(WEEKDAY(BV$82,2)&gt;5,0,5.42))*-1</f>
        <v>0</v>
      </c>
      <c r="BW132" s="39">
        <f>(IF(WEEKDAY(BW$82,2)&gt;5,0,4.37))*-1</f>
        <v>-4.37</v>
      </c>
      <c r="BX132" s="39">
        <f>(IF(WEEKDAY(BX$82,2)&gt;5,0,4.34))*-1</f>
        <v>-4.34</v>
      </c>
      <c r="BY132" s="39">
        <f>(IF(WEEKDAY(BY$82,2)&gt;5,0,4.9))*-1</f>
        <v>-4.9000000000000004</v>
      </c>
      <c r="BZ132" s="39">
        <f>(IF(WEEKDAY(BZ$82,2)&gt;5,0,4.96))*-1</f>
        <v>-4.96</v>
      </c>
      <c r="CA132" s="39">
        <f>(IF(WEEKDAY(CA$82,2)&gt;5,0,5.41))*-1</f>
        <v>-5.41</v>
      </c>
      <c r="CB132" s="39">
        <f>(IF(WEEKDAY(CB$82,2)&gt;5,0,4.44))*-1</f>
        <v>0</v>
      </c>
      <c r="CC132" s="39">
        <f>(IF(WEEKDAY(CC$82,2)&gt;5,0,4.71))*-1</f>
        <v>0</v>
      </c>
      <c r="CD132" s="39">
        <f>(IF(WEEKDAY(CD$82,2)&gt;5,0,4.81))*-1</f>
        <v>-4.8099999999999996</v>
      </c>
      <c r="CE132" s="39">
        <f>(IF(WEEKDAY(CE$82,2)&gt;5,0,5.12))*-1</f>
        <v>-5.12</v>
      </c>
      <c r="CF132" s="39">
        <f>(IF(WEEKDAY(CF$82,2)&gt;5,0,4.55))*-1</f>
        <v>-4.55</v>
      </c>
      <c r="CG132" s="39">
        <f>(IF(WEEKDAY(CG$82,2)&gt;5,0,4.47))*-1</f>
        <v>-4.47</v>
      </c>
      <c r="CH132" s="39">
        <f>(IF(WEEKDAY(CH$82,2)&gt;5,0,5.19))*-1</f>
        <v>-5.19</v>
      </c>
      <c r="CI132" s="39">
        <f>(IF(WEEKDAY(CI$82,2)&gt;5,0,4.47))*-1</f>
        <v>0</v>
      </c>
      <c r="CJ132" s="39">
        <f>(IF(WEEKDAY(CJ$82,2)&gt;5,0,5.35))*-1</f>
        <v>0</v>
      </c>
      <c r="CK132" s="39">
        <f>(IF(WEEKDAY(CK$82,2)&gt;5,0,4.45))*-1</f>
        <v>-4.45</v>
      </c>
      <c r="CL132" s="39">
        <f>(IF(WEEKDAY(CL$82,2)&gt;5,0,5.52))*-1</f>
        <v>-5.52</v>
      </c>
      <c r="CM132" s="39">
        <f>(IF(WEEKDAY(CM$82,2)&gt;5,0,4.55))*-1</f>
        <v>-4.55</v>
      </c>
      <c r="CN132" s="39">
        <f>(IF(WEEKDAY(CN$82,2)&gt;5,0,5.35))*-1</f>
        <v>-5.35</v>
      </c>
      <c r="CO132" s="39">
        <f>(IF(WEEKDAY(CO$82,2)&gt;5,0,5.73))*-1</f>
        <v>-5.73</v>
      </c>
      <c r="CP132" s="39">
        <f>(IF(WEEKDAY(CP$82,2)&gt;5,0,5.37))*-1</f>
        <v>0</v>
      </c>
      <c r="CQ132" s="39">
        <f>(IF(WEEKDAY(CQ$82,2)&gt;5,0,4.47))*-1</f>
        <v>0</v>
      </c>
      <c r="CR132" s="39">
        <f>(IF(WEEKDAY(CR$82,2)&gt;5,0,4.37))*-1</f>
        <v>-4.37</v>
      </c>
      <c r="CS132" s="39">
        <f>(IF(WEEKDAY(CS$82,2)&gt;5,0,5.6))*-1</f>
        <v>-5.6</v>
      </c>
      <c r="CT132" s="39">
        <f>(IF(WEEKDAY(CT$82,2)&gt;5,0,4.71))*-1</f>
        <v>-4.71</v>
      </c>
      <c r="CU132" s="39">
        <f>(IF(WEEKDAY(CU$82,2)&gt;5,0,5.39))*-1</f>
        <v>-5.39</v>
      </c>
      <c r="CV132" s="39">
        <f>(IF(WEEKDAY(CV$82,2)&gt;5,0,4.95))*-1</f>
        <v>-4.95</v>
      </c>
      <c r="CW132" s="39">
        <f>(IF(WEEKDAY(CW$82,2)&gt;5,0,5.21))*-1</f>
        <v>0</v>
      </c>
      <c r="CX132" s="39">
        <f>(IF(WEEKDAY(CX$82,2)&gt;5,0,5.21))*-1</f>
        <v>0</v>
      </c>
      <c r="CY132" s="39">
        <f>(IF(WEEKDAY(CY$82,2)&gt;5,0,4.97))*-1</f>
        <v>-4.97</v>
      </c>
      <c r="CZ132" s="39">
        <f>(IF(WEEKDAY(CZ$82,2)&gt;5,0,4.41))*-1</f>
        <v>-4.41</v>
      </c>
      <c r="DA132" s="39">
        <f>(IF(WEEKDAY(DA$82,2)&gt;5,0,5.14))*-1</f>
        <v>-5.14</v>
      </c>
      <c r="DB132" s="39">
        <f>(IF(WEEKDAY(DB$82,2)&gt;5,0,5.22))*-1</f>
        <v>-5.22</v>
      </c>
      <c r="DC132" s="39">
        <f>(IF(WEEKDAY(DC$82,2)&gt;5,0,4.8))*-1</f>
        <v>-4.8</v>
      </c>
      <c r="DD132" s="39">
        <f>(IF(WEEKDAY(DD$82,2)&gt;5,0,5.06))*-1</f>
        <v>0</v>
      </c>
      <c r="DE132" s="39">
        <f>(IF(WEEKDAY(DE$82,2)&gt;5,0,4.68))*-1</f>
        <v>0</v>
      </c>
      <c r="DF132" s="39">
        <f>(IF(WEEKDAY(DF$82,2)&gt;5,0,4.53))*-1</f>
        <v>-4.53</v>
      </c>
      <c r="DG132" s="39">
        <f>(IF(WEEKDAY(DG$82,2)&gt;5,0,5.52))*-1</f>
        <v>-5.52</v>
      </c>
      <c r="DH132" s="39">
        <f>(IF(WEEKDAY(DH$82,2)&gt;5,0,4.61))*-1</f>
        <v>-4.6100000000000003</v>
      </c>
      <c r="DI132" s="39">
        <f>(IF(WEEKDAY(DI$82,2)&gt;5,0,5.39))*-1</f>
        <v>-5.39</v>
      </c>
      <c r="DJ132" s="39">
        <f>(IF(WEEKDAY(DJ$82,2)&gt;5,0,4.5))*-1</f>
        <v>-4.5</v>
      </c>
      <c r="DK132" s="39">
        <f>(IF(WEEKDAY(DK$82,2)&gt;5,0,4.33))*-1</f>
        <v>0</v>
      </c>
      <c r="DL132" s="39">
        <f>(IF(WEEKDAY(DL$82,2)&gt;5,0,4.41))*-1</f>
        <v>0</v>
      </c>
      <c r="DM132" s="39">
        <f>(IF(WEEKDAY(DM$82,2)&gt;5,0,4.94))*-1</f>
        <v>-4.9400000000000004</v>
      </c>
      <c r="DN132" s="39">
        <f>(IF(WEEKDAY(DN$82,2)&gt;5,0,5.01))*-1</f>
        <v>-5.01</v>
      </c>
      <c r="DO132" s="39">
        <f>(IF(WEEKDAY(DO$82,2)&gt;5,0,4.51))*-1</f>
        <v>-4.51</v>
      </c>
      <c r="DP132" s="39">
        <f>(IF(WEEKDAY(DP$82,2)&gt;5,0,5.18))*-1</f>
        <v>-5.18</v>
      </c>
      <c r="DQ132" s="39">
        <f>(IF(WEEKDAY(DQ$82,2)&gt;5,0,4.46))*-1</f>
        <v>-4.46</v>
      </c>
      <c r="DR132" s="39">
        <f>(IF(WEEKDAY(DR$82,2)&gt;5,0,5.03))*-1</f>
        <v>0</v>
      </c>
      <c r="DS132" s="39">
        <f>(IF(WEEKDAY(DS$82,2)&gt;5,0,5.48))*-1</f>
        <v>0</v>
      </c>
      <c r="DT132" s="39">
        <f>(IF(WEEKDAY(DT$82,2)&gt;5,0,5.66))*-1</f>
        <v>-5.66</v>
      </c>
      <c r="DU132" s="39">
        <f>(IF(WEEKDAY(DU$82,2)&gt;5,0,4.57))*-1</f>
        <v>-4.57</v>
      </c>
      <c r="DV132" s="39">
        <f>(IF(WEEKDAY(DV$82,2)&gt;5,0,5.21))*-1</f>
        <v>-5.21</v>
      </c>
      <c r="DW132" s="39">
        <f>(IF(WEEKDAY(DW$82,2)&gt;5,0,4.31))*-1</f>
        <v>-4.3099999999999996</v>
      </c>
      <c r="DX132" s="39">
        <f>(IF(WEEKDAY(DX$82,2)&gt;5,0,4.27))*-1</f>
        <v>-4.2699999999999996</v>
      </c>
      <c r="DY132" s="39">
        <f>(IF(WEEKDAY(DY$82,2)&gt;5,0,4.72))*-1</f>
        <v>0</v>
      </c>
      <c r="DZ132" s="39">
        <f>(IF(WEEKDAY(DZ$82,2)&gt;5,0,4.38))*-1</f>
        <v>0</v>
      </c>
      <c r="EA132" s="39">
        <f>(IF(WEEKDAY(EA$82,2)&gt;5,0,5.13))*-1</f>
        <v>-5.13</v>
      </c>
      <c r="EB132" s="39">
        <f>(IF(WEEKDAY(EB$82,2)&gt;5,0,5.5))*-1</f>
        <v>-5.5</v>
      </c>
      <c r="EC132" s="39">
        <f>(IF(WEEKDAY(EC$82,2)&gt;5,0,4.37))*-1</f>
        <v>-4.37</v>
      </c>
      <c r="ED132" s="39">
        <f>(IF(WEEKDAY(ED$82,2)&gt;5,0,5.05))*-1</f>
        <v>-5.05</v>
      </c>
      <c r="EE132" s="39">
        <f>(IF(WEEKDAY(EE$82,2)&gt;5,0,5.47))*-1</f>
        <v>-5.47</v>
      </c>
      <c r="EF132" s="39">
        <f>(IF(WEEKDAY(EF$82,2)&gt;5,0,5.63))*-1</f>
        <v>0</v>
      </c>
      <c r="EG132" s="39">
        <f>(IF(WEEKDAY(EG$82,2)&gt;5,0,4.84))*-1</f>
        <v>0</v>
      </c>
      <c r="EH132" s="39">
        <f>(IF(WEEKDAY(EH$82,2)&gt;5,0,4.44))*-1</f>
        <v>-4.4400000000000004</v>
      </c>
      <c r="EI132" s="39">
        <f>(IF(WEEKDAY(EI$82,2)&gt;5,0,4.88))*-1</f>
        <v>-4.88</v>
      </c>
      <c r="EJ132" s="39">
        <f>(IF(WEEKDAY(EJ$82,2)&gt;5,0,5.69))*-1</f>
        <v>-5.69</v>
      </c>
      <c r="EK132" s="39">
        <f>(IF(WEEKDAY(EK$82,2)&gt;5,0,4.32))*-1</f>
        <v>-4.32</v>
      </c>
      <c r="EL132" s="39">
        <f>(IF(WEEKDAY(EL$82,2)&gt;5,0,4.8))*-1</f>
        <v>-4.8</v>
      </c>
      <c r="EM132" s="39">
        <f>(IF(WEEKDAY(EM$82,2)&gt;5,0,5.18))*-1</f>
        <v>0</v>
      </c>
      <c r="EN132" s="39">
        <f>(IF(WEEKDAY(EN$82,2)&gt;5,0,4.86))*-1</f>
        <v>0</v>
      </c>
      <c r="EO132" s="39">
        <f>(IF(WEEKDAY(EO$82,2)&gt;5,0,5.4))*-1</f>
        <v>-5.4</v>
      </c>
      <c r="EP132" s="39">
        <f>(IF(WEEKDAY(EP$82,2)&gt;5,0,4.98))*-1</f>
        <v>-4.9800000000000004</v>
      </c>
      <c r="EQ132" s="39">
        <f>(IF(WEEKDAY(EQ$82,2)&gt;5,0,4.52))*-1</f>
        <v>-4.5199999999999996</v>
      </c>
      <c r="ER132" s="39">
        <f>(IF(WEEKDAY(ER$82,2)&gt;5,0,4.64))*-1</f>
        <v>-4.6399999999999997</v>
      </c>
      <c r="ES132" s="39">
        <f>(IF(WEEKDAY(ES$82,2)&gt;5,0,4.37))*-1</f>
        <v>-4.37</v>
      </c>
      <c r="ET132" s="39">
        <f>(IF(WEEKDAY(ET$82,2)&gt;5,0,4.92))*-1</f>
        <v>0</v>
      </c>
      <c r="EU132" s="39">
        <f>(IF(WEEKDAY(EU$82,2)&gt;5,0,5.45))*-1</f>
        <v>0</v>
      </c>
      <c r="EV132" s="39">
        <f>(IF(WEEKDAY(EV$82,2)&gt;5,0,4.67))*-1</f>
        <v>-4.67</v>
      </c>
      <c r="EW132" s="39">
        <f>(IF(WEEKDAY(EW$82,2)&gt;5,0,4.41))*-1</f>
        <v>-4.41</v>
      </c>
      <c r="EX132" s="39">
        <f>(IF(WEEKDAY(EX$82,2)&gt;5,0,4.64))*-1</f>
        <v>-4.6399999999999997</v>
      </c>
      <c r="EY132" s="39">
        <f>(IF(WEEKDAY(EY$82,2)&gt;5,0,4.5))*-1</f>
        <v>-4.5</v>
      </c>
      <c r="EZ132" s="39">
        <f>(IF(WEEKDAY(EZ$82,2)&gt;5,0,4.28))*-1</f>
        <v>-4.28</v>
      </c>
      <c r="FA132" s="39">
        <f>(IF(WEEKDAY(FA$82,2)&gt;5,0,5.28))*-1</f>
        <v>0</v>
      </c>
      <c r="FB132" s="39">
        <f>(IF(WEEKDAY(FB$82,2)&gt;5,0,4.73))*-1</f>
        <v>0</v>
      </c>
      <c r="FC132" s="39">
        <f>(IF(WEEKDAY(FC$82,2)&gt;5,0,5.43))*-1</f>
        <v>-5.43</v>
      </c>
      <c r="FD132" s="39">
        <f>(IF(WEEKDAY(FD$82,2)&gt;5,0,4.61))*-1</f>
        <v>-4.6100000000000003</v>
      </c>
      <c r="FE132" s="39">
        <f>(IF(WEEKDAY(FE$82,2)&gt;5,0,4.37))*-1</f>
        <v>-4.37</v>
      </c>
      <c r="FF132" s="39">
        <f>(IF(WEEKDAY(FF$82,2)&gt;5,0,4.93))*-1</f>
        <v>-4.93</v>
      </c>
      <c r="FG132" s="39">
        <f>(IF(WEEKDAY(FG$82,2)&gt;5,0,4.31))*-1</f>
        <v>-4.3099999999999996</v>
      </c>
      <c r="FH132" s="39">
        <f>(IF(WEEKDAY(FH$82,2)&gt;5,0,4.56))*-1</f>
        <v>0</v>
      </c>
      <c r="FI132" s="39">
        <f>(IF(WEEKDAY(FI$82,2)&gt;5,0,5.14))*-1</f>
        <v>0</v>
      </c>
      <c r="FJ132" s="39">
        <f>(IF(WEEKDAY(FJ$82,2)&gt;5,0,5.45))*-1</f>
        <v>-5.45</v>
      </c>
      <c r="FK132" s="39">
        <f>(IF(WEEKDAY(FK$82,2)&gt;5,0,4.74))*-1</f>
        <v>-4.74</v>
      </c>
      <c r="FL132" s="39">
        <f>(IF(WEEKDAY(FL$82,2)&gt;5,0,4.43))*-1</f>
        <v>-4.43</v>
      </c>
      <c r="FM132" s="39">
        <f>(IF(WEEKDAY(FM$82,2)&gt;5,0,5.05))*-1</f>
        <v>-5.05</v>
      </c>
      <c r="FN132" s="39">
        <f>(IF(WEEKDAY(FN$82,2)&gt;5,0,4.9))*-1</f>
        <v>-4.9000000000000004</v>
      </c>
      <c r="FO132" s="39">
        <f>(IF(WEEKDAY(FO$82,2)&gt;5,0,4.39))*-1</f>
        <v>0</v>
      </c>
      <c r="FP132" s="39">
        <f>(IF(WEEKDAY(FP$82,2)&gt;5,0,4.97))*-1</f>
        <v>0</v>
      </c>
      <c r="FQ132" s="39">
        <f>(IF(WEEKDAY(FQ$82,2)&gt;5,0,4.41))*-1</f>
        <v>-4.41</v>
      </c>
      <c r="FR132" s="39">
        <f>(IF(WEEKDAY(FR$82,2)&gt;5,0,4.97))*-1</f>
        <v>-4.97</v>
      </c>
      <c r="FS132" s="39">
        <f>(IF(WEEKDAY(FS$82,2)&gt;5,0,5.12))*-1</f>
        <v>-5.12</v>
      </c>
      <c r="FT132" s="39">
        <f>(IF(WEEKDAY(FT$82,2)&gt;5,0,4.72))*-1</f>
        <v>-4.72</v>
      </c>
      <c r="FU132" s="39">
        <f>(IF(WEEKDAY(FU$82,2)&gt;5,0,5.11))*-1</f>
        <v>-5.1100000000000003</v>
      </c>
      <c r="FV132" s="39">
        <f>(IF(WEEKDAY(FV$82,2)&gt;5,0,4.75))*-1</f>
        <v>0</v>
      </c>
      <c r="FW132" s="39">
        <f>(IF(WEEKDAY(FW$82,2)&gt;5,0,4.78))*-1</f>
        <v>0</v>
      </c>
      <c r="FX132" s="39">
        <f>(IF(WEEKDAY(FX$82,2)&gt;5,0,5.58))*-1</f>
        <v>-5.58</v>
      </c>
      <c r="FY132" s="39">
        <f>(IF(WEEKDAY(FY$82,2)&gt;5,0,5.42))*-1</f>
        <v>-5.42</v>
      </c>
      <c r="FZ132" s="39">
        <f>(IF(WEEKDAY(FZ$82,2)&gt;5,0,4.39))*-1</f>
        <v>-4.3899999999999997</v>
      </c>
      <c r="GA132" s="39">
        <f>(IF(WEEKDAY(GA$82,2)&gt;5,0,4.34))*-1</f>
        <v>-4.34</v>
      </c>
      <c r="GB132" s="39">
        <f>(IF(WEEKDAY(GB$82,2)&gt;5,0,5.14))*-1</f>
        <v>-5.14</v>
      </c>
      <c r="GC132" s="39">
        <f>(IF(WEEKDAY(GC$82,2)&gt;5,0,5.62))*-1</f>
        <v>0</v>
      </c>
      <c r="GD132" s="39">
        <f>(IF(WEEKDAY(GD$82,2)&gt;5,0,5.66))*-1</f>
        <v>0</v>
      </c>
      <c r="GE132" s="39">
        <f>(IF(WEEKDAY(GE$82,2)&gt;5,0,5.48))*-1</f>
        <v>-5.48</v>
      </c>
      <c r="GF132" s="39">
        <f>(IF(WEEKDAY(GF$82,2)&gt;5,0,5.38))*-1</f>
        <v>-5.38</v>
      </c>
      <c r="GG132" s="39">
        <f>(IF(WEEKDAY(GG$82,2)&gt;5,0,5.6))*-1</f>
        <v>-5.6</v>
      </c>
      <c r="GH132" s="39">
        <f>(IF(WEEKDAY(GH$82,2)&gt;5,0,5.74))*-1</f>
        <v>-5.74</v>
      </c>
      <c r="GI132" s="39">
        <f>(IF(WEEKDAY(GI$82,2)&gt;5,0,5))*-1</f>
        <v>-5</v>
      </c>
      <c r="GJ132" s="39">
        <f>(IF(WEEKDAY(GJ$82,2)&gt;5,0,4.58))*-1</f>
        <v>0</v>
      </c>
      <c r="GK132" s="39">
        <f>(IF(WEEKDAY(GK$82,2)&gt;5,0,4.71))*-1</f>
        <v>0</v>
      </c>
      <c r="GL132" s="39">
        <f>(IF(WEEKDAY(GL$82,2)&gt;5,0,5.2))*-1</f>
        <v>-5.2</v>
      </c>
      <c r="GM132" s="39">
        <f>(IF(WEEKDAY(GM$82,2)&gt;5,0,5.59))*-1</f>
        <v>-5.59</v>
      </c>
      <c r="GN132" s="39">
        <f>(IF(WEEKDAY(GN$82,2)&gt;5,0,4.91))*-1</f>
        <v>-4.91</v>
      </c>
      <c r="GO132" s="39">
        <f>(IF(WEEKDAY(GO$82,2)&gt;5,0,5.05))*-1</f>
        <v>-5.05</v>
      </c>
      <c r="GP132" s="39">
        <f>(IF(WEEKDAY(GP$82,2)&gt;5,0,4.67))*-1</f>
        <v>-4.67</v>
      </c>
      <c r="GQ132" s="39">
        <f>(IF(WEEKDAY(GQ$82,2)&gt;5,0,4.68))*-1</f>
        <v>0</v>
      </c>
      <c r="GR132" s="39">
        <f>(IF(WEEKDAY(GR$82,2)&gt;5,0,4.38))*-1</f>
        <v>0</v>
      </c>
      <c r="GS132" s="39">
        <f>(IF(WEEKDAY(GS$82,2)&gt;5,0,4.61))*-1</f>
        <v>-4.6100000000000003</v>
      </c>
      <c r="GT132" s="39">
        <f>(IF(WEEKDAY(GT$82,2)&gt;5,0,5.3))*-1</f>
        <v>-5.3</v>
      </c>
      <c r="GU132" s="39">
        <f>(IF(WEEKDAY(GU$82,2)&gt;5,0,4.98))*-1</f>
        <v>-4.9800000000000004</v>
      </c>
      <c r="GV132" s="39">
        <f>(IF(WEEKDAY(GV$82,2)&gt;5,0,5.04))*-1</f>
        <v>-5.04</v>
      </c>
      <c r="GW132" s="39">
        <f>(IF(WEEKDAY(GW$82,2)&gt;5,0,5.39))*-1</f>
        <v>-5.39</v>
      </c>
      <c r="GX132" s="39">
        <f>(IF(WEEKDAY(GX$82,2)&gt;5,0,5.44))*-1</f>
        <v>0</v>
      </c>
      <c r="GY132" s="39">
        <f>(IF(WEEKDAY(GY$82,2)&gt;5,0,4.36))*-1</f>
        <v>0</v>
      </c>
      <c r="GZ132" s="39">
        <f>(IF(WEEKDAY(GZ$82,2)&gt;5,0,5.42))*-1</f>
        <v>-5.42</v>
      </c>
      <c r="HA132" s="39">
        <f>(IF(WEEKDAY(HA$82,2)&gt;5,0,5.34))*-1</f>
        <v>-5.34</v>
      </c>
      <c r="HB132" s="39">
        <f>(IF(WEEKDAY(HB$82,2)&gt;5,0,5.15))*-1</f>
        <v>-5.15</v>
      </c>
      <c r="HC132" s="39">
        <f>(IF(WEEKDAY(HC$82,2)&gt;5,0,5.08))*-1</f>
        <v>-5.08</v>
      </c>
      <c r="HD132" s="39">
        <f>(IF(WEEKDAY(HD$82,2)&gt;5,0,4.4))*-1</f>
        <v>-4.4000000000000004</v>
      </c>
      <c r="HE132" s="39">
        <f>(IF(WEEKDAY(HE$82,2)&gt;5,0,4.44))*-1</f>
        <v>0</v>
      </c>
      <c r="HF132" s="39">
        <f>(IF(WEEKDAY(HF$82,2)&gt;5,0,4.46))*-1</f>
        <v>0</v>
      </c>
      <c r="HG132" s="39">
        <f>(IF(WEEKDAY(HG$82,2)&gt;5,0,4.59))*-1</f>
        <v>-4.59</v>
      </c>
      <c r="HH132" s="39">
        <f>(IF(WEEKDAY(HH$82,2)&gt;5,0,5.03))*-1</f>
        <v>-5.03</v>
      </c>
      <c r="HI132" s="39">
        <f>(IF(WEEKDAY(HI$82,2)&gt;5,0,5.61))*-1</f>
        <v>-5.61</v>
      </c>
      <c r="HJ132" s="39">
        <f>(IF(WEEKDAY(HJ$82,2)&gt;5,0,5.37))*-1</f>
        <v>-5.37</v>
      </c>
      <c r="HK132" s="39">
        <f>(IF(WEEKDAY(HK$82,2)&gt;5,0,5.4))*-1</f>
        <v>-5.4</v>
      </c>
      <c r="HL132" s="39">
        <f>(IF(WEEKDAY(HL$82,2)&gt;5,0,4.65))*-1</f>
        <v>0</v>
      </c>
      <c r="HM132" s="39">
        <f>(IF(WEEKDAY(HM$82,2)&gt;5,0,4.26))*-1</f>
        <v>0</v>
      </c>
      <c r="HN132" s="39">
        <f>(IF(WEEKDAY(HN$82,2)&gt;5,0,4.73))*-1</f>
        <v>-4.7300000000000004</v>
      </c>
      <c r="HO132" s="39">
        <f>(IF(WEEKDAY(HO$82,2)&gt;5,0,5.08))*-1</f>
        <v>-5.08</v>
      </c>
      <c r="HP132" s="39">
        <f>(IF(WEEKDAY(HP$82,2)&gt;5,0,4.43))*-1</f>
        <v>-4.43</v>
      </c>
      <c r="HQ132" s="39">
        <f>(IF(WEEKDAY(HQ$82,2)&gt;5,0,5))*-1</f>
        <v>-5</v>
      </c>
      <c r="HR132" s="39">
        <f>(IF(WEEKDAY(HR$82,2)&gt;5,0,5.73))*-1</f>
        <v>-5.73</v>
      </c>
      <c r="HS132" s="39">
        <f>(IF(WEEKDAY(HS$82,2)&gt;5,0,5.26))*-1</f>
        <v>0</v>
      </c>
      <c r="HT132" s="39">
        <f>(IF(WEEKDAY(HT$82,2)&gt;5,0,4.61))*-1</f>
        <v>0</v>
      </c>
      <c r="HU132" s="39">
        <f>(IF(WEEKDAY(HU$82,2)&gt;5,0,5.07))*-1</f>
        <v>-5.07</v>
      </c>
      <c r="HV132" s="39">
        <f>(IF(WEEKDAY(HV$82,2)&gt;5,0,4.54))*-1</f>
        <v>-4.54</v>
      </c>
      <c r="HW132" s="39">
        <f>(IF(WEEKDAY(HW$82,2)&gt;5,0,4.29))*-1</f>
        <v>-4.29</v>
      </c>
      <c r="HX132" s="39">
        <f>(IF(WEEKDAY(HX$82,2)&gt;5,0,5.74))*-1</f>
        <v>-5.74</v>
      </c>
      <c r="HY132" s="39">
        <f>(IF(WEEKDAY(HY$82,2)&gt;5,0,4.51))*-1</f>
        <v>-4.51</v>
      </c>
      <c r="HZ132" s="39">
        <f>(IF(WEEKDAY(HZ$82,2)&gt;5,0,5.51))*-1</f>
        <v>0</v>
      </c>
      <c r="IA132" s="39">
        <f>(IF(WEEKDAY(IA$82,2)&gt;5,0,5.5))*-1</f>
        <v>0</v>
      </c>
      <c r="IB132" s="39">
        <f>(IF(WEEKDAY(IB$82,2)&gt;5,0,5.72))*-1</f>
        <v>-5.72</v>
      </c>
      <c r="IC132" s="39">
        <f>(IF(WEEKDAY(IC$82,2)&gt;5,0,4.57))*-1</f>
        <v>-4.57</v>
      </c>
      <c r="ID132" s="39">
        <f>(IF(WEEKDAY(ID$82,2)&gt;5,0,4.96))*-1</f>
        <v>-4.96</v>
      </c>
      <c r="IE132" s="39">
        <f>(IF(WEEKDAY(IE$82,2)&gt;5,0,5.02))*-1</f>
        <v>-5.0199999999999996</v>
      </c>
      <c r="IF132" s="39">
        <f>(IF(WEEKDAY(IF$82,2)&gt;5,0,5.35))*-1</f>
        <v>-5.35</v>
      </c>
      <c r="IG132" s="39">
        <f>(IF(WEEKDAY(IG$82,2)&gt;5,0,5.01))*-1</f>
        <v>0</v>
      </c>
      <c r="IH132" s="39">
        <f>(IF(WEEKDAY(IH$82,2)&gt;5,0,4.88))*-1</f>
        <v>0</v>
      </c>
      <c r="II132" s="39">
        <f>(IF(WEEKDAY(II$82,2)&gt;5,0,4.59))*-1</f>
        <v>-4.59</v>
      </c>
      <c r="IJ132" s="39">
        <f>(IF(WEEKDAY(IJ$82,2)&gt;5,0,5.67))*-1</f>
        <v>-5.67</v>
      </c>
      <c r="IK132" s="39">
        <f>(IF(WEEKDAY(IK$82,2)&gt;5,0,4.61))*-1</f>
        <v>-4.6100000000000003</v>
      </c>
      <c r="IL132" s="39">
        <f>(IF(WEEKDAY(IL$82,2)&gt;5,0,5.35))*-1</f>
        <v>-5.35</v>
      </c>
    </row>
    <row r="133" spans="1:246" x14ac:dyDescent="0.3">
      <c r="A133" t="s">
        <v>115</v>
      </c>
      <c r="B133" s="39">
        <f>(IF(WEEKDAY(B$82,2)&gt;5,0,630.88))*-1</f>
        <v>-630.88</v>
      </c>
      <c r="C133" s="39">
        <f>(IF(WEEKDAY(C$82,2)&gt;5,0,595.61))*-1</f>
        <v>0</v>
      </c>
      <c r="D133" s="39">
        <f>(IF(WEEKDAY(D$82,2)&gt;5,0,641.93))*-1</f>
        <v>0</v>
      </c>
      <c r="E133" s="39">
        <f>(IF(WEEKDAY(E$82,2)&gt;5,0,567.1))*-1</f>
        <v>-567.1</v>
      </c>
      <c r="F133" s="39">
        <f>(IF(WEEKDAY(F$82,2)&gt;5,0,618.42))*-1</f>
        <v>-618.41999999999996</v>
      </c>
      <c r="G133" s="39">
        <f>(IF(WEEKDAY(G$82,2)&gt;5,0,565.22))*-1</f>
        <v>-565.22</v>
      </c>
      <c r="H133" s="39">
        <f>(IF(WEEKDAY(H$82,2)&gt;5,0,525.84))*-1</f>
        <v>-525.84</v>
      </c>
      <c r="I133" s="39">
        <f>(IF(WEEKDAY(I$82,2)&gt;5,0,526.78))*-1</f>
        <v>-526.78</v>
      </c>
      <c r="J133" s="39">
        <f>(IF(WEEKDAY(J$82,2)&gt;5,0,527.65))*-1</f>
        <v>0</v>
      </c>
      <c r="K133" s="39">
        <f>(IF(WEEKDAY(K$82,2)&gt;5,0,559))*-1</f>
        <v>0</v>
      </c>
      <c r="L133" s="39">
        <f>(IF(WEEKDAY(L$82,2)&gt;5,0,655.92))*-1</f>
        <v>-655.92</v>
      </c>
      <c r="M133" s="39">
        <f>(IF(WEEKDAY(M$82,2)&gt;5,0,630.76))*-1</f>
        <v>-630.76</v>
      </c>
      <c r="N133" s="39">
        <f>(IF(WEEKDAY(N$82,2)&gt;5,0,547.55))*-1</f>
        <v>-547.54999999999995</v>
      </c>
      <c r="O133" s="39">
        <f>(IF(WEEKDAY(O$82,2)&gt;5,0,655.3))*-1</f>
        <v>-655.29999999999995</v>
      </c>
      <c r="P133" s="39">
        <f>(IF(WEEKDAY(P$82,2)&gt;5,0,594.28))*-1</f>
        <v>-594.28</v>
      </c>
      <c r="Q133" s="39">
        <f>(IF(WEEKDAY(Q$82,2)&gt;5,0,541.22))*-1</f>
        <v>0</v>
      </c>
      <c r="R133" s="39">
        <f>(IF(WEEKDAY(R$82,2)&gt;5,0,546.22))*-1</f>
        <v>0</v>
      </c>
      <c r="S133" s="39">
        <f>(IF(WEEKDAY(S$82,2)&gt;5,0,680.58))*-1</f>
        <v>-680.58</v>
      </c>
      <c r="T133" s="39">
        <f>(IF(WEEKDAY(T$82,2)&gt;5,0,633.63))*-1</f>
        <v>-633.63</v>
      </c>
      <c r="U133" s="39">
        <f>(IF(WEEKDAY(U$82,2)&gt;5,0,598.64))*-1</f>
        <v>-598.64</v>
      </c>
      <c r="V133" s="39">
        <f>(IF(WEEKDAY(V$82,2)&gt;5,0,676.14))*-1</f>
        <v>-676.14</v>
      </c>
      <c r="W133" s="39">
        <f>(IF(WEEKDAY(W$82,2)&gt;5,0,602.88))*-1</f>
        <v>-602.88</v>
      </c>
      <c r="X133" s="39">
        <f>(IF(WEEKDAY(X$82,2)&gt;5,0,526.05))*-1</f>
        <v>0</v>
      </c>
      <c r="Y133" s="39">
        <f>(IF(WEEKDAY(Y$82,2)&gt;5,0,599.33))*-1</f>
        <v>0</v>
      </c>
      <c r="Z133" s="39">
        <f>(IF(WEEKDAY(Z$82,2)&gt;5,0,514.05))*-1</f>
        <v>-514.04999999999995</v>
      </c>
      <c r="AA133" s="39">
        <f>(IF(WEEKDAY(AA$82,2)&gt;5,0,544.96))*-1</f>
        <v>-544.96</v>
      </c>
      <c r="AB133" s="39">
        <f>(IF(WEEKDAY(AB$82,2)&gt;5,0,618.23))*-1</f>
        <v>-618.23</v>
      </c>
      <c r="AC133" s="39">
        <f>(IF(WEEKDAY(AC$82,2)&gt;5,0,637.93))*-1</f>
        <v>-637.92999999999995</v>
      </c>
      <c r="AD133" s="39">
        <f>(IF(WEEKDAY(AD$82,2)&gt;5,0,539.1))*-1</f>
        <v>-539.1</v>
      </c>
      <c r="AE133" s="39">
        <f>(IF(WEEKDAY(AE$82,2)&gt;5,0,608.5))*-1</f>
        <v>0</v>
      </c>
      <c r="AF133" s="39">
        <f>(IF(WEEKDAY(AF$82,2)&gt;5,0,573.23))*-1</f>
        <v>0</v>
      </c>
      <c r="AG133" s="39">
        <f>(IF(WEEKDAY(AG$82,2)&gt;5,0,611.28))*-1</f>
        <v>-611.28</v>
      </c>
      <c r="AH133" s="39">
        <f>(IF(WEEKDAY(AH$82,2)&gt;5,0,605.56))*-1</f>
        <v>-605.55999999999995</v>
      </c>
      <c r="AI133" s="39">
        <f>(IF(WEEKDAY(AI$82,2)&gt;5,0,662.21))*-1</f>
        <v>-662.21</v>
      </c>
      <c r="AJ133" s="39">
        <f>(IF(WEEKDAY(AJ$82,2)&gt;5,0,689.77))*-1</f>
        <v>-689.77</v>
      </c>
      <c r="AK133" s="39">
        <f>(IF(WEEKDAY(AK$82,2)&gt;5,0,619.14))*-1</f>
        <v>-619.14</v>
      </c>
      <c r="AL133" s="39">
        <f>(IF(WEEKDAY(AL$82,2)&gt;5,0,635.97))*-1</f>
        <v>0</v>
      </c>
      <c r="AM133" s="39">
        <f>(IF(WEEKDAY(AM$82,2)&gt;5,0,578.64))*-1</f>
        <v>0</v>
      </c>
      <c r="AN133" s="39">
        <f>(IF(WEEKDAY(AN$82,2)&gt;5,0,624.78))*-1</f>
        <v>-624.78</v>
      </c>
      <c r="AO133" s="39">
        <f>(IF(WEEKDAY(AO$82,2)&gt;5,0,546.75))*-1</f>
        <v>-546.75</v>
      </c>
      <c r="AP133" s="39">
        <f>(IF(WEEKDAY(AP$82,2)&gt;5,0,612.83))*-1</f>
        <v>-612.83000000000004</v>
      </c>
      <c r="AQ133" s="39">
        <f>(IF(WEEKDAY(AQ$82,2)&gt;5,0,647.27))*-1</f>
        <v>-647.27</v>
      </c>
      <c r="AR133" s="39">
        <f>(IF(WEEKDAY(AR$82,2)&gt;5,0,617.04))*-1</f>
        <v>-617.04</v>
      </c>
      <c r="AS133" s="39">
        <f>(IF(WEEKDAY(AS$82,2)&gt;5,0,571.95))*-1</f>
        <v>0</v>
      </c>
      <c r="AT133" s="39">
        <f>(IF(WEEKDAY(AT$82,2)&gt;5,0,553.75))*-1</f>
        <v>0</v>
      </c>
      <c r="AU133" s="39">
        <f>(IF(WEEKDAY(AU$82,2)&gt;5,0,670))*-1</f>
        <v>-670</v>
      </c>
      <c r="AV133" s="39">
        <f>(IF(WEEKDAY(AV$82,2)&gt;5,0,652.89))*-1</f>
        <v>-652.89</v>
      </c>
      <c r="AW133" s="39">
        <f>(IF(WEEKDAY(AW$82,2)&gt;5,0,659.46))*-1</f>
        <v>-659.46</v>
      </c>
      <c r="AX133" s="39">
        <f>(IF(WEEKDAY(AX$82,2)&gt;5,0,565.15))*-1</f>
        <v>-565.15</v>
      </c>
      <c r="AY133" s="39">
        <f>(IF(WEEKDAY(AY$82,2)&gt;5,0,557.67))*-1</f>
        <v>-557.66999999999996</v>
      </c>
      <c r="AZ133" s="39">
        <f>(IF(WEEKDAY(AZ$82,2)&gt;5,0,535.46))*-1</f>
        <v>0</v>
      </c>
      <c r="BA133" s="39">
        <f>(IF(WEEKDAY(BA$82,2)&gt;5,0,646.8))*-1</f>
        <v>0</v>
      </c>
      <c r="BB133" s="39">
        <f>(IF(WEEKDAY(BB$82,2)&gt;5,0,581.05))*-1</f>
        <v>-581.04999999999995</v>
      </c>
      <c r="BC133" s="39">
        <f>(IF(WEEKDAY(BC$82,2)&gt;5,0,643.55))*-1</f>
        <v>-643.54999999999995</v>
      </c>
      <c r="BD133" s="39">
        <f>(IF(WEEKDAY(BD$82,2)&gt;5,0,670.28))*-1</f>
        <v>-670.28</v>
      </c>
      <c r="BE133" s="39">
        <f>(IF(WEEKDAY(BE$82,2)&gt;5,0,673.45))*-1</f>
        <v>-673.45</v>
      </c>
      <c r="BF133" s="39">
        <f>(IF(WEEKDAY(BF$82,2)&gt;5,0,558.81))*-1</f>
        <v>-558.80999999999995</v>
      </c>
      <c r="BG133" s="39">
        <f>(IF(WEEKDAY(BG$82,2)&gt;5,0,517.26))*-1</f>
        <v>0</v>
      </c>
      <c r="BH133" s="39">
        <f>(IF(WEEKDAY(BH$82,2)&gt;5,0,621.8))*-1</f>
        <v>0</v>
      </c>
      <c r="BI133" s="39">
        <f>(IF(WEEKDAY(BI$82,2)&gt;5,0,570.38))*-1</f>
        <v>-570.38</v>
      </c>
      <c r="BJ133" s="39">
        <f>(IF(WEEKDAY(BJ$82,2)&gt;5,0,591.77))*-1</f>
        <v>-591.77</v>
      </c>
      <c r="BK133" s="39">
        <f>(IF(WEEKDAY(BK$82,2)&gt;5,0,605.91))*-1</f>
        <v>-605.91</v>
      </c>
      <c r="BL133" s="39">
        <f>(IF(WEEKDAY(BL$82,2)&gt;5,0,679.91))*-1</f>
        <v>-679.91</v>
      </c>
      <c r="BM133" s="39">
        <f>(IF(WEEKDAY(BM$82,2)&gt;5,0,636.98))*-1</f>
        <v>-636.98</v>
      </c>
      <c r="BN133" s="39">
        <f>(IF(WEEKDAY(BN$82,2)&gt;5,0,650.15))*-1</f>
        <v>0</v>
      </c>
      <c r="BO133" s="39">
        <f>(IF(WEEKDAY(BO$82,2)&gt;5,0,626.06))*-1</f>
        <v>0</v>
      </c>
      <c r="BP133" s="39">
        <f>(IF(WEEKDAY(BP$82,2)&gt;5,0,649.38))*-1</f>
        <v>-649.38</v>
      </c>
      <c r="BQ133" s="39">
        <f>(IF(WEEKDAY(BQ$82,2)&gt;5,0,519.67))*-1</f>
        <v>-519.66999999999996</v>
      </c>
      <c r="BR133" s="39">
        <f>(IF(WEEKDAY(BR$82,2)&gt;5,0,617.2))*-1</f>
        <v>-617.20000000000005</v>
      </c>
      <c r="BS133" s="39">
        <f>(IF(WEEKDAY(BS$82,2)&gt;5,0,670.37))*-1</f>
        <v>-670.37</v>
      </c>
      <c r="BT133" s="39">
        <f>(IF(WEEKDAY(BT$82,2)&gt;5,0,605.84))*-1</f>
        <v>-605.84</v>
      </c>
      <c r="BU133" s="39">
        <f>(IF(WEEKDAY(BU$82,2)&gt;5,0,529.74))*-1</f>
        <v>0</v>
      </c>
      <c r="BV133" s="39">
        <f>(IF(WEEKDAY(BV$82,2)&gt;5,0,663.14))*-1</f>
        <v>0</v>
      </c>
      <c r="BW133" s="39">
        <f>(IF(WEEKDAY(BW$82,2)&gt;5,0,654.65))*-1</f>
        <v>-654.65</v>
      </c>
      <c r="BX133" s="39">
        <f>(IF(WEEKDAY(BX$82,2)&gt;5,0,635.2))*-1</f>
        <v>-635.20000000000005</v>
      </c>
      <c r="BY133" s="39">
        <f>(IF(WEEKDAY(BY$82,2)&gt;5,0,619.93))*-1</f>
        <v>-619.92999999999995</v>
      </c>
      <c r="BZ133" s="39">
        <f>(IF(WEEKDAY(BZ$82,2)&gt;5,0,512.83))*-1</f>
        <v>-512.83000000000004</v>
      </c>
      <c r="CA133" s="39">
        <f>(IF(WEEKDAY(CA$82,2)&gt;5,0,597.06))*-1</f>
        <v>-597.05999999999995</v>
      </c>
      <c r="CB133" s="39">
        <f>(IF(WEEKDAY(CB$82,2)&gt;5,0,593.14))*-1</f>
        <v>0</v>
      </c>
      <c r="CC133" s="39">
        <f>(IF(WEEKDAY(CC$82,2)&gt;5,0,518.01))*-1</f>
        <v>0</v>
      </c>
      <c r="CD133" s="39">
        <f>(IF(WEEKDAY(CD$82,2)&gt;5,0,575.98))*-1</f>
        <v>-575.98</v>
      </c>
      <c r="CE133" s="39">
        <f>(IF(WEEKDAY(CE$82,2)&gt;5,0,639.71))*-1</f>
        <v>-639.71</v>
      </c>
      <c r="CF133" s="39">
        <f>(IF(WEEKDAY(CF$82,2)&gt;5,0,678.34))*-1</f>
        <v>-678.34</v>
      </c>
      <c r="CG133" s="39">
        <f>(IF(WEEKDAY(CG$82,2)&gt;5,0,535.73))*-1</f>
        <v>-535.73</v>
      </c>
      <c r="CH133" s="39">
        <f>(IF(WEEKDAY(CH$82,2)&gt;5,0,665.87))*-1</f>
        <v>-665.87</v>
      </c>
      <c r="CI133" s="39">
        <f>(IF(WEEKDAY(CI$82,2)&gt;5,0,620.97))*-1</f>
        <v>0</v>
      </c>
      <c r="CJ133" s="39">
        <f>(IF(WEEKDAY(CJ$82,2)&gt;5,0,547.92))*-1</f>
        <v>0</v>
      </c>
      <c r="CK133" s="39">
        <f>(IF(WEEKDAY(CK$82,2)&gt;5,0,519.21))*-1</f>
        <v>-519.21</v>
      </c>
      <c r="CL133" s="39">
        <f>(IF(WEEKDAY(CL$82,2)&gt;5,0,609.91))*-1</f>
        <v>-609.91</v>
      </c>
      <c r="CM133" s="39">
        <f>(IF(WEEKDAY(CM$82,2)&gt;5,0,667.57))*-1</f>
        <v>-667.57</v>
      </c>
      <c r="CN133" s="39">
        <f>(IF(WEEKDAY(CN$82,2)&gt;5,0,556.8))*-1</f>
        <v>-556.79999999999995</v>
      </c>
      <c r="CO133" s="39">
        <f>(IF(WEEKDAY(CO$82,2)&gt;5,0,635.36))*-1</f>
        <v>-635.36</v>
      </c>
      <c r="CP133" s="39">
        <f>(IF(WEEKDAY(CP$82,2)&gt;5,0,656.52))*-1</f>
        <v>0</v>
      </c>
      <c r="CQ133" s="39">
        <f>(IF(WEEKDAY(CQ$82,2)&gt;5,0,680.39))*-1</f>
        <v>0</v>
      </c>
      <c r="CR133" s="39">
        <f>(IF(WEEKDAY(CR$82,2)&gt;5,0,550.93))*-1</f>
        <v>-550.92999999999995</v>
      </c>
      <c r="CS133" s="39">
        <f>(IF(WEEKDAY(CS$82,2)&gt;5,0,649.12))*-1</f>
        <v>-649.12</v>
      </c>
      <c r="CT133" s="39">
        <f>(IF(WEEKDAY(CT$82,2)&gt;5,0,654.03))*-1</f>
        <v>-654.03</v>
      </c>
      <c r="CU133" s="39">
        <f>(IF(WEEKDAY(CU$82,2)&gt;5,0,523))*-1</f>
        <v>-523</v>
      </c>
      <c r="CV133" s="39">
        <f>(IF(WEEKDAY(CV$82,2)&gt;5,0,602.28))*-1</f>
        <v>-602.28</v>
      </c>
      <c r="CW133" s="39">
        <f>(IF(WEEKDAY(CW$82,2)&gt;5,0,643.82))*-1</f>
        <v>0</v>
      </c>
      <c r="CX133" s="39">
        <f>(IF(WEEKDAY(CX$82,2)&gt;5,0,560.22))*-1</f>
        <v>0</v>
      </c>
      <c r="CY133" s="39">
        <f>(IF(WEEKDAY(CY$82,2)&gt;5,0,574.32))*-1</f>
        <v>-574.32000000000005</v>
      </c>
      <c r="CZ133" s="39">
        <f>(IF(WEEKDAY(CZ$82,2)&gt;5,0,655.41))*-1</f>
        <v>-655.41</v>
      </c>
      <c r="DA133" s="39">
        <f>(IF(WEEKDAY(DA$82,2)&gt;5,0,512.1))*-1</f>
        <v>-512.1</v>
      </c>
      <c r="DB133" s="39">
        <f>(IF(WEEKDAY(DB$82,2)&gt;5,0,653.71))*-1</f>
        <v>-653.71</v>
      </c>
      <c r="DC133" s="39">
        <f>(IF(WEEKDAY(DC$82,2)&gt;5,0,521.88))*-1</f>
        <v>-521.88</v>
      </c>
      <c r="DD133" s="39">
        <f>(IF(WEEKDAY(DD$82,2)&gt;5,0,597.97))*-1</f>
        <v>0</v>
      </c>
      <c r="DE133" s="39">
        <f>(IF(WEEKDAY(DE$82,2)&gt;5,0,687.1))*-1</f>
        <v>0</v>
      </c>
      <c r="DF133" s="39">
        <f>(IF(WEEKDAY(DF$82,2)&gt;5,0,598.99))*-1</f>
        <v>-598.99</v>
      </c>
      <c r="DG133" s="39">
        <f>(IF(WEEKDAY(DG$82,2)&gt;5,0,630.07))*-1</f>
        <v>-630.07000000000005</v>
      </c>
      <c r="DH133" s="39">
        <f>(IF(WEEKDAY(DH$82,2)&gt;5,0,559.95))*-1</f>
        <v>-559.95000000000005</v>
      </c>
      <c r="DI133" s="39">
        <f>(IF(WEEKDAY(DI$82,2)&gt;5,0,593.91))*-1</f>
        <v>-593.91</v>
      </c>
      <c r="DJ133" s="39">
        <f>(IF(WEEKDAY(DJ$82,2)&gt;5,0,515.83))*-1</f>
        <v>-515.83000000000004</v>
      </c>
      <c r="DK133" s="39">
        <f>(IF(WEEKDAY(DK$82,2)&gt;5,0,605.79))*-1</f>
        <v>0</v>
      </c>
      <c r="DL133" s="39">
        <f>(IF(WEEKDAY(DL$82,2)&gt;5,0,515.99))*-1</f>
        <v>0</v>
      </c>
      <c r="DM133" s="39">
        <f>(IF(WEEKDAY(DM$82,2)&gt;5,0,644.22))*-1</f>
        <v>-644.22</v>
      </c>
      <c r="DN133" s="39">
        <f>(IF(WEEKDAY(DN$82,2)&gt;5,0,647.41))*-1</f>
        <v>-647.41</v>
      </c>
      <c r="DO133" s="39">
        <f>(IF(WEEKDAY(DO$82,2)&gt;5,0,594.11))*-1</f>
        <v>-594.11</v>
      </c>
      <c r="DP133" s="39">
        <f>(IF(WEEKDAY(DP$82,2)&gt;5,0,646.56))*-1</f>
        <v>-646.55999999999995</v>
      </c>
      <c r="DQ133" s="39">
        <f>(IF(WEEKDAY(DQ$82,2)&gt;5,0,519.44))*-1</f>
        <v>-519.44000000000005</v>
      </c>
      <c r="DR133" s="39">
        <f>(IF(WEEKDAY(DR$82,2)&gt;5,0,596.77))*-1</f>
        <v>0</v>
      </c>
      <c r="DS133" s="39">
        <f>(IF(WEEKDAY(DS$82,2)&gt;5,0,597.16))*-1</f>
        <v>0</v>
      </c>
      <c r="DT133" s="39">
        <f>(IF(WEEKDAY(DT$82,2)&gt;5,0,538.04))*-1</f>
        <v>-538.04</v>
      </c>
      <c r="DU133" s="39">
        <f>(IF(WEEKDAY(DU$82,2)&gt;5,0,604.41))*-1</f>
        <v>-604.41</v>
      </c>
      <c r="DV133" s="39">
        <f>(IF(WEEKDAY(DV$82,2)&gt;5,0,679.83))*-1</f>
        <v>-679.83</v>
      </c>
      <c r="DW133" s="39">
        <f>(IF(WEEKDAY(DW$82,2)&gt;5,0,556.35))*-1</f>
        <v>-556.35</v>
      </c>
      <c r="DX133" s="39">
        <f>(IF(WEEKDAY(DX$82,2)&gt;5,0,602.84))*-1</f>
        <v>-602.84</v>
      </c>
      <c r="DY133" s="39">
        <f>(IF(WEEKDAY(DY$82,2)&gt;5,0,560.93))*-1</f>
        <v>0</v>
      </c>
      <c r="DZ133" s="39">
        <f>(IF(WEEKDAY(DZ$82,2)&gt;5,0,615.37))*-1</f>
        <v>0</v>
      </c>
      <c r="EA133" s="39">
        <f>(IF(WEEKDAY(EA$82,2)&gt;5,0,539.42))*-1</f>
        <v>-539.41999999999996</v>
      </c>
      <c r="EB133" s="39">
        <f>(IF(WEEKDAY(EB$82,2)&gt;5,0,674.58))*-1</f>
        <v>-674.58</v>
      </c>
      <c r="EC133" s="39">
        <f>(IF(WEEKDAY(EC$82,2)&gt;5,0,610.33))*-1</f>
        <v>-610.33000000000004</v>
      </c>
      <c r="ED133" s="39">
        <f>(IF(WEEKDAY(ED$82,2)&gt;5,0,562.65))*-1</f>
        <v>-562.65</v>
      </c>
      <c r="EE133" s="39">
        <f>(IF(WEEKDAY(EE$82,2)&gt;5,0,517.73))*-1</f>
        <v>-517.73</v>
      </c>
      <c r="EF133" s="39">
        <f>(IF(WEEKDAY(EF$82,2)&gt;5,0,612.83))*-1</f>
        <v>0</v>
      </c>
      <c r="EG133" s="39">
        <f>(IF(WEEKDAY(EG$82,2)&gt;5,0,547.3))*-1</f>
        <v>0</v>
      </c>
      <c r="EH133" s="39">
        <f>(IF(WEEKDAY(EH$82,2)&gt;5,0,638.11))*-1</f>
        <v>-638.11</v>
      </c>
      <c r="EI133" s="39">
        <f>(IF(WEEKDAY(EI$82,2)&gt;5,0,557.15))*-1</f>
        <v>-557.15</v>
      </c>
      <c r="EJ133" s="39">
        <f>(IF(WEEKDAY(EJ$82,2)&gt;5,0,664.06))*-1</f>
        <v>-664.06</v>
      </c>
      <c r="EK133" s="39">
        <f>(IF(WEEKDAY(EK$82,2)&gt;5,0,634.47))*-1</f>
        <v>-634.47</v>
      </c>
      <c r="EL133" s="39">
        <f>(IF(WEEKDAY(EL$82,2)&gt;5,0,608.83))*-1</f>
        <v>-608.83000000000004</v>
      </c>
      <c r="EM133" s="39">
        <f>(IF(WEEKDAY(EM$82,2)&gt;5,0,553.92))*-1</f>
        <v>0</v>
      </c>
      <c r="EN133" s="39">
        <f>(IF(WEEKDAY(EN$82,2)&gt;5,0,625.46))*-1</f>
        <v>0</v>
      </c>
      <c r="EO133" s="39">
        <f>(IF(WEEKDAY(EO$82,2)&gt;5,0,536.9))*-1</f>
        <v>-536.9</v>
      </c>
      <c r="EP133" s="39">
        <f>(IF(WEEKDAY(EP$82,2)&gt;5,0,543.2))*-1</f>
        <v>-543.20000000000005</v>
      </c>
      <c r="EQ133" s="39">
        <f>(IF(WEEKDAY(EQ$82,2)&gt;5,0,548.83))*-1</f>
        <v>-548.83000000000004</v>
      </c>
      <c r="ER133" s="39">
        <f>(IF(WEEKDAY(ER$82,2)&gt;5,0,665.22))*-1</f>
        <v>-665.22</v>
      </c>
      <c r="ES133" s="39">
        <f>(IF(WEEKDAY(ES$82,2)&gt;5,0,678.71))*-1</f>
        <v>-678.71</v>
      </c>
      <c r="ET133" s="39">
        <f>(IF(WEEKDAY(ET$82,2)&gt;5,0,688.8))*-1</f>
        <v>0</v>
      </c>
      <c r="EU133" s="39">
        <f>(IF(WEEKDAY(EU$82,2)&gt;5,0,589.87))*-1</f>
        <v>0</v>
      </c>
      <c r="EV133" s="39">
        <f>(IF(WEEKDAY(EV$82,2)&gt;5,0,542.62))*-1</f>
        <v>-542.62</v>
      </c>
      <c r="EW133" s="39">
        <f>(IF(WEEKDAY(EW$82,2)&gt;5,0,621.42))*-1</f>
        <v>-621.41999999999996</v>
      </c>
      <c r="EX133" s="39">
        <f>(IF(WEEKDAY(EX$82,2)&gt;5,0,644.81))*-1</f>
        <v>-644.80999999999995</v>
      </c>
      <c r="EY133" s="39">
        <f>(IF(WEEKDAY(EY$82,2)&gt;5,0,560.93))*-1</f>
        <v>-560.92999999999995</v>
      </c>
      <c r="EZ133" s="39">
        <f>(IF(WEEKDAY(EZ$82,2)&gt;5,0,588.97))*-1</f>
        <v>-588.97</v>
      </c>
      <c r="FA133" s="39">
        <f>(IF(WEEKDAY(FA$82,2)&gt;5,0,682.81))*-1</f>
        <v>0</v>
      </c>
      <c r="FB133" s="39">
        <f>(IF(WEEKDAY(FB$82,2)&gt;5,0,638.73))*-1</f>
        <v>0</v>
      </c>
      <c r="FC133" s="39">
        <f>(IF(WEEKDAY(FC$82,2)&gt;5,0,525.03))*-1</f>
        <v>-525.03</v>
      </c>
      <c r="FD133" s="39">
        <f>(IF(WEEKDAY(FD$82,2)&gt;5,0,636.51))*-1</f>
        <v>-636.51</v>
      </c>
      <c r="FE133" s="39">
        <f>(IF(WEEKDAY(FE$82,2)&gt;5,0,657.29))*-1</f>
        <v>-657.29</v>
      </c>
      <c r="FF133" s="39">
        <f>(IF(WEEKDAY(FF$82,2)&gt;5,0,517))*-1</f>
        <v>-517</v>
      </c>
      <c r="FG133" s="39">
        <f>(IF(WEEKDAY(FG$82,2)&gt;5,0,516.69))*-1</f>
        <v>-516.69000000000005</v>
      </c>
      <c r="FH133" s="39">
        <f>(IF(WEEKDAY(FH$82,2)&gt;5,0,618.85))*-1</f>
        <v>0</v>
      </c>
      <c r="FI133" s="39">
        <f>(IF(WEEKDAY(FI$82,2)&gt;5,0,669.33))*-1</f>
        <v>0</v>
      </c>
      <c r="FJ133" s="39">
        <f>(IF(WEEKDAY(FJ$82,2)&gt;5,0,517.74))*-1</f>
        <v>-517.74</v>
      </c>
      <c r="FK133" s="39">
        <f>(IF(WEEKDAY(FK$82,2)&gt;5,0,626.62))*-1</f>
        <v>-626.62</v>
      </c>
      <c r="FL133" s="39">
        <f>(IF(WEEKDAY(FL$82,2)&gt;5,0,576.27))*-1</f>
        <v>-576.27</v>
      </c>
      <c r="FM133" s="39">
        <f>(IF(WEEKDAY(FM$82,2)&gt;5,0,601.95))*-1</f>
        <v>-601.95000000000005</v>
      </c>
      <c r="FN133" s="39">
        <f>(IF(WEEKDAY(FN$82,2)&gt;5,0,581.68))*-1</f>
        <v>-581.67999999999995</v>
      </c>
      <c r="FO133" s="39">
        <f>(IF(WEEKDAY(FO$82,2)&gt;5,0,618.58))*-1</f>
        <v>0</v>
      </c>
      <c r="FP133" s="39">
        <f>(IF(WEEKDAY(FP$82,2)&gt;5,0,571.14))*-1</f>
        <v>0</v>
      </c>
      <c r="FQ133" s="39">
        <f>(IF(WEEKDAY(FQ$82,2)&gt;5,0,632.29))*-1</f>
        <v>-632.29</v>
      </c>
      <c r="FR133" s="39">
        <f>(IF(WEEKDAY(FR$82,2)&gt;5,0,635.07))*-1</f>
        <v>-635.07000000000005</v>
      </c>
      <c r="FS133" s="39">
        <f>(IF(WEEKDAY(FS$82,2)&gt;5,0,529.32))*-1</f>
        <v>-529.32000000000005</v>
      </c>
      <c r="FT133" s="39">
        <f>(IF(WEEKDAY(FT$82,2)&gt;5,0,653.51))*-1</f>
        <v>-653.51</v>
      </c>
      <c r="FU133" s="39">
        <f>(IF(WEEKDAY(FU$82,2)&gt;5,0,557.12))*-1</f>
        <v>-557.12</v>
      </c>
      <c r="FV133" s="39">
        <f>(IF(WEEKDAY(FV$82,2)&gt;5,0,641.11))*-1</f>
        <v>0</v>
      </c>
      <c r="FW133" s="39">
        <f>(IF(WEEKDAY(FW$82,2)&gt;5,0,579.77))*-1</f>
        <v>0</v>
      </c>
      <c r="FX133" s="39">
        <f>(IF(WEEKDAY(FX$82,2)&gt;5,0,540.23))*-1</f>
        <v>-540.23</v>
      </c>
      <c r="FY133" s="39">
        <f>(IF(WEEKDAY(FY$82,2)&gt;5,0,534.59))*-1</f>
        <v>-534.59</v>
      </c>
      <c r="FZ133" s="39">
        <f>(IF(WEEKDAY(FZ$82,2)&gt;5,0,681.97))*-1</f>
        <v>-681.97</v>
      </c>
      <c r="GA133" s="39">
        <f>(IF(WEEKDAY(GA$82,2)&gt;5,0,537.77))*-1</f>
        <v>-537.77</v>
      </c>
      <c r="GB133" s="39">
        <f>(IF(WEEKDAY(GB$82,2)&gt;5,0,532.11))*-1</f>
        <v>-532.11</v>
      </c>
      <c r="GC133" s="39">
        <f>(IF(WEEKDAY(GC$82,2)&gt;5,0,665.8))*-1</f>
        <v>0</v>
      </c>
      <c r="GD133" s="39">
        <f>(IF(WEEKDAY(GD$82,2)&gt;5,0,592.9))*-1</f>
        <v>0</v>
      </c>
      <c r="GE133" s="39">
        <f>(IF(WEEKDAY(GE$82,2)&gt;5,0,677.23))*-1</f>
        <v>-677.23</v>
      </c>
      <c r="GF133" s="39">
        <f>(IF(WEEKDAY(GF$82,2)&gt;5,0,591.68))*-1</f>
        <v>-591.67999999999995</v>
      </c>
      <c r="GG133" s="39">
        <f>(IF(WEEKDAY(GG$82,2)&gt;5,0,558.62))*-1</f>
        <v>-558.62</v>
      </c>
      <c r="GH133" s="39">
        <f>(IF(WEEKDAY(GH$82,2)&gt;5,0,574.47))*-1</f>
        <v>-574.47</v>
      </c>
      <c r="GI133" s="39">
        <f>(IF(WEEKDAY(GI$82,2)&gt;5,0,650.81))*-1</f>
        <v>-650.80999999999995</v>
      </c>
      <c r="GJ133" s="39">
        <f>(IF(WEEKDAY(GJ$82,2)&gt;5,0,519.43))*-1</f>
        <v>0</v>
      </c>
      <c r="GK133" s="39">
        <f>(IF(WEEKDAY(GK$82,2)&gt;5,0,571.42))*-1</f>
        <v>0</v>
      </c>
      <c r="GL133" s="39">
        <f>(IF(WEEKDAY(GL$82,2)&gt;5,0,666.03))*-1</f>
        <v>-666.03</v>
      </c>
      <c r="GM133" s="39">
        <f>(IF(WEEKDAY(GM$82,2)&gt;5,0,656.4))*-1</f>
        <v>-656.4</v>
      </c>
      <c r="GN133" s="39">
        <f>(IF(WEEKDAY(GN$82,2)&gt;5,0,632.33))*-1</f>
        <v>-632.33000000000004</v>
      </c>
      <c r="GO133" s="39">
        <f>(IF(WEEKDAY(GO$82,2)&gt;5,0,516.12))*-1</f>
        <v>-516.12</v>
      </c>
      <c r="GP133" s="39">
        <f>(IF(WEEKDAY(GP$82,2)&gt;5,0,522.82))*-1</f>
        <v>-522.82000000000005</v>
      </c>
      <c r="GQ133" s="39">
        <f>(IF(WEEKDAY(GQ$82,2)&gt;5,0,550.35))*-1</f>
        <v>0</v>
      </c>
      <c r="GR133" s="39">
        <f>(IF(WEEKDAY(GR$82,2)&gt;5,0,546.93))*-1</f>
        <v>0</v>
      </c>
      <c r="GS133" s="39">
        <f>(IF(WEEKDAY(GS$82,2)&gt;5,0,542.5))*-1</f>
        <v>-542.5</v>
      </c>
      <c r="GT133" s="39">
        <f>(IF(WEEKDAY(GT$82,2)&gt;5,0,556.01))*-1</f>
        <v>-556.01</v>
      </c>
      <c r="GU133" s="39">
        <f>(IF(WEEKDAY(GU$82,2)&gt;5,0,675.58))*-1</f>
        <v>-675.58</v>
      </c>
      <c r="GV133" s="39">
        <f>(IF(WEEKDAY(GV$82,2)&gt;5,0,587.26))*-1</f>
        <v>-587.26</v>
      </c>
      <c r="GW133" s="39">
        <f>(IF(WEEKDAY(GW$82,2)&gt;5,0,652.53))*-1</f>
        <v>-652.53</v>
      </c>
      <c r="GX133" s="39">
        <f>(IF(WEEKDAY(GX$82,2)&gt;5,0,638.39))*-1</f>
        <v>0</v>
      </c>
      <c r="GY133" s="39">
        <f>(IF(WEEKDAY(GY$82,2)&gt;5,0,538.93))*-1</f>
        <v>0</v>
      </c>
      <c r="GZ133" s="39">
        <f>(IF(WEEKDAY(GZ$82,2)&gt;5,0,639.86))*-1</f>
        <v>-639.86</v>
      </c>
      <c r="HA133" s="39">
        <f>(IF(WEEKDAY(HA$82,2)&gt;5,0,544.73))*-1</f>
        <v>-544.73</v>
      </c>
      <c r="HB133" s="39">
        <f>(IF(WEEKDAY(HB$82,2)&gt;5,0,584.84))*-1</f>
        <v>-584.84</v>
      </c>
      <c r="HC133" s="39">
        <f>(IF(WEEKDAY(HC$82,2)&gt;5,0,677.42))*-1</f>
        <v>-677.42</v>
      </c>
      <c r="HD133" s="39">
        <f>(IF(WEEKDAY(HD$82,2)&gt;5,0,580.94))*-1</f>
        <v>-580.94000000000005</v>
      </c>
      <c r="HE133" s="39">
        <f>(IF(WEEKDAY(HE$82,2)&gt;5,0,601.54))*-1</f>
        <v>0</v>
      </c>
      <c r="HF133" s="39">
        <f>(IF(WEEKDAY(HF$82,2)&gt;5,0,567.2))*-1</f>
        <v>0</v>
      </c>
      <c r="HG133" s="39">
        <f>(IF(WEEKDAY(HG$82,2)&gt;5,0,626.25))*-1</f>
        <v>-626.25</v>
      </c>
      <c r="HH133" s="39">
        <f>(IF(WEEKDAY(HH$82,2)&gt;5,0,523.72))*-1</f>
        <v>-523.72</v>
      </c>
      <c r="HI133" s="39">
        <f>(IF(WEEKDAY(HI$82,2)&gt;5,0,656.68))*-1</f>
        <v>-656.68</v>
      </c>
      <c r="HJ133" s="39">
        <f>(IF(WEEKDAY(HJ$82,2)&gt;5,0,609.6))*-1</f>
        <v>-609.6</v>
      </c>
      <c r="HK133" s="39">
        <f>(IF(WEEKDAY(HK$82,2)&gt;5,0,510.87))*-1</f>
        <v>-510.87</v>
      </c>
      <c r="HL133" s="39">
        <f>(IF(WEEKDAY(HL$82,2)&gt;5,0,532.44))*-1</f>
        <v>0</v>
      </c>
      <c r="HM133" s="39">
        <f>(IF(WEEKDAY(HM$82,2)&gt;5,0,621.19))*-1</f>
        <v>0</v>
      </c>
      <c r="HN133" s="39">
        <f>(IF(WEEKDAY(HN$82,2)&gt;5,0,607.21))*-1</f>
        <v>-607.21</v>
      </c>
      <c r="HO133" s="39">
        <f>(IF(WEEKDAY(HO$82,2)&gt;5,0,537.77))*-1</f>
        <v>-537.77</v>
      </c>
      <c r="HP133" s="39">
        <f>(IF(WEEKDAY(HP$82,2)&gt;5,0,666.89))*-1</f>
        <v>-666.89</v>
      </c>
      <c r="HQ133" s="39">
        <f>(IF(WEEKDAY(HQ$82,2)&gt;5,0,599.14))*-1</f>
        <v>-599.14</v>
      </c>
      <c r="HR133" s="39">
        <f>(IF(WEEKDAY(HR$82,2)&gt;5,0,578))*-1</f>
        <v>-578</v>
      </c>
      <c r="HS133" s="39">
        <f>(IF(WEEKDAY(HS$82,2)&gt;5,0,686.9))*-1</f>
        <v>0</v>
      </c>
      <c r="HT133" s="39">
        <f>(IF(WEEKDAY(HT$82,2)&gt;5,0,530.43))*-1</f>
        <v>0</v>
      </c>
      <c r="HU133" s="39">
        <f>(IF(WEEKDAY(HU$82,2)&gt;5,0,575.42))*-1</f>
        <v>-575.41999999999996</v>
      </c>
      <c r="HV133" s="39">
        <f>(IF(WEEKDAY(HV$82,2)&gt;5,0,643.31))*-1</f>
        <v>-643.30999999999995</v>
      </c>
      <c r="HW133" s="39">
        <f>(IF(WEEKDAY(HW$82,2)&gt;5,0,547.3))*-1</f>
        <v>-547.29999999999995</v>
      </c>
      <c r="HX133" s="39">
        <f>(IF(WEEKDAY(HX$82,2)&gt;5,0,664.26))*-1</f>
        <v>-664.26</v>
      </c>
      <c r="HY133" s="39">
        <f>(IF(WEEKDAY(HY$82,2)&gt;5,0,646.76))*-1</f>
        <v>-646.76</v>
      </c>
      <c r="HZ133" s="39">
        <f>(IF(WEEKDAY(HZ$82,2)&gt;5,0,529.09))*-1</f>
        <v>0</v>
      </c>
      <c r="IA133" s="39">
        <f>(IF(WEEKDAY(IA$82,2)&gt;5,0,662.06))*-1</f>
        <v>0</v>
      </c>
      <c r="IB133" s="39">
        <f>(IF(WEEKDAY(IB$82,2)&gt;5,0,523.28))*-1</f>
        <v>-523.28</v>
      </c>
      <c r="IC133" s="39">
        <f>(IF(WEEKDAY(IC$82,2)&gt;5,0,656.84))*-1</f>
        <v>-656.84</v>
      </c>
      <c r="ID133" s="39">
        <f>(IF(WEEKDAY(ID$82,2)&gt;5,0,578.64))*-1</f>
        <v>-578.64</v>
      </c>
      <c r="IE133" s="39">
        <f>(IF(WEEKDAY(IE$82,2)&gt;5,0,673.32))*-1</f>
        <v>-673.32</v>
      </c>
      <c r="IF133" s="39">
        <f>(IF(WEEKDAY(IF$82,2)&gt;5,0,549.62))*-1</f>
        <v>-549.62</v>
      </c>
      <c r="IG133" s="39">
        <f>(IF(WEEKDAY(IG$82,2)&gt;5,0,525.56))*-1</f>
        <v>0</v>
      </c>
      <c r="IH133" s="39">
        <f>(IF(WEEKDAY(IH$82,2)&gt;5,0,539.14))*-1</f>
        <v>0</v>
      </c>
      <c r="II133" s="39">
        <f>(IF(WEEKDAY(II$82,2)&gt;5,0,573.64))*-1</f>
        <v>-573.64</v>
      </c>
      <c r="IJ133" s="39">
        <f>(IF(WEEKDAY(IJ$82,2)&gt;5,0,593.98))*-1</f>
        <v>-593.98</v>
      </c>
      <c r="IK133" s="39">
        <f>(IF(WEEKDAY(IK$82,2)&gt;5,0,568.96))*-1</f>
        <v>-568.96</v>
      </c>
      <c r="IL133" s="39">
        <f>(IF(WEEKDAY(IL$82,2)&gt;5,0,619.66))*-1</f>
        <v>-619.66</v>
      </c>
    </row>
    <row r="134" spans="1:246" x14ac:dyDescent="0.3">
      <c r="A134" t="s">
        <v>116</v>
      </c>
      <c r="B134" s="39">
        <f>(IF(WEEKDAY(B$82,2)&gt;5,0,96.33))*-1</f>
        <v>-96.33</v>
      </c>
      <c r="C134" s="39">
        <f>(IF(WEEKDAY(C$82,2)&gt;5,0,86.89))*-1</f>
        <v>0</v>
      </c>
      <c r="D134" s="39">
        <f>(IF(WEEKDAY(D$82,2)&gt;5,0,90.7))*-1</f>
        <v>0</v>
      </c>
      <c r="E134" s="39">
        <f>(IF(WEEKDAY(E$82,2)&gt;5,0,107.26))*-1</f>
        <v>-107.26</v>
      </c>
      <c r="F134" s="39">
        <f>(IF(WEEKDAY(F$82,2)&gt;5,0,97.72))*-1</f>
        <v>-97.72</v>
      </c>
      <c r="G134" s="39">
        <f>(IF(WEEKDAY(G$82,2)&gt;5,0,112.75))*-1</f>
        <v>-112.75</v>
      </c>
      <c r="H134" s="39">
        <f>(IF(WEEKDAY(H$82,2)&gt;5,0,104.51))*-1</f>
        <v>-104.51</v>
      </c>
      <c r="I134" s="39">
        <f>(IF(WEEKDAY(I$82,2)&gt;5,0,109.37))*-1</f>
        <v>-109.37</v>
      </c>
      <c r="J134" s="39">
        <f>(IF(WEEKDAY(J$82,2)&gt;5,0,94.84))*-1</f>
        <v>0</v>
      </c>
      <c r="K134" s="39">
        <f>(IF(WEEKDAY(K$82,2)&gt;5,0,101.28))*-1</f>
        <v>0</v>
      </c>
      <c r="L134" s="39">
        <f>(IF(WEEKDAY(L$82,2)&gt;5,0,92.26))*-1</f>
        <v>-92.26</v>
      </c>
      <c r="M134" s="39">
        <f>(IF(WEEKDAY(M$82,2)&gt;5,0,101.83))*-1</f>
        <v>-101.83</v>
      </c>
      <c r="N134" s="39">
        <f>(IF(WEEKDAY(N$82,2)&gt;5,0,90.94))*-1</f>
        <v>-90.94</v>
      </c>
      <c r="O134" s="39">
        <f>(IF(WEEKDAY(O$82,2)&gt;5,0,105.69))*-1</f>
        <v>-105.69</v>
      </c>
      <c r="P134" s="39">
        <f>(IF(WEEKDAY(P$82,2)&gt;5,0,91.29))*-1</f>
        <v>-91.29</v>
      </c>
      <c r="Q134" s="39">
        <f>(IF(WEEKDAY(Q$82,2)&gt;5,0,89.7))*-1</f>
        <v>0</v>
      </c>
      <c r="R134" s="39">
        <f>(IF(WEEKDAY(R$82,2)&gt;5,0,99.29))*-1</f>
        <v>0</v>
      </c>
      <c r="S134" s="39">
        <f>(IF(WEEKDAY(S$82,2)&gt;5,0,110.46))*-1</f>
        <v>-110.46</v>
      </c>
      <c r="T134" s="39">
        <f>(IF(WEEKDAY(T$82,2)&gt;5,0,107.95))*-1</f>
        <v>-107.95</v>
      </c>
      <c r="U134" s="39">
        <f>(IF(WEEKDAY(U$82,2)&gt;5,0,89.7))*-1</f>
        <v>-89.7</v>
      </c>
      <c r="V134" s="39">
        <f>(IF(WEEKDAY(V$82,2)&gt;5,0,85.79))*-1</f>
        <v>-85.79</v>
      </c>
      <c r="W134" s="39">
        <f>(IF(WEEKDAY(W$82,2)&gt;5,0,108.49))*-1</f>
        <v>-108.49</v>
      </c>
      <c r="X134" s="39">
        <f>(IF(WEEKDAY(X$82,2)&gt;5,0,90.47))*-1</f>
        <v>0</v>
      </c>
      <c r="Y134" s="39">
        <f>(IF(WEEKDAY(Y$82,2)&gt;5,0,102.52))*-1</f>
        <v>0</v>
      </c>
      <c r="Z134" s="39">
        <f>(IF(WEEKDAY(Z$82,2)&gt;5,0,113.57))*-1</f>
        <v>-113.57</v>
      </c>
      <c r="AA134" s="39">
        <f>(IF(WEEKDAY(AA$82,2)&gt;5,0,102.28))*-1</f>
        <v>-102.28</v>
      </c>
      <c r="AB134" s="39">
        <f>(IF(WEEKDAY(AB$82,2)&gt;5,0,97.15))*-1</f>
        <v>-97.15</v>
      </c>
      <c r="AC134" s="39">
        <f>(IF(WEEKDAY(AC$82,2)&gt;5,0,104.06))*-1</f>
        <v>-104.06</v>
      </c>
      <c r="AD134" s="39">
        <f>(IF(WEEKDAY(AD$82,2)&gt;5,0,99.64))*-1</f>
        <v>-99.64</v>
      </c>
      <c r="AE134" s="39">
        <f>(IF(WEEKDAY(AE$82,2)&gt;5,0,90.56))*-1</f>
        <v>0</v>
      </c>
      <c r="AF134" s="39">
        <f>(IF(WEEKDAY(AF$82,2)&gt;5,0,96.54))*-1</f>
        <v>0</v>
      </c>
      <c r="AG134" s="39">
        <f>(IF(WEEKDAY(AG$82,2)&gt;5,0,94.47))*-1</f>
        <v>-94.47</v>
      </c>
      <c r="AH134" s="39">
        <f>(IF(WEEKDAY(AH$82,2)&gt;5,0,100.12))*-1</f>
        <v>-100.12</v>
      </c>
      <c r="AI134" s="39">
        <f>(IF(WEEKDAY(AI$82,2)&gt;5,0,104.36))*-1</f>
        <v>-104.36</v>
      </c>
      <c r="AJ134" s="39">
        <f>(IF(WEEKDAY(AJ$82,2)&gt;5,0,111.59))*-1</f>
        <v>-111.59</v>
      </c>
      <c r="AK134" s="39">
        <f>(IF(WEEKDAY(AK$82,2)&gt;5,0,85.88))*-1</f>
        <v>-85.88</v>
      </c>
      <c r="AL134" s="39">
        <f>(IF(WEEKDAY(AL$82,2)&gt;5,0,91.21))*-1</f>
        <v>0</v>
      </c>
      <c r="AM134" s="39">
        <f>(IF(WEEKDAY(AM$82,2)&gt;5,0,100.2))*-1</f>
        <v>0</v>
      </c>
      <c r="AN134" s="39">
        <f>(IF(WEEKDAY(AN$82,2)&gt;5,0,90.88))*-1</f>
        <v>-90.88</v>
      </c>
      <c r="AO134" s="39">
        <f>(IF(WEEKDAY(AO$82,2)&gt;5,0,111.07))*-1</f>
        <v>-111.07</v>
      </c>
      <c r="AP134" s="39">
        <f>(IF(WEEKDAY(AP$82,2)&gt;5,0,90.4))*-1</f>
        <v>-90.4</v>
      </c>
      <c r="AQ134" s="39">
        <f>(IF(WEEKDAY(AQ$82,2)&gt;5,0,85.3))*-1</f>
        <v>-85.3</v>
      </c>
      <c r="AR134" s="39">
        <f>(IF(WEEKDAY(AR$82,2)&gt;5,0,85.65))*-1</f>
        <v>-85.65</v>
      </c>
      <c r="AS134" s="39">
        <f>(IF(WEEKDAY(AS$82,2)&gt;5,0,102.44))*-1</f>
        <v>0</v>
      </c>
      <c r="AT134" s="39">
        <f>(IF(WEEKDAY(AT$82,2)&gt;5,0,91.5))*-1</f>
        <v>0</v>
      </c>
      <c r="AU134" s="39">
        <f>(IF(WEEKDAY(AU$82,2)&gt;5,0,94.64))*-1</f>
        <v>-94.64</v>
      </c>
      <c r="AV134" s="39">
        <f>(IF(WEEKDAY(AV$82,2)&gt;5,0,101.59))*-1</f>
        <v>-101.59</v>
      </c>
      <c r="AW134" s="39">
        <f>(IF(WEEKDAY(AW$82,2)&gt;5,0,95.41))*-1</f>
        <v>-95.41</v>
      </c>
      <c r="AX134" s="39">
        <f>(IF(WEEKDAY(AX$82,2)&gt;5,0,110.89))*-1</f>
        <v>-110.89</v>
      </c>
      <c r="AY134" s="39">
        <f>(IF(WEEKDAY(AY$82,2)&gt;5,0,90.51))*-1</f>
        <v>-90.51</v>
      </c>
      <c r="AZ134" s="39">
        <f>(IF(WEEKDAY(AZ$82,2)&gt;5,0,86.95))*-1</f>
        <v>0</v>
      </c>
      <c r="BA134" s="39">
        <f>(IF(WEEKDAY(BA$82,2)&gt;5,0,101.5))*-1</f>
        <v>0</v>
      </c>
      <c r="BB134" s="39">
        <f>(IF(WEEKDAY(BB$82,2)&gt;5,0,113.14))*-1</f>
        <v>-113.14</v>
      </c>
      <c r="BC134" s="39">
        <f>(IF(WEEKDAY(BC$82,2)&gt;5,0,96.68))*-1</f>
        <v>-96.68</v>
      </c>
      <c r="BD134" s="39">
        <f>(IF(WEEKDAY(BD$82,2)&gt;5,0,106.6))*-1</f>
        <v>-106.6</v>
      </c>
      <c r="BE134" s="39">
        <f>(IF(WEEKDAY(BE$82,2)&gt;5,0,100.84))*-1</f>
        <v>-100.84</v>
      </c>
      <c r="BF134" s="39">
        <f>(IF(WEEKDAY(BF$82,2)&gt;5,0,90.59))*-1</f>
        <v>-90.59</v>
      </c>
      <c r="BG134" s="39">
        <f>(IF(WEEKDAY(BG$82,2)&gt;5,0,100.66))*-1</f>
        <v>0</v>
      </c>
      <c r="BH134" s="39">
        <f>(IF(WEEKDAY(BH$82,2)&gt;5,0,101.06))*-1</f>
        <v>0</v>
      </c>
      <c r="BI134" s="39">
        <f>(IF(WEEKDAY(BI$82,2)&gt;5,0,107.94))*-1</f>
        <v>-107.94</v>
      </c>
      <c r="BJ134" s="39">
        <f>(IF(WEEKDAY(BJ$82,2)&gt;5,0,103.99))*-1</f>
        <v>-103.99</v>
      </c>
      <c r="BK134" s="39">
        <f>(IF(WEEKDAY(BK$82,2)&gt;5,0,99.66))*-1</f>
        <v>-99.66</v>
      </c>
      <c r="BL134" s="39">
        <f>(IF(WEEKDAY(BL$82,2)&gt;5,0,107.32))*-1</f>
        <v>-107.32</v>
      </c>
      <c r="BM134" s="39">
        <f>(IF(WEEKDAY(BM$82,2)&gt;5,0,95.01))*-1</f>
        <v>-95.01</v>
      </c>
      <c r="BN134" s="39">
        <f>(IF(WEEKDAY(BN$82,2)&gt;5,0,90.15))*-1</f>
        <v>0</v>
      </c>
      <c r="BO134" s="39">
        <f>(IF(WEEKDAY(BO$82,2)&gt;5,0,88.12))*-1</f>
        <v>0</v>
      </c>
      <c r="BP134" s="39">
        <f>(IF(WEEKDAY(BP$82,2)&gt;5,0,110.95))*-1</f>
        <v>-110.95</v>
      </c>
      <c r="BQ134" s="39">
        <f>(IF(WEEKDAY(BQ$82,2)&gt;5,0,89.41))*-1</f>
        <v>-89.41</v>
      </c>
      <c r="BR134" s="39">
        <f>(IF(WEEKDAY(BR$82,2)&gt;5,0,93.2))*-1</f>
        <v>-93.2</v>
      </c>
      <c r="BS134" s="39">
        <f>(IF(WEEKDAY(BS$82,2)&gt;5,0,104.3))*-1</f>
        <v>-104.3</v>
      </c>
      <c r="BT134" s="39">
        <f>(IF(WEEKDAY(BT$82,2)&gt;5,0,110.64))*-1</f>
        <v>-110.64</v>
      </c>
      <c r="BU134" s="39">
        <f>(IF(WEEKDAY(BU$82,2)&gt;5,0,86.3))*-1</f>
        <v>0</v>
      </c>
      <c r="BV134" s="39">
        <f>(IF(WEEKDAY(BV$82,2)&gt;5,0,109.76))*-1</f>
        <v>0</v>
      </c>
      <c r="BW134" s="39">
        <f>(IF(WEEKDAY(BW$82,2)&gt;5,0,104.75))*-1</f>
        <v>-104.75</v>
      </c>
      <c r="BX134" s="39">
        <f>(IF(WEEKDAY(BX$82,2)&gt;5,0,94.36))*-1</f>
        <v>-94.36</v>
      </c>
      <c r="BY134" s="39">
        <f>(IF(WEEKDAY(BY$82,2)&gt;5,0,113.96))*-1</f>
        <v>-113.96</v>
      </c>
      <c r="BZ134" s="39">
        <f>(IF(WEEKDAY(BZ$82,2)&gt;5,0,89.77))*-1</f>
        <v>-89.77</v>
      </c>
      <c r="CA134" s="39">
        <f>(IF(WEEKDAY(CA$82,2)&gt;5,0,109.66))*-1</f>
        <v>-109.66</v>
      </c>
      <c r="CB134" s="39">
        <f>(IF(WEEKDAY(CB$82,2)&gt;5,0,112.54))*-1</f>
        <v>0</v>
      </c>
      <c r="CC134" s="39">
        <f>(IF(WEEKDAY(CC$82,2)&gt;5,0,112.33))*-1</f>
        <v>0</v>
      </c>
      <c r="CD134" s="39">
        <f>(IF(WEEKDAY(CD$82,2)&gt;5,0,98.64))*-1</f>
        <v>-98.64</v>
      </c>
      <c r="CE134" s="39">
        <f>(IF(WEEKDAY(CE$82,2)&gt;5,0,112.22))*-1</f>
        <v>-112.22</v>
      </c>
      <c r="CF134" s="39">
        <f>(IF(WEEKDAY(CF$82,2)&gt;5,0,103.53))*-1</f>
        <v>-103.53</v>
      </c>
      <c r="CG134" s="39">
        <f>(IF(WEEKDAY(CG$82,2)&gt;5,0,95.49))*-1</f>
        <v>-95.49</v>
      </c>
      <c r="CH134" s="39">
        <f>(IF(WEEKDAY(CH$82,2)&gt;5,0,107.39))*-1</f>
        <v>-107.39</v>
      </c>
      <c r="CI134" s="39">
        <f>(IF(WEEKDAY(CI$82,2)&gt;5,0,102.25))*-1</f>
        <v>0</v>
      </c>
      <c r="CJ134" s="39">
        <f>(IF(WEEKDAY(CJ$82,2)&gt;5,0,91.9))*-1</f>
        <v>0</v>
      </c>
      <c r="CK134" s="39">
        <f>(IF(WEEKDAY(CK$82,2)&gt;5,0,97.68))*-1</f>
        <v>-97.68</v>
      </c>
      <c r="CL134" s="39">
        <f>(IF(WEEKDAY(CL$82,2)&gt;5,0,87.56))*-1</f>
        <v>-87.56</v>
      </c>
      <c r="CM134" s="39">
        <f>(IF(WEEKDAY(CM$82,2)&gt;5,0,114.27))*-1</f>
        <v>-114.27</v>
      </c>
      <c r="CN134" s="39">
        <f>(IF(WEEKDAY(CN$82,2)&gt;5,0,95.49))*-1</f>
        <v>-95.49</v>
      </c>
      <c r="CO134" s="39">
        <f>(IF(WEEKDAY(CO$82,2)&gt;5,0,112.06))*-1</f>
        <v>-112.06</v>
      </c>
      <c r="CP134" s="39">
        <f>(IF(WEEKDAY(CP$82,2)&gt;5,0,108.56))*-1</f>
        <v>0</v>
      </c>
      <c r="CQ134" s="39">
        <f>(IF(WEEKDAY(CQ$82,2)&gt;5,0,114.24))*-1</f>
        <v>0</v>
      </c>
      <c r="CR134" s="39">
        <f>(IF(WEEKDAY(CR$82,2)&gt;5,0,87.55))*-1</f>
        <v>-87.55</v>
      </c>
      <c r="CS134" s="39">
        <f>(IF(WEEKDAY(CS$82,2)&gt;5,0,85.48))*-1</f>
        <v>-85.48</v>
      </c>
      <c r="CT134" s="39">
        <f>(IF(WEEKDAY(CT$82,2)&gt;5,0,101.95))*-1</f>
        <v>-101.95</v>
      </c>
      <c r="CU134" s="39">
        <f>(IF(WEEKDAY(CU$82,2)&gt;5,0,86.65))*-1</f>
        <v>-86.65</v>
      </c>
      <c r="CV134" s="39">
        <f>(IF(WEEKDAY(CV$82,2)&gt;5,0,99.86))*-1</f>
        <v>-99.86</v>
      </c>
      <c r="CW134" s="39">
        <f>(IF(WEEKDAY(CW$82,2)&gt;5,0,105.19))*-1</f>
        <v>0</v>
      </c>
      <c r="CX134" s="39">
        <f>(IF(WEEKDAY(CX$82,2)&gt;5,0,96.68))*-1</f>
        <v>0</v>
      </c>
      <c r="CY134" s="39">
        <f>(IF(WEEKDAY(CY$82,2)&gt;5,0,100.95))*-1</f>
        <v>-100.95</v>
      </c>
      <c r="CZ134" s="39">
        <f>(IF(WEEKDAY(CZ$82,2)&gt;5,0,104.66))*-1</f>
        <v>-104.66</v>
      </c>
      <c r="DA134" s="39">
        <f>(IF(WEEKDAY(DA$82,2)&gt;5,0,108.8))*-1</f>
        <v>-108.8</v>
      </c>
      <c r="DB134" s="39">
        <f>(IF(WEEKDAY(DB$82,2)&gt;5,0,94.2))*-1</f>
        <v>-94.2</v>
      </c>
      <c r="DC134" s="39">
        <f>(IF(WEEKDAY(DC$82,2)&gt;5,0,95.83))*-1</f>
        <v>-95.83</v>
      </c>
      <c r="DD134" s="39">
        <f>(IF(WEEKDAY(DD$82,2)&gt;5,0,112.12))*-1</f>
        <v>0</v>
      </c>
      <c r="DE134" s="39">
        <f>(IF(WEEKDAY(DE$82,2)&gt;5,0,107.33))*-1</f>
        <v>0</v>
      </c>
      <c r="DF134" s="39">
        <f>(IF(WEEKDAY(DF$82,2)&gt;5,0,111.13))*-1</f>
        <v>-111.13</v>
      </c>
      <c r="DG134" s="39">
        <f>(IF(WEEKDAY(DG$82,2)&gt;5,0,100.33))*-1</f>
        <v>-100.33</v>
      </c>
      <c r="DH134" s="39">
        <f>(IF(WEEKDAY(DH$82,2)&gt;5,0,107.87))*-1</f>
        <v>-107.87</v>
      </c>
      <c r="DI134" s="39">
        <f>(IF(WEEKDAY(DI$82,2)&gt;5,0,102.95))*-1</f>
        <v>-102.95</v>
      </c>
      <c r="DJ134" s="39">
        <f>(IF(WEEKDAY(DJ$82,2)&gt;5,0,96.29))*-1</f>
        <v>-96.29</v>
      </c>
      <c r="DK134" s="39">
        <f>(IF(WEEKDAY(DK$82,2)&gt;5,0,105.39))*-1</f>
        <v>0</v>
      </c>
      <c r="DL134" s="39">
        <f>(IF(WEEKDAY(DL$82,2)&gt;5,0,86.3))*-1</f>
        <v>0</v>
      </c>
      <c r="DM134" s="39">
        <f>(IF(WEEKDAY(DM$82,2)&gt;5,0,90.86))*-1</f>
        <v>-90.86</v>
      </c>
      <c r="DN134" s="39">
        <f>(IF(WEEKDAY(DN$82,2)&gt;5,0,88.58))*-1</f>
        <v>-88.58</v>
      </c>
      <c r="DO134" s="39">
        <f>(IF(WEEKDAY(DO$82,2)&gt;5,0,95.34))*-1</f>
        <v>-95.34</v>
      </c>
      <c r="DP134" s="39">
        <f>(IF(WEEKDAY(DP$82,2)&gt;5,0,108.38))*-1</f>
        <v>-108.38</v>
      </c>
      <c r="DQ134" s="39">
        <f>(IF(WEEKDAY(DQ$82,2)&gt;5,0,99.4))*-1</f>
        <v>-99.4</v>
      </c>
      <c r="DR134" s="39">
        <f>(IF(WEEKDAY(DR$82,2)&gt;5,0,105.21))*-1</f>
        <v>0</v>
      </c>
      <c r="DS134" s="39">
        <f>(IF(WEEKDAY(DS$82,2)&gt;5,0,88.36))*-1</f>
        <v>0</v>
      </c>
      <c r="DT134" s="39">
        <f>(IF(WEEKDAY(DT$82,2)&gt;5,0,85.96))*-1</f>
        <v>-85.96</v>
      </c>
      <c r="DU134" s="39">
        <f>(IF(WEEKDAY(DU$82,2)&gt;5,0,85.03))*-1</f>
        <v>-85.03</v>
      </c>
      <c r="DV134" s="39">
        <f>(IF(WEEKDAY(DV$82,2)&gt;5,0,86.8))*-1</f>
        <v>-86.8</v>
      </c>
      <c r="DW134" s="39">
        <f>(IF(WEEKDAY(DW$82,2)&gt;5,0,108.22))*-1</f>
        <v>-108.22</v>
      </c>
      <c r="DX134" s="39">
        <f>(IF(WEEKDAY(DX$82,2)&gt;5,0,111.86))*-1</f>
        <v>-111.86</v>
      </c>
      <c r="DY134" s="39">
        <f>(IF(WEEKDAY(DY$82,2)&gt;5,0,108.72))*-1</f>
        <v>0</v>
      </c>
      <c r="DZ134" s="39">
        <f>(IF(WEEKDAY(DZ$82,2)&gt;5,0,98.35))*-1</f>
        <v>0</v>
      </c>
      <c r="EA134" s="39">
        <f>(IF(WEEKDAY(EA$82,2)&gt;5,0,108.44))*-1</f>
        <v>-108.44</v>
      </c>
      <c r="EB134" s="39">
        <f>(IF(WEEKDAY(EB$82,2)&gt;5,0,105.39))*-1</f>
        <v>-105.39</v>
      </c>
      <c r="EC134" s="39">
        <f>(IF(WEEKDAY(EC$82,2)&gt;5,0,100.09))*-1</f>
        <v>-100.09</v>
      </c>
      <c r="ED134" s="39">
        <f>(IF(WEEKDAY(ED$82,2)&gt;5,0,104.63))*-1</f>
        <v>-104.63</v>
      </c>
      <c r="EE134" s="39">
        <f>(IF(WEEKDAY(EE$82,2)&gt;5,0,107.5))*-1</f>
        <v>-107.5</v>
      </c>
      <c r="EF134" s="39">
        <f>(IF(WEEKDAY(EF$82,2)&gt;5,0,103.91))*-1</f>
        <v>0</v>
      </c>
      <c r="EG134" s="39">
        <f>(IF(WEEKDAY(EG$82,2)&gt;5,0,93.21))*-1</f>
        <v>0</v>
      </c>
      <c r="EH134" s="39">
        <f>(IF(WEEKDAY(EH$82,2)&gt;5,0,112.63))*-1</f>
        <v>-112.63</v>
      </c>
      <c r="EI134" s="39">
        <f>(IF(WEEKDAY(EI$82,2)&gt;5,0,107.52))*-1</f>
        <v>-107.52</v>
      </c>
      <c r="EJ134" s="39">
        <f>(IF(WEEKDAY(EJ$82,2)&gt;5,0,100.41))*-1</f>
        <v>-100.41</v>
      </c>
      <c r="EK134" s="39">
        <f>(IF(WEEKDAY(EK$82,2)&gt;5,0,100.89))*-1</f>
        <v>-100.89</v>
      </c>
      <c r="EL134" s="39">
        <f>(IF(WEEKDAY(EL$82,2)&gt;5,0,112.97))*-1</f>
        <v>-112.97</v>
      </c>
      <c r="EM134" s="39">
        <f>(IF(WEEKDAY(EM$82,2)&gt;5,0,92.87))*-1</f>
        <v>0</v>
      </c>
      <c r="EN134" s="39">
        <f>(IF(WEEKDAY(EN$82,2)&gt;5,0,104.4))*-1</f>
        <v>0</v>
      </c>
      <c r="EO134" s="39">
        <f>(IF(WEEKDAY(EO$82,2)&gt;5,0,109.29))*-1</f>
        <v>-109.29</v>
      </c>
      <c r="EP134" s="39">
        <f>(IF(WEEKDAY(EP$82,2)&gt;5,0,85.41))*-1</f>
        <v>-85.41</v>
      </c>
      <c r="EQ134" s="39">
        <f>(IF(WEEKDAY(EQ$82,2)&gt;5,0,104.96))*-1</f>
        <v>-104.96</v>
      </c>
      <c r="ER134" s="39">
        <f>(IF(WEEKDAY(ER$82,2)&gt;5,0,101.16))*-1</f>
        <v>-101.16</v>
      </c>
      <c r="ES134" s="39">
        <f>(IF(WEEKDAY(ES$82,2)&gt;5,0,87.9))*-1</f>
        <v>-87.9</v>
      </c>
      <c r="ET134" s="39">
        <f>(IF(WEEKDAY(ET$82,2)&gt;5,0,96.89))*-1</f>
        <v>0</v>
      </c>
      <c r="EU134" s="39">
        <f>(IF(WEEKDAY(EU$82,2)&gt;5,0,110.19))*-1</f>
        <v>0</v>
      </c>
      <c r="EV134" s="39">
        <f>(IF(WEEKDAY(EV$82,2)&gt;5,0,108.06))*-1</f>
        <v>-108.06</v>
      </c>
      <c r="EW134" s="39">
        <f>(IF(WEEKDAY(EW$82,2)&gt;5,0,89.18))*-1</f>
        <v>-89.18</v>
      </c>
      <c r="EX134" s="39">
        <f>(IF(WEEKDAY(EX$82,2)&gt;5,0,103.13))*-1</f>
        <v>-103.13</v>
      </c>
      <c r="EY134" s="39">
        <f>(IF(WEEKDAY(EY$82,2)&gt;5,0,105.58))*-1</f>
        <v>-105.58</v>
      </c>
      <c r="EZ134" s="39">
        <f>(IF(WEEKDAY(EZ$82,2)&gt;5,0,105.17))*-1</f>
        <v>-105.17</v>
      </c>
      <c r="FA134" s="39">
        <f>(IF(WEEKDAY(FA$82,2)&gt;5,0,100.44))*-1</f>
        <v>0</v>
      </c>
      <c r="FB134" s="39">
        <f>(IF(WEEKDAY(FB$82,2)&gt;5,0,103.3))*-1</f>
        <v>0</v>
      </c>
      <c r="FC134" s="39">
        <f>(IF(WEEKDAY(FC$82,2)&gt;5,0,109.73))*-1</f>
        <v>-109.73</v>
      </c>
      <c r="FD134" s="39">
        <f>(IF(WEEKDAY(FD$82,2)&gt;5,0,85.87))*-1</f>
        <v>-85.87</v>
      </c>
      <c r="FE134" s="39">
        <f>(IF(WEEKDAY(FE$82,2)&gt;5,0,92.87))*-1</f>
        <v>-92.87</v>
      </c>
      <c r="FF134" s="39">
        <f>(IF(WEEKDAY(FF$82,2)&gt;5,0,112.66))*-1</f>
        <v>-112.66</v>
      </c>
      <c r="FG134" s="39">
        <f>(IF(WEEKDAY(FG$82,2)&gt;5,0,94.11))*-1</f>
        <v>-94.11</v>
      </c>
      <c r="FH134" s="39">
        <f>(IF(WEEKDAY(FH$82,2)&gt;5,0,90.58))*-1</f>
        <v>0</v>
      </c>
      <c r="FI134" s="39">
        <f>(IF(WEEKDAY(FI$82,2)&gt;5,0,90.92))*-1</f>
        <v>0</v>
      </c>
      <c r="FJ134" s="39">
        <f>(IF(WEEKDAY(FJ$82,2)&gt;5,0,89.26))*-1</f>
        <v>-89.26</v>
      </c>
      <c r="FK134" s="39">
        <f>(IF(WEEKDAY(FK$82,2)&gt;5,0,95.97))*-1</f>
        <v>-95.97</v>
      </c>
      <c r="FL134" s="39">
        <f>(IF(WEEKDAY(FL$82,2)&gt;5,0,91.27))*-1</f>
        <v>-91.27</v>
      </c>
      <c r="FM134" s="39">
        <f>(IF(WEEKDAY(FM$82,2)&gt;5,0,96.46))*-1</f>
        <v>-96.46</v>
      </c>
      <c r="FN134" s="39">
        <f>(IF(WEEKDAY(FN$82,2)&gt;5,0,85.85))*-1</f>
        <v>-85.85</v>
      </c>
      <c r="FO134" s="39">
        <f>(IF(WEEKDAY(FO$82,2)&gt;5,0,98.49))*-1</f>
        <v>0</v>
      </c>
      <c r="FP134" s="39">
        <f>(IF(WEEKDAY(FP$82,2)&gt;5,0,100.64))*-1</f>
        <v>0</v>
      </c>
      <c r="FQ134" s="39">
        <f>(IF(WEEKDAY(FQ$82,2)&gt;5,0,105.63))*-1</f>
        <v>-105.63</v>
      </c>
      <c r="FR134" s="39">
        <f>(IF(WEEKDAY(FR$82,2)&gt;5,0,102.67))*-1</f>
        <v>-102.67</v>
      </c>
      <c r="FS134" s="39">
        <f>(IF(WEEKDAY(FS$82,2)&gt;5,0,99.11))*-1</f>
        <v>-99.11</v>
      </c>
      <c r="FT134" s="39">
        <f>(IF(WEEKDAY(FT$82,2)&gt;5,0,105.22))*-1</f>
        <v>-105.22</v>
      </c>
      <c r="FU134" s="39">
        <f>(IF(WEEKDAY(FU$82,2)&gt;5,0,108.61))*-1</f>
        <v>-108.61</v>
      </c>
      <c r="FV134" s="39">
        <f>(IF(WEEKDAY(FV$82,2)&gt;5,0,86))*-1</f>
        <v>0</v>
      </c>
      <c r="FW134" s="39">
        <f>(IF(WEEKDAY(FW$82,2)&gt;5,0,101.82))*-1</f>
        <v>0</v>
      </c>
      <c r="FX134" s="39">
        <f>(IF(WEEKDAY(FX$82,2)&gt;5,0,98.46))*-1</f>
        <v>-98.46</v>
      </c>
      <c r="FY134" s="39">
        <f>(IF(WEEKDAY(FY$82,2)&gt;5,0,97.43))*-1</f>
        <v>-97.43</v>
      </c>
      <c r="FZ134" s="39">
        <f>(IF(WEEKDAY(FZ$82,2)&gt;5,0,88.28))*-1</f>
        <v>-88.28</v>
      </c>
      <c r="GA134" s="39">
        <f>(IF(WEEKDAY(GA$82,2)&gt;5,0,103.59))*-1</f>
        <v>-103.59</v>
      </c>
      <c r="GB134" s="39">
        <f>(IF(WEEKDAY(GB$82,2)&gt;5,0,109.29))*-1</f>
        <v>-109.29</v>
      </c>
      <c r="GC134" s="39">
        <f>(IF(WEEKDAY(GC$82,2)&gt;5,0,99.26))*-1</f>
        <v>0</v>
      </c>
      <c r="GD134" s="39">
        <f>(IF(WEEKDAY(GD$82,2)&gt;5,0,91.62))*-1</f>
        <v>0</v>
      </c>
      <c r="GE134" s="39">
        <f>(IF(WEEKDAY(GE$82,2)&gt;5,0,110.54))*-1</f>
        <v>-110.54</v>
      </c>
      <c r="GF134" s="39">
        <f>(IF(WEEKDAY(GF$82,2)&gt;5,0,97.43))*-1</f>
        <v>-97.43</v>
      </c>
      <c r="GG134" s="39">
        <f>(IF(WEEKDAY(GG$82,2)&gt;5,0,106.22))*-1</f>
        <v>-106.22</v>
      </c>
      <c r="GH134" s="39">
        <f>(IF(WEEKDAY(GH$82,2)&gt;5,0,91.55))*-1</f>
        <v>-91.55</v>
      </c>
      <c r="GI134" s="39">
        <f>(IF(WEEKDAY(GI$82,2)&gt;5,0,91.55))*-1</f>
        <v>-91.55</v>
      </c>
      <c r="GJ134" s="39">
        <f>(IF(WEEKDAY(GJ$82,2)&gt;5,0,107.54))*-1</f>
        <v>0</v>
      </c>
      <c r="GK134" s="39">
        <f>(IF(WEEKDAY(GK$82,2)&gt;5,0,100.12))*-1</f>
        <v>0</v>
      </c>
      <c r="GL134" s="39">
        <f>(IF(WEEKDAY(GL$82,2)&gt;5,0,92.65))*-1</f>
        <v>-92.65</v>
      </c>
      <c r="GM134" s="39">
        <f>(IF(WEEKDAY(GM$82,2)&gt;5,0,109.12))*-1</f>
        <v>-109.12</v>
      </c>
      <c r="GN134" s="39">
        <f>(IF(WEEKDAY(GN$82,2)&gt;5,0,114.63))*-1</f>
        <v>-114.63</v>
      </c>
      <c r="GO134" s="39">
        <f>(IF(WEEKDAY(GO$82,2)&gt;5,0,89.02))*-1</f>
        <v>-89.02</v>
      </c>
      <c r="GP134" s="39">
        <f>(IF(WEEKDAY(GP$82,2)&gt;5,0,111.72))*-1</f>
        <v>-111.72</v>
      </c>
      <c r="GQ134" s="39">
        <f>(IF(WEEKDAY(GQ$82,2)&gt;5,0,88.14))*-1</f>
        <v>0</v>
      </c>
      <c r="GR134" s="39">
        <f>(IF(WEEKDAY(GR$82,2)&gt;5,0,105.83))*-1</f>
        <v>0</v>
      </c>
      <c r="GS134" s="39">
        <f>(IF(WEEKDAY(GS$82,2)&gt;5,0,103.83))*-1</f>
        <v>-103.83</v>
      </c>
      <c r="GT134" s="39">
        <f>(IF(WEEKDAY(GT$82,2)&gt;5,0,106.56))*-1</f>
        <v>-106.56</v>
      </c>
      <c r="GU134" s="39">
        <f>(IF(WEEKDAY(GU$82,2)&gt;5,0,91.82))*-1</f>
        <v>-91.82</v>
      </c>
      <c r="GV134" s="39">
        <f>(IF(WEEKDAY(GV$82,2)&gt;5,0,98.06))*-1</f>
        <v>-98.06</v>
      </c>
      <c r="GW134" s="39">
        <f>(IF(WEEKDAY(GW$82,2)&gt;5,0,92.5))*-1</f>
        <v>-92.5</v>
      </c>
      <c r="GX134" s="39">
        <f>(IF(WEEKDAY(GX$82,2)&gt;5,0,105.4))*-1</f>
        <v>0</v>
      </c>
      <c r="GY134" s="39">
        <f>(IF(WEEKDAY(GY$82,2)&gt;5,0,91.15))*-1</f>
        <v>0</v>
      </c>
      <c r="GZ134" s="39">
        <f>(IF(WEEKDAY(GZ$82,2)&gt;5,0,108.88))*-1</f>
        <v>-108.88</v>
      </c>
      <c r="HA134" s="39">
        <f>(IF(WEEKDAY(HA$82,2)&gt;5,0,108.04))*-1</f>
        <v>-108.04</v>
      </c>
      <c r="HB134" s="39">
        <f>(IF(WEEKDAY(HB$82,2)&gt;5,0,98.71))*-1</f>
        <v>-98.71</v>
      </c>
      <c r="HC134" s="39">
        <f>(IF(WEEKDAY(HC$82,2)&gt;5,0,94.6))*-1</f>
        <v>-94.6</v>
      </c>
      <c r="HD134" s="39">
        <f>(IF(WEEKDAY(HD$82,2)&gt;5,0,109.5))*-1</f>
        <v>-109.5</v>
      </c>
      <c r="HE134" s="39">
        <f>(IF(WEEKDAY(HE$82,2)&gt;5,0,95.2))*-1</f>
        <v>0</v>
      </c>
      <c r="HF134" s="39">
        <f>(IF(WEEKDAY(HF$82,2)&gt;5,0,102.19))*-1</f>
        <v>0</v>
      </c>
      <c r="HG134" s="39">
        <f>(IF(WEEKDAY(HG$82,2)&gt;5,0,112.82))*-1</f>
        <v>-112.82</v>
      </c>
      <c r="HH134" s="39">
        <f>(IF(WEEKDAY(HH$82,2)&gt;5,0,89.3))*-1</f>
        <v>-89.3</v>
      </c>
      <c r="HI134" s="39">
        <f>(IF(WEEKDAY(HI$82,2)&gt;5,0,106.69))*-1</f>
        <v>-106.69</v>
      </c>
      <c r="HJ134" s="39">
        <f>(IF(WEEKDAY(HJ$82,2)&gt;5,0,114.43))*-1</f>
        <v>-114.43</v>
      </c>
      <c r="HK134" s="39">
        <f>(IF(WEEKDAY(HK$82,2)&gt;5,0,109.6))*-1</f>
        <v>-109.6</v>
      </c>
      <c r="HL134" s="39">
        <f>(IF(WEEKDAY(HL$82,2)&gt;5,0,100.65))*-1</f>
        <v>0</v>
      </c>
      <c r="HM134" s="39">
        <f>(IF(WEEKDAY(HM$82,2)&gt;5,0,102.33))*-1</f>
        <v>0</v>
      </c>
      <c r="HN134" s="39">
        <f>(IF(WEEKDAY(HN$82,2)&gt;5,0,100.27))*-1</f>
        <v>-100.27</v>
      </c>
      <c r="HO134" s="39">
        <f>(IF(WEEKDAY(HO$82,2)&gt;5,0,88.54))*-1</f>
        <v>-88.54</v>
      </c>
      <c r="HP134" s="39">
        <f>(IF(WEEKDAY(HP$82,2)&gt;5,0,112.64))*-1</f>
        <v>-112.64</v>
      </c>
      <c r="HQ134" s="39">
        <f>(IF(WEEKDAY(HQ$82,2)&gt;5,0,103.99))*-1</f>
        <v>-103.99</v>
      </c>
      <c r="HR134" s="39">
        <f>(IF(WEEKDAY(HR$82,2)&gt;5,0,105.68))*-1</f>
        <v>-105.68</v>
      </c>
      <c r="HS134" s="39">
        <f>(IF(WEEKDAY(HS$82,2)&gt;5,0,102.11))*-1</f>
        <v>0</v>
      </c>
      <c r="HT134" s="39">
        <f>(IF(WEEKDAY(HT$82,2)&gt;5,0,90.74))*-1</f>
        <v>0</v>
      </c>
      <c r="HU134" s="39">
        <f>(IF(WEEKDAY(HU$82,2)&gt;5,0,100.27))*-1</f>
        <v>-100.27</v>
      </c>
      <c r="HV134" s="39">
        <f>(IF(WEEKDAY(HV$82,2)&gt;5,0,85.12))*-1</f>
        <v>-85.12</v>
      </c>
      <c r="HW134" s="39">
        <f>(IF(WEEKDAY(HW$82,2)&gt;5,0,114.44))*-1</f>
        <v>-114.44</v>
      </c>
      <c r="HX134" s="39">
        <f>(IF(WEEKDAY(HX$82,2)&gt;5,0,96.5))*-1</f>
        <v>-96.5</v>
      </c>
      <c r="HY134" s="39">
        <f>(IF(WEEKDAY(HY$82,2)&gt;5,0,88.53))*-1</f>
        <v>-88.53</v>
      </c>
      <c r="HZ134" s="39">
        <f>(IF(WEEKDAY(HZ$82,2)&gt;5,0,97.98))*-1</f>
        <v>0</v>
      </c>
      <c r="IA134" s="39">
        <f>(IF(WEEKDAY(IA$82,2)&gt;5,0,94.39))*-1</f>
        <v>0</v>
      </c>
      <c r="IB134" s="39">
        <f>(IF(WEEKDAY(IB$82,2)&gt;5,0,96.26))*-1</f>
        <v>-96.26</v>
      </c>
      <c r="IC134" s="39">
        <f>(IF(WEEKDAY(IC$82,2)&gt;5,0,105.13))*-1</f>
        <v>-105.13</v>
      </c>
      <c r="ID134" s="39">
        <f>(IF(WEEKDAY(ID$82,2)&gt;5,0,106.25))*-1</f>
        <v>-106.25</v>
      </c>
      <c r="IE134" s="39">
        <f>(IF(WEEKDAY(IE$82,2)&gt;5,0,111.39))*-1</f>
        <v>-111.39</v>
      </c>
      <c r="IF134" s="39">
        <f>(IF(WEEKDAY(IF$82,2)&gt;5,0,89.68))*-1</f>
        <v>-89.68</v>
      </c>
      <c r="IG134" s="39">
        <f>(IF(WEEKDAY(IG$82,2)&gt;5,0,96.71))*-1</f>
        <v>0</v>
      </c>
      <c r="IH134" s="39">
        <f>(IF(WEEKDAY(IH$82,2)&gt;5,0,98.17))*-1</f>
        <v>0</v>
      </c>
      <c r="II134" s="39">
        <f>(IF(WEEKDAY(II$82,2)&gt;5,0,91.3))*-1</f>
        <v>-91.3</v>
      </c>
      <c r="IJ134" s="39">
        <f>(IF(WEEKDAY(IJ$82,2)&gt;5,0,104.48))*-1</f>
        <v>-104.48</v>
      </c>
      <c r="IK134" s="39">
        <f>(IF(WEEKDAY(IK$82,2)&gt;5,0,89.8))*-1</f>
        <v>-89.8</v>
      </c>
      <c r="IL134" s="39">
        <f>(IF(WEEKDAY(IL$82,2)&gt;5,0,89.94))*-1</f>
        <v>-89.94</v>
      </c>
    </row>
    <row r="135" spans="1:246" x14ac:dyDescent="0.3">
      <c r="A135" t="s">
        <v>117</v>
      </c>
      <c r="B135" s="39">
        <f>(IF(WEEKDAY(B$82,2)&gt;5,0,146.94))*-1</f>
        <v>-146.94</v>
      </c>
      <c r="C135" s="39">
        <f>(IF(WEEKDAY(C$82,2)&gt;5,0,160.23))*-1</f>
        <v>0</v>
      </c>
      <c r="D135" s="39">
        <f>(IF(WEEKDAY(D$82,2)&gt;5,0,139.48))*-1</f>
        <v>0</v>
      </c>
      <c r="E135" s="39">
        <f>(IF(WEEKDAY(E$82,2)&gt;5,0,157.33))*-1</f>
        <v>-157.33000000000001</v>
      </c>
      <c r="F135" s="39">
        <f>(IF(WEEKDAY(F$82,2)&gt;5,0,135.65))*-1</f>
        <v>-135.65</v>
      </c>
      <c r="G135" s="39">
        <f>(IF(WEEKDAY(G$82,2)&gt;5,0,161.65))*-1</f>
        <v>-161.65</v>
      </c>
      <c r="H135" s="39">
        <f>(IF(WEEKDAY(H$82,2)&gt;5,0,145.09))*-1</f>
        <v>-145.09</v>
      </c>
      <c r="I135" s="39">
        <f>(IF(WEEKDAY(I$82,2)&gt;5,0,158.08))*-1</f>
        <v>-158.08000000000001</v>
      </c>
      <c r="J135" s="39">
        <f>(IF(WEEKDAY(J$82,2)&gt;5,0,153.68))*-1</f>
        <v>0</v>
      </c>
      <c r="K135" s="39">
        <f>(IF(WEEKDAY(K$82,2)&gt;5,0,166.93))*-1</f>
        <v>0</v>
      </c>
      <c r="L135" s="39">
        <f>(IF(WEEKDAY(L$82,2)&gt;5,0,164.01))*-1</f>
        <v>-164.01</v>
      </c>
      <c r="M135" s="39">
        <f>(IF(WEEKDAY(M$82,2)&gt;5,0,158.1))*-1</f>
        <v>-158.1</v>
      </c>
      <c r="N135" s="39">
        <f>(IF(WEEKDAY(N$82,2)&gt;5,0,163.6))*-1</f>
        <v>-163.6</v>
      </c>
      <c r="O135" s="39">
        <f>(IF(WEEKDAY(O$82,2)&gt;5,0,148.58))*-1</f>
        <v>-148.58000000000001</v>
      </c>
      <c r="P135" s="39">
        <f>(IF(WEEKDAY(P$82,2)&gt;5,0,165.16))*-1</f>
        <v>-165.16</v>
      </c>
      <c r="Q135" s="39">
        <f>(IF(WEEKDAY(Q$82,2)&gt;5,0,137.64))*-1</f>
        <v>0</v>
      </c>
      <c r="R135" s="39">
        <f>(IF(WEEKDAY(R$82,2)&gt;5,0,149.16))*-1</f>
        <v>0</v>
      </c>
      <c r="S135" s="39">
        <f>(IF(WEEKDAY(S$82,2)&gt;5,0,171.85))*-1</f>
        <v>-171.85</v>
      </c>
      <c r="T135" s="39">
        <f>(IF(WEEKDAY(T$82,2)&gt;5,0,151.43))*-1</f>
        <v>-151.43</v>
      </c>
      <c r="U135" s="39">
        <f>(IF(WEEKDAY(U$82,2)&gt;5,0,163.06))*-1</f>
        <v>-163.06</v>
      </c>
      <c r="V135" s="39">
        <f>(IF(WEEKDAY(V$82,2)&gt;5,0,142.01))*-1</f>
        <v>-142.01</v>
      </c>
      <c r="W135" s="39">
        <f>(IF(WEEKDAY(W$82,2)&gt;5,0,152.04))*-1</f>
        <v>-152.04</v>
      </c>
      <c r="X135" s="39">
        <f>(IF(WEEKDAY(X$82,2)&gt;5,0,131.85))*-1</f>
        <v>0</v>
      </c>
      <c r="Y135" s="39">
        <f>(IF(WEEKDAY(Y$82,2)&gt;5,0,139.83))*-1</f>
        <v>0</v>
      </c>
      <c r="Z135" s="39">
        <f>(IF(WEEKDAY(Z$82,2)&gt;5,0,146.85))*-1</f>
        <v>-146.85</v>
      </c>
      <c r="AA135" s="39">
        <f>(IF(WEEKDAY(AA$82,2)&gt;5,0,163.57))*-1</f>
        <v>-163.57</v>
      </c>
      <c r="AB135" s="39">
        <f>(IF(WEEKDAY(AB$82,2)&gt;5,0,137.38))*-1</f>
        <v>-137.38</v>
      </c>
      <c r="AC135" s="39">
        <f>(IF(WEEKDAY(AC$82,2)&gt;5,0,152.09))*-1</f>
        <v>-152.09</v>
      </c>
      <c r="AD135" s="39">
        <f>(IF(WEEKDAY(AD$82,2)&gt;5,0,159.8))*-1</f>
        <v>-159.80000000000001</v>
      </c>
      <c r="AE135" s="39">
        <f>(IF(WEEKDAY(AE$82,2)&gt;5,0,143.2))*-1</f>
        <v>0</v>
      </c>
      <c r="AF135" s="39">
        <f>(IF(WEEKDAY(AF$82,2)&gt;5,0,150.19))*-1</f>
        <v>0</v>
      </c>
      <c r="AG135" s="39">
        <f>(IF(WEEKDAY(AG$82,2)&gt;5,0,142.51))*-1</f>
        <v>-142.51</v>
      </c>
      <c r="AH135" s="39">
        <f>(IF(WEEKDAY(AH$82,2)&gt;5,0,139.02))*-1</f>
        <v>-139.02000000000001</v>
      </c>
      <c r="AI135" s="39">
        <f>(IF(WEEKDAY(AI$82,2)&gt;5,0,145.23))*-1</f>
        <v>-145.22999999999999</v>
      </c>
      <c r="AJ135" s="39">
        <f>(IF(WEEKDAY(AJ$82,2)&gt;5,0,155.74))*-1</f>
        <v>-155.74</v>
      </c>
      <c r="AK135" s="39">
        <f>(IF(WEEKDAY(AK$82,2)&gt;5,0,149.31))*-1</f>
        <v>-149.31</v>
      </c>
      <c r="AL135" s="39">
        <f>(IF(WEEKDAY(AL$82,2)&gt;5,0,159.32))*-1</f>
        <v>0</v>
      </c>
      <c r="AM135" s="39">
        <f>(IF(WEEKDAY(AM$82,2)&gt;5,0,152.19))*-1</f>
        <v>0</v>
      </c>
      <c r="AN135" s="39">
        <f>(IF(WEEKDAY(AN$82,2)&gt;5,0,158.64))*-1</f>
        <v>-158.63999999999999</v>
      </c>
      <c r="AO135" s="39">
        <f>(IF(WEEKDAY(AO$82,2)&gt;5,0,158.04))*-1</f>
        <v>-158.04</v>
      </c>
      <c r="AP135" s="39">
        <f>(IF(WEEKDAY(AP$82,2)&gt;5,0,162.89))*-1</f>
        <v>-162.88999999999999</v>
      </c>
      <c r="AQ135" s="39">
        <f>(IF(WEEKDAY(AQ$82,2)&gt;5,0,160.41))*-1</f>
        <v>-160.41</v>
      </c>
      <c r="AR135" s="39">
        <f>(IF(WEEKDAY(AR$82,2)&gt;5,0,170.89))*-1</f>
        <v>-170.89</v>
      </c>
      <c r="AS135" s="39">
        <f>(IF(WEEKDAY(AS$82,2)&gt;5,0,171.5))*-1</f>
        <v>0</v>
      </c>
      <c r="AT135" s="39">
        <f>(IF(WEEKDAY(AT$82,2)&gt;5,0,161.46))*-1</f>
        <v>0</v>
      </c>
      <c r="AU135" s="39">
        <f>(IF(WEEKDAY(AU$82,2)&gt;5,0,147.23))*-1</f>
        <v>-147.22999999999999</v>
      </c>
      <c r="AV135" s="39">
        <f>(IF(WEEKDAY(AV$82,2)&gt;5,0,128.82))*-1</f>
        <v>-128.82</v>
      </c>
      <c r="AW135" s="39">
        <f>(IF(WEEKDAY(AW$82,2)&gt;5,0,137.92))*-1</f>
        <v>-137.91999999999999</v>
      </c>
      <c r="AX135" s="39">
        <f>(IF(WEEKDAY(AX$82,2)&gt;5,0,135.99))*-1</f>
        <v>-135.99</v>
      </c>
      <c r="AY135" s="39">
        <f>(IF(WEEKDAY(AY$82,2)&gt;5,0,151.31))*-1</f>
        <v>-151.31</v>
      </c>
      <c r="AZ135" s="39">
        <f>(IF(WEEKDAY(AZ$82,2)&gt;5,0,145.48))*-1</f>
        <v>0</v>
      </c>
      <c r="BA135" s="39">
        <f>(IF(WEEKDAY(BA$82,2)&gt;5,0,135.46))*-1</f>
        <v>0</v>
      </c>
      <c r="BB135" s="39">
        <f>(IF(WEEKDAY(BB$82,2)&gt;5,0,129.59))*-1</f>
        <v>-129.59</v>
      </c>
      <c r="BC135" s="39">
        <f>(IF(WEEKDAY(BC$82,2)&gt;5,0,134.72))*-1</f>
        <v>-134.72</v>
      </c>
      <c r="BD135" s="39">
        <f>(IF(WEEKDAY(BD$82,2)&gt;5,0,141.82))*-1</f>
        <v>-141.82</v>
      </c>
      <c r="BE135" s="39">
        <f>(IF(WEEKDAY(BE$82,2)&gt;5,0,157.68))*-1</f>
        <v>-157.68</v>
      </c>
      <c r="BF135" s="39">
        <f>(IF(WEEKDAY(BF$82,2)&gt;5,0,156.26))*-1</f>
        <v>-156.26</v>
      </c>
      <c r="BG135" s="39">
        <f>(IF(WEEKDAY(BG$82,2)&gt;5,0,159.9))*-1</f>
        <v>0</v>
      </c>
      <c r="BH135" s="39">
        <f>(IF(WEEKDAY(BH$82,2)&gt;5,0,149.92))*-1</f>
        <v>0</v>
      </c>
      <c r="BI135" s="39">
        <f>(IF(WEEKDAY(BI$82,2)&gt;5,0,142.15))*-1</f>
        <v>-142.15</v>
      </c>
      <c r="BJ135" s="39">
        <f>(IF(WEEKDAY(BJ$82,2)&gt;5,0,134.4))*-1</f>
        <v>-134.4</v>
      </c>
      <c r="BK135" s="39">
        <f>(IF(WEEKDAY(BK$82,2)&gt;5,0,149.68))*-1</f>
        <v>-149.68</v>
      </c>
      <c r="BL135" s="39">
        <f>(IF(WEEKDAY(BL$82,2)&gt;5,0,171.37))*-1</f>
        <v>-171.37</v>
      </c>
      <c r="BM135" s="39">
        <f>(IF(WEEKDAY(BM$82,2)&gt;5,0,172.05))*-1</f>
        <v>-172.05</v>
      </c>
      <c r="BN135" s="39">
        <f>(IF(WEEKDAY(BN$82,2)&gt;5,0,162.5))*-1</f>
        <v>0</v>
      </c>
      <c r="BO135" s="39">
        <f>(IF(WEEKDAY(BO$82,2)&gt;5,0,163.51))*-1</f>
        <v>0</v>
      </c>
      <c r="BP135" s="39">
        <f>(IF(WEEKDAY(BP$82,2)&gt;5,0,145.33))*-1</f>
        <v>-145.33000000000001</v>
      </c>
      <c r="BQ135" s="39">
        <f>(IF(WEEKDAY(BQ$82,2)&gt;5,0,144.92))*-1</f>
        <v>-144.91999999999999</v>
      </c>
      <c r="BR135" s="39">
        <f>(IF(WEEKDAY(BR$82,2)&gt;5,0,156.33))*-1</f>
        <v>-156.33000000000001</v>
      </c>
      <c r="BS135" s="39">
        <f>(IF(WEEKDAY(BS$82,2)&gt;5,0,128.67))*-1</f>
        <v>-128.66999999999999</v>
      </c>
      <c r="BT135" s="39">
        <f>(IF(WEEKDAY(BT$82,2)&gt;5,0,135.99))*-1</f>
        <v>-135.99</v>
      </c>
      <c r="BU135" s="39">
        <f>(IF(WEEKDAY(BU$82,2)&gt;5,0,137.3))*-1</f>
        <v>0</v>
      </c>
      <c r="BV135" s="39">
        <f>(IF(WEEKDAY(BV$82,2)&gt;5,0,147.39))*-1</f>
        <v>0</v>
      </c>
      <c r="BW135" s="39">
        <f>(IF(WEEKDAY(BW$82,2)&gt;5,0,170.27))*-1</f>
        <v>-170.27</v>
      </c>
      <c r="BX135" s="39">
        <f>(IF(WEEKDAY(BX$82,2)&gt;5,0,133.89))*-1</f>
        <v>-133.88999999999999</v>
      </c>
      <c r="BY135" s="39">
        <f>(IF(WEEKDAY(BY$82,2)&gt;5,0,133.57))*-1</f>
        <v>-133.57</v>
      </c>
      <c r="BZ135" s="39">
        <f>(IF(WEEKDAY(BZ$82,2)&gt;5,0,149.3))*-1</f>
        <v>-149.30000000000001</v>
      </c>
      <c r="CA135" s="39">
        <f>(IF(WEEKDAY(CA$82,2)&gt;5,0,143.61))*-1</f>
        <v>-143.61000000000001</v>
      </c>
      <c r="CB135" s="39">
        <f>(IF(WEEKDAY(CB$82,2)&gt;5,0,155.25))*-1</f>
        <v>0</v>
      </c>
      <c r="CC135" s="39">
        <f>(IF(WEEKDAY(CC$82,2)&gt;5,0,169.47))*-1</f>
        <v>0</v>
      </c>
      <c r="CD135" s="39">
        <f>(IF(WEEKDAY(CD$82,2)&gt;5,0,145.63))*-1</f>
        <v>-145.63</v>
      </c>
      <c r="CE135" s="39">
        <f>(IF(WEEKDAY(CE$82,2)&gt;5,0,150.39))*-1</f>
        <v>-150.38999999999999</v>
      </c>
      <c r="CF135" s="39">
        <f>(IF(WEEKDAY(CF$82,2)&gt;5,0,147.8))*-1</f>
        <v>-147.80000000000001</v>
      </c>
      <c r="CG135" s="39">
        <f>(IF(WEEKDAY(CG$82,2)&gt;5,0,137.84))*-1</f>
        <v>-137.84</v>
      </c>
      <c r="CH135" s="39">
        <f>(IF(WEEKDAY(CH$82,2)&gt;5,0,167.72))*-1</f>
        <v>-167.72</v>
      </c>
      <c r="CI135" s="39">
        <f>(IF(WEEKDAY(CI$82,2)&gt;5,0,164.27))*-1</f>
        <v>0</v>
      </c>
      <c r="CJ135" s="39">
        <f>(IF(WEEKDAY(CJ$82,2)&gt;5,0,172.16))*-1</f>
        <v>0</v>
      </c>
      <c r="CK135" s="39">
        <f>(IF(WEEKDAY(CK$82,2)&gt;5,0,131.72))*-1</f>
        <v>-131.72</v>
      </c>
      <c r="CL135" s="39">
        <f>(IF(WEEKDAY(CL$82,2)&gt;5,0,151.09))*-1</f>
        <v>-151.09</v>
      </c>
      <c r="CM135" s="39">
        <f>(IF(WEEKDAY(CM$82,2)&gt;5,0,130.66))*-1</f>
        <v>-130.66</v>
      </c>
      <c r="CN135" s="39">
        <f>(IF(WEEKDAY(CN$82,2)&gt;5,0,144.66))*-1</f>
        <v>-144.66</v>
      </c>
      <c r="CO135" s="39">
        <f>(IF(WEEKDAY(CO$82,2)&gt;5,0,137.12))*-1</f>
        <v>-137.12</v>
      </c>
      <c r="CP135" s="39">
        <f>(IF(WEEKDAY(CP$82,2)&gt;5,0,142.37))*-1</f>
        <v>0</v>
      </c>
      <c r="CQ135" s="39">
        <f>(IF(WEEKDAY(CQ$82,2)&gt;5,0,162.61))*-1</f>
        <v>0</v>
      </c>
      <c r="CR135" s="39">
        <f>(IF(WEEKDAY(CR$82,2)&gt;5,0,162))*-1</f>
        <v>-162</v>
      </c>
      <c r="CS135" s="39">
        <f>(IF(WEEKDAY(CS$82,2)&gt;5,0,140.99))*-1</f>
        <v>-140.99</v>
      </c>
      <c r="CT135" s="39">
        <f>(IF(WEEKDAY(CT$82,2)&gt;5,0,135.64))*-1</f>
        <v>-135.63999999999999</v>
      </c>
      <c r="CU135" s="39">
        <f>(IF(WEEKDAY(CU$82,2)&gt;5,0,171.2))*-1</f>
        <v>-171.2</v>
      </c>
      <c r="CV135" s="39">
        <f>(IF(WEEKDAY(CV$82,2)&gt;5,0,154.23))*-1</f>
        <v>-154.22999999999999</v>
      </c>
      <c r="CW135" s="39">
        <f>(IF(WEEKDAY(CW$82,2)&gt;5,0,135.93))*-1</f>
        <v>0</v>
      </c>
      <c r="CX135" s="39">
        <f>(IF(WEEKDAY(CX$82,2)&gt;5,0,135.84))*-1</f>
        <v>0</v>
      </c>
      <c r="CY135" s="39">
        <f>(IF(WEEKDAY(CY$82,2)&gt;5,0,168.18))*-1</f>
        <v>-168.18</v>
      </c>
      <c r="CZ135" s="39">
        <f>(IF(WEEKDAY(CZ$82,2)&gt;5,0,164.43))*-1</f>
        <v>-164.43</v>
      </c>
      <c r="DA135" s="39">
        <f>(IF(WEEKDAY(DA$82,2)&gt;5,0,133.02))*-1</f>
        <v>-133.02000000000001</v>
      </c>
      <c r="DB135" s="39">
        <f>(IF(WEEKDAY(DB$82,2)&gt;5,0,156.36))*-1</f>
        <v>-156.36000000000001</v>
      </c>
      <c r="DC135" s="39">
        <f>(IF(WEEKDAY(DC$82,2)&gt;5,0,146.86))*-1</f>
        <v>-146.86000000000001</v>
      </c>
      <c r="DD135" s="39">
        <f>(IF(WEEKDAY(DD$82,2)&gt;5,0,164.96))*-1</f>
        <v>0</v>
      </c>
      <c r="DE135" s="39">
        <f>(IF(WEEKDAY(DE$82,2)&gt;5,0,145.93))*-1</f>
        <v>0</v>
      </c>
      <c r="DF135" s="39">
        <f>(IF(WEEKDAY(DF$82,2)&gt;5,0,130.99))*-1</f>
        <v>-130.99</v>
      </c>
      <c r="DG135" s="39">
        <f>(IF(WEEKDAY(DG$82,2)&gt;5,0,135.25))*-1</f>
        <v>-135.25</v>
      </c>
      <c r="DH135" s="39">
        <f>(IF(WEEKDAY(DH$82,2)&gt;5,0,169.19))*-1</f>
        <v>-169.19</v>
      </c>
      <c r="DI135" s="39">
        <f>(IF(WEEKDAY(DI$82,2)&gt;5,0,139.43))*-1</f>
        <v>-139.43</v>
      </c>
      <c r="DJ135" s="39">
        <f>(IF(WEEKDAY(DJ$82,2)&gt;5,0,160.24))*-1</f>
        <v>-160.24</v>
      </c>
      <c r="DK135" s="39">
        <f>(IF(WEEKDAY(DK$82,2)&gt;5,0,158.51))*-1</f>
        <v>0</v>
      </c>
      <c r="DL135" s="39">
        <f>(IF(WEEKDAY(DL$82,2)&gt;5,0,144.54))*-1</f>
        <v>0</v>
      </c>
      <c r="DM135" s="39">
        <f>(IF(WEEKDAY(DM$82,2)&gt;5,0,144.8))*-1</f>
        <v>-144.80000000000001</v>
      </c>
      <c r="DN135" s="39">
        <f>(IF(WEEKDAY(DN$82,2)&gt;5,0,128.38))*-1</f>
        <v>-128.38</v>
      </c>
      <c r="DO135" s="39">
        <f>(IF(WEEKDAY(DO$82,2)&gt;5,0,159.92))*-1</f>
        <v>-159.91999999999999</v>
      </c>
      <c r="DP135" s="39">
        <f>(IF(WEEKDAY(DP$82,2)&gt;5,0,167.56))*-1</f>
        <v>-167.56</v>
      </c>
      <c r="DQ135" s="39">
        <f>(IF(WEEKDAY(DQ$82,2)&gt;5,0,170.96))*-1</f>
        <v>-170.96</v>
      </c>
      <c r="DR135" s="39">
        <f>(IF(WEEKDAY(DR$82,2)&gt;5,0,153.85))*-1</f>
        <v>0</v>
      </c>
      <c r="DS135" s="39">
        <f>(IF(WEEKDAY(DS$82,2)&gt;5,0,140.1))*-1</f>
        <v>0</v>
      </c>
      <c r="DT135" s="39">
        <f>(IF(WEEKDAY(DT$82,2)&gt;5,0,154.69))*-1</f>
        <v>-154.69</v>
      </c>
      <c r="DU135" s="39">
        <f>(IF(WEEKDAY(DU$82,2)&gt;5,0,151.38))*-1</f>
        <v>-151.38</v>
      </c>
      <c r="DV135" s="39">
        <f>(IF(WEEKDAY(DV$82,2)&gt;5,0,166.9))*-1</f>
        <v>-166.9</v>
      </c>
      <c r="DW135" s="39">
        <f>(IF(WEEKDAY(DW$82,2)&gt;5,0,162.06))*-1</f>
        <v>-162.06</v>
      </c>
      <c r="DX135" s="39">
        <f>(IF(WEEKDAY(DX$82,2)&gt;5,0,145.31))*-1</f>
        <v>-145.31</v>
      </c>
      <c r="DY135" s="39">
        <f>(IF(WEEKDAY(DY$82,2)&gt;5,0,132.81))*-1</f>
        <v>0</v>
      </c>
      <c r="DZ135" s="39">
        <f>(IF(WEEKDAY(DZ$82,2)&gt;5,0,149.79))*-1</f>
        <v>0</v>
      </c>
      <c r="EA135" s="39">
        <f>(IF(WEEKDAY(EA$82,2)&gt;5,0,152.18))*-1</f>
        <v>-152.18</v>
      </c>
      <c r="EB135" s="39">
        <f>(IF(WEEKDAY(EB$82,2)&gt;5,0,152.28))*-1</f>
        <v>-152.28</v>
      </c>
      <c r="EC135" s="39">
        <f>(IF(WEEKDAY(EC$82,2)&gt;5,0,163.49))*-1</f>
        <v>-163.49</v>
      </c>
      <c r="ED135" s="39">
        <f>(IF(WEEKDAY(ED$82,2)&gt;5,0,171.27))*-1</f>
        <v>-171.27</v>
      </c>
      <c r="EE135" s="39">
        <f>(IF(WEEKDAY(EE$82,2)&gt;5,0,130.54))*-1</f>
        <v>-130.54</v>
      </c>
      <c r="EF135" s="39">
        <f>(IF(WEEKDAY(EF$82,2)&gt;5,0,130.21))*-1</f>
        <v>0</v>
      </c>
      <c r="EG135" s="39">
        <f>(IF(WEEKDAY(EG$82,2)&gt;5,0,138.07))*-1</f>
        <v>0</v>
      </c>
      <c r="EH135" s="39">
        <f>(IF(WEEKDAY(EH$82,2)&gt;5,0,141.89))*-1</f>
        <v>-141.88999999999999</v>
      </c>
      <c r="EI135" s="39">
        <f>(IF(WEEKDAY(EI$82,2)&gt;5,0,158.66))*-1</f>
        <v>-158.66</v>
      </c>
      <c r="EJ135" s="39">
        <f>(IF(WEEKDAY(EJ$82,2)&gt;5,0,131.69))*-1</f>
        <v>-131.69</v>
      </c>
      <c r="EK135" s="39">
        <f>(IF(WEEKDAY(EK$82,2)&gt;5,0,153.63))*-1</f>
        <v>-153.63</v>
      </c>
      <c r="EL135" s="39">
        <f>(IF(WEEKDAY(EL$82,2)&gt;5,0,155.88))*-1</f>
        <v>-155.88</v>
      </c>
      <c r="EM135" s="39">
        <f>(IF(WEEKDAY(EM$82,2)&gt;5,0,163.21))*-1</f>
        <v>0</v>
      </c>
      <c r="EN135" s="39">
        <f>(IF(WEEKDAY(EN$82,2)&gt;5,0,133.69))*-1</f>
        <v>0</v>
      </c>
      <c r="EO135" s="39">
        <f>(IF(WEEKDAY(EO$82,2)&gt;5,0,147.19))*-1</f>
        <v>-147.19</v>
      </c>
      <c r="EP135" s="39">
        <f>(IF(WEEKDAY(EP$82,2)&gt;5,0,142.01))*-1</f>
        <v>-142.01</v>
      </c>
      <c r="EQ135" s="39">
        <f>(IF(WEEKDAY(EQ$82,2)&gt;5,0,160.73))*-1</f>
        <v>-160.72999999999999</v>
      </c>
      <c r="ER135" s="39">
        <f>(IF(WEEKDAY(ER$82,2)&gt;5,0,149.6))*-1</f>
        <v>-149.6</v>
      </c>
      <c r="ES135" s="39">
        <f>(IF(WEEKDAY(ES$82,2)&gt;5,0,143.06))*-1</f>
        <v>-143.06</v>
      </c>
      <c r="ET135" s="39">
        <f>(IF(WEEKDAY(ET$82,2)&gt;5,0,143.99))*-1</f>
        <v>0</v>
      </c>
      <c r="EU135" s="39">
        <f>(IF(WEEKDAY(EU$82,2)&gt;5,0,159.02))*-1</f>
        <v>0</v>
      </c>
      <c r="EV135" s="39">
        <f>(IF(WEEKDAY(EV$82,2)&gt;5,0,149.69))*-1</f>
        <v>-149.69</v>
      </c>
      <c r="EW135" s="39">
        <f>(IF(WEEKDAY(EW$82,2)&gt;5,0,171.83))*-1</f>
        <v>-171.83</v>
      </c>
      <c r="EX135" s="39">
        <f>(IF(WEEKDAY(EX$82,2)&gt;5,0,171.44))*-1</f>
        <v>-171.44</v>
      </c>
      <c r="EY135" s="39">
        <f>(IF(WEEKDAY(EY$82,2)&gt;5,0,147.04))*-1</f>
        <v>-147.04</v>
      </c>
      <c r="EZ135" s="39">
        <f>(IF(WEEKDAY(EZ$82,2)&gt;5,0,150.83))*-1</f>
        <v>-150.83000000000001</v>
      </c>
      <c r="FA135" s="39">
        <f>(IF(WEEKDAY(FA$82,2)&gt;5,0,133.69))*-1</f>
        <v>0</v>
      </c>
      <c r="FB135" s="39">
        <f>(IF(WEEKDAY(FB$82,2)&gt;5,0,140.46))*-1</f>
        <v>0</v>
      </c>
      <c r="FC135" s="39">
        <f>(IF(WEEKDAY(FC$82,2)&gt;5,0,139.03))*-1</f>
        <v>-139.03</v>
      </c>
      <c r="FD135" s="39">
        <f>(IF(WEEKDAY(FD$82,2)&gt;5,0,171.31))*-1</f>
        <v>-171.31</v>
      </c>
      <c r="FE135" s="39">
        <f>(IF(WEEKDAY(FE$82,2)&gt;5,0,128.88))*-1</f>
        <v>-128.88</v>
      </c>
      <c r="FF135" s="39">
        <f>(IF(WEEKDAY(FF$82,2)&gt;5,0,161.8))*-1</f>
        <v>-161.80000000000001</v>
      </c>
      <c r="FG135" s="39">
        <f>(IF(WEEKDAY(FG$82,2)&gt;5,0,148.6))*-1</f>
        <v>-148.6</v>
      </c>
      <c r="FH135" s="39">
        <f>(IF(WEEKDAY(FH$82,2)&gt;5,0,149.6))*-1</f>
        <v>0</v>
      </c>
      <c r="FI135" s="39">
        <f>(IF(WEEKDAY(FI$82,2)&gt;5,0,131.71))*-1</f>
        <v>0</v>
      </c>
      <c r="FJ135" s="39">
        <f>(IF(WEEKDAY(FJ$82,2)&gt;5,0,145.82))*-1</f>
        <v>-145.82</v>
      </c>
      <c r="FK135" s="39">
        <f>(IF(WEEKDAY(FK$82,2)&gt;5,0,167.06))*-1</f>
        <v>-167.06</v>
      </c>
      <c r="FL135" s="39">
        <f>(IF(WEEKDAY(FL$82,2)&gt;5,0,128.74))*-1</f>
        <v>-128.74</v>
      </c>
      <c r="FM135" s="39">
        <f>(IF(WEEKDAY(FM$82,2)&gt;5,0,155.32))*-1</f>
        <v>-155.32</v>
      </c>
      <c r="FN135" s="39">
        <f>(IF(WEEKDAY(FN$82,2)&gt;5,0,155.42))*-1</f>
        <v>-155.41999999999999</v>
      </c>
      <c r="FO135" s="39">
        <f>(IF(WEEKDAY(FO$82,2)&gt;5,0,141.56))*-1</f>
        <v>0</v>
      </c>
      <c r="FP135" s="39">
        <f>(IF(WEEKDAY(FP$82,2)&gt;5,0,168.2))*-1</f>
        <v>0</v>
      </c>
      <c r="FQ135" s="39">
        <f>(IF(WEEKDAY(FQ$82,2)&gt;5,0,138.22))*-1</f>
        <v>-138.22</v>
      </c>
      <c r="FR135" s="39">
        <f>(IF(WEEKDAY(FR$82,2)&gt;5,0,141.29))*-1</f>
        <v>-141.29</v>
      </c>
      <c r="FS135" s="39">
        <f>(IF(WEEKDAY(FS$82,2)&gt;5,0,135.3))*-1</f>
        <v>-135.30000000000001</v>
      </c>
      <c r="FT135" s="39">
        <f>(IF(WEEKDAY(FT$82,2)&gt;5,0,150.27))*-1</f>
        <v>-150.27000000000001</v>
      </c>
      <c r="FU135" s="39">
        <f>(IF(WEEKDAY(FU$82,2)&gt;5,0,166.21))*-1</f>
        <v>-166.21</v>
      </c>
      <c r="FV135" s="39">
        <f>(IF(WEEKDAY(FV$82,2)&gt;5,0,160.26))*-1</f>
        <v>0</v>
      </c>
      <c r="FW135" s="39">
        <f>(IF(WEEKDAY(FW$82,2)&gt;5,0,152.2))*-1</f>
        <v>0</v>
      </c>
      <c r="FX135" s="39">
        <f>(IF(WEEKDAY(FX$82,2)&gt;5,0,129.87))*-1</f>
        <v>-129.87</v>
      </c>
      <c r="FY135" s="39">
        <f>(IF(WEEKDAY(FY$82,2)&gt;5,0,171.17))*-1</f>
        <v>-171.17</v>
      </c>
      <c r="FZ135" s="39">
        <f>(IF(WEEKDAY(FZ$82,2)&gt;5,0,167.98))*-1</f>
        <v>-167.98</v>
      </c>
      <c r="GA135" s="39">
        <f>(IF(WEEKDAY(GA$82,2)&gt;5,0,156.23))*-1</f>
        <v>-156.22999999999999</v>
      </c>
      <c r="GB135" s="39">
        <f>(IF(WEEKDAY(GB$82,2)&gt;5,0,152.27))*-1</f>
        <v>-152.27000000000001</v>
      </c>
      <c r="GC135" s="39">
        <f>(IF(WEEKDAY(GC$82,2)&gt;5,0,155))*-1</f>
        <v>0</v>
      </c>
      <c r="GD135" s="39">
        <f>(IF(WEEKDAY(GD$82,2)&gt;5,0,170.12))*-1</f>
        <v>0</v>
      </c>
      <c r="GE135" s="39">
        <f>(IF(WEEKDAY(GE$82,2)&gt;5,0,137.66))*-1</f>
        <v>-137.66</v>
      </c>
      <c r="GF135" s="39">
        <f>(IF(WEEKDAY(GF$82,2)&gt;5,0,163.31))*-1</f>
        <v>-163.31</v>
      </c>
      <c r="GG135" s="39">
        <f>(IF(WEEKDAY(GG$82,2)&gt;5,0,148.57))*-1</f>
        <v>-148.57</v>
      </c>
      <c r="GH135" s="39">
        <f>(IF(WEEKDAY(GH$82,2)&gt;5,0,155.46))*-1</f>
        <v>-155.46</v>
      </c>
      <c r="GI135" s="39">
        <f>(IF(WEEKDAY(GI$82,2)&gt;5,0,141.69))*-1</f>
        <v>-141.69</v>
      </c>
      <c r="GJ135" s="39">
        <f>(IF(WEEKDAY(GJ$82,2)&gt;5,0,144.94))*-1</f>
        <v>0</v>
      </c>
      <c r="GK135" s="39">
        <f>(IF(WEEKDAY(GK$82,2)&gt;5,0,129.04))*-1</f>
        <v>0</v>
      </c>
      <c r="GL135" s="39">
        <f>(IF(WEEKDAY(GL$82,2)&gt;5,0,129.84))*-1</f>
        <v>-129.84</v>
      </c>
      <c r="GM135" s="39">
        <f>(IF(WEEKDAY(GM$82,2)&gt;5,0,152.4))*-1</f>
        <v>-152.4</v>
      </c>
      <c r="GN135" s="39">
        <f>(IF(WEEKDAY(GN$82,2)&gt;5,0,158.32))*-1</f>
        <v>-158.32</v>
      </c>
      <c r="GO135" s="39">
        <f>(IF(WEEKDAY(GO$82,2)&gt;5,0,135.6))*-1</f>
        <v>-135.6</v>
      </c>
      <c r="GP135" s="39">
        <f>(IF(WEEKDAY(GP$82,2)&gt;5,0,140.54))*-1</f>
        <v>-140.54</v>
      </c>
      <c r="GQ135" s="39">
        <f>(IF(WEEKDAY(GQ$82,2)&gt;5,0,127.56))*-1</f>
        <v>0</v>
      </c>
      <c r="GR135" s="39">
        <f>(IF(WEEKDAY(GR$82,2)&gt;5,0,160.59))*-1</f>
        <v>0</v>
      </c>
      <c r="GS135" s="39">
        <f>(IF(WEEKDAY(GS$82,2)&gt;5,0,147.28))*-1</f>
        <v>-147.28</v>
      </c>
      <c r="GT135" s="39">
        <f>(IF(WEEKDAY(GT$82,2)&gt;5,0,134.87))*-1</f>
        <v>-134.87</v>
      </c>
      <c r="GU135" s="39">
        <f>(IF(WEEKDAY(GU$82,2)&gt;5,0,151.6))*-1</f>
        <v>-151.6</v>
      </c>
      <c r="GV135" s="39">
        <f>(IF(WEEKDAY(GV$82,2)&gt;5,0,138.08))*-1</f>
        <v>-138.08000000000001</v>
      </c>
      <c r="GW135" s="39">
        <f>(IF(WEEKDAY(GW$82,2)&gt;5,0,169.14))*-1</f>
        <v>-169.14</v>
      </c>
      <c r="GX135" s="39">
        <f>(IF(WEEKDAY(GX$82,2)&gt;5,0,136.82))*-1</f>
        <v>0</v>
      </c>
      <c r="GY135" s="39">
        <f>(IF(WEEKDAY(GY$82,2)&gt;5,0,142.27))*-1</f>
        <v>0</v>
      </c>
      <c r="GZ135" s="39">
        <f>(IF(WEEKDAY(GZ$82,2)&gt;5,0,165.23))*-1</f>
        <v>-165.23</v>
      </c>
      <c r="HA135" s="39">
        <f>(IF(WEEKDAY(HA$82,2)&gt;5,0,152.12))*-1</f>
        <v>-152.12</v>
      </c>
      <c r="HB135" s="39">
        <f>(IF(WEEKDAY(HB$82,2)&gt;5,0,155.9))*-1</f>
        <v>-155.9</v>
      </c>
      <c r="HC135" s="39">
        <f>(IF(WEEKDAY(HC$82,2)&gt;5,0,147.75))*-1</f>
        <v>-147.75</v>
      </c>
      <c r="HD135" s="39">
        <f>(IF(WEEKDAY(HD$82,2)&gt;5,0,160.9))*-1</f>
        <v>-160.9</v>
      </c>
      <c r="HE135" s="39">
        <f>(IF(WEEKDAY(HE$82,2)&gt;5,0,169.47))*-1</f>
        <v>0</v>
      </c>
      <c r="HF135" s="39">
        <f>(IF(WEEKDAY(HF$82,2)&gt;5,0,137.67))*-1</f>
        <v>0</v>
      </c>
      <c r="HG135" s="39">
        <f>(IF(WEEKDAY(HG$82,2)&gt;5,0,129.9))*-1</f>
        <v>-129.9</v>
      </c>
      <c r="HH135" s="39">
        <f>(IF(WEEKDAY(HH$82,2)&gt;5,0,161.51))*-1</f>
        <v>-161.51</v>
      </c>
      <c r="HI135" s="39">
        <f>(IF(WEEKDAY(HI$82,2)&gt;5,0,133.93))*-1</f>
        <v>-133.93</v>
      </c>
      <c r="HJ135" s="39">
        <f>(IF(WEEKDAY(HJ$82,2)&gt;5,0,142.8))*-1</f>
        <v>-142.80000000000001</v>
      </c>
      <c r="HK135" s="39">
        <f>(IF(WEEKDAY(HK$82,2)&gt;5,0,146.82))*-1</f>
        <v>-146.82</v>
      </c>
      <c r="HL135" s="39">
        <f>(IF(WEEKDAY(HL$82,2)&gt;5,0,133.96))*-1</f>
        <v>0</v>
      </c>
      <c r="HM135" s="39">
        <f>(IF(WEEKDAY(HM$82,2)&gt;5,0,172.44))*-1</f>
        <v>0</v>
      </c>
      <c r="HN135" s="39">
        <f>(IF(WEEKDAY(HN$82,2)&gt;5,0,130.66))*-1</f>
        <v>-130.66</v>
      </c>
      <c r="HO135" s="39">
        <f>(IF(WEEKDAY(HO$82,2)&gt;5,0,144.24))*-1</f>
        <v>-144.24</v>
      </c>
      <c r="HP135" s="39">
        <f>(IF(WEEKDAY(HP$82,2)&gt;5,0,162.27))*-1</f>
        <v>-162.27000000000001</v>
      </c>
      <c r="HQ135" s="39">
        <f>(IF(WEEKDAY(HQ$82,2)&gt;5,0,156.74))*-1</f>
        <v>-156.74</v>
      </c>
      <c r="HR135" s="39">
        <f>(IF(WEEKDAY(HR$82,2)&gt;5,0,144.46))*-1</f>
        <v>-144.46</v>
      </c>
      <c r="HS135" s="39">
        <f>(IF(WEEKDAY(HS$82,2)&gt;5,0,160.49))*-1</f>
        <v>0</v>
      </c>
      <c r="HT135" s="39">
        <f>(IF(WEEKDAY(HT$82,2)&gt;5,0,167.88))*-1</f>
        <v>0</v>
      </c>
      <c r="HU135" s="39">
        <f>(IF(WEEKDAY(HU$82,2)&gt;5,0,142.92))*-1</f>
        <v>-142.91999999999999</v>
      </c>
      <c r="HV135" s="39">
        <f>(IF(WEEKDAY(HV$82,2)&gt;5,0,130.91))*-1</f>
        <v>-130.91</v>
      </c>
      <c r="HW135" s="39">
        <f>(IF(WEEKDAY(HW$82,2)&gt;5,0,147.76))*-1</f>
        <v>-147.76</v>
      </c>
      <c r="HX135" s="39">
        <f>(IF(WEEKDAY(HX$82,2)&gt;5,0,169.52))*-1</f>
        <v>-169.52</v>
      </c>
      <c r="HY135" s="39">
        <f>(IF(WEEKDAY(HY$82,2)&gt;5,0,134.53))*-1</f>
        <v>-134.53</v>
      </c>
      <c r="HZ135" s="39">
        <f>(IF(WEEKDAY(HZ$82,2)&gt;5,0,153.57))*-1</f>
        <v>0</v>
      </c>
      <c r="IA135" s="39">
        <f>(IF(WEEKDAY(IA$82,2)&gt;5,0,152.91))*-1</f>
        <v>0</v>
      </c>
      <c r="IB135" s="39">
        <f>(IF(WEEKDAY(IB$82,2)&gt;5,0,171.34))*-1</f>
        <v>-171.34</v>
      </c>
      <c r="IC135" s="39">
        <f>(IF(WEEKDAY(IC$82,2)&gt;5,0,159.82))*-1</f>
        <v>-159.82</v>
      </c>
      <c r="ID135" s="39">
        <f>(IF(WEEKDAY(ID$82,2)&gt;5,0,156.72))*-1</f>
        <v>-156.72</v>
      </c>
      <c r="IE135" s="39">
        <f>(IF(WEEKDAY(IE$82,2)&gt;5,0,166.54))*-1</f>
        <v>-166.54</v>
      </c>
      <c r="IF135" s="39">
        <f>(IF(WEEKDAY(IF$82,2)&gt;5,0,133.39))*-1</f>
        <v>-133.38999999999999</v>
      </c>
      <c r="IG135" s="39">
        <f>(IF(WEEKDAY(IG$82,2)&gt;5,0,151.81))*-1</f>
        <v>0</v>
      </c>
      <c r="IH135" s="39">
        <f>(IF(WEEKDAY(IH$82,2)&gt;5,0,169.44))*-1</f>
        <v>0</v>
      </c>
      <c r="II135" s="39">
        <f>(IF(WEEKDAY(II$82,2)&gt;5,0,130.66))*-1</f>
        <v>-130.66</v>
      </c>
      <c r="IJ135" s="39">
        <f>(IF(WEEKDAY(IJ$82,2)&gt;5,0,147.42))*-1</f>
        <v>-147.41999999999999</v>
      </c>
      <c r="IK135" s="39">
        <f>(IF(WEEKDAY(IK$82,2)&gt;5,0,145.64))*-1</f>
        <v>-145.63999999999999</v>
      </c>
      <c r="IL135" s="39">
        <f>(IF(WEEKDAY(IL$82,2)&gt;5,0,169.02))*-1</f>
        <v>-169.02</v>
      </c>
    </row>
    <row r="136" spans="1:246" x14ac:dyDescent="0.3">
      <c r="A136" t="s">
        <v>118</v>
      </c>
      <c r="B136" s="39">
        <f>(IF(WEEKDAY(B$82,2)&gt;5,0,229.87))*-1</f>
        <v>-229.87</v>
      </c>
      <c r="C136" s="39">
        <f>(IF(WEEKDAY(C$82,2)&gt;5,0,203.54))*-1</f>
        <v>0</v>
      </c>
      <c r="D136" s="39">
        <f>(IF(WEEKDAY(D$82,2)&gt;5,0,202.52))*-1</f>
        <v>0</v>
      </c>
      <c r="E136" s="39">
        <f>(IF(WEEKDAY(E$82,2)&gt;5,0,195.06))*-1</f>
        <v>-195.06</v>
      </c>
      <c r="F136" s="39">
        <f>(IF(WEEKDAY(F$82,2)&gt;5,0,177.53))*-1</f>
        <v>-177.53</v>
      </c>
      <c r="G136" s="39">
        <f>(IF(WEEKDAY(G$82,2)&gt;5,0,216.86))*-1</f>
        <v>-216.86</v>
      </c>
      <c r="H136" s="39">
        <f>(IF(WEEKDAY(H$82,2)&gt;5,0,188.08))*-1</f>
        <v>-188.08</v>
      </c>
      <c r="I136" s="39">
        <f>(IF(WEEKDAY(I$82,2)&gt;5,0,177.8))*-1</f>
        <v>-177.8</v>
      </c>
      <c r="J136" s="39">
        <f>(IF(WEEKDAY(J$82,2)&gt;5,0,190.92))*-1</f>
        <v>0</v>
      </c>
      <c r="K136" s="39">
        <f>(IF(WEEKDAY(K$82,2)&gt;5,0,205.57))*-1</f>
        <v>0</v>
      </c>
      <c r="L136" s="39">
        <f>(IF(WEEKDAY(L$82,2)&gt;5,0,217.76))*-1</f>
        <v>-217.76</v>
      </c>
      <c r="M136" s="39">
        <f>(IF(WEEKDAY(M$82,2)&gt;5,0,185.95))*-1</f>
        <v>-185.95</v>
      </c>
      <c r="N136" s="39">
        <f>(IF(WEEKDAY(N$82,2)&gt;5,0,172.68))*-1</f>
        <v>-172.68</v>
      </c>
      <c r="O136" s="39">
        <f>(IF(WEEKDAY(O$82,2)&gt;5,0,190.3))*-1</f>
        <v>-190.3</v>
      </c>
      <c r="P136" s="39">
        <f>(IF(WEEKDAY(P$82,2)&gt;5,0,218.76))*-1</f>
        <v>-218.76</v>
      </c>
      <c r="Q136" s="39">
        <f>(IF(WEEKDAY(Q$82,2)&gt;5,0,173.39))*-1</f>
        <v>0</v>
      </c>
      <c r="R136" s="39">
        <f>(IF(WEEKDAY(R$82,2)&gt;5,0,206.86))*-1</f>
        <v>0</v>
      </c>
      <c r="S136" s="39">
        <f>(IF(WEEKDAY(S$82,2)&gt;5,0,202.6))*-1</f>
        <v>-202.6</v>
      </c>
      <c r="T136" s="39">
        <f>(IF(WEEKDAY(T$82,2)&gt;5,0,228.8))*-1</f>
        <v>-228.8</v>
      </c>
      <c r="U136" s="39">
        <f>(IF(WEEKDAY(U$82,2)&gt;5,0,205.38))*-1</f>
        <v>-205.38</v>
      </c>
      <c r="V136" s="39">
        <f>(IF(WEEKDAY(V$82,2)&gt;5,0,215.94))*-1</f>
        <v>-215.94</v>
      </c>
      <c r="W136" s="39">
        <f>(IF(WEEKDAY(W$82,2)&gt;5,0,176.36))*-1</f>
        <v>-176.36</v>
      </c>
      <c r="X136" s="39">
        <f>(IF(WEEKDAY(X$82,2)&gt;5,0,188.28))*-1</f>
        <v>0</v>
      </c>
      <c r="Y136" s="39">
        <f>(IF(WEEKDAY(Y$82,2)&gt;5,0,191.89))*-1</f>
        <v>0</v>
      </c>
      <c r="Z136" s="39">
        <f>(IF(WEEKDAY(Z$82,2)&gt;5,0,201.96))*-1</f>
        <v>-201.96</v>
      </c>
      <c r="AA136" s="39">
        <f>(IF(WEEKDAY(AA$82,2)&gt;5,0,213.44))*-1</f>
        <v>-213.44</v>
      </c>
      <c r="AB136" s="39">
        <f>(IF(WEEKDAY(AB$82,2)&gt;5,0,229.58))*-1</f>
        <v>-229.58</v>
      </c>
      <c r="AC136" s="39">
        <f>(IF(WEEKDAY(AC$82,2)&gt;5,0,171.55))*-1</f>
        <v>-171.55</v>
      </c>
      <c r="AD136" s="39">
        <f>(IF(WEEKDAY(AD$82,2)&gt;5,0,219.49))*-1</f>
        <v>-219.49</v>
      </c>
      <c r="AE136" s="39">
        <f>(IF(WEEKDAY(AE$82,2)&gt;5,0,170.81))*-1</f>
        <v>0</v>
      </c>
      <c r="AF136" s="39">
        <f>(IF(WEEKDAY(AF$82,2)&gt;5,0,211.88))*-1</f>
        <v>0</v>
      </c>
      <c r="AG136" s="39">
        <f>(IF(WEEKDAY(AG$82,2)&gt;5,0,205.65))*-1</f>
        <v>-205.65</v>
      </c>
      <c r="AH136" s="39">
        <f>(IF(WEEKDAY(AH$82,2)&gt;5,0,209.18))*-1</f>
        <v>-209.18</v>
      </c>
      <c r="AI136" s="39">
        <f>(IF(WEEKDAY(AI$82,2)&gt;5,0,181.78))*-1</f>
        <v>-181.78</v>
      </c>
      <c r="AJ136" s="39">
        <f>(IF(WEEKDAY(AJ$82,2)&gt;5,0,197.02))*-1</f>
        <v>-197.02</v>
      </c>
      <c r="AK136" s="39">
        <f>(IF(WEEKDAY(AK$82,2)&gt;5,0,221.4))*-1</f>
        <v>-221.4</v>
      </c>
      <c r="AL136" s="39">
        <f>(IF(WEEKDAY(AL$82,2)&gt;5,0,192.81))*-1</f>
        <v>0</v>
      </c>
      <c r="AM136" s="39">
        <f>(IF(WEEKDAY(AM$82,2)&gt;5,0,209.57))*-1</f>
        <v>0</v>
      </c>
      <c r="AN136" s="39">
        <f>(IF(WEEKDAY(AN$82,2)&gt;5,0,190.52))*-1</f>
        <v>-190.52</v>
      </c>
      <c r="AO136" s="39">
        <f>(IF(WEEKDAY(AO$82,2)&gt;5,0,218.24))*-1</f>
        <v>-218.24</v>
      </c>
      <c r="AP136" s="39">
        <f>(IF(WEEKDAY(AP$82,2)&gt;5,0,228.93))*-1</f>
        <v>-228.93</v>
      </c>
      <c r="AQ136" s="39">
        <f>(IF(WEEKDAY(AQ$82,2)&gt;5,0,206.66))*-1</f>
        <v>-206.66</v>
      </c>
      <c r="AR136" s="39">
        <f>(IF(WEEKDAY(AR$82,2)&gt;5,0,196.2))*-1</f>
        <v>-196.2</v>
      </c>
      <c r="AS136" s="39">
        <f>(IF(WEEKDAY(AS$82,2)&gt;5,0,217.73))*-1</f>
        <v>0</v>
      </c>
      <c r="AT136" s="39">
        <f>(IF(WEEKDAY(AT$82,2)&gt;5,0,191.71))*-1</f>
        <v>0</v>
      </c>
      <c r="AU136" s="39">
        <f>(IF(WEEKDAY(AU$82,2)&gt;5,0,178.6))*-1</f>
        <v>-178.6</v>
      </c>
      <c r="AV136" s="39">
        <f>(IF(WEEKDAY(AV$82,2)&gt;5,0,170.24))*-1</f>
        <v>-170.24</v>
      </c>
      <c r="AW136" s="39">
        <f>(IF(WEEKDAY(AW$82,2)&gt;5,0,213.8))*-1</f>
        <v>-213.8</v>
      </c>
      <c r="AX136" s="39">
        <f>(IF(WEEKDAY(AX$82,2)&gt;5,0,182.68))*-1</f>
        <v>-182.68</v>
      </c>
      <c r="AY136" s="39">
        <f>(IF(WEEKDAY(AY$82,2)&gt;5,0,219.23))*-1</f>
        <v>-219.23</v>
      </c>
      <c r="AZ136" s="39">
        <f>(IF(WEEKDAY(AZ$82,2)&gt;5,0,225.9))*-1</f>
        <v>0</v>
      </c>
      <c r="BA136" s="39">
        <f>(IF(WEEKDAY(BA$82,2)&gt;5,0,198.78))*-1</f>
        <v>0</v>
      </c>
      <c r="BB136" s="39">
        <f>(IF(WEEKDAY(BB$82,2)&gt;5,0,175.79))*-1</f>
        <v>-175.79</v>
      </c>
      <c r="BC136" s="39">
        <f>(IF(WEEKDAY(BC$82,2)&gt;5,0,178.31))*-1</f>
        <v>-178.31</v>
      </c>
      <c r="BD136" s="39">
        <f>(IF(WEEKDAY(BD$82,2)&gt;5,0,185.13))*-1</f>
        <v>-185.13</v>
      </c>
      <c r="BE136" s="39">
        <f>(IF(WEEKDAY(BE$82,2)&gt;5,0,177.98))*-1</f>
        <v>-177.98</v>
      </c>
      <c r="BF136" s="39">
        <f>(IF(WEEKDAY(BF$82,2)&gt;5,0,193.68))*-1</f>
        <v>-193.68</v>
      </c>
      <c r="BG136" s="39">
        <f>(IF(WEEKDAY(BG$82,2)&gt;5,0,206.55))*-1</f>
        <v>0</v>
      </c>
      <c r="BH136" s="39">
        <f>(IF(WEEKDAY(BH$82,2)&gt;5,0,200.34))*-1</f>
        <v>0</v>
      </c>
      <c r="BI136" s="39">
        <f>(IF(WEEKDAY(BI$82,2)&gt;5,0,180.65))*-1</f>
        <v>-180.65</v>
      </c>
      <c r="BJ136" s="39">
        <f>(IF(WEEKDAY(BJ$82,2)&gt;5,0,223.01))*-1</f>
        <v>-223.01</v>
      </c>
      <c r="BK136" s="39">
        <f>(IF(WEEKDAY(BK$82,2)&gt;5,0,215.96))*-1</f>
        <v>-215.96</v>
      </c>
      <c r="BL136" s="39">
        <f>(IF(WEEKDAY(BL$82,2)&gt;5,0,220.67))*-1</f>
        <v>-220.67</v>
      </c>
      <c r="BM136" s="39">
        <f>(IF(WEEKDAY(BM$82,2)&gt;5,0,203.31))*-1</f>
        <v>-203.31</v>
      </c>
      <c r="BN136" s="39">
        <f>(IF(WEEKDAY(BN$82,2)&gt;5,0,178.13))*-1</f>
        <v>0</v>
      </c>
      <c r="BO136" s="39">
        <f>(IF(WEEKDAY(BO$82,2)&gt;5,0,188.03))*-1</f>
        <v>0</v>
      </c>
      <c r="BP136" s="39">
        <f>(IF(WEEKDAY(BP$82,2)&gt;5,0,175.89))*-1</f>
        <v>-175.89</v>
      </c>
      <c r="BQ136" s="39">
        <f>(IF(WEEKDAY(BQ$82,2)&gt;5,0,228.84))*-1</f>
        <v>-228.84</v>
      </c>
      <c r="BR136" s="39">
        <f>(IF(WEEKDAY(BR$82,2)&gt;5,0,200.06))*-1</f>
        <v>-200.06</v>
      </c>
      <c r="BS136" s="39">
        <f>(IF(WEEKDAY(BS$82,2)&gt;5,0,170.39))*-1</f>
        <v>-170.39</v>
      </c>
      <c r="BT136" s="39">
        <f>(IF(WEEKDAY(BT$82,2)&gt;5,0,210.02))*-1</f>
        <v>-210.02</v>
      </c>
      <c r="BU136" s="39">
        <f>(IF(WEEKDAY(BU$82,2)&gt;5,0,182.52))*-1</f>
        <v>0</v>
      </c>
      <c r="BV136" s="39">
        <f>(IF(WEEKDAY(BV$82,2)&gt;5,0,171.13))*-1</f>
        <v>0</v>
      </c>
      <c r="BW136" s="39">
        <f>(IF(WEEKDAY(BW$82,2)&gt;5,0,217.18))*-1</f>
        <v>-217.18</v>
      </c>
      <c r="BX136" s="39">
        <f>(IF(WEEKDAY(BX$82,2)&gt;5,0,182.75))*-1</f>
        <v>-182.75</v>
      </c>
      <c r="BY136" s="39">
        <f>(IF(WEEKDAY(BY$82,2)&gt;5,0,211.32))*-1</f>
        <v>-211.32</v>
      </c>
      <c r="BZ136" s="39">
        <f>(IF(WEEKDAY(BZ$82,2)&gt;5,0,212.78))*-1</f>
        <v>-212.78</v>
      </c>
      <c r="CA136" s="39">
        <f>(IF(WEEKDAY(CA$82,2)&gt;5,0,219.16))*-1</f>
        <v>-219.16</v>
      </c>
      <c r="CB136" s="39">
        <f>(IF(WEEKDAY(CB$82,2)&gt;5,0,170.92))*-1</f>
        <v>0</v>
      </c>
      <c r="CC136" s="39">
        <f>(IF(WEEKDAY(CC$82,2)&gt;5,0,180.13))*-1</f>
        <v>0</v>
      </c>
      <c r="CD136" s="39">
        <f>(IF(WEEKDAY(CD$82,2)&gt;5,0,188.73))*-1</f>
        <v>-188.73</v>
      </c>
      <c r="CE136" s="39">
        <f>(IF(WEEKDAY(CE$82,2)&gt;5,0,196.63))*-1</f>
        <v>-196.63</v>
      </c>
      <c r="CF136" s="39">
        <f>(IF(WEEKDAY(CF$82,2)&gt;5,0,228.35))*-1</f>
        <v>-228.35</v>
      </c>
      <c r="CG136" s="39">
        <f>(IF(WEEKDAY(CG$82,2)&gt;5,0,185.14))*-1</f>
        <v>-185.14</v>
      </c>
      <c r="CH136" s="39">
        <f>(IF(WEEKDAY(CH$82,2)&gt;5,0,170.02))*-1</f>
        <v>-170.02</v>
      </c>
      <c r="CI136" s="39">
        <f>(IF(WEEKDAY(CI$82,2)&gt;5,0,210.18))*-1</f>
        <v>0</v>
      </c>
      <c r="CJ136" s="39">
        <f>(IF(WEEKDAY(CJ$82,2)&gt;5,0,173.58))*-1</f>
        <v>0</v>
      </c>
      <c r="CK136" s="39">
        <f>(IF(WEEKDAY(CK$82,2)&gt;5,0,218.12))*-1</f>
        <v>-218.12</v>
      </c>
      <c r="CL136" s="39">
        <f>(IF(WEEKDAY(CL$82,2)&gt;5,0,213.9))*-1</f>
        <v>-213.9</v>
      </c>
      <c r="CM136" s="39">
        <f>(IF(WEEKDAY(CM$82,2)&gt;5,0,184.77))*-1</f>
        <v>-184.77</v>
      </c>
      <c r="CN136" s="39">
        <f>(IF(WEEKDAY(CN$82,2)&gt;5,0,207.1))*-1</f>
        <v>-207.1</v>
      </c>
      <c r="CO136" s="39">
        <f>(IF(WEEKDAY(CO$82,2)&gt;5,0,214.9))*-1</f>
        <v>-214.9</v>
      </c>
      <c r="CP136" s="39">
        <f>(IF(WEEKDAY(CP$82,2)&gt;5,0,182.56))*-1</f>
        <v>0</v>
      </c>
      <c r="CQ136" s="39">
        <f>(IF(WEEKDAY(CQ$82,2)&gt;5,0,225.74))*-1</f>
        <v>0</v>
      </c>
      <c r="CR136" s="39">
        <f>(IF(WEEKDAY(CR$82,2)&gt;5,0,189.39))*-1</f>
        <v>-189.39</v>
      </c>
      <c r="CS136" s="39">
        <f>(IF(WEEKDAY(CS$82,2)&gt;5,0,179.73))*-1</f>
        <v>-179.73</v>
      </c>
      <c r="CT136" s="39">
        <f>(IF(WEEKDAY(CT$82,2)&gt;5,0,171.23))*-1</f>
        <v>-171.23</v>
      </c>
      <c r="CU136" s="39">
        <f>(IF(WEEKDAY(CU$82,2)&gt;5,0,173.12))*-1</f>
        <v>-173.12</v>
      </c>
      <c r="CV136" s="39">
        <f>(IF(WEEKDAY(CV$82,2)&gt;5,0,193.27))*-1</f>
        <v>-193.27</v>
      </c>
      <c r="CW136" s="39">
        <f>(IF(WEEKDAY(CW$82,2)&gt;5,0,189.82))*-1</f>
        <v>0</v>
      </c>
      <c r="CX136" s="39">
        <f>(IF(WEEKDAY(CX$82,2)&gt;5,0,182.99))*-1</f>
        <v>0</v>
      </c>
      <c r="CY136" s="39">
        <f>(IF(WEEKDAY(CY$82,2)&gt;5,0,203.2))*-1</f>
        <v>-203.2</v>
      </c>
      <c r="CZ136" s="39">
        <f>(IF(WEEKDAY(CZ$82,2)&gt;5,0,206.21))*-1</f>
        <v>-206.21</v>
      </c>
      <c r="DA136" s="39">
        <f>(IF(WEEKDAY(DA$82,2)&gt;5,0,186.26))*-1</f>
        <v>-186.26</v>
      </c>
      <c r="DB136" s="39">
        <f>(IF(WEEKDAY(DB$82,2)&gt;5,0,199.02))*-1</f>
        <v>-199.02</v>
      </c>
      <c r="DC136" s="39">
        <f>(IF(WEEKDAY(DC$82,2)&gt;5,0,200.47))*-1</f>
        <v>-200.47</v>
      </c>
      <c r="DD136" s="39">
        <f>(IF(WEEKDAY(DD$82,2)&gt;5,0,176.48))*-1</f>
        <v>0</v>
      </c>
      <c r="DE136" s="39">
        <f>(IF(WEEKDAY(DE$82,2)&gt;5,0,200.53))*-1</f>
        <v>0</v>
      </c>
      <c r="DF136" s="39">
        <f>(IF(WEEKDAY(DF$82,2)&gt;5,0,193.42))*-1</f>
        <v>-193.42</v>
      </c>
      <c r="DG136" s="39">
        <f>(IF(WEEKDAY(DG$82,2)&gt;5,0,180.22))*-1</f>
        <v>-180.22</v>
      </c>
      <c r="DH136" s="39">
        <f>(IF(WEEKDAY(DH$82,2)&gt;5,0,196.36))*-1</f>
        <v>-196.36</v>
      </c>
      <c r="DI136" s="39">
        <f>(IF(WEEKDAY(DI$82,2)&gt;5,0,208.47))*-1</f>
        <v>-208.47</v>
      </c>
      <c r="DJ136" s="39">
        <f>(IF(WEEKDAY(DJ$82,2)&gt;5,0,172.69))*-1</f>
        <v>-172.69</v>
      </c>
      <c r="DK136" s="39">
        <f>(IF(WEEKDAY(DK$82,2)&gt;5,0,180.5))*-1</f>
        <v>0</v>
      </c>
      <c r="DL136" s="39">
        <f>(IF(WEEKDAY(DL$82,2)&gt;5,0,216.21))*-1</f>
        <v>0</v>
      </c>
      <c r="DM136" s="39">
        <f>(IF(WEEKDAY(DM$82,2)&gt;5,0,176.07))*-1</f>
        <v>-176.07</v>
      </c>
      <c r="DN136" s="39">
        <f>(IF(WEEKDAY(DN$82,2)&gt;5,0,191.61))*-1</f>
        <v>-191.61</v>
      </c>
      <c r="DO136" s="39">
        <f>(IF(WEEKDAY(DO$82,2)&gt;5,0,201.96))*-1</f>
        <v>-201.96</v>
      </c>
      <c r="DP136" s="39">
        <f>(IF(WEEKDAY(DP$82,2)&gt;5,0,224.04))*-1</f>
        <v>-224.04</v>
      </c>
      <c r="DQ136" s="39">
        <f>(IF(WEEKDAY(DQ$82,2)&gt;5,0,181.63))*-1</f>
        <v>-181.63</v>
      </c>
      <c r="DR136" s="39">
        <f>(IF(WEEKDAY(DR$82,2)&gt;5,0,184.74))*-1</f>
        <v>0</v>
      </c>
      <c r="DS136" s="39">
        <f>(IF(WEEKDAY(DS$82,2)&gt;5,0,180.74))*-1</f>
        <v>0</v>
      </c>
      <c r="DT136" s="39">
        <f>(IF(WEEKDAY(DT$82,2)&gt;5,0,202.01))*-1</f>
        <v>-202.01</v>
      </c>
      <c r="DU136" s="39">
        <f>(IF(WEEKDAY(DU$82,2)&gt;5,0,208.57))*-1</f>
        <v>-208.57</v>
      </c>
      <c r="DV136" s="39">
        <f>(IF(WEEKDAY(DV$82,2)&gt;5,0,185.75))*-1</f>
        <v>-185.75</v>
      </c>
      <c r="DW136" s="39">
        <f>(IF(WEEKDAY(DW$82,2)&gt;5,0,215.6))*-1</f>
        <v>-215.6</v>
      </c>
      <c r="DX136" s="39">
        <f>(IF(WEEKDAY(DX$82,2)&gt;5,0,189.19))*-1</f>
        <v>-189.19</v>
      </c>
      <c r="DY136" s="39">
        <f>(IF(WEEKDAY(DY$82,2)&gt;5,0,229.2))*-1</f>
        <v>0</v>
      </c>
      <c r="DZ136" s="39">
        <f>(IF(WEEKDAY(DZ$82,2)&gt;5,0,183.56))*-1</f>
        <v>0</v>
      </c>
      <c r="EA136" s="39">
        <f>(IF(WEEKDAY(EA$82,2)&gt;5,0,214.21))*-1</f>
        <v>-214.21</v>
      </c>
      <c r="EB136" s="39">
        <f>(IF(WEEKDAY(EB$82,2)&gt;5,0,192.62))*-1</f>
        <v>-192.62</v>
      </c>
      <c r="EC136" s="39">
        <f>(IF(WEEKDAY(EC$82,2)&gt;5,0,171.54))*-1</f>
        <v>-171.54</v>
      </c>
      <c r="ED136" s="39">
        <f>(IF(WEEKDAY(ED$82,2)&gt;5,0,178.11))*-1</f>
        <v>-178.11</v>
      </c>
      <c r="EE136" s="39">
        <f>(IF(WEEKDAY(EE$82,2)&gt;5,0,206.41))*-1</f>
        <v>-206.41</v>
      </c>
      <c r="EF136" s="39">
        <f>(IF(WEEKDAY(EF$82,2)&gt;5,0,211.16))*-1</f>
        <v>0</v>
      </c>
      <c r="EG136" s="39">
        <f>(IF(WEEKDAY(EG$82,2)&gt;5,0,202.74))*-1</f>
        <v>0</v>
      </c>
      <c r="EH136" s="39">
        <f>(IF(WEEKDAY(EH$82,2)&gt;5,0,198.08))*-1</f>
        <v>-198.08</v>
      </c>
      <c r="EI136" s="39">
        <f>(IF(WEEKDAY(EI$82,2)&gt;5,0,211.93))*-1</f>
        <v>-211.93</v>
      </c>
      <c r="EJ136" s="39">
        <f>(IF(WEEKDAY(EJ$82,2)&gt;5,0,175.74))*-1</f>
        <v>-175.74</v>
      </c>
      <c r="EK136" s="39">
        <f>(IF(WEEKDAY(EK$82,2)&gt;5,0,203.58))*-1</f>
        <v>-203.58</v>
      </c>
      <c r="EL136" s="39">
        <f>(IF(WEEKDAY(EL$82,2)&gt;5,0,182.82))*-1</f>
        <v>-182.82</v>
      </c>
      <c r="EM136" s="39">
        <f>(IF(WEEKDAY(EM$82,2)&gt;5,0,191.56))*-1</f>
        <v>0</v>
      </c>
      <c r="EN136" s="39">
        <f>(IF(WEEKDAY(EN$82,2)&gt;5,0,185.13))*-1</f>
        <v>0</v>
      </c>
      <c r="EO136" s="39">
        <f>(IF(WEEKDAY(EO$82,2)&gt;5,0,173.2))*-1</f>
        <v>-173.2</v>
      </c>
      <c r="EP136" s="39">
        <f>(IF(WEEKDAY(EP$82,2)&gt;5,0,198.76))*-1</f>
        <v>-198.76</v>
      </c>
      <c r="EQ136" s="39">
        <f>(IF(WEEKDAY(EQ$82,2)&gt;5,0,203.48))*-1</f>
        <v>-203.48</v>
      </c>
      <c r="ER136" s="39">
        <f>(IF(WEEKDAY(ER$82,2)&gt;5,0,180.09))*-1</f>
        <v>-180.09</v>
      </c>
      <c r="ES136" s="39">
        <f>(IF(WEEKDAY(ES$82,2)&gt;5,0,176.71))*-1</f>
        <v>-176.71</v>
      </c>
      <c r="ET136" s="39">
        <f>(IF(WEEKDAY(ET$82,2)&gt;5,0,189.13))*-1</f>
        <v>0</v>
      </c>
      <c r="EU136" s="39">
        <f>(IF(WEEKDAY(EU$82,2)&gt;5,0,211.88))*-1</f>
        <v>0</v>
      </c>
      <c r="EV136" s="39">
        <f>(IF(WEEKDAY(EV$82,2)&gt;5,0,171.73))*-1</f>
        <v>-171.73</v>
      </c>
      <c r="EW136" s="39">
        <f>(IF(WEEKDAY(EW$82,2)&gt;5,0,199.41))*-1</f>
        <v>-199.41</v>
      </c>
      <c r="EX136" s="39">
        <f>(IF(WEEKDAY(EX$82,2)&gt;5,0,192.65))*-1</f>
        <v>-192.65</v>
      </c>
      <c r="EY136" s="39">
        <f>(IF(WEEKDAY(EY$82,2)&gt;5,0,212.41))*-1</f>
        <v>-212.41</v>
      </c>
      <c r="EZ136" s="39">
        <f>(IF(WEEKDAY(EZ$82,2)&gt;5,0,221.26))*-1</f>
        <v>-221.26</v>
      </c>
      <c r="FA136" s="39">
        <f>(IF(WEEKDAY(FA$82,2)&gt;5,0,209.3))*-1</f>
        <v>0</v>
      </c>
      <c r="FB136" s="39">
        <f>(IF(WEEKDAY(FB$82,2)&gt;5,0,183.13))*-1</f>
        <v>0</v>
      </c>
      <c r="FC136" s="39">
        <f>(IF(WEEKDAY(FC$82,2)&gt;5,0,179.92))*-1</f>
        <v>-179.92</v>
      </c>
      <c r="FD136" s="39">
        <f>(IF(WEEKDAY(FD$82,2)&gt;5,0,220.9))*-1</f>
        <v>-220.9</v>
      </c>
      <c r="FE136" s="39">
        <f>(IF(WEEKDAY(FE$82,2)&gt;5,0,209.61))*-1</f>
        <v>-209.61</v>
      </c>
      <c r="FF136" s="39">
        <f>(IF(WEEKDAY(FF$82,2)&gt;5,0,226.27))*-1</f>
        <v>-226.27</v>
      </c>
      <c r="FG136" s="39">
        <f>(IF(WEEKDAY(FG$82,2)&gt;5,0,217.5))*-1</f>
        <v>-217.5</v>
      </c>
      <c r="FH136" s="39">
        <f>(IF(WEEKDAY(FH$82,2)&gt;5,0,182.33))*-1</f>
        <v>0</v>
      </c>
      <c r="FI136" s="39">
        <f>(IF(WEEKDAY(FI$82,2)&gt;5,0,197.93))*-1</f>
        <v>0</v>
      </c>
      <c r="FJ136" s="39">
        <f>(IF(WEEKDAY(FJ$82,2)&gt;5,0,198.51))*-1</f>
        <v>-198.51</v>
      </c>
      <c r="FK136" s="39">
        <f>(IF(WEEKDAY(FK$82,2)&gt;5,0,210.95))*-1</f>
        <v>-210.95</v>
      </c>
      <c r="FL136" s="39">
        <f>(IF(WEEKDAY(FL$82,2)&gt;5,0,211.2))*-1</f>
        <v>-211.2</v>
      </c>
      <c r="FM136" s="39">
        <f>(IF(WEEKDAY(FM$82,2)&gt;5,0,186.5))*-1</f>
        <v>-186.5</v>
      </c>
      <c r="FN136" s="39">
        <f>(IF(WEEKDAY(FN$82,2)&gt;5,0,215.98))*-1</f>
        <v>-215.98</v>
      </c>
      <c r="FO136" s="39">
        <f>(IF(WEEKDAY(FO$82,2)&gt;5,0,228.64))*-1</f>
        <v>0</v>
      </c>
      <c r="FP136" s="39">
        <f>(IF(WEEKDAY(FP$82,2)&gt;5,0,200.48))*-1</f>
        <v>0</v>
      </c>
      <c r="FQ136" s="39">
        <f>(IF(WEEKDAY(FQ$82,2)&gt;5,0,190.68))*-1</f>
        <v>-190.68</v>
      </c>
      <c r="FR136" s="39">
        <f>(IF(WEEKDAY(FR$82,2)&gt;5,0,190.85))*-1</f>
        <v>-190.85</v>
      </c>
      <c r="FS136" s="39">
        <f>(IF(WEEKDAY(FS$82,2)&gt;5,0,217.73))*-1</f>
        <v>-217.73</v>
      </c>
      <c r="FT136" s="39">
        <f>(IF(WEEKDAY(FT$82,2)&gt;5,0,199.77))*-1</f>
        <v>-199.77</v>
      </c>
      <c r="FU136" s="39">
        <f>(IF(WEEKDAY(FU$82,2)&gt;5,0,222.7))*-1</f>
        <v>-222.7</v>
      </c>
      <c r="FV136" s="39">
        <f>(IF(WEEKDAY(FV$82,2)&gt;5,0,199.86))*-1</f>
        <v>0</v>
      </c>
      <c r="FW136" s="39">
        <f>(IF(WEEKDAY(FW$82,2)&gt;5,0,184.33))*-1</f>
        <v>0</v>
      </c>
      <c r="FX136" s="39">
        <f>(IF(WEEKDAY(FX$82,2)&gt;5,0,177.87))*-1</f>
        <v>-177.87</v>
      </c>
      <c r="FY136" s="39">
        <f>(IF(WEEKDAY(FY$82,2)&gt;5,0,217.23))*-1</f>
        <v>-217.23</v>
      </c>
      <c r="FZ136" s="39">
        <f>(IF(WEEKDAY(FZ$82,2)&gt;5,0,204.96))*-1</f>
        <v>-204.96</v>
      </c>
      <c r="GA136" s="39">
        <f>(IF(WEEKDAY(GA$82,2)&gt;5,0,179.58))*-1</f>
        <v>-179.58</v>
      </c>
      <c r="GB136" s="39">
        <f>(IF(WEEKDAY(GB$82,2)&gt;5,0,194.23))*-1</f>
        <v>-194.23</v>
      </c>
      <c r="GC136" s="39">
        <f>(IF(WEEKDAY(GC$82,2)&gt;5,0,172.29))*-1</f>
        <v>0</v>
      </c>
      <c r="GD136" s="39">
        <f>(IF(WEEKDAY(GD$82,2)&gt;5,0,196.52))*-1</f>
        <v>0</v>
      </c>
      <c r="GE136" s="39">
        <f>(IF(WEEKDAY(GE$82,2)&gt;5,0,171.81))*-1</f>
        <v>-171.81</v>
      </c>
      <c r="GF136" s="39">
        <f>(IF(WEEKDAY(GF$82,2)&gt;5,0,212.77))*-1</f>
        <v>-212.77</v>
      </c>
      <c r="GG136" s="39">
        <f>(IF(WEEKDAY(GG$82,2)&gt;5,0,225.51))*-1</f>
        <v>-225.51</v>
      </c>
      <c r="GH136" s="39">
        <f>(IF(WEEKDAY(GH$82,2)&gt;5,0,205.16))*-1</f>
        <v>-205.16</v>
      </c>
      <c r="GI136" s="39">
        <f>(IF(WEEKDAY(GI$82,2)&gt;5,0,224.59))*-1</f>
        <v>-224.59</v>
      </c>
      <c r="GJ136" s="39">
        <f>(IF(WEEKDAY(GJ$82,2)&gt;5,0,196.04))*-1</f>
        <v>0</v>
      </c>
      <c r="GK136" s="39">
        <f>(IF(WEEKDAY(GK$82,2)&gt;5,0,194.12))*-1</f>
        <v>0</v>
      </c>
      <c r="GL136" s="39">
        <f>(IF(WEEKDAY(GL$82,2)&gt;5,0,222.16))*-1</f>
        <v>-222.16</v>
      </c>
      <c r="GM136" s="39">
        <f>(IF(WEEKDAY(GM$82,2)&gt;5,0,227.04))*-1</f>
        <v>-227.04</v>
      </c>
      <c r="GN136" s="39">
        <f>(IF(WEEKDAY(GN$82,2)&gt;5,0,205.14))*-1</f>
        <v>-205.14</v>
      </c>
      <c r="GO136" s="39">
        <f>(IF(WEEKDAY(GO$82,2)&gt;5,0,182.27))*-1</f>
        <v>-182.27</v>
      </c>
      <c r="GP136" s="39">
        <f>(IF(WEEKDAY(GP$82,2)&gt;5,0,225.78))*-1</f>
        <v>-225.78</v>
      </c>
      <c r="GQ136" s="39">
        <f>(IF(WEEKDAY(GQ$82,2)&gt;5,0,192.99))*-1</f>
        <v>0</v>
      </c>
      <c r="GR136" s="39">
        <f>(IF(WEEKDAY(GR$82,2)&gt;5,0,170.82))*-1</f>
        <v>0</v>
      </c>
      <c r="GS136" s="39">
        <f>(IF(WEEKDAY(GS$82,2)&gt;5,0,190.52))*-1</f>
        <v>-190.52</v>
      </c>
      <c r="GT136" s="39">
        <f>(IF(WEEKDAY(GT$82,2)&gt;5,0,204.71))*-1</f>
        <v>-204.71</v>
      </c>
      <c r="GU136" s="39">
        <f>(IF(WEEKDAY(GU$82,2)&gt;5,0,179.26))*-1</f>
        <v>-179.26</v>
      </c>
      <c r="GV136" s="39">
        <f>(IF(WEEKDAY(GV$82,2)&gt;5,0,199.38))*-1</f>
        <v>-199.38</v>
      </c>
      <c r="GW136" s="39">
        <f>(IF(WEEKDAY(GW$82,2)&gt;5,0,199.66))*-1</f>
        <v>-199.66</v>
      </c>
      <c r="GX136" s="39">
        <f>(IF(WEEKDAY(GX$82,2)&gt;5,0,194.45))*-1</f>
        <v>0</v>
      </c>
      <c r="GY136" s="39">
        <f>(IF(WEEKDAY(GY$82,2)&gt;5,0,186.38))*-1</f>
        <v>0</v>
      </c>
      <c r="GZ136" s="39">
        <f>(IF(WEEKDAY(GZ$82,2)&gt;5,0,193.96))*-1</f>
        <v>-193.96</v>
      </c>
      <c r="HA136" s="39">
        <f>(IF(WEEKDAY(HA$82,2)&gt;5,0,218.99))*-1</f>
        <v>-218.99</v>
      </c>
      <c r="HB136" s="39">
        <f>(IF(WEEKDAY(HB$82,2)&gt;5,0,176.03))*-1</f>
        <v>-176.03</v>
      </c>
      <c r="HC136" s="39">
        <f>(IF(WEEKDAY(HC$82,2)&gt;5,0,174.8))*-1</f>
        <v>-174.8</v>
      </c>
      <c r="HD136" s="39">
        <f>(IF(WEEKDAY(HD$82,2)&gt;5,0,190.67))*-1</f>
        <v>-190.67</v>
      </c>
      <c r="HE136" s="39">
        <f>(IF(WEEKDAY(HE$82,2)&gt;5,0,215.21))*-1</f>
        <v>0</v>
      </c>
      <c r="HF136" s="39">
        <f>(IF(WEEKDAY(HF$82,2)&gt;5,0,183.1))*-1</f>
        <v>0</v>
      </c>
      <c r="HG136" s="39">
        <f>(IF(WEEKDAY(HG$82,2)&gt;5,0,216.4))*-1</f>
        <v>-216.4</v>
      </c>
      <c r="HH136" s="39">
        <f>(IF(WEEKDAY(HH$82,2)&gt;5,0,184.52))*-1</f>
        <v>-184.52</v>
      </c>
      <c r="HI136" s="39">
        <f>(IF(WEEKDAY(HI$82,2)&gt;5,0,175.28))*-1</f>
        <v>-175.28</v>
      </c>
      <c r="HJ136" s="39">
        <f>(IF(WEEKDAY(HJ$82,2)&gt;5,0,199.89))*-1</f>
        <v>-199.89</v>
      </c>
      <c r="HK136" s="39">
        <f>(IF(WEEKDAY(HK$82,2)&gt;5,0,228.86))*-1</f>
        <v>-228.86</v>
      </c>
      <c r="HL136" s="39">
        <f>(IF(WEEKDAY(HL$82,2)&gt;5,0,192.43))*-1</f>
        <v>0</v>
      </c>
      <c r="HM136" s="39">
        <f>(IF(WEEKDAY(HM$82,2)&gt;5,0,204.01))*-1</f>
        <v>0</v>
      </c>
      <c r="HN136" s="39">
        <f>(IF(WEEKDAY(HN$82,2)&gt;5,0,181.58))*-1</f>
        <v>-181.58</v>
      </c>
      <c r="HO136" s="39">
        <f>(IF(WEEKDAY(HO$82,2)&gt;5,0,213.06))*-1</f>
        <v>-213.06</v>
      </c>
      <c r="HP136" s="39">
        <f>(IF(WEEKDAY(HP$82,2)&gt;5,0,193.38))*-1</f>
        <v>-193.38</v>
      </c>
      <c r="HQ136" s="39">
        <f>(IF(WEEKDAY(HQ$82,2)&gt;5,0,224.03))*-1</f>
        <v>-224.03</v>
      </c>
      <c r="HR136" s="39">
        <f>(IF(WEEKDAY(HR$82,2)&gt;5,0,189.27))*-1</f>
        <v>-189.27</v>
      </c>
      <c r="HS136" s="39">
        <f>(IF(WEEKDAY(HS$82,2)&gt;5,0,206.3))*-1</f>
        <v>0</v>
      </c>
      <c r="HT136" s="39">
        <f>(IF(WEEKDAY(HT$82,2)&gt;5,0,213.75))*-1</f>
        <v>0</v>
      </c>
      <c r="HU136" s="39">
        <f>(IF(WEEKDAY(HU$82,2)&gt;5,0,208.27))*-1</f>
        <v>-208.27</v>
      </c>
      <c r="HV136" s="39">
        <f>(IF(WEEKDAY(HV$82,2)&gt;5,0,184.06))*-1</f>
        <v>-184.06</v>
      </c>
      <c r="HW136" s="39">
        <f>(IF(WEEKDAY(HW$82,2)&gt;5,0,216.61))*-1</f>
        <v>-216.61</v>
      </c>
      <c r="HX136" s="39">
        <f>(IF(WEEKDAY(HX$82,2)&gt;5,0,224.01))*-1</f>
        <v>-224.01</v>
      </c>
      <c r="HY136" s="39">
        <f>(IF(WEEKDAY(HY$82,2)&gt;5,0,209.36))*-1</f>
        <v>-209.36</v>
      </c>
      <c r="HZ136" s="39">
        <f>(IF(WEEKDAY(HZ$82,2)&gt;5,0,205.41))*-1</f>
        <v>0</v>
      </c>
      <c r="IA136" s="39">
        <f>(IF(WEEKDAY(IA$82,2)&gt;5,0,214.35))*-1</f>
        <v>0</v>
      </c>
      <c r="IB136" s="39">
        <f>(IF(WEEKDAY(IB$82,2)&gt;5,0,216.55))*-1</f>
        <v>-216.55</v>
      </c>
      <c r="IC136" s="39">
        <f>(IF(WEEKDAY(IC$82,2)&gt;5,0,216.18))*-1</f>
        <v>-216.18</v>
      </c>
      <c r="ID136" s="39">
        <f>(IF(WEEKDAY(ID$82,2)&gt;5,0,211.11))*-1</f>
        <v>-211.11</v>
      </c>
      <c r="IE136" s="39">
        <f>(IF(WEEKDAY(IE$82,2)&gt;5,0,219.34))*-1</f>
        <v>-219.34</v>
      </c>
      <c r="IF136" s="39">
        <f>(IF(WEEKDAY(IF$82,2)&gt;5,0,173.16))*-1</f>
        <v>-173.16</v>
      </c>
      <c r="IG136" s="39">
        <f>(IF(WEEKDAY(IG$82,2)&gt;5,0,186.24))*-1</f>
        <v>0</v>
      </c>
      <c r="IH136" s="39">
        <f>(IF(WEEKDAY(IH$82,2)&gt;5,0,220.19))*-1</f>
        <v>0</v>
      </c>
      <c r="II136" s="39">
        <f>(IF(WEEKDAY(II$82,2)&gt;5,0,187.47))*-1</f>
        <v>-187.47</v>
      </c>
      <c r="IJ136" s="39">
        <f>(IF(WEEKDAY(IJ$82,2)&gt;5,0,196.69))*-1</f>
        <v>-196.69</v>
      </c>
      <c r="IK136" s="39">
        <f>(IF(WEEKDAY(IK$82,2)&gt;5,0,187.49))*-1</f>
        <v>-187.49</v>
      </c>
      <c r="IL136" s="39">
        <f>(IF(WEEKDAY(IL$82,2)&gt;5,0,223.04))*-1</f>
        <v>-223.04</v>
      </c>
    </row>
    <row r="137" spans="1:246" x14ac:dyDescent="0.3">
      <c r="A137" t="s">
        <v>119</v>
      </c>
      <c r="B137" s="39">
        <f>(IF(WEEKDAY(B$82,2)&gt;5,0,64.04))*-1</f>
        <v>-64.040000000000006</v>
      </c>
      <c r="C137" s="39">
        <f>(IF(WEEKDAY(C$82,2)&gt;5,0,56.05))*-1</f>
        <v>0</v>
      </c>
      <c r="D137" s="39">
        <f>(IF(WEEKDAY(D$82,2)&gt;5,0,56.04))*-1</f>
        <v>0</v>
      </c>
      <c r="E137" s="39">
        <f>(IF(WEEKDAY(E$82,2)&gt;5,0,53.02))*-1</f>
        <v>-53.02</v>
      </c>
      <c r="F137" s="39">
        <f>(IF(WEEKDAY(F$82,2)&gt;5,0,63.91))*-1</f>
        <v>-63.91</v>
      </c>
      <c r="G137" s="39">
        <f>(IF(WEEKDAY(G$82,2)&gt;5,0,67.5))*-1</f>
        <v>-67.5</v>
      </c>
      <c r="H137" s="39">
        <f>(IF(WEEKDAY(H$82,2)&gt;5,0,58.97))*-1</f>
        <v>-58.97</v>
      </c>
      <c r="I137" s="39">
        <f>(IF(WEEKDAY(I$82,2)&gt;5,0,66.92))*-1</f>
        <v>-66.92</v>
      </c>
      <c r="J137" s="39">
        <f>(IF(WEEKDAY(J$82,2)&gt;5,0,61.14))*-1</f>
        <v>0</v>
      </c>
      <c r="K137" s="39">
        <f>(IF(WEEKDAY(K$82,2)&gt;5,0,62.57))*-1</f>
        <v>0</v>
      </c>
      <c r="L137" s="39">
        <f>(IF(WEEKDAY(L$82,2)&gt;5,0,54.41))*-1</f>
        <v>-54.41</v>
      </c>
      <c r="M137" s="39">
        <f>(IF(WEEKDAY(M$82,2)&gt;5,0,55.01))*-1</f>
        <v>-55.01</v>
      </c>
      <c r="N137" s="39">
        <f>(IF(WEEKDAY(N$82,2)&gt;5,0,60.4))*-1</f>
        <v>-60.4</v>
      </c>
      <c r="O137" s="39">
        <f>(IF(WEEKDAY(O$82,2)&gt;5,0,55.88))*-1</f>
        <v>-55.88</v>
      </c>
      <c r="P137" s="39">
        <f>(IF(WEEKDAY(P$82,2)&gt;5,0,64.78))*-1</f>
        <v>-64.78</v>
      </c>
      <c r="Q137" s="39">
        <f>(IF(WEEKDAY(Q$82,2)&gt;5,0,61.61))*-1</f>
        <v>0</v>
      </c>
      <c r="R137" s="39">
        <f>(IF(WEEKDAY(R$82,2)&gt;5,0,64.21))*-1</f>
        <v>0</v>
      </c>
      <c r="S137" s="39">
        <f>(IF(WEEKDAY(S$82,2)&gt;5,0,51.25))*-1</f>
        <v>-51.25</v>
      </c>
      <c r="T137" s="39">
        <f>(IF(WEEKDAY(T$82,2)&gt;5,0,64))*-1</f>
        <v>-64</v>
      </c>
      <c r="U137" s="39">
        <f>(IF(WEEKDAY(U$82,2)&gt;5,0,53.52))*-1</f>
        <v>-53.52</v>
      </c>
      <c r="V137" s="39">
        <f>(IF(WEEKDAY(V$82,2)&gt;5,0,52.63))*-1</f>
        <v>-52.63</v>
      </c>
      <c r="W137" s="39">
        <f>(IF(WEEKDAY(W$82,2)&gt;5,0,54.87))*-1</f>
        <v>-54.87</v>
      </c>
      <c r="X137" s="39">
        <f>(IF(WEEKDAY(X$82,2)&gt;5,0,52.81))*-1</f>
        <v>0</v>
      </c>
      <c r="Y137" s="39">
        <f>(IF(WEEKDAY(Y$82,2)&gt;5,0,67.13))*-1</f>
        <v>0</v>
      </c>
      <c r="Z137" s="39">
        <f>(IF(WEEKDAY(Z$82,2)&gt;5,0,63.29))*-1</f>
        <v>-63.29</v>
      </c>
      <c r="AA137" s="39">
        <f>(IF(WEEKDAY(AA$82,2)&gt;5,0,61.81))*-1</f>
        <v>-61.81</v>
      </c>
      <c r="AB137" s="39">
        <f>(IF(WEEKDAY(AB$82,2)&gt;5,0,51.41))*-1</f>
        <v>-51.41</v>
      </c>
      <c r="AC137" s="39">
        <f>(IF(WEEKDAY(AC$82,2)&gt;5,0,66.12))*-1</f>
        <v>-66.12</v>
      </c>
      <c r="AD137" s="39">
        <f>(IF(WEEKDAY(AD$82,2)&gt;5,0,63))*-1</f>
        <v>-63</v>
      </c>
      <c r="AE137" s="39">
        <f>(IF(WEEKDAY(AE$82,2)&gt;5,0,58.05))*-1</f>
        <v>0</v>
      </c>
      <c r="AF137" s="39">
        <f>(IF(WEEKDAY(AF$82,2)&gt;5,0,66.2))*-1</f>
        <v>0</v>
      </c>
      <c r="AG137" s="39">
        <f>(IF(WEEKDAY(AG$82,2)&gt;5,0,55.65))*-1</f>
        <v>-55.65</v>
      </c>
      <c r="AH137" s="39">
        <f>(IF(WEEKDAY(AH$82,2)&gt;5,0,52.17))*-1</f>
        <v>-52.17</v>
      </c>
      <c r="AI137" s="39">
        <f>(IF(WEEKDAY(AI$82,2)&gt;5,0,58.95))*-1</f>
        <v>-58.95</v>
      </c>
      <c r="AJ137" s="39">
        <f>(IF(WEEKDAY(AJ$82,2)&gt;5,0,54.89))*-1</f>
        <v>-54.89</v>
      </c>
      <c r="AK137" s="39">
        <f>(IF(WEEKDAY(AK$82,2)&gt;5,0,66.5))*-1</f>
        <v>-66.5</v>
      </c>
      <c r="AL137" s="39">
        <f>(IF(WEEKDAY(AL$82,2)&gt;5,0,53.25))*-1</f>
        <v>0</v>
      </c>
      <c r="AM137" s="39">
        <f>(IF(WEEKDAY(AM$82,2)&gt;5,0,57.24))*-1</f>
        <v>0</v>
      </c>
      <c r="AN137" s="39">
        <f>(IF(WEEKDAY(AN$82,2)&gt;5,0,51.9))*-1</f>
        <v>-51.9</v>
      </c>
      <c r="AO137" s="39">
        <f>(IF(WEEKDAY(AO$82,2)&gt;5,0,51.05))*-1</f>
        <v>-51.05</v>
      </c>
      <c r="AP137" s="39">
        <f>(IF(WEEKDAY(AP$82,2)&gt;5,0,64.93))*-1</f>
        <v>-64.930000000000007</v>
      </c>
      <c r="AQ137" s="39">
        <f>(IF(WEEKDAY(AQ$82,2)&gt;5,0,61.17))*-1</f>
        <v>-61.17</v>
      </c>
      <c r="AR137" s="39">
        <f>(IF(WEEKDAY(AR$82,2)&gt;5,0,54.36))*-1</f>
        <v>-54.36</v>
      </c>
      <c r="AS137" s="39">
        <f>(IF(WEEKDAY(AS$82,2)&gt;5,0,55.64))*-1</f>
        <v>0</v>
      </c>
      <c r="AT137" s="39">
        <f>(IF(WEEKDAY(AT$82,2)&gt;5,0,63.93))*-1</f>
        <v>0</v>
      </c>
      <c r="AU137" s="39">
        <f>(IF(WEEKDAY(AU$82,2)&gt;5,0,55.58))*-1</f>
        <v>-55.58</v>
      </c>
      <c r="AV137" s="39">
        <f>(IF(WEEKDAY(AV$82,2)&gt;5,0,68.68))*-1</f>
        <v>-68.680000000000007</v>
      </c>
      <c r="AW137" s="39">
        <f>(IF(WEEKDAY(AW$82,2)&gt;5,0,65.23))*-1</f>
        <v>-65.23</v>
      </c>
      <c r="AX137" s="39">
        <f>(IF(WEEKDAY(AX$82,2)&gt;5,0,62.26))*-1</f>
        <v>-62.26</v>
      </c>
      <c r="AY137" s="39">
        <f>(IF(WEEKDAY(AY$82,2)&gt;5,0,54.86))*-1</f>
        <v>-54.86</v>
      </c>
      <c r="AZ137" s="39">
        <f>(IF(WEEKDAY(AZ$82,2)&gt;5,0,58.47))*-1</f>
        <v>0</v>
      </c>
      <c r="BA137" s="39">
        <f>(IF(WEEKDAY(BA$82,2)&gt;5,0,55.25))*-1</f>
        <v>0</v>
      </c>
      <c r="BB137" s="39">
        <f>(IF(WEEKDAY(BB$82,2)&gt;5,0,53.84))*-1</f>
        <v>-53.84</v>
      </c>
      <c r="BC137" s="39">
        <f>(IF(WEEKDAY(BC$82,2)&gt;5,0,63.83))*-1</f>
        <v>-63.83</v>
      </c>
      <c r="BD137" s="39">
        <f>(IF(WEEKDAY(BD$82,2)&gt;5,0,53.5))*-1</f>
        <v>-53.5</v>
      </c>
      <c r="BE137" s="39">
        <f>(IF(WEEKDAY(BE$82,2)&gt;5,0,51.54))*-1</f>
        <v>-51.54</v>
      </c>
      <c r="BF137" s="39">
        <f>(IF(WEEKDAY(BF$82,2)&gt;5,0,66.56))*-1</f>
        <v>-66.56</v>
      </c>
      <c r="BG137" s="39">
        <f>(IF(WEEKDAY(BG$82,2)&gt;5,0,52.93))*-1</f>
        <v>0</v>
      </c>
      <c r="BH137" s="39">
        <f>(IF(WEEKDAY(BH$82,2)&gt;5,0,65.06))*-1</f>
        <v>0</v>
      </c>
      <c r="BI137" s="39">
        <f>(IF(WEEKDAY(BI$82,2)&gt;5,0,62.59))*-1</f>
        <v>-62.59</v>
      </c>
      <c r="BJ137" s="39">
        <f>(IF(WEEKDAY(BJ$82,2)&gt;5,0,67.19))*-1</f>
        <v>-67.19</v>
      </c>
      <c r="BK137" s="39">
        <f>(IF(WEEKDAY(BK$82,2)&gt;5,0,65.63))*-1</f>
        <v>-65.63</v>
      </c>
      <c r="BL137" s="39">
        <f>(IF(WEEKDAY(BL$82,2)&gt;5,0,60.08))*-1</f>
        <v>-60.08</v>
      </c>
      <c r="BM137" s="39">
        <f>(IF(WEEKDAY(BM$82,2)&gt;5,0,51.94))*-1</f>
        <v>-51.94</v>
      </c>
      <c r="BN137" s="39">
        <f>(IF(WEEKDAY(BN$82,2)&gt;5,0,58.52))*-1</f>
        <v>0</v>
      </c>
      <c r="BO137" s="39">
        <f>(IF(WEEKDAY(BO$82,2)&gt;5,0,66.97))*-1</f>
        <v>0</v>
      </c>
      <c r="BP137" s="39">
        <f>(IF(WEEKDAY(BP$82,2)&gt;5,0,58.4))*-1</f>
        <v>-58.4</v>
      </c>
      <c r="BQ137" s="39">
        <f>(IF(WEEKDAY(BQ$82,2)&gt;5,0,62.79))*-1</f>
        <v>-62.79</v>
      </c>
      <c r="BR137" s="39">
        <f>(IF(WEEKDAY(BR$82,2)&gt;5,0,67.04))*-1</f>
        <v>-67.040000000000006</v>
      </c>
      <c r="BS137" s="39">
        <f>(IF(WEEKDAY(BS$82,2)&gt;5,0,54.1))*-1</f>
        <v>-54.1</v>
      </c>
      <c r="BT137" s="39">
        <f>(IF(WEEKDAY(BT$82,2)&gt;5,0,63.67))*-1</f>
        <v>-63.67</v>
      </c>
      <c r="BU137" s="39">
        <f>(IF(WEEKDAY(BU$82,2)&gt;5,0,60.2))*-1</f>
        <v>0</v>
      </c>
      <c r="BV137" s="39">
        <f>(IF(WEEKDAY(BV$82,2)&gt;5,0,59.07))*-1</f>
        <v>0</v>
      </c>
      <c r="BW137" s="39">
        <f>(IF(WEEKDAY(BW$82,2)&gt;5,0,57.28))*-1</f>
        <v>-57.28</v>
      </c>
      <c r="BX137" s="39">
        <f>(IF(WEEKDAY(BX$82,2)&gt;5,0,67.88))*-1</f>
        <v>-67.88</v>
      </c>
      <c r="BY137" s="39">
        <f>(IF(WEEKDAY(BY$82,2)&gt;5,0,60.98))*-1</f>
        <v>-60.98</v>
      </c>
      <c r="BZ137" s="39">
        <f>(IF(WEEKDAY(BZ$82,2)&gt;5,0,62.91))*-1</f>
        <v>-62.91</v>
      </c>
      <c r="CA137" s="39">
        <f>(IF(WEEKDAY(CA$82,2)&gt;5,0,54.63))*-1</f>
        <v>-54.63</v>
      </c>
      <c r="CB137" s="39">
        <f>(IF(WEEKDAY(CB$82,2)&gt;5,0,54.9))*-1</f>
        <v>0</v>
      </c>
      <c r="CC137" s="39">
        <f>(IF(WEEKDAY(CC$82,2)&gt;5,0,68.09))*-1</f>
        <v>0</v>
      </c>
      <c r="CD137" s="39">
        <f>(IF(WEEKDAY(CD$82,2)&gt;5,0,62.36))*-1</f>
        <v>-62.36</v>
      </c>
      <c r="CE137" s="39">
        <f>(IF(WEEKDAY(CE$82,2)&gt;5,0,67.16))*-1</f>
        <v>-67.16</v>
      </c>
      <c r="CF137" s="39">
        <f>(IF(WEEKDAY(CF$82,2)&gt;5,0,54.77))*-1</f>
        <v>-54.77</v>
      </c>
      <c r="CG137" s="39">
        <f>(IF(WEEKDAY(CG$82,2)&gt;5,0,65.79))*-1</f>
        <v>-65.790000000000006</v>
      </c>
      <c r="CH137" s="39">
        <f>(IF(WEEKDAY(CH$82,2)&gt;5,0,66.54))*-1</f>
        <v>-66.540000000000006</v>
      </c>
      <c r="CI137" s="39">
        <f>(IF(WEEKDAY(CI$82,2)&gt;5,0,64.42))*-1</f>
        <v>0</v>
      </c>
      <c r="CJ137" s="39">
        <f>(IF(WEEKDAY(CJ$82,2)&gt;5,0,58.49))*-1</f>
        <v>0</v>
      </c>
      <c r="CK137" s="39">
        <f>(IF(WEEKDAY(CK$82,2)&gt;5,0,62.41))*-1</f>
        <v>-62.41</v>
      </c>
      <c r="CL137" s="39">
        <f>(IF(WEEKDAY(CL$82,2)&gt;5,0,65.37))*-1</f>
        <v>-65.37</v>
      </c>
      <c r="CM137" s="39">
        <f>(IF(WEEKDAY(CM$82,2)&gt;5,0,55.34))*-1</f>
        <v>-55.34</v>
      </c>
      <c r="CN137" s="39">
        <f>(IF(WEEKDAY(CN$82,2)&gt;5,0,68.84))*-1</f>
        <v>-68.84</v>
      </c>
      <c r="CO137" s="39">
        <f>(IF(WEEKDAY(CO$82,2)&gt;5,0,55.2))*-1</f>
        <v>-55.2</v>
      </c>
      <c r="CP137" s="39">
        <f>(IF(WEEKDAY(CP$82,2)&gt;5,0,56.99))*-1</f>
        <v>0</v>
      </c>
      <c r="CQ137" s="39">
        <f>(IF(WEEKDAY(CQ$82,2)&gt;5,0,51.34))*-1</f>
        <v>0</v>
      </c>
      <c r="CR137" s="39">
        <f>(IF(WEEKDAY(CR$82,2)&gt;5,0,53.9))*-1</f>
        <v>-53.9</v>
      </c>
      <c r="CS137" s="39">
        <f>(IF(WEEKDAY(CS$82,2)&gt;5,0,51.81))*-1</f>
        <v>-51.81</v>
      </c>
      <c r="CT137" s="39">
        <f>(IF(WEEKDAY(CT$82,2)&gt;5,0,62.34))*-1</f>
        <v>-62.34</v>
      </c>
      <c r="CU137" s="39">
        <f>(IF(WEEKDAY(CU$82,2)&gt;5,0,68.89))*-1</f>
        <v>-68.89</v>
      </c>
      <c r="CV137" s="39">
        <f>(IF(WEEKDAY(CV$82,2)&gt;5,0,57.76))*-1</f>
        <v>-57.76</v>
      </c>
      <c r="CW137" s="39">
        <f>(IF(WEEKDAY(CW$82,2)&gt;5,0,68.37))*-1</f>
        <v>0</v>
      </c>
      <c r="CX137" s="39">
        <f>(IF(WEEKDAY(CX$82,2)&gt;5,0,67.68))*-1</f>
        <v>0</v>
      </c>
      <c r="CY137" s="39">
        <f>(IF(WEEKDAY(CY$82,2)&gt;5,0,55.18))*-1</f>
        <v>-55.18</v>
      </c>
      <c r="CZ137" s="39">
        <f>(IF(WEEKDAY(CZ$82,2)&gt;5,0,57.15))*-1</f>
        <v>-57.15</v>
      </c>
      <c r="DA137" s="39">
        <f>(IF(WEEKDAY(DA$82,2)&gt;5,0,68.12))*-1</f>
        <v>-68.12</v>
      </c>
      <c r="DB137" s="39">
        <f>(IF(WEEKDAY(DB$82,2)&gt;5,0,66.85))*-1</f>
        <v>-66.849999999999994</v>
      </c>
      <c r="DC137" s="39">
        <f>(IF(WEEKDAY(DC$82,2)&gt;5,0,67.51))*-1</f>
        <v>-67.510000000000005</v>
      </c>
      <c r="DD137" s="39">
        <f>(IF(WEEKDAY(DD$82,2)&gt;5,0,64.02))*-1</f>
        <v>0</v>
      </c>
      <c r="DE137" s="39">
        <f>(IF(WEEKDAY(DE$82,2)&gt;5,0,60.82))*-1</f>
        <v>0</v>
      </c>
      <c r="DF137" s="39">
        <f>(IF(WEEKDAY(DF$82,2)&gt;5,0,61.06))*-1</f>
        <v>-61.06</v>
      </c>
      <c r="DG137" s="39">
        <f>(IF(WEEKDAY(DG$82,2)&gt;5,0,51.97))*-1</f>
        <v>-51.97</v>
      </c>
      <c r="DH137" s="39">
        <f>(IF(WEEKDAY(DH$82,2)&gt;5,0,59.92))*-1</f>
        <v>-59.92</v>
      </c>
      <c r="DI137" s="39">
        <f>(IF(WEEKDAY(DI$82,2)&gt;5,0,68.68))*-1</f>
        <v>-68.680000000000007</v>
      </c>
      <c r="DJ137" s="39">
        <f>(IF(WEEKDAY(DJ$82,2)&gt;5,0,53.72))*-1</f>
        <v>-53.72</v>
      </c>
      <c r="DK137" s="39">
        <f>(IF(WEEKDAY(DK$82,2)&gt;5,0,60.12))*-1</f>
        <v>0</v>
      </c>
      <c r="DL137" s="39">
        <f>(IF(WEEKDAY(DL$82,2)&gt;5,0,58.87))*-1</f>
        <v>0</v>
      </c>
      <c r="DM137" s="39">
        <f>(IF(WEEKDAY(DM$82,2)&gt;5,0,61.38))*-1</f>
        <v>-61.38</v>
      </c>
      <c r="DN137" s="39">
        <f>(IF(WEEKDAY(DN$82,2)&gt;5,0,59.64))*-1</f>
        <v>-59.64</v>
      </c>
      <c r="DO137" s="39">
        <f>(IF(WEEKDAY(DO$82,2)&gt;5,0,59.21))*-1</f>
        <v>-59.21</v>
      </c>
      <c r="DP137" s="39">
        <f>(IF(WEEKDAY(DP$82,2)&gt;5,0,64.62))*-1</f>
        <v>-64.62</v>
      </c>
      <c r="DQ137" s="39">
        <f>(IF(WEEKDAY(DQ$82,2)&gt;5,0,56.8))*-1</f>
        <v>-56.8</v>
      </c>
      <c r="DR137" s="39">
        <f>(IF(WEEKDAY(DR$82,2)&gt;5,0,65.71))*-1</f>
        <v>0</v>
      </c>
      <c r="DS137" s="39">
        <f>(IF(WEEKDAY(DS$82,2)&gt;5,0,52.82))*-1</f>
        <v>0</v>
      </c>
      <c r="DT137" s="39">
        <f>(IF(WEEKDAY(DT$82,2)&gt;5,0,64.47))*-1</f>
        <v>-64.47</v>
      </c>
      <c r="DU137" s="39">
        <f>(IF(WEEKDAY(DU$82,2)&gt;5,0,56.84))*-1</f>
        <v>-56.84</v>
      </c>
      <c r="DV137" s="39">
        <f>(IF(WEEKDAY(DV$82,2)&gt;5,0,58.28))*-1</f>
        <v>-58.28</v>
      </c>
      <c r="DW137" s="39">
        <f>(IF(WEEKDAY(DW$82,2)&gt;5,0,63.24))*-1</f>
        <v>-63.24</v>
      </c>
      <c r="DX137" s="39">
        <f>(IF(WEEKDAY(DX$82,2)&gt;5,0,62.47))*-1</f>
        <v>-62.47</v>
      </c>
      <c r="DY137" s="39">
        <f>(IF(WEEKDAY(DY$82,2)&gt;5,0,57.66))*-1</f>
        <v>0</v>
      </c>
      <c r="DZ137" s="39">
        <f>(IF(WEEKDAY(DZ$82,2)&gt;5,0,60.8))*-1</f>
        <v>0</v>
      </c>
      <c r="EA137" s="39">
        <f>(IF(WEEKDAY(EA$82,2)&gt;5,0,55.46))*-1</f>
        <v>-55.46</v>
      </c>
      <c r="EB137" s="39">
        <f>(IF(WEEKDAY(EB$82,2)&gt;5,0,53.36))*-1</f>
        <v>-53.36</v>
      </c>
      <c r="EC137" s="39">
        <f>(IF(WEEKDAY(EC$82,2)&gt;5,0,52.1))*-1</f>
        <v>-52.1</v>
      </c>
      <c r="ED137" s="39">
        <f>(IF(WEEKDAY(ED$82,2)&gt;5,0,56.03))*-1</f>
        <v>-56.03</v>
      </c>
      <c r="EE137" s="39">
        <f>(IF(WEEKDAY(EE$82,2)&gt;5,0,51.17))*-1</f>
        <v>-51.17</v>
      </c>
      <c r="EF137" s="39">
        <f>(IF(WEEKDAY(EF$82,2)&gt;5,0,64.9))*-1</f>
        <v>0</v>
      </c>
      <c r="EG137" s="39">
        <f>(IF(WEEKDAY(EG$82,2)&gt;5,0,53.98))*-1</f>
        <v>0</v>
      </c>
      <c r="EH137" s="39">
        <f>(IF(WEEKDAY(EH$82,2)&gt;5,0,52.91))*-1</f>
        <v>-52.91</v>
      </c>
      <c r="EI137" s="39">
        <f>(IF(WEEKDAY(EI$82,2)&gt;5,0,61.58))*-1</f>
        <v>-61.58</v>
      </c>
      <c r="EJ137" s="39">
        <f>(IF(WEEKDAY(EJ$82,2)&gt;5,0,68.89))*-1</f>
        <v>-68.89</v>
      </c>
      <c r="EK137" s="39">
        <f>(IF(WEEKDAY(EK$82,2)&gt;5,0,52.07))*-1</f>
        <v>-52.07</v>
      </c>
      <c r="EL137" s="39">
        <f>(IF(WEEKDAY(EL$82,2)&gt;5,0,53.81))*-1</f>
        <v>-53.81</v>
      </c>
      <c r="EM137" s="39">
        <f>(IF(WEEKDAY(EM$82,2)&gt;5,0,60.18))*-1</f>
        <v>0</v>
      </c>
      <c r="EN137" s="39">
        <f>(IF(WEEKDAY(EN$82,2)&gt;5,0,53.27))*-1</f>
        <v>0</v>
      </c>
      <c r="EO137" s="39">
        <f>(IF(WEEKDAY(EO$82,2)&gt;5,0,66.38))*-1</f>
        <v>-66.38</v>
      </c>
      <c r="EP137" s="39">
        <f>(IF(WEEKDAY(EP$82,2)&gt;5,0,62.24))*-1</f>
        <v>-62.24</v>
      </c>
      <c r="EQ137" s="39">
        <f>(IF(WEEKDAY(EQ$82,2)&gt;5,0,68.6))*-1</f>
        <v>-68.599999999999994</v>
      </c>
      <c r="ER137" s="39">
        <f>(IF(WEEKDAY(ER$82,2)&gt;5,0,54.19))*-1</f>
        <v>-54.19</v>
      </c>
      <c r="ES137" s="39">
        <f>(IF(WEEKDAY(ES$82,2)&gt;5,0,62.54))*-1</f>
        <v>-62.54</v>
      </c>
      <c r="ET137" s="39">
        <f>(IF(WEEKDAY(ET$82,2)&gt;5,0,58.08))*-1</f>
        <v>0</v>
      </c>
      <c r="EU137" s="39">
        <f>(IF(WEEKDAY(EU$82,2)&gt;5,0,52.06))*-1</f>
        <v>0</v>
      </c>
      <c r="EV137" s="39">
        <f>(IF(WEEKDAY(EV$82,2)&gt;5,0,68.62))*-1</f>
        <v>-68.62</v>
      </c>
      <c r="EW137" s="39">
        <f>(IF(WEEKDAY(EW$82,2)&gt;5,0,52.64))*-1</f>
        <v>-52.64</v>
      </c>
      <c r="EX137" s="39">
        <f>(IF(WEEKDAY(EX$82,2)&gt;5,0,67.38))*-1</f>
        <v>-67.38</v>
      </c>
      <c r="EY137" s="39">
        <f>(IF(WEEKDAY(EY$82,2)&gt;5,0,53.87))*-1</f>
        <v>-53.87</v>
      </c>
      <c r="EZ137" s="39">
        <f>(IF(WEEKDAY(EZ$82,2)&gt;5,0,56.79))*-1</f>
        <v>-56.79</v>
      </c>
      <c r="FA137" s="39">
        <f>(IF(WEEKDAY(FA$82,2)&gt;5,0,68.75))*-1</f>
        <v>0</v>
      </c>
      <c r="FB137" s="39">
        <f>(IF(WEEKDAY(FB$82,2)&gt;5,0,67.97))*-1</f>
        <v>0</v>
      </c>
      <c r="FC137" s="39">
        <f>(IF(WEEKDAY(FC$82,2)&gt;5,0,67.18))*-1</f>
        <v>-67.180000000000007</v>
      </c>
      <c r="FD137" s="39">
        <f>(IF(WEEKDAY(FD$82,2)&gt;5,0,54.44))*-1</f>
        <v>-54.44</v>
      </c>
      <c r="FE137" s="39">
        <f>(IF(WEEKDAY(FE$82,2)&gt;5,0,61.98))*-1</f>
        <v>-61.98</v>
      </c>
      <c r="FF137" s="39">
        <f>(IF(WEEKDAY(FF$82,2)&gt;5,0,52.63))*-1</f>
        <v>-52.63</v>
      </c>
      <c r="FG137" s="39">
        <f>(IF(WEEKDAY(FG$82,2)&gt;5,0,60.28))*-1</f>
        <v>-60.28</v>
      </c>
      <c r="FH137" s="39">
        <f>(IF(WEEKDAY(FH$82,2)&gt;5,0,62.17))*-1</f>
        <v>0</v>
      </c>
      <c r="FI137" s="39">
        <f>(IF(WEEKDAY(FI$82,2)&gt;5,0,62.59))*-1</f>
        <v>0</v>
      </c>
      <c r="FJ137" s="39">
        <f>(IF(WEEKDAY(FJ$82,2)&gt;5,0,59.24))*-1</f>
        <v>-59.24</v>
      </c>
      <c r="FK137" s="39">
        <f>(IF(WEEKDAY(FK$82,2)&gt;5,0,63.76))*-1</f>
        <v>-63.76</v>
      </c>
      <c r="FL137" s="39">
        <f>(IF(WEEKDAY(FL$82,2)&gt;5,0,66.74))*-1</f>
        <v>-66.739999999999995</v>
      </c>
      <c r="FM137" s="39">
        <f>(IF(WEEKDAY(FM$82,2)&gt;5,0,58.22))*-1</f>
        <v>-58.22</v>
      </c>
      <c r="FN137" s="39">
        <f>(IF(WEEKDAY(FN$82,2)&gt;5,0,61.96))*-1</f>
        <v>-61.96</v>
      </c>
      <c r="FO137" s="39">
        <f>(IF(WEEKDAY(FO$82,2)&gt;5,0,62.22))*-1</f>
        <v>0</v>
      </c>
      <c r="FP137" s="39">
        <f>(IF(WEEKDAY(FP$82,2)&gt;5,0,64.18))*-1</f>
        <v>0</v>
      </c>
      <c r="FQ137" s="39">
        <f>(IF(WEEKDAY(FQ$82,2)&gt;5,0,66.89))*-1</f>
        <v>-66.89</v>
      </c>
      <c r="FR137" s="39">
        <f>(IF(WEEKDAY(FR$82,2)&gt;5,0,61.4))*-1</f>
        <v>-61.4</v>
      </c>
      <c r="FS137" s="39">
        <f>(IF(WEEKDAY(FS$82,2)&gt;5,0,59.77))*-1</f>
        <v>-59.77</v>
      </c>
      <c r="FT137" s="39">
        <f>(IF(WEEKDAY(FT$82,2)&gt;5,0,51.81))*-1</f>
        <v>-51.81</v>
      </c>
      <c r="FU137" s="39">
        <f>(IF(WEEKDAY(FU$82,2)&gt;5,0,55.55))*-1</f>
        <v>-55.55</v>
      </c>
      <c r="FV137" s="39">
        <f>(IF(WEEKDAY(FV$82,2)&gt;5,0,68.13))*-1</f>
        <v>0</v>
      </c>
      <c r="FW137" s="39">
        <f>(IF(WEEKDAY(FW$82,2)&gt;5,0,54.42))*-1</f>
        <v>0</v>
      </c>
      <c r="FX137" s="39">
        <f>(IF(WEEKDAY(FX$82,2)&gt;5,0,60.36))*-1</f>
        <v>-60.36</v>
      </c>
      <c r="FY137" s="39">
        <f>(IF(WEEKDAY(FY$82,2)&gt;5,0,62.75))*-1</f>
        <v>-62.75</v>
      </c>
      <c r="FZ137" s="39">
        <f>(IF(WEEKDAY(FZ$82,2)&gt;5,0,68.11))*-1</f>
        <v>-68.11</v>
      </c>
      <c r="GA137" s="39">
        <f>(IF(WEEKDAY(GA$82,2)&gt;5,0,52.58))*-1</f>
        <v>-52.58</v>
      </c>
      <c r="GB137" s="39">
        <f>(IF(WEEKDAY(GB$82,2)&gt;5,0,62.12))*-1</f>
        <v>-62.12</v>
      </c>
      <c r="GC137" s="39">
        <f>(IF(WEEKDAY(GC$82,2)&gt;5,0,65.61))*-1</f>
        <v>0</v>
      </c>
      <c r="GD137" s="39">
        <f>(IF(WEEKDAY(GD$82,2)&gt;5,0,63.01))*-1</f>
        <v>0</v>
      </c>
      <c r="GE137" s="39">
        <f>(IF(WEEKDAY(GE$82,2)&gt;5,0,58.77))*-1</f>
        <v>-58.77</v>
      </c>
      <c r="GF137" s="39">
        <f>(IF(WEEKDAY(GF$82,2)&gt;5,0,68.11))*-1</f>
        <v>-68.11</v>
      </c>
      <c r="GG137" s="39">
        <f>(IF(WEEKDAY(GG$82,2)&gt;5,0,55.73))*-1</f>
        <v>-55.73</v>
      </c>
      <c r="GH137" s="39">
        <f>(IF(WEEKDAY(GH$82,2)&gt;5,0,57.15))*-1</f>
        <v>-57.15</v>
      </c>
      <c r="GI137" s="39">
        <f>(IF(WEEKDAY(GI$82,2)&gt;5,0,57.51))*-1</f>
        <v>-57.51</v>
      </c>
      <c r="GJ137" s="39">
        <f>(IF(WEEKDAY(GJ$82,2)&gt;5,0,59.41))*-1</f>
        <v>0</v>
      </c>
      <c r="GK137" s="39">
        <f>(IF(WEEKDAY(GK$82,2)&gt;5,0,63.32))*-1</f>
        <v>0</v>
      </c>
      <c r="GL137" s="39">
        <f>(IF(WEEKDAY(GL$82,2)&gt;5,0,67.46))*-1</f>
        <v>-67.459999999999994</v>
      </c>
      <c r="GM137" s="39">
        <f>(IF(WEEKDAY(GM$82,2)&gt;5,0,54.77))*-1</f>
        <v>-54.77</v>
      </c>
      <c r="GN137" s="39">
        <f>(IF(WEEKDAY(GN$82,2)&gt;5,0,58.11))*-1</f>
        <v>-58.11</v>
      </c>
      <c r="GO137" s="39">
        <f>(IF(WEEKDAY(GO$82,2)&gt;5,0,57.57))*-1</f>
        <v>-57.57</v>
      </c>
      <c r="GP137" s="39">
        <f>(IF(WEEKDAY(GP$82,2)&gt;5,0,63.73))*-1</f>
        <v>-63.73</v>
      </c>
      <c r="GQ137" s="39">
        <f>(IF(WEEKDAY(GQ$82,2)&gt;5,0,64.5))*-1</f>
        <v>0</v>
      </c>
      <c r="GR137" s="39">
        <f>(IF(WEEKDAY(GR$82,2)&gt;5,0,54.1))*-1</f>
        <v>0</v>
      </c>
      <c r="GS137" s="39">
        <f>(IF(WEEKDAY(GS$82,2)&gt;5,0,53.3))*-1</f>
        <v>-53.3</v>
      </c>
      <c r="GT137" s="39">
        <f>(IF(WEEKDAY(GT$82,2)&gt;5,0,55.55))*-1</f>
        <v>-55.55</v>
      </c>
      <c r="GU137" s="39">
        <f>(IF(WEEKDAY(GU$82,2)&gt;5,0,53.89))*-1</f>
        <v>-53.89</v>
      </c>
      <c r="GV137" s="39">
        <f>(IF(WEEKDAY(GV$82,2)&gt;5,0,68.83))*-1</f>
        <v>-68.83</v>
      </c>
      <c r="GW137" s="39">
        <f>(IF(WEEKDAY(GW$82,2)&gt;5,0,60.09))*-1</f>
        <v>-60.09</v>
      </c>
      <c r="GX137" s="39">
        <f>(IF(WEEKDAY(GX$82,2)&gt;5,0,51.15))*-1</f>
        <v>0</v>
      </c>
      <c r="GY137" s="39">
        <f>(IF(WEEKDAY(GY$82,2)&gt;5,0,63.84))*-1</f>
        <v>0</v>
      </c>
      <c r="GZ137" s="39">
        <f>(IF(WEEKDAY(GZ$82,2)&gt;5,0,62.19))*-1</f>
        <v>-62.19</v>
      </c>
      <c r="HA137" s="39">
        <f>(IF(WEEKDAY(HA$82,2)&gt;5,0,60.37))*-1</f>
        <v>-60.37</v>
      </c>
      <c r="HB137" s="39">
        <f>(IF(WEEKDAY(HB$82,2)&gt;5,0,63.54))*-1</f>
        <v>-63.54</v>
      </c>
      <c r="HC137" s="39">
        <f>(IF(WEEKDAY(HC$82,2)&gt;5,0,60.03))*-1</f>
        <v>-60.03</v>
      </c>
      <c r="HD137" s="39">
        <f>(IF(WEEKDAY(HD$82,2)&gt;5,0,63.9))*-1</f>
        <v>-63.9</v>
      </c>
      <c r="HE137" s="39">
        <f>(IF(WEEKDAY(HE$82,2)&gt;5,0,55.16))*-1</f>
        <v>0</v>
      </c>
      <c r="HF137" s="39">
        <f>(IF(WEEKDAY(HF$82,2)&gt;5,0,57.85))*-1</f>
        <v>0</v>
      </c>
      <c r="HG137" s="39">
        <f>(IF(WEEKDAY(HG$82,2)&gt;5,0,67.38))*-1</f>
        <v>-67.38</v>
      </c>
      <c r="HH137" s="39">
        <f>(IF(WEEKDAY(HH$82,2)&gt;5,0,59.26))*-1</f>
        <v>-59.26</v>
      </c>
      <c r="HI137" s="39">
        <f>(IF(WEEKDAY(HI$82,2)&gt;5,0,65.7))*-1</f>
        <v>-65.7</v>
      </c>
      <c r="HJ137" s="39">
        <f>(IF(WEEKDAY(HJ$82,2)&gt;5,0,67.16))*-1</f>
        <v>-67.16</v>
      </c>
      <c r="HK137" s="39">
        <f>(IF(WEEKDAY(HK$82,2)&gt;5,0,55.92))*-1</f>
        <v>-55.92</v>
      </c>
      <c r="HL137" s="39">
        <f>(IF(WEEKDAY(HL$82,2)&gt;5,0,59.73))*-1</f>
        <v>0</v>
      </c>
      <c r="HM137" s="39">
        <f>(IF(WEEKDAY(HM$82,2)&gt;5,0,51.97))*-1</f>
        <v>0</v>
      </c>
      <c r="HN137" s="39">
        <f>(IF(WEEKDAY(HN$82,2)&gt;5,0,62.84))*-1</f>
        <v>-62.84</v>
      </c>
      <c r="HO137" s="39">
        <f>(IF(WEEKDAY(HO$82,2)&gt;5,0,52.36))*-1</f>
        <v>-52.36</v>
      </c>
      <c r="HP137" s="39">
        <f>(IF(WEEKDAY(HP$82,2)&gt;5,0,62.58))*-1</f>
        <v>-62.58</v>
      </c>
      <c r="HQ137" s="39">
        <f>(IF(WEEKDAY(HQ$82,2)&gt;5,0,53.62))*-1</f>
        <v>-53.62</v>
      </c>
      <c r="HR137" s="39">
        <f>(IF(WEEKDAY(HR$82,2)&gt;5,0,55.66))*-1</f>
        <v>-55.66</v>
      </c>
      <c r="HS137" s="39">
        <f>(IF(WEEKDAY(HS$82,2)&gt;5,0,52.29))*-1</f>
        <v>0</v>
      </c>
      <c r="HT137" s="39">
        <f>(IF(WEEKDAY(HT$82,2)&gt;5,0,66.89))*-1</f>
        <v>0</v>
      </c>
      <c r="HU137" s="39">
        <f>(IF(WEEKDAY(HU$82,2)&gt;5,0,60.68))*-1</f>
        <v>-60.68</v>
      </c>
      <c r="HV137" s="39">
        <f>(IF(WEEKDAY(HV$82,2)&gt;5,0,65.05))*-1</f>
        <v>-65.05</v>
      </c>
      <c r="HW137" s="39">
        <f>(IF(WEEKDAY(HW$82,2)&gt;5,0,57.08))*-1</f>
        <v>-57.08</v>
      </c>
      <c r="HX137" s="39">
        <f>(IF(WEEKDAY(HX$82,2)&gt;5,0,60.14))*-1</f>
        <v>-60.14</v>
      </c>
      <c r="HY137" s="39">
        <f>(IF(WEEKDAY(HY$82,2)&gt;5,0,55.61))*-1</f>
        <v>-55.61</v>
      </c>
      <c r="HZ137" s="39">
        <f>(IF(WEEKDAY(HZ$82,2)&gt;5,0,62.63))*-1</f>
        <v>0</v>
      </c>
      <c r="IA137" s="39">
        <f>(IF(WEEKDAY(IA$82,2)&gt;5,0,68.5))*-1</f>
        <v>0</v>
      </c>
      <c r="IB137" s="39">
        <f>(IF(WEEKDAY(IB$82,2)&gt;5,0,51.63))*-1</f>
        <v>-51.63</v>
      </c>
      <c r="IC137" s="39">
        <f>(IF(WEEKDAY(IC$82,2)&gt;5,0,65.46))*-1</f>
        <v>-65.459999999999994</v>
      </c>
      <c r="ID137" s="39">
        <f>(IF(WEEKDAY(ID$82,2)&gt;5,0,66.6))*-1</f>
        <v>-66.599999999999994</v>
      </c>
      <c r="IE137" s="39">
        <f>(IF(WEEKDAY(IE$82,2)&gt;5,0,64.42))*-1</f>
        <v>-64.42</v>
      </c>
      <c r="IF137" s="39">
        <f>(IF(WEEKDAY(IF$82,2)&gt;5,0,52.93))*-1</f>
        <v>-52.93</v>
      </c>
      <c r="IG137" s="39">
        <f>(IF(WEEKDAY(IG$82,2)&gt;5,0,61.94))*-1</f>
        <v>0</v>
      </c>
      <c r="IH137" s="39">
        <f>(IF(WEEKDAY(IH$82,2)&gt;5,0,63.54))*-1</f>
        <v>0</v>
      </c>
      <c r="II137" s="39">
        <f>(IF(WEEKDAY(II$82,2)&gt;5,0,61.94))*-1</f>
        <v>-61.94</v>
      </c>
      <c r="IJ137" s="39">
        <f>(IF(WEEKDAY(IJ$82,2)&gt;5,0,60.52))*-1</f>
        <v>-60.52</v>
      </c>
      <c r="IK137" s="39">
        <f>(IF(WEEKDAY(IK$82,2)&gt;5,0,58.53))*-1</f>
        <v>-58.53</v>
      </c>
      <c r="IL137" s="39">
        <f>(IF(WEEKDAY(IL$82,2)&gt;5,0,63.13))*-1</f>
        <v>-63.13</v>
      </c>
    </row>
    <row r="138" spans="1:246" x14ac:dyDescent="0.3">
      <c r="A138" t="s">
        <v>120</v>
      </c>
      <c r="B138" s="39">
        <f>(IF(WEEKDAY(B$82,2)&gt;5,0,80))*-1</f>
        <v>-80</v>
      </c>
      <c r="C138" s="39">
        <f>(IF(WEEKDAY(C$82,2)&gt;5,0,73.35))*-1</f>
        <v>0</v>
      </c>
      <c r="D138" s="39">
        <f>(IF(WEEKDAY(D$82,2)&gt;5,0,89.86))*-1</f>
        <v>0</v>
      </c>
      <c r="E138" s="39">
        <f>(IF(WEEKDAY(E$82,2)&gt;5,0,82.22))*-1</f>
        <v>-82.22</v>
      </c>
      <c r="F138" s="39">
        <f>(IF(WEEKDAY(F$82,2)&gt;5,0,85.39))*-1</f>
        <v>-85.39</v>
      </c>
      <c r="G138" s="39">
        <f>(IF(WEEKDAY(G$82,2)&gt;5,0,88.83))*-1</f>
        <v>-88.83</v>
      </c>
      <c r="H138" s="39">
        <f>(IF(WEEKDAY(H$82,2)&gt;5,0,91.68))*-1</f>
        <v>-91.68</v>
      </c>
      <c r="I138" s="39">
        <f>(IF(WEEKDAY(I$82,2)&gt;5,0,69.27))*-1</f>
        <v>-69.27</v>
      </c>
      <c r="J138" s="39">
        <f>(IF(WEEKDAY(J$82,2)&gt;5,0,86.87))*-1</f>
        <v>0</v>
      </c>
      <c r="K138" s="39">
        <f>(IF(WEEKDAY(K$82,2)&gt;5,0,82.94))*-1</f>
        <v>0</v>
      </c>
      <c r="L138" s="39">
        <f>(IF(WEEKDAY(L$82,2)&gt;5,0,77.98))*-1</f>
        <v>-77.98</v>
      </c>
      <c r="M138" s="39">
        <f>(IF(WEEKDAY(M$82,2)&gt;5,0,85.52))*-1</f>
        <v>-85.52</v>
      </c>
      <c r="N138" s="39">
        <f>(IF(WEEKDAY(N$82,2)&gt;5,0,85.94))*-1</f>
        <v>-85.94</v>
      </c>
      <c r="O138" s="39">
        <f>(IF(WEEKDAY(O$82,2)&gt;5,0,75.13))*-1</f>
        <v>-75.13</v>
      </c>
      <c r="P138" s="39">
        <f>(IF(WEEKDAY(P$82,2)&gt;5,0,85.89))*-1</f>
        <v>-85.89</v>
      </c>
      <c r="Q138" s="39">
        <f>(IF(WEEKDAY(Q$82,2)&gt;5,0,75.77))*-1</f>
        <v>0</v>
      </c>
      <c r="R138" s="39">
        <f>(IF(WEEKDAY(R$82,2)&gt;5,0,85.41))*-1</f>
        <v>0</v>
      </c>
      <c r="S138" s="39">
        <f>(IF(WEEKDAY(S$82,2)&gt;5,0,78.62))*-1</f>
        <v>-78.62</v>
      </c>
      <c r="T138" s="39">
        <f>(IF(WEEKDAY(T$82,2)&gt;5,0,86.48))*-1</f>
        <v>-86.48</v>
      </c>
      <c r="U138" s="39">
        <f>(IF(WEEKDAY(U$82,2)&gt;5,0,81.65))*-1</f>
        <v>-81.650000000000006</v>
      </c>
      <c r="V138" s="39">
        <f>(IF(WEEKDAY(V$82,2)&gt;5,0,68.93))*-1</f>
        <v>-68.930000000000007</v>
      </c>
      <c r="W138" s="39">
        <f>(IF(WEEKDAY(W$82,2)&gt;5,0,85.78))*-1</f>
        <v>-85.78</v>
      </c>
      <c r="X138" s="39">
        <f>(IF(WEEKDAY(X$82,2)&gt;5,0,69.11))*-1</f>
        <v>0</v>
      </c>
      <c r="Y138" s="39">
        <f>(IF(WEEKDAY(Y$82,2)&gt;5,0,68.59))*-1</f>
        <v>0</v>
      </c>
      <c r="Z138" s="39">
        <f>(IF(WEEKDAY(Z$82,2)&gt;5,0,85.99))*-1</f>
        <v>-85.99</v>
      </c>
      <c r="AA138" s="39">
        <f>(IF(WEEKDAY(AA$82,2)&gt;5,0,73.09))*-1</f>
        <v>-73.09</v>
      </c>
      <c r="AB138" s="39">
        <f>(IF(WEEKDAY(AB$82,2)&gt;5,0,83.58))*-1</f>
        <v>-83.58</v>
      </c>
      <c r="AC138" s="39">
        <f>(IF(WEEKDAY(AC$82,2)&gt;5,0,81.4))*-1</f>
        <v>-81.400000000000006</v>
      </c>
      <c r="AD138" s="39">
        <f>(IF(WEEKDAY(AD$82,2)&gt;5,0,71.95))*-1</f>
        <v>-71.95</v>
      </c>
      <c r="AE138" s="39">
        <f>(IF(WEEKDAY(AE$82,2)&gt;5,0,80.76))*-1</f>
        <v>0</v>
      </c>
      <c r="AF138" s="39">
        <f>(IF(WEEKDAY(AF$82,2)&gt;5,0,90.17))*-1</f>
        <v>0</v>
      </c>
      <c r="AG138" s="39">
        <f>(IF(WEEKDAY(AG$82,2)&gt;5,0,71.04))*-1</f>
        <v>-71.040000000000006</v>
      </c>
      <c r="AH138" s="39">
        <f>(IF(WEEKDAY(AH$82,2)&gt;5,0,84.88))*-1</f>
        <v>-84.88</v>
      </c>
      <c r="AI138" s="39">
        <f>(IF(WEEKDAY(AI$82,2)&gt;5,0,77.15))*-1</f>
        <v>-77.150000000000006</v>
      </c>
      <c r="AJ138" s="39">
        <f>(IF(WEEKDAY(AJ$82,2)&gt;5,0,68.75))*-1</f>
        <v>-68.75</v>
      </c>
      <c r="AK138" s="39">
        <f>(IF(WEEKDAY(AK$82,2)&gt;5,0,86.83))*-1</f>
        <v>-86.83</v>
      </c>
      <c r="AL138" s="39">
        <f>(IF(WEEKDAY(AL$82,2)&gt;5,0,88.13))*-1</f>
        <v>0</v>
      </c>
      <c r="AM138" s="39">
        <f>(IF(WEEKDAY(AM$82,2)&gt;5,0,79.04))*-1</f>
        <v>0</v>
      </c>
      <c r="AN138" s="39">
        <f>(IF(WEEKDAY(AN$82,2)&gt;5,0,90.88))*-1</f>
        <v>-90.88</v>
      </c>
      <c r="AO138" s="39">
        <f>(IF(WEEKDAY(AO$82,2)&gt;5,0,77.33))*-1</f>
        <v>-77.33</v>
      </c>
      <c r="AP138" s="39">
        <f>(IF(WEEKDAY(AP$82,2)&gt;5,0,84.78))*-1</f>
        <v>-84.78</v>
      </c>
      <c r="AQ138" s="39">
        <f>(IF(WEEKDAY(AQ$82,2)&gt;5,0,69.38))*-1</f>
        <v>-69.38</v>
      </c>
      <c r="AR138" s="39">
        <f>(IF(WEEKDAY(AR$82,2)&gt;5,0,76.58))*-1</f>
        <v>-76.58</v>
      </c>
      <c r="AS138" s="39">
        <f>(IF(WEEKDAY(AS$82,2)&gt;5,0,74.28))*-1</f>
        <v>0</v>
      </c>
      <c r="AT138" s="39">
        <f>(IF(WEEKDAY(AT$82,2)&gt;5,0,85.19))*-1</f>
        <v>0</v>
      </c>
      <c r="AU138" s="39">
        <f>(IF(WEEKDAY(AU$82,2)&gt;5,0,75.52))*-1</f>
        <v>-75.52</v>
      </c>
      <c r="AV138" s="39">
        <f>(IF(WEEKDAY(AV$82,2)&gt;5,0,78.64))*-1</f>
        <v>-78.64</v>
      </c>
      <c r="AW138" s="39">
        <f>(IF(WEEKDAY(AW$82,2)&gt;5,0,90.25))*-1</f>
        <v>-90.25</v>
      </c>
      <c r="AX138" s="39">
        <f>(IF(WEEKDAY(AX$82,2)&gt;5,0,72.25))*-1</f>
        <v>-72.25</v>
      </c>
      <c r="AY138" s="39">
        <f>(IF(WEEKDAY(AY$82,2)&gt;5,0,79.54))*-1</f>
        <v>-79.540000000000006</v>
      </c>
      <c r="AZ138" s="39">
        <f>(IF(WEEKDAY(AZ$82,2)&gt;5,0,91.81))*-1</f>
        <v>0</v>
      </c>
      <c r="BA138" s="39">
        <f>(IF(WEEKDAY(BA$82,2)&gt;5,0,87.81))*-1</f>
        <v>0</v>
      </c>
      <c r="BB138" s="39">
        <f>(IF(WEEKDAY(BB$82,2)&gt;5,0,71.58))*-1</f>
        <v>-71.58</v>
      </c>
      <c r="BC138" s="39">
        <f>(IF(WEEKDAY(BC$82,2)&gt;5,0,69.81))*-1</f>
        <v>-69.81</v>
      </c>
      <c r="BD138" s="39">
        <f>(IF(WEEKDAY(BD$82,2)&gt;5,0,76.72))*-1</f>
        <v>-76.72</v>
      </c>
      <c r="BE138" s="39">
        <f>(IF(WEEKDAY(BE$82,2)&gt;5,0,88.55))*-1</f>
        <v>-88.55</v>
      </c>
      <c r="BF138" s="39">
        <f>(IF(WEEKDAY(BF$82,2)&gt;5,0,78.96))*-1</f>
        <v>-78.959999999999994</v>
      </c>
      <c r="BG138" s="39">
        <f>(IF(WEEKDAY(BG$82,2)&gt;5,0,71.54))*-1</f>
        <v>0</v>
      </c>
      <c r="BH138" s="39">
        <f>(IF(WEEKDAY(BH$82,2)&gt;5,0,68.54))*-1</f>
        <v>0</v>
      </c>
      <c r="BI138" s="39">
        <f>(IF(WEEKDAY(BI$82,2)&gt;5,0,75.27))*-1</f>
        <v>-75.27</v>
      </c>
      <c r="BJ138" s="39">
        <f>(IF(WEEKDAY(BJ$82,2)&gt;5,0,86.76))*-1</f>
        <v>-86.76</v>
      </c>
      <c r="BK138" s="39">
        <f>(IF(WEEKDAY(BK$82,2)&gt;5,0,75.39))*-1</f>
        <v>-75.39</v>
      </c>
      <c r="BL138" s="39">
        <f>(IF(WEEKDAY(BL$82,2)&gt;5,0,79.93))*-1</f>
        <v>-79.930000000000007</v>
      </c>
      <c r="BM138" s="39">
        <f>(IF(WEEKDAY(BM$82,2)&gt;5,0,87.81))*-1</f>
        <v>-87.81</v>
      </c>
      <c r="BN138" s="39">
        <f>(IF(WEEKDAY(BN$82,2)&gt;5,0,90.55))*-1</f>
        <v>0</v>
      </c>
      <c r="BO138" s="39">
        <f>(IF(WEEKDAY(BO$82,2)&gt;5,0,68.83))*-1</f>
        <v>0</v>
      </c>
      <c r="BP138" s="39">
        <f>(IF(WEEKDAY(BP$82,2)&gt;5,0,69.5))*-1</f>
        <v>-69.5</v>
      </c>
      <c r="BQ138" s="39">
        <f>(IF(WEEKDAY(BQ$82,2)&gt;5,0,82.11))*-1</f>
        <v>-82.11</v>
      </c>
      <c r="BR138" s="39">
        <f>(IF(WEEKDAY(BR$82,2)&gt;5,0,70.25))*-1</f>
        <v>-70.25</v>
      </c>
      <c r="BS138" s="39">
        <f>(IF(WEEKDAY(BS$82,2)&gt;5,0,88.26))*-1</f>
        <v>-88.26</v>
      </c>
      <c r="BT138" s="39">
        <f>(IF(WEEKDAY(BT$82,2)&gt;5,0,80.03))*-1</f>
        <v>-80.03</v>
      </c>
      <c r="BU138" s="39">
        <f>(IF(WEEKDAY(BU$82,2)&gt;5,0,82))*-1</f>
        <v>0</v>
      </c>
      <c r="BV138" s="39">
        <f>(IF(WEEKDAY(BV$82,2)&gt;5,0,90.76))*-1</f>
        <v>0</v>
      </c>
      <c r="BW138" s="39">
        <f>(IF(WEEKDAY(BW$82,2)&gt;5,0,77.2))*-1</f>
        <v>-77.2</v>
      </c>
      <c r="BX138" s="39">
        <f>(IF(WEEKDAY(BX$82,2)&gt;5,0,79.18))*-1</f>
        <v>-79.180000000000007</v>
      </c>
      <c r="BY138" s="39">
        <f>(IF(WEEKDAY(BY$82,2)&gt;5,0,76.01))*-1</f>
        <v>-76.010000000000005</v>
      </c>
      <c r="BZ138" s="39">
        <f>(IF(WEEKDAY(BZ$82,2)&gt;5,0,77.67))*-1</f>
        <v>-77.67</v>
      </c>
      <c r="CA138" s="39">
        <f>(IF(WEEKDAY(CA$82,2)&gt;5,0,82.69))*-1</f>
        <v>-82.69</v>
      </c>
      <c r="CB138" s="39">
        <f>(IF(WEEKDAY(CB$82,2)&gt;5,0,79.45))*-1</f>
        <v>0</v>
      </c>
      <c r="CC138" s="39">
        <f>(IF(WEEKDAY(CC$82,2)&gt;5,0,71.01))*-1</f>
        <v>0</v>
      </c>
      <c r="CD138" s="39">
        <f>(IF(WEEKDAY(CD$82,2)&gt;5,0,74.83))*-1</f>
        <v>-74.83</v>
      </c>
      <c r="CE138" s="39">
        <f>(IF(WEEKDAY(CE$82,2)&gt;5,0,88.01))*-1</f>
        <v>-88.01</v>
      </c>
      <c r="CF138" s="39">
        <f>(IF(WEEKDAY(CF$82,2)&gt;5,0,88.22))*-1</f>
        <v>-88.22</v>
      </c>
      <c r="CG138" s="39">
        <f>(IF(WEEKDAY(CG$82,2)&gt;5,0,82.01))*-1</f>
        <v>-82.01</v>
      </c>
      <c r="CH138" s="39">
        <f>(IF(WEEKDAY(CH$82,2)&gt;5,0,78.07))*-1</f>
        <v>-78.069999999999993</v>
      </c>
      <c r="CI138" s="39">
        <f>(IF(WEEKDAY(CI$82,2)&gt;5,0,85.91))*-1</f>
        <v>0</v>
      </c>
      <c r="CJ138" s="39">
        <f>(IF(WEEKDAY(CJ$82,2)&gt;5,0,87.9))*-1</f>
        <v>0</v>
      </c>
      <c r="CK138" s="39">
        <f>(IF(WEEKDAY(CK$82,2)&gt;5,0,83.32))*-1</f>
        <v>-83.32</v>
      </c>
      <c r="CL138" s="39">
        <f>(IF(WEEKDAY(CL$82,2)&gt;5,0,80.47))*-1</f>
        <v>-80.47</v>
      </c>
      <c r="CM138" s="39">
        <f>(IF(WEEKDAY(CM$82,2)&gt;5,0,86.6))*-1</f>
        <v>-86.6</v>
      </c>
      <c r="CN138" s="39">
        <f>(IF(WEEKDAY(CN$82,2)&gt;5,0,68.24))*-1</f>
        <v>-68.239999999999995</v>
      </c>
      <c r="CO138" s="39">
        <f>(IF(WEEKDAY(CO$82,2)&gt;5,0,74.96))*-1</f>
        <v>-74.959999999999994</v>
      </c>
      <c r="CP138" s="39">
        <f>(IF(WEEKDAY(CP$82,2)&gt;5,0,80.71))*-1</f>
        <v>0</v>
      </c>
      <c r="CQ138" s="39">
        <f>(IF(WEEKDAY(CQ$82,2)&gt;5,0,88.41))*-1</f>
        <v>0</v>
      </c>
      <c r="CR138" s="39">
        <f>(IF(WEEKDAY(CR$82,2)&gt;5,0,69.2))*-1</f>
        <v>-69.2</v>
      </c>
      <c r="CS138" s="39">
        <f>(IF(WEEKDAY(CS$82,2)&gt;5,0,82.66))*-1</f>
        <v>-82.66</v>
      </c>
      <c r="CT138" s="39">
        <f>(IF(WEEKDAY(CT$82,2)&gt;5,0,76.19))*-1</f>
        <v>-76.19</v>
      </c>
      <c r="CU138" s="39">
        <f>(IF(WEEKDAY(CU$82,2)&gt;5,0,90.79))*-1</f>
        <v>-90.79</v>
      </c>
      <c r="CV138" s="39">
        <f>(IF(WEEKDAY(CV$82,2)&gt;5,0,77.99))*-1</f>
        <v>-77.989999999999995</v>
      </c>
      <c r="CW138" s="39">
        <f>(IF(WEEKDAY(CW$82,2)&gt;5,0,81.89))*-1</f>
        <v>0</v>
      </c>
      <c r="CX138" s="39">
        <f>(IF(WEEKDAY(CX$82,2)&gt;5,0,73.57))*-1</f>
        <v>0</v>
      </c>
      <c r="CY138" s="39">
        <f>(IF(WEEKDAY(CY$82,2)&gt;5,0,77.96))*-1</f>
        <v>-77.959999999999994</v>
      </c>
      <c r="CZ138" s="39">
        <f>(IF(WEEKDAY(CZ$82,2)&gt;5,0,80.1))*-1</f>
        <v>-80.099999999999994</v>
      </c>
      <c r="DA138" s="39">
        <f>(IF(WEEKDAY(DA$82,2)&gt;5,0,75.51))*-1</f>
        <v>-75.510000000000005</v>
      </c>
      <c r="DB138" s="39">
        <f>(IF(WEEKDAY(DB$82,2)&gt;5,0,83.43))*-1</f>
        <v>-83.43</v>
      </c>
      <c r="DC138" s="39">
        <f>(IF(WEEKDAY(DC$82,2)&gt;5,0,78.87))*-1</f>
        <v>-78.87</v>
      </c>
      <c r="DD138" s="39">
        <f>(IF(WEEKDAY(DD$82,2)&gt;5,0,91.04))*-1</f>
        <v>0</v>
      </c>
      <c r="DE138" s="39">
        <f>(IF(WEEKDAY(DE$82,2)&gt;5,0,88.85))*-1</f>
        <v>0</v>
      </c>
      <c r="DF138" s="39">
        <f>(IF(WEEKDAY(DF$82,2)&gt;5,0,69.54))*-1</f>
        <v>-69.540000000000006</v>
      </c>
      <c r="DG138" s="39">
        <f>(IF(WEEKDAY(DG$82,2)&gt;5,0,90.58))*-1</f>
        <v>-90.58</v>
      </c>
      <c r="DH138" s="39">
        <f>(IF(WEEKDAY(DH$82,2)&gt;5,0,85.61))*-1</f>
        <v>-85.61</v>
      </c>
      <c r="DI138" s="39">
        <f>(IF(WEEKDAY(DI$82,2)&gt;5,0,69.54))*-1</f>
        <v>-69.540000000000006</v>
      </c>
      <c r="DJ138" s="39">
        <f>(IF(WEEKDAY(DJ$82,2)&gt;5,0,89.41))*-1</f>
        <v>-89.41</v>
      </c>
      <c r="DK138" s="39">
        <f>(IF(WEEKDAY(DK$82,2)&gt;5,0,69.85))*-1</f>
        <v>0</v>
      </c>
      <c r="DL138" s="39">
        <f>(IF(WEEKDAY(DL$82,2)&gt;5,0,87.25))*-1</f>
        <v>0</v>
      </c>
      <c r="DM138" s="39">
        <f>(IF(WEEKDAY(DM$82,2)&gt;5,0,81.09))*-1</f>
        <v>-81.09</v>
      </c>
      <c r="DN138" s="39">
        <f>(IF(WEEKDAY(DN$82,2)&gt;5,0,87.99))*-1</f>
        <v>-87.99</v>
      </c>
      <c r="DO138" s="39">
        <f>(IF(WEEKDAY(DO$82,2)&gt;5,0,90.58))*-1</f>
        <v>-90.58</v>
      </c>
      <c r="DP138" s="39">
        <f>(IF(WEEKDAY(DP$82,2)&gt;5,0,77.99))*-1</f>
        <v>-77.989999999999995</v>
      </c>
      <c r="DQ138" s="39">
        <f>(IF(WEEKDAY(DQ$82,2)&gt;5,0,78.66))*-1</f>
        <v>-78.66</v>
      </c>
      <c r="DR138" s="39">
        <f>(IF(WEEKDAY(DR$82,2)&gt;5,0,75.29))*-1</f>
        <v>0</v>
      </c>
      <c r="DS138" s="39">
        <f>(IF(WEEKDAY(DS$82,2)&gt;5,0,68.99))*-1</f>
        <v>0</v>
      </c>
      <c r="DT138" s="39">
        <f>(IF(WEEKDAY(DT$82,2)&gt;5,0,85.4))*-1</f>
        <v>-85.4</v>
      </c>
      <c r="DU138" s="39">
        <f>(IF(WEEKDAY(DU$82,2)&gt;5,0,69.01))*-1</f>
        <v>-69.010000000000005</v>
      </c>
      <c r="DV138" s="39">
        <f>(IF(WEEKDAY(DV$82,2)&gt;5,0,68.64))*-1</f>
        <v>-68.64</v>
      </c>
      <c r="DW138" s="39">
        <f>(IF(WEEKDAY(DW$82,2)&gt;5,0,77.72))*-1</f>
        <v>-77.72</v>
      </c>
      <c r="DX138" s="39">
        <f>(IF(WEEKDAY(DX$82,2)&gt;5,0,77.68))*-1</f>
        <v>-77.680000000000007</v>
      </c>
      <c r="DY138" s="39">
        <f>(IF(WEEKDAY(DY$82,2)&gt;5,0,78.89))*-1</f>
        <v>0</v>
      </c>
      <c r="DZ138" s="39">
        <f>(IF(WEEKDAY(DZ$82,2)&gt;5,0,72.58))*-1</f>
        <v>0</v>
      </c>
      <c r="EA138" s="39">
        <f>(IF(WEEKDAY(EA$82,2)&gt;5,0,76.21))*-1</f>
        <v>-76.209999999999994</v>
      </c>
      <c r="EB138" s="39">
        <f>(IF(WEEKDAY(EB$82,2)&gt;5,0,74.2))*-1</f>
        <v>-74.2</v>
      </c>
      <c r="EC138" s="39">
        <f>(IF(WEEKDAY(EC$82,2)&gt;5,0,81.27))*-1</f>
        <v>-81.27</v>
      </c>
      <c r="ED138" s="39">
        <f>(IF(WEEKDAY(ED$82,2)&gt;5,0,89.77))*-1</f>
        <v>-89.77</v>
      </c>
      <c r="EE138" s="39">
        <f>(IF(WEEKDAY(EE$82,2)&gt;5,0,81.3))*-1</f>
        <v>-81.3</v>
      </c>
      <c r="EF138" s="39">
        <f>(IF(WEEKDAY(EF$82,2)&gt;5,0,71.75))*-1</f>
        <v>0</v>
      </c>
      <c r="EG138" s="39">
        <f>(IF(WEEKDAY(EG$82,2)&gt;5,0,82.13))*-1</f>
        <v>0</v>
      </c>
      <c r="EH138" s="39">
        <f>(IF(WEEKDAY(EH$82,2)&gt;5,0,81.4))*-1</f>
        <v>-81.400000000000006</v>
      </c>
      <c r="EI138" s="39">
        <f>(IF(WEEKDAY(EI$82,2)&gt;5,0,80.61))*-1</f>
        <v>-80.61</v>
      </c>
      <c r="EJ138" s="39">
        <f>(IF(WEEKDAY(EJ$82,2)&gt;5,0,81.69))*-1</f>
        <v>-81.69</v>
      </c>
      <c r="EK138" s="39">
        <f>(IF(WEEKDAY(EK$82,2)&gt;5,0,82.4))*-1</f>
        <v>-82.4</v>
      </c>
      <c r="EL138" s="39">
        <f>(IF(WEEKDAY(EL$82,2)&gt;5,0,81))*-1</f>
        <v>-81</v>
      </c>
      <c r="EM138" s="39">
        <f>(IF(WEEKDAY(EM$82,2)&gt;5,0,77.5))*-1</f>
        <v>0</v>
      </c>
      <c r="EN138" s="39">
        <f>(IF(WEEKDAY(EN$82,2)&gt;5,0,74.41))*-1</f>
        <v>0</v>
      </c>
      <c r="EO138" s="39">
        <f>(IF(WEEKDAY(EO$82,2)&gt;5,0,85.84))*-1</f>
        <v>-85.84</v>
      </c>
      <c r="EP138" s="39">
        <f>(IF(WEEKDAY(EP$82,2)&gt;5,0,88.06))*-1</f>
        <v>-88.06</v>
      </c>
      <c r="EQ138" s="39">
        <f>(IF(WEEKDAY(EQ$82,2)&gt;5,0,73.87))*-1</f>
        <v>-73.87</v>
      </c>
      <c r="ER138" s="39">
        <f>(IF(WEEKDAY(ER$82,2)&gt;5,0,78.1))*-1</f>
        <v>-78.099999999999994</v>
      </c>
      <c r="ES138" s="39">
        <f>(IF(WEEKDAY(ES$82,2)&gt;5,0,83.23))*-1</f>
        <v>-83.23</v>
      </c>
      <c r="ET138" s="39">
        <f>(IF(WEEKDAY(ET$82,2)&gt;5,0,69.39))*-1</f>
        <v>0</v>
      </c>
      <c r="EU138" s="39">
        <f>(IF(WEEKDAY(EU$82,2)&gt;5,0,79.43))*-1</f>
        <v>0</v>
      </c>
      <c r="EV138" s="39">
        <f>(IF(WEEKDAY(EV$82,2)&gt;5,0,68.38))*-1</f>
        <v>-68.38</v>
      </c>
      <c r="EW138" s="39">
        <f>(IF(WEEKDAY(EW$82,2)&gt;5,0,81.89))*-1</f>
        <v>-81.89</v>
      </c>
      <c r="EX138" s="39">
        <f>(IF(WEEKDAY(EX$82,2)&gt;5,0,81.81))*-1</f>
        <v>-81.81</v>
      </c>
      <c r="EY138" s="39">
        <f>(IF(WEEKDAY(EY$82,2)&gt;5,0,80.7))*-1</f>
        <v>-80.7</v>
      </c>
      <c r="EZ138" s="39">
        <f>(IF(WEEKDAY(EZ$82,2)&gt;5,0,88.08))*-1</f>
        <v>-88.08</v>
      </c>
      <c r="FA138" s="39">
        <f>(IF(WEEKDAY(FA$82,2)&gt;5,0,72.51))*-1</f>
        <v>0</v>
      </c>
      <c r="FB138" s="39">
        <f>(IF(WEEKDAY(FB$82,2)&gt;5,0,75.34))*-1</f>
        <v>0</v>
      </c>
      <c r="FC138" s="39">
        <f>(IF(WEEKDAY(FC$82,2)&gt;5,0,68.74))*-1</f>
        <v>-68.739999999999995</v>
      </c>
      <c r="FD138" s="39">
        <f>(IF(WEEKDAY(FD$82,2)&gt;5,0,73.96))*-1</f>
        <v>-73.959999999999994</v>
      </c>
      <c r="FE138" s="39">
        <f>(IF(WEEKDAY(FE$82,2)&gt;5,0,75.62))*-1</f>
        <v>-75.62</v>
      </c>
      <c r="FF138" s="39">
        <f>(IF(WEEKDAY(FF$82,2)&gt;5,0,70.12))*-1</f>
        <v>-70.12</v>
      </c>
      <c r="FG138" s="39">
        <f>(IF(WEEKDAY(FG$82,2)&gt;5,0,78.46))*-1</f>
        <v>-78.459999999999994</v>
      </c>
      <c r="FH138" s="39">
        <f>(IF(WEEKDAY(FH$82,2)&gt;5,0,85.35))*-1</f>
        <v>0</v>
      </c>
      <c r="FI138" s="39">
        <f>(IF(WEEKDAY(FI$82,2)&gt;5,0,86.86))*-1</f>
        <v>0</v>
      </c>
      <c r="FJ138" s="39">
        <f>(IF(WEEKDAY(FJ$82,2)&gt;5,0,87.2))*-1</f>
        <v>-87.2</v>
      </c>
      <c r="FK138" s="39">
        <f>(IF(WEEKDAY(FK$82,2)&gt;5,0,84.78))*-1</f>
        <v>-84.78</v>
      </c>
      <c r="FL138" s="39">
        <f>(IF(WEEKDAY(FL$82,2)&gt;5,0,82.46))*-1</f>
        <v>-82.46</v>
      </c>
      <c r="FM138" s="39">
        <f>(IF(WEEKDAY(FM$82,2)&gt;5,0,76.99))*-1</f>
        <v>-76.989999999999995</v>
      </c>
      <c r="FN138" s="39">
        <f>(IF(WEEKDAY(FN$82,2)&gt;5,0,85.34))*-1</f>
        <v>-85.34</v>
      </c>
      <c r="FO138" s="39">
        <f>(IF(WEEKDAY(FO$82,2)&gt;5,0,86.51))*-1</f>
        <v>0</v>
      </c>
      <c r="FP138" s="39">
        <f>(IF(WEEKDAY(FP$82,2)&gt;5,0,76.49))*-1</f>
        <v>0</v>
      </c>
      <c r="FQ138" s="39">
        <f>(IF(WEEKDAY(FQ$82,2)&gt;5,0,75.43))*-1</f>
        <v>-75.430000000000007</v>
      </c>
      <c r="FR138" s="39">
        <f>(IF(WEEKDAY(FR$82,2)&gt;5,0,74.8))*-1</f>
        <v>-74.8</v>
      </c>
      <c r="FS138" s="39">
        <f>(IF(WEEKDAY(FS$82,2)&gt;5,0,87.46))*-1</f>
        <v>-87.46</v>
      </c>
      <c r="FT138" s="39">
        <f>(IF(WEEKDAY(FT$82,2)&gt;5,0,71.11))*-1</f>
        <v>-71.11</v>
      </c>
      <c r="FU138" s="39">
        <f>(IF(WEEKDAY(FU$82,2)&gt;5,0,78.74))*-1</f>
        <v>-78.739999999999995</v>
      </c>
      <c r="FV138" s="39">
        <f>(IF(WEEKDAY(FV$82,2)&gt;5,0,84.41))*-1</f>
        <v>0</v>
      </c>
      <c r="FW138" s="39">
        <f>(IF(WEEKDAY(FW$82,2)&gt;5,0,73.77))*-1</f>
        <v>0</v>
      </c>
      <c r="FX138" s="39">
        <f>(IF(WEEKDAY(FX$82,2)&gt;5,0,81.58))*-1</f>
        <v>-81.58</v>
      </c>
      <c r="FY138" s="39">
        <f>(IF(WEEKDAY(FY$82,2)&gt;5,0,68.46))*-1</f>
        <v>-68.459999999999994</v>
      </c>
      <c r="FZ138" s="39">
        <f>(IF(WEEKDAY(FZ$82,2)&gt;5,0,74.29))*-1</f>
        <v>-74.290000000000006</v>
      </c>
      <c r="GA138" s="39">
        <f>(IF(WEEKDAY(GA$82,2)&gt;5,0,83.96))*-1</f>
        <v>-83.96</v>
      </c>
      <c r="GB138" s="39">
        <f>(IF(WEEKDAY(GB$82,2)&gt;5,0,88))*-1</f>
        <v>-88</v>
      </c>
      <c r="GC138" s="39">
        <f>(IF(WEEKDAY(GC$82,2)&gt;5,0,79.91))*-1</f>
        <v>0</v>
      </c>
      <c r="GD138" s="39">
        <f>(IF(WEEKDAY(GD$82,2)&gt;5,0,79.26))*-1</f>
        <v>0</v>
      </c>
      <c r="GE138" s="39">
        <f>(IF(WEEKDAY(GE$82,2)&gt;5,0,70.21))*-1</f>
        <v>-70.209999999999994</v>
      </c>
      <c r="GF138" s="39">
        <f>(IF(WEEKDAY(GF$82,2)&gt;5,0,83.36))*-1</f>
        <v>-83.36</v>
      </c>
      <c r="GG138" s="39">
        <f>(IF(WEEKDAY(GG$82,2)&gt;5,0,75.57))*-1</f>
        <v>-75.569999999999993</v>
      </c>
      <c r="GH138" s="39">
        <f>(IF(WEEKDAY(GH$82,2)&gt;5,0,74.39))*-1</f>
        <v>-74.39</v>
      </c>
      <c r="GI138" s="39">
        <f>(IF(WEEKDAY(GI$82,2)&gt;5,0,90.17))*-1</f>
        <v>-90.17</v>
      </c>
      <c r="GJ138" s="39">
        <f>(IF(WEEKDAY(GJ$82,2)&gt;5,0,90.58))*-1</f>
        <v>0</v>
      </c>
      <c r="GK138" s="39">
        <f>(IF(WEEKDAY(GK$82,2)&gt;5,0,87.98))*-1</f>
        <v>0</v>
      </c>
      <c r="GL138" s="39">
        <f>(IF(WEEKDAY(GL$82,2)&gt;5,0,68.57))*-1</f>
        <v>-68.569999999999993</v>
      </c>
      <c r="GM138" s="39">
        <f>(IF(WEEKDAY(GM$82,2)&gt;5,0,83.2))*-1</f>
        <v>-83.2</v>
      </c>
      <c r="GN138" s="39">
        <f>(IF(WEEKDAY(GN$82,2)&gt;5,0,72.79))*-1</f>
        <v>-72.790000000000006</v>
      </c>
      <c r="GO138" s="39">
        <f>(IF(WEEKDAY(GO$82,2)&gt;5,0,75.61))*-1</f>
        <v>-75.61</v>
      </c>
      <c r="GP138" s="39">
        <f>(IF(WEEKDAY(GP$82,2)&gt;5,0,78.48))*-1</f>
        <v>-78.48</v>
      </c>
      <c r="GQ138" s="39">
        <f>(IF(WEEKDAY(GQ$82,2)&gt;5,0,68.4))*-1</f>
        <v>0</v>
      </c>
      <c r="GR138" s="39">
        <f>(IF(WEEKDAY(GR$82,2)&gt;5,0,80.03))*-1</f>
        <v>0</v>
      </c>
      <c r="GS138" s="39">
        <f>(IF(WEEKDAY(GS$82,2)&gt;5,0,91.58))*-1</f>
        <v>-91.58</v>
      </c>
      <c r="GT138" s="39">
        <f>(IF(WEEKDAY(GT$82,2)&gt;5,0,71.6))*-1</f>
        <v>-71.599999999999994</v>
      </c>
      <c r="GU138" s="39">
        <f>(IF(WEEKDAY(GU$82,2)&gt;5,0,71.3))*-1</f>
        <v>-71.3</v>
      </c>
      <c r="GV138" s="39">
        <f>(IF(WEEKDAY(GV$82,2)&gt;5,0,74.66))*-1</f>
        <v>-74.66</v>
      </c>
      <c r="GW138" s="39">
        <f>(IF(WEEKDAY(GW$82,2)&gt;5,0,70.87))*-1</f>
        <v>-70.87</v>
      </c>
      <c r="GX138" s="39">
        <f>(IF(WEEKDAY(GX$82,2)&gt;5,0,70.1))*-1</f>
        <v>0</v>
      </c>
      <c r="GY138" s="39">
        <f>(IF(WEEKDAY(GY$82,2)&gt;5,0,78.92))*-1</f>
        <v>0</v>
      </c>
      <c r="GZ138" s="39">
        <f>(IF(WEEKDAY(GZ$82,2)&gt;5,0,68.29))*-1</f>
        <v>-68.290000000000006</v>
      </c>
      <c r="HA138" s="39">
        <f>(IF(WEEKDAY(HA$82,2)&gt;5,0,86.73))*-1</f>
        <v>-86.73</v>
      </c>
      <c r="HB138" s="39">
        <f>(IF(WEEKDAY(HB$82,2)&gt;5,0,70.01))*-1</f>
        <v>-70.010000000000005</v>
      </c>
      <c r="HC138" s="39">
        <f>(IF(WEEKDAY(HC$82,2)&gt;5,0,87.3))*-1</f>
        <v>-87.3</v>
      </c>
      <c r="HD138" s="39">
        <f>(IF(WEEKDAY(HD$82,2)&gt;5,0,69.19))*-1</f>
        <v>-69.19</v>
      </c>
      <c r="HE138" s="39">
        <f>(IF(WEEKDAY(HE$82,2)&gt;5,0,77.79))*-1</f>
        <v>0</v>
      </c>
      <c r="HF138" s="39">
        <f>(IF(WEEKDAY(HF$82,2)&gt;5,0,85.57))*-1</f>
        <v>0</v>
      </c>
      <c r="HG138" s="39">
        <f>(IF(WEEKDAY(HG$82,2)&gt;5,0,71.93))*-1</f>
        <v>-71.930000000000007</v>
      </c>
      <c r="HH138" s="39">
        <f>(IF(WEEKDAY(HH$82,2)&gt;5,0,76.97))*-1</f>
        <v>-76.97</v>
      </c>
      <c r="HI138" s="39">
        <f>(IF(WEEKDAY(HI$82,2)&gt;5,0,79.3))*-1</f>
        <v>-79.3</v>
      </c>
      <c r="HJ138" s="39">
        <f>(IF(WEEKDAY(HJ$82,2)&gt;5,0,88.3))*-1</f>
        <v>-88.3</v>
      </c>
      <c r="HK138" s="39">
        <f>(IF(WEEKDAY(HK$82,2)&gt;5,0,90.18))*-1</f>
        <v>-90.18</v>
      </c>
      <c r="HL138" s="39">
        <f>(IF(WEEKDAY(HL$82,2)&gt;5,0,69.74))*-1</f>
        <v>0</v>
      </c>
      <c r="HM138" s="39">
        <f>(IF(WEEKDAY(HM$82,2)&gt;5,0,78.03))*-1</f>
        <v>0</v>
      </c>
      <c r="HN138" s="39">
        <f>(IF(WEEKDAY(HN$82,2)&gt;5,0,74.8))*-1</f>
        <v>-74.8</v>
      </c>
      <c r="HO138" s="39">
        <f>(IF(WEEKDAY(HO$82,2)&gt;5,0,76.84))*-1</f>
        <v>-76.84</v>
      </c>
      <c r="HP138" s="39">
        <f>(IF(WEEKDAY(HP$82,2)&gt;5,0,77.2))*-1</f>
        <v>-77.2</v>
      </c>
      <c r="HQ138" s="39">
        <f>(IF(WEEKDAY(HQ$82,2)&gt;5,0,82.28))*-1</f>
        <v>-82.28</v>
      </c>
      <c r="HR138" s="39">
        <f>(IF(WEEKDAY(HR$82,2)&gt;5,0,73.16))*-1</f>
        <v>-73.16</v>
      </c>
      <c r="HS138" s="39">
        <f>(IF(WEEKDAY(HS$82,2)&gt;5,0,71.11))*-1</f>
        <v>0</v>
      </c>
      <c r="HT138" s="39">
        <f>(IF(WEEKDAY(HT$82,2)&gt;5,0,75.23))*-1</f>
        <v>0</v>
      </c>
      <c r="HU138" s="39">
        <f>(IF(WEEKDAY(HU$82,2)&gt;5,0,78.19))*-1</f>
        <v>-78.19</v>
      </c>
      <c r="HV138" s="39">
        <f>(IF(WEEKDAY(HV$82,2)&gt;5,0,68.81))*-1</f>
        <v>-68.81</v>
      </c>
      <c r="HW138" s="39">
        <f>(IF(WEEKDAY(HW$82,2)&gt;5,0,79.78))*-1</f>
        <v>-79.78</v>
      </c>
      <c r="HX138" s="39">
        <f>(IF(WEEKDAY(HX$82,2)&gt;5,0,81.56))*-1</f>
        <v>-81.56</v>
      </c>
      <c r="HY138" s="39">
        <f>(IF(WEEKDAY(HY$82,2)&gt;5,0,80.14))*-1</f>
        <v>-80.14</v>
      </c>
      <c r="HZ138" s="39">
        <f>(IF(WEEKDAY(HZ$82,2)&gt;5,0,81.12))*-1</f>
        <v>0</v>
      </c>
      <c r="IA138" s="39">
        <f>(IF(WEEKDAY(IA$82,2)&gt;5,0,68.87))*-1</f>
        <v>0</v>
      </c>
      <c r="IB138" s="39">
        <f>(IF(WEEKDAY(IB$82,2)&gt;5,0,72.36))*-1</f>
        <v>-72.36</v>
      </c>
      <c r="IC138" s="39">
        <f>(IF(WEEKDAY(IC$82,2)&gt;5,0,85.26))*-1</f>
        <v>-85.26</v>
      </c>
      <c r="ID138" s="39">
        <f>(IF(WEEKDAY(ID$82,2)&gt;5,0,69.02))*-1</f>
        <v>-69.02</v>
      </c>
      <c r="IE138" s="39">
        <f>(IF(WEEKDAY(IE$82,2)&gt;5,0,86.81))*-1</f>
        <v>-86.81</v>
      </c>
      <c r="IF138" s="39">
        <f>(IF(WEEKDAY(IF$82,2)&gt;5,0,72.12))*-1</f>
        <v>-72.12</v>
      </c>
      <c r="IG138" s="39">
        <f>(IF(WEEKDAY(IG$82,2)&gt;5,0,72.22))*-1</f>
        <v>0</v>
      </c>
      <c r="IH138" s="39">
        <f>(IF(WEEKDAY(IH$82,2)&gt;5,0,83.76))*-1</f>
        <v>0</v>
      </c>
      <c r="II138" s="39">
        <f>(IF(WEEKDAY(II$82,2)&gt;5,0,69.23))*-1</f>
        <v>-69.23</v>
      </c>
      <c r="IJ138" s="39">
        <f>(IF(WEEKDAY(IJ$82,2)&gt;5,0,69))*-1</f>
        <v>-69</v>
      </c>
      <c r="IK138" s="39">
        <f>(IF(WEEKDAY(IK$82,2)&gt;5,0,80.09))*-1</f>
        <v>-80.09</v>
      </c>
      <c r="IL138" s="39">
        <f>(IF(WEEKDAY(IL$82,2)&gt;5,0,91.95))*-1</f>
        <v>-91.95</v>
      </c>
    </row>
    <row r="139" spans="1:246" x14ac:dyDescent="0.3">
      <c r="A139" t="s">
        <v>121</v>
      </c>
      <c r="B139" s="39">
        <f>(IF(WEEKDAY(B$82,2)&gt;5,0,66.22))*-1</f>
        <v>-66.22</v>
      </c>
      <c r="C139" s="39">
        <f>(IF(WEEKDAY(C$82,2)&gt;5,0,61.66))*-1</f>
        <v>0</v>
      </c>
      <c r="D139" s="39">
        <f>(IF(WEEKDAY(D$82,2)&gt;5,0,67.29))*-1</f>
        <v>0</v>
      </c>
      <c r="E139" s="39">
        <f>(IF(WEEKDAY(E$82,2)&gt;5,0,80.5))*-1</f>
        <v>-80.5</v>
      </c>
      <c r="F139" s="39">
        <f>(IF(WEEKDAY(F$82,2)&gt;5,0,76.3))*-1</f>
        <v>-76.3</v>
      </c>
      <c r="G139" s="39">
        <f>(IF(WEEKDAY(G$82,2)&gt;5,0,70.41))*-1</f>
        <v>-70.41</v>
      </c>
      <c r="H139" s="39">
        <f>(IF(WEEKDAY(H$82,2)&gt;5,0,71.87))*-1</f>
        <v>-71.87</v>
      </c>
      <c r="I139" s="39">
        <f>(IF(WEEKDAY(I$82,2)&gt;5,0,65.63))*-1</f>
        <v>-65.63</v>
      </c>
      <c r="J139" s="39">
        <f>(IF(WEEKDAY(J$82,2)&gt;5,0,79.16))*-1</f>
        <v>0</v>
      </c>
      <c r="K139" s="39">
        <f>(IF(WEEKDAY(K$82,2)&gt;5,0,72.76))*-1</f>
        <v>0</v>
      </c>
      <c r="L139" s="39">
        <f>(IF(WEEKDAY(L$82,2)&gt;5,0,78.82))*-1</f>
        <v>-78.819999999999993</v>
      </c>
      <c r="M139" s="39">
        <f>(IF(WEEKDAY(M$82,2)&gt;5,0,60.8))*-1</f>
        <v>-60.8</v>
      </c>
      <c r="N139" s="39">
        <f>(IF(WEEKDAY(N$82,2)&gt;5,0,73.14))*-1</f>
        <v>-73.14</v>
      </c>
      <c r="O139" s="39">
        <f>(IF(WEEKDAY(O$82,2)&gt;5,0,76.34))*-1</f>
        <v>-76.34</v>
      </c>
      <c r="P139" s="39">
        <f>(IF(WEEKDAY(P$82,2)&gt;5,0,67.57))*-1</f>
        <v>-67.569999999999993</v>
      </c>
      <c r="Q139" s="39">
        <f>(IF(WEEKDAY(Q$82,2)&gt;5,0,73.63))*-1</f>
        <v>0</v>
      </c>
      <c r="R139" s="39">
        <f>(IF(WEEKDAY(R$82,2)&gt;5,0,59.87))*-1</f>
        <v>0</v>
      </c>
      <c r="S139" s="39">
        <f>(IF(WEEKDAY(S$82,2)&gt;5,0,66.3))*-1</f>
        <v>-66.3</v>
      </c>
      <c r="T139" s="39">
        <f>(IF(WEEKDAY(T$82,2)&gt;5,0,75.13))*-1</f>
        <v>-75.13</v>
      </c>
      <c r="U139" s="39">
        <f>(IF(WEEKDAY(U$82,2)&gt;5,0,59.73))*-1</f>
        <v>-59.73</v>
      </c>
      <c r="V139" s="39">
        <f>(IF(WEEKDAY(V$82,2)&gt;5,0,74.62))*-1</f>
        <v>-74.62</v>
      </c>
      <c r="W139" s="39">
        <f>(IF(WEEKDAY(W$82,2)&gt;5,0,63.3))*-1</f>
        <v>-63.3</v>
      </c>
      <c r="X139" s="39">
        <f>(IF(WEEKDAY(X$82,2)&gt;5,0,79.85))*-1</f>
        <v>0</v>
      </c>
      <c r="Y139" s="39">
        <f>(IF(WEEKDAY(Y$82,2)&gt;5,0,71.32))*-1</f>
        <v>0</v>
      </c>
      <c r="Z139" s="39">
        <f>(IF(WEEKDAY(Z$82,2)&gt;5,0,77.94))*-1</f>
        <v>-77.94</v>
      </c>
      <c r="AA139" s="39">
        <f>(IF(WEEKDAY(AA$82,2)&gt;5,0,65.92))*-1</f>
        <v>-65.92</v>
      </c>
      <c r="AB139" s="39">
        <f>(IF(WEEKDAY(AB$82,2)&gt;5,0,72.71))*-1</f>
        <v>-72.709999999999994</v>
      </c>
      <c r="AC139" s="39">
        <f>(IF(WEEKDAY(AC$82,2)&gt;5,0,70.58))*-1</f>
        <v>-70.58</v>
      </c>
      <c r="AD139" s="39">
        <f>(IF(WEEKDAY(AD$82,2)&gt;5,0,61.12))*-1</f>
        <v>-61.12</v>
      </c>
      <c r="AE139" s="39">
        <f>(IF(WEEKDAY(AE$82,2)&gt;5,0,65.82))*-1</f>
        <v>0</v>
      </c>
      <c r="AF139" s="39">
        <f>(IF(WEEKDAY(AF$82,2)&gt;5,0,77.88))*-1</f>
        <v>0</v>
      </c>
      <c r="AG139" s="39">
        <f>(IF(WEEKDAY(AG$82,2)&gt;5,0,73.89))*-1</f>
        <v>-73.89</v>
      </c>
      <c r="AH139" s="39">
        <f>(IF(WEEKDAY(AH$82,2)&gt;5,0,78.35))*-1</f>
        <v>-78.349999999999994</v>
      </c>
      <c r="AI139" s="39">
        <f>(IF(WEEKDAY(AI$82,2)&gt;5,0,78.65))*-1</f>
        <v>-78.650000000000006</v>
      </c>
      <c r="AJ139" s="39">
        <f>(IF(WEEKDAY(AJ$82,2)&gt;5,0,61.21))*-1</f>
        <v>-61.21</v>
      </c>
      <c r="AK139" s="39">
        <f>(IF(WEEKDAY(AK$82,2)&gt;5,0,70.78))*-1</f>
        <v>-70.78</v>
      </c>
      <c r="AL139" s="39">
        <f>(IF(WEEKDAY(AL$82,2)&gt;5,0,66.19))*-1</f>
        <v>0</v>
      </c>
      <c r="AM139" s="39">
        <f>(IF(WEEKDAY(AM$82,2)&gt;5,0,62.75))*-1</f>
        <v>0</v>
      </c>
      <c r="AN139" s="39">
        <f>(IF(WEEKDAY(AN$82,2)&gt;5,0,78.86))*-1</f>
        <v>-78.86</v>
      </c>
      <c r="AO139" s="39">
        <f>(IF(WEEKDAY(AO$82,2)&gt;5,0,61.2))*-1</f>
        <v>-61.2</v>
      </c>
      <c r="AP139" s="39">
        <f>(IF(WEEKDAY(AP$82,2)&gt;5,0,69.19))*-1</f>
        <v>-69.19</v>
      </c>
      <c r="AQ139" s="39">
        <f>(IF(WEEKDAY(AQ$82,2)&gt;5,0,59.66))*-1</f>
        <v>-59.66</v>
      </c>
      <c r="AR139" s="39">
        <f>(IF(WEEKDAY(AR$82,2)&gt;5,0,74.09))*-1</f>
        <v>-74.09</v>
      </c>
      <c r="AS139" s="39">
        <f>(IF(WEEKDAY(AS$82,2)&gt;5,0,71.65))*-1</f>
        <v>0</v>
      </c>
      <c r="AT139" s="39">
        <f>(IF(WEEKDAY(AT$82,2)&gt;5,0,78.44))*-1</f>
        <v>0</v>
      </c>
      <c r="AU139" s="39">
        <f>(IF(WEEKDAY(AU$82,2)&gt;5,0,72.3))*-1</f>
        <v>-72.3</v>
      </c>
      <c r="AV139" s="39">
        <f>(IF(WEEKDAY(AV$82,2)&gt;5,0,64.52))*-1</f>
        <v>-64.52</v>
      </c>
      <c r="AW139" s="39">
        <f>(IF(WEEKDAY(AW$82,2)&gt;5,0,62.4))*-1</f>
        <v>-62.4</v>
      </c>
      <c r="AX139" s="39">
        <f>(IF(WEEKDAY(AX$82,2)&gt;5,0,70.67))*-1</f>
        <v>-70.67</v>
      </c>
      <c r="AY139" s="39">
        <f>(IF(WEEKDAY(AY$82,2)&gt;5,0,64.73))*-1</f>
        <v>-64.73</v>
      </c>
      <c r="AZ139" s="39">
        <f>(IF(WEEKDAY(AZ$82,2)&gt;5,0,77.7))*-1</f>
        <v>0</v>
      </c>
      <c r="BA139" s="39">
        <f>(IF(WEEKDAY(BA$82,2)&gt;5,0,66.01))*-1</f>
        <v>0</v>
      </c>
      <c r="BB139" s="39">
        <f>(IF(WEEKDAY(BB$82,2)&gt;5,0,64.15))*-1</f>
        <v>-64.150000000000006</v>
      </c>
      <c r="BC139" s="39">
        <f>(IF(WEEKDAY(BC$82,2)&gt;5,0,66.01))*-1</f>
        <v>-66.010000000000005</v>
      </c>
      <c r="BD139" s="39">
        <f>(IF(WEEKDAY(BD$82,2)&gt;5,0,69.57))*-1</f>
        <v>-69.569999999999993</v>
      </c>
      <c r="BE139" s="39">
        <f>(IF(WEEKDAY(BE$82,2)&gt;5,0,64.68))*-1</f>
        <v>-64.680000000000007</v>
      </c>
      <c r="BF139" s="39">
        <f>(IF(WEEKDAY(BF$82,2)&gt;5,0,73.2))*-1</f>
        <v>-73.2</v>
      </c>
      <c r="BG139" s="39">
        <f>(IF(WEEKDAY(BG$82,2)&gt;5,0,62.31))*-1</f>
        <v>0</v>
      </c>
      <c r="BH139" s="39">
        <f>(IF(WEEKDAY(BH$82,2)&gt;5,0,61.68))*-1</f>
        <v>0</v>
      </c>
      <c r="BI139" s="39">
        <f>(IF(WEEKDAY(BI$82,2)&gt;5,0,68.88))*-1</f>
        <v>-68.88</v>
      </c>
      <c r="BJ139" s="39">
        <f>(IF(WEEKDAY(BJ$82,2)&gt;5,0,74.81))*-1</f>
        <v>-74.81</v>
      </c>
      <c r="BK139" s="39">
        <f>(IF(WEEKDAY(BK$82,2)&gt;5,0,76.8))*-1</f>
        <v>-76.8</v>
      </c>
      <c r="BL139" s="39">
        <f>(IF(WEEKDAY(BL$82,2)&gt;5,0,71.37))*-1</f>
        <v>-71.37</v>
      </c>
      <c r="BM139" s="39">
        <f>(IF(WEEKDAY(BM$82,2)&gt;5,0,75.37))*-1</f>
        <v>-75.37</v>
      </c>
      <c r="BN139" s="39">
        <f>(IF(WEEKDAY(BN$82,2)&gt;5,0,65.39))*-1</f>
        <v>0</v>
      </c>
      <c r="BO139" s="39">
        <f>(IF(WEEKDAY(BO$82,2)&gt;5,0,71.67))*-1</f>
        <v>0</v>
      </c>
      <c r="BP139" s="39">
        <f>(IF(WEEKDAY(BP$82,2)&gt;5,0,72.33))*-1</f>
        <v>-72.33</v>
      </c>
      <c r="BQ139" s="39">
        <f>(IF(WEEKDAY(BQ$82,2)&gt;5,0,70.39))*-1</f>
        <v>-70.39</v>
      </c>
      <c r="BR139" s="39">
        <f>(IF(WEEKDAY(BR$82,2)&gt;5,0,68.56))*-1</f>
        <v>-68.56</v>
      </c>
      <c r="BS139" s="39">
        <f>(IF(WEEKDAY(BS$82,2)&gt;5,0,60.44))*-1</f>
        <v>-60.44</v>
      </c>
      <c r="BT139" s="39">
        <f>(IF(WEEKDAY(BT$82,2)&gt;5,0,75.66))*-1</f>
        <v>-75.66</v>
      </c>
      <c r="BU139" s="39">
        <f>(IF(WEEKDAY(BU$82,2)&gt;5,0,70.88))*-1</f>
        <v>0</v>
      </c>
      <c r="BV139" s="39">
        <f>(IF(WEEKDAY(BV$82,2)&gt;5,0,68.14))*-1</f>
        <v>0</v>
      </c>
      <c r="BW139" s="39">
        <f>(IF(WEEKDAY(BW$82,2)&gt;5,0,72.25))*-1</f>
        <v>-72.25</v>
      </c>
      <c r="BX139" s="39">
        <f>(IF(WEEKDAY(BX$82,2)&gt;5,0,73.91))*-1</f>
        <v>-73.91</v>
      </c>
      <c r="BY139" s="39">
        <f>(IF(WEEKDAY(BY$82,2)&gt;5,0,68.69))*-1</f>
        <v>-68.69</v>
      </c>
      <c r="BZ139" s="39">
        <f>(IF(WEEKDAY(BZ$82,2)&gt;5,0,62.02))*-1</f>
        <v>-62.02</v>
      </c>
      <c r="CA139" s="39">
        <f>(IF(WEEKDAY(CA$82,2)&gt;5,0,62.23))*-1</f>
        <v>-62.23</v>
      </c>
      <c r="CB139" s="39">
        <f>(IF(WEEKDAY(CB$82,2)&gt;5,0,65.18))*-1</f>
        <v>0</v>
      </c>
      <c r="CC139" s="39">
        <f>(IF(WEEKDAY(CC$82,2)&gt;5,0,77.8))*-1</f>
        <v>0</v>
      </c>
      <c r="CD139" s="39">
        <f>(IF(WEEKDAY(CD$82,2)&gt;5,0,75.4))*-1</f>
        <v>-75.400000000000006</v>
      </c>
      <c r="CE139" s="39">
        <f>(IF(WEEKDAY(CE$82,2)&gt;5,0,63.62))*-1</f>
        <v>-63.62</v>
      </c>
      <c r="CF139" s="39">
        <f>(IF(WEEKDAY(CF$82,2)&gt;5,0,72.96))*-1</f>
        <v>-72.959999999999994</v>
      </c>
      <c r="CG139" s="39">
        <f>(IF(WEEKDAY(CG$82,2)&gt;5,0,63.13))*-1</f>
        <v>-63.13</v>
      </c>
      <c r="CH139" s="39">
        <f>(IF(WEEKDAY(CH$82,2)&gt;5,0,68.65))*-1</f>
        <v>-68.650000000000006</v>
      </c>
      <c r="CI139" s="39">
        <f>(IF(WEEKDAY(CI$82,2)&gt;5,0,80.07))*-1</f>
        <v>0</v>
      </c>
      <c r="CJ139" s="39">
        <f>(IF(WEEKDAY(CJ$82,2)&gt;5,0,75.35))*-1</f>
        <v>0</v>
      </c>
      <c r="CK139" s="39">
        <f>(IF(WEEKDAY(CK$82,2)&gt;5,0,63.69))*-1</f>
        <v>-63.69</v>
      </c>
      <c r="CL139" s="39">
        <f>(IF(WEEKDAY(CL$82,2)&gt;5,0,62.7))*-1</f>
        <v>-62.7</v>
      </c>
      <c r="CM139" s="39">
        <f>(IF(WEEKDAY(CM$82,2)&gt;5,0,61.87))*-1</f>
        <v>-61.87</v>
      </c>
      <c r="CN139" s="39">
        <f>(IF(WEEKDAY(CN$82,2)&gt;5,0,79.69))*-1</f>
        <v>-79.69</v>
      </c>
      <c r="CO139" s="39">
        <f>(IF(WEEKDAY(CO$82,2)&gt;5,0,70.77))*-1</f>
        <v>-70.77</v>
      </c>
      <c r="CP139" s="39">
        <f>(IF(WEEKDAY(CP$82,2)&gt;5,0,62.64))*-1</f>
        <v>0</v>
      </c>
      <c r="CQ139" s="39">
        <f>(IF(WEEKDAY(CQ$82,2)&gt;5,0,60.76))*-1</f>
        <v>0</v>
      </c>
      <c r="CR139" s="39">
        <f>(IF(WEEKDAY(CR$82,2)&gt;5,0,62.77))*-1</f>
        <v>-62.77</v>
      </c>
      <c r="CS139" s="39">
        <f>(IF(WEEKDAY(CS$82,2)&gt;5,0,63.94))*-1</f>
        <v>-63.94</v>
      </c>
      <c r="CT139" s="39">
        <f>(IF(WEEKDAY(CT$82,2)&gt;5,0,68.63))*-1</f>
        <v>-68.63</v>
      </c>
      <c r="CU139" s="39">
        <f>(IF(WEEKDAY(CU$82,2)&gt;5,0,77.46))*-1</f>
        <v>-77.459999999999994</v>
      </c>
      <c r="CV139" s="39">
        <f>(IF(WEEKDAY(CV$82,2)&gt;5,0,79.17))*-1</f>
        <v>-79.17</v>
      </c>
      <c r="CW139" s="39">
        <f>(IF(WEEKDAY(CW$82,2)&gt;5,0,76.59))*-1</f>
        <v>0</v>
      </c>
      <c r="CX139" s="39">
        <f>(IF(WEEKDAY(CX$82,2)&gt;5,0,68.48))*-1</f>
        <v>0</v>
      </c>
      <c r="CY139" s="39">
        <f>(IF(WEEKDAY(CY$82,2)&gt;5,0,75.96))*-1</f>
        <v>-75.959999999999994</v>
      </c>
      <c r="CZ139" s="39">
        <f>(IF(WEEKDAY(CZ$82,2)&gt;5,0,79.72))*-1</f>
        <v>-79.72</v>
      </c>
      <c r="DA139" s="39">
        <f>(IF(WEEKDAY(DA$82,2)&gt;5,0,75.19))*-1</f>
        <v>-75.19</v>
      </c>
      <c r="DB139" s="39">
        <f>(IF(WEEKDAY(DB$82,2)&gt;5,0,78.1))*-1</f>
        <v>-78.099999999999994</v>
      </c>
      <c r="DC139" s="39">
        <f>(IF(WEEKDAY(DC$82,2)&gt;5,0,72.87))*-1</f>
        <v>-72.87</v>
      </c>
      <c r="DD139" s="39">
        <f>(IF(WEEKDAY(DD$82,2)&gt;5,0,69.55))*-1</f>
        <v>0</v>
      </c>
      <c r="DE139" s="39">
        <f>(IF(WEEKDAY(DE$82,2)&gt;5,0,68.26))*-1</f>
        <v>0</v>
      </c>
      <c r="DF139" s="39">
        <f>(IF(WEEKDAY(DF$82,2)&gt;5,0,74.41))*-1</f>
        <v>-74.41</v>
      </c>
      <c r="DG139" s="39">
        <f>(IF(WEEKDAY(DG$82,2)&gt;5,0,70.94))*-1</f>
        <v>-70.94</v>
      </c>
      <c r="DH139" s="39">
        <f>(IF(WEEKDAY(DH$82,2)&gt;5,0,78.38))*-1</f>
        <v>-78.38</v>
      </c>
      <c r="DI139" s="39">
        <f>(IF(WEEKDAY(DI$82,2)&gt;5,0,78.33))*-1</f>
        <v>-78.33</v>
      </c>
      <c r="DJ139" s="39">
        <f>(IF(WEEKDAY(DJ$82,2)&gt;5,0,75.32))*-1</f>
        <v>-75.319999999999993</v>
      </c>
      <c r="DK139" s="39">
        <f>(IF(WEEKDAY(DK$82,2)&gt;5,0,70.89))*-1</f>
        <v>0</v>
      </c>
      <c r="DL139" s="39">
        <f>(IF(WEEKDAY(DL$82,2)&gt;5,0,63.54))*-1</f>
        <v>0</v>
      </c>
      <c r="DM139" s="39">
        <f>(IF(WEEKDAY(DM$82,2)&gt;5,0,60.23))*-1</f>
        <v>-60.23</v>
      </c>
      <c r="DN139" s="39">
        <f>(IF(WEEKDAY(DN$82,2)&gt;5,0,67.39))*-1</f>
        <v>-67.39</v>
      </c>
      <c r="DO139" s="39">
        <f>(IF(WEEKDAY(DO$82,2)&gt;5,0,72.79))*-1</f>
        <v>-72.790000000000006</v>
      </c>
      <c r="DP139" s="39">
        <f>(IF(WEEKDAY(DP$82,2)&gt;5,0,70.72))*-1</f>
        <v>-70.72</v>
      </c>
      <c r="DQ139" s="39">
        <f>(IF(WEEKDAY(DQ$82,2)&gt;5,0,70.45))*-1</f>
        <v>-70.45</v>
      </c>
      <c r="DR139" s="39">
        <f>(IF(WEEKDAY(DR$82,2)&gt;5,0,77.91))*-1</f>
        <v>0</v>
      </c>
      <c r="DS139" s="39">
        <f>(IF(WEEKDAY(DS$82,2)&gt;5,0,59.87))*-1</f>
        <v>0</v>
      </c>
      <c r="DT139" s="39">
        <f>(IF(WEEKDAY(DT$82,2)&gt;5,0,63.03))*-1</f>
        <v>-63.03</v>
      </c>
      <c r="DU139" s="39">
        <f>(IF(WEEKDAY(DU$82,2)&gt;5,0,63.95))*-1</f>
        <v>-63.95</v>
      </c>
      <c r="DV139" s="39">
        <f>(IF(WEEKDAY(DV$82,2)&gt;5,0,65.3))*-1</f>
        <v>-65.3</v>
      </c>
      <c r="DW139" s="39">
        <f>(IF(WEEKDAY(DW$82,2)&gt;5,0,67.5))*-1</f>
        <v>-67.5</v>
      </c>
      <c r="DX139" s="39">
        <f>(IF(WEEKDAY(DX$82,2)&gt;5,0,67.83))*-1</f>
        <v>-67.83</v>
      </c>
      <c r="DY139" s="39">
        <f>(IF(WEEKDAY(DY$82,2)&gt;5,0,79.34))*-1</f>
        <v>0</v>
      </c>
      <c r="DZ139" s="39">
        <f>(IF(WEEKDAY(DZ$82,2)&gt;5,0,73.82))*-1</f>
        <v>0</v>
      </c>
      <c r="EA139" s="39">
        <f>(IF(WEEKDAY(EA$82,2)&gt;5,0,60.43))*-1</f>
        <v>-60.43</v>
      </c>
      <c r="EB139" s="39">
        <f>(IF(WEEKDAY(EB$82,2)&gt;5,0,78.88))*-1</f>
        <v>-78.88</v>
      </c>
      <c r="EC139" s="39">
        <f>(IF(WEEKDAY(EC$82,2)&gt;5,0,74.73))*-1</f>
        <v>-74.73</v>
      </c>
      <c r="ED139" s="39">
        <f>(IF(WEEKDAY(ED$82,2)&gt;5,0,59.58))*-1</f>
        <v>-59.58</v>
      </c>
      <c r="EE139" s="39">
        <f>(IF(WEEKDAY(EE$82,2)&gt;5,0,69.12))*-1</f>
        <v>-69.12</v>
      </c>
      <c r="EF139" s="39">
        <f>(IF(WEEKDAY(EF$82,2)&gt;5,0,61.25))*-1</f>
        <v>0</v>
      </c>
      <c r="EG139" s="39">
        <f>(IF(WEEKDAY(EG$82,2)&gt;5,0,74.48))*-1</f>
        <v>0</v>
      </c>
      <c r="EH139" s="39">
        <f>(IF(WEEKDAY(EH$82,2)&gt;5,0,68.31))*-1</f>
        <v>-68.31</v>
      </c>
      <c r="EI139" s="39">
        <f>(IF(WEEKDAY(EI$82,2)&gt;5,0,74.47))*-1</f>
        <v>-74.47</v>
      </c>
      <c r="EJ139" s="39">
        <f>(IF(WEEKDAY(EJ$82,2)&gt;5,0,75.69))*-1</f>
        <v>-75.69</v>
      </c>
      <c r="EK139" s="39">
        <f>(IF(WEEKDAY(EK$82,2)&gt;5,0,76.83))*-1</f>
        <v>-76.83</v>
      </c>
      <c r="EL139" s="39">
        <f>(IF(WEEKDAY(EL$82,2)&gt;5,0,60.12))*-1</f>
        <v>-60.12</v>
      </c>
      <c r="EM139" s="39">
        <f>(IF(WEEKDAY(EM$82,2)&gt;5,0,62.11))*-1</f>
        <v>0</v>
      </c>
      <c r="EN139" s="39">
        <f>(IF(WEEKDAY(EN$82,2)&gt;5,0,76.78))*-1</f>
        <v>0</v>
      </c>
      <c r="EO139" s="39">
        <f>(IF(WEEKDAY(EO$82,2)&gt;5,0,63.55))*-1</f>
        <v>-63.55</v>
      </c>
      <c r="EP139" s="39">
        <f>(IF(WEEKDAY(EP$82,2)&gt;5,0,72.63))*-1</f>
        <v>-72.63</v>
      </c>
      <c r="EQ139" s="39">
        <f>(IF(WEEKDAY(EQ$82,2)&gt;5,0,60.61))*-1</f>
        <v>-60.61</v>
      </c>
      <c r="ER139" s="39">
        <f>(IF(WEEKDAY(ER$82,2)&gt;5,0,79.6))*-1</f>
        <v>-79.599999999999994</v>
      </c>
      <c r="ES139" s="39">
        <f>(IF(WEEKDAY(ES$82,2)&gt;5,0,61.46))*-1</f>
        <v>-61.46</v>
      </c>
      <c r="ET139" s="39">
        <f>(IF(WEEKDAY(ET$82,2)&gt;5,0,61.95))*-1</f>
        <v>0</v>
      </c>
      <c r="EU139" s="39">
        <f>(IF(WEEKDAY(EU$82,2)&gt;5,0,73.87))*-1</f>
        <v>0</v>
      </c>
      <c r="EV139" s="39">
        <f>(IF(WEEKDAY(EV$82,2)&gt;5,0,75.57))*-1</f>
        <v>-75.569999999999993</v>
      </c>
      <c r="EW139" s="39">
        <f>(IF(WEEKDAY(EW$82,2)&gt;5,0,78.03))*-1</f>
        <v>-78.03</v>
      </c>
      <c r="EX139" s="39">
        <f>(IF(WEEKDAY(EX$82,2)&gt;5,0,78.18))*-1</f>
        <v>-78.180000000000007</v>
      </c>
      <c r="EY139" s="39">
        <f>(IF(WEEKDAY(EY$82,2)&gt;5,0,63.66))*-1</f>
        <v>-63.66</v>
      </c>
      <c r="EZ139" s="39">
        <f>(IF(WEEKDAY(EZ$82,2)&gt;5,0,64.45))*-1</f>
        <v>-64.45</v>
      </c>
      <c r="FA139" s="39">
        <f>(IF(WEEKDAY(FA$82,2)&gt;5,0,64.32))*-1</f>
        <v>0</v>
      </c>
      <c r="FB139" s="39">
        <f>(IF(WEEKDAY(FB$82,2)&gt;5,0,75.54))*-1</f>
        <v>0</v>
      </c>
      <c r="FC139" s="39">
        <f>(IF(WEEKDAY(FC$82,2)&gt;5,0,67.31))*-1</f>
        <v>-67.31</v>
      </c>
      <c r="FD139" s="39">
        <f>(IF(WEEKDAY(FD$82,2)&gt;5,0,69.25))*-1</f>
        <v>-69.25</v>
      </c>
      <c r="FE139" s="39">
        <f>(IF(WEEKDAY(FE$82,2)&gt;5,0,64.44))*-1</f>
        <v>-64.44</v>
      </c>
      <c r="FF139" s="39">
        <f>(IF(WEEKDAY(FF$82,2)&gt;5,0,60.07))*-1</f>
        <v>-60.07</v>
      </c>
      <c r="FG139" s="39">
        <f>(IF(WEEKDAY(FG$82,2)&gt;5,0,69.03))*-1</f>
        <v>-69.03</v>
      </c>
      <c r="FH139" s="39">
        <f>(IF(WEEKDAY(FH$82,2)&gt;5,0,60.89))*-1</f>
        <v>0</v>
      </c>
      <c r="FI139" s="39">
        <f>(IF(WEEKDAY(FI$82,2)&gt;5,0,62.43))*-1</f>
        <v>0</v>
      </c>
      <c r="FJ139" s="39">
        <f>(IF(WEEKDAY(FJ$82,2)&gt;5,0,74.38))*-1</f>
        <v>-74.38</v>
      </c>
      <c r="FK139" s="39">
        <f>(IF(WEEKDAY(FK$82,2)&gt;5,0,69.87))*-1</f>
        <v>-69.87</v>
      </c>
      <c r="FL139" s="39">
        <f>(IF(WEEKDAY(FL$82,2)&gt;5,0,70.96))*-1</f>
        <v>-70.959999999999994</v>
      </c>
      <c r="FM139" s="39">
        <f>(IF(WEEKDAY(FM$82,2)&gt;5,0,73.33))*-1</f>
        <v>-73.33</v>
      </c>
      <c r="FN139" s="39">
        <f>(IF(WEEKDAY(FN$82,2)&gt;5,0,80))*-1</f>
        <v>-80</v>
      </c>
      <c r="FO139" s="39">
        <f>(IF(WEEKDAY(FO$82,2)&gt;5,0,68.98))*-1</f>
        <v>0</v>
      </c>
      <c r="FP139" s="39">
        <f>(IF(WEEKDAY(FP$82,2)&gt;5,0,73.76))*-1</f>
        <v>0</v>
      </c>
      <c r="FQ139" s="39">
        <f>(IF(WEEKDAY(FQ$82,2)&gt;5,0,70))*-1</f>
        <v>-70</v>
      </c>
      <c r="FR139" s="39">
        <f>(IF(WEEKDAY(FR$82,2)&gt;5,0,80.28))*-1</f>
        <v>-80.28</v>
      </c>
      <c r="FS139" s="39">
        <f>(IF(WEEKDAY(FS$82,2)&gt;5,0,77.81))*-1</f>
        <v>-77.81</v>
      </c>
      <c r="FT139" s="39">
        <f>(IF(WEEKDAY(FT$82,2)&gt;5,0,80))*-1</f>
        <v>-80</v>
      </c>
      <c r="FU139" s="39">
        <f>(IF(WEEKDAY(FU$82,2)&gt;5,0,66.13))*-1</f>
        <v>-66.13</v>
      </c>
      <c r="FV139" s="39">
        <f>(IF(WEEKDAY(FV$82,2)&gt;5,0,78.67))*-1</f>
        <v>0</v>
      </c>
      <c r="FW139" s="39">
        <f>(IF(WEEKDAY(FW$82,2)&gt;5,0,65.13))*-1</f>
        <v>0</v>
      </c>
      <c r="FX139" s="39">
        <f>(IF(WEEKDAY(FX$82,2)&gt;5,0,63.88))*-1</f>
        <v>-63.88</v>
      </c>
      <c r="FY139" s="39">
        <f>(IF(WEEKDAY(FY$82,2)&gt;5,0,71.35))*-1</f>
        <v>-71.349999999999994</v>
      </c>
      <c r="FZ139" s="39">
        <f>(IF(WEEKDAY(FZ$82,2)&gt;5,0,71.58))*-1</f>
        <v>-71.58</v>
      </c>
      <c r="GA139" s="39">
        <f>(IF(WEEKDAY(GA$82,2)&gt;5,0,67.52))*-1</f>
        <v>-67.52</v>
      </c>
      <c r="GB139" s="39">
        <f>(IF(WEEKDAY(GB$82,2)&gt;5,0,74.29))*-1</f>
        <v>-74.290000000000006</v>
      </c>
      <c r="GC139" s="39">
        <f>(IF(WEEKDAY(GC$82,2)&gt;5,0,67.9))*-1</f>
        <v>0</v>
      </c>
      <c r="GD139" s="39">
        <f>(IF(WEEKDAY(GD$82,2)&gt;5,0,63.35))*-1</f>
        <v>0</v>
      </c>
      <c r="GE139" s="39">
        <f>(IF(WEEKDAY(GE$82,2)&gt;5,0,66.44))*-1</f>
        <v>-66.44</v>
      </c>
      <c r="GF139" s="39">
        <f>(IF(WEEKDAY(GF$82,2)&gt;5,0,61.28))*-1</f>
        <v>-61.28</v>
      </c>
      <c r="GG139" s="39">
        <f>(IF(WEEKDAY(GG$82,2)&gt;5,0,62.72))*-1</f>
        <v>-62.72</v>
      </c>
      <c r="GH139" s="39">
        <f>(IF(WEEKDAY(GH$82,2)&gt;5,0,67.2))*-1</f>
        <v>-67.2</v>
      </c>
      <c r="GI139" s="39">
        <f>(IF(WEEKDAY(GI$82,2)&gt;5,0,77.17))*-1</f>
        <v>-77.17</v>
      </c>
      <c r="GJ139" s="39">
        <f>(IF(WEEKDAY(GJ$82,2)&gt;5,0,62.6))*-1</f>
        <v>0</v>
      </c>
      <c r="GK139" s="39">
        <f>(IF(WEEKDAY(GK$82,2)&gt;5,0,68.53))*-1</f>
        <v>0</v>
      </c>
      <c r="GL139" s="39">
        <f>(IF(WEEKDAY(GL$82,2)&gt;5,0,62.92))*-1</f>
        <v>-62.92</v>
      </c>
      <c r="GM139" s="39">
        <f>(IF(WEEKDAY(GM$82,2)&gt;5,0,67.75))*-1</f>
        <v>-67.75</v>
      </c>
      <c r="GN139" s="39">
        <f>(IF(WEEKDAY(GN$82,2)&gt;5,0,61.27))*-1</f>
        <v>-61.27</v>
      </c>
      <c r="GO139" s="39">
        <f>(IF(WEEKDAY(GO$82,2)&gt;5,0,73.83))*-1</f>
        <v>-73.83</v>
      </c>
      <c r="GP139" s="39">
        <f>(IF(WEEKDAY(GP$82,2)&gt;5,0,69.7))*-1</f>
        <v>-69.7</v>
      </c>
      <c r="GQ139" s="39">
        <f>(IF(WEEKDAY(GQ$82,2)&gt;5,0,67.02))*-1</f>
        <v>0</v>
      </c>
      <c r="GR139" s="39">
        <f>(IF(WEEKDAY(GR$82,2)&gt;5,0,73.04))*-1</f>
        <v>0</v>
      </c>
      <c r="GS139" s="39">
        <f>(IF(WEEKDAY(GS$82,2)&gt;5,0,60.73))*-1</f>
        <v>-60.73</v>
      </c>
      <c r="GT139" s="39">
        <f>(IF(WEEKDAY(GT$82,2)&gt;5,0,79.13))*-1</f>
        <v>-79.13</v>
      </c>
      <c r="GU139" s="39">
        <f>(IF(WEEKDAY(GU$82,2)&gt;5,0,64.62))*-1</f>
        <v>-64.62</v>
      </c>
      <c r="GV139" s="39">
        <f>(IF(WEEKDAY(GV$82,2)&gt;5,0,64.29))*-1</f>
        <v>-64.290000000000006</v>
      </c>
      <c r="GW139" s="39">
        <f>(IF(WEEKDAY(GW$82,2)&gt;5,0,64.53))*-1</f>
        <v>-64.53</v>
      </c>
      <c r="GX139" s="39">
        <f>(IF(WEEKDAY(GX$82,2)&gt;5,0,79.75))*-1</f>
        <v>0</v>
      </c>
      <c r="GY139" s="39">
        <f>(IF(WEEKDAY(GY$82,2)&gt;5,0,60.96))*-1</f>
        <v>0</v>
      </c>
      <c r="GZ139" s="39">
        <f>(IF(WEEKDAY(GZ$82,2)&gt;5,0,72.64))*-1</f>
        <v>-72.64</v>
      </c>
      <c r="HA139" s="39">
        <f>(IF(WEEKDAY(HA$82,2)&gt;5,0,71.73))*-1</f>
        <v>-71.73</v>
      </c>
      <c r="HB139" s="39">
        <f>(IF(WEEKDAY(HB$82,2)&gt;5,0,79.5))*-1</f>
        <v>-79.5</v>
      </c>
      <c r="HC139" s="39">
        <f>(IF(WEEKDAY(HC$82,2)&gt;5,0,63.61))*-1</f>
        <v>-63.61</v>
      </c>
      <c r="HD139" s="39">
        <f>(IF(WEEKDAY(HD$82,2)&gt;5,0,68.21))*-1</f>
        <v>-68.209999999999994</v>
      </c>
      <c r="HE139" s="39">
        <f>(IF(WEEKDAY(HE$82,2)&gt;5,0,68.87))*-1</f>
        <v>0</v>
      </c>
      <c r="HF139" s="39">
        <f>(IF(WEEKDAY(HF$82,2)&gt;5,0,66.97))*-1</f>
        <v>0</v>
      </c>
      <c r="HG139" s="39">
        <f>(IF(WEEKDAY(HG$82,2)&gt;5,0,70.53))*-1</f>
        <v>-70.53</v>
      </c>
      <c r="HH139" s="39">
        <f>(IF(WEEKDAY(HH$82,2)&gt;5,0,73.88))*-1</f>
        <v>-73.88</v>
      </c>
      <c r="HI139" s="39">
        <f>(IF(WEEKDAY(HI$82,2)&gt;5,0,61.74))*-1</f>
        <v>-61.74</v>
      </c>
      <c r="HJ139" s="39">
        <f>(IF(WEEKDAY(HJ$82,2)&gt;5,0,78.33))*-1</f>
        <v>-78.33</v>
      </c>
      <c r="HK139" s="39">
        <f>(IF(WEEKDAY(HK$82,2)&gt;5,0,78.39))*-1</f>
        <v>-78.39</v>
      </c>
      <c r="HL139" s="39">
        <f>(IF(WEEKDAY(HL$82,2)&gt;5,0,70.14))*-1</f>
        <v>0</v>
      </c>
      <c r="HM139" s="39">
        <f>(IF(WEEKDAY(HM$82,2)&gt;5,0,76.82))*-1</f>
        <v>0</v>
      </c>
      <c r="HN139" s="39">
        <f>(IF(WEEKDAY(HN$82,2)&gt;5,0,71.53))*-1</f>
        <v>-71.53</v>
      </c>
      <c r="HO139" s="39">
        <f>(IF(WEEKDAY(HO$82,2)&gt;5,0,77.55))*-1</f>
        <v>-77.55</v>
      </c>
      <c r="HP139" s="39">
        <f>(IF(WEEKDAY(HP$82,2)&gt;5,0,73.1))*-1</f>
        <v>-73.099999999999994</v>
      </c>
      <c r="HQ139" s="39">
        <f>(IF(WEEKDAY(HQ$82,2)&gt;5,0,60.73))*-1</f>
        <v>-60.73</v>
      </c>
      <c r="HR139" s="39">
        <f>(IF(WEEKDAY(HR$82,2)&gt;5,0,72.49))*-1</f>
        <v>-72.489999999999995</v>
      </c>
      <c r="HS139" s="39">
        <f>(IF(WEEKDAY(HS$82,2)&gt;5,0,70.34))*-1</f>
        <v>0</v>
      </c>
      <c r="HT139" s="39">
        <f>(IF(WEEKDAY(HT$82,2)&gt;5,0,67.81))*-1</f>
        <v>0</v>
      </c>
      <c r="HU139" s="39">
        <f>(IF(WEEKDAY(HU$82,2)&gt;5,0,68.47))*-1</f>
        <v>-68.47</v>
      </c>
      <c r="HV139" s="39">
        <f>(IF(WEEKDAY(HV$82,2)&gt;5,0,75.87))*-1</f>
        <v>-75.87</v>
      </c>
      <c r="HW139" s="39">
        <f>(IF(WEEKDAY(HW$82,2)&gt;5,0,70.4))*-1</f>
        <v>-70.400000000000006</v>
      </c>
      <c r="HX139" s="39">
        <f>(IF(WEEKDAY(HX$82,2)&gt;5,0,79.75))*-1</f>
        <v>-79.75</v>
      </c>
      <c r="HY139" s="39">
        <f>(IF(WEEKDAY(HY$82,2)&gt;5,0,69.95))*-1</f>
        <v>-69.95</v>
      </c>
      <c r="HZ139" s="39">
        <f>(IF(WEEKDAY(HZ$82,2)&gt;5,0,67.05))*-1</f>
        <v>0</v>
      </c>
      <c r="IA139" s="39">
        <f>(IF(WEEKDAY(IA$82,2)&gt;5,0,79.19))*-1</f>
        <v>0</v>
      </c>
      <c r="IB139" s="39">
        <f>(IF(WEEKDAY(IB$82,2)&gt;5,0,76.97))*-1</f>
        <v>-76.97</v>
      </c>
      <c r="IC139" s="39">
        <f>(IF(WEEKDAY(IC$82,2)&gt;5,0,64.72))*-1</f>
        <v>-64.72</v>
      </c>
      <c r="ID139" s="39">
        <f>(IF(WEEKDAY(ID$82,2)&gt;5,0,68.8))*-1</f>
        <v>-68.8</v>
      </c>
      <c r="IE139" s="39">
        <f>(IF(WEEKDAY(IE$82,2)&gt;5,0,73.18))*-1</f>
        <v>-73.180000000000007</v>
      </c>
      <c r="IF139" s="39">
        <f>(IF(WEEKDAY(IF$82,2)&gt;5,0,76.5))*-1</f>
        <v>-76.5</v>
      </c>
      <c r="IG139" s="39">
        <f>(IF(WEEKDAY(IG$82,2)&gt;5,0,69.68))*-1</f>
        <v>0</v>
      </c>
      <c r="IH139" s="39">
        <f>(IF(WEEKDAY(IH$82,2)&gt;5,0,67.22))*-1</f>
        <v>0</v>
      </c>
      <c r="II139" s="39">
        <f>(IF(WEEKDAY(II$82,2)&gt;5,0,60.53))*-1</f>
        <v>-60.53</v>
      </c>
      <c r="IJ139" s="39">
        <f>(IF(WEEKDAY(IJ$82,2)&gt;5,0,77.44))*-1</f>
        <v>-77.44</v>
      </c>
      <c r="IK139" s="39">
        <f>(IF(WEEKDAY(IK$82,2)&gt;5,0,79.78))*-1</f>
        <v>-79.78</v>
      </c>
      <c r="IL139" s="39">
        <f>(IF(WEEKDAY(IL$82,2)&gt;5,0,67.6))*-1</f>
        <v>-67.599999999999994</v>
      </c>
    </row>
    <row r="140" spans="1:246" x14ac:dyDescent="0.3">
      <c r="A140" s="55" t="s">
        <v>136</v>
      </c>
      <c r="B140" s="56">
        <f t="shared" ref="B140:BM140" si="35">SUM(B98:B139)</f>
        <v>-4304.5</v>
      </c>
      <c r="C140" s="56">
        <f t="shared" si="35"/>
        <v>0</v>
      </c>
      <c r="D140" s="56">
        <f t="shared" si="35"/>
        <v>0</v>
      </c>
      <c r="E140" s="56">
        <f t="shared" si="35"/>
        <v>-4118.41</v>
      </c>
      <c r="F140" s="56">
        <f t="shared" si="35"/>
        <v>-4138.8300000000008</v>
      </c>
      <c r="G140" s="56">
        <f t="shared" si="35"/>
        <v>-4339.4500000000007</v>
      </c>
      <c r="H140" s="56">
        <f t="shared" si="35"/>
        <v>-4127.1900000000005</v>
      </c>
      <c r="I140" s="56">
        <f t="shared" si="35"/>
        <v>-4224.5</v>
      </c>
      <c r="J140" s="56">
        <f t="shared" si="35"/>
        <v>0</v>
      </c>
      <c r="K140" s="56">
        <f t="shared" si="35"/>
        <v>0</v>
      </c>
      <c r="L140" s="56">
        <f t="shared" si="35"/>
        <v>-4286.1099999999997</v>
      </c>
      <c r="M140" s="56">
        <f t="shared" si="35"/>
        <v>-4132.2</v>
      </c>
      <c r="N140" s="56">
        <f t="shared" si="35"/>
        <v>-4195.7600000000011</v>
      </c>
      <c r="O140" s="56">
        <f t="shared" si="35"/>
        <v>-4218.3499999999985</v>
      </c>
      <c r="P140" s="56">
        <f t="shared" si="35"/>
        <v>-4155.53</v>
      </c>
      <c r="Q140" s="56">
        <f t="shared" si="35"/>
        <v>0</v>
      </c>
      <c r="R140" s="56">
        <f t="shared" si="35"/>
        <v>0</v>
      </c>
      <c r="S140" s="56">
        <f t="shared" si="35"/>
        <v>-4239.7199999999993</v>
      </c>
      <c r="T140" s="56">
        <f t="shared" si="35"/>
        <v>-4463.08</v>
      </c>
      <c r="U140" s="56">
        <f t="shared" si="35"/>
        <v>-4211.4499999999989</v>
      </c>
      <c r="V140" s="56">
        <f t="shared" si="35"/>
        <v>-4310.8099999999995</v>
      </c>
      <c r="W140" s="56">
        <f t="shared" si="35"/>
        <v>-4069.7000000000003</v>
      </c>
      <c r="X140" s="56">
        <f t="shared" si="35"/>
        <v>0</v>
      </c>
      <c r="Y140" s="56">
        <f t="shared" si="35"/>
        <v>0</v>
      </c>
      <c r="Z140" s="56">
        <f t="shared" si="35"/>
        <v>-4222.9299999999994</v>
      </c>
      <c r="AA140" s="56">
        <f t="shared" si="35"/>
        <v>-4278.0999999999995</v>
      </c>
      <c r="AB140" s="56">
        <f t="shared" si="35"/>
        <v>-4253.34</v>
      </c>
      <c r="AC140" s="56">
        <f t="shared" si="35"/>
        <v>-4355.01</v>
      </c>
      <c r="AD140" s="56">
        <f t="shared" si="35"/>
        <v>-4120.8499999999985</v>
      </c>
      <c r="AE140" s="56">
        <f t="shared" si="35"/>
        <v>0</v>
      </c>
      <c r="AF140" s="56">
        <f t="shared" si="35"/>
        <v>0</v>
      </c>
      <c r="AG140" s="56">
        <f t="shared" si="35"/>
        <v>-4273.3</v>
      </c>
      <c r="AH140" s="56">
        <f t="shared" si="35"/>
        <v>-4097.66</v>
      </c>
      <c r="AI140" s="56">
        <f t="shared" si="35"/>
        <v>-4296.1000000000004</v>
      </c>
      <c r="AJ140" s="56">
        <f t="shared" si="35"/>
        <v>-4374.6900000000014</v>
      </c>
      <c r="AK140" s="56">
        <f t="shared" si="35"/>
        <v>-4268.659999999998</v>
      </c>
      <c r="AL140" s="56">
        <f t="shared" si="35"/>
        <v>0</v>
      </c>
      <c r="AM140" s="56">
        <f t="shared" si="35"/>
        <v>0</v>
      </c>
      <c r="AN140" s="56">
        <f t="shared" si="35"/>
        <v>-4308.6100000000006</v>
      </c>
      <c r="AO140" s="56">
        <f t="shared" si="35"/>
        <v>-4198.3900000000003</v>
      </c>
      <c r="AP140" s="56">
        <f t="shared" si="35"/>
        <v>-4377.07</v>
      </c>
      <c r="AQ140" s="56">
        <f t="shared" si="35"/>
        <v>-4090.54</v>
      </c>
      <c r="AR140" s="56">
        <f t="shared" si="35"/>
        <v>-4253.2499999999991</v>
      </c>
      <c r="AS140" s="56">
        <f t="shared" si="35"/>
        <v>0</v>
      </c>
      <c r="AT140" s="56">
        <f t="shared" si="35"/>
        <v>0</v>
      </c>
      <c r="AU140" s="56">
        <f t="shared" si="35"/>
        <v>-4296.08</v>
      </c>
      <c r="AV140" s="56">
        <f t="shared" si="35"/>
        <v>-4111.9800000000005</v>
      </c>
      <c r="AW140" s="56">
        <f t="shared" si="35"/>
        <v>-4246.88</v>
      </c>
      <c r="AX140" s="56">
        <f t="shared" si="35"/>
        <v>-4146.5000000000009</v>
      </c>
      <c r="AY140" s="56">
        <f t="shared" si="35"/>
        <v>-4230.2400000000007</v>
      </c>
      <c r="AZ140" s="56">
        <f t="shared" si="35"/>
        <v>0</v>
      </c>
      <c r="BA140" s="56">
        <f t="shared" si="35"/>
        <v>0</v>
      </c>
      <c r="BB140" s="56">
        <f t="shared" si="35"/>
        <v>-4325.18</v>
      </c>
      <c r="BC140" s="56">
        <f t="shared" si="35"/>
        <v>-4296.75</v>
      </c>
      <c r="BD140" s="56">
        <f t="shared" si="35"/>
        <v>-4150.5600000000004</v>
      </c>
      <c r="BE140" s="56">
        <f t="shared" si="35"/>
        <v>-4132.6800000000012</v>
      </c>
      <c r="BF140" s="56">
        <f t="shared" si="35"/>
        <v>-4160.21</v>
      </c>
      <c r="BG140" s="56">
        <f t="shared" si="35"/>
        <v>0</v>
      </c>
      <c r="BH140" s="56">
        <f t="shared" si="35"/>
        <v>0</v>
      </c>
      <c r="BI140" s="56">
        <f t="shared" si="35"/>
        <v>-4026.21</v>
      </c>
      <c r="BJ140" s="56">
        <f t="shared" si="35"/>
        <v>-4123.2000000000007</v>
      </c>
      <c r="BK140" s="56">
        <f t="shared" si="35"/>
        <v>-4106.829999999999</v>
      </c>
      <c r="BL140" s="56">
        <f t="shared" si="35"/>
        <v>-4315.04</v>
      </c>
      <c r="BM140" s="56">
        <f t="shared" si="35"/>
        <v>-4198.0800000000008</v>
      </c>
      <c r="BN140" s="56">
        <f t="shared" ref="BN140:DY140" si="36">SUM(BN98:BN139)</f>
        <v>0</v>
      </c>
      <c r="BO140" s="56">
        <f t="shared" si="36"/>
        <v>0</v>
      </c>
      <c r="BP140" s="56">
        <f t="shared" si="36"/>
        <v>-4102.55</v>
      </c>
      <c r="BQ140" s="56">
        <f t="shared" si="36"/>
        <v>-4321.8600000000006</v>
      </c>
      <c r="BR140" s="56">
        <f t="shared" si="36"/>
        <v>-4224.5800000000008</v>
      </c>
      <c r="BS140" s="56">
        <f t="shared" si="36"/>
        <v>-4083.27</v>
      </c>
      <c r="BT140" s="56">
        <f t="shared" si="36"/>
        <v>-4284.58</v>
      </c>
      <c r="BU140" s="56">
        <f t="shared" si="36"/>
        <v>0</v>
      </c>
      <c r="BV140" s="56">
        <f t="shared" si="36"/>
        <v>0</v>
      </c>
      <c r="BW140" s="56">
        <f t="shared" si="36"/>
        <v>-4244.2400000000007</v>
      </c>
      <c r="BX140" s="56">
        <f t="shared" si="36"/>
        <v>-4164.9500000000007</v>
      </c>
      <c r="BY140" s="56">
        <f t="shared" si="36"/>
        <v>-4167.0299999999988</v>
      </c>
      <c r="BZ140" s="56">
        <f t="shared" si="36"/>
        <v>-4090.4000000000005</v>
      </c>
      <c r="CA140" s="56">
        <f t="shared" si="36"/>
        <v>-4136.0599999999995</v>
      </c>
      <c r="CB140" s="56">
        <f t="shared" si="36"/>
        <v>0</v>
      </c>
      <c r="CC140" s="56">
        <f t="shared" si="36"/>
        <v>0</v>
      </c>
      <c r="CD140" s="56">
        <f t="shared" si="36"/>
        <v>-4305.8499999999976</v>
      </c>
      <c r="CE140" s="56">
        <f t="shared" si="36"/>
        <v>-4193.1299999999992</v>
      </c>
      <c r="CF140" s="56">
        <f t="shared" si="36"/>
        <v>-4223.5300000000007</v>
      </c>
      <c r="CG140" s="56">
        <f t="shared" si="36"/>
        <v>-3958.2400000000007</v>
      </c>
      <c r="CH140" s="56">
        <f t="shared" si="36"/>
        <v>-4298.7099999999991</v>
      </c>
      <c r="CI140" s="56">
        <f t="shared" si="36"/>
        <v>0</v>
      </c>
      <c r="CJ140" s="56">
        <f t="shared" si="36"/>
        <v>0</v>
      </c>
      <c r="CK140" s="56">
        <f t="shared" si="36"/>
        <v>-4231.82</v>
      </c>
      <c r="CL140" s="56">
        <f t="shared" si="36"/>
        <v>-4124.5800000000017</v>
      </c>
      <c r="CM140" s="56">
        <f t="shared" si="36"/>
        <v>-4203.4300000000012</v>
      </c>
      <c r="CN140" s="56">
        <f t="shared" si="36"/>
        <v>-4244.619999999999</v>
      </c>
      <c r="CO140" s="56">
        <f t="shared" si="36"/>
        <v>-4188.420000000001</v>
      </c>
      <c r="CP140" s="56">
        <f t="shared" si="36"/>
        <v>0</v>
      </c>
      <c r="CQ140" s="56">
        <f t="shared" si="36"/>
        <v>0</v>
      </c>
      <c r="CR140" s="56">
        <f t="shared" si="36"/>
        <v>-4109.29</v>
      </c>
      <c r="CS140" s="56">
        <f t="shared" si="36"/>
        <v>-4052.2999999999988</v>
      </c>
      <c r="CT140" s="56">
        <f t="shared" si="36"/>
        <v>-4360.7399999999989</v>
      </c>
      <c r="CU140" s="56">
        <f t="shared" si="36"/>
        <v>-4161.5699999999988</v>
      </c>
      <c r="CV140" s="56">
        <f t="shared" si="36"/>
        <v>-4202.3599999999997</v>
      </c>
      <c r="CW140" s="56">
        <f t="shared" si="36"/>
        <v>0</v>
      </c>
      <c r="CX140" s="56">
        <f t="shared" si="36"/>
        <v>0</v>
      </c>
      <c r="CY140" s="56">
        <f t="shared" si="36"/>
        <v>-4218.8599999999988</v>
      </c>
      <c r="CZ140" s="56">
        <f t="shared" si="36"/>
        <v>-4366.9699999999993</v>
      </c>
      <c r="DA140" s="56">
        <f t="shared" si="36"/>
        <v>-4111.87</v>
      </c>
      <c r="DB140" s="56">
        <f t="shared" si="36"/>
        <v>-4276.8500000000004</v>
      </c>
      <c r="DC140" s="56">
        <f t="shared" si="36"/>
        <v>-4173</v>
      </c>
      <c r="DD140" s="56">
        <f t="shared" si="36"/>
        <v>0</v>
      </c>
      <c r="DE140" s="56">
        <f t="shared" si="36"/>
        <v>0</v>
      </c>
      <c r="DF140" s="56">
        <f t="shared" si="36"/>
        <v>-4095.7599999999998</v>
      </c>
      <c r="DG140" s="56">
        <f t="shared" si="36"/>
        <v>-4322.5599999999986</v>
      </c>
      <c r="DH140" s="56">
        <f t="shared" si="36"/>
        <v>-4216.88</v>
      </c>
      <c r="DI140" s="56">
        <f t="shared" si="36"/>
        <v>-4200.0199999999995</v>
      </c>
      <c r="DJ140" s="56">
        <f t="shared" si="36"/>
        <v>-4187.8399999999983</v>
      </c>
      <c r="DK140" s="56">
        <f t="shared" si="36"/>
        <v>0</v>
      </c>
      <c r="DL140" s="56">
        <f t="shared" si="36"/>
        <v>0</v>
      </c>
      <c r="DM140" s="56">
        <f t="shared" si="36"/>
        <v>-4123.3400000000011</v>
      </c>
      <c r="DN140" s="56">
        <f t="shared" si="36"/>
        <v>-4309.5200000000004</v>
      </c>
      <c r="DO140" s="56">
        <f t="shared" si="36"/>
        <v>-4301.7600000000011</v>
      </c>
      <c r="DP140" s="56">
        <f t="shared" si="36"/>
        <v>-4257.6299999999992</v>
      </c>
      <c r="DQ140" s="56">
        <f t="shared" si="36"/>
        <v>-4030.9900000000007</v>
      </c>
      <c r="DR140" s="56">
        <f t="shared" si="36"/>
        <v>0</v>
      </c>
      <c r="DS140" s="56">
        <f t="shared" si="36"/>
        <v>0</v>
      </c>
      <c r="DT140" s="56">
        <f t="shared" si="36"/>
        <v>-4123.9999999999991</v>
      </c>
      <c r="DU140" s="56">
        <f t="shared" si="36"/>
        <v>-4083.2500000000014</v>
      </c>
      <c r="DV140" s="56">
        <f t="shared" si="36"/>
        <v>-4245.2199999999993</v>
      </c>
      <c r="DW140" s="56">
        <f t="shared" si="36"/>
        <v>-4209.1299999999992</v>
      </c>
      <c r="DX140" s="56">
        <f t="shared" si="36"/>
        <v>-4265.4900000000007</v>
      </c>
      <c r="DY140" s="56">
        <f t="shared" si="36"/>
        <v>0</v>
      </c>
      <c r="DZ140" s="56">
        <f t="shared" ref="DZ140:GK140" si="37">SUM(DZ98:DZ139)</f>
        <v>0</v>
      </c>
      <c r="EA140" s="56">
        <f t="shared" si="37"/>
        <v>-4135.58</v>
      </c>
      <c r="EB140" s="56">
        <f t="shared" si="37"/>
        <v>-4181.1699999999983</v>
      </c>
      <c r="EC140" s="56">
        <f t="shared" si="37"/>
        <v>-4163.3099999999995</v>
      </c>
      <c r="ED140" s="56">
        <f t="shared" si="37"/>
        <v>-4186.6900000000014</v>
      </c>
      <c r="EE140" s="56">
        <f t="shared" si="37"/>
        <v>-4167.22</v>
      </c>
      <c r="EF140" s="56">
        <f t="shared" si="37"/>
        <v>0</v>
      </c>
      <c r="EG140" s="56">
        <f t="shared" si="37"/>
        <v>0</v>
      </c>
      <c r="EH140" s="56">
        <f t="shared" si="37"/>
        <v>-4355.4699999999993</v>
      </c>
      <c r="EI140" s="56">
        <f t="shared" si="37"/>
        <v>-4318.4299999999994</v>
      </c>
      <c r="EJ140" s="56">
        <f t="shared" si="37"/>
        <v>-4356.3100000000004</v>
      </c>
      <c r="EK140" s="56">
        <f t="shared" si="37"/>
        <v>-4280.4800000000005</v>
      </c>
      <c r="EL140" s="56">
        <f t="shared" si="37"/>
        <v>-4202.63</v>
      </c>
      <c r="EM140" s="56">
        <f t="shared" si="37"/>
        <v>0</v>
      </c>
      <c r="EN140" s="56">
        <f t="shared" si="37"/>
        <v>0</v>
      </c>
      <c r="EO140" s="56">
        <f t="shared" si="37"/>
        <v>-4176.0899999999992</v>
      </c>
      <c r="EP140" s="56">
        <f t="shared" si="37"/>
        <v>-4037.8399999999997</v>
      </c>
      <c r="EQ140" s="56">
        <f t="shared" si="37"/>
        <v>-4170.5999999999995</v>
      </c>
      <c r="ER140" s="56">
        <f t="shared" si="37"/>
        <v>-4408.5600000000004</v>
      </c>
      <c r="ES140" s="56">
        <f t="shared" si="37"/>
        <v>-4240.93</v>
      </c>
      <c r="ET140" s="56">
        <f t="shared" si="37"/>
        <v>0</v>
      </c>
      <c r="EU140" s="56">
        <f t="shared" si="37"/>
        <v>0</v>
      </c>
      <c r="EV140" s="56">
        <f t="shared" si="37"/>
        <v>-4195.5199999999995</v>
      </c>
      <c r="EW140" s="56">
        <f t="shared" si="37"/>
        <v>-4158.8599999999988</v>
      </c>
      <c r="EX140" s="56">
        <f t="shared" si="37"/>
        <v>-4401.72</v>
      </c>
      <c r="EY140" s="56">
        <f t="shared" si="37"/>
        <v>-4333.2299999999996</v>
      </c>
      <c r="EZ140" s="56">
        <f t="shared" si="37"/>
        <v>-4354.9700000000012</v>
      </c>
      <c r="FA140" s="56">
        <f t="shared" si="37"/>
        <v>0</v>
      </c>
      <c r="FB140" s="56">
        <f t="shared" si="37"/>
        <v>0</v>
      </c>
      <c r="FC140" s="56">
        <f t="shared" si="37"/>
        <v>-4257.0500000000011</v>
      </c>
      <c r="FD140" s="56">
        <f t="shared" si="37"/>
        <v>-4180.6100000000006</v>
      </c>
      <c r="FE140" s="56">
        <f t="shared" si="37"/>
        <v>-4435.49</v>
      </c>
      <c r="FF140" s="56">
        <f t="shared" si="37"/>
        <v>-4140.8400000000011</v>
      </c>
      <c r="FG140" s="56">
        <f t="shared" si="37"/>
        <v>-4280.7299999999996</v>
      </c>
      <c r="FH140" s="56">
        <f t="shared" si="37"/>
        <v>0</v>
      </c>
      <c r="FI140" s="56">
        <f t="shared" si="37"/>
        <v>0</v>
      </c>
      <c r="FJ140" s="56">
        <f t="shared" si="37"/>
        <v>-4111.3900000000003</v>
      </c>
      <c r="FK140" s="56">
        <f t="shared" si="37"/>
        <v>-4222.0200000000004</v>
      </c>
      <c r="FL140" s="56">
        <f t="shared" si="37"/>
        <v>-4294.0999999999985</v>
      </c>
      <c r="FM140" s="56">
        <f t="shared" si="37"/>
        <v>-4123.9900000000007</v>
      </c>
      <c r="FN140" s="56">
        <f t="shared" si="37"/>
        <v>-4207.93</v>
      </c>
      <c r="FO140" s="56">
        <f t="shared" si="37"/>
        <v>0</v>
      </c>
      <c r="FP140" s="56">
        <f t="shared" si="37"/>
        <v>0</v>
      </c>
      <c r="FQ140" s="56">
        <f t="shared" si="37"/>
        <v>-4133.2799999999988</v>
      </c>
      <c r="FR140" s="56">
        <f t="shared" si="37"/>
        <v>-4341.76</v>
      </c>
      <c r="FS140" s="56">
        <f t="shared" si="37"/>
        <v>-4199.7800000000007</v>
      </c>
      <c r="FT140" s="56">
        <f t="shared" si="37"/>
        <v>-4102.4399999999987</v>
      </c>
      <c r="FU140" s="56">
        <f t="shared" si="37"/>
        <v>-4291.3799999999974</v>
      </c>
      <c r="FV140" s="56">
        <f t="shared" si="37"/>
        <v>0</v>
      </c>
      <c r="FW140" s="56">
        <f t="shared" si="37"/>
        <v>0</v>
      </c>
      <c r="FX140" s="56">
        <f t="shared" si="37"/>
        <v>-4224.42</v>
      </c>
      <c r="FY140" s="56">
        <f t="shared" si="37"/>
        <v>-4175.59</v>
      </c>
      <c r="FZ140" s="56">
        <f t="shared" si="37"/>
        <v>-4437.95</v>
      </c>
      <c r="GA140" s="56">
        <f t="shared" si="37"/>
        <v>-4209.62</v>
      </c>
      <c r="GB140" s="56">
        <f t="shared" si="37"/>
        <v>-4141.3399999999983</v>
      </c>
      <c r="GC140" s="56">
        <f t="shared" si="37"/>
        <v>0</v>
      </c>
      <c r="GD140" s="56">
        <f t="shared" si="37"/>
        <v>0</v>
      </c>
      <c r="GE140" s="56">
        <f t="shared" si="37"/>
        <v>-4298.8599999999997</v>
      </c>
      <c r="GF140" s="56">
        <f t="shared" si="37"/>
        <v>-4222.7</v>
      </c>
      <c r="GG140" s="56">
        <f t="shared" si="37"/>
        <v>-3988.4700000000007</v>
      </c>
      <c r="GH140" s="56">
        <f t="shared" si="37"/>
        <v>-4066.5299999999997</v>
      </c>
      <c r="GI140" s="56">
        <f t="shared" si="37"/>
        <v>-4297.38</v>
      </c>
      <c r="GJ140" s="56">
        <f t="shared" si="37"/>
        <v>0</v>
      </c>
      <c r="GK140" s="56">
        <f t="shared" si="37"/>
        <v>0</v>
      </c>
      <c r="GL140" s="56">
        <f t="shared" ref="GL140:IL140" si="38">SUM(GL98:GL139)</f>
        <v>-4174.9600000000009</v>
      </c>
      <c r="GM140" s="56">
        <f t="shared" si="38"/>
        <v>-4324.0700000000006</v>
      </c>
      <c r="GN140" s="56">
        <f t="shared" si="38"/>
        <v>-4201.3500000000013</v>
      </c>
      <c r="GO140" s="56">
        <f t="shared" si="38"/>
        <v>-4145.6600000000008</v>
      </c>
      <c r="GP140" s="56">
        <f t="shared" si="38"/>
        <v>-3983.9200000000005</v>
      </c>
      <c r="GQ140" s="56">
        <f t="shared" si="38"/>
        <v>0</v>
      </c>
      <c r="GR140" s="56">
        <f t="shared" si="38"/>
        <v>0</v>
      </c>
      <c r="GS140" s="56">
        <f t="shared" si="38"/>
        <v>-4323.1600000000008</v>
      </c>
      <c r="GT140" s="56">
        <f t="shared" si="38"/>
        <v>-4093.5600000000013</v>
      </c>
      <c r="GU140" s="56">
        <f t="shared" si="38"/>
        <v>-4166.43</v>
      </c>
      <c r="GV140" s="56">
        <f t="shared" si="38"/>
        <v>-4129.45</v>
      </c>
      <c r="GW140" s="56">
        <f t="shared" si="38"/>
        <v>-4252.78</v>
      </c>
      <c r="GX140" s="56">
        <f t="shared" si="38"/>
        <v>0</v>
      </c>
      <c r="GY140" s="56">
        <f t="shared" si="38"/>
        <v>0</v>
      </c>
      <c r="GZ140" s="56">
        <f t="shared" si="38"/>
        <v>-4382.16</v>
      </c>
      <c r="HA140" s="56">
        <f t="shared" si="38"/>
        <v>-4211.9399999999978</v>
      </c>
      <c r="HB140" s="56">
        <f t="shared" si="38"/>
        <v>-4268.3900000000012</v>
      </c>
      <c r="HC140" s="56">
        <f t="shared" si="38"/>
        <v>-4300.5800000000008</v>
      </c>
      <c r="HD140" s="56">
        <f t="shared" si="38"/>
        <v>-4206.28</v>
      </c>
      <c r="HE140" s="56">
        <f t="shared" si="38"/>
        <v>0</v>
      </c>
      <c r="HF140" s="56">
        <f t="shared" si="38"/>
        <v>0</v>
      </c>
      <c r="HG140" s="56">
        <f t="shared" si="38"/>
        <v>-4233.4600000000009</v>
      </c>
      <c r="HH140" s="56">
        <f t="shared" si="38"/>
        <v>-4053.0100000000011</v>
      </c>
      <c r="HI140" s="56">
        <f t="shared" si="38"/>
        <v>-4204.2800000000007</v>
      </c>
      <c r="HJ140" s="56">
        <f t="shared" si="38"/>
        <v>-4207.2799999999988</v>
      </c>
      <c r="HK140" s="56">
        <f t="shared" si="38"/>
        <v>-4141.1600000000008</v>
      </c>
      <c r="HL140" s="56">
        <f t="shared" si="38"/>
        <v>0</v>
      </c>
      <c r="HM140" s="56">
        <f t="shared" si="38"/>
        <v>0</v>
      </c>
      <c r="HN140" s="56">
        <f t="shared" si="38"/>
        <v>-4231.8999999999996</v>
      </c>
      <c r="HO140" s="56">
        <f t="shared" si="38"/>
        <v>-4134.9699999999993</v>
      </c>
      <c r="HP140" s="56">
        <f t="shared" si="38"/>
        <v>-4327.3900000000003</v>
      </c>
      <c r="HQ140" s="56">
        <f t="shared" si="38"/>
        <v>-4241.3500000000004</v>
      </c>
      <c r="HR140" s="56">
        <f t="shared" si="38"/>
        <v>-4041.6099999999992</v>
      </c>
      <c r="HS140" s="56">
        <f t="shared" si="38"/>
        <v>0</v>
      </c>
      <c r="HT140" s="56">
        <f t="shared" si="38"/>
        <v>0</v>
      </c>
      <c r="HU140" s="56">
        <f t="shared" si="38"/>
        <v>-4173.8600000000006</v>
      </c>
      <c r="HV140" s="56">
        <f t="shared" si="38"/>
        <v>-4143.21</v>
      </c>
      <c r="HW140" s="56">
        <f t="shared" si="38"/>
        <v>-4063.4399999999991</v>
      </c>
      <c r="HX140" s="56">
        <f t="shared" si="38"/>
        <v>-4349.3700000000008</v>
      </c>
      <c r="HY140" s="56">
        <f t="shared" si="38"/>
        <v>-4269.6900000000005</v>
      </c>
      <c r="HZ140" s="56">
        <f t="shared" si="38"/>
        <v>0</v>
      </c>
      <c r="IA140" s="56">
        <f t="shared" si="38"/>
        <v>0</v>
      </c>
      <c r="IB140" s="56">
        <f t="shared" si="38"/>
        <v>-4203.4900000000007</v>
      </c>
      <c r="IC140" s="56">
        <f t="shared" si="38"/>
        <v>-4423.6500000000015</v>
      </c>
      <c r="ID140" s="56">
        <f t="shared" si="38"/>
        <v>-4344.1800000000012</v>
      </c>
      <c r="IE140" s="56">
        <f t="shared" si="38"/>
        <v>-4278.53</v>
      </c>
      <c r="IF140" s="56">
        <f t="shared" si="38"/>
        <v>-4193.9799999999996</v>
      </c>
      <c r="IG140" s="56">
        <f t="shared" si="38"/>
        <v>0</v>
      </c>
      <c r="IH140" s="56">
        <f t="shared" si="38"/>
        <v>0</v>
      </c>
      <c r="II140" s="56">
        <f t="shared" si="38"/>
        <v>-4290.8300000000008</v>
      </c>
      <c r="IJ140" s="56">
        <f t="shared" si="38"/>
        <v>-4136.380000000001</v>
      </c>
      <c r="IK140" s="56">
        <f t="shared" si="38"/>
        <v>-4176.21</v>
      </c>
      <c r="IL140" s="56">
        <f t="shared" si="38"/>
        <v>-4208.6099999999997</v>
      </c>
    </row>
    <row r="141" spans="1:246" x14ac:dyDescent="0.3">
      <c r="A141" s="52" t="s">
        <v>137</v>
      </c>
      <c r="B141" s="41">
        <f t="shared" ref="B141:BM141" si="39">B96-B140</f>
        <v>9416.23</v>
      </c>
      <c r="C141" s="41">
        <f t="shared" si="39"/>
        <v>0</v>
      </c>
      <c r="D141" s="41">
        <f t="shared" si="39"/>
        <v>0</v>
      </c>
      <c r="E141" s="41">
        <f t="shared" si="39"/>
        <v>9408.59</v>
      </c>
      <c r="F141" s="41">
        <f t="shared" si="39"/>
        <v>8809.52</v>
      </c>
      <c r="G141" s="41">
        <f t="shared" si="39"/>
        <v>9568.5</v>
      </c>
      <c r="H141" s="41">
        <f t="shared" si="39"/>
        <v>9126.61</v>
      </c>
      <c r="I141" s="41">
        <f t="shared" si="39"/>
        <v>9705.7000000000007</v>
      </c>
      <c r="J141" s="41">
        <f t="shared" si="39"/>
        <v>0</v>
      </c>
      <c r="K141" s="41">
        <f t="shared" si="39"/>
        <v>0</v>
      </c>
      <c r="L141" s="41">
        <f t="shared" si="39"/>
        <v>9565.2999999999993</v>
      </c>
      <c r="M141" s="41">
        <f t="shared" si="39"/>
        <v>9148.93</v>
      </c>
      <c r="N141" s="41">
        <f t="shared" si="39"/>
        <v>8997.02</v>
      </c>
      <c r="O141" s="41">
        <f t="shared" si="39"/>
        <v>9384.6999999999971</v>
      </c>
      <c r="P141" s="41">
        <f t="shared" si="39"/>
        <v>9243.85</v>
      </c>
      <c r="Q141" s="41">
        <f t="shared" si="39"/>
        <v>0</v>
      </c>
      <c r="R141" s="41">
        <f t="shared" si="39"/>
        <v>0</v>
      </c>
      <c r="S141" s="41">
        <f t="shared" si="39"/>
        <v>9509.57</v>
      </c>
      <c r="T141" s="41">
        <f t="shared" si="39"/>
        <v>9625.8300000000017</v>
      </c>
      <c r="U141" s="41">
        <f t="shared" si="39"/>
        <v>9515.48</v>
      </c>
      <c r="V141" s="41">
        <f t="shared" si="39"/>
        <v>9713.99</v>
      </c>
      <c r="W141" s="41">
        <f t="shared" si="39"/>
        <v>9181.14</v>
      </c>
      <c r="X141" s="41">
        <f t="shared" si="39"/>
        <v>0</v>
      </c>
      <c r="Y141" s="41">
        <f t="shared" si="39"/>
        <v>0</v>
      </c>
      <c r="Z141" s="41">
        <f t="shared" si="39"/>
        <v>9644.489999999998</v>
      </c>
      <c r="AA141" s="41">
        <f t="shared" si="39"/>
        <v>9633.64</v>
      </c>
      <c r="AB141" s="41">
        <f t="shared" si="39"/>
        <v>9401.3300000000017</v>
      </c>
      <c r="AC141" s="41">
        <f t="shared" si="39"/>
        <v>9464.43</v>
      </c>
      <c r="AD141" s="41">
        <f t="shared" si="39"/>
        <v>9025.75</v>
      </c>
      <c r="AE141" s="41">
        <f t="shared" si="39"/>
        <v>0</v>
      </c>
      <c r="AF141" s="41">
        <f t="shared" si="39"/>
        <v>0</v>
      </c>
      <c r="AG141" s="41">
        <f t="shared" si="39"/>
        <v>9223.0600000000013</v>
      </c>
      <c r="AH141" s="41">
        <f t="shared" si="39"/>
        <v>9457.4900000000016</v>
      </c>
      <c r="AI141" s="41">
        <f t="shared" si="39"/>
        <v>8928.14</v>
      </c>
      <c r="AJ141" s="41">
        <f t="shared" si="39"/>
        <v>9860.1400000000031</v>
      </c>
      <c r="AK141" s="41">
        <f t="shared" si="39"/>
        <v>9474.8199999999979</v>
      </c>
      <c r="AL141" s="41">
        <f t="shared" si="39"/>
        <v>0</v>
      </c>
      <c r="AM141" s="41">
        <f t="shared" si="39"/>
        <v>0</v>
      </c>
      <c r="AN141" s="41">
        <f t="shared" si="39"/>
        <v>9347.91</v>
      </c>
      <c r="AO141" s="41">
        <f t="shared" si="39"/>
        <v>9503.07</v>
      </c>
      <c r="AP141" s="41">
        <f t="shared" si="39"/>
        <v>9819.1899999999987</v>
      </c>
      <c r="AQ141" s="41">
        <f t="shared" si="39"/>
        <v>8907.43</v>
      </c>
      <c r="AR141" s="41">
        <f t="shared" si="39"/>
        <v>9556.3099999999977</v>
      </c>
      <c r="AS141" s="41">
        <f t="shared" si="39"/>
        <v>0</v>
      </c>
      <c r="AT141" s="41">
        <f t="shared" si="39"/>
        <v>0</v>
      </c>
      <c r="AU141" s="41">
        <f t="shared" si="39"/>
        <v>9528.0999999999985</v>
      </c>
      <c r="AV141" s="41">
        <f t="shared" si="39"/>
        <v>9201.0299999999988</v>
      </c>
      <c r="AW141" s="41">
        <f t="shared" si="39"/>
        <v>9306.24</v>
      </c>
      <c r="AX141" s="41">
        <f t="shared" si="39"/>
        <v>9194.2200000000012</v>
      </c>
      <c r="AY141" s="41">
        <f t="shared" si="39"/>
        <v>9354.7200000000012</v>
      </c>
      <c r="AZ141" s="41">
        <f t="shared" si="39"/>
        <v>0</v>
      </c>
      <c r="BA141" s="41">
        <f t="shared" si="39"/>
        <v>0</v>
      </c>
      <c r="BB141" s="41">
        <f t="shared" si="39"/>
        <v>9560.4599999999991</v>
      </c>
      <c r="BC141" s="41">
        <f t="shared" si="39"/>
        <v>9500.4699999999993</v>
      </c>
      <c r="BD141" s="41">
        <f t="shared" si="39"/>
        <v>9441.77</v>
      </c>
      <c r="BE141" s="41">
        <f t="shared" si="39"/>
        <v>9009.7000000000007</v>
      </c>
      <c r="BF141" s="41">
        <f t="shared" si="39"/>
        <v>9478.4500000000007</v>
      </c>
      <c r="BG141" s="41">
        <f t="shared" si="39"/>
        <v>0</v>
      </c>
      <c r="BH141" s="41">
        <f t="shared" si="39"/>
        <v>0</v>
      </c>
      <c r="BI141" s="41">
        <f t="shared" si="39"/>
        <v>9026.0300000000007</v>
      </c>
      <c r="BJ141" s="41">
        <f t="shared" si="39"/>
        <v>8734.9500000000007</v>
      </c>
      <c r="BK141" s="41">
        <f t="shared" si="39"/>
        <v>9673.4999999999982</v>
      </c>
      <c r="BL141" s="41">
        <f t="shared" si="39"/>
        <v>9667.0999999999985</v>
      </c>
      <c r="BM141" s="41">
        <f t="shared" si="39"/>
        <v>8925.4800000000014</v>
      </c>
      <c r="BN141" s="41">
        <f t="shared" ref="BN141:DY141" si="40">BN96-BN140</f>
        <v>0</v>
      </c>
      <c r="BO141" s="41">
        <f t="shared" si="40"/>
        <v>0</v>
      </c>
      <c r="BP141" s="41">
        <f t="shared" si="40"/>
        <v>8973.1500000000015</v>
      </c>
      <c r="BQ141" s="41">
        <f t="shared" si="40"/>
        <v>9105.4700000000012</v>
      </c>
      <c r="BR141" s="41">
        <f t="shared" si="40"/>
        <v>9547.130000000001</v>
      </c>
      <c r="BS141" s="41">
        <f t="shared" si="40"/>
        <v>9167.3399999999983</v>
      </c>
      <c r="BT141" s="41">
        <f t="shared" si="40"/>
        <v>9213.08</v>
      </c>
      <c r="BU141" s="41">
        <f t="shared" si="40"/>
        <v>0</v>
      </c>
      <c r="BV141" s="41">
        <f t="shared" si="40"/>
        <v>0</v>
      </c>
      <c r="BW141" s="41">
        <f t="shared" si="40"/>
        <v>9120.17</v>
      </c>
      <c r="BX141" s="41">
        <f t="shared" si="40"/>
        <v>9009.3500000000022</v>
      </c>
      <c r="BY141" s="41">
        <f t="shared" si="40"/>
        <v>9063.75</v>
      </c>
      <c r="BZ141" s="41">
        <f t="shared" si="40"/>
        <v>9525.7599999999984</v>
      </c>
      <c r="CA141" s="41">
        <f t="shared" si="40"/>
        <v>9537.4399999999987</v>
      </c>
      <c r="CB141" s="41">
        <f t="shared" si="40"/>
        <v>0</v>
      </c>
      <c r="CC141" s="41">
        <f t="shared" si="40"/>
        <v>0</v>
      </c>
      <c r="CD141" s="41">
        <f t="shared" si="40"/>
        <v>9578.0699999999961</v>
      </c>
      <c r="CE141" s="41">
        <f t="shared" si="40"/>
        <v>8900.5099999999984</v>
      </c>
      <c r="CF141" s="41">
        <f t="shared" si="40"/>
        <v>9426.11</v>
      </c>
      <c r="CG141" s="41">
        <f t="shared" si="40"/>
        <v>9066.61</v>
      </c>
      <c r="CH141" s="41">
        <f t="shared" si="40"/>
        <v>9305.3499999999985</v>
      </c>
      <c r="CI141" s="41">
        <f t="shared" si="40"/>
        <v>0</v>
      </c>
      <c r="CJ141" s="41">
        <f t="shared" si="40"/>
        <v>0</v>
      </c>
      <c r="CK141" s="41">
        <f t="shared" si="40"/>
        <v>9060.5499999999993</v>
      </c>
      <c r="CL141" s="41">
        <f t="shared" si="40"/>
        <v>9395.8700000000008</v>
      </c>
      <c r="CM141" s="41">
        <f t="shared" si="40"/>
        <v>9362.0500000000029</v>
      </c>
      <c r="CN141" s="41">
        <f t="shared" si="40"/>
        <v>9545.9799999999977</v>
      </c>
      <c r="CO141" s="41">
        <f t="shared" si="40"/>
        <v>9602.5500000000011</v>
      </c>
      <c r="CP141" s="41">
        <f t="shared" si="40"/>
        <v>0</v>
      </c>
      <c r="CQ141" s="41">
        <f t="shared" si="40"/>
        <v>0</v>
      </c>
      <c r="CR141" s="41">
        <f t="shared" si="40"/>
        <v>9053.23</v>
      </c>
      <c r="CS141" s="41">
        <f t="shared" si="40"/>
        <v>8948.7199999999993</v>
      </c>
      <c r="CT141" s="41">
        <f t="shared" si="40"/>
        <v>9565.1099999999988</v>
      </c>
      <c r="CU141" s="41">
        <f t="shared" si="40"/>
        <v>9132.369999999999</v>
      </c>
      <c r="CV141" s="41">
        <f t="shared" si="40"/>
        <v>9242.09</v>
      </c>
      <c r="CW141" s="41">
        <f t="shared" si="40"/>
        <v>0</v>
      </c>
      <c r="CX141" s="41">
        <f t="shared" si="40"/>
        <v>0</v>
      </c>
      <c r="CY141" s="41">
        <f t="shared" si="40"/>
        <v>9207.7499999999982</v>
      </c>
      <c r="CZ141" s="41">
        <f t="shared" si="40"/>
        <v>9213.9</v>
      </c>
      <c r="DA141" s="41">
        <f t="shared" si="40"/>
        <v>9209.07</v>
      </c>
      <c r="DB141" s="41">
        <f t="shared" si="40"/>
        <v>9646.0399999999991</v>
      </c>
      <c r="DC141" s="41">
        <f t="shared" si="40"/>
        <v>9359.8999999999978</v>
      </c>
      <c r="DD141" s="41">
        <f t="shared" si="40"/>
        <v>0</v>
      </c>
      <c r="DE141" s="41">
        <f t="shared" si="40"/>
        <v>0</v>
      </c>
      <c r="DF141" s="41">
        <f t="shared" si="40"/>
        <v>9314.0499999999993</v>
      </c>
      <c r="DG141" s="41">
        <f t="shared" si="40"/>
        <v>9041.0999999999985</v>
      </c>
      <c r="DH141" s="41">
        <f t="shared" si="40"/>
        <v>9071.630000000001</v>
      </c>
      <c r="DI141" s="41">
        <f t="shared" si="40"/>
        <v>9215.989999999998</v>
      </c>
      <c r="DJ141" s="41">
        <f t="shared" si="40"/>
        <v>9440.4299999999985</v>
      </c>
      <c r="DK141" s="41">
        <f t="shared" si="40"/>
        <v>0</v>
      </c>
      <c r="DL141" s="41">
        <f t="shared" si="40"/>
        <v>0</v>
      </c>
      <c r="DM141" s="41">
        <f t="shared" si="40"/>
        <v>9532</v>
      </c>
      <c r="DN141" s="41">
        <f t="shared" si="40"/>
        <v>9206</v>
      </c>
      <c r="DO141" s="41">
        <f t="shared" si="40"/>
        <v>9361.9700000000012</v>
      </c>
      <c r="DP141" s="41">
        <f t="shared" si="40"/>
        <v>9270.3299999999981</v>
      </c>
      <c r="DQ141" s="41">
        <f t="shared" si="40"/>
        <v>8940.9200000000019</v>
      </c>
      <c r="DR141" s="41">
        <f t="shared" si="40"/>
        <v>0</v>
      </c>
      <c r="DS141" s="41">
        <f t="shared" si="40"/>
        <v>0</v>
      </c>
      <c r="DT141" s="41">
        <f t="shared" si="40"/>
        <v>9043.0399999999972</v>
      </c>
      <c r="DU141" s="41">
        <f t="shared" si="40"/>
        <v>9274.85</v>
      </c>
      <c r="DV141" s="41">
        <f t="shared" si="40"/>
        <v>9554.9399999999987</v>
      </c>
      <c r="DW141" s="41">
        <f t="shared" si="40"/>
        <v>9572.6099999999988</v>
      </c>
      <c r="DX141" s="41">
        <f t="shared" si="40"/>
        <v>9541.630000000001</v>
      </c>
      <c r="DY141" s="41">
        <f t="shared" si="40"/>
        <v>0</v>
      </c>
      <c r="DZ141" s="41">
        <f t="shared" ref="DZ141:GK141" si="41">DZ96-DZ140</f>
        <v>0</v>
      </c>
      <c r="EA141" s="41">
        <f t="shared" si="41"/>
        <v>9181.68</v>
      </c>
      <c r="EB141" s="41">
        <f t="shared" si="41"/>
        <v>9249.0499999999975</v>
      </c>
      <c r="EC141" s="41">
        <f t="shared" si="41"/>
        <v>9413.36</v>
      </c>
      <c r="ED141" s="41">
        <f t="shared" si="41"/>
        <v>9053.0300000000025</v>
      </c>
      <c r="EE141" s="41">
        <f t="shared" si="41"/>
        <v>9536.5299999999988</v>
      </c>
      <c r="EF141" s="41">
        <f t="shared" si="41"/>
        <v>0</v>
      </c>
      <c r="EG141" s="41">
        <f t="shared" si="41"/>
        <v>0</v>
      </c>
      <c r="EH141" s="41">
        <f t="shared" si="41"/>
        <v>9564.56</v>
      </c>
      <c r="EI141" s="41">
        <f t="shared" si="41"/>
        <v>9547.3799999999974</v>
      </c>
      <c r="EJ141" s="41">
        <f t="shared" si="41"/>
        <v>9211.43</v>
      </c>
      <c r="EK141" s="41">
        <f t="shared" si="41"/>
        <v>9311.5400000000009</v>
      </c>
      <c r="EL141" s="41">
        <f t="shared" si="41"/>
        <v>9268.09</v>
      </c>
      <c r="EM141" s="41">
        <f t="shared" si="41"/>
        <v>0</v>
      </c>
      <c r="EN141" s="41">
        <f t="shared" si="41"/>
        <v>0</v>
      </c>
      <c r="EO141" s="41">
        <f t="shared" si="41"/>
        <v>9249.739999999998</v>
      </c>
      <c r="EP141" s="41">
        <f t="shared" si="41"/>
        <v>8941.98</v>
      </c>
      <c r="EQ141" s="41">
        <f t="shared" si="41"/>
        <v>9571.5600000000013</v>
      </c>
      <c r="ER141" s="41">
        <f t="shared" si="41"/>
        <v>9667.3700000000008</v>
      </c>
      <c r="ES141" s="41">
        <f t="shared" si="41"/>
        <v>9437.9000000000015</v>
      </c>
      <c r="ET141" s="41">
        <f t="shared" si="41"/>
        <v>0</v>
      </c>
      <c r="EU141" s="41">
        <f t="shared" si="41"/>
        <v>0</v>
      </c>
      <c r="EV141" s="41">
        <f t="shared" si="41"/>
        <v>9052.5499999999993</v>
      </c>
      <c r="EW141" s="41">
        <f t="shared" si="41"/>
        <v>8944.989999999998</v>
      </c>
      <c r="EX141" s="41">
        <f t="shared" si="41"/>
        <v>9999.09</v>
      </c>
      <c r="EY141" s="41">
        <f t="shared" si="41"/>
        <v>9472.7899999999991</v>
      </c>
      <c r="EZ141" s="41">
        <f t="shared" si="41"/>
        <v>9747.9900000000016</v>
      </c>
      <c r="FA141" s="41">
        <f t="shared" si="41"/>
        <v>0</v>
      </c>
      <c r="FB141" s="41">
        <f t="shared" si="41"/>
        <v>0</v>
      </c>
      <c r="FC141" s="41">
        <f t="shared" si="41"/>
        <v>9285.9900000000016</v>
      </c>
      <c r="FD141" s="41">
        <f t="shared" si="41"/>
        <v>9535.3100000000013</v>
      </c>
      <c r="FE141" s="41">
        <f t="shared" si="41"/>
        <v>9562.68</v>
      </c>
      <c r="FF141" s="41">
        <f t="shared" si="41"/>
        <v>9504.1500000000015</v>
      </c>
      <c r="FG141" s="41">
        <f t="shared" si="41"/>
        <v>9394.7999999999993</v>
      </c>
      <c r="FH141" s="41">
        <f t="shared" si="41"/>
        <v>0</v>
      </c>
      <c r="FI141" s="41">
        <f t="shared" si="41"/>
        <v>0</v>
      </c>
      <c r="FJ141" s="41">
        <f t="shared" si="41"/>
        <v>9100.4700000000012</v>
      </c>
      <c r="FK141" s="41">
        <f t="shared" si="41"/>
        <v>9637.48</v>
      </c>
      <c r="FL141" s="41">
        <f t="shared" si="41"/>
        <v>9659.7099999999973</v>
      </c>
      <c r="FM141" s="41">
        <f t="shared" si="41"/>
        <v>8873.3900000000012</v>
      </c>
      <c r="FN141" s="41">
        <f t="shared" si="41"/>
        <v>9321.9900000000016</v>
      </c>
      <c r="FO141" s="41">
        <f t="shared" si="41"/>
        <v>0</v>
      </c>
      <c r="FP141" s="41">
        <f t="shared" si="41"/>
        <v>0</v>
      </c>
      <c r="FQ141" s="41">
        <f t="shared" si="41"/>
        <v>9284.8199999999979</v>
      </c>
      <c r="FR141" s="41">
        <f t="shared" si="41"/>
        <v>9370.84</v>
      </c>
      <c r="FS141" s="41">
        <f t="shared" si="41"/>
        <v>8822.369999999999</v>
      </c>
      <c r="FT141" s="41">
        <f t="shared" si="41"/>
        <v>9109.34</v>
      </c>
      <c r="FU141" s="41">
        <f t="shared" si="41"/>
        <v>9671.8299999999963</v>
      </c>
      <c r="FV141" s="41">
        <f t="shared" si="41"/>
        <v>0</v>
      </c>
      <c r="FW141" s="41">
        <f t="shared" si="41"/>
        <v>0</v>
      </c>
      <c r="FX141" s="41">
        <f t="shared" si="41"/>
        <v>9358.5</v>
      </c>
      <c r="FY141" s="41">
        <f t="shared" si="41"/>
        <v>8906.57</v>
      </c>
      <c r="FZ141" s="41">
        <f t="shared" si="41"/>
        <v>9463.1699999999983</v>
      </c>
      <c r="GA141" s="41">
        <f t="shared" si="41"/>
        <v>9334.619999999999</v>
      </c>
      <c r="GB141" s="41">
        <f t="shared" si="41"/>
        <v>8905.1299999999974</v>
      </c>
      <c r="GC141" s="41">
        <f t="shared" si="41"/>
        <v>0</v>
      </c>
      <c r="GD141" s="41">
        <f t="shared" si="41"/>
        <v>0</v>
      </c>
      <c r="GE141" s="41">
        <f t="shared" si="41"/>
        <v>9812.619999999999</v>
      </c>
      <c r="GF141" s="41">
        <f t="shared" si="41"/>
        <v>9482.1</v>
      </c>
      <c r="GG141" s="41">
        <f t="shared" si="41"/>
        <v>9384.24</v>
      </c>
      <c r="GH141" s="41">
        <f t="shared" si="41"/>
        <v>9217.5399999999991</v>
      </c>
      <c r="GI141" s="41">
        <f t="shared" si="41"/>
        <v>9400.0499999999993</v>
      </c>
      <c r="GJ141" s="41">
        <f t="shared" si="41"/>
        <v>0</v>
      </c>
      <c r="GK141" s="41">
        <f t="shared" si="41"/>
        <v>0</v>
      </c>
      <c r="GL141" s="41">
        <f t="shared" ref="GL141:IL141" si="42">GL96-GL140</f>
        <v>8834.4500000000007</v>
      </c>
      <c r="GM141" s="41">
        <f t="shared" si="42"/>
        <v>9665.5500000000011</v>
      </c>
      <c r="GN141" s="41">
        <f t="shared" si="42"/>
        <v>9504.0300000000007</v>
      </c>
      <c r="GO141" s="41">
        <f t="shared" si="42"/>
        <v>9145.2000000000007</v>
      </c>
      <c r="GP141" s="41">
        <f t="shared" si="42"/>
        <v>8937.2800000000007</v>
      </c>
      <c r="GQ141" s="41">
        <f t="shared" si="42"/>
        <v>0</v>
      </c>
      <c r="GR141" s="41">
        <f t="shared" si="42"/>
        <v>0</v>
      </c>
      <c r="GS141" s="41">
        <f t="shared" si="42"/>
        <v>9162.73</v>
      </c>
      <c r="GT141" s="41">
        <f t="shared" si="42"/>
        <v>9129.4100000000017</v>
      </c>
      <c r="GU141" s="41">
        <f t="shared" si="42"/>
        <v>9140.39</v>
      </c>
      <c r="GV141" s="41">
        <f t="shared" si="42"/>
        <v>9187.92</v>
      </c>
      <c r="GW141" s="41">
        <f t="shared" si="42"/>
        <v>9045.0400000000009</v>
      </c>
      <c r="GX141" s="41">
        <f t="shared" si="42"/>
        <v>0</v>
      </c>
      <c r="GY141" s="41">
        <f t="shared" si="42"/>
        <v>0</v>
      </c>
      <c r="GZ141" s="41">
        <f t="shared" si="42"/>
        <v>9741.6200000000008</v>
      </c>
      <c r="HA141" s="41">
        <f t="shared" si="42"/>
        <v>9375.0199999999986</v>
      </c>
      <c r="HB141" s="41">
        <f t="shared" si="42"/>
        <v>9576.1200000000026</v>
      </c>
      <c r="HC141" s="41">
        <f t="shared" si="42"/>
        <v>9259.3000000000011</v>
      </c>
      <c r="HD141" s="41">
        <f t="shared" si="42"/>
        <v>9489.8499999999985</v>
      </c>
      <c r="HE141" s="41">
        <f t="shared" si="42"/>
        <v>0</v>
      </c>
      <c r="HF141" s="41">
        <f t="shared" si="42"/>
        <v>0</v>
      </c>
      <c r="HG141" s="41">
        <f t="shared" si="42"/>
        <v>9584.8700000000008</v>
      </c>
      <c r="HH141" s="41">
        <f t="shared" si="42"/>
        <v>8585.4800000000032</v>
      </c>
      <c r="HI141" s="41">
        <f t="shared" si="42"/>
        <v>9077.9500000000007</v>
      </c>
      <c r="HJ141" s="41">
        <f t="shared" si="42"/>
        <v>9207.5599999999977</v>
      </c>
      <c r="HK141" s="41">
        <f t="shared" si="42"/>
        <v>9362.2099999999991</v>
      </c>
      <c r="HL141" s="41">
        <f t="shared" si="42"/>
        <v>0</v>
      </c>
      <c r="HM141" s="41">
        <f t="shared" si="42"/>
        <v>0</v>
      </c>
      <c r="HN141" s="41">
        <f t="shared" si="42"/>
        <v>9406.0099999999984</v>
      </c>
      <c r="HO141" s="41">
        <f t="shared" si="42"/>
        <v>9217.5799999999981</v>
      </c>
      <c r="HP141" s="41">
        <f t="shared" si="42"/>
        <v>9927.48</v>
      </c>
      <c r="HQ141" s="41">
        <f t="shared" si="42"/>
        <v>9802.9</v>
      </c>
      <c r="HR141" s="41">
        <f t="shared" si="42"/>
        <v>9431.8299999999981</v>
      </c>
      <c r="HS141" s="41">
        <f t="shared" si="42"/>
        <v>0</v>
      </c>
      <c r="HT141" s="41">
        <f t="shared" si="42"/>
        <v>0</v>
      </c>
      <c r="HU141" s="41">
        <f t="shared" si="42"/>
        <v>9713.3100000000013</v>
      </c>
      <c r="HV141" s="41">
        <f t="shared" si="42"/>
        <v>9345.5800000000017</v>
      </c>
      <c r="HW141" s="41">
        <f t="shared" si="42"/>
        <v>8804.06</v>
      </c>
      <c r="HX141" s="41">
        <f t="shared" si="42"/>
        <v>9346.9700000000012</v>
      </c>
      <c r="HY141" s="41">
        <f t="shared" si="42"/>
        <v>9889.39</v>
      </c>
      <c r="HZ141" s="41">
        <f t="shared" si="42"/>
        <v>0</v>
      </c>
      <c r="IA141" s="41">
        <f t="shared" si="42"/>
        <v>0</v>
      </c>
      <c r="IB141" s="41">
        <f t="shared" si="42"/>
        <v>9461.3700000000008</v>
      </c>
      <c r="IC141" s="41">
        <f t="shared" si="42"/>
        <v>9217.6500000000015</v>
      </c>
      <c r="ID141" s="41">
        <f t="shared" si="42"/>
        <v>8869.82</v>
      </c>
      <c r="IE141" s="41">
        <f t="shared" si="42"/>
        <v>9307.98</v>
      </c>
      <c r="IF141" s="41">
        <f t="shared" si="42"/>
        <v>9272.64</v>
      </c>
      <c r="IG141" s="41">
        <f t="shared" si="42"/>
        <v>0</v>
      </c>
      <c r="IH141" s="41">
        <f t="shared" si="42"/>
        <v>0</v>
      </c>
      <c r="II141" s="41">
        <f t="shared" si="42"/>
        <v>9259.130000000001</v>
      </c>
      <c r="IJ141" s="41">
        <f t="shared" si="42"/>
        <v>9114.5</v>
      </c>
      <c r="IK141" s="41">
        <f t="shared" si="42"/>
        <v>9334.9700000000012</v>
      </c>
      <c r="IL141" s="41">
        <f t="shared" si="42"/>
        <v>9285.48</v>
      </c>
    </row>
    <row r="142" spans="1:246" x14ac:dyDescent="0.3">
      <c r="A142" s="53" t="s">
        <v>138</v>
      </c>
      <c r="B142" s="59">
        <f t="shared" ref="B142:BM142" si="43">B83+B141</f>
        <v>9416.23</v>
      </c>
      <c r="C142" s="59">
        <f t="shared" si="43"/>
        <v>9416.23</v>
      </c>
      <c r="D142" s="59">
        <f t="shared" si="43"/>
        <v>9416.23</v>
      </c>
      <c r="E142" s="59">
        <f t="shared" si="43"/>
        <v>18824.82</v>
      </c>
      <c r="F142" s="59">
        <f t="shared" si="43"/>
        <v>27634.34</v>
      </c>
      <c r="G142" s="59">
        <f t="shared" si="43"/>
        <v>37202.839999999997</v>
      </c>
      <c r="H142" s="59">
        <f t="shared" si="43"/>
        <v>46329.45</v>
      </c>
      <c r="I142" s="59">
        <f t="shared" si="43"/>
        <v>56035.149999999994</v>
      </c>
      <c r="J142" s="59">
        <f t="shared" si="43"/>
        <v>56035.149999999994</v>
      </c>
      <c r="K142" s="59">
        <f t="shared" si="43"/>
        <v>56035.149999999994</v>
      </c>
      <c r="L142" s="59">
        <f t="shared" si="43"/>
        <v>65600.45</v>
      </c>
      <c r="M142" s="59">
        <f t="shared" si="43"/>
        <v>74749.38</v>
      </c>
      <c r="N142" s="59">
        <f t="shared" si="43"/>
        <v>83746.400000000009</v>
      </c>
      <c r="O142" s="59">
        <f t="shared" si="43"/>
        <v>93131.1</v>
      </c>
      <c r="P142" s="59">
        <f t="shared" si="43"/>
        <v>102374.95000000001</v>
      </c>
      <c r="Q142" s="59">
        <f t="shared" si="43"/>
        <v>102374.95000000001</v>
      </c>
      <c r="R142" s="59">
        <f t="shared" si="43"/>
        <v>102374.95000000001</v>
      </c>
      <c r="S142" s="59">
        <f t="shared" si="43"/>
        <v>111884.52000000002</v>
      </c>
      <c r="T142" s="59">
        <f t="shared" si="43"/>
        <v>121510.35000000002</v>
      </c>
      <c r="U142" s="59">
        <f t="shared" si="43"/>
        <v>131025.83000000002</v>
      </c>
      <c r="V142" s="59">
        <f t="shared" si="43"/>
        <v>140739.82</v>
      </c>
      <c r="W142" s="59">
        <f t="shared" si="43"/>
        <v>149920.96000000002</v>
      </c>
      <c r="X142" s="59">
        <f t="shared" si="43"/>
        <v>149920.96000000002</v>
      </c>
      <c r="Y142" s="59">
        <f t="shared" si="43"/>
        <v>149920.96000000002</v>
      </c>
      <c r="Z142" s="59">
        <f t="shared" si="43"/>
        <v>159565.45000000001</v>
      </c>
      <c r="AA142" s="59">
        <f t="shared" si="43"/>
        <v>169199.09000000003</v>
      </c>
      <c r="AB142" s="59">
        <f t="shared" si="43"/>
        <v>178600.42000000004</v>
      </c>
      <c r="AC142" s="59">
        <f t="shared" si="43"/>
        <v>188064.85000000003</v>
      </c>
      <c r="AD142" s="59">
        <f t="shared" si="43"/>
        <v>197090.60000000003</v>
      </c>
      <c r="AE142" s="59">
        <f t="shared" si="43"/>
        <v>197090.60000000003</v>
      </c>
      <c r="AF142" s="59">
        <f t="shared" si="43"/>
        <v>197090.60000000003</v>
      </c>
      <c r="AG142" s="59">
        <f t="shared" si="43"/>
        <v>206313.66000000003</v>
      </c>
      <c r="AH142" s="59">
        <f t="shared" si="43"/>
        <v>215771.15000000002</v>
      </c>
      <c r="AI142" s="59">
        <f t="shared" si="43"/>
        <v>224699.29000000004</v>
      </c>
      <c r="AJ142" s="59">
        <f t="shared" si="43"/>
        <v>234559.43000000005</v>
      </c>
      <c r="AK142" s="59">
        <f t="shared" si="43"/>
        <v>244034.25000000006</v>
      </c>
      <c r="AL142" s="59">
        <f t="shared" si="43"/>
        <v>244034.25000000006</v>
      </c>
      <c r="AM142" s="59">
        <f t="shared" si="43"/>
        <v>244034.25000000006</v>
      </c>
      <c r="AN142" s="59">
        <f t="shared" si="43"/>
        <v>253382.16000000006</v>
      </c>
      <c r="AO142" s="59">
        <f t="shared" si="43"/>
        <v>262885.23000000004</v>
      </c>
      <c r="AP142" s="59">
        <f t="shared" si="43"/>
        <v>272704.42000000004</v>
      </c>
      <c r="AQ142" s="59">
        <f t="shared" si="43"/>
        <v>281611.85000000003</v>
      </c>
      <c r="AR142" s="59">
        <f t="shared" si="43"/>
        <v>291168.16000000003</v>
      </c>
      <c r="AS142" s="59">
        <f t="shared" si="43"/>
        <v>291168.16000000003</v>
      </c>
      <c r="AT142" s="59">
        <f t="shared" si="43"/>
        <v>291168.16000000003</v>
      </c>
      <c r="AU142" s="59">
        <f t="shared" si="43"/>
        <v>300696.26</v>
      </c>
      <c r="AV142" s="59">
        <f t="shared" si="43"/>
        <v>309897.29000000004</v>
      </c>
      <c r="AW142" s="59">
        <f t="shared" si="43"/>
        <v>319203.53000000003</v>
      </c>
      <c r="AX142" s="59">
        <f t="shared" si="43"/>
        <v>328397.75</v>
      </c>
      <c r="AY142" s="59">
        <f t="shared" si="43"/>
        <v>337752.47</v>
      </c>
      <c r="AZ142" s="59">
        <f t="shared" si="43"/>
        <v>337752.47</v>
      </c>
      <c r="BA142" s="59">
        <f t="shared" si="43"/>
        <v>337752.47</v>
      </c>
      <c r="BB142" s="59">
        <f t="shared" si="43"/>
        <v>347312.93</v>
      </c>
      <c r="BC142" s="59">
        <f t="shared" si="43"/>
        <v>356813.39999999997</v>
      </c>
      <c r="BD142" s="59">
        <f t="shared" si="43"/>
        <v>366255.17</v>
      </c>
      <c r="BE142" s="59">
        <f t="shared" si="43"/>
        <v>375264.87</v>
      </c>
      <c r="BF142" s="59">
        <f t="shared" si="43"/>
        <v>384743.32</v>
      </c>
      <c r="BG142" s="59">
        <f t="shared" si="43"/>
        <v>384743.32</v>
      </c>
      <c r="BH142" s="59">
        <f t="shared" si="43"/>
        <v>384743.32</v>
      </c>
      <c r="BI142" s="59">
        <f t="shared" si="43"/>
        <v>393769.35000000003</v>
      </c>
      <c r="BJ142" s="59">
        <f t="shared" si="43"/>
        <v>402504.30000000005</v>
      </c>
      <c r="BK142" s="59">
        <f t="shared" si="43"/>
        <v>412177.80000000005</v>
      </c>
      <c r="BL142" s="59">
        <f t="shared" si="43"/>
        <v>421844.9</v>
      </c>
      <c r="BM142" s="59">
        <f t="shared" si="43"/>
        <v>430770.38</v>
      </c>
      <c r="BN142" s="59">
        <f t="shared" ref="BN142:DY142" si="44">BN83+BN141</f>
        <v>430770.38</v>
      </c>
      <c r="BO142" s="59">
        <f t="shared" si="44"/>
        <v>430770.38</v>
      </c>
      <c r="BP142" s="59">
        <f t="shared" si="44"/>
        <v>439743.53</v>
      </c>
      <c r="BQ142" s="59">
        <f t="shared" si="44"/>
        <v>448849</v>
      </c>
      <c r="BR142" s="59">
        <f t="shared" si="44"/>
        <v>458396.13</v>
      </c>
      <c r="BS142" s="59">
        <f t="shared" si="44"/>
        <v>467563.47000000003</v>
      </c>
      <c r="BT142" s="59">
        <f t="shared" si="44"/>
        <v>476776.55000000005</v>
      </c>
      <c r="BU142" s="59">
        <f t="shared" si="44"/>
        <v>476776.55000000005</v>
      </c>
      <c r="BV142" s="59">
        <f t="shared" si="44"/>
        <v>476776.55000000005</v>
      </c>
      <c r="BW142" s="59">
        <f t="shared" si="44"/>
        <v>485896.72000000003</v>
      </c>
      <c r="BX142" s="59">
        <f t="shared" si="44"/>
        <v>494906.07</v>
      </c>
      <c r="BY142" s="59">
        <f t="shared" si="44"/>
        <v>503969.82</v>
      </c>
      <c r="BZ142" s="59">
        <f t="shared" si="44"/>
        <v>513495.58</v>
      </c>
      <c r="CA142" s="59">
        <f t="shared" si="44"/>
        <v>523033.02</v>
      </c>
      <c r="CB142" s="59">
        <f t="shared" si="44"/>
        <v>523033.02</v>
      </c>
      <c r="CC142" s="59">
        <f t="shared" si="44"/>
        <v>523033.02</v>
      </c>
      <c r="CD142" s="59">
        <f t="shared" si="44"/>
        <v>532611.09</v>
      </c>
      <c r="CE142" s="59">
        <f t="shared" si="44"/>
        <v>541511.6</v>
      </c>
      <c r="CF142" s="59">
        <f t="shared" si="44"/>
        <v>550937.71</v>
      </c>
      <c r="CG142" s="59">
        <f t="shared" si="44"/>
        <v>560004.31999999995</v>
      </c>
      <c r="CH142" s="59">
        <f t="shared" si="44"/>
        <v>569309.66999999993</v>
      </c>
      <c r="CI142" s="59">
        <f t="shared" si="44"/>
        <v>569309.66999999993</v>
      </c>
      <c r="CJ142" s="59">
        <f t="shared" si="44"/>
        <v>569309.66999999993</v>
      </c>
      <c r="CK142" s="59">
        <f t="shared" si="44"/>
        <v>578370.22</v>
      </c>
      <c r="CL142" s="59">
        <f t="shared" si="44"/>
        <v>587766.09</v>
      </c>
      <c r="CM142" s="59">
        <f t="shared" si="44"/>
        <v>597128.14</v>
      </c>
      <c r="CN142" s="59">
        <f t="shared" si="44"/>
        <v>606674.12</v>
      </c>
      <c r="CO142" s="59">
        <f t="shared" si="44"/>
        <v>616276.67000000004</v>
      </c>
      <c r="CP142" s="59">
        <f t="shared" si="44"/>
        <v>616276.67000000004</v>
      </c>
      <c r="CQ142" s="59">
        <f t="shared" si="44"/>
        <v>616276.67000000004</v>
      </c>
      <c r="CR142" s="59">
        <f t="shared" si="44"/>
        <v>625329.9</v>
      </c>
      <c r="CS142" s="59">
        <f t="shared" si="44"/>
        <v>634278.62</v>
      </c>
      <c r="CT142" s="59">
        <f t="shared" si="44"/>
        <v>643843.73</v>
      </c>
      <c r="CU142" s="59">
        <f t="shared" si="44"/>
        <v>652976.1</v>
      </c>
      <c r="CV142" s="59">
        <f t="shared" si="44"/>
        <v>662218.18999999994</v>
      </c>
      <c r="CW142" s="59">
        <f t="shared" si="44"/>
        <v>662218.18999999994</v>
      </c>
      <c r="CX142" s="59">
        <f t="shared" si="44"/>
        <v>662218.18999999994</v>
      </c>
      <c r="CY142" s="59">
        <f t="shared" si="44"/>
        <v>671425.94</v>
      </c>
      <c r="CZ142" s="59">
        <f t="shared" si="44"/>
        <v>680639.84</v>
      </c>
      <c r="DA142" s="59">
        <f t="shared" si="44"/>
        <v>689848.90999999992</v>
      </c>
      <c r="DB142" s="59">
        <f t="shared" si="44"/>
        <v>699494.95</v>
      </c>
      <c r="DC142" s="59">
        <f t="shared" si="44"/>
        <v>708854.85</v>
      </c>
      <c r="DD142" s="59">
        <f t="shared" si="44"/>
        <v>708854.85</v>
      </c>
      <c r="DE142" s="59">
        <f t="shared" si="44"/>
        <v>708854.85</v>
      </c>
      <c r="DF142" s="59">
        <f t="shared" si="44"/>
        <v>718168.9</v>
      </c>
      <c r="DG142" s="59">
        <f t="shared" si="44"/>
        <v>727210</v>
      </c>
      <c r="DH142" s="59">
        <f t="shared" si="44"/>
        <v>736281.63</v>
      </c>
      <c r="DI142" s="59">
        <f t="shared" si="44"/>
        <v>745497.62</v>
      </c>
      <c r="DJ142" s="59">
        <f t="shared" si="44"/>
        <v>754938.05</v>
      </c>
      <c r="DK142" s="59">
        <f t="shared" si="44"/>
        <v>754938.05</v>
      </c>
      <c r="DL142" s="59">
        <f t="shared" si="44"/>
        <v>754938.05</v>
      </c>
      <c r="DM142" s="59">
        <f t="shared" si="44"/>
        <v>764470.05</v>
      </c>
      <c r="DN142" s="59">
        <f t="shared" si="44"/>
        <v>773676.05</v>
      </c>
      <c r="DO142" s="59">
        <f t="shared" si="44"/>
        <v>783038.02</v>
      </c>
      <c r="DP142" s="59">
        <f t="shared" si="44"/>
        <v>792308.35</v>
      </c>
      <c r="DQ142" s="59">
        <f t="shared" si="44"/>
        <v>801249.27</v>
      </c>
      <c r="DR142" s="59">
        <f t="shared" si="44"/>
        <v>801249.27</v>
      </c>
      <c r="DS142" s="59">
        <f t="shared" si="44"/>
        <v>801249.27</v>
      </c>
      <c r="DT142" s="59">
        <f t="shared" si="44"/>
        <v>810292.31</v>
      </c>
      <c r="DU142" s="59">
        <f t="shared" si="44"/>
        <v>819567.16</v>
      </c>
      <c r="DV142" s="59">
        <f t="shared" si="44"/>
        <v>829122.1</v>
      </c>
      <c r="DW142" s="59">
        <f t="shared" si="44"/>
        <v>838694.71</v>
      </c>
      <c r="DX142" s="59">
        <f t="shared" si="44"/>
        <v>848236.34</v>
      </c>
      <c r="DY142" s="59">
        <f t="shared" si="44"/>
        <v>848236.34</v>
      </c>
      <c r="DZ142" s="59">
        <f t="shared" ref="DZ142:GK142" si="45">DZ83+DZ141</f>
        <v>848236.34</v>
      </c>
      <c r="EA142" s="59">
        <f t="shared" si="45"/>
        <v>857418.02</v>
      </c>
      <c r="EB142" s="59">
        <f t="shared" si="45"/>
        <v>866667.07000000007</v>
      </c>
      <c r="EC142" s="59">
        <f t="shared" si="45"/>
        <v>876080.43</v>
      </c>
      <c r="ED142" s="59">
        <f t="shared" si="45"/>
        <v>885133.46000000008</v>
      </c>
      <c r="EE142" s="59">
        <f t="shared" si="45"/>
        <v>894669.99000000011</v>
      </c>
      <c r="EF142" s="59">
        <f t="shared" si="45"/>
        <v>894669.99000000011</v>
      </c>
      <c r="EG142" s="59">
        <f t="shared" si="45"/>
        <v>894669.99000000011</v>
      </c>
      <c r="EH142" s="59">
        <f t="shared" si="45"/>
        <v>904234.55000000016</v>
      </c>
      <c r="EI142" s="59">
        <f t="shared" si="45"/>
        <v>913781.93000000017</v>
      </c>
      <c r="EJ142" s="59">
        <f t="shared" si="45"/>
        <v>922993.36000000022</v>
      </c>
      <c r="EK142" s="59">
        <f t="shared" si="45"/>
        <v>932304.90000000026</v>
      </c>
      <c r="EL142" s="59">
        <f t="shared" si="45"/>
        <v>941572.99000000022</v>
      </c>
      <c r="EM142" s="59">
        <f t="shared" si="45"/>
        <v>941572.99000000022</v>
      </c>
      <c r="EN142" s="59">
        <f t="shared" si="45"/>
        <v>941572.99000000022</v>
      </c>
      <c r="EO142" s="59">
        <f t="shared" si="45"/>
        <v>950822.73000000021</v>
      </c>
      <c r="EP142" s="59">
        <f t="shared" si="45"/>
        <v>959764.7100000002</v>
      </c>
      <c r="EQ142" s="59">
        <f t="shared" si="45"/>
        <v>969336.27000000025</v>
      </c>
      <c r="ER142" s="59">
        <f t="shared" si="45"/>
        <v>979003.64000000025</v>
      </c>
      <c r="ES142" s="59">
        <f t="shared" si="45"/>
        <v>988441.54000000027</v>
      </c>
      <c r="ET142" s="59">
        <f t="shared" si="45"/>
        <v>988441.54000000027</v>
      </c>
      <c r="EU142" s="59">
        <f t="shared" si="45"/>
        <v>988441.54000000027</v>
      </c>
      <c r="EV142" s="59">
        <f t="shared" si="45"/>
        <v>997494.09000000032</v>
      </c>
      <c r="EW142" s="59">
        <f t="shared" si="45"/>
        <v>1006439.0800000003</v>
      </c>
      <c r="EX142" s="59">
        <f t="shared" si="45"/>
        <v>1016438.1700000003</v>
      </c>
      <c r="EY142" s="59">
        <f t="shared" si="45"/>
        <v>1025910.9600000003</v>
      </c>
      <c r="EZ142" s="59">
        <f t="shared" si="45"/>
        <v>1035658.9500000003</v>
      </c>
      <c r="FA142" s="59">
        <f t="shared" si="45"/>
        <v>1035658.9500000003</v>
      </c>
      <c r="FB142" s="59">
        <f t="shared" si="45"/>
        <v>1035658.9500000003</v>
      </c>
      <c r="FC142" s="59">
        <f t="shared" si="45"/>
        <v>1044944.9400000003</v>
      </c>
      <c r="FD142" s="59">
        <f t="shared" si="45"/>
        <v>1054480.2500000002</v>
      </c>
      <c r="FE142" s="59">
        <f t="shared" si="45"/>
        <v>1064042.9300000002</v>
      </c>
      <c r="FF142" s="59">
        <f t="shared" si="45"/>
        <v>1073547.08</v>
      </c>
      <c r="FG142" s="59">
        <f t="shared" si="45"/>
        <v>1082941.8800000001</v>
      </c>
      <c r="FH142" s="59">
        <f t="shared" si="45"/>
        <v>1082941.8800000001</v>
      </c>
      <c r="FI142" s="59">
        <f t="shared" si="45"/>
        <v>1082941.8800000001</v>
      </c>
      <c r="FJ142" s="59">
        <f t="shared" si="45"/>
        <v>1092042.3500000001</v>
      </c>
      <c r="FK142" s="59">
        <f t="shared" si="45"/>
        <v>1101679.83</v>
      </c>
      <c r="FL142" s="59">
        <f t="shared" si="45"/>
        <v>1111339.54</v>
      </c>
      <c r="FM142" s="59">
        <f t="shared" si="45"/>
        <v>1120212.93</v>
      </c>
      <c r="FN142" s="59">
        <f t="shared" si="45"/>
        <v>1129534.92</v>
      </c>
      <c r="FO142" s="59">
        <f t="shared" si="45"/>
        <v>1129534.92</v>
      </c>
      <c r="FP142" s="59">
        <f t="shared" si="45"/>
        <v>1129534.92</v>
      </c>
      <c r="FQ142" s="59">
        <f t="shared" si="45"/>
        <v>1138819.74</v>
      </c>
      <c r="FR142" s="59">
        <f t="shared" si="45"/>
        <v>1148190.58</v>
      </c>
      <c r="FS142" s="59">
        <f t="shared" si="45"/>
        <v>1157012.9500000002</v>
      </c>
      <c r="FT142" s="59">
        <f t="shared" si="45"/>
        <v>1166122.2900000003</v>
      </c>
      <c r="FU142" s="59">
        <f t="shared" si="45"/>
        <v>1175794.1200000003</v>
      </c>
      <c r="FV142" s="59">
        <f t="shared" si="45"/>
        <v>1175794.1200000003</v>
      </c>
      <c r="FW142" s="59">
        <f t="shared" si="45"/>
        <v>1175794.1200000003</v>
      </c>
      <c r="FX142" s="59">
        <f t="shared" si="45"/>
        <v>1185152.6200000003</v>
      </c>
      <c r="FY142" s="59">
        <f t="shared" si="45"/>
        <v>1194059.1900000004</v>
      </c>
      <c r="FZ142" s="59">
        <f t="shared" si="45"/>
        <v>1203522.3600000003</v>
      </c>
      <c r="GA142" s="59">
        <f t="shared" si="45"/>
        <v>1212856.9800000004</v>
      </c>
      <c r="GB142" s="59">
        <f t="shared" si="45"/>
        <v>1221762.1100000003</v>
      </c>
      <c r="GC142" s="59">
        <f t="shared" si="45"/>
        <v>1221762.1100000003</v>
      </c>
      <c r="GD142" s="59">
        <f t="shared" si="45"/>
        <v>1221762.1100000003</v>
      </c>
      <c r="GE142" s="59">
        <f t="shared" si="45"/>
        <v>1231574.7300000004</v>
      </c>
      <c r="GF142" s="59">
        <f t="shared" si="45"/>
        <v>1241056.8300000005</v>
      </c>
      <c r="GG142" s="59">
        <f t="shared" si="45"/>
        <v>1250441.0700000005</v>
      </c>
      <c r="GH142" s="59">
        <f t="shared" si="45"/>
        <v>1259658.6100000006</v>
      </c>
      <c r="GI142" s="59">
        <f t="shared" si="45"/>
        <v>1269058.6600000006</v>
      </c>
      <c r="GJ142" s="59">
        <f t="shared" si="45"/>
        <v>1269058.6600000006</v>
      </c>
      <c r="GK142" s="59">
        <f t="shared" si="45"/>
        <v>1269058.6600000006</v>
      </c>
      <c r="GL142" s="59">
        <f t="shared" ref="GL142:IL142" si="46">GL83+GL141</f>
        <v>1277893.1100000006</v>
      </c>
      <c r="GM142" s="59">
        <f t="shared" si="46"/>
        <v>1287558.6600000006</v>
      </c>
      <c r="GN142" s="59">
        <f t="shared" si="46"/>
        <v>1297062.6900000006</v>
      </c>
      <c r="GO142" s="59">
        <f t="shared" si="46"/>
        <v>1306207.8900000006</v>
      </c>
      <c r="GP142" s="59">
        <f t="shared" si="46"/>
        <v>1315145.1700000006</v>
      </c>
      <c r="GQ142" s="59">
        <f t="shared" si="46"/>
        <v>1315145.1700000006</v>
      </c>
      <c r="GR142" s="59">
        <f t="shared" si="46"/>
        <v>1315145.1700000006</v>
      </c>
      <c r="GS142" s="59">
        <f t="shared" si="46"/>
        <v>1324307.9000000006</v>
      </c>
      <c r="GT142" s="59">
        <f t="shared" si="46"/>
        <v>1333437.3100000005</v>
      </c>
      <c r="GU142" s="59">
        <f t="shared" si="46"/>
        <v>1342577.7000000004</v>
      </c>
      <c r="GV142" s="59">
        <f t="shared" si="46"/>
        <v>1351765.6200000003</v>
      </c>
      <c r="GW142" s="59">
        <f t="shared" si="46"/>
        <v>1360810.6600000004</v>
      </c>
      <c r="GX142" s="59">
        <f t="shared" si="46"/>
        <v>1360810.6600000004</v>
      </c>
      <c r="GY142" s="59">
        <f t="shared" si="46"/>
        <v>1360810.6600000004</v>
      </c>
      <c r="GZ142" s="59">
        <f t="shared" si="46"/>
        <v>1370552.2800000005</v>
      </c>
      <c r="HA142" s="59">
        <f t="shared" si="46"/>
        <v>1379927.3000000005</v>
      </c>
      <c r="HB142" s="59">
        <f t="shared" si="46"/>
        <v>1389503.4200000006</v>
      </c>
      <c r="HC142" s="59">
        <f t="shared" si="46"/>
        <v>1398762.7200000007</v>
      </c>
      <c r="HD142" s="59">
        <f t="shared" si="46"/>
        <v>1408252.5700000008</v>
      </c>
      <c r="HE142" s="59">
        <f t="shared" si="46"/>
        <v>1408252.5700000008</v>
      </c>
      <c r="HF142" s="59">
        <f t="shared" si="46"/>
        <v>1408252.5700000008</v>
      </c>
      <c r="HG142" s="59">
        <f t="shared" si="46"/>
        <v>1417837.4400000009</v>
      </c>
      <c r="HH142" s="59">
        <f t="shared" si="46"/>
        <v>1426422.9200000009</v>
      </c>
      <c r="HI142" s="59">
        <f t="shared" si="46"/>
        <v>1435500.8700000008</v>
      </c>
      <c r="HJ142" s="59">
        <f t="shared" si="46"/>
        <v>1444708.4300000009</v>
      </c>
      <c r="HK142" s="59">
        <f t="shared" si="46"/>
        <v>1454070.6400000008</v>
      </c>
      <c r="HL142" s="59">
        <f t="shared" si="46"/>
        <v>1454070.6400000008</v>
      </c>
      <c r="HM142" s="59">
        <f t="shared" si="46"/>
        <v>1454070.6400000008</v>
      </c>
      <c r="HN142" s="59">
        <f t="shared" si="46"/>
        <v>1463476.6500000008</v>
      </c>
      <c r="HO142" s="59">
        <f t="shared" si="46"/>
        <v>1472694.2300000009</v>
      </c>
      <c r="HP142" s="59">
        <f t="shared" si="46"/>
        <v>1482621.7100000009</v>
      </c>
      <c r="HQ142" s="59">
        <f t="shared" si="46"/>
        <v>1492424.6100000008</v>
      </c>
      <c r="HR142" s="59">
        <f t="shared" si="46"/>
        <v>1501856.4400000009</v>
      </c>
      <c r="HS142" s="59">
        <f t="shared" si="46"/>
        <v>1501856.4400000009</v>
      </c>
      <c r="HT142" s="59">
        <f t="shared" si="46"/>
        <v>1501856.4400000009</v>
      </c>
      <c r="HU142" s="59">
        <f t="shared" si="46"/>
        <v>1511569.7500000009</v>
      </c>
      <c r="HV142" s="59">
        <f t="shared" si="46"/>
        <v>1520915.330000001</v>
      </c>
      <c r="HW142" s="59">
        <f t="shared" si="46"/>
        <v>1529719.3900000011</v>
      </c>
      <c r="HX142" s="59">
        <f t="shared" si="46"/>
        <v>1539066.360000001</v>
      </c>
      <c r="HY142" s="59">
        <f t="shared" si="46"/>
        <v>1548955.7500000009</v>
      </c>
      <c r="HZ142" s="59">
        <f t="shared" si="46"/>
        <v>1548955.7500000009</v>
      </c>
      <c r="IA142" s="59">
        <f t="shared" si="46"/>
        <v>1548955.7500000009</v>
      </c>
      <c r="IB142" s="59">
        <f t="shared" si="46"/>
        <v>1558417.120000001</v>
      </c>
      <c r="IC142" s="59">
        <f t="shared" si="46"/>
        <v>1567634.7700000009</v>
      </c>
      <c r="ID142" s="59">
        <f t="shared" si="46"/>
        <v>1576504.590000001</v>
      </c>
      <c r="IE142" s="59">
        <f t="shared" si="46"/>
        <v>1585812.570000001</v>
      </c>
      <c r="IF142" s="59">
        <f t="shared" si="46"/>
        <v>1595085.2100000009</v>
      </c>
      <c r="IG142" s="59">
        <f t="shared" si="46"/>
        <v>1595085.2100000009</v>
      </c>
      <c r="IH142" s="59">
        <f t="shared" si="46"/>
        <v>1595085.2100000009</v>
      </c>
      <c r="II142" s="59">
        <f t="shared" si="46"/>
        <v>1604344.3400000008</v>
      </c>
      <c r="IJ142" s="59">
        <f t="shared" si="46"/>
        <v>1613458.8400000008</v>
      </c>
      <c r="IK142" s="59">
        <f t="shared" si="46"/>
        <v>1622793.8100000008</v>
      </c>
      <c r="IL142" s="59">
        <f t="shared" si="46"/>
        <v>1632079.2900000007</v>
      </c>
    </row>
  </sheetData>
  <mergeCells count="4">
    <mergeCell ref="A1:N1"/>
    <mergeCell ref="A12:N12"/>
    <mergeCell ref="A18:Z18"/>
    <mergeCell ref="A81:Z8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BBF5-0BEF-4DEA-9A76-3E262377FFE8}">
  <dimension ref="B2:J30"/>
  <sheetViews>
    <sheetView topLeftCell="A13" workbookViewId="0">
      <selection activeCell="C37" sqref="C37"/>
    </sheetView>
  </sheetViews>
  <sheetFormatPr defaultRowHeight="14.4" x14ac:dyDescent="0.3"/>
  <cols>
    <col min="1" max="1" width="2.77734375" customWidth="1"/>
    <col min="2" max="2" width="24.109375" customWidth="1"/>
    <col min="3" max="6" width="22.21875" customWidth="1"/>
    <col min="7" max="7" width="2.77734375" customWidth="1"/>
    <col min="8" max="8" width="33.33203125" customWidth="1"/>
    <col min="9" max="9" width="20.33203125" customWidth="1"/>
    <col min="10" max="10" width="13" customWidth="1"/>
  </cols>
  <sheetData>
    <row r="2" spans="2:10" ht="45" customHeight="1" x14ac:dyDescent="0.5">
      <c r="B2" s="69" t="s">
        <v>70</v>
      </c>
      <c r="C2" s="69"/>
      <c r="D2" s="69"/>
      <c r="E2" s="69"/>
      <c r="F2" s="69"/>
      <c r="G2" s="69"/>
      <c r="H2" s="69"/>
      <c r="I2" s="69"/>
      <c r="J2" s="69"/>
    </row>
    <row r="4" spans="2:10" x14ac:dyDescent="0.3">
      <c r="B4" s="70" t="s">
        <v>71</v>
      </c>
      <c r="C4" s="70"/>
      <c r="D4" s="70"/>
      <c r="E4" s="70"/>
    </row>
    <row r="5" spans="2:10" x14ac:dyDescent="0.3">
      <c r="B5" s="19" t="s">
        <v>72</v>
      </c>
      <c r="C5" s="19" t="s">
        <v>73</v>
      </c>
      <c r="D5" s="19" t="s">
        <v>0</v>
      </c>
      <c r="E5" s="19" t="s">
        <v>30</v>
      </c>
    </row>
    <row r="6" spans="2:10" x14ac:dyDescent="0.3">
      <c r="B6" s="21">
        <f ca="1">DATE(YEAR(TODAY()),1,1)</f>
        <v>46023</v>
      </c>
      <c r="C6" s="21">
        <f ca="1">DATE(YEAR(TODAY()),12,1)</f>
        <v>46357</v>
      </c>
      <c r="D6" s="20" t="s">
        <v>74</v>
      </c>
      <c r="E6" s="20" t="s">
        <v>75</v>
      </c>
    </row>
    <row r="8" spans="2:10" ht="34.950000000000003" customHeight="1" x14ac:dyDescent="0.3">
      <c r="B8" s="22" t="s">
        <v>76</v>
      </c>
      <c r="C8" s="23" t="s">
        <v>77</v>
      </c>
      <c r="D8" s="24" t="s">
        <v>78</v>
      </c>
      <c r="E8" s="25" t="s">
        <v>79</v>
      </c>
    </row>
    <row r="9" spans="2:10" ht="34.950000000000003" customHeight="1" x14ac:dyDescent="0.4">
      <c r="B9" s="35">
        <f ca="1">SUMIFS(Lançamentos!$F:$F,Lançamentos!$J:$J,"&gt;="&amp;$B$6,Lançamentos!$J:$J,"&lt;="&amp;$C$6,Lançamentos!$C:$C,IF($D$6="Todas","*",$D$6),Lançamentos!$I:$I,IF($E$6="Todos","*",$E$6))</f>
        <v>48000</v>
      </c>
      <c r="C9" s="36">
        <f ca="1">SUMIFS(Lançamentos!$G:$G,Lançamentos!$J:$J,"&gt;="&amp;$B$6,Lançamentos!$J:$J,"&lt;="&amp;$C$6,Lançamentos!$C:$C,IF($D$6="Todas","*",$D$6),Lançamentos!$I:$I,IF($E$6="Todos","*",$E$6))</f>
        <v>15500</v>
      </c>
      <c r="D9" s="37">
        <f ca="1">B9-C9</f>
        <v>32500</v>
      </c>
      <c r="E9" s="38">
        <f ca="1">SUM(Categorias!F2:F4)+SUMIFS(Lançamentos!$F:$F,Lançamentos!$J:$J,"&lt;="&amp;$C$6)-SUMIFS(Lançamentos!$G:$G,Lançamentos!$J:$J,"&lt;="&amp;$C$6)</f>
        <v>32500</v>
      </c>
    </row>
    <row r="11" spans="2:10" x14ac:dyDescent="0.3">
      <c r="B11" s="70" t="s">
        <v>80</v>
      </c>
      <c r="C11" s="70"/>
      <c r="D11" s="70"/>
      <c r="E11" s="70"/>
      <c r="F11" s="70"/>
      <c r="H11" s="71" t="s">
        <v>85</v>
      </c>
      <c r="I11" s="71"/>
      <c r="J11" s="71"/>
    </row>
    <row r="12" spans="2:10" x14ac:dyDescent="0.3">
      <c r="B12" s="19" t="s">
        <v>40</v>
      </c>
      <c r="C12" s="19" t="s">
        <v>81</v>
      </c>
      <c r="D12" s="19" t="s">
        <v>82</v>
      </c>
      <c r="E12" s="19" t="s">
        <v>83</v>
      </c>
      <c r="F12" s="19" t="s">
        <v>84</v>
      </c>
      <c r="H12" s="28" t="s">
        <v>0</v>
      </c>
      <c r="I12" s="28" t="s">
        <v>39</v>
      </c>
      <c r="J12" s="28" t="s">
        <v>86</v>
      </c>
    </row>
    <row r="13" spans="2:10" x14ac:dyDescent="0.3">
      <c r="B13" s="26">
        <f ca="1">IF(EDATE($B$6,0)&lt;=$C$6,EDATE($B$6,0),"")</f>
        <v>46023</v>
      </c>
      <c r="C13" s="39">
        <f ca="1">IF(B13="","",SUMIFS(Lançamentos!$F:$F,Lançamentos!$J:$J,B13,Lançamentos!$C:$C,IF($D$6="Todas","*",$D$6),Lançamentos!$I:$I,IF($E$6="Todos","*",$E$6)))</f>
        <v>15000</v>
      </c>
      <c r="D13" s="39">
        <f ca="1">IF(B13="","",SUMIFS(Lançamentos!$G:$G,Lançamentos!$J:$J,B13,Lançamentos!$C:$C,IF($D$6="Todas","*",$D$6),Lançamentos!$I:$I,IF($E$6="Todos","*",$E$6)))</f>
        <v>3500</v>
      </c>
      <c r="E13" s="39">
        <f t="shared" ref="E13:E24" ca="1" si="0">IF(B13="","",C13-D13)</f>
        <v>11500</v>
      </c>
      <c r="F13" s="39">
        <f ca="1">IF(B13="","",SUM(Categorias!F2:F4)+E13)</f>
        <v>11500</v>
      </c>
      <c r="H13" t="s">
        <v>8</v>
      </c>
      <c r="I13" s="39">
        <f ca="1">SUMIFS(Lançamentos!$G:$G,Lançamentos!$J:$J,"&gt;="&amp;$B$6,Lançamentos!$J:$J,"&lt;="&amp;$C$6,Lançamentos!$C:$C,H13,Lançamentos!$I:$I,IF($E$6="Todos","*",$E$6))</f>
        <v>0</v>
      </c>
      <c r="J13" s="34">
        <f t="shared" ref="J13:J24" ca="1" si="1">IFERROR(I13/SUM($I$13:$I$24),0)</f>
        <v>0</v>
      </c>
    </row>
    <row r="14" spans="2:10" x14ac:dyDescent="0.3">
      <c r="B14" s="26">
        <f ca="1">IF(EDATE($B$6,1)&lt;=$C$6,EDATE($B$6,1),"")</f>
        <v>46054</v>
      </c>
      <c r="C14" s="39">
        <f ca="1">IF(B14="","",SUMIFS(Lançamentos!$F:$F,Lançamentos!$J:$J,B14,Lançamentos!$C:$C,IF($D$6="Todas","*",$D$6),Lançamentos!$I:$I,IF($E$6="Todos","*",$E$6)))</f>
        <v>8000</v>
      </c>
      <c r="D14" s="39">
        <f ca="1">IF(B14="","",SUMIFS(Lançamentos!$G:$G,Lançamentos!$J:$J,B14,Lançamentos!$C:$C,IF($D$6="Todas","*",$D$6),Lançamentos!$I:$I,IF($E$6="Todos","*",$E$6)))</f>
        <v>12000</v>
      </c>
      <c r="E14" s="39">
        <f t="shared" ca="1" si="0"/>
        <v>-4000</v>
      </c>
      <c r="F14" s="39">
        <f t="shared" ref="F14:F24" ca="1" si="2">IF(B14="","",F13+E14)</f>
        <v>7500</v>
      </c>
      <c r="H14" t="s">
        <v>11</v>
      </c>
      <c r="I14" s="39">
        <f ca="1">SUMIFS(Lançamentos!$G:$G,Lançamentos!$J:$J,"&gt;="&amp;$B$6,Lançamentos!$J:$J,"&lt;="&amp;$C$6,Lançamentos!$C:$C,H14,Lançamentos!$I:$I,IF($E$6="Todos","*",$E$6))</f>
        <v>0</v>
      </c>
      <c r="J14" s="34">
        <f t="shared" ca="1" si="1"/>
        <v>0</v>
      </c>
    </row>
    <row r="15" spans="2:10" x14ac:dyDescent="0.3">
      <c r="B15" s="26">
        <f ca="1">IF(EDATE($B$6,2)&lt;=$C$6,EDATE($B$6,2),"")</f>
        <v>46082</v>
      </c>
      <c r="C15" s="39">
        <f ca="1">IF(B15="","",SUMIFS(Lançamentos!$F:$F,Lançamentos!$J:$J,B15,Lançamentos!$C:$C,IF($D$6="Todas","*",$D$6),Lançamentos!$I:$I,IF($E$6="Todos","*",$E$6)))</f>
        <v>0</v>
      </c>
      <c r="D15" s="39">
        <f ca="1">IF(B15="","",SUMIFS(Lançamentos!$G:$G,Lançamentos!$J:$J,B15,Lançamentos!$C:$C,IF($D$6="Todas","*",$D$6),Lançamentos!$I:$I,IF($E$6="Todos","*",$E$6)))</f>
        <v>0</v>
      </c>
      <c r="E15" s="39">
        <f t="shared" ca="1" si="0"/>
        <v>0</v>
      </c>
      <c r="F15" s="39">
        <f t="shared" ca="1" si="2"/>
        <v>7500</v>
      </c>
      <c r="H15" t="s">
        <v>12</v>
      </c>
      <c r="I15" s="39">
        <f ca="1">SUMIFS(Lançamentos!$G:$G,Lançamentos!$J:$J,"&gt;="&amp;$B$6,Lançamentos!$J:$J,"&lt;="&amp;$C$6,Lançamentos!$C:$C,H15,Lançamentos!$I:$I,IF($E$6="Todos","*",$E$6))</f>
        <v>0</v>
      </c>
      <c r="J15" s="34">
        <f t="shared" ca="1" si="1"/>
        <v>0</v>
      </c>
    </row>
    <row r="16" spans="2:10" x14ac:dyDescent="0.3">
      <c r="B16" s="26">
        <f ca="1">IF(EDATE($B$6,3)&lt;=$C$6,EDATE($B$6,3),"")</f>
        <v>46113</v>
      </c>
      <c r="C16" s="39">
        <f ca="1">IF(B16="","",SUMIFS(Lançamentos!$F:$F,Lançamentos!$J:$J,B16,Lançamentos!$C:$C,IF($D$6="Todas","*",$D$6),Lançamentos!$I:$I,IF($E$6="Todos","*",$E$6)))</f>
        <v>0</v>
      </c>
      <c r="D16" s="39">
        <f ca="1">IF(B16="","",SUMIFS(Lançamentos!$G:$G,Lançamentos!$J:$J,B16,Lançamentos!$C:$C,IF($D$6="Todas","*",$D$6),Lançamentos!$I:$I,IF($E$6="Todos","*",$E$6)))</f>
        <v>0</v>
      </c>
      <c r="E16" s="39">
        <f t="shared" ca="1" si="0"/>
        <v>0</v>
      </c>
      <c r="F16" s="39">
        <f t="shared" ca="1" si="2"/>
        <v>7500</v>
      </c>
      <c r="H16" t="s">
        <v>14</v>
      </c>
      <c r="I16" s="39">
        <f ca="1">SUMIFS(Lançamentos!$G:$G,Lançamentos!$J:$J,"&gt;="&amp;$B$6,Lançamentos!$J:$J,"&lt;="&amp;$C$6,Lançamentos!$C:$C,H16,Lançamentos!$I:$I,IF($E$6="Todos","*",$E$6))</f>
        <v>0</v>
      </c>
      <c r="J16" s="34">
        <f t="shared" ca="1" si="1"/>
        <v>0</v>
      </c>
    </row>
    <row r="17" spans="2:10" x14ac:dyDescent="0.3">
      <c r="B17" s="26">
        <f ca="1">IF(EDATE($B$6,4)&lt;=$C$6,EDATE($B$6,4),"")</f>
        <v>46143</v>
      </c>
      <c r="C17" s="39">
        <f ca="1">IF(B17="","",SUMIFS(Lançamentos!$F:$F,Lançamentos!$J:$J,B17,Lançamentos!$C:$C,IF($D$6="Todas","*",$D$6),Lançamentos!$I:$I,IF($E$6="Todos","*",$E$6)))</f>
        <v>25000</v>
      </c>
      <c r="D17" s="39">
        <f ca="1">IF(B17="","",SUMIFS(Lançamentos!$G:$G,Lançamentos!$J:$J,B17,Lançamentos!$C:$C,IF($D$6="Todas","*",$D$6),Lançamentos!$I:$I,IF($E$6="Todos","*",$E$6)))</f>
        <v>0</v>
      </c>
      <c r="E17" s="39">
        <f t="shared" ca="1" si="0"/>
        <v>25000</v>
      </c>
      <c r="F17" s="39">
        <f t="shared" ca="1" si="2"/>
        <v>32500</v>
      </c>
      <c r="H17" t="s">
        <v>15</v>
      </c>
      <c r="I17" s="39">
        <f ca="1">SUMIFS(Lançamentos!$G:$G,Lançamentos!$J:$J,"&gt;="&amp;$B$6,Lançamentos!$J:$J,"&lt;="&amp;$C$6,Lançamentos!$C:$C,H17,Lançamentos!$I:$I,IF($E$6="Todos","*",$E$6))</f>
        <v>12000</v>
      </c>
      <c r="J17" s="34">
        <f t="shared" ca="1" si="1"/>
        <v>0.77419354838709675</v>
      </c>
    </row>
    <row r="18" spans="2:10" x14ac:dyDescent="0.3">
      <c r="B18" s="26">
        <f ca="1">IF(EDATE($B$6,5)&lt;=$C$6,EDATE($B$6,5),"")</f>
        <v>46174</v>
      </c>
      <c r="C18" s="39">
        <f ca="1">IF(B18="","",SUMIFS(Lançamentos!$F:$F,Lançamentos!$J:$J,B18,Lançamentos!$C:$C,IF($D$6="Todas","*",$D$6),Lançamentos!$I:$I,IF($E$6="Todos","*",$E$6)))</f>
        <v>0</v>
      </c>
      <c r="D18" s="39">
        <f ca="1">IF(B18="","",SUMIFS(Lançamentos!$G:$G,Lançamentos!$J:$J,B18,Lançamentos!$C:$C,IF($D$6="Todas","*",$D$6),Lançamentos!$I:$I,IF($E$6="Todos","*",$E$6)))</f>
        <v>0</v>
      </c>
      <c r="E18" s="39">
        <f t="shared" ca="1" si="0"/>
        <v>0</v>
      </c>
      <c r="F18" s="39">
        <f t="shared" ca="1" si="2"/>
        <v>32500</v>
      </c>
      <c r="H18" t="s">
        <v>17</v>
      </c>
      <c r="I18" s="39">
        <f ca="1">SUMIFS(Lançamentos!$G:$G,Lançamentos!$J:$J,"&gt;="&amp;$B$6,Lançamentos!$J:$J,"&lt;="&amp;$C$6,Lançamentos!$C:$C,H18,Lançamentos!$I:$I,IF($E$6="Todos","*",$E$6))</f>
        <v>3500</v>
      </c>
      <c r="J18" s="34">
        <f t="shared" ca="1" si="1"/>
        <v>0.22580645161290322</v>
      </c>
    </row>
    <row r="19" spans="2:10" x14ac:dyDescent="0.3">
      <c r="B19" s="26">
        <f ca="1">IF(EDATE($B$6,6)&lt;=$C$6,EDATE($B$6,6),"")</f>
        <v>46204</v>
      </c>
      <c r="C19" s="39">
        <f ca="1">IF(B19="","",SUMIFS(Lançamentos!$F:$F,Lançamentos!$J:$J,B19,Lançamentos!$C:$C,IF($D$6="Todas","*",$D$6),Lançamentos!$I:$I,IF($E$6="Todos","*",$E$6)))</f>
        <v>0</v>
      </c>
      <c r="D19" s="39">
        <f ca="1">IF(B19="","",SUMIFS(Lançamentos!$G:$G,Lançamentos!$J:$J,B19,Lançamentos!$C:$C,IF($D$6="Todas","*",$D$6),Lançamentos!$I:$I,IF($E$6="Todos","*",$E$6)))</f>
        <v>0</v>
      </c>
      <c r="E19" s="39">
        <f t="shared" ca="1" si="0"/>
        <v>0</v>
      </c>
      <c r="F19" s="39">
        <f t="shared" ca="1" si="2"/>
        <v>32500</v>
      </c>
      <c r="H19" t="s">
        <v>18</v>
      </c>
      <c r="I19" s="39">
        <f ca="1">SUMIFS(Lançamentos!$G:$G,Lançamentos!$J:$J,"&gt;="&amp;$B$6,Lançamentos!$J:$J,"&lt;="&amp;$C$6,Lançamentos!$C:$C,H19,Lançamentos!$I:$I,IF($E$6="Todos","*",$E$6))</f>
        <v>0</v>
      </c>
      <c r="J19" s="34">
        <f t="shared" ca="1" si="1"/>
        <v>0</v>
      </c>
    </row>
    <row r="20" spans="2:10" x14ac:dyDescent="0.3">
      <c r="B20" s="26">
        <f ca="1">IF(EDATE($B$6,7)&lt;=$C$6,EDATE($B$6,7),"")</f>
        <v>46235</v>
      </c>
      <c r="C20" s="39">
        <f ca="1">IF(B20="","",SUMIFS(Lançamentos!$F:$F,Lançamentos!$J:$J,B20,Lançamentos!$C:$C,IF($D$6="Todas","*",$D$6),Lançamentos!$I:$I,IF($E$6="Todos","*",$E$6)))</f>
        <v>0</v>
      </c>
      <c r="D20" s="39">
        <f ca="1">IF(B20="","",SUMIFS(Lançamentos!$G:$G,Lançamentos!$J:$J,B20,Lançamentos!$C:$C,IF($D$6="Todas","*",$D$6),Lançamentos!$I:$I,IF($E$6="Todos","*",$E$6)))</f>
        <v>0</v>
      </c>
      <c r="E20" s="39">
        <f t="shared" ca="1" si="0"/>
        <v>0</v>
      </c>
      <c r="F20" s="39">
        <f t="shared" ca="1" si="2"/>
        <v>32500</v>
      </c>
      <c r="H20" t="s">
        <v>19</v>
      </c>
      <c r="I20" s="39">
        <f ca="1">SUMIFS(Lançamentos!$G:$G,Lançamentos!$J:$J,"&gt;="&amp;$B$6,Lançamentos!$J:$J,"&lt;="&amp;$C$6,Lançamentos!$C:$C,H20,Lançamentos!$I:$I,IF($E$6="Todos","*",$E$6))</f>
        <v>0</v>
      </c>
      <c r="J20" s="34">
        <f t="shared" ca="1" si="1"/>
        <v>0</v>
      </c>
    </row>
    <row r="21" spans="2:10" x14ac:dyDescent="0.3">
      <c r="B21" s="26">
        <f ca="1">IF(EDATE($B$6,8)&lt;=$C$6,EDATE($B$6,8),"")</f>
        <v>46266</v>
      </c>
      <c r="C21" s="39">
        <f ca="1">IF(B21="","",SUMIFS(Lançamentos!$F:$F,Lançamentos!$J:$J,B21,Lançamentos!$C:$C,IF($D$6="Todas","*",$D$6),Lançamentos!$I:$I,IF($E$6="Todos","*",$E$6)))</f>
        <v>0</v>
      </c>
      <c r="D21" s="39">
        <f ca="1">IF(B21="","",SUMIFS(Lançamentos!$G:$G,Lançamentos!$J:$J,B21,Lançamentos!$C:$C,IF($D$6="Todas","*",$D$6),Lançamentos!$I:$I,IF($E$6="Todos","*",$E$6)))</f>
        <v>0</v>
      </c>
      <c r="E21" s="39">
        <f t="shared" ca="1" si="0"/>
        <v>0</v>
      </c>
      <c r="F21" s="39">
        <f t="shared" ca="1" si="2"/>
        <v>32500</v>
      </c>
      <c r="H21" t="s">
        <v>20</v>
      </c>
      <c r="I21" s="39">
        <f ca="1">SUMIFS(Lançamentos!$G:$G,Lançamentos!$J:$J,"&gt;="&amp;$B$6,Lançamentos!$J:$J,"&lt;="&amp;$C$6,Lançamentos!$C:$C,H21,Lançamentos!$I:$I,IF($E$6="Todos","*",$E$6))</f>
        <v>0</v>
      </c>
      <c r="J21" s="34">
        <f t="shared" ca="1" si="1"/>
        <v>0</v>
      </c>
    </row>
    <row r="22" spans="2:10" x14ac:dyDescent="0.3">
      <c r="B22" s="26">
        <f ca="1">IF(EDATE($B$6,9)&lt;=$C$6,EDATE($B$6,9),"")</f>
        <v>46296</v>
      </c>
      <c r="C22" s="39">
        <f ca="1">IF(B22="","",SUMIFS(Lançamentos!$F:$F,Lançamentos!$J:$J,B22,Lançamentos!$C:$C,IF($D$6="Todas","*",$D$6),Lançamentos!$I:$I,IF($E$6="Todos","*",$E$6)))</f>
        <v>0</v>
      </c>
      <c r="D22" s="39">
        <f ca="1">IF(B22="","",SUMIFS(Lançamentos!$G:$G,Lançamentos!$J:$J,B22,Lançamentos!$C:$C,IF($D$6="Todas","*",$D$6),Lançamentos!$I:$I,IF($E$6="Todos","*",$E$6)))</f>
        <v>0</v>
      </c>
      <c r="E22" s="39">
        <f t="shared" ca="1" si="0"/>
        <v>0</v>
      </c>
      <c r="F22" s="39">
        <f t="shared" ca="1" si="2"/>
        <v>32500</v>
      </c>
      <c r="H22" t="s">
        <v>21</v>
      </c>
      <c r="I22" s="39">
        <f ca="1">SUMIFS(Lançamentos!$G:$G,Lançamentos!$J:$J,"&gt;="&amp;$B$6,Lançamentos!$J:$J,"&lt;="&amp;$C$6,Lançamentos!$C:$C,H22,Lançamentos!$I:$I,IF($E$6="Todos","*",$E$6))</f>
        <v>0</v>
      </c>
      <c r="J22" s="34">
        <f t="shared" ca="1" si="1"/>
        <v>0</v>
      </c>
    </row>
    <row r="23" spans="2:10" x14ac:dyDescent="0.3">
      <c r="B23" s="26">
        <f ca="1">IF(EDATE($B$6,10)&lt;=$C$6,EDATE($B$6,10),"")</f>
        <v>46327</v>
      </c>
      <c r="C23" s="39">
        <f ca="1">IF(B23="","",SUMIFS(Lançamentos!$F:$F,Lançamentos!$J:$J,B23,Lançamentos!$C:$C,IF($D$6="Todas","*",$D$6),Lançamentos!$I:$I,IF($E$6="Todos","*",$E$6)))</f>
        <v>0</v>
      </c>
      <c r="D23" s="39">
        <f ca="1">IF(B23="","",SUMIFS(Lançamentos!$G:$G,Lançamentos!$J:$J,B23,Lançamentos!$C:$C,IF($D$6="Todas","*",$D$6),Lançamentos!$I:$I,IF($E$6="Todos","*",$E$6)))</f>
        <v>0</v>
      </c>
      <c r="E23" s="39">
        <f t="shared" ca="1" si="0"/>
        <v>0</v>
      </c>
      <c r="F23" s="39">
        <f t="shared" ca="1" si="2"/>
        <v>32500</v>
      </c>
      <c r="H23" t="s">
        <v>22</v>
      </c>
      <c r="I23" s="39">
        <f ca="1">SUMIFS(Lançamentos!$G:$G,Lançamentos!$J:$J,"&gt;="&amp;$B$6,Lançamentos!$J:$J,"&lt;="&amp;$C$6,Lançamentos!$C:$C,H23,Lançamentos!$I:$I,IF($E$6="Todos","*",$E$6))</f>
        <v>0</v>
      </c>
      <c r="J23" s="34">
        <f t="shared" ca="1" si="1"/>
        <v>0</v>
      </c>
    </row>
    <row r="24" spans="2:10" x14ac:dyDescent="0.3">
      <c r="B24" s="26">
        <f ca="1">IF(EDATE($B$6,11)&lt;=$C$6,EDATE($B$6,11),"")</f>
        <v>46357</v>
      </c>
      <c r="C24" s="39">
        <f ca="1">IF(B24="","",SUMIFS(Lançamentos!$F:$F,Lançamentos!$J:$J,B24,Lançamentos!$C:$C,IF($D$6="Todas","*",$D$6),Lançamentos!$I:$I,IF($E$6="Todos","*",$E$6)))</f>
        <v>0</v>
      </c>
      <c r="D24" s="39">
        <f ca="1">IF(B24="","",SUMIFS(Lançamentos!$G:$G,Lançamentos!$J:$J,B24,Lançamentos!$C:$C,IF($D$6="Todas","*",$D$6),Lançamentos!$I:$I,IF($E$6="Todos","*",$E$6)))</f>
        <v>0</v>
      </c>
      <c r="E24" s="39">
        <f t="shared" ca="1" si="0"/>
        <v>0</v>
      </c>
      <c r="F24" s="39">
        <f t="shared" ca="1" si="2"/>
        <v>32500</v>
      </c>
      <c r="H24" t="s">
        <v>23</v>
      </c>
      <c r="I24" s="39">
        <f ca="1">SUMIFS(Lançamentos!$G:$G,Lançamentos!$J:$J,"&gt;="&amp;$B$6,Lançamentos!$J:$J,"&lt;="&amp;$C$6,Lançamentos!$C:$C,H24,Lançamentos!$I:$I,IF($E$6="Todos","*",$E$6))</f>
        <v>0</v>
      </c>
      <c r="J24" s="34">
        <f t="shared" ca="1" si="1"/>
        <v>0</v>
      </c>
    </row>
    <row r="25" spans="2:10" x14ac:dyDescent="0.3">
      <c r="H25" s="72" t="s">
        <v>87</v>
      </c>
      <c r="I25" s="72"/>
      <c r="J25" s="72"/>
    </row>
    <row r="26" spans="2:10" x14ac:dyDescent="0.3">
      <c r="H26" s="33" t="s">
        <v>0</v>
      </c>
      <c r="I26" s="33" t="s">
        <v>39</v>
      </c>
      <c r="J26" s="33" t="s">
        <v>86</v>
      </c>
    </row>
    <row r="27" spans="2:10" x14ac:dyDescent="0.3">
      <c r="H27" t="s">
        <v>3</v>
      </c>
      <c r="I27" s="39">
        <f ca="1">SUMIFS(Lançamentos!$F:$F,Lançamentos!$J:$J,"&gt;="&amp;$B$6,Lançamentos!$J:$J,"&lt;="&amp;$C$6,Lançamentos!$C:$C,H27,Lançamentos!$I:$I,IF($E$6="Todos","*",$E$6))</f>
        <v>15000</v>
      </c>
      <c r="J27" s="34">
        <f ca="1">IFERROR(I27/SUM($I$27:$I$30),0)</f>
        <v>0.3125</v>
      </c>
    </row>
    <row r="28" spans="2:10" x14ac:dyDescent="0.3">
      <c r="H28" t="s">
        <v>6</v>
      </c>
      <c r="I28" s="39">
        <f ca="1">SUMIFS(Lançamentos!$F:$F,Lançamentos!$J:$J,"&gt;="&amp;$B$6,Lançamentos!$J:$J,"&lt;="&amp;$C$6,Lançamentos!$C:$C,H28,Lançamentos!$I:$I,IF($E$6="Todos","*",$E$6))</f>
        <v>33000</v>
      </c>
      <c r="J28" s="34">
        <f ca="1">IFERROR(I28/SUM($I$27:$I$30),0)</f>
        <v>0.6875</v>
      </c>
    </row>
    <row r="29" spans="2:10" x14ac:dyDescent="0.3">
      <c r="H29" t="s">
        <v>7</v>
      </c>
      <c r="I29" s="39">
        <f ca="1">SUMIFS(Lançamentos!$F:$F,Lançamentos!$J:$J,"&gt;="&amp;$B$6,Lançamentos!$J:$J,"&lt;="&amp;$C$6,Lançamentos!$C:$C,H29,Lançamentos!$I:$I,IF($E$6="Todos","*",$E$6))</f>
        <v>0</v>
      </c>
      <c r="J29" s="34">
        <f ca="1">IFERROR(I29/SUM($I$27:$I$30),0)</f>
        <v>0</v>
      </c>
    </row>
    <row r="30" spans="2:10" x14ac:dyDescent="0.3">
      <c r="H30" t="s">
        <v>27</v>
      </c>
      <c r="I30" s="39">
        <f ca="1">SUMIFS(Lançamentos!$F:$F,Lançamentos!$J:$J,"&gt;="&amp;$B$6,Lançamentos!$J:$J,"&lt;="&amp;$C$6,Lançamentos!$C:$C,H30,Lançamentos!$I:$I,IF($E$6="Todos","*",$E$6))</f>
        <v>0</v>
      </c>
      <c r="J30" s="34">
        <f ca="1">IFERROR(I30/SUM($I$27:$I$30),0)</f>
        <v>0</v>
      </c>
    </row>
  </sheetData>
  <mergeCells count="5">
    <mergeCell ref="B2:J2"/>
    <mergeCell ref="B4:E4"/>
    <mergeCell ref="B11:F11"/>
    <mergeCell ref="H11:J11"/>
    <mergeCell ref="H25:J25"/>
  </mergeCells>
  <dataValidations disablePrompts="1" count="2">
    <dataValidation type="list" allowBlank="1" showInputMessage="1" showErrorMessage="1" sqref="D6" xr:uid="{5F6B6C61-E8EC-47A8-BF05-B81F43C5B0F3}">
      <mc:AlternateContent xmlns:x12ac="http://schemas.microsoft.com/office/spreadsheetml/2011/1/ac" xmlns:mc="http://schemas.openxmlformats.org/markup-compatibility/2006">
        <mc:Choice Requires="x12ac">
          <x12ac:list>"Todas;Vendas de Produtos;Vendas de Serviços;Outras Receitas;Impostos sobre Vendas;Devoluções;Custo de Mercadoria Vendida;Custo de Serviços Prestados;Salários e Encargos;Aluguel;""Água; Luz e Internet"";Material de Escritório;Marketing e Publicidade;Manutenção;Transporte e Viagens;Serviços de Terceiros;Juros e Tarifas Bancárias;Empréstimos e Financiamentos;Receitas Financeiras;Impostos sobre Lucro"</x12ac:list>
        </mc:Choice>
        <mc:Fallback>
          <formula1>_xlfn._LONGTEXT("Todas;Vendas de Produtos;Vendas de Serviços;Outras Receitas;Impostos sobre Vendas;Devoluções;Custo de Mercadoria Vendida;Custo de Serviços Prestados;Salários e Encargos;Aluguel;""Água; Luz e Internet"";Material de Escritório;Marketing e Publicidade;Manutenç","ão;Transporte e Viagens;Serviços de Terceiros;Juros e Tarifas Bancárias;Empréstimos e Financiamentos;Receitas Financeiras;Impostos sobre Lucro")</formula1>
        </mc:Fallback>
      </mc:AlternateContent>
    </dataValidation>
    <dataValidation type="list" allowBlank="1" showInputMessage="1" showErrorMessage="1" sqref="E6" xr:uid="{E5541140-F358-433A-9DE0-AB8B382DAACD}">
      <formula1>"Todos,Banco do Brasil,Itaú,Caixa"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3B27-F288-4FBD-8AA2-103C487AD93D}">
  <dimension ref="A2:M67"/>
  <sheetViews>
    <sheetView topLeftCell="F1" workbookViewId="0">
      <selection activeCell="O9" sqref="O9"/>
    </sheetView>
  </sheetViews>
  <sheetFormatPr defaultRowHeight="14.4" x14ac:dyDescent="0.3"/>
  <cols>
    <col min="1" max="1" width="18.5546875" customWidth="1"/>
    <col min="2" max="2" width="20.33203125" customWidth="1"/>
    <col min="3" max="8" width="24.109375" customWidth="1"/>
    <col min="10" max="10" width="37" customWidth="1"/>
    <col min="11" max="13" width="20.33203125" customWidth="1"/>
  </cols>
  <sheetData>
    <row r="2" spans="1:13" ht="25.8" x14ac:dyDescent="0.5">
      <c r="B2" s="69" t="s">
        <v>139</v>
      </c>
      <c r="C2" s="69"/>
      <c r="D2" s="69"/>
      <c r="E2" s="69"/>
      <c r="F2" s="69"/>
      <c r="G2" s="69"/>
      <c r="H2" s="69"/>
    </row>
    <row r="4" spans="1:13" x14ac:dyDescent="0.3">
      <c r="B4" s="70" t="s">
        <v>71</v>
      </c>
      <c r="C4" s="70"/>
      <c r="D4" s="70"/>
      <c r="E4" s="70"/>
      <c r="J4" s="70" t="s">
        <v>155</v>
      </c>
      <c r="K4" s="77"/>
      <c r="L4" s="77"/>
      <c r="M4" s="77"/>
    </row>
    <row r="5" spans="1:13" x14ac:dyDescent="0.3">
      <c r="B5" s="19" t="s">
        <v>140</v>
      </c>
      <c r="C5" s="19" t="s">
        <v>141</v>
      </c>
      <c r="D5" s="19" t="s">
        <v>142</v>
      </c>
      <c r="E5" s="19" t="s">
        <v>30</v>
      </c>
      <c r="J5" s="19" t="s">
        <v>0</v>
      </c>
      <c r="K5" s="19" t="s">
        <v>156</v>
      </c>
      <c r="L5" s="19" t="s">
        <v>157</v>
      </c>
      <c r="M5" s="19" t="s">
        <v>158</v>
      </c>
    </row>
    <row r="6" spans="1:13" x14ac:dyDescent="0.3">
      <c r="B6" s="60">
        <f>DATE(2026,5,1)</f>
        <v>46143</v>
      </c>
      <c r="C6" s="60">
        <v>46172</v>
      </c>
      <c r="D6" s="20" t="s">
        <v>40</v>
      </c>
      <c r="E6" s="20" t="s">
        <v>75</v>
      </c>
      <c r="J6" t="s">
        <v>3</v>
      </c>
      <c r="K6" s="39">
        <f>SUMIFS(Lançamentos!$F:$F,Lançamentos!$A:$A,"&gt;="&amp;$B$6,Lançamentos!$A:$A,"&lt;="&amp;$C$6,Lançamentos!$C:$C,J6,Lançamentos!$I:$I,IF($E$6="Todos","*",$E$6))</f>
        <v>0</v>
      </c>
      <c r="L6" s="39" cm="1">
        <f t="array" ref="L6">SUMPRODUCT(('Fluxo de Caixa'!$B$82:$IL$82&gt;=$B$6)*('Fluxo de Caixa'!$B$82:$IL$82&lt;=$C$6)*'Fluxo de Caixa'!$B$85:$IL$85)</f>
        <v>32367.269999999997</v>
      </c>
      <c r="M6" s="39">
        <f t="shared" ref="M6:M37" si="0">K6-L6</f>
        <v>-32367.269999999997</v>
      </c>
    </row>
    <row r="7" spans="1:13" x14ac:dyDescent="0.3">
      <c r="J7" t="s">
        <v>6</v>
      </c>
      <c r="K7" s="39">
        <f>SUMIFS(Lançamentos!$F:$F,Lançamentos!$A:$A,"&gt;="&amp;$B$6,Lançamentos!$A:$A,"&lt;="&amp;$C$6,Lançamentos!$C:$C,J7,Lançamentos!$I:$I,IF($E$6="Todos","*",$E$6))</f>
        <v>25000</v>
      </c>
      <c r="L7" s="39" cm="1">
        <f t="array" ref="L7">SUMPRODUCT(('Fluxo de Caixa'!$B$82:$IL$82&gt;=$B$6)*('Fluxo de Caixa'!$B$82:$IL$82&lt;=$C$6)*'Fluxo de Caixa'!$B$86:$IL$86)</f>
        <v>17116.009999999998</v>
      </c>
      <c r="M7" s="39">
        <f t="shared" si="0"/>
        <v>7883.9900000000016</v>
      </c>
    </row>
    <row r="8" spans="1:13" x14ac:dyDescent="0.3">
      <c r="B8" s="31" t="s">
        <v>143</v>
      </c>
      <c r="C8" s="61" t="s">
        <v>144</v>
      </c>
      <c r="D8" s="17" t="s">
        <v>145</v>
      </c>
      <c r="E8" s="62" t="s">
        <v>146</v>
      </c>
      <c r="J8" t="s">
        <v>7</v>
      </c>
      <c r="K8" s="39">
        <f>SUMIFS(Lançamentos!$F:$F,Lançamentos!$A:$A,"&gt;="&amp;$B$6,Lançamentos!$A:$A,"&lt;="&amp;$C$6,Lançamentos!$C:$C,J8,Lançamentos!$I:$I,IF($E$6="Todos","*",$E$6))</f>
        <v>0</v>
      </c>
      <c r="L8" s="39" cm="1">
        <f t="array" ref="L8">SUMPRODUCT(('Fluxo de Caixa'!$B$82:$IL$82&gt;=$B$6)*('Fluxo de Caixa'!$B$82:$IL$82&lt;=$C$6)*'Fluxo de Caixa'!$B$87:$IL$87)</f>
        <v>1009.2600000000001</v>
      </c>
      <c r="M8" s="39">
        <f t="shared" si="0"/>
        <v>-1009.2600000000001</v>
      </c>
    </row>
    <row r="9" spans="1:13" ht="15.6" x14ac:dyDescent="0.3">
      <c r="A9" s="32" t="s">
        <v>81</v>
      </c>
      <c r="B9" s="64">
        <f>SUMIFS(Lançamentos!$F:$F,Lançamentos!$A:$A,"&gt;="&amp;$B$6,Lançamentos!$A:$A,"&lt;="&amp;$C$6,Lançamentos!$I:$I,IF($E$6="Todos","*",$E$6))</f>
        <v>25000</v>
      </c>
      <c r="C9" s="64" cm="1">
        <f t="array" ref="C9">SUMPRODUCT(('Fluxo de Caixa'!$B$82:$IL$82&gt;=$B$6)*('Fluxo de Caixa'!$B$82:$IL$82&lt;=$C$6)*'Fluxo de Caixa'!$B$96:$IL$96)</f>
        <v>108324.78</v>
      </c>
      <c r="D9" s="64">
        <f>B9-C9</f>
        <v>-83324.78</v>
      </c>
      <c r="E9" s="65">
        <f>IFERROR((B9-C9)/C9,0)</f>
        <v>-0.76921254767376401</v>
      </c>
      <c r="J9" t="s">
        <v>27</v>
      </c>
      <c r="K9" s="39">
        <f>SUMIFS(Lançamentos!$F:$F,Lançamentos!$A:$A,"&gt;="&amp;$B$6,Lançamentos!$A:$A,"&lt;="&amp;$C$6,Lançamentos!$C:$C,J9,Lançamentos!$I:$I,IF($E$6="Todos","*",$E$6))</f>
        <v>0</v>
      </c>
      <c r="L9" s="39" cm="1">
        <f t="array" ref="L9">SUMPRODUCT(('Fluxo de Caixa'!$B$82:$IL$82&gt;=$B$6)*('Fluxo de Caixa'!$B$82:$IL$82&lt;=$C$6)*'Fluxo de Caixa'!$B$88:$IL$88)</f>
        <v>644.73</v>
      </c>
      <c r="M9" s="39">
        <f t="shared" si="0"/>
        <v>-644.73</v>
      </c>
    </row>
    <row r="10" spans="1:13" ht="15.6" x14ac:dyDescent="0.3">
      <c r="A10" s="29" t="s">
        <v>82</v>
      </c>
      <c r="B10" s="64">
        <f>SUMIFS(Lançamentos!$G:$G,Lançamentos!$A:$A,"&gt;="&amp;$B$6,Lançamentos!$A:$A,"&lt;="&amp;$C$6,Lançamentos!$I:$I,IF($E$6="Todos","*",$E$6))</f>
        <v>0</v>
      </c>
      <c r="C10" s="64" cm="1">
        <f t="array" ref="C10">SUMPRODUCT(('Fluxo de Caixa'!$B$82:$IL$82&gt;=$B$6)*('Fluxo de Caixa'!$B$82:$IL$82&lt;=$C$6)*'Fluxo de Caixa'!$B$140:$IL$140)</f>
        <v>-88765.819999999978</v>
      </c>
      <c r="D10" s="64">
        <f>C10-B10</f>
        <v>-88765.819999999978</v>
      </c>
      <c r="E10" s="65">
        <f>IFERROR((C10-B10)/C10,0)</f>
        <v>1</v>
      </c>
      <c r="J10" t="s">
        <v>88</v>
      </c>
      <c r="K10" s="39">
        <f>SUMIFS(Lançamentos!$F:$F,Lançamentos!$A:$A,"&gt;="&amp;$B$6,Lançamentos!$A:$A,"&lt;="&amp;$C$6,Lançamentos!$C:$C,J10,Lançamentos!$I:$I,IF($E$6="Todos","*",$E$6))</f>
        <v>0</v>
      </c>
      <c r="L10" s="39" cm="1">
        <f t="array" ref="L10">SUMPRODUCT(('Fluxo de Caixa'!$B$82:$IL$82&gt;=$B$6)*('Fluxo de Caixa'!$B$82:$IL$82&lt;=$C$6)*'Fluxo de Caixa'!$B$89:$IL$89)</f>
        <v>42356.1</v>
      </c>
      <c r="M10" s="39">
        <f t="shared" si="0"/>
        <v>-42356.1</v>
      </c>
    </row>
    <row r="11" spans="1:13" ht="15.6" x14ac:dyDescent="0.3">
      <c r="A11" s="14" t="s">
        <v>83</v>
      </c>
      <c r="B11" s="66">
        <f>B9-B10</f>
        <v>25000</v>
      </c>
      <c r="C11" s="66">
        <f>C9-C10</f>
        <v>197090.59999999998</v>
      </c>
      <c r="D11" s="66">
        <f>B11-C11</f>
        <v>-172090.59999999998</v>
      </c>
      <c r="E11" s="67">
        <f>IFERROR((B11-C11)/ABS(C11),0)</f>
        <v>-0.8731547826228141</v>
      </c>
      <c r="J11" t="s">
        <v>89</v>
      </c>
      <c r="K11" s="39">
        <f>SUMIFS(Lançamentos!$F:$F,Lançamentos!$A:$A,"&gt;="&amp;$B$6,Lançamentos!$A:$A,"&lt;="&amp;$C$6,Lançamentos!$C:$C,J11,Lançamentos!$I:$I,IF($E$6="Todos","*",$E$6))</f>
        <v>0</v>
      </c>
      <c r="L11" s="39" cm="1">
        <f t="array" ref="L11">SUMPRODUCT(('Fluxo de Caixa'!$B$82:$IL$82&gt;=$B$6)*('Fluxo de Caixa'!$B$82:$IL$82&lt;=$C$6)*'Fluxo de Caixa'!$B$90:$IL$90)</f>
        <v>12277.93</v>
      </c>
      <c r="M11" s="39">
        <f t="shared" si="0"/>
        <v>-12277.93</v>
      </c>
    </row>
    <row r="12" spans="1:13" x14ac:dyDescent="0.3">
      <c r="J12" t="s">
        <v>90</v>
      </c>
      <c r="K12" s="39">
        <f>SUMIFS(Lançamentos!$F:$F,Lançamentos!$A:$A,"&gt;="&amp;$B$6,Lançamentos!$A:$A,"&lt;="&amp;$C$6,Lançamentos!$C:$C,J12,Lançamentos!$I:$I,IF($E$6="Todos","*",$E$6))</f>
        <v>0</v>
      </c>
      <c r="L12" s="39" cm="1">
        <f t="array" ref="L12">SUMPRODUCT(('Fluxo de Caixa'!$B$82:$IL$82&gt;=$B$6)*('Fluxo de Caixa'!$B$82:$IL$82&lt;=$C$6)*'Fluxo de Caixa'!$B$91:$IL$91)</f>
        <v>2138.8399999999997</v>
      </c>
      <c r="M12" s="39">
        <f t="shared" si="0"/>
        <v>-2138.8399999999997</v>
      </c>
    </row>
    <row r="13" spans="1:13" x14ac:dyDescent="0.3">
      <c r="B13" s="70" t="s">
        <v>147</v>
      </c>
      <c r="C13" s="70"/>
      <c r="D13" s="70"/>
      <c r="E13" s="70"/>
      <c r="F13" s="70"/>
      <c r="G13" s="70"/>
      <c r="H13" s="70"/>
      <c r="J13" t="s">
        <v>91</v>
      </c>
      <c r="K13" s="39">
        <f>SUMIFS(Lançamentos!$F:$F,Lançamentos!$A:$A,"&gt;="&amp;$B$6,Lançamentos!$A:$A,"&lt;="&amp;$C$6,Lançamentos!$C:$C,J13,Lançamentos!$I:$I,IF($E$6="Todos","*",$E$6))</f>
        <v>0</v>
      </c>
      <c r="L13" s="39" cm="1">
        <f t="array" ref="L13">SUMPRODUCT(('Fluxo de Caixa'!$B$82:$IL$82&gt;=$B$6)*('Fluxo de Caixa'!$B$82:$IL$82&lt;=$C$6)*'Fluxo de Caixa'!$B$92:$IL$92)</f>
        <v>0</v>
      </c>
      <c r="M13" s="39">
        <f t="shared" si="0"/>
        <v>0</v>
      </c>
    </row>
    <row r="14" spans="1:13" x14ac:dyDescent="0.3">
      <c r="B14" s="19" t="s">
        <v>148</v>
      </c>
      <c r="C14" s="33" t="s">
        <v>149</v>
      </c>
      <c r="D14" s="68" t="s">
        <v>150</v>
      </c>
      <c r="E14" s="28" t="s">
        <v>151</v>
      </c>
      <c r="F14" s="68" t="s">
        <v>152</v>
      </c>
      <c r="G14" s="19" t="s">
        <v>153</v>
      </c>
      <c r="H14" s="28" t="s">
        <v>154</v>
      </c>
      <c r="J14" t="s">
        <v>92</v>
      </c>
      <c r="K14" s="39">
        <f>SUMIFS(Lançamentos!$F:$F,Lançamentos!$A:$A,"&gt;="&amp;$B$6,Lançamentos!$A:$A,"&lt;="&amp;$C$6,Lançamentos!$C:$C,J14,Lançamentos!$I:$I,IF($E$6="Todos","*",$E$6))</f>
        <v>0</v>
      </c>
      <c r="L14" s="39" cm="1">
        <f t="array" ref="L14">SUMPRODUCT(('Fluxo de Caixa'!$B$82:$IL$82&gt;=$B$6)*('Fluxo de Caixa'!$B$82:$IL$82&lt;=$C$6)*'Fluxo de Caixa'!$B$93:$IL$93)</f>
        <v>414.64</v>
      </c>
      <c r="M14" s="39">
        <f t="shared" si="0"/>
        <v>-414.64</v>
      </c>
    </row>
    <row r="15" spans="1:13" x14ac:dyDescent="0.3">
      <c r="B15" s="2">
        <f>IF($D$6="Dia",$B$6,IF($D$6="Semana",$B$6-WEEKDAY($B$6,2)+1,IF($D$6="Mês",DATE(YEAR($B$6),MONTH($B$6),1),DATE(YEAR($B$6),1,1))))</f>
        <v>46143</v>
      </c>
      <c r="C15" s="39">
        <f>IF(B15="","",SUMIFS(Lançamentos!$F:$F,Lançamentos!$A:$A,"&gt;="&amp;B15,Lançamentos!$A:$A,"&lt;="&amp;MIN($C$6,IF($D$6="Dia",B15,IF($D$6="Semana",B15+6,IF($D$6="Mês",EOMONTH(B15,0),DATE(YEAR(B15),12,31))))),Lançamentos!$I:$I,IF($E$6="Todos","*",$E$6)))</f>
        <v>25000</v>
      </c>
      <c r="D15" s="39" cm="1">
        <f t="array" ref="D15">IF(B15="","",SUMPRODUCT(('Fluxo de Caixa'!$B$82:$IL$82&gt;=B15)*('Fluxo de Caixa'!$B$82:$IL$82&lt;=MIN($C$6,IF($D$6="Dia",B15,IF($D$6="Semana",B15+6,IF($D$6="Mês",EOMONTH(B15,0),DATE(YEAR(B15),12,31))))))*'Fluxo de Caixa'!$B$96:$IL$96))</f>
        <v>108324.78</v>
      </c>
      <c r="E15" s="39">
        <f>IF(B15="","",SUMIFS(Lançamentos!$G:$G,Lançamentos!$A:$A,"&gt;="&amp;B15,Lançamentos!$A:$A,"&lt;="&amp;MIN($C$6,IF($D$6="Dia",B15,IF($D$6="Semana",B15+6,IF($D$6="Mês",EOMONTH(B15,0),DATE(YEAR(B15),12,31))))),Lançamentos!$I:$I,IF($E$6="Todos","*",$E$6)))</f>
        <v>0</v>
      </c>
      <c r="F15" s="39" cm="1">
        <f t="array" ref="F15">IF(B15="","",SUMPRODUCT(('Fluxo de Caixa'!$B$82:$IL$82&gt;=B15)*('Fluxo de Caixa'!$B$82:$IL$82&lt;=MIN($C$6,IF($D$6="Dia",B15,IF($D$6="Semana",B15+6,IF($D$6="Mês",EOMONTH(B15,0),DATE(YEAR(B15),12,31))))))*'Fluxo de Caixa'!$B$140:$IL$140))</f>
        <v>-88765.819999999978</v>
      </c>
      <c r="G15" s="39">
        <f t="shared" ref="G15:G46" si="1">IF(B15="","",(C15-E15)-(D15-F15))</f>
        <v>-172090.59999999998</v>
      </c>
      <c r="H15" s="63">
        <f t="shared" ref="H15:H46" si="2">IF(B15="","",IFERROR(G15/ABS(D15-F15),0))</f>
        <v>-0.8731547826228141</v>
      </c>
      <c r="J15" t="s">
        <v>93</v>
      </c>
      <c r="K15" s="39">
        <f>SUMIFS(Lançamentos!$F:$F,Lançamentos!$A:$A,"&gt;="&amp;$B$6,Lançamentos!$A:$A,"&lt;="&amp;$C$6,Lançamentos!$C:$C,J15,Lançamentos!$I:$I,IF($E$6="Todos","*",$E$6))</f>
        <v>0</v>
      </c>
      <c r="L15" s="39" cm="1">
        <f t="array" ref="L15">SUMPRODUCT(('Fluxo de Caixa'!$B$82:$IL$82&gt;=$B$6)*('Fluxo de Caixa'!$B$82:$IL$82&lt;=$C$6)*'Fluxo de Caixa'!$B$94:$IL$94)</f>
        <v>0</v>
      </c>
      <c r="M15" s="39">
        <f t="shared" si="0"/>
        <v>0</v>
      </c>
    </row>
    <row r="16" spans="1:13" x14ac:dyDescent="0.3">
      <c r="B16" s="2" t="str">
        <f t="shared" ref="B16:B47" si="3">IF(B15="","",IF($D$6="Dia",IF(B15+1&gt;$C$6,"",B15+1),IF($D$6="Semana",IF(B15+7&gt;$C$6,"",B15+7),IF($D$6="Mês",IF(EDATE(B15,1)&gt;$C$6,"",EDATE(B15,1)),IF(DATE(YEAR(B15)+1,1,1)&gt;$C$6,"",DATE(YEAR(B15)+1,1,1))))))</f>
        <v/>
      </c>
      <c r="C16" s="39" t="str">
        <f>IF(B16="","",SUMIFS(Lançamentos!$F:$F,Lançamentos!$A:$A,"&gt;="&amp;B16,Lançamentos!$A:$A,"&lt;="&amp;MIN($C$6,IF($D$6="Dia",B16,IF($D$6="Semana",B16+6,IF($D$6="Mês",EOMONTH(B16,0),DATE(YEAR(B16),12,31))))),Lançamentos!$I:$I,IF($E$6="Todos","*",$E$6)))</f>
        <v/>
      </c>
      <c r="D16" s="39" t="str" cm="1">
        <f t="array" ref="D16">IF(B16="","",SUMPRODUCT(('Fluxo de Caixa'!$B$82:$IL$82&gt;=B16)*('Fluxo de Caixa'!$B$82:$IL$82&lt;=MIN($C$6,IF($D$6="Dia",B16,IF($D$6="Semana",B16+6,IF($D$6="Mês",EOMONTH(B16,0),DATE(YEAR(B16),12,31))))))*'Fluxo de Caixa'!$B$96:$IL$96))</f>
        <v/>
      </c>
      <c r="E16" s="39" t="str">
        <f>IF(B16="","",SUMIFS(Lançamentos!$G:$G,Lançamentos!$A:$A,"&gt;="&amp;B16,Lançamentos!$A:$A,"&lt;="&amp;MIN($C$6,IF($D$6="Dia",B16,IF($D$6="Semana",B16+6,IF($D$6="Mês",EOMONTH(B16,0),DATE(YEAR(B16),12,31))))),Lançamentos!$I:$I,IF($E$6="Todos","*",$E$6)))</f>
        <v/>
      </c>
      <c r="F16" s="39" t="str" cm="1">
        <f t="array" ref="F16">IF(B16="","",SUMPRODUCT(('Fluxo de Caixa'!$B$82:$IL$82&gt;=B16)*('Fluxo de Caixa'!$B$82:$IL$82&lt;=MIN($C$6,IF($D$6="Dia",B16,IF($D$6="Semana",B16+6,IF($D$6="Mês",EOMONTH(B16,0),DATE(YEAR(B16),12,31))))))*'Fluxo de Caixa'!$B$140:$IL$140))</f>
        <v/>
      </c>
      <c r="G16" s="39" t="str">
        <f t="shared" si="1"/>
        <v/>
      </c>
      <c r="H16" s="63" t="str">
        <f t="shared" si="2"/>
        <v/>
      </c>
      <c r="J16" t="s">
        <v>94</v>
      </c>
      <c r="K16" s="39">
        <f>SUMIFS(Lançamentos!$F:$F,Lançamentos!$A:$A,"&gt;="&amp;$B$6,Lançamentos!$A:$A,"&lt;="&amp;$C$6,Lançamentos!$C:$C,J16,Lançamentos!$I:$I,IF($E$6="Todos","*",$E$6))</f>
        <v>0</v>
      </c>
      <c r="L16" s="39" cm="1">
        <f t="array" ref="L16">SUMPRODUCT(('Fluxo de Caixa'!$B$82:$IL$82&gt;=$B$6)*('Fluxo de Caixa'!$B$82:$IL$82&lt;=$C$6)*'Fluxo de Caixa'!$B$95:$IL$95)</f>
        <v>0</v>
      </c>
      <c r="M16" s="39">
        <f t="shared" si="0"/>
        <v>0</v>
      </c>
    </row>
    <row r="17" spans="2:13" x14ac:dyDescent="0.3">
      <c r="B17" s="2" t="str">
        <f t="shared" si="3"/>
        <v/>
      </c>
      <c r="C17" s="39" t="str">
        <f>IF(B17="","",SUMIFS(Lançamentos!$F:$F,Lançamentos!$A:$A,"&gt;="&amp;B17,Lançamentos!$A:$A,"&lt;="&amp;MIN($C$6,IF($D$6="Dia",B17,IF($D$6="Semana",B17+6,IF($D$6="Mês",EOMONTH(B17,0),DATE(YEAR(B17),12,31))))),Lançamentos!$I:$I,IF($E$6="Todos","*",$E$6)))</f>
        <v/>
      </c>
      <c r="D17" s="39" t="str" cm="1">
        <f t="array" ref="D17">IF(B17="","",SUMPRODUCT(('Fluxo de Caixa'!$B$82:$IL$82&gt;=B17)*('Fluxo de Caixa'!$B$82:$IL$82&lt;=MIN($C$6,IF($D$6="Dia",B17,IF($D$6="Semana",B17+6,IF($D$6="Mês",EOMONTH(B17,0),DATE(YEAR(B17),12,31))))))*'Fluxo de Caixa'!$B$96:$IL$96))</f>
        <v/>
      </c>
      <c r="E17" s="39" t="str">
        <f>IF(B17="","",SUMIFS(Lançamentos!$G:$G,Lançamentos!$A:$A,"&gt;="&amp;B17,Lançamentos!$A:$A,"&lt;="&amp;MIN($C$6,IF($D$6="Dia",B17,IF($D$6="Semana",B17+6,IF($D$6="Mês",EOMONTH(B17,0),DATE(YEAR(B17),12,31))))),Lançamentos!$I:$I,IF($E$6="Todos","*",$E$6)))</f>
        <v/>
      </c>
      <c r="F17" s="39" t="str" cm="1">
        <f t="array" ref="F17">IF(B17="","",SUMPRODUCT(('Fluxo de Caixa'!$B$82:$IL$82&gt;=B17)*('Fluxo de Caixa'!$B$82:$IL$82&lt;=MIN($C$6,IF($D$6="Dia",B17,IF($D$6="Semana",B17+6,IF($D$6="Mês",EOMONTH(B17,0),DATE(YEAR(B17),12,31))))))*'Fluxo de Caixa'!$B$140:$IL$140))</f>
        <v/>
      </c>
      <c r="G17" s="39" t="str">
        <f t="shared" si="1"/>
        <v/>
      </c>
      <c r="H17" s="63" t="str">
        <f t="shared" si="2"/>
        <v/>
      </c>
      <c r="J17" t="s">
        <v>8</v>
      </c>
      <c r="K17" s="39">
        <f>SUMIFS(Lançamentos!$G:$G,Lançamentos!$A:$A,"&gt;="&amp;$B$6,Lançamentos!$A:$A,"&lt;="&amp;$C$6,Lançamentos!$C:$C,J17,Lançamentos!$I:$I,IF($E$6="Todos","*",$E$6))</f>
        <v>0</v>
      </c>
      <c r="L17" s="39" cm="1">
        <f t="array" ref="L17">SUMPRODUCT(('Fluxo de Caixa'!$B$82:$IL$82&gt;=$B$6)*('Fluxo de Caixa'!$B$82:$IL$82&lt;=$C$6)*'Fluxo de Caixa'!$B$98:$IL$98)</f>
        <v>-3144.3100000000004</v>
      </c>
      <c r="M17" s="39">
        <f t="shared" si="0"/>
        <v>3144.3100000000004</v>
      </c>
    </row>
    <row r="18" spans="2:13" x14ac:dyDescent="0.3">
      <c r="B18" s="2" t="str">
        <f t="shared" si="3"/>
        <v/>
      </c>
      <c r="C18" s="39" t="str">
        <f>IF(B18="","",SUMIFS(Lançamentos!$F:$F,Lançamentos!$A:$A,"&gt;="&amp;B18,Lançamentos!$A:$A,"&lt;="&amp;MIN($C$6,IF($D$6="Dia",B18,IF($D$6="Semana",B18+6,IF($D$6="Mês",EOMONTH(B18,0),DATE(YEAR(B18),12,31))))),Lançamentos!$I:$I,IF($E$6="Todos","*",$E$6)))</f>
        <v/>
      </c>
      <c r="D18" s="39" t="str" cm="1">
        <f t="array" ref="D18">IF(B18="","",SUMPRODUCT(('Fluxo de Caixa'!$B$82:$IL$82&gt;=B18)*('Fluxo de Caixa'!$B$82:$IL$82&lt;=MIN($C$6,IF($D$6="Dia",B18,IF($D$6="Semana",B18+6,IF($D$6="Mês",EOMONTH(B18,0),DATE(YEAR(B18),12,31))))))*'Fluxo de Caixa'!$B$96:$IL$96))</f>
        <v/>
      </c>
      <c r="E18" s="39" t="str">
        <f>IF(B18="","",SUMIFS(Lançamentos!$G:$G,Lançamentos!$A:$A,"&gt;="&amp;B18,Lançamentos!$A:$A,"&lt;="&amp;MIN($C$6,IF($D$6="Dia",B18,IF($D$6="Semana",B18+6,IF($D$6="Mês",EOMONTH(B18,0),DATE(YEAR(B18),12,31))))),Lançamentos!$I:$I,IF($E$6="Todos","*",$E$6)))</f>
        <v/>
      </c>
      <c r="F18" s="39" t="str" cm="1">
        <f t="array" ref="F18">IF(B18="","",SUMPRODUCT(('Fluxo de Caixa'!$B$82:$IL$82&gt;=B18)*('Fluxo de Caixa'!$B$82:$IL$82&lt;=MIN($C$6,IF($D$6="Dia",B18,IF($D$6="Semana",B18+6,IF($D$6="Mês",EOMONTH(B18,0),DATE(YEAR(B18),12,31))))))*'Fluxo de Caixa'!$B$140:$IL$140))</f>
        <v/>
      </c>
      <c r="G18" s="39" t="str">
        <f t="shared" si="1"/>
        <v/>
      </c>
      <c r="H18" s="63" t="str">
        <f t="shared" si="2"/>
        <v/>
      </c>
      <c r="J18" t="s">
        <v>11</v>
      </c>
      <c r="K18" s="39">
        <f>SUMIFS(Lançamentos!$G:$G,Lançamentos!$A:$A,"&gt;="&amp;$B$6,Lançamentos!$A:$A,"&lt;="&amp;$C$6,Lançamentos!$C:$C,J18,Lançamentos!$I:$I,IF($E$6="Todos","*",$E$6))</f>
        <v>0</v>
      </c>
      <c r="L18" s="39" cm="1">
        <f t="array" ref="L18">SUMPRODUCT(('Fluxo de Caixa'!$B$82:$IL$82&gt;=$B$6)*('Fluxo de Caixa'!$B$82:$IL$82&lt;=$C$6)*'Fluxo de Caixa'!$B$99:$IL$99)</f>
        <v>-620.35</v>
      </c>
      <c r="M18" s="39">
        <f t="shared" si="0"/>
        <v>620.35</v>
      </c>
    </row>
    <row r="19" spans="2:13" x14ac:dyDescent="0.3">
      <c r="B19" s="2" t="str">
        <f t="shared" si="3"/>
        <v/>
      </c>
      <c r="C19" s="39" t="str">
        <f>IF(B19="","",SUMIFS(Lançamentos!$F:$F,Lançamentos!$A:$A,"&gt;="&amp;B19,Lançamentos!$A:$A,"&lt;="&amp;MIN($C$6,IF($D$6="Dia",B19,IF($D$6="Semana",B19+6,IF($D$6="Mês",EOMONTH(B19,0),DATE(YEAR(B19),12,31))))),Lançamentos!$I:$I,IF($E$6="Todos","*",$E$6)))</f>
        <v/>
      </c>
      <c r="D19" s="39" t="str" cm="1">
        <f t="array" ref="D19">IF(B19="","",SUMPRODUCT(('Fluxo de Caixa'!$B$82:$IL$82&gt;=B19)*('Fluxo de Caixa'!$B$82:$IL$82&lt;=MIN($C$6,IF($D$6="Dia",B19,IF($D$6="Semana",B19+6,IF($D$6="Mês",EOMONTH(B19,0),DATE(YEAR(B19),12,31))))))*'Fluxo de Caixa'!$B$96:$IL$96))</f>
        <v/>
      </c>
      <c r="E19" s="39" t="str">
        <f>IF(B19="","",SUMIFS(Lançamentos!$G:$G,Lançamentos!$A:$A,"&gt;="&amp;B19,Lançamentos!$A:$A,"&lt;="&amp;MIN($C$6,IF($D$6="Dia",B19,IF($D$6="Semana",B19+6,IF($D$6="Mês",EOMONTH(B19,0),DATE(YEAR(B19),12,31))))),Lançamentos!$I:$I,IF($E$6="Todos","*",$E$6)))</f>
        <v/>
      </c>
      <c r="F19" s="39" t="str" cm="1">
        <f t="array" ref="F19">IF(B19="","",SUMPRODUCT(('Fluxo de Caixa'!$B$82:$IL$82&gt;=B19)*('Fluxo de Caixa'!$B$82:$IL$82&lt;=MIN($C$6,IF($D$6="Dia",B19,IF($D$6="Semana",B19+6,IF($D$6="Mês",EOMONTH(B19,0),DATE(YEAR(B19),12,31))))))*'Fluxo de Caixa'!$B$140:$IL$140))</f>
        <v/>
      </c>
      <c r="G19" s="39" t="str">
        <f t="shared" si="1"/>
        <v/>
      </c>
      <c r="H19" s="63" t="str">
        <f t="shared" si="2"/>
        <v/>
      </c>
      <c r="J19" t="s">
        <v>12</v>
      </c>
      <c r="K19" s="39">
        <f>SUMIFS(Lançamentos!$G:$G,Lançamentos!$A:$A,"&gt;="&amp;$B$6,Lançamentos!$A:$A,"&lt;="&amp;$C$6,Lançamentos!$C:$C,J19,Lançamentos!$I:$I,IF($E$6="Todos","*",$E$6))</f>
        <v>0</v>
      </c>
      <c r="L19" s="39" cm="1">
        <f t="array" ref="L19">SUMPRODUCT(('Fluxo de Caixa'!$B$82:$IL$82&gt;=$B$6)*('Fluxo de Caixa'!$B$82:$IL$82&lt;=$C$6)*'Fluxo de Caixa'!$B$100:$IL$100)</f>
        <v>-17068.779999999995</v>
      </c>
      <c r="M19" s="39">
        <f t="shared" si="0"/>
        <v>17068.779999999995</v>
      </c>
    </row>
    <row r="20" spans="2:13" x14ac:dyDescent="0.3">
      <c r="B20" s="2" t="str">
        <f t="shared" si="3"/>
        <v/>
      </c>
      <c r="C20" s="39" t="str">
        <f>IF(B20="","",SUMIFS(Lançamentos!$F:$F,Lançamentos!$A:$A,"&gt;="&amp;B20,Lançamentos!$A:$A,"&lt;="&amp;MIN($C$6,IF($D$6="Dia",B20,IF($D$6="Semana",B20+6,IF($D$6="Mês",EOMONTH(B20,0),DATE(YEAR(B20),12,31))))),Lançamentos!$I:$I,IF($E$6="Todos","*",$E$6)))</f>
        <v/>
      </c>
      <c r="D20" s="39" t="str" cm="1">
        <f t="array" ref="D20">IF(B20="","",SUMPRODUCT(('Fluxo de Caixa'!$B$82:$IL$82&gt;=B20)*('Fluxo de Caixa'!$B$82:$IL$82&lt;=MIN($C$6,IF($D$6="Dia",B20,IF($D$6="Semana",B20+6,IF($D$6="Mês",EOMONTH(B20,0),DATE(YEAR(B20),12,31))))))*'Fluxo de Caixa'!$B$96:$IL$96))</f>
        <v/>
      </c>
      <c r="E20" s="39" t="str">
        <f>IF(B20="","",SUMIFS(Lançamentos!$G:$G,Lançamentos!$A:$A,"&gt;="&amp;B20,Lançamentos!$A:$A,"&lt;="&amp;MIN($C$6,IF($D$6="Dia",B20,IF($D$6="Semana",B20+6,IF($D$6="Mês",EOMONTH(B20,0),DATE(YEAR(B20),12,31))))),Lançamentos!$I:$I,IF($E$6="Todos","*",$E$6)))</f>
        <v/>
      </c>
      <c r="F20" s="39" t="str" cm="1">
        <f t="array" ref="F20">IF(B20="","",SUMPRODUCT(('Fluxo de Caixa'!$B$82:$IL$82&gt;=B20)*('Fluxo de Caixa'!$B$82:$IL$82&lt;=MIN($C$6,IF($D$6="Dia",B20,IF($D$6="Semana",B20+6,IF($D$6="Mês",EOMONTH(B20,0),DATE(YEAR(B20),12,31))))))*'Fluxo de Caixa'!$B$140:$IL$140))</f>
        <v/>
      </c>
      <c r="G20" s="39" t="str">
        <f t="shared" si="1"/>
        <v/>
      </c>
      <c r="H20" s="63" t="str">
        <f t="shared" si="2"/>
        <v/>
      </c>
      <c r="J20" t="s">
        <v>14</v>
      </c>
      <c r="K20" s="39">
        <f>SUMIFS(Lançamentos!$G:$G,Lançamentos!$A:$A,"&gt;="&amp;$B$6,Lançamentos!$A:$A,"&lt;="&amp;$C$6,Lançamentos!$C:$C,J20,Lançamentos!$I:$I,IF($E$6="Todos","*",$E$6))</f>
        <v>0</v>
      </c>
      <c r="L20" s="39" cm="1">
        <f t="array" ref="L20">SUMPRODUCT(('Fluxo de Caixa'!$B$82:$IL$82&gt;=$B$6)*('Fluxo de Caixa'!$B$82:$IL$82&lt;=$C$6)*'Fluxo de Caixa'!$B$101:$IL$101)</f>
        <v>-4231.28</v>
      </c>
      <c r="M20" s="39">
        <f t="shared" si="0"/>
        <v>4231.28</v>
      </c>
    </row>
    <row r="21" spans="2:13" x14ac:dyDescent="0.3">
      <c r="B21" s="2" t="str">
        <f t="shared" si="3"/>
        <v/>
      </c>
      <c r="C21" s="39" t="str">
        <f>IF(B21="","",SUMIFS(Lançamentos!$F:$F,Lançamentos!$A:$A,"&gt;="&amp;B21,Lançamentos!$A:$A,"&lt;="&amp;MIN($C$6,IF($D$6="Dia",B21,IF($D$6="Semana",B21+6,IF($D$6="Mês",EOMONTH(B21,0),DATE(YEAR(B21),12,31))))),Lançamentos!$I:$I,IF($E$6="Todos","*",$E$6)))</f>
        <v/>
      </c>
      <c r="D21" s="39" t="str" cm="1">
        <f t="array" ref="D21">IF(B21="","",SUMPRODUCT(('Fluxo de Caixa'!$B$82:$IL$82&gt;=B21)*('Fluxo de Caixa'!$B$82:$IL$82&lt;=MIN($C$6,IF($D$6="Dia",B21,IF($D$6="Semana",B21+6,IF($D$6="Mês",EOMONTH(B21,0),DATE(YEAR(B21),12,31))))))*'Fluxo de Caixa'!$B$96:$IL$96))</f>
        <v/>
      </c>
      <c r="E21" s="39" t="str">
        <f>IF(B21="","",SUMIFS(Lançamentos!$G:$G,Lançamentos!$A:$A,"&gt;="&amp;B21,Lançamentos!$A:$A,"&lt;="&amp;MIN($C$6,IF($D$6="Dia",B21,IF($D$6="Semana",B21+6,IF($D$6="Mês",EOMONTH(B21,0),DATE(YEAR(B21),12,31))))),Lançamentos!$I:$I,IF($E$6="Todos","*",$E$6)))</f>
        <v/>
      </c>
      <c r="F21" s="39" t="str" cm="1">
        <f t="array" ref="F21">IF(B21="","",SUMPRODUCT(('Fluxo de Caixa'!$B$82:$IL$82&gt;=B21)*('Fluxo de Caixa'!$B$82:$IL$82&lt;=MIN($C$6,IF($D$6="Dia",B21,IF($D$6="Semana",B21+6,IF($D$6="Mês",EOMONTH(B21,0),DATE(YEAR(B21),12,31))))))*'Fluxo de Caixa'!$B$140:$IL$140))</f>
        <v/>
      </c>
      <c r="G21" s="39" t="str">
        <f t="shared" si="1"/>
        <v/>
      </c>
      <c r="H21" s="63" t="str">
        <f t="shared" si="2"/>
        <v/>
      </c>
      <c r="J21" t="s">
        <v>15</v>
      </c>
      <c r="K21" s="39">
        <f>SUMIFS(Lançamentos!$G:$G,Lançamentos!$A:$A,"&gt;="&amp;$B$6,Lançamentos!$A:$A,"&lt;="&amp;$C$6,Lançamentos!$C:$C,J21,Lançamentos!$I:$I,IF($E$6="Todos","*",$E$6))</f>
        <v>0</v>
      </c>
      <c r="L21" s="39" cm="1">
        <f t="array" ref="L21">SUMPRODUCT(('Fluxo de Caixa'!$B$82:$IL$82&gt;=$B$6)*('Fluxo de Caixa'!$B$82:$IL$82&lt;=$C$6)*'Fluxo de Caixa'!$B$102:$IL$102)</f>
        <v>-10388.23</v>
      </c>
      <c r="M21" s="39">
        <f t="shared" si="0"/>
        <v>10388.23</v>
      </c>
    </row>
    <row r="22" spans="2:13" x14ac:dyDescent="0.3">
      <c r="B22" s="2" t="str">
        <f t="shared" si="3"/>
        <v/>
      </c>
      <c r="C22" s="39" t="str">
        <f>IF(B22="","",SUMIFS(Lançamentos!$F:$F,Lançamentos!$A:$A,"&gt;="&amp;B22,Lançamentos!$A:$A,"&lt;="&amp;MIN($C$6,IF($D$6="Dia",B22,IF($D$6="Semana",B22+6,IF($D$6="Mês",EOMONTH(B22,0),DATE(YEAR(B22),12,31))))),Lançamentos!$I:$I,IF($E$6="Todos","*",$E$6)))</f>
        <v/>
      </c>
      <c r="D22" s="39" t="str" cm="1">
        <f t="array" ref="D22">IF(B22="","",SUMPRODUCT(('Fluxo de Caixa'!$B$82:$IL$82&gt;=B22)*('Fluxo de Caixa'!$B$82:$IL$82&lt;=MIN($C$6,IF($D$6="Dia",B22,IF($D$6="Semana",B22+6,IF($D$6="Mês",EOMONTH(B22,0),DATE(YEAR(B22),12,31))))))*'Fluxo de Caixa'!$B$96:$IL$96))</f>
        <v/>
      </c>
      <c r="E22" s="39" t="str">
        <f>IF(B22="","",SUMIFS(Lançamentos!$G:$G,Lançamentos!$A:$A,"&gt;="&amp;B22,Lançamentos!$A:$A,"&lt;="&amp;MIN($C$6,IF($D$6="Dia",B22,IF($D$6="Semana",B22+6,IF($D$6="Mês",EOMONTH(B22,0),DATE(YEAR(B22),12,31))))),Lançamentos!$I:$I,IF($E$6="Todos","*",$E$6)))</f>
        <v/>
      </c>
      <c r="F22" s="39" t="str" cm="1">
        <f t="array" ref="F22">IF(B22="","",SUMPRODUCT(('Fluxo de Caixa'!$B$82:$IL$82&gt;=B22)*('Fluxo de Caixa'!$B$82:$IL$82&lt;=MIN($C$6,IF($D$6="Dia",B22,IF($D$6="Semana",B22+6,IF($D$6="Mês",EOMONTH(B22,0),DATE(YEAR(B22),12,31))))))*'Fluxo de Caixa'!$B$140:$IL$140))</f>
        <v/>
      </c>
      <c r="G22" s="39" t="str">
        <f t="shared" si="1"/>
        <v/>
      </c>
      <c r="H22" s="63" t="str">
        <f t="shared" si="2"/>
        <v/>
      </c>
      <c r="J22" t="s">
        <v>17</v>
      </c>
      <c r="K22" s="39">
        <f>SUMIFS(Lançamentos!$G:$G,Lançamentos!$A:$A,"&gt;="&amp;$B$6,Lançamentos!$A:$A,"&lt;="&amp;$C$6,Lançamentos!$C:$C,J22,Lançamentos!$I:$I,IF($E$6="Todos","*",$E$6))</f>
        <v>0</v>
      </c>
      <c r="L22" s="39" cm="1">
        <f t="array" ref="L22">SUMPRODUCT(('Fluxo de Caixa'!$B$82:$IL$82&gt;=$B$6)*('Fluxo de Caixa'!$B$82:$IL$82&lt;=$C$6)*'Fluxo de Caixa'!$B$103:$IL$103)</f>
        <v>-2690.7400000000002</v>
      </c>
      <c r="M22" s="39">
        <f t="shared" si="0"/>
        <v>2690.7400000000002</v>
      </c>
    </row>
    <row r="23" spans="2:13" x14ac:dyDescent="0.3">
      <c r="B23" s="2" t="str">
        <f t="shared" si="3"/>
        <v/>
      </c>
      <c r="C23" s="39" t="str">
        <f>IF(B23="","",SUMIFS(Lançamentos!$F:$F,Lançamentos!$A:$A,"&gt;="&amp;B23,Lançamentos!$A:$A,"&lt;="&amp;MIN($C$6,IF($D$6="Dia",B23,IF($D$6="Semana",B23+6,IF($D$6="Mês",EOMONTH(B23,0),DATE(YEAR(B23),12,31))))),Lançamentos!$I:$I,IF($E$6="Todos","*",$E$6)))</f>
        <v/>
      </c>
      <c r="D23" s="39" t="str" cm="1">
        <f t="array" ref="D23">IF(B23="","",SUMPRODUCT(('Fluxo de Caixa'!$B$82:$IL$82&gt;=B23)*('Fluxo de Caixa'!$B$82:$IL$82&lt;=MIN($C$6,IF($D$6="Dia",B23,IF($D$6="Semana",B23+6,IF($D$6="Mês",EOMONTH(B23,0),DATE(YEAR(B23),12,31))))))*'Fluxo de Caixa'!$B$96:$IL$96))</f>
        <v/>
      </c>
      <c r="E23" s="39" t="str">
        <f>IF(B23="","",SUMIFS(Lançamentos!$G:$G,Lançamentos!$A:$A,"&gt;="&amp;B23,Lançamentos!$A:$A,"&lt;="&amp;MIN($C$6,IF($D$6="Dia",B23,IF($D$6="Semana",B23+6,IF($D$6="Mês",EOMONTH(B23,0),DATE(YEAR(B23),12,31))))),Lançamentos!$I:$I,IF($E$6="Todos","*",$E$6)))</f>
        <v/>
      </c>
      <c r="F23" s="39" t="str" cm="1">
        <f t="array" ref="F23">IF(B23="","",SUMPRODUCT(('Fluxo de Caixa'!$B$82:$IL$82&gt;=B23)*('Fluxo de Caixa'!$B$82:$IL$82&lt;=MIN($C$6,IF($D$6="Dia",B23,IF($D$6="Semana",B23+6,IF($D$6="Mês",EOMONTH(B23,0),DATE(YEAR(B23),12,31))))))*'Fluxo de Caixa'!$B$140:$IL$140))</f>
        <v/>
      </c>
      <c r="G23" s="39" t="str">
        <f t="shared" si="1"/>
        <v/>
      </c>
      <c r="H23" s="63" t="str">
        <f t="shared" si="2"/>
        <v/>
      </c>
      <c r="J23" t="s">
        <v>18</v>
      </c>
      <c r="K23" s="39">
        <f>SUMIFS(Lançamentos!$G:$G,Lançamentos!$A:$A,"&gt;="&amp;$B$6,Lançamentos!$A:$A,"&lt;="&amp;$C$6,Lançamentos!$C:$C,J23,Lançamentos!$I:$I,IF($E$6="Todos","*",$E$6))</f>
        <v>0</v>
      </c>
      <c r="L23" s="39" cm="1">
        <f t="array" ref="L23">SUMPRODUCT(('Fluxo de Caixa'!$B$82:$IL$82&gt;=$B$6)*('Fluxo de Caixa'!$B$82:$IL$82&lt;=$C$6)*'Fluxo de Caixa'!$B$104:$IL$104)</f>
        <v>-815.33999999999992</v>
      </c>
      <c r="M23" s="39">
        <f t="shared" si="0"/>
        <v>815.33999999999992</v>
      </c>
    </row>
    <row r="24" spans="2:13" x14ac:dyDescent="0.3">
      <c r="B24" s="2" t="str">
        <f t="shared" si="3"/>
        <v/>
      </c>
      <c r="C24" s="39" t="str">
        <f>IF(B24="","",SUMIFS(Lançamentos!$F:$F,Lançamentos!$A:$A,"&gt;="&amp;B24,Lançamentos!$A:$A,"&lt;="&amp;MIN($C$6,IF($D$6="Dia",B24,IF($D$6="Semana",B24+6,IF($D$6="Mês",EOMONTH(B24,0),DATE(YEAR(B24),12,31))))),Lançamentos!$I:$I,IF($E$6="Todos","*",$E$6)))</f>
        <v/>
      </c>
      <c r="D24" s="39" t="str" cm="1">
        <f t="array" ref="D24">IF(B24="","",SUMPRODUCT(('Fluxo de Caixa'!$B$82:$IL$82&gt;=B24)*('Fluxo de Caixa'!$B$82:$IL$82&lt;=MIN($C$6,IF($D$6="Dia",B24,IF($D$6="Semana",B24+6,IF($D$6="Mês",EOMONTH(B24,0),DATE(YEAR(B24),12,31))))))*'Fluxo de Caixa'!$B$96:$IL$96))</f>
        <v/>
      </c>
      <c r="E24" s="39" t="str">
        <f>IF(B24="","",SUMIFS(Lançamentos!$G:$G,Lançamentos!$A:$A,"&gt;="&amp;B24,Lançamentos!$A:$A,"&lt;="&amp;MIN($C$6,IF($D$6="Dia",B24,IF($D$6="Semana",B24+6,IF($D$6="Mês",EOMONTH(B24,0),DATE(YEAR(B24),12,31))))),Lançamentos!$I:$I,IF($E$6="Todos","*",$E$6)))</f>
        <v/>
      </c>
      <c r="F24" s="39" t="str" cm="1">
        <f t="array" ref="F24">IF(B24="","",SUMPRODUCT(('Fluxo de Caixa'!$B$82:$IL$82&gt;=B24)*('Fluxo de Caixa'!$B$82:$IL$82&lt;=MIN($C$6,IF($D$6="Dia",B24,IF($D$6="Semana",B24+6,IF($D$6="Mês",EOMONTH(B24,0),DATE(YEAR(B24),12,31))))))*'Fluxo de Caixa'!$B$140:$IL$140))</f>
        <v/>
      </c>
      <c r="G24" s="39" t="str">
        <f t="shared" si="1"/>
        <v/>
      </c>
      <c r="H24" s="63" t="str">
        <f t="shared" si="2"/>
        <v/>
      </c>
      <c r="J24" t="s">
        <v>19</v>
      </c>
      <c r="K24" s="39">
        <f>SUMIFS(Lançamentos!$G:$G,Lançamentos!$A:$A,"&gt;="&amp;$B$6,Lançamentos!$A:$A,"&lt;="&amp;$C$6,Lançamentos!$C:$C,J24,Lançamentos!$I:$I,IF($E$6="Todos","*",$E$6))</f>
        <v>0</v>
      </c>
      <c r="L24" s="39" cm="1">
        <f t="array" ref="L24">SUMPRODUCT(('Fluxo de Caixa'!$B$82:$IL$82&gt;=$B$6)*('Fluxo de Caixa'!$B$82:$IL$82&lt;=$C$6)*'Fluxo de Caixa'!$B$105:$IL$105)</f>
        <v>-321.76000000000005</v>
      </c>
      <c r="M24" s="39">
        <f t="shared" si="0"/>
        <v>321.76000000000005</v>
      </c>
    </row>
    <row r="25" spans="2:13" x14ac:dyDescent="0.3">
      <c r="B25" s="2" t="str">
        <f t="shared" si="3"/>
        <v/>
      </c>
      <c r="C25" s="39" t="str">
        <f>IF(B25="","",SUMIFS(Lançamentos!$F:$F,Lançamentos!$A:$A,"&gt;="&amp;B25,Lançamentos!$A:$A,"&lt;="&amp;MIN($C$6,IF($D$6="Dia",B25,IF($D$6="Semana",B25+6,IF($D$6="Mês",EOMONTH(B25,0),DATE(YEAR(B25),12,31))))),Lançamentos!$I:$I,IF($E$6="Todos","*",$E$6)))</f>
        <v/>
      </c>
      <c r="D25" s="39" t="str" cm="1">
        <f t="array" ref="D25">IF(B25="","",SUMPRODUCT(('Fluxo de Caixa'!$B$82:$IL$82&gt;=B25)*('Fluxo de Caixa'!$B$82:$IL$82&lt;=MIN($C$6,IF($D$6="Dia",B25,IF($D$6="Semana",B25+6,IF($D$6="Mês",EOMONTH(B25,0),DATE(YEAR(B25),12,31))))))*'Fluxo de Caixa'!$B$96:$IL$96))</f>
        <v/>
      </c>
      <c r="E25" s="39" t="str">
        <f>IF(B25="","",SUMIFS(Lançamentos!$G:$G,Lançamentos!$A:$A,"&gt;="&amp;B25,Lançamentos!$A:$A,"&lt;="&amp;MIN($C$6,IF($D$6="Dia",B25,IF($D$6="Semana",B25+6,IF($D$6="Mês",EOMONTH(B25,0),DATE(YEAR(B25),12,31))))),Lançamentos!$I:$I,IF($E$6="Todos","*",$E$6)))</f>
        <v/>
      </c>
      <c r="F25" s="39" t="str" cm="1">
        <f t="array" ref="F25">IF(B25="","",SUMPRODUCT(('Fluxo de Caixa'!$B$82:$IL$82&gt;=B25)*('Fluxo de Caixa'!$B$82:$IL$82&lt;=MIN($C$6,IF($D$6="Dia",B25,IF($D$6="Semana",B25+6,IF($D$6="Mês",EOMONTH(B25,0),DATE(YEAR(B25),12,31))))))*'Fluxo de Caixa'!$B$140:$IL$140))</f>
        <v/>
      </c>
      <c r="G25" s="39" t="str">
        <f t="shared" si="1"/>
        <v/>
      </c>
      <c r="H25" s="63" t="str">
        <f t="shared" si="2"/>
        <v/>
      </c>
      <c r="J25" t="s">
        <v>20</v>
      </c>
      <c r="K25" s="39">
        <f>SUMIFS(Lançamentos!$G:$G,Lançamentos!$A:$A,"&gt;="&amp;$B$6,Lançamentos!$A:$A,"&lt;="&amp;$C$6,Lançamentos!$C:$C,J25,Lançamentos!$I:$I,IF($E$6="Todos","*",$E$6))</f>
        <v>0</v>
      </c>
      <c r="L25" s="39" cm="1">
        <f t="array" ref="L25">SUMPRODUCT(('Fluxo de Caixa'!$B$82:$IL$82&gt;=$B$6)*('Fluxo de Caixa'!$B$82:$IL$82&lt;=$C$6)*'Fluxo de Caixa'!$B$106:$IL$106)</f>
        <v>-2070.14</v>
      </c>
      <c r="M25" s="39">
        <f t="shared" si="0"/>
        <v>2070.14</v>
      </c>
    </row>
    <row r="26" spans="2:13" x14ac:dyDescent="0.3">
      <c r="B26" s="2" t="str">
        <f t="shared" si="3"/>
        <v/>
      </c>
      <c r="C26" s="39" t="str">
        <f>IF(B26="","",SUMIFS(Lançamentos!$F:$F,Lançamentos!$A:$A,"&gt;="&amp;B26,Lançamentos!$A:$A,"&lt;="&amp;MIN($C$6,IF($D$6="Dia",B26,IF($D$6="Semana",B26+6,IF($D$6="Mês",EOMONTH(B26,0),DATE(YEAR(B26),12,31))))),Lançamentos!$I:$I,IF($E$6="Todos","*",$E$6)))</f>
        <v/>
      </c>
      <c r="D26" s="39" t="str" cm="1">
        <f t="array" ref="D26">IF(B26="","",SUMPRODUCT(('Fluxo de Caixa'!$B$82:$IL$82&gt;=B26)*('Fluxo de Caixa'!$B$82:$IL$82&lt;=MIN($C$6,IF($D$6="Dia",B26,IF($D$6="Semana",B26+6,IF($D$6="Mês",EOMONTH(B26,0),DATE(YEAR(B26),12,31))))))*'Fluxo de Caixa'!$B$96:$IL$96))</f>
        <v/>
      </c>
      <c r="E26" s="39" t="str">
        <f>IF(B26="","",SUMIFS(Lançamentos!$G:$G,Lançamentos!$A:$A,"&gt;="&amp;B26,Lançamentos!$A:$A,"&lt;="&amp;MIN($C$6,IF($D$6="Dia",B26,IF($D$6="Semana",B26+6,IF($D$6="Mês",EOMONTH(B26,0),DATE(YEAR(B26),12,31))))),Lançamentos!$I:$I,IF($E$6="Todos","*",$E$6)))</f>
        <v/>
      </c>
      <c r="F26" s="39" t="str" cm="1">
        <f t="array" ref="F26">IF(B26="","",SUMPRODUCT(('Fluxo de Caixa'!$B$82:$IL$82&gt;=B26)*('Fluxo de Caixa'!$B$82:$IL$82&lt;=MIN($C$6,IF($D$6="Dia",B26,IF($D$6="Semana",B26+6,IF($D$6="Mês",EOMONTH(B26,0),DATE(YEAR(B26),12,31))))))*'Fluxo de Caixa'!$B$140:$IL$140))</f>
        <v/>
      </c>
      <c r="G26" s="39" t="str">
        <f t="shared" si="1"/>
        <v/>
      </c>
      <c r="H26" s="63" t="str">
        <f t="shared" si="2"/>
        <v/>
      </c>
      <c r="J26" t="s">
        <v>21</v>
      </c>
      <c r="K26" s="39">
        <f>SUMIFS(Lançamentos!$G:$G,Lançamentos!$A:$A,"&gt;="&amp;$B$6,Lançamentos!$A:$A,"&lt;="&amp;$C$6,Lançamentos!$C:$C,J26,Lançamentos!$I:$I,IF($E$6="Todos","*",$E$6))</f>
        <v>0</v>
      </c>
      <c r="L26" s="39" cm="1">
        <f t="array" ref="L26">SUMPRODUCT(('Fluxo de Caixa'!$B$82:$IL$82&gt;=$B$6)*('Fluxo de Caixa'!$B$82:$IL$82&lt;=$C$6)*'Fluxo de Caixa'!$B$107:$IL$107)</f>
        <v>-516.14</v>
      </c>
      <c r="M26" s="39">
        <f t="shared" si="0"/>
        <v>516.14</v>
      </c>
    </row>
    <row r="27" spans="2:13" x14ac:dyDescent="0.3">
      <c r="B27" s="2" t="str">
        <f t="shared" si="3"/>
        <v/>
      </c>
      <c r="C27" s="39" t="str">
        <f>IF(B27="","",SUMIFS(Lançamentos!$F:$F,Lançamentos!$A:$A,"&gt;="&amp;B27,Lançamentos!$A:$A,"&lt;="&amp;MIN($C$6,IF($D$6="Dia",B27,IF($D$6="Semana",B27+6,IF($D$6="Mês",EOMONTH(B27,0),DATE(YEAR(B27),12,31))))),Lançamentos!$I:$I,IF($E$6="Todos","*",$E$6)))</f>
        <v/>
      </c>
      <c r="D27" s="39" t="str" cm="1">
        <f t="array" ref="D27">IF(B27="","",SUMPRODUCT(('Fluxo de Caixa'!$B$82:$IL$82&gt;=B27)*('Fluxo de Caixa'!$B$82:$IL$82&lt;=MIN($C$6,IF($D$6="Dia",B27,IF($D$6="Semana",B27+6,IF($D$6="Mês",EOMONTH(B27,0),DATE(YEAR(B27),12,31))))))*'Fluxo de Caixa'!$B$96:$IL$96))</f>
        <v/>
      </c>
      <c r="E27" s="39" t="str">
        <f>IF(B27="","",SUMIFS(Lançamentos!$G:$G,Lançamentos!$A:$A,"&gt;="&amp;B27,Lançamentos!$A:$A,"&lt;="&amp;MIN($C$6,IF($D$6="Dia",B27,IF($D$6="Semana",B27+6,IF($D$6="Mês",EOMONTH(B27,0),DATE(YEAR(B27),12,31))))),Lançamentos!$I:$I,IF($E$6="Todos","*",$E$6)))</f>
        <v/>
      </c>
      <c r="F27" s="39" t="str" cm="1">
        <f t="array" ref="F27">IF(B27="","",SUMPRODUCT(('Fluxo de Caixa'!$B$82:$IL$82&gt;=B27)*('Fluxo de Caixa'!$B$82:$IL$82&lt;=MIN($C$6,IF($D$6="Dia",B27,IF($D$6="Semana",B27+6,IF($D$6="Mês",EOMONTH(B27,0),DATE(YEAR(B27),12,31))))))*'Fluxo de Caixa'!$B$140:$IL$140))</f>
        <v/>
      </c>
      <c r="G27" s="39" t="str">
        <f t="shared" si="1"/>
        <v/>
      </c>
      <c r="H27" s="63" t="str">
        <f t="shared" si="2"/>
        <v/>
      </c>
      <c r="J27" t="s">
        <v>22</v>
      </c>
      <c r="K27" s="39">
        <f>SUMIFS(Lançamentos!$G:$G,Lançamentos!$A:$A,"&gt;="&amp;$B$6,Lançamentos!$A:$A,"&lt;="&amp;$C$6,Lançamentos!$C:$C,J27,Lançamentos!$I:$I,IF($E$6="Todos","*",$E$6))</f>
        <v>0</v>
      </c>
      <c r="L27" s="39" cm="1">
        <f t="array" ref="L27">SUMPRODUCT(('Fluxo de Caixa'!$B$82:$IL$82&gt;=$B$6)*('Fluxo de Caixa'!$B$82:$IL$82&lt;=$C$6)*'Fluxo de Caixa'!$B$108:$IL$108)</f>
        <v>-821.59</v>
      </c>
      <c r="M27" s="39">
        <f t="shared" si="0"/>
        <v>821.59</v>
      </c>
    </row>
    <row r="28" spans="2:13" x14ac:dyDescent="0.3">
      <c r="B28" s="2" t="str">
        <f t="shared" si="3"/>
        <v/>
      </c>
      <c r="C28" s="39" t="str">
        <f>IF(B28="","",SUMIFS(Lançamentos!$F:$F,Lançamentos!$A:$A,"&gt;="&amp;B28,Lançamentos!$A:$A,"&lt;="&amp;MIN($C$6,IF($D$6="Dia",B28,IF($D$6="Semana",B28+6,IF($D$6="Mês",EOMONTH(B28,0),DATE(YEAR(B28),12,31))))),Lançamentos!$I:$I,IF($E$6="Todos","*",$E$6)))</f>
        <v/>
      </c>
      <c r="D28" s="39" t="str" cm="1">
        <f t="array" ref="D28">IF(B28="","",SUMPRODUCT(('Fluxo de Caixa'!$B$82:$IL$82&gt;=B28)*('Fluxo de Caixa'!$B$82:$IL$82&lt;=MIN($C$6,IF($D$6="Dia",B28,IF($D$6="Semana",B28+6,IF($D$6="Mês",EOMONTH(B28,0),DATE(YEAR(B28),12,31))))))*'Fluxo de Caixa'!$B$96:$IL$96))</f>
        <v/>
      </c>
      <c r="E28" s="39" t="str">
        <f>IF(B28="","",SUMIFS(Lançamentos!$G:$G,Lançamentos!$A:$A,"&gt;="&amp;B28,Lançamentos!$A:$A,"&lt;="&amp;MIN($C$6,IF($D$6="Dia",B28,IF($D$6="Semana",B28+6,IF($D$6="Mês",EOMONTH(B28,0),DATE(YEAR(B28),12,31))))),Lançamentos!$I:$I,IF($E$6="Todos","*",$E$6)))</f>
        <v/>
      </c>
      <c r="F28" s="39" t="str" cm="1">
        <f t="array" ref="F28">IF(B28="","",SUMPRODUCT(('Fluxo de Caixa'!$B$82:$IL$82&gt;=B28)*('Fluxo de Caixa'!$B$82:$IL$82&lt;=MIN($C$6,IF($D$6="Dia",B28,IF($D$6="Semana",B28+6,IF($D$6="Mês",EOMONTH(B28,0),DATE(YEAR(B28),12,31))))))*'Fluxo de Caixa'!$B$140:$IL$140))</f>
        <v/>
      </c>
      <c r="G28" s="39" t="str">
        <f t="shared" si="1"/>
        <v/>
      </c>
      <c r="H28" s="63" t="str">
        <f t="shared" si="2"/>
        <v/>
      </c>
      <c r="J28" t="s">
        <v>23</v>
      </c>
      <c r="K28" s="39">
        <f>SUMIFS(Lançamentos!$G:$G,Lançamentos!$A:$A,"&gt;="&amp;$B$6,Lançamentos!$A:$A,"&lt;="&amp;$C$6,Lançamentos!$C:$C,J28,Lançamentos!$I:$I,IF($E$6="Todos","*",$E$6))</f>
        <v>0</v>
      </c>
      <c r="L28" s="39" cm="1">
        <f t="array" ref="L28">SUMPRODUCT(('Fluxo de Caixa'!$B$82:$IL$82&gt;=$B$6)*('Fluxo de Caixa'!$B$82:$IL$82&lt;=$C$6)*'Fluxo de Caixa'!$B$109:$IL$109)</f>
        <v>-1683.1299999999997</v>
      </c>
      <c r="M28" s="39">
        <f t="shared" si="0"/>
        <v>1683.1299999999997</v>
      </c>
    </row>
    <row r="29" spans="2:13" x14ac:dyDescent="0.3">
      <c r="B29" s="2" t="str">
        <f t="shared" si="3"/>
        <v/>
      </c>
      <c r="C29" s="39" t="str">
        <f>IF(B29="","",SUMIFS(Lançamentos!$F:$F,Lançamentos!$A:$A,"&gt;="&amp;B29,Lançamentos!$A:$A,"&lt;="&amp;MIN($C$6,IF($D$6="Dia",B29,IF($D$6="Semana",B29+6,IF($D$6="Mês",EOMONTH(B29,0),DATE(YEAR(B29),12,31))))),Lançamentos!$I:$I,IF($E$6="Todos","*",$E$6)))</f>
        <v/>
      </c>
      <c r="D29" s="39" t="str" cm="1">
        <f t="array" ref="D29">IF(B29="","",SUMPRODUCT(('Fluxo de Caixa'!$B$82:$IL$82&gt;=B29)*('Fluxo de Caixa'!$B$82:$IL$82&lt;=MIN($C$6,IF($D$6="Dia",B29,IF($D$6="Semana",B29+6,IF($D$6="Mês",EOMONTH(B29,0),DATE(YEAR(B29),12,31))))))*'Fluxo de Caixa'!$B$96:$IL$96))</f>
        <v/>
      </c>
      <c r="E29" s="39" t="str">
        <f>IF(B29="","",SUMIFS(Lançamentos!$G:$G,Lançamentos!$A:$A,"&gt;="&amp;B29,Lançamentos!$A:$A,"&lt;="&amp;MIN($C$6,IF($D$6="Dia",B29,IF($D$6="Semana",B29+6,IF($D$6="Mês",EOMONTH(B29,0),DATE(YEAR(B29),12,31))))),Lançamentos!$I:$I,IF($E$6="Todos","*",$E$6)))</f>
        <v/>
      </c>
      <c r="F29" s="39" t="str" cm="1">
        <f t="array" ref="F29">IF(B29="","",SUMPRODUCT(('Fluxo de Caixa'!$B$82:$IL$82&gt;=B29)*('Fluxo de Caixa'!$B$82:$IL$82&lt;=MIN($C$6,IF($D$6="Dia",B29,IF($D$6="Semana",B29+6,IF($D$6="Mês",EOMONTH(B29,0),DATE(YEAR(B29),12,31))))))*'Fluxo de Caixa'!$B$140:$IL$140))</f>
        <v/>
      </c>
      <c r="G29" s="39" t="str">
        <f t="shared" si="1"/>
        <v/>
      </c>
      <c r="H29" s="63" t="str">
        <f t="shared" si="2"/>
        <v/>
      </c>
      <c r="J29" t="s">
        <v>24</v>
      </c>
      <c r="K29" s="39">
        <f>SUMIFS(Lançamentos!$G:$G,Lançamentos!$A:$A,"&gt;="&amp;$B$6,Lançamentos!$A:$A,"&lt;="&amp;$C$6,Lançamentos!$C:$C,J29,Lançamentos!$I:$I,IF($E$6="Todos","*",$E$6))</f>
        <v>0</v>
      </c>
      <c r="L29" s="39" cm="1">
        <f t="array" ref="L29">SUMPRODUCT(('Fluxo de Caixa'!$B$82:$IL$82&gt;=$B$6)*('Fluxo de Caixa'!$B$82:$IL$82&lt;=$C$6)*'Fluxo de Caixa'!$B$110:$IL$110)</f>
        <v>-206.88</v>
      </c>
      <c r="M29" s="39">
        <f t="shared" si="0"/>
        <v>206.88</v>
      </c>
    </row>
    <row r="30" spans="2:13" x14ac:dyDescent="0.3">
      <c r="B30" s="2" t="str">
        <f t="shared" si="3"/>
        <v/>
      </c>
      <c r="C30" s="39" t="str">
        <f>IF(B30="","",SUMIFS(Lançamentos!$F:$F,Lançamentos!$A:$A,"&gt;="&amp;B30,Lançamentos!$A:$A,"&lt;="&amp;MIN($C$6,IF($D$6="Dia",B30,IF($D$6="Semana",B30+6,IF($D$6="Mês",EOMONTH(B30,0),DATE(YEAR(B30),12,31))))),Lançamentos!$I:$I,IF($E$6="Todos","*",$E$6)))</f>
        <v/>
      </c>
      <c r="D30" s="39" t="str" cm="1">
        <f t="array" ref="D30">IF(B30="","",SUMPRODUCT(('Fluxo de Caixa'!$B$82:$IL$82&gt;=B30)*('Fluxo de Caixa'!$B$82:$IL$82&lt;=MIN($C$6,IF($D$6="Dia",B30,IF($D$6="Semana",B30+6,IF($D$6="Mês",EOMONTH(B30,0),DATE(YEAR(B30),12,31))))))*'Fluxo de Caixa'!$B$96:$IL$96))</f>
        <v/>
      </c>
      <c r="E30" s="39" t="str">
        <f>IF(B30="","",SUMIFS(Lançamentos!$G:$G,Lançamentos!$A:$A,"&gt;="&amp;B30,Lançamentos!$A:$A,"&lt;="&amp;MIN($C$6,IF($D$6="Dia",B30,IF($D$6="Semana",B30+6,IF($D$6="Mês",EOMONTH(B30,0),DATE(YEAR(B30),12,31))))),Lançamentos!$I:$I,IF($E$6="Todos","*",$E$6)))</f>
        <v/>
      </c>
      <c r="F30" s="39" t="str" cm="1">
        <f t="array" ref="F30">IF(B30="","",SUMPRODUCT(('Fluxo de Caixa'!$B$82:$IL$82&gt;=B30)*('Fluxo de Caixa'!$B$82:$IL$82&lt;=MIN($C$6,IF($D$6="Dia",B30,IF($D$6="Semana",B30+6,IF($D$6="Mês",EOMONTH(B30,0),DATE(YEAR(B30),12,31))))))*'Fluxo de Caixa'!$B$140:$IL$140))</f>
        <v/>
      </c>
      <c r="G30" s="39" t="str">
        <f t="shared" si="1"/>
        <v/>
      </c>
      <c r="H30" s="63" t="str">
        <f t="shared" si="2"/>
        <v/>
      </c>
      <c r="J30" t="s">
        <v>26</v>
      </c>
      <c r="K30" s="39">
        <f>SUMIFS(Lançamentos!$G:$G,Lançamentos!$A:$A,"&gt;="&amp;$B$6,Lançamentos!$A:$A,"&lt;="&amp;$C$6,Lançamentos!$C:$C,J30,Lançamentos!$I:$I,IF($E$6="Todos","*",$E$6))</f>
        <v>0</v>
      </c>
      <c r="L30" s="39" cm="1">
        <f t="array" ref="L30">SUMPRODUCT(('Fluxo de Caixa'!$B$82:$IL$82&gt;=$B$6)*('Fluxo de Caixa'!$B$82:$IL$82&lt;=$C$6)*'Fluxo de Caixa'!$B$111:$IL$111)</f>
        <v>0</v>
      </c>
      <c r="M30" s="39">
        <f t="shared" si="0"/>
        <v>0</v>
      </c>
    </row>
    <row r="31" spans="2:13" x14ac:dyDescent="0.3">
      <c r="B31" s="2" t="str">
        <f t="shared" si="3"/>
        <v/>
      </c>
      <c r="C31" s="39" t="str">
        <f>IF(B31="","",SUMIFS(Lançamentos!$F:$F,Lançamentos!$A:$A,"&gt;="&amp;B31,Lançamentos!$A:$A,"&lt;="&amp;MIN($C$6,IF($D$6="Dia",B31,IF($D$6="Semana",B31+6,IF($D$6="Mês",EOMONTH(B31,0),DATE(YEAR(B31),12,31))))),Lançamentos!$I:$I,IF($E$6="Todos","*",$E$6)))</f>
        <v/>
      </c>
      <c r="D31" s="39" t="str" cm="1">
        <f t="array" ref="D31">IF(B31="","",SUMPRODUCT(('Fluxo de Caixa'!$B$82:$IL$82&gt;=B31)*('Fluxo de Caixa'!$B$82:$IL$82&lt;=MIN($C$6,IF($D$6="Dia",B31,IF($D$6="Semana",B31+6,IF($D$6="Mês",EOMONTH(B31,0),DATE(YEAR(B31),12,31))))))*'Fluxo de Caixa'!$B$96:$IL$96))</f>
        <v/>
      </c>
      <c r="E31" s="39" t="str">
        <f>IF(B31="","",SUMIFS(Lançamentos!$G:$G,Lançamentos!$A:$A,"&gt;="&amp;B31,Lançamentos!$A:$A,"&lt;="&amp;MIN($C$6,IF($D$6="Dia",B31,IF($D$6="Semana",B31+6,IF($D$6="Mês",EOMONTH(B31,0),DATE(YEAR(B31),12,31))))),Lançamentos!$I:$I,IF($E$6="Todos","*",$E$6)))</f>
        <v/>
      </c>
      <c r="F31" s="39" t="str" cm="1">
        <f t="array" ref="F31">IF(B31="","",SUMPRODUCT(('Fluxo de Caixa'!$B$82:$IL$82&gt;=B31)*('Fluxo de Caixa'!$B$82:$IL$82&lt;=MIN($C$6,IF($D$6="Dia",B31,IF($D$6="Semana",B31+6,IF($D$6="Mês",EOMONTH(B31,0),DATE(YEAR(B31),12,31))))))*'Fluxo de Caixa'!$B$140:$IL$140))</f>
        <v/>
      </c>
      <c r="G31" s="39" t="str">
        <f t="shared" si="1"/>
        <v/>
      </c>
      <c r="H31" s="63" t="str">
        <f t="shared" si="2"/>
        <v/>
      </c>
      <c r="J31" t="s">
        <v>28</v>
      </c>
      <c r="K31" s="39">
        <f>SUMIFS(Lançamentos!$G:$G,Lançamentos!$A:$A,"&gt;="&amp;$B$6,Lançamentos!$A:$A,"&lt;="&amp;$C$6,Lançamentos!$C:$C,J31,Lançamentos!$I:$I,IF($E$6="Todos","*",$E$6))</f>
        <v>0</v>
      </c>
      <c r="L31" s="39" cm="1">
        <f t="array" ref="L31">SUMPRODUCT(('Fluxo de Caixa'!$B$82:$IL$82&gt;=$B$6)*('Fluxo de Caixa'!$B$82:$IL$82&lt;=$C$6)*'Fluxo de Caixa'!$B$112:$IL$112)</f>
        <v>-2187.71</v>
      </c>
      <c r="M31" s="39">
        <f t="shared" si="0"/>
        <v>2187.71</v>
      </c>
    </row>
    <row r="32" spans="2:13" x14ac:dyDescent="0.3">
      <c r="B32" s="2" t="str">
        <f t="shared" si="3"/>
        <v/>
      </c>
      <c r="C32" s="39" t="str">
        <f>IF(B32="","",SUMIFS(Lançamentos!$F:$F,Lançamentos!$A:$A,"&gt;="&amp;B32,Lançamentos!$A:$A,"&lt;="&amp;MIN($C$6,IF($D$6="Dia",B32,IF($D$6="Semana",B32+6,IF($D$6="Mês",EOMONTH(B32,0),DATE(YEAR(B32),12,31))))),Lançamentos!$I:$I,IF($E$6="Todos","*",$E$6)))</f>
        <v/>
      </c>
      <c r="D32" s="39" t="str" cm="1">
        <f t="array" ref="D32">IF(B32="","",SUMPRODUCT(('Fluxo de Caixa'!$B$82:$IL$82&gt;=B32)*('Fluxo de Caixa'!$B$82:$IL$82&lt;=MIN($C$6,IF($D$6="Dia",B32,IF($D$6="Semana",B32+6,IF($D$6="Mês",EOMONTH(B32,0),DATE(YEAR(B32),12,31))))))*'Fluxo de Caixa'!$B$96:$IL$96))</f>
        <v/>
      </c>
      <c r="E32" s="39" t="str">
        <f>IF(B32="","",SUMIFS(Lançamentos!$G:$G,Lançamentos!$A:$A,"&gt;="&amp;B32,Lançamentos!$A:$A,"&lt;="&amp;MIN($C$6,IF($D$6="Dia",B32,IF($D$6="Semana",B32+6,IF($D$6="Mês",EOMONTH(B32,0),DATE(YEAR(B32),12,31))))),Lançamentos!$I:$I,IF($E$6="Todos","*",$E$6)))</f>
        <v/>
      </c>
      <c r="F32" s="39" t="str" cm="1">
        <f t="array" ref="F32">IF(B32="","",SUMPRODUCT(('Fluxo de Caixa'!$B$82:$IL$82&gt;=B32)*('Fluxo de Caixa'!$B$82:$IL$82&lt;=MIN($C$6,IF($D$6="Dia",B32,IF($D$6="Semana",B32+6,IF($D$6="Mês",EOMONTH(B32,0),DATE(YEAR(B32),12,31))))))*'Fluxo de Caixa'!$B$140:$IL$140))</f>
        <v/>
      </c>
      <c r="G32" s="39" t="str">
        <f t="shared" si="1"/>
        <v/>
      </c>
      <c r="H32" s="63" t="str">
        <f t="shared" si="2"/>
        <v/>
      </c>
      <c r="J32" t="s">
        <v>95</v>
      </c>
      <c r="K32" s="39">
        <f>SUMIFS(Lançamentos!$G:$G,Lançamentos!$A:$A,"&gt;="&amp;$B$6,Lançamentos!$A:$A,"&lt;="&amp;$C$6,Lançamentos!$C:$C,J32,Lançamentos!$I:$I,IF($E$6="Todos","*",$E$6))</f>
        <v>0</v>
      </c>
      <c r="L32" s="39" cm="1">
        <f t="array" ref="L32">SUMPRODUCT(('Fluxo de Caixa'!$B$82:$IL$82&gt;=$B$6)*('Fluxo de Caixa'!$B$82:$IL$82&lt;=$C$6)*'Fluxo de Caixa'!$B$113:$IL$113)</f>
        <v>-628.33000000000004</v>
      </c>
      <c r="M32" s="39">
        <f t="shared" si="0"/>
        <v>628.33000000000004</v>
      </c>
    </row>
    <row r="33" spans="2:13" x14ac:dyDescent="0.3">
      <c r="B33" s="2" t="str">
        <f t="shared" si="3"/>
        <v/>
      </c>
      <c r="C33" s="39" t="str">
        <f>IF(B33="","",SUMIFS(Lançamentos!$F:$F,Lançamentos!$A:$A,"&gt;="&amp;B33,Lançamentos!$A:$A,"&lt;="&amp;MIN($C$6,IF($D$6="Dia",B33,IF($D$6="Semana",B33+6,IF($D$6="Mês",EOMONTH(B33,0),DATE(YEAR(B33),12,31))))),Lançamentos!$I:$I,IF($E$6="Todos","*",$E$6)))</f>
        <v/>
      </c>
      <c r="D33" s="39" t="str" cm="1">
        <f t="array" ref="D33">IF(B33="","",SUMPRODUCT(('Fluxo de Caixa'!$B$82:$IL$82&gt;=B33)*('Fluxo de Caixa'!$B$82:$IL$82&lt;=MIN($C$6,IF($D$6="Dia",B33,IF($D$6="Semana",B33+6,IF($D$6="Mês",EOMONTH(B33,0),DATE(YEAR(B33),12,31))))))*'Fluxo de Caixa'!$B$96:$IL$96))</f>
        <v/>
      </c>
      <c r="E33" s="39" t="str">
        <f>IF(B33="","",SUMIFS(Lançamentos!$G:$G,Lançamentos!$A:$A,"&gt;="&amp;B33,Lançamentos!$A:$A,"&lt;="&amp;MIN($C$6,IF($D$6="Dia",B33,IF($D$6="Semana",B33+6,IF($D$6="Mês",EOMONTH(B33,0),DATE(YEAR(B33),12,31))))),Lançamentos!$I:$I,IF($E$6="Todos","*",$E$6)))</f>
        <v/>
      </c>
      <c r="F33" s="39" t="str" cm="1">
        <f t="array" ref="F33">IF(B33="","",SUMPRODUCT(('Fluxo de Caixa'!$B$82:$IL$82&gt;=B33)*('Fluxo de Caixa'!$B$82:$IL$82&lt;=MIN($C$6,IF($D$6="Dia",B33,IF($D$6="Semana",B33+6,IF($D$6="Mês",EOMONTH(B33,0),DATE(YEAR(B33),12,31))))))*'Fluxo de Caixa'!$B$140:$IL$140))</f>
        <v/>
      </c>
      <c r="G33" s="39" t="str">
        <f t="shared" si="1"/>
        <v/>
      </c>
      <c r="H33" s="63" t="str">
        <f t="shared" si="2"/>
        <v/>
      </c>
      <c r="J33" t="s">
        <v>96</v>
      </c>
      <c r="K33" s="39">
        <f>SUMIFS(Lançamentos!$G:$G,Lançamentos!$A:$A,"&gt;="&amp;$B$6,Lançamentos!$A:$A,"&lt;="&amp;$C$6,Lançamentos!$C:$C,J33,Lançamentos!$I:$I,IF($E$6="Todos","*",$E$6))</f>
        <v>0</v>
      </c>
      <c r="L33" s="39" cm="1">
        <f t="array" ref="L33">SUMPRODUCT(('Fluxo de Caixa'!$B$82:$IL$82&gt;=$B$6)*('Fluxo de Caixa'!$B$82:$IL$82&lt;=$C$6)*'Fluxo de Caixa'!$B$114:$IL$114)</f>
        <v>-430.03000000000003</v>
      </c>
      <c r="M33" s="39">
        <f t="shared" si="0"/>
        <v>430.03000000000003</v>
      </c>
    </row>
    <row r="34" spans="2:13" x14ac:dyDescent="0.3">
      <c r="B34" s="2" t="str">
        <f t="shared" si="3"/>
        <v/>
      </c>
      <c r="C34" s="39" t="str">
        <f>IF(B34="","",SUMIFS(Lançamentos!$F:$F,Lançamentos!$A:$A,"&gt;="&amp;B34,Lançamentos!$A:$A,"&lt;="&amp;MIN($C$6,IF($D$6="Dia",B34,IF($D$6="Semana",B34+6,IF($D$6="Mês",EOMONTH(B34,0),DATE(YEAR(B34),12,31))))),Lançamentos!$I:$I,IF($E$6="Todos","*",$E$6)))</f>
        <v/>
      </c>
      <c r="D34" s="39" t="str" cm="1">
        <f t="array" ref="D34">IF(B34="","",SUMPRODUCT(('Fluxo de Caixa'!$B$82:$IL$82&gt;=B34)*('Fluxo de Caixa'!$B$82:$IL$82&lt;=MIN($C$6,IF($D$6="Dia",B34,IF($D$6="Semana",B34+6,IF($D$6="Mês",EOMONTH(B34,0),DATE(YEAR(B34),12,31))))))*'Fluxo de Caixa'!$B$96:$IL$96))</f>
        <v/>
      </c>
      <c r="E34" s="39" t="str">
        <f>IF(B34="","",SUMIFS(Lançamentos!$G:$G,Lançamentos!$A:$A,"&gt;="&amp;B34,Lançamentos!$A:$A,"&lt;="&amp;MIN($C$6,IF($D$6="Dia",B34,IF($D$6="Semana",B34+6,IF($D$6="Mês",EOMONTH(B34,0),DATE(YEAR(B34),12,31))))),Lançamentos!$I:$I,IF($E$6="Todos","*",$E$6)))</f>
        <v/>
      </c>
      <c r="F34" s="39" t="str" cm="1">
        <f t="array" ref="F34">IF(B34="","",SUMPRODUCT(('Fluxo de Caixa'!$B$82:$IL$82&gt;=B34)*('Fluxo de Caixa'!$B$82:$IL$82&lt;=MIN($C$6,IF($D$6="Dia",B34,IF($D$6="Semana",B34+6,IF($D$6="Mês",EOMONTH(B34,0),DATE(YEAR(B34),12,31))))))*'Fluxo de Caixa'!$B$140:$IL$140))</f>
        <v/>
      </c>
      <c r="G34" s="39" t="str">
        <f t="shared" si="1"/>
        <v/>
      </c>
      <c r="H34" s="63" t="str">
        <f t="shared" si="2"/>
        <v/>
      </c>
      <c r="J34" t="s">
        <v>97</v>
      </c>
      <c r="K34" s="39">
        <f>SUMIFS(Lançamentos!$G:$G,Lançamentos!$A:$A,"&gt;="&amp;$B$6,Lançamentos!$A:$A,"&lt;="&amp;$C$6,Lançamentos!$C:$C,J34,Lançamentos!$I:$I,IF($E$6="Todos","*",$E$6))</f>
        <v>0</v>
      </c>
      <c r="L34" s="39" cm="1">
        <f t="array" ref="L34">SUMPRODUCT(('Fluxo de Caixa'!$B$82:$IL$82&gt;=$B$6)*('Fluxo de Caixa'!$B$82:$IL$82&lt;=$C$6)*'Fluxo de Caixa'!$B$115:$IL$115)</f>
        <v>-748.79000000000008</v>
      </c>
      <c r="M34" s="39">
        <f t="shared" si="0"/>
        <v>748.79000000000008</v>
      </c>
    </row>
    <row r="35" spans="2:13" x14ac:dyDescent="0.3">
      <c r="B35" s="2" t="str">
        <f t="shared" si="3"/>
        <v/>
      </c>
      <c r="C35" s="39" t="str">
        <f>IF(B35="","",SUMIFS(Lançamentos!$F:$F,Lançamentos!$A:$A,"&gt;="&amp;B35,Lançamentos!$A:$A,"&lt;="&amp;MIN($C$6,IF($D$6="Dia",B35,IF($D$6="Semana",B35+6,IF($D$6="Mês",EOMONTH(B35,0),DATE(YEAR(B35),12,31))))),Lançamentos!$I:$I,IF($E$6="Todos","*",$E$6)))</f>
        <v/>
      </c>
      <c r="D35" s="39" t="str" cm="1">
        <f t="array" ref="D35">IF(B35="","",SUMPRODUCT(('Fluxo de Caixa'!$B$82:$IL$82&gt;=B35)*('Fluxo de Caixa'!$B$82:$IL$82&lt;=MIN($C$6,IF($D$6="Dia",B35,IF($D$6="Semana",B35+6,IF($D$6="Mês",EOMONTH(B35,0),DATE(YEAR(B35),12,31))))))*'Fluxo de Caixa'!$B$96:$IL$96))</f>
        <v/>
      </c>
      <c r="E35" s="39" t="str">
        <f>IF(B35="","",SUMIFS(Lançamentos!$G:$G,Lançamentos!$A:$A,"&gt;="&amp;B35,Lançamentos!$A:$A,"&lt;="&amp;MIN($C$6,IF($D$6="Dia",B35,IF($D$6="Semana",B35+6,IF($D$6="Mês",EOMONTH(B35,0),DATE(YEAR(B35),12,31))))),Lançamentos!$I:$I,IF($E$6="Todos","*",$E$6)))</f>
        <v/>
      </c>
      <c r="F35" s="39" t="str" cm="1">
        <f t="array" ref="F35">IF(B35="","",SUMPRODUCT(('Fluxo de Caixa'!$B$82:$IL$82&gt;=B35)*('Fluxo de Caixa'!$B$82:$IL$82&lt;=MIN($C$6,IF($D$6="Dia",B35,IF($D$6="Semana",B35+6,IF($D$6="Mês",EOMONTH(B35,0),DATE(YEAR(B35),12,31))))))*'Fluxo de Caixa'!$B$140:$IL$140))</f>
        <v/>
      </c>
      <c r="G35" s="39" t="str">
        <f t="shared" si="1"/>
        <v/>
      </c>
      <c r="H35" s="63" t="str">
        <f t="shared" si="2"/>
        <v/>
      </c>
      <c r="J35" t="s">
        <v>98</v>
      </c>
      <c r="K35" s="39">
        <f>SUMIFS(Lançamentos!$G:$G,Lançamentos!$A:$A,"&gt;="&amp;$B$6,Lançamentos!$A:$A,"&lt;="&amp;$C$6,Lançamentos!$C:$C,J35,Lançamentos!$I:$I,IF($E$6="Todos","*",$E$6))</f>
        <v>0</v>
      </c>
      <c r="L35" s="39" cm="1">
        <f t="array" ref="L35">SUMPRODUCT(('Fluxo de Caixa'!$B$82:$IL$82&gt;=$B$6)*('Fluxo de Caixa'!$B$82:$IL$82&lt;=$C$6)*'Fluxo de Caixa'!$B$116:$IL$116)</f>
        <v>-5269.28</v>
      </c>
      <c r="M35" s="39">
        <f t="shared" si="0"/>
        <v>5269.28</v>
      </c>
    </row>
    <row r="36" spans="2:13" x14ac:dyDescent="0.3">
      <c r="B36" s="2" t="str">
        <f t="shared" si="3"/>
        <v/>
      </c>
      <c r="C36" s="39" t="str">
        <f>IF(B36="","",SUMIFS(Lançamentos!$F:$F,Lançamentos!$A:$A,"&gt;="&amp;B36,Lançamentos!$A:$A,"&lt;="&amp;MIN($C$6,IF($D$6="Dia",B36,IF($D$6="Semana",B36+6,IF($D$6="Mês",EOMONTH(B36,0),DATE(YEAR(B36),12,31))))),Lançamentos!$I:$I,IF($E$6="Todos","*",$E$6)))</f>
        <v/>
      </c>
      <c r="D36" s="39" t="str" cm="1">
        <f t="array" ref="D36">IF(B36="","",SUMPRODUCT(('Fluxo de Caixa'!$B$82:$IL$82&gt;=B36)*('Fluxo de Caixa'!$B$82:$IL$82&lt;=MIN($C$6,IF($D$6="Dia",B36,IF($D$6="Semana",B36+6,IF($D$6="Mês",EOMONTH(B36,0),DATE(YEAR(B36),12,31))))))*'Fluxo de Caixa'!$B$96:$IL$96))</f>
        <v/>
      </c>
      <c r="E36" s="39" t="str">
        <f>IF(B36="","",SUMIFS(Lançamentos!$G:$G,Lançamentos!$A:$A,"&gt;="&amp;B36,Lançamentos!$A:$A,"&lt;="&amp;MIN($C$6,IF($D$6="Dia",B36,IF($D$6="Semana",B36+6,IF($D$6="Mês",EOMONTH(B36,0),DATE(YEAR(B36),12,31))))),Lançamentos!$I:$I,IF($E$6="Todos","*",$E$6)))</f>
        <v/>
      </c>
      <c r="F36" s="39" t="str" cm="1">
        <f t="array" ref="F36">IF(B36="","",SUMPRODUCT(('Fluxo de Caixa'!$B$82:$IL$82&gt;=B36)*('Fluxo de Caixa'!$B$82:$IL$82&lt;=MIN($C$6,IF($D$6="Dia",B36,IF($D$6="Semana",B36+6,IF($D$6="Mês",EOMONTH(B36,0),DATE(YEAR(B36),12,31))))))*'Fluxo de Caixa'!$B$140:$IL$140))</f>
        <v/>
      </c>
      <c r="G36" s="39" t="str">
        <f t="shared" si="1"/>
        <v/>
      </c>
      <c r="H36" s="63" t="str">
        <f t="shared" si="2"/>
        <v/>
      </c>
      <c r="J36" t="s">
        <v>99</v>
      </c>
      <c r="K36" s="39">
        <f>SUMIFS(Lançamentos!$G:$G,Lançamentos!$A:$A,"&gt;="&amp;$B$6,Lançamentos!$A:$A,"&lt;="&amp;$C$6,Lançamentos!$C:$C,J36,Lançamentos!$I:$I,IF($E$6="Todos","*",$E$6))</f>
        <v>0</v>
      </c>
      <c r="L36" s="39" cm="1">
        <f t="array" ref="L36">SUMPRODUCT(('Fluxo de Caixa'!$B$82:$IL$82&gt;=$B$6)*('Fluxo de Caixa'!$B$82:$IL$82&lt;=$C$6)*'Fluxo de Caixa'!$B$117:$IL$117)</f>
        <v>-1714.47</v>
      </c>
      <c r="M36" s="39">
        <f t="shared" si="0"/>
        <v>1714.47</v>
      </c>
    </row>
    <row r="37" spans="2:13" x14ac:dyDescent="0.3">
      <c r="B37" s="2" t="str">
        <f t="shared" si="3"/>
        <v/>
      </c>
      <c r="C37" s="39" t="str">
        <f>IF(B37="","",SUMIFS(Lançamentos!$F:$F,Lançamentos!$A:$A,"&gt;="&amp;B37,Lançamentos!$A:$A,"&lt;="&amp;MIN($C$6,IF($D$6="Dia",B37,IF($D$6="Semana",B37+6,IF($D$6="Mês",EOMONTH(B37,0),DATE(YEAR(B37),12,31))))),Lançamentos!$I:$I,IF($E$6="Todos","*",$E$6)))</f>
        <v/>
      </c>
      <c r="D37" s="39" t="str" cm="1">
        <f t="array" ref="D37">IF(B37="","",SUMPRODUCT(('Fluxo de Caixa'!$B$82:$IL$82&gt;=B37)*('Fluxo de Caixa'!$B$82:$IL$82&lt;=MIN($C$6,IF($D$6="Dia",B37,IF($D$6="Semana",B37+6,IF($D$6="Mês",EOMONTH(B37,0),DATE(YEAR(B37),12,31))))))*'Fluxo de Caixa'!$B$96:$IL$96))</f>
        <v/>
      </c>
      <c r="E37" s="39" t="str">
        <f>IF(B37="","",SUMIFS(Lançamentos!$G:$G,Lançamentos!$A:$A,"&gt;="&amp;B37,Lançamentos!$A:$A,"&lt;="&amp;MIN($C$6,IF($D$6="Dia",B37,IF($D$6="Semana",B37+6,IF($D$6="Mês",EOMONTH(B37,0),DATE(YEAR(B37),12,31))))),Lançamentos!$I:$I,IF($E$6="Todos","*",$E$6)))</f>
        <v/>
      </c>
      <c r="F37" s="39" t="str" cm="1">
        <f t="array" ref="F37">IF(B37="","",SUMPRODUCT(('Fluxo de Caixa'!$B$82:$IL$82&gt;=B37)*('Fluxo de Caixa'!$B$82:$IL$82&lt;=MIN($C$6,IF($D$6="Dia",B37,IF($D$6="Semana",B37+6,IF($D$6="Mês",EOMONTH(B37,0),DATE(YEAR(B37),12,31))))))*'Fluxo de Caixa'!$B$140:$IL$140))</f>
        <v/>
      </c>
      <c r="G37" s="39" t="str">
        <f t="shared" si="1"/>
        <v/>
      </c>
      <c r="H37" s="63" t="str">
        <f t="shared" si="2"/>
        <v/>
      </c>
      <c r="J37" t="s">
        <v>100</v>
      </c>
      <c r="K37" s="39">
        <f>SUMIFS(Lançamentos!$G:$G,Lançamentos!$A:$A,"&gt;="&amp;$B$6,Lançamentos!$A:$A,"&lt;="&amp;$C$6,Lançamentos!$C:$C,J37,Lançamentos!$I:$I,IF($E$6="Todos","*",$E$6))</f>
        <v>0</v>
      </c>
      <c r="L37" s="39" cm="1">
        <f t="array" ref="L37">SUMPRODUCT(('Fluxo de Caixa'!$B$82:$IL$82&gt;=$B$6)*('Fluxo de Caixa'!$B$82:$IL$82&lt;=$C$6)*'Fluxo de Caixa'!$B$118:$IL$118)</f>
        <v>-532.13</v>
      </c>
      <c r="M37" s="39">
        <f t="shared" si="0"/>
        <v>532.13</v>
      </c>
    </row>
    <row r="38" spans="2:13" x14ac:dyDescent="0.3">
      <c r="B38" s="2" t="str">
        <f t="shared" si="3"/>
        <v/>
      </c>
      <c r="C38" s="39" t="str">
        <f>IF(B38="","",SUMIFS(Lançamentos!$F:$F,Lançamentos!$A:$A,"&gt;="&amp;B38,Lançamentos!$A:$A,"&lt;="&amp;MIN($C$6,IF($D$6="Dia",B38,IF($D$6="Semana",B38+6,IF($D$6="Mês",EOMONTH(B38,0),DATE(YEAR(B38),12,31))))),Lançamentos!$I:$I,IF($E$6="Todos","*",$E$6)))</f>
        <v/>
      </c>
      <c r="D38" s="39" t="str" cm="1">
        <f t="array" ref="D38">IF(B38="","",SUMPRODUCT(('Fluxo de Caixa'!$B$82:$IL$82&gt;=B38)*('Fluxo de Caixa'!$B$82:$IL$82&lt;=MIN($C$6,IF($D$6="Dia",B38,IF($D$6="Semana",B38+6,IF($D$6="Mês",EOMONTH(B38,0),DATE(YEAR(B38),12,31))))))*'Fluxo de Caixa'!$B$96:$IL$96))</f>
        <v/>
      </c>
      <c r="E38" s="39" t="str">
        <f>IF(B38="","",SUMIFS(Lançamentos!$G:$G,Lançamentos!$A:$A,"&gt;="&amp;B38,Lançamentos!$A:$A,"&lt;="&amp;MIN($C$6,IF($D$6="Dia",B38,IF($D$6="Semana",B38+6,IF($D$6="Mês",EOMONTH(B38,0),DATE(YEAR(B38),12,31))))),Lançamentos!$I:$I,IF($E$6="Todos","*",$E$6)))</f>
        <v/>
      </c>
      <c r="F38" s="39" t="str" cm="1">
        <f t="array" ref="F38">IF(B38="","",SUMPRODUCT(('Fluxo de Caixa'!$B$82:$IL$82&gt;=B38)*('Fluxo de Caixa'!$B$82:$IL$82&lt;=MIN($C$6,IF($D$6="Dia",B38,IF($D$6="Semana",B38+6,IF($D$6="Mês",EOMONTH(B38,0),DATE(YEAR(B38),12,31))))))*'Fluxo de Caixa'!$B$140:$IL$140))</f>
        <v/>
      </c>
      <c r="G38" s="39" t="str">
        <f t="shared" si="1"/>
        <v/>
      </c>
      <c r="H38" s="63" t="str">
        <f t="shared" si="2"/>
        <v/>
      </c>
      <c r="J38" t="s">
        <v>101</v>
      </c>
      <c r="K38" s="39">
        <f>SUMIFS(Lançamentos!$G:$G,Lançamentos!$A:$A,"&gt;="&amp;$B$6,Lançamentos!$A:$A,"&lt;="&amp;$C$6,Lançamentos!$C:$C,J38,Lançamentos!$I:$I,IF($E$6="Todos","*",$E$6))</f>
        <v>0</v>
      </c>
      <c r="L38" s="39" cm="1">
        <f t="array" ref="L38">SUMPRODUCT(('Fluxo de Caixa'!$B$82:$IL$82&gt;=$B$6)*('Fluxo de Caixa'!$B$82:$IL$82&lt;=$C$6)*'Fluxo de Caixa'!$B$119:$IL$119)</f>
        <v>-256.29000000000002</v>
      </c>
      <c r="M38" s="39">
        <f t="shared" ref="M38:M58" si="4">K38-L38</f>
        <v>256.29000000000002</v>
      </c>
    </row>
    <row r="39" spans="2:13" x14ac:dyDescent="0.3">
      <c r="B39" s="2" t="str">
        <f t="shared" si="3"/>
        <v/>
      </c>
      <c r="C39" s="39" t="str">
        <f>IF(B39="","",SUMIFS(Lançamentos!$F:$F,Lançamentos!$A:$A,"&gt;="&amp;B39,Lançamentos!$A:$A,"&lt;="&amp;MIN($C$6,IF($D$6="Dia",B39,IF($D$6="Semana",B39+6,IF($D$6="Mês",EOMONTH(B39,0),DATE(YEAR(B39),12,31))))),Lançamentos!$I:$I,IF($E$6="Todos","*",$E$6)))</f>
        <v/>
      </c>
      <c r="D39" s="39" t="str" cm="1">
        <f t="array" ref="D39">IF(B39="","",SUMPRODUCT(('Fluxo de Caixa'!$B$82:$IL$82&gt;=B39)*('Fluxo de Caixa'!$B$82:$IL$82&lt;=MIN($C$6,IF($D$6="Dia",B39,IF($D$6="Semana",B39+6,IF($D$6="Mês",EOMONTH(B39,0),DATE(YEAR(B39),12,31))))))*'Fluxo de Caixa'!$B$96:$IL$96))</f>
        <v/>
      </c>
      <c r="E39" s="39" t="str">
        <f>IF(B39="","",SUMIFS(Lançamentos!$G:$G,Lançamentos!$A:$A,"&gt;="&amp;B39,Lançamentos!$A:$A,"&lt;="&amp;MIN($C$6,IF($D$6="Dia",B39,IF($D$6="Semana",B39+6,IF($D$6="Mês",EOMONTH(B39,0),DATE(YEAR(B39),12,31))))),Lançamentos!$I:$I,IF($E$6="Todos","*",$E$6)))</f>
        <v/>
      </c>
      <c r="F39" s="39" t="str" cm="1">
        <f t="array" ref="F39">IF(B39="","",SUMPRODUCT(('Fluxo de Caixa'!$B$82:$IL$82&gt;=B39)*('Fluxo de Caixa'!$B$82:$IL$82&lt;=MIN($C$6,IF($D$6="Dia",B39,IF($D$6="Semana",B39+6,IF($D$6="Mês",EOMONTH(B39,0),DATE(YEAR(B39),12,31))))))*'Fluxo de Caixa'!$B$140:$IL$140))</f>
        <v/>
      </c>
      <c r="G39" s="39" t="str">
        <f t="shared" si="1"/>
        <v/>
      </c>
      <c r="H39" s="63" t="str">
        <f t="shared" si="2"/>
        <v/>
      </c>
      <c r="J39" t="s">
        <v>102</v>
      </c>
      <c r="K39" s="39">
        <f>SUMIFS(Lançamentos!$G:$G,Lançamentos!$A:$A,"&gt;="&amp;$B$6,Lançamentos!$A:$A,"&lt;="&amp;$C$6,Lançamentos!$C:$C,J39,Lançamentos!$I:$I,IF($E$6="Todos","*",$E$6))</f>
        <v>0</v>
      </c>
      <c r="L39" s="39" cm="1">
        <f t="array" ref="L39">SUMPRODUCT(('Fluxo de Caixa'!$B$82:$IL$82&gt;=$B$6)*('Fluxo de Caixa'!$B$82:$IL$82&lt;=$C$6)*'Fluxo de Caixa'!$B$120:$IL$120)</f>
        <v>-317.64</v>
      </c>
      <c r="M39" s="39">
        <f t="shared" si="4"/>
        <v>317.64</v>
      </c>
    </row>
    <row r="40" spans="2:13" x14ac:dyDescent="0.3">
      <c r="B40" s="2" t="str">
        <f t="shared" si="3"/>
        <v/>
      </c>
      <c r="C40" s="39" t="str">
        <f>IF(B40="","",SUMIFS(Lançamentos!$F:$F,Lançamentos!$A:$A,"&gt;="&amp;B40,Lançamentos!$A:$A,"&lt;="&amp;MIN($C$6,IF($D$6="Dia",B40,IF($D$6="Semana",B40+6,IF($D$6="Mês",EOMONTH(B40,0),DATE(YEAR(B40),12,31))))),Lançamentos!$I:$I,IF($E$6="Todos","*",$E$6)))</f>
        <v/>
      </c>
      <c r="D40" s="39" t="str" cm="1">
        <f t="array" ref="D40">IF(B40="","",SUMPRODUCT(('Fluxo de Caixa'!$B$82:$IL$82&gt;=B40)*('Fluxo de Caixa'!$B$82:$IL$82&lt;=MIN($C$6,IF($D$6="Dia",B40,IF($D$6="Semana",B40+6,IF($D$6="Mês",EOMONTH(B40,0),DATE(YEAR(B40),12,31))))))*'Fluxo de Caixa'!$B$96:$IL$96))</f>
        <v/>
      </c>
      <c r="E40" s="39" t="str">
        <f>IF(B40="","",SUMIFS(Lançamentos!$G:$G,Lançamentos!$A:$A,"&gt;="&amp;B40,Lançamentos!$A:$A,"&lt;="&amp;MIN($C$6,IF($D$6="Dia",B40,IF($D$6="Semana",B40+6,IF($D$6="Mês",EOMONTH(B40,0),DATE(YEAR(B40),12,31))))),Lançamentos!$I:$I,IF($E$6="Todos","*",$E$6)))</f>
        <v/>
      </c>
      <c r="F40" s="39" t="str" cm="1">
        <f t="array" ref="F40">IF(B40="","",SUMPRODUCT(('Fluxo de Caixa'!$B$82:$IL$82&gt;=B40)*('Fluxo de Caixa'!$B$82:$IL$82&lt;=MIN($C$6,IF($D$6="Dia",B40,IF($D$6="Semana",B40+6,IF($D$6="Mês",EOMONTH(B40,0),DATE(YEAR(B40),12,31))))))*'Fluxo de Caixa'!$B$140:$IL$140))</f>
        <v/>
      </c>
      <c r="G40" s="39" t="str">
        <f t="shared" si="1"/>
        <v/>
      </c>
      <c r="H40" s="63" t="str">
        <f t="shared" si="2"/>
        <v/>
      </c>
      <c r="J40" t="s">
        <v>103</v>
      </c>
      <c r="K40" s="39">
        <f>SUMIFS(Lançamentos!$G:$G,Lançamentos!$A:$A,"&gt;="&amp;$B$6,Lançamentos!$A:$A,"&lt;="&amp;$C$6,Lançamentos!$C:$C,J40,Lançamentos!$I:$I,IF($E$6="Todos","*",$E$6))</f>
        <v>0</v>
      </c>
      <c r="L40" s="39" cm="1">
        <f t="array" ref="L40">SUMPRODUCT(('Fluxo de Caixa'!$B$82:$IL$82&gt;=$B$6)*('Fluxo de Caixa'!$B$82:$IL$82&lt;=$C$6)*'Fluxo de Caixa'!$B$121:$IL$121)</f>
        <v>-426.39000000000004</v>
      </c>
      <c r="M40" s="39">
        <f t="shared" si="4"/>
        <v>426.39000000000004</v>
      </c>
    </row>
    <row r="41" spans="2:13" x14ac:dyDescent="0.3">
      <c r="B41" s="2" t="str">
        <f t="shared" si="3"/>
        <v/>
      </c>
      <c r="C41" s="39" t="str">
        <f>IF(B41="","",SUMIFS(Lançamentos!$F:$F,Lançamentos!$A:$A,"&gt;="&amp;B41,Lançamentos!$A:$A,"&lt;="&amp;MIN($C$6,IF($D$6="Dia",B41,IF($D$6="Semana",B41+6,IF($D$6="Mês",EOMONTH(B41,0),DATE(YEAR(B41),12,31))))),Lançamentos!$I:$I,IF($E$6="Todos","*",$E$6)))</f>
        <v/>
      </c>
      <c r="D41" s="39" t="str" cm="1">
        <f t="array" ref="D41">IF(B41="","",SUMPRODUCT(('Fluxo de Caixa'!$B$82:$IL$82&gt;=B41)*('Fluxo de Caixa'!$B$82:$IL$82&lt;=MIN($C$6,IF($D$6="Dia",B41,IF($D$6="Semana",B41+6,IF($D$6="Mês",EOMONTH(B41,0),DATE(YEAR(B41),12,31))))))*'Fluxo de Caixa'!$B$96:$IL$96))</f>
        <v/>
      </c>
      <c r="E41" s="39" t="str">
        <f>IF(B41="","",SUMIFS(Lançamentos!$G:$G,Lançamentos!$A:$A,"&gt;="&amp;B41,Lançamentos!$A:$A,"&lt;="&amp;MIN($C$6,IF($D$6="Dia",B41,IF($D$6="Semana",B41+6,IF($D$6="Mês",EOMONTH(B41,0),DATE(YEAR(B41),12,31))))),Lançamentos!$I:$I,IF($E$6="Todos","*",$E$6)))</f>
        <v/>
      </c>
      <c r="F41" s="39" t="str" cm="1">
        <f t="array" ref="F41">IF(B41="","",SUMPRODUCT(('Fluxo de Caixa'!$B$82:$IL$82&gt;=B41)*('Fluxo de Caixa'!$B$82:$IL$82&lt;=MIN($C$6,IF($D$6="Dia",B41,IF($D$6="Semana",B41+6,IF($D$6="Mês",EOMONTH(B41,0),DATE(YEAR(B41),12,31))))))*'Fluxo de Caixa'!$B$140:$IL$140))</f>
        <v/>
      </c>
      <c r="G41" s="39" t="str">
        <f t="shared" si="1"/>
        <v/>
      </c>
      <c r="H41" s="63" t="str">
        <f t="shared" si="2"/>
        <v/>
      </c>
      <c r="J41" t="s">
        <v>104</v>
      </c>
      <c r="K41" s="39">
        <f>SUMIFS(Lançamentos!$G:$G,Lançamentos!$A:$A,"&gt;="&amp;$B$6,Lançamentos!$A:$A,"&lt;="&amp;$C$6,Lançamentos!$C:$C,J41,Lançamentos!$I:$I,IF($E$6="Todos","*",$E$6))</f>
        <v>0</v>
      </c>
      <c r="L41" s="39" cm="1">
        <f t="array" ref="L41">SUMPRODUCT(('Fluxo de Caixa'!$B$82:$IL$82&gt;=$B$6)*('Fluxo de Caixa'!$B$82:$IL$82&lt;=$C$6)*'Fluxo de Caixa'!$B$122:$IL$122)</f>
        <v>-314.32</v>
      </c>
      <c r="M41" s="39">
        <f t="shared" si="4"/>
        <v>314.32</v>
      </c>
    </row>
    <row r="42" spans="2:13" x14ac:dyDescent="0.3">
      <c r="B42" s="2" t="str">
        <f t="shared" si="3"/>
        <v/>
      </c>
      <c r="C42" s="39" t="str">
        <f>IF(B42="","",SUMIFS(Lançamentos!$F:$F,Lançamentos!$A:$A,"&gt;="&amp;B42,Lançamentos!$A:$A,"&lt;="&amp;MIN($C$6,IF($D$6="Dia",B42,IF($D$6="Semana",B42+6,IF($D$6="Mês",EOMONTH(B42,0),DATE(YEAR(B42),12,31))))),Lançamentos!$I:$I,IF($E$6="Todos","*",$E$6)))</f>
        <v/>
      </c>
      <c r="D42" s="39" t="str" cm="1">
        <f t="array" ref="D42">IF(B42="","",SUMPRODUCT(('Fluxo de Caixa'!$B$82:$IL$82&gt;=B42)*('Fluxo de Caixa'!$B$82:$IL$82&lt;=MIN($C$6,IF($D$6="Dia",B42,IF($D$6="Semana",B42+6,IF($D$6="Mês",EOMONTH(B42,0),DATE(YEAR(B42),12,31))))))*'Fluxo de Caixa'!$B$96:$IL$96))</f>
        <v/>
      </c>
      <c r="E42" s="39" t="str">
        <f>IF(B42="","",SUMIFS(Lançamentos!$G:$G,Lançamentos!$A:$A,"&gt;="&amp;B42,Lançamentos!$A:$A,"&lt;="&amp;MIN($C$6,IF($D$6="Dia",B42,IF($D$6="Semana",B42+6,IF($D$6="Mês",EOMONTH(B42,0),DATE(YEAR(B42),12,31))))),Lançamentos!$I:$I,IF($E$6="Todos","*",$E$6)))</f>
        <v/>
      </c>
      <c r="F42" s="39" t="str" cm="1">
        <f t="array" ref="F42">IF(B42="","",SUMPRODUCT(('Fluxo de Caixa'!$B$82:$IL$82&gt;=B42)*('Fluxo de Caixa'!$B$82:$IL$82&lt;=MIN($C$6,IF($D$6="Dia",B42,IF($D$6="Semana",B42+6,IF($D$6="Mês",EOMONTH(B42,0),DATE(YEAR(B42),12,31))))))*'Fluxo de Caixa'!$B$140:$IL$140))</f>
        <v/>
      </c>
      <c r="G42" s="39" t="str">
        <f t="shared" si="1"/>
        <v/>
      </c>
      <c r="H42" s="63" t="str">
        <f t="shared" si="2"/>
        <v/>
      </c>
      <c r="J42" t="s">
        <v>105</v>
      </c>
      <c r="K42" s="39">
        <f>SUMIFS(Lançamentos!$G:$G,Lançamentos!$A:$A,"&gt;="&amp;$B$6,Lançamentos!$A:$A,"&lt;="&amp;$C$6,Lançamentos!$C:$C,J42,Lançamentos!$I:$I,IF($E$6="Todos","*",$E$6))</f>
        <v>0</v>
      </c>
      <c r="L42" s="39" cm="1">
        <f t="array" ref="L42">SUMPRODUCT(('Fluxo de Caixa'!$B$82:$IL$82&gt;=$B$6)*('Fluxo de Caixa'!$B$82:$IL$82&lt;=$C$6)*'Fluxo de Caixa'!$B$123:$IL$123)</f>
        <v>-1013.21</v>
      </c>
      <c r="M42" s="39">
        <f t="shared" si="4"/>
        <v>1013.21</v>
      </c>
    </row>
    <row r="43" spans="2:13" x14ac:dyDescent="0.3">
      <c r="B43" s="2" t="str">
        <f t="shared" si="3"/>
        <v/>
      </c>
      <c r="C43" s="39" t="str">
        <f>IF(B43="","",SUMIFS(Lançamentos!$F:$F,Lançamentos!$A:$A,"&gt;="&amp;B43,Lançamentos!$A:$A,"&lt;="&amp;MIN($C$6,IF($D$6="Dia",B43,IF($D$6="Semana",B43+6,IF($D$6="Mês",EOMONTH(B43,0),DATE(YEAR(B43),12,31))))),Lançamentos!$I:$I,IF($E$6="Todos","*",$E$6)))</f>
        <v/>
      </c>
      <c r="D43" s="39" t="str" cm="1">
        <f t="array" ref="D43">IF(B43="","",SUMPRODUCT(('Fluxo de Caixa'!$B$82:$IL$82&gt;=B43)*('Fluxo de Caixa'!$B$82:$IL$82&lt;=MIN($C$6,IF($D$6="Dia",B43,IF($D$6="Semana",B43+6,IF($D$6="Mês",EOMONTH(B43,0),DATE(YEAR(B43),12,31))))))*'Fluxo de Caixa'!$B$96:$IL$96))</f>
        <v/>
      </c>
      <c r="E43" s="39" t="str">
        <f>IF(B43="","",SUMIFS(Lançamentos!$G:$G,Lançamentos!$A:$A,"&gt;="&amp;B43,Lançamentos!$A:$A,"&lt;="&amp;MIN($C$6,IF($D$6="Dia",B43,IF($D$6="Semana",B43+6,IF($D$6="Mês",EOMONTH(B43,0),DATE(YEAR(B43),12,31))))),Lançamentos!$I:$I,IF($E$6="Todos","*",$E$6)))</f>
        <v/>
      </c>
      <c r="F43" s="39" t="str" cm="1">
        <f t="array" ref="F43">IF(B43="","",SUMPRODUCT(('Fluxo de Caixa'!$B$82:$IL$82&gt;=B43)*('Fluxo de Caixa'!$B$82:$IL$82&lt;=MIN($C$6,IF($D$6="Dia",B43,IF($D$6="Semana",B43+6,IF($D$6="Mês",EOMONTH(B43,0),DATE(YEAR(B43),12,31))))))*'Fluxo de Caixa'!$B$140:$IL$140))</f>
        <v/>
      </c>
      <c r="G43" s="39" t="str">
        <f t="shared" si="1"/>
        <v/>
      </c>
      <c r="H43" s="63" t="str">
        <f t="shared" si="2"/>
        <v/>
      </c>
      <c r="J43" t="s">
        <v>106</v>
      </c>
      <c r="K43" s="39">
        <f>SUMIFS(Lançamentos!$G:$G,Lançamentos!$A:$A,"&gt;="&amp;$B$6,Lançamentos!$A:$A,"&lt;="&amp;$C$6,Lançamentos!$C:$C,J43,Lançamentos!$I:$I,IF($E$6="Todos","*",$E$6))</f>
        <v>0</v>
      </c>
      <c r="L43" s="39" cm="1">
        <f t="array" ref="L43">SUMPRODUCT(('Fluxo de Caixa'!$B$82:$IL$82&gt;=$B$6)*('Fluxo de Caixa'!$B$82:$IL$82&lt;=$C$6)*'Fluxo de Caixa'!$B$124:$IL$124)</f>
        <v>-542.35</v>
      </c>
      <c r="M43" s="39">
        <f t="shared" si="4"/>
        <v>542.35</v>
      </c>
    </row>
    <row r="44" spans="2:13" x14ac:dyDescent="0.3">
      <c r="B44" s="2" t="str">
        <f t="shared" si="3"/>
        <v/>
      </c>
      <c r="C44" s="39" t="str">
        <f>IF(B44="","",SUMIFS(Lançamentos!$F:$F,Lançamentos!$A:$A,"&gt;="&amp;B44,Lançamentos!$A:$A,"&lt;="&amp;MIN($C$6,IF($D$6="Dia",B44,IF($D$6="Semana",B44+6,IF($D$6="Mês",EOMONTH(B44,0),DATE(YEAR(B44),12,31))))),Lançamentos!$I:$I,IF($E$6="Todos","*",$E$6)))</f>
        <v/>
      </c>
      <c r="D44" s="39" t="str" cm="1">
        <f t="array" ref="D44">IF(B44="","",SUMPRODUCT(('Fluxo de Caixa'!$B$82:$IL$82&gt;=B44)*('Fluxo de Caixa'!$B$82:$IL$82&lt;=MIN($C$6,IF($D$6="Dia",B44,IF($D$6="Semana",B44+6,IF($D$6="Mês",EOMONTH(B44,0),DATE(YEAR(B44),12,31))))))*'Fluxo de Caixa'!$B$96:$IL$96))</f>
        <v/>
      </c>
      <c r="E44" s="39" t="str">
        <f>IF(B44="","",SUMIFS(Lançamentos!$G:$G,Lançamentos!$A:$A,"&gt;="&amp;B44,Lançamentos!$A:$A,"&lt;="&amp;MIN($C$6,IF($D$6="Dia",B44,IF($D$6="Semana",B44+6,IF($D$6="Mês",EOMONTH(B44,0),DATE(YEAR(B44),12,31))))),Lançamentos!$I:$I,IF($E$6="Todos","*",$E$6)))</f>
        <v/>
      </c>
      <c r="F44" s="39" t="str" cm="1">
        <f t="array" ref="F44">IF(B44="","",SUMPRODUCT(('Fluxo de Caixa'!$B$82:$IL$82&gt;=B44)*('Fluxo de Caixa'!$B$82:$IL$82&lt;=MIN($C$6,IF($D$6="Dia",B44,IF($D$6="Semana",B44+6,IF($D$6="Mês",EOMONTH(B44,0),DATE(YEAR(B44),12,31))))))*'Fluxo de Caixa'!$B$140:$IL$140))</f>
        <v/>
      </c>
      <c r="G44" s="39" t="str">
        <f t="shared" si="1"/>
        <v/>
      </c>
      <c r="H44" s="63" t="str">
        <f t="shared" si="2"/>
        <v/>
      </c>
      <c r="J44" t="s">
        <v>107</v>
      </c>
      <c r="K44" s="39">
        <f>SUMIFS(Lançamentos!$G:$G,Lançamentos!$A:$A,"&gt;="&amp;$B$6,Lançamentos!$A:$A,"&lt;="&amp;$C$6,Lançamentos!$C:$C,J44,Lançamentos!$I:$I,IF($E$6="Todos","*",$E$6))</f>
        <v>0</v>
      </c>
      <c r="L44" s="39" cm="1">
        <f t="array" ref="L44">SUMPRODUCT(('Fluxo de Caixa'!$B$82:$IL$82&gt;=$B$6)*('Fluxo de Caixa'!$B$82:$IL$82&lt;=$C$6)*'Fluxo de Caixa'!$B$125:$IL$125)</f>
        <v>-646.45999999999992</v>
      </c>
      <c r="M44" s="39">
        <f t="shared" si="4"/>
        <v>646.45999999999992</v>
      </c>
    </row>
    <row r="45" spans="2:13" x14ac:dyDescent="0.3">
      <c r="B45" s="2" t="str">
        <f t="shared" si="3"/>
        <v/>
      </c>
      <c r="C45" s="39" t="str">
        <f>IF(B45="","",SUMIFS(Lançamentos!$F:$F,Lançamentos!$A:$A,"&gt;="&amp;B45,Lançamentos!$A:$A,"&lt;="&amp;MIN($C$6,IF($D$6="Dia",B45,IF($D$6="Semana",B45+6,IF($D$6="Mês",EOMONTH(B45,0),DATE(YEAR(B45),12,31))))),Lançamentos!$I:$I,IF($E$6="Todos","*",$E$6)))</f>
        <v/>
      </c>
      <c r="D45" s="39" t="str" cm="1">
        <f t="array" ref="D45">IF(B45="","",SUMPRODUCT(('Fluxo de Caixa'!$B$82:$IL$82&gt;=B45)*('Fluxo de Caixa'!$B$82:$IL$82&lt;=MIN($C$6,IF($D$6="Dia",B45,IF($D$6="Semana",B45+6,IF($D$6="Mês",EOMONTH(B45,0),DATE(YEAR(B45),12,31))))))*'Fluxo de Caixa'!$B$96:$IL$96))</f>
        <v/>
      </c>
      <c r="E45" s="39" t="str">
        <f>IF(B45="","",SUMIFS(Lançamentos!$G:$G,Lançamentos!$A:$A,"&gt;="&amp;B45,Lançamentos!$A:$A,"&lt;="&amp;MIN($C$6,IF($D$6="Dia",B45,IF($D$6="Semana",B45+6,IF($D$6="Mês",EOMONTH(B45,0),DATE(YEAR(B45),12,31))))),Lançamentos!$I:$I,IF($E$6="Todos","*",$E$6)))</f>
        <v/>
      </c>
      <c r="F45" s="39" t="str" cm="1">
        <f t="array" ref="F45">IF(B45="","",SUMPRODUCT(('Fluxo de Caixa'!$B$82:$IL$82&gt;=B45)*('Fluxo de Caixa'!$B$82:$IL$82&lt;=MIN($C$6,IF($D$6="Dia",B45,IF($D$6="Semana",B45+6,IF($D$6="Mês",EOMONTH(B45,0),DATE(YEAR(B45),12,31))))))*'Fluxo de Caixa'!$B$140:$IL$140))</f>
        <v/>
      </c>
      <c r="G45" s="39" t="str">
        <f t="shared" si="1"/>
        <v/>
      </c>
      <c r="H45" s="63" t="str">
        <f t="shared" si="2"/>
        <v/>
      </c>
      <c r="J45" t="s">
        <v>108</v>
      </c>
      <c r="K45" s="39">
        <f>SUMIFS(Lançamentos!$G:$G,Lançamentos!$A:$A,"&gt;="&amp;$B$6,Lançamentos!$A:$A,"&lt;="&amp;$C$6,Lançamentos!$C:$C,J45,Lançamentos!$I:$I,IF($E$6="Todos","*",$E$6))</f>
        <v>0</v>
      </c>
      <c r="L45" s="39" cm="1">
        <f t="array" ref="L45">SUMPRODUCT(('Fluxo de Caixa'!$B$82:$IL$82&gt;=$B$6)*('Fluxo de Caixa'!$B$82:$IL$82&lt;=$C$6)*'Fluxo de Caixa'!$B$126:$IL$126)</f>
        <v>-222.23</v>
      </c>
      <c r="M45" s="39">
        <f t="shared" si="4"/>
        <v>222.23</v>
      </c>
    </row>
    <row r="46" spans="2:13" x14ac:dyDescent="0.3">
      <c r="B46" s="2" t="str">
        <f t="shared" si="3"/>
        <v/>
      </c>
      <c r="C46" s="39" t="str">
        <f>IF(B46="","",SUMIFS(Lançamentos!$F:$F,Lançamentos!$A:$A,"&gt;="&amp;B46,Lançamentos!$A:$A,"&lt;="&amp;MIN($C$6,IF($D$6="Dia",B46,IF($D$6="Semana",B46+6,IF($D$6="Mês",EOMONTH(B46,0),DATE(YEAR(B46),12,31))))),Lançamentos!$I:$I,IF($E$6="Todos","*",$E$6)))</f>
        <v/>
      </c>
      <c r="D46" s="39" t="str" cm="1">
        <f t="array" ref="D46">IF(B46="","",SUMPRODUCT(('Fluxo de Caixa'!$B$82:$IL$82&gt;=B46)*('Fluxo de Caixa'!$B$82:$IL$82&lt;=MIN($C$6,IF($D$6="Dia",B46,IF($D$6="Semana",B46+6,IF($D$6="Mês",EOMONTH(B46,0),DATE(YEAR(B46),12,31))))))*'Fluxo de Caixa'!$B$96:$IL$96))</f>
        <v/>
      </c>
      <c r="E46" s="39" t="str">
        <f>IF(B46="","",SUMIFS(Lançamentos!$G:$G,Lançamentos!$A:$A,"&gt;="&amp;B46,Lançamentos!$A:$A,"&lt;="&amp;MIN($C$6,IF($D$6="Dia",B46,IF($D$6="Semana",B46+6,IF($D$6="Mês",EOMONTH(B46,0),DATE(YEAR(B46),12,31))))),Lançamentos!$I:$I,IF($E$6="Todos","*",$E$6)))</f>
        <v/>
      </c>
      <c r="F46" s="39" t="str" cm="1">
        <f t="array" ref="F46">IF(B46="","",SUMPRODUCT(('Fluxo de Caixa'!$B$82:$IL$82&gt;=B46)*('Fluxo de Caixa'!$B$82:$IL$82&lt;=MIN($C$6,IF($D$6="Dia",B46,IF($D$6="Semana",B46+6,IF($D$6="Mês",EOMONTH(B46,0),DATE(YEAR(B46),12,31))))))*'Fluxo de Caixa'!$B$140:$IL$140))</f>
        <v/>
      </c>
      <c r="G46" s="39" t="str">
        <f t="shared" si="1"/>
        <v/>
      </c>
      <c r="H46" s="63" t="str">
        <f t="shared" si="2"/>
        <v/>
      </c>
      <c r="J46" t="s">
        <v>109</v>
      </c>
      <c r="K46" s="39">
        <f>SUMIFS(Lançamentos!$G:$G,Lançamentos!$A:$A,"&gt;="&amp;$B$6,Lançamentos!$A:$A,"&lt;="&amp;$C$6,Lançamentos!$C:$C,J46,Lançamentos!$I:$I,IF($E$6="Todos","*",$E$6))</f>
        <v>0</v>
      </c>
      <c r="L46" s="39" cm="1">
        <f t="array" ref="L46">SUMPRODUCT(('Fluxo de Caixa'!$B$82:$IL$82&gt;=$B$6)*('Fluxo de Caixa'!$B$82:$IL$82&lt;=$C$6)*'Fluxo de Caixa'!$B$127:$IL$127)</f>
        <v>-533.41999999999996</v>
      </c>
      <c r="M46" s="39">
        <f t="shared" si="4"/>
        <v>533.41999999999996</v>
      </c>
    </row>
    <row r="47" spans="2:13" x14ac:dyDescent="0.3">
      <c r="B47" s="2" t="str">
        <f t="shared" si="3"/>
        <v/>
      </c>
      <c r="C47" s="39" t="str">
        <f>IF(B47="","",SUMIFS(Lançamentos!$F:$F,Lançamentos!$A:$A,"&gt;="&amp;B47,Lançamentos!$A:$A,"&lt;="&amp;MIN($C$6,IF($D$6="Dia",B47,IF($D$6="Semana",B47+6,IF($D$6="Mês",EOMONTH(B47,0),DATE(YEAR(B47),12,31))))),Lançamentos!$I:$I,IF($E$6="Todos","*",$E$6)))</f>
        <v/>
      </c>
      <c r="D47" s="39" t="str" cm="1">
        <f t="array" ref="D47">IF(B47="","",SUMPRODUCT(('Fluxo de Caixa'!$B$82:$IL$82&gt;=B47)*('Fluxo de Caixa'!$B$82:$IL$82&lt;=MIN($C$6,IF($D$6="Dia",B47,IF($D$6="Semana",B47+6,IF($D$6="Mês",EOMONTH(B47,0),DATE(YEAR(B47),12,31))))))*'Fluxo de Caixa'!$B$96:$IL$96))</f>
        <v/>
      </c>
      <c r="E47" s="39" t="str">
        <f>IF(B47="","",SUMIFS(Lançamentos!$G:$G,Lançamentos!$A:$A,"&gt;="&amp;B47,Lançamentos!$A:$A,"&lt;="&amp;MIN($C$6,IF($D$6="Dia",B47,IF($D$6="Semana",B47+6,IF($D$6="Mês",EOMONTH(B47,0),DATE(YEAR(B47),12,31))))),Lançamentos!$I:$I,IF($E$6="Todos","*",$E$6)))</f>
        <v/>
      </c>
      <c r="F47" s="39" t="str" cm="1">
        <f t="array" ref="F47">IF(B47="","",SUMPRODUCT(('Fluxo de Caixa'!$B$82:$IL$82&gt;=B47)*('Fluxo de Caixa'!$B$82:$IL$82&lt;=MIN($C$6,IF($D$6="Dia",B47,IF($D$6="Semana",B47+6,IF($D$6="Mês",EOMONTH(B47,0),DATE(YEAR(B47),12,31))))))*'Fluxo de Caixa'!$B$140:$IL$140))</f>
        <v/>
      </c>
      <c r="G47" s="39" t="str">
        <f t="shared" ref="G47:G67" si="5">IF(B47="","",(C47-E47)-(D47-F47))</f>
        <v/>
      </c>
      <c r="H47" s="63" t="str">
        <f t="shared" ref="H47:H67" si="6">IF(B47="","",IFERROR(G47/ABS(D47-F47),0))</f>
        <v/>
      </c>
      <c r="J47" t="s">
        <v>110</v>
      </c>
      <c r="K47" s="39">
        <f>SUMIFS(Lançamentos!$G:$G,Lançamentos!$A:$A,"&gt;="&amp;$B$6,Lançamentos!$A:$A,"&lt;="&amp;$C$6,Lançamentos!$C:$C,J47,Lançamentos!$I:$I,IF($E$6="Todos","*",$E$6))</f>
        <v>0</v>
      </c>
      <c r="L47" s="39" cm="1">
        <f t="array" ref="L47">SUMPRODUCT(('Fluxo de Caixa'!$B$82:$IL$82&gt;=$B$6)*('Fluxo de Caixa'!$B$82:$IL$82&lt;=$C$6)*'Fluxo de Caixa'!$B$128:$IL$128)</f>
        <v>-308.61</v>
      </c>
      <c r="M47" s="39">
        <f t="shared" si="4"/>
        <v>308.61</v>
      </c>
    </row>
    <row r="48" spans="2:13" x14ac:dyDescent="0.3">
      <c r="B48" s="2" t="str">
        <f t="shared" ref="B48:B67" si="7">IF(B47="","",IF($D$6="Dia",IF(B47+1&gt;$C$6,"",B47+1),IF($D$6="Semana",IF(B47+7&gt;$C$6,"",B47+7),IF($D$6="Mês",IF(EDATE(B47,1)&gt;$C$6,"",EDATE(B47,1)),IF(DATE(YEAR(B47)+1,1,1)&gt;$C$6,"",DATE(YEAR(B47)+1,1,1))))))</f>
        <v/>
      </c>
      <c r="C48" s="39" t="str">
        <f>IF(B48="","",SUMIFS(Lançamentos!$F:$F,Lançamentos!$A:$A,"&gt;="&amp;B48,Lançamentos!$A:$A,"&lt;="&amp;MIN($C$6,IF($D$6="Dia",B48,IF($D$6="Semana",B48+6,IF($D$6="Mês",EOMONTH(B48,0),DATE(YEAR(B48),12,31))))),Lançamentos!$I:$I,IF($E$6="Todos","*",$E$6)))</f>
        <v/>
      </c>
      <c r="D48" s="39" t="str" cm="1">
        <f t="array" ref="D48">IF(B48="","",SUMPRODUCT(('Fluxo de Caixa'!$B$82:$IL$82&gt;=B48)*('Fluxo de Caixa'!$B$82:$IL$82&lt;=MIN($C$6,IF($D$6="Dia",B48,IF($D$6="Semana",B48+6,IF($D$6="Mês",EOMONTH(B48,0),DATE(YEAR(B48),12,31))))))*'Fluxo de Caixa'!$B$96:$IL$96))</f>
        <v/>
      </c>
      <c r="E48" s="39" t="str">
        <f>IF(B48="","",SUMIFS(Lançamentos!$G:$G,Lançamentos!$A:$A,"&gt;="&amp;B48,Lançamentos!$A:$A,"&lt;="&amp;MIN($C$6,IF($D$6="Dia",B48,IF($D$6="Semana",B48+6,IF($D$6="Mês",EOMONTH(B48,0),DATE(YEAR(B48),12,31))))),Lançamentos!$I:$I,IF($E$6="Todos","*",$E$6)))</f>
        <v/>
      </c>
      <c r="F48" s="39" t="str" cm="1">
        <f t="array" ref="F48">IF(B48="","",SUMPRODUCT(('Fluxo de Caixa'!$B$82:$IL$82&gt;=B48)*('Fluxo de Caixa'!$B$82:$IL$82&lt;=MIN($C$6,IF($D$6="Dia",B48,IF($D$6="Semana",B48+6,IF($D$6="Mês",EOMONTH(B48,0),DATE(YEAR(B48),12,31))))))*'Fluxo de Caixa'!$B$140:$IL$140))</f>
        <v/>
      </c>
      <c r="G48" s="39" t="str">
        <f t="shared" si="5"/>
        <v/>
      </c>
      <c r="H48" s="63" t="str">
        <f t="shared" si="6"/>
        <v/>
      </c>
      <c r="J48" t="s">
        <v>111</v>
      </c>
      <c r="K48" s="39">
        <f>SUMIFS(Lançamentos!$G:$G,Lançamentos!$A:$A,"&gt;="&amp;$B$6,Lançamentos!$A:$A,"&lt;="&amp;$C$6,Lançamentos!$C:$C,J48,Lançamentos!$I:$I,IF($E$6="Todos","*",$E$6))</f>
        <v>0</v>
      </c>
      <c r="L48" s="39" cm="1">
        <f t="array" ref="L48">SUMPRODUCT(('Fluxo de Caixa'!$B$82:$IL$82&gt;=$B$6)*('Fluxo de Caixa'!$B$82:$IL$82&lt;=$C$6)*'Fluxo de Caixa'!$B$129:$IL$129)</f>
        <v>-215.45</v>
      </c>
      <c r="M48" s="39">
        <f t="shared" si="4"/>
        <v>215.45</v>
      </c>
    </row>
    <row r="49" spans="2:13" x14ac:dyDescent="0.3">
      <c r="B49" s="2" t="str">
        <f t="shared" si="7"/>
        <v/>
      </c>
      <c r="C49" s="39" t="str">
        <f>IF(B49="","",SUMIFS(Lançamentos!$F:$F,Lançamentos!$A:$A,"&gt;="&amp;B49,Lançamentos!$A:$A,"&lt;="&amp;MIN($C$6,IF($D$6="Dia",B49,IF($D$6="Semana",B49+6,IF($D$6="Mês",EOMONTH(B49,0),DATE(YEAR(B49),12,31))))),Lançamentos!$I:$I,IF($E$6="Todos","*",$E$6)))</f>
        <v/>
      </c>
      <c r="D49" s="39" t="str" cm="1">
        <f t="array" ref="D49">IF(B49="","",SUMPRODUCT(('Fluxo de Caixa'!$B$82:$IL$82&gt;=B49)*('Fluxo de Caixa'!$B$82:$IL$82&lt;=MIN($C$6,IF($D$6="Dia",B49,IF($D$6="Semana",B49+6,IF($D$6="Mês",EOMONTH(B49,0),DATE(YEAR(B49),12,31))))))*'Fluxo de Caixa'!$B$96:$IL$96))</f>
        <v/>
      </c>
      <c r="E49" s="39" t="str">
        <f>IF(B49="","",SUMIFS(Lançamentos!$G:$G,Lançamentos!$A:$A,"&gt;="&amp;B49,Lançamentos!$A:$A,"&lt;="&amp;MIN($C$6,IF($D$6="Dia",B49,IF($D$6="Semana",B49+6,IF($D$6="Mês",EOMONTH(B49,0),DATE(YEAR(B49),12,31))))),Lançamentos!$I:$I,IF($E$6="Todos","*",$E$6)))</f>
        <v/>
      </c>
      <c r="F49" s="39" t="str" cm="1">
        <f t="array" ref="F49">IF(B49="","",SUMPRODUCT(('Fluxo de Caixa'!$B$82:$IL$82&gt;=B49)*('Fluxo de Caixa'!$B$82:$IL$82&lt;=MIN($C$6,IF($D$6="Dia",B49,IF($D$6="Semana",B49+6,IF($D$6="Mês",EOMONTH(B49,0),DATE(YEAR(B49),12,31))))))*'Fluxo de Caixa'!$B$140:$IL$140))</f>
        <v/>
      </c>
      <c r="G49" s="39" t="str">
        <f t="shared" si="5"/>
        <v/>
      </c>
      <c r="H49" s="63" t="str">
        <f t="shared" si="6"/>
        <v/>
      </c>
      <c r="J49" t="s">
        <v>112</v>
      </c>
      <c r="K49" s="39">
        <f>SUMIFS(Lançamentos!$G:$G,Lançamentos!$A:$A,"&gt;="&amp;$B$6,Lançamentos!$A:$A,"&lt;="&amp;$C$6,Lançamentos!$C:$C,J49,Lançamentos!$I:$I,IF($E$6="Todos","*",$E$6))</f>
        <v>0</v>
      </c>
      <c r="L49" s="39" cm="1">
        <f t="array" ref="L49">SUMPRODUCT(('Fluxo de Caixa'!$B$82:$IL$82&gt;=$B$6)*('Fluxo de Caixa'!$B$82:$IL$82&lt;=$C$6)*'Fluxo de Caixa'!$B$130:$IL$130)</f>
        <v>-104.49</v>
      </c>
      <c r="M49" s="39">
        <f t="shared" si="4"/>
        <v>104.49</v>
      </c>
    </row>
    <row r="50" spans="2:13" x14ac:dyDescent="0.3">
      <c r="B50" s="2" t="str">
        <f t="shared" si="7"/>
        <v/>
      </c>
      <c r="C50" s="39" t="str">
        <f>IF(B50="","",SUMIFS(Lançamentos!$F:$F,Lançamentos!$A:$A,"&gt;="&amp;B50,Lançamentos!$A:$A,"&lt;="&amp;MIN($C$6,IF($D$6="Dia",B50,IF($D$6="Semana",B50+6,IF($D$6="Mês",EOMONTH(B50,0),DATE(YEAR(B50),12,31))))),Lançamentos!$I:$I,IF($E$6="Todos","*",$E$6)))</f>
        <v/>
      </c>
      <c r="D50" s="39" t="str" cm="1">
        <f t="array" ref="D50">IF(B50="","",SUMPRODUCT(('Fluxo de Caixa'!$B$82:$IL$82&gt;=B50)*('Fluxo de Caixa'!$B$82:$IL$82&lt;=MIN($C$6,IF($D$6="Dia",B50,IF($D$6="Semana",B50+6,IF($D$6="Mês",EOMONTH(B50,0),DATE(YEAR(B50),12,31))))))*'Fluxo de Caixa'!$B$96:$IL$96))</f>
        <v/>
      </c>
      <c r="E50" s="39" t="str">
        <f>IF(B50="","",SUMIFS(Lançamentos!$G:$G,Lançamentos!$A:$A,"&gt;="&amp;B50,Lançamentos!$A:$A,"&lt;="&amp;MIN($C$6,IF($D$6="Dia",B50,IF($D$6="Semana",B50+6,IF($D$6="Mês",EOMONTH(B50,0),DATE(YEAR(B50),12,31))))),Lançamentos!$I:$I,IF($E$6="Todos","*",$E$6)))</f>
        <v/>
      </c>
      <c r="F50" s="39" t="str" cm="1">
        <f t="array" ref="F50">IF(B50="","",SUMPRODUCT(('Fluxo de Caixa'!$B$82:$IL$82&gt;=B50)*('Fluxo de Caixa'!$B$82:$IL$82&lt;=MIN($C$6,IF($D$6="Dia",B50,IF($D$6="Semana",B50+6,IF($D$6="Mês",EOMONTH(B50,0),DATE(YEAR(B50),12,31))))))*'Fluxo de Caixa'!$B$140:$IL$140))</f>
        <v/>
      </c>
      <c r="G50" s="39" t="str">
        <f t="shared" si="5"/>
        <v/>
      </c>
      <c r="H50" s="63" t="str">
        <f t="shared" si="6"/>
        <v/>
      </c>
      <c r="J50" t="s">
        <v>113</v>
      </c>
      <c r="K50" s="39">
        <f>SUMIFS(Lançamentos!$G:$G,Lançamentos!$A:$A,"&gt;="&amp;$B$6,Lançamentos!$A:$A,"&lt;="&amp;$C$6,Lançamentos!$C:$C,J50,Lançamentos!$I:$I,IF($E$6="Todos","*",$E$6))</f>
        <v>0</v>
      </c>
      <c r="L50" s="39" cm="1">
        <f t="array" ref="L50">SUMPRODUCT(('Fluxo de Caixa'!$B$82:$IL$82&gt;=$B$6)*('Fluxo de Caixa'!$B$82:$IL$82&lt;=$C$6)*'Fluxo de Caixa'!$B$131:$IL$131)</f>
        <v>-1071.95</v>
      </c>
      <c r="M50" s="39">
        <f t="shared" si="4"/>
        <v>1071.95</v>
      </c>
    </row>
    <row r="51" spans="2:13" x14ac:dyDescent="0.3">
      <c r="B51" s="2" t="str">
        <f t="shared" si="7"/>
        <v/>
      </c>
      <c r="C51" s="39" t="str">
        <f>IF(B51="","",SUMIFS(Lançamentos!$F:$F,Lançamentos!$A:$A,"&gt;="&amp;B51,Lançamentos!$A:$A,"&lt;="&amp;MIN($C$6,IF($D$6="Dia",B51,IF($D$6="Semana",B51+6,IF($D$6="Mês",EOMONTH(B51,0),DATE(YEAR(B51),12,31))))),Lançamentos!$I:$I,IF($E$6="Todos","*",$E$6)))</f>
        <v/>
      </c>
      <c r="D51" s="39" t="str" cm="1">
        <f t="array" ref="D51">IF(B51="","",SUMPRODUCT(('Fluxo de Caixa'!$B$82:$IL$82&gt;=B51)*('Fluxo de Caixa'!$B$82:$IL$82&lt;=MIN($C$6,IF($D$6="Dia",B51,IF($D$6="Semana",B51+6,IF($D$6="Mês",EOMONTH(B51,0),DATE(YEAR(B51),12,31))))))*'Fluxo de Caixa'!$B$96:$IL$96))</f>
        <v/>
      </c>
      <c r="E51" s="39" t="str">
        <f>IF(B51="","",SUMIFS(Lançamentos!$G:$G,Lançamentos!$A:$A,"&gt;="&amp;B51,Lançamentos!$A:$A,"&lt;="&amp;MIN($C$6,IF($D$6="Dia",B51,IF($D$6="Semana",B51+6,IF($D$6="Mês",EOMONTH(B51,0),DATE(YEAR(B51),12,31))))),Lançamentos!$I:$I,IF($E$6="Todos","*",$E$6)))</f>
        <v/>
      </c>
      <c r="F51" s="39" t="str" cm="1">
        <f t="array" ref="F51">IF(B51="","",SUMPRODUCT(('Fluxo de Caixa'!$B$82:$IL$82&gt;=B51)*('Fluxo de Caixa'!$B$82:$IL$82&lt;=MIN($C$6,IF($D$6="Dia",B51,IF($D$6="Semana",B51+6,IF($D$6="Mês",EOMONTH(B51,0),DATE(YEAR(B51),12,31))))))*'Fluxo de Caixa'!$B$140:$IL$140))</f>
        <v/>
      </c>
      <c r="G51" s="39" t="str">
        <f t="shared" si="5"/>
        <v/>
      </c>
      <c r="H51" s="63" t="str">
        <f t="shared" si="6"/>
        <v/>
      </c>
      <c r="J51" t="s">
        <v>114</v>
      </c>
      <c r="K51" s="39">
        <f>SUMIFS(Lançamentos!$G:$G,Lançamentos!$A:$A,"&gt;="&amp;$B$6,Lançamentos!$A:$A,"&lt;="&amp;$C$6,Lançamentos!$C:$C,J51,Lançamentos!$I:$I,IF($E$6="Todos","*",$E$6))</f>
        <v>0</v>
      </c>
      <c r="L51" s="39" cm="1">
        <f t="array" ref="L51">SUMPRODUCT(('Fluxo de Caixa'!$B$82:$IL$82&gt;=$B$6)*('Fluxo de Caixa'!$B$82:$IL$82&lt;=$C$6)*'Fluxo de Caixa'!$B$132:$IL$132)</f>
        <v>-103.34</v>
      </c>
      <c r="M51" s="39">
        <f t="shared" si="4"/>
        <v>103.34</v>
      </c>
    </row>
    <row r="52" spans="2:13" x14ac:dyDescent="0.3">
      <c r="B52" s="2" t="str">
        <f t="shared" si="7"/>
        <v/>
      </c>
      <c r="C52" s="39" t="str">
        <f>IF(B52="","",SUMIFS(Lançamentos!$F:$F,Lançamentos!$A:$A,"&gt;="&amp;B52,Lançamentos!$A:$A,"&lt;="&amp;MIN($C$6,IF($D$6="Dia",B52,IF($D$6="Semana",B52+6,IF($D$6="Mês",EOMONTH(B52,0),DATE(YEAR(B52),12,31))))),Lançamentos!$I:$I,IF($E$6="Todos","*",$E$6)))</f>
        <v/>
      </c>
      <c r="D52" s="39" t="str" cm="1">
        <f t="array" ref="D52">IF(B52="","",SUMPRODUCT(('Fluxo de Caixa'!$B$82:$IL$82&gt;=B52)*('Fluxo de Caixa'!$B$82:$IL$82&lt;=MIN($C$6,IF($D$6="Dia",B52,IF($D$6="Semana",B52+6,IF($D$6="Mês",EOMONTH(B52,0),DATE(YEAR(B52),12,31))))))*'Fluxo de Caixa'!$B$96:$IL$96))</f>
        <v/>
      </c>
      <c r="E52" s="39" t="str">
        <f>IF(B52="","",SUMIFS(Lançamentos!$G:$G,Lançamentos!$A:$A,"&gt;="&amp;B52,Lançamentos!$A:$A,"&lt;="&amp;MIN($C$6,IF($D$6="Dia",B52,IF($D$6="Semana",B52+6,IF($D$6="Mês",EOMONTH(B52,0),DATE(YEAR(B52),12,31))))),Lançamentos!$I:$I,IF($E$6="Todos","*",$E$6)))</f>
        <v/>
      </c>
      <c r="F52" s="39" t="str" cm="1">
        <f t="array" ref="F52">IF(B52="","",SUMPRODUCT(('Fluxo de Caixa'!$B$82:$IL$82&gt;=B52)*('Fluxo de Caixa'!$B$82:$IL$82&lt;=MIN($C$6,IF($D$6="Dia",B52,IF($D$6="Semana",B52+6,IF($D$6="Mês",EOMONTH(B52,0),DATE(YEAR(B52),12,31))))))*'Fluxo de Caixa'!$B$140:$IL$140))</f>
        <v/>
      </c>
      <c r="G52" s="39" t="str">
        <f t="shared" si="5"/>
        <v/>
      </c>
      <c r="H52" s="63" t="str">
        <f t="shared" si="6"/>
        <v/>
      </c>
      <c r="J52" t="s">
        <v>115</v>
      </c>
      <c r="K52" s="39">
        <f>SUMIFS(Lançamentos!$G:$G,Lançamentos!$A:$A,"&gt;="&amp;$B$6,Lançamentos!$A:$A,"&lt;="&amp;$C$6,Lançamentos!$C:$C,J52,Lançamentos!$I:$I,IF($E$6="Todos","*",$E$6))</f>
        <v>0</v>
      </c>
      <c r="L52" s="39" cm="1">
        <f t="array" ref="L52">SUMPRODUCT(('Fluxo de Caixa'!$B$82:$IL$82&gt;=$B$6)*('Fluxo de Caixa'!$B$82:$IL$82&lt;=$C$6)*'Fluxo de Caixa'!$B$133:$IL$133)</f>
        <v>-12564.189999999997</v>
      </c>
      <c r="M52" s="39">
        <f t="shared" si="4"/>
        <v>12564.189999999997</v>
      </c>
    </row>
    <row r="53" spans="2:13" x14ac:dyDescent="0.3">
      <c r="B53" s="2" t="str">
        <f t="shared" si="7"/>
        <v/>
      </c>
      <c r="C53" s="39" t="str">
        <f>IF(B53="","",SUMIFS(Lançamentos!$F:$F,Lançamentos!$A:$A,"&gt;="&amp;B53,Lançamentos!$A:$A,"&lt;="&amp;MIN($C$6,IF($D$6="Dia",B53,IF($D$6="Semana",B53+6,IF($D$6="Mês",EOMONTH(B53,0),DATE(YEAR(B53),12,31))))),Lançamentos!$I:$I,IF($E$6="Todos","*",$E$6)))</f>
        <v/>
      </c>
      <c r="D53" s="39" t="str" cm="1">
        <f t="array" ref="D53">IF(B53="","",SUMPRODUCT(('Fluxo de Caixa'!$B$82:$IL$82&gt;=B53)*('Fluxo de Caixa'!$B$82:$IL$82&lt;=MIN($C$6,IF($D$6="Dia",B53,IF($D$6="Semana",B53+6,IF($D$6="Mês",EOMONTH(B53,0),DATE(YEAR(B53),12,31))))))*'Fluxo de Caixa'!$B$96:$IL$96))</f>
        <v/>
      </c>
      <c r="E53" s="39" t="str">
        <f>IF(B53="","",SUMIFS(Lançamentos!$G:$G,Lançamentos!$A:$A,"&gt;="&amp;B53,Lançamentos!$A:$A,"&lt;="&amp;MIN($C$6,IF($D$6="Dia",B53,IF($D$6="Semana",B53+6,IF($D$6="Mês",EOMONTH(B53,0),DATE(YEAR(B53),12,31))))),Lançamentos!$I:$I,IF($E$6="Todos","*",$E$6)))</f>
        <v/>
      </c>
      <c r="F53" s="39" t="str" cm="1">
        <f t="array" ref="F53">IF(B53="","",SUMPRODUCT(('Fluxo de Caixa'!$B$82:$IL$82&gt;=B53)*('Fluxo de Caixa'!$B$82:$IL$82&lt;=MIN($C$6,IF($D$6="Dia",B53,IF($D$6="Semana",B53+6,IF($D$6="Mês",EOMONTH(B53,0),DATE(YEAR(B53),12,31))))))*'Fluxo de Caixa'!$B$140:$IL$140))</f>
        <v/>
      </c>
      <c r="G53" s="39" t="str">
        <f t="shared" si="5"/>
        <v/>
      </c>
      <c r="H53" s="63" t="str">
        <f t="shared" si="6"/>
        <v/>
      </c>
      <c r="J53" t="s">
        <v>116</v>
      </c>
      <c r="K53" s="39">
        <f>SUMIFS(Lançamentos!$G:$G,Lançamentos!$A:$A,"&gt;="&amp;$B$6,Lançamentos!$A:$A,"&lt;="&amp;$C$6,Lançamentos!$C:$C,J53,Lançamentos!$I:$I,IF($E$6="Todos","*",$E$6))</f>
        <v>0</v>
      </c>
      <c r="L53" s="39" cm="1">
        <f t="array" ref="L53">SUMPRODUCT(('Fluxo de Caixa'!$B$82:$IL$82&gt;=$B$6)*('Fluxo de Caixa'!$B$82:$IL$82&lt;=$C$6)*'Fluxo de Caixa'!$B$134:$IL$134)</f>
        <v>-2129.04</v>
      </c>
      <c r="M53" s="39">
        <f t="shared" si="4"/>
        <v>2129.04</v>
      </c>
    </row>
    <row r="54" spans="2:13" x14ac:dyDescent="0.3">
      <c r="B54" s="2" t="str">
        <f t="shared" si="7"/>
        <v/>
      </c>
      <c r="C54" s="39" t="str">
        <f>IF(B54="","",SUMIFS(Lançamentos!$F:$F,Lançamentos!$A:$A,"&gt;="&amp;B54,Lançamentos!$A:$A,"&lt;="&amp;MIN($C$6,IF($D$6="Dia",B54,IF($D$6="Semana",B54+6,IF($D$6="Mês",EOMONTH(B54,0),DATE(YEAR(B54),12,31))))),Lançamentos!$I:$I,IF($E$6="Todos","*",$E$6)))</f>
        <v/>
      </c>
      <c r="D54" s="39" t="str" cm="1">
        <f t="array" ref="D54">IF(B54="","",SUMPRODUCT(('Fluxo de Caixa'!$B$82:$IL$82&gt;=B54)*('Fluxo de Caixa'!$B$82:$IL$82&lt;=MIN($C$6,IF($D$6="Dia",B54,IF($D$6="Semana",B54+6,IF($D$6="Mês",EOMONTH(B54,0),DATE(YEAR(B54),12,31))))))*'Fluxo de Caixa'!$B$96:$IL$96))</f>
        <v/>
      </c>
      <c r="E54" s="39" t="str">
        <f>IF(B54="","",SUMIFS(Lançamentos!$G:$G,Lançamentos!$A:$A,"&gt;="&amp;B54,Lançamentos!$A:$A,"&lt;="&amp;MIN($C$6,IF($D$6="Dia",B54,IF($D$6="Semana",B54+6,IF($D$6="Mês",EOMONTH(B54,0),DATE(YEAR(B54),12,31))))),Lançamentos!$I:$I,IF($E$6="Todos","*",$E$6)))</f>
        <v/>
      </c>
      <c r="F54" s="39" t="str" cm="1">
        <f t="array" ref="F54">IF(B54="","",SUMPRODUCT(('Fluxo de Caixa'!$B$82:$IL$82&gt;=B54)*('Fluxo de Caixa'!$B$82:$IL$82&lt;=MIN($C$6,IF($D$6="Dia",B54,IF($D$6="Semana",B54+6,IF($D$6="Mês",EOMONTH(B54,0),DATE(YEAR(B54),12,31))))))*'Fluxo de Caixa'!$B$140:$IL$140))</f>
        <v/>
      </c>
      <c r="G54" s="39" t="str">
        <f t="shared" si="5"/>
        <v/>
      </c>
      <c r="H54" s="63" t="str">
        <f t="shared" si="6"/>
        <v/>
      </c>
      <c r="J54" t="s">
        <v>117</v>
      </c>
      <c r="K54" s="39">
        <f>SUMIFS(Lançamentos!$G:$G,Lançamentos!$A:$A,"&gt;="&amp;$B$6,Lançamentos!$A:$A,"&lt;="&amp;$C$6,Lançamentos!$C:$C,J54,Lançamentos!$I:$I,IF($E$6="Todos","*",$E$6))</f>
        <v>0</v>
      </c>
      <c r="L54" s="39" cm="1">
        <f t="array" ref="L54">SUMPRODUCT(('Fluxo de Caixa'!$B$82:$IL$82&gt;=$B$6)*('Fluxo de Caixa'!$B$82:$IL$82&lt;=$C$6)*'Fluxo de Caixa'!$B$135:$IL$135)</f>
        <v>-3244.2700000000004</v>
      </c>
      <c r="M54" s="39">
        <f t="shared" si="4"/>
        <v>3244.2700000000004</v>
      </c>
    </row>
    <row r="55" spans="2:13" x14ac:dyDescent="0.3">
      <c r="B55" s="2" t="str">
        <f t="shared" si="7"/>
        <v/>
      </c>
      <c r="C55" s="39" t="str">
        <f>IF(B55="","",SUMIFS(Lançamentos!$F:$F,Lançamentos!$A:$A,"&gt;="&amp;B55,Lançamentos!$A:$A,"&lt;="&amp;MIN($C$6,IF($D$6="Dia",B55,IF($D$6="Semana",B55+6,IF($D$6="Mês",EOMONTH(B55,0),DATE(YEAR(B55),12,31))))),Lançamentos!$I:$I,IF($E$6="Todos","*",$E$6)))</f>
        <v/>
      </c>
      <c r="D55" s="39" t="str" cm="1">
        <f t="array" ref="D55">IF(B55="","",SUMPRODUCT(('Fluxo de Caixa'!$B$82:$IL$82&gt;=B55)*('Fluxo de Caixa'!$B$82:$IL$82&lt;=MIN($C$6,IF($D$6="Dia",B55,IF($D$6="Semana",B55+6,IF($D$6="Mês",EOMONTH(B55,0),DATE(YEAR(B55),12,31))))))*'Fluxo de Caixa'!$B$96:$IL$96))</f>
        <v/>
      </c>
      <c r="E55" s="39" t="str">
        <f>IF(B55="","",SUMIFS(Lançamentos!$G:$G,Lançamentos!$A:$A,"&gt;="&amp;B55,Lançamentos!$A:$A,"&lt;="&amp;MIN($C$6,IF($D$6="Dia",B55,IF($D$6="Semana",B55+6,IF($D$6="Mês",EOMONTH(B55,0),DATE(YEAR(B55),12,31))))),Lançamentos!$I:$I,IF($E$6="Todos","*",$E$6)))</f>
        <v/>
      </c>
      <c r="F55" s="39" t="str" cm="1">
        <f t="array" ref="F55">IF(B55="","",SUMPRODUCT(('Fluxo de Caixa'!$B$82:$IL$82&gt;=B55)*('Fluxo de Caixa'!$B$82:$IL$82&lt;=MIN($C$6,IF($D$6="Dia",B55,IF($D$6="Semana",B55+6,IF($D$6="Mês",EOMONTH(B55,0),DATE(YEAR(B55),12,31))))))*'Fluxo de Caixa'!$B$140:$IL$140))</f>
        <v/>
      </c>
      <c r="G55" s="39" t="str">
        <f t="shared" si="5"/>
        <v/>
      </c>
      <c r="H55" s="63" t="str">
        <f t="shared" si="6"/>
        <v/>
      </c>
      <c r="J55" t="s">
        <v>118</v>
      </c>
      <c r="K55" s="39">
        <f>SUMIFS(Lançamentos!$G:$G,Lançamentos!$A:$A,"&gt;="&amp;$B$6,Lançamentos!$A:$A,"&lt;="&amp;$C$6,Lançamentos!$C:$C,J55,Lançamentos!$I:$I,IF($E$6="Todos","*",$E$6))</f>
        <v>0</v>
      </c>
      <c r="L55" s="39" cm="1">
        <f t="array" ref="L55">SUMPRODUCT(('Fluxo de Caixa'!$B$82:$IL$82&gt;=$B$6)*('Fluxo de Caixa'!$B$82:$IL$82&lt;=$C$6)*'Fluxo de Caixa'!$B$136:$IL$136)</f>
        <v>-4235.7500000000009</v>
      </c>
      <c r="M55" s="39">
        <f t="shared" si="4"/>
        <v>4235.7500000000009</v>
      </c>
    </row>
    <row r="56" spans="2:13" x14ac:dyDescent="0.3">
      <c r="B56" s="2" t="str">
        <f t="shared" si="7"/>
        <v/>
      </c>
      <c r="C56" s="39" t="str">
        <f>IF(B56="","",SUMIFS(Lançamentos!$F:$F,Lançamentos!$A:$A,"&gt;="&amp;B56,Lançamentos!$A:$A,"&lt;="&amp;MIN($C$6,IF($D$6="Dia",B56,IF($D$6="Semana",B56+6,IF($D$6="Mês",EOMONTH(B56,0),DATE(YEAR(B56),12,31))))),Lançamentos!$I:$I,IF($E$6="Todos","*",$E$6)))</f>
        <v/>
      </c>
      <c r="D56" s="39" t="str" cm="1">
        <f t="array" ref="D56">IF(B56="","",SUMPRODUCT(('Fluxo de Caixa'!$B$82:$IL$82&gt;=B56)*('Fluxo de Caixa'!$B$82:$IL$82&lt;=MIN($C$6,IF($D$6="Dia",B56,IF($D$6="Semana",B56+6,IF($D$6="Mês",EOMONTH(B56,0),DATE(YEAR(B56),12,31))))))*'Fluxo de Caixa'!$B$96:$IL$96))</f>
        <v/>
      </c>
      <c r="E56" s="39" t="str">
        <f>IF(B56="","",SUMIFS(Lançamentos!$G:$G,Lançamentos!$A:$A,"&gt;="&amp;B56,Lançamentos!$A:$A,"&lt;="&amp;MIN($C$6,IF($D$6="Dia",B56,IF($D$6="Semana",B56+6,IF($D$6="Mês",EOMONTH(B56,0),DATE(YEAR(B56),12,31))))),Lançamentos!$I:$I,IF($E$6="Todos","*",$E$6)))</f>
        <v/>
      </c>
      <c r="F56" s="39" t="str" cm="1">
        <f t="array" ref="F56">IF(B56="","",SUMPRODUCT(('Fluxo de Caixa'!$B$82:$IL$82&gt;=B56)*('Fluxo de Caixa'!$B$82:$IL$82&lt;=MIN($C$6,IF($D$6="Dia",B56,IF($D$6="Semana",B56+6,IF($D$6="Mês",EOMONTH(B56,0),DATE(YEAR(B56),12,31))))))*'Fluxo de Caixa'!$B$140:$IL$140))</f>
        <v/>
      </c>
      <c r="G56" s="39" t="str">
        <f t="shared" si="5"/>
        <v/>
      </c>
      <c r="H56" s="63" t="str">
        <f t="shared" si="6"/>
        <v/>
      </c>
      <c r="J56" t="s">
        <v>119</v>
      </c>
      <c r="K56" s="39">
        <f>SUMIFS(Lançamentos!$G:$G,Lançamentos!$A:$A,"&gt;="&amp;$B$6,Lançamentos!$A:$A,"&lt;="&amp;$C$6,Lançamentos!$C:$C,J56,Lançamentos!$I:$I,IF($E$6="Todos","*",$E$6))</f>
        <v>0</v>
      </c>
      <c r="L56" s="39" cm="1">
        <f t="array" ref="L56">SUMPRODUCT(('Fluxo de Caixa'!$B$82:$IL$82&gt;=$B$6)*('Fluxo de Caixa'!$B$82:$IL$82&lt;=$C$6)*'Fluxo de Caixa'!$B$137:$IL$137)</f>
        <v>-1246.7399999999998</v>
      </c>
      <c r="M56" s="39">
        <f t="shared" si="4"/>
        <v>1246.7399999999998</v>
      </c>
    </row>
    <row r="57" spans="2:13" x14ac:dyDescent="0.3">
      <c r="B57" s="2" t="str">
        <f t="shared" si="7"/>
        <v/>
      </c>
      <c r="C57" s="39" t="str">
        <f>IF(B57="","",SUMIFS(Lançamentos!$F:$F,Lançamentos!$A:$A,"&gt;="&amp;B57,Lançamentos!$A:$A,"&lt;="&amp;MIN($C$6,IF($D$6="Dia",B57,IF($D$6="Semana",B57+6,IF($D$6="Mês",EOMONTH(B57,0),DATE(YEAR(B57),12,31))))),Lançamentos!$I:$I,IF($E$6="Todos","*",$E$6)))</f>
        <v/>
      </c>
      <c r="D57" s="39" t="str" cm="1">
        <f t="array" ref="D57">IF(B57="","",SUMPRODUCT(('Fluxo de Caixa'!$B$82:$IL$82&gt;=B57)*('Fluxo de Caixa'!$B$82:$IL$82&lt;=MIN($C$6,IF($D$6="Dia",B57,IF($D$6="Semana",B57+6,IF($D$6="Mês",EOMONTH(B57,0),DATE(YEAR(B57),12,31))))))*'Fluxo de Caixa'!$B$96:$IL$96))</f>
        <v/>
      </c>
      <c r="E57" s="39" t="str">
        <f>IF(B57="","",SUMIFS(Lançamentos!$G:$G,Lançamentos!$A:$A,"&gt;="&amp;B57,Lançamentos!$A:$A,"&lt;="&amp;MIN($C$6,IF($D$6="Dia",B57,IF($D$6="Semana",B57+6,IF($D$6="Mês",EOMONTH(B57,0),DATE(YEAR(B57),12,31))))),Lançamentos!$I:$I,IF($E$6="Todos","*",$E$6)))</f>
        <v/>
      </c>
      <c r="F57" s="39" t="str" cm="1">
        <f t="array" ref="F57">IF(B57="","",SUMPRODUCT(('Fluxo de Caixa'!$B$82:$IL$82&gt;=B57)*('Fluxo de Caixa'!$B$82:$IL$82&lt;=MIN($C$6,IF($D$6="Dia",B57,IF($D$6="Semana",B57+6,IF($D$6="Mês",EOMONTH(B57,0),DATE(YEAR(B57),12,31))))))*'Fluxo de Caixa'!$B$140:$IL$140))</f>
        <v/>
      </c>
      <c r="G57" s="39" t="str">
        <f t="shared" si="5"/>
        <v/>
      </c>
      <c r="H57" s="63" t="str">
        <f t="shared" si="6"/>
        <v/>
      </c>
      <c r="J57" t="s">
        <v>120</v>
      </c>
      <c r="K57" s="39">
        <f>SUMIFS(Lançamentos!$G:$G,Lançamentos!$A:$A,"&gt;="&amp;$B$6,Lançamentos!$A:$A,"&lt;="&amp;$C$6,Lançamentos!$C:$C,J57,Lançamentos!$I:$I,IF($E$6="Todos","*",$E$6))</f>
        <v>0</v>
      </c>
      <c r="L57" s="39" cm="1">
        <f t="array" ref="L57">SUMPRODUCT(('Fluxo de Caixa'!$B$82:$IL$82&gt;=$B$6)*('Fluxo de Caixa'!$B$82:$IL$82&lt;=$C$6)*'Fluxo de Caixa'!$B$138:$IL$138)</f>
        <v>-1705.32</v>
      </c>
      <c r="M57" s="39">
        <f t="shared" si="4"/>
        <v>1705.32</v>
      </c>
    </row>
    <row r="58" spans="2:13" x14ac:dyDescent="0.3">
      <c r="B58" s="2" t="str">
        <f t="shared" si="7"/>
        <v/>
      </c>
      <c r="C58" s="39" t="str">
        <f>IF(B58="","",SUMIFS(Lançamentos!$F:$F,Lançamentos!$A:$A,"&gt;="&amp;B58,Lançamentos!$A:$A,"&lt;="&amp;MIN($C$6,IF($D$6="Dia",B58,IF($D$6="Semana",B58+6,IF($D$6="Mês",EOMONTH(B58,0),DATE(YEAR(B58),12,31))))),Lançamentos!$I:$I,IF($E$6="Todos","*",$E$6)))</f>
        <v/>
      </c>
      <c r="D58" s="39" t="str" cm="1">
        <f t="array" ref="D58">IF(B58="","",SUMPRODUCT(('Fluxo de Caixa'!$B$82:$IL$82&gt;=B58)*('Fluxo de Caixa'!$B$82:$IL$82&lt;=MIN($C$6,IF($D$6="Dia",B58,IF($D$6="Semana",B58+6,IF($D$6="Mês",EOMONTH(B58,0),DATE(YEAR(B58),12,31))))))*'Fluxo de Caixa'!$B$96:$IL$96))</f>
        <v/>
      </c>
      <c r="E58" s="39" t="str">
        <f>IF(B58="","",SUMIFS(Lançamentos!$G:$G,Lançamentos!$A:$A,"&gt;="&amp;B58,Lançamentos!$A:$A,"&lt;="&amp;MIN($C$6,IF($D$6="Dia",B58,IF($D$6="Semana",B58+6,IF($D$6="Mês",EOMONTH(B58,0),DATE(YEAR(B58),12,31))))),Lançamentos!$I:$I,IF($E$6="Todos","*",$E$6)))</f>
        <v/>
      </c>
      <c r="F58" s="39" t="str" cm="1">
        <f t="array" ref="F58">IF(B58="","",SUMPRODUCT(('Fluxo de Caixa'!$B$82:$IL$82&gt;=B58)*('Fluxo de Caixa'!$B$82:$IL$82&lt;=MIN($C$6,IF($D$6="Dia",B58,IF($D$6="Semana",B58+6,IF($D$6="Mês",EOMONTH(B58,0),DATE(YEAR(B58),12,31))))))*'Fluxo de Caixa'!$B$140:$IL$140))</f>
        <v/>
      </c>
      <c r="G58" s="39" t="str">
        <f t="shared" si="5"/>
        <v/>
      </c>
      <c r="H58" s="63" t="str">
        <f t="shared" si="6"/>
        <v/>
      </c>
      <c r="J58" t="s">
        <v>121</v>
      </c>
      <c r="K58" s="39">
        <f>SUMIFS(Lançamentos!$G:$G,Lançamentos!$A:$A,"&gt;="&amp;$B$6,Lançamentos!$A:$A,"&lt;="&amp;$C$6,Lançamentos!$C:$C,J58,Lançamentos!$I:$I,IF($E$6="Todos","*",$E$6))</f>
        <v>0</v>
      </c>
      <c r="L58" s="39" cm="1">
        <f t="array" ref="L58">SUMPRODUCT(('Fluxo de Caixa'!$B$82:$IL$82&gt;=$B$6)*('Fluxo de Caixa'!$B$82:$IL$82&lt;=$C$6)*'Fluxo de Caixa'!$B$139:$IL$139)</f>
        <v>-1474.9499999999998</v>
      </c>
      <c r="M58" s="39">
        <f t="shared" si="4"/>
        <v>1474.9499999999998</v>
      </c>
    </row>
    <row r="59" spans="2:13" x14ac:dyDescent="0.3">
      <c r="B59" s="2" t="str">
        <f t="shared" si="7"/>
        <v/>
      </c>
      <c r="C59" s="39" t="str">
        <f>IF(B59="","",SUMIFS(Lançamentos!$F:$F,Lançamentos!$A:$A,"&gt;="&amp;B59,Lançamentos!$A:$A,"&lt;="&amp;MIN($C$6,IF($D$6="Dia",B59,IF($D$6="Semana",B59+6,IF($D$6="Mês",EOMONTH(B59,0),DATE(YEAR(B59),12,31))))),Lançamentos!$I:$I,IF($E$6="Todos","*",$E$6)))</f>
        <v/>
      </c>
      <c r="D59" s="39" t="str" cm="1">
        <f t="array" ref="D59">IF(B59="","",SUMPRODUCT(('Fluxo de Caixa'!$B$82:$IL$82&gt;=B59)*('Fluxo de Caixa'!$B$82:$IL$82&lt;=MIN($C$6,IF($D$6="Dia",B59,IF($D$6="Semana",B59+6,IF($D$6="Mês",EOMONTH(B59,0),DATE(YEAR(B59),12,31))))))*'Fluxo de Caixa'!$B$96:$IL$96))</f>
        <v/>
      </c>
      <c r="E59" s="39" t="str">
        <f>IF(B59="","",SUMIFS(Lançamentos!$G:$G,Lançamentos!$A:$A,"&gt;="&amp;B59,Lançamentos!$A:$A,"&lt;="&amp;MIN($C$6,IF($D$6="Dia",B59,IF($D$6="Semana",B59+6,IF($D$6="Mês",EOMONTH(B59,0),DATE(YEAR(B59),12,31))))),Lançamentos!$I:$I,IF($E$6="Todos","*",$E$6)))</f>
        <v/>
      </c>
      <c r="F59" s="39" t="str" cm="1">
        <f t="array" ref="F59">IF(B59="","",SUMPRODUCT(('Fluxo de Caixa'!$B$82:$IL$82&gt;=B59)*('Fluxo de Caixa'!$B$82:$IL$82&lt;=MIN($C$6,IF($D$6="Dia",B59,IF($D$6="Semana",B59+6,IF($D$6="Mês",EOMONTH(B59,0),DATE(YEAR(B59),12,31))))))*'Fluxo de Caixa'!$B$140:$IL$140))</f>
        <v/>
      </c>
      <c r="G59" s="39" t="str">
        <f t="shared" si="5"/>
        <v/>
      </c>
      <c r="H59" s="63" t="str">
        <f t="shared" si="6"/>
        <v/>
      </c>
    </row>
    <row r="60" spans="2:13" x14ac:dyDescent="0.3">
      <c r="B60" s="2" t="str">
        <f t="shared" si="7"/>
        <v/>
      </c>
      <c r="C60" s="39" t="str">
        <f>IF(B60="","",SUMIFS(Lançamentos!$F:$F,Lançamentos!$A:$A,"&gt;="&amp;B60,Lançamentos!$A:$A,"&lt;="&amp;MIN($C$6,IF($D$6="Dia",B60,IF($D$6="Semana",B60+6,IF($D$6="Mês",EOMONTH(B60,0),DATE(YEAR(B60),12,31))))),Lançamentos!$I:$I,IF($E$6="Todos","*",$E$6)))</f>
        <v/>
      </c>
      <c r="D60" s="39" t="str" cm="1">
        <f t="array" ref="D60">IF(B60="","",SUMPRODUCT(('Fluxo de Caixa'!$B$82:$IL$82&gt;=B60)*('Fluxo de Caixa'!$B$82:$IL$82&lt;=MIN($C$6,IF($D$6="Dia",B60,IF($D$6="Semana",B60+6,IF($D$6="Mês",EOMONTH(B60,0),DATE(YEAR(B60),12,31))))))*'Fluxo de Caixa'!$B$96:$IL$96))</f>
        <v/>
      </c>
      <c r="E60" s="39" t="str">
        <f>IF(B60="","",SUMIFS(Lançamentos!$G:$G,Lançamentos!$A:$A,"&gt;="&amp;B60,Lançamentos!$A:$A,"&lt;="&amp;MIN($C$6,IF($D$6="Dia",B60,IF($D$6="Semana",B60+6,IF($D$6="Mês",EOMONTH(B60,0),DATE(YEAR(B60),12,31))))),Lançamentos!$I:$I,IF($E$6="Todos","*",$E$6)))</f>
        <v/>
      </c>
      <c r="F60" s="39" t="str" cm="1">
        <f t="array" ref="F60">IF(B60="","",SUMPRODUCT(('Fluxo de Caixa'!$B$82:$IL$82&gt;=B60)*('Fluxo de Caixa'!$B$82:$IL$82&lt;=MIN($C$6,IF($D$6="Dia",B60,IF($D$6="Semana",B60+6,IF($D$6="Mês",EOMONTH(B60,0),DATE(YEAR(B60),12,31))))))*'Fluxo de Caixa'!$B$140:$IL$140))</f>
        <v/>
      </c>
      <c r="G60" s="39" t="str">
        <f t="shared" si="5"/>
        <v/>
      </c>
      <c r="H60" s="63" t="str">
        <f t="shared" si="6"/>
        <v/>
      </c>
    </row>
    <row r="61" spans="2:13" x14ac:dyDescent="0.3">
      <c r="B61" s="2" t="str">
        <f t="shared" si="7"/>
        <v/>
      </c>
      <c r="C61" s="39" t="str">
        <f>IF(B61="","",SUMIFS(Lançamentos!$F:$F,Lançamentos!$A:$A,"&gt;="&amp;B61,Lançamentos!$A:$A,"&lt;="&amp;MIN($C$6,IF($D$6="Dia",B61,IF($D$6="Semana",B61+6,IF($D$6="Mês",EOMONTH(B61,0),DATE(YEAR(B61),12,31))))),Lançamentos!$I:$I,IF($E$6="Todos","*",$E$6)))</f>
        <v/>
      </c>
      <c r="D61" s="39" t="str" cm="1">
        <f t="array" ref="D61">IF(B61="","",SUMPRODUCT(('Fluxo de Caixa'!$B$82:$IL$82&gt;=B61)*('Fluxo de Caixa'!$B$82:$IL$82&lt;=MIN($C$6,IF($D$6="Dia",B61,IF($D$6="Semana",B61+6,IF($D$6="Mês",EOMONTH(B61,0),DATE(YEAR(B61),12,31))))))*'Fluxo de Caixa'!$B$96:$IL$96))</f>
        <v/>
      </c>
      <c r="E61" s="39" t="str">
        <f>IF(B61="","",SUMIFS(Lançamentos!$G:$G,Lançamentos!$A:$A,"&gt;="&amp;B61,Lançamentos!$A:$A,"&lt;="&amp;MIN($C$6,IF($D$6="Dia",B61,IF($D$6="Semana",B61+6,IF($D$6="Mês",EOMONTH(B61,0),DATE(YEAR(B61),12,31))))),Lançamentos!$I:$I,IF($E$6="Todos","*",$E$6)))</f>
        <v/>
      </c>
      <c r="F61" s="39" t="str" cm="1">
        <f t="array" ref="F61">IF(B61="","",SUMPRODUCT(('Fluxo de Caixa'!$B$82:$IL$82&gt;=B61)*('Fluxo de Caixa'!$B$82:$IL$82&lt;=MIN($C$6,IF($D$6="Dia",B61,IF($D$6="Semana",B61+6,IF($D$6="Mês",EOMONTH(B61,0),DATE(YEAR(B61),12,31))))))*'Fluxo de Caixa'!$B$140:$IL$140))</f>
        <v/>
      </c>
      <c r="G61" s="39" t="str">
        <f t="shared" si="5"/>
        <v/>
      </c>
      <c r="H61" s="63" t="str">
        <f t="shared" si="6"/>
        <v/>
      </c>
    </row>
    <row r="62" spans="2:13" x14ac:dyDescent="0.3">
      <c r="B62" s="2" t="str">
        <f t="shared" si="7"/>
        <v/>
      </c>
      <c r="C62" s="39" t="str">
        <f>IF(B62="","",SUMIFS(Lançamentos!$F:$F,Lançamentos!$A:$A,"&gt;="&amp;B62,Lançamentos!$A:$A,"&lt;="&amp;MIN($C$6,IF($D$6="Dia",B62,IF($D$6="Semana",B62+6,IF($D$6="Mês",EOMONTH(B62,0),DATE(YEAR(B62),12,31))))),Lançamentos!$I:$I,IF($E$6="Todos","*",$E$6)))</f>
        <v/>
      </c>
      <c r="D62" s="39" t="str" cm="1">
        <f t="array" ref="D62">IF(B62="","",SUMPRODUCT(('Fluxo de Caixa'!$B$82:$IL$82&gt;=B62)*('Fluxo de Caixa'!$B$82:$IL$82&lt;=MIN($C$6,IF($D$6="Dia",B62,IF($D$6="Semana",B62+6,IF($D$6="Mês",EOMONTH(B62,0),DATE(YEAR(B62),12,31))))))*'Fluxo de Caixa'!$B$96:$IL$96))</f>
        <v/>
      </c>
      <c r="E62" s="39" t="str">
        <f>IF(B62="","",SUMIFS(Lançamentos!$G:$G,Lançamentos!$A:$A,"&gt;="&amp;B62,Lançamentos!$A:$A,"&lt;="&amp;MIN($C$6,IF($D$6="Dia",B62,IF($D$6="Semana",B62+6,IF($D$6="Mês",EOMONTH(B62,0),DATE(YEAR(B62),12,31))))),Lançamentos!$I:$I,IF($E$6="Todos","*",$E$6)))</f>
        <v/>
      </c>
      <c r="F62" s="39" t="str" cm="1">
        <f t="array" ref="F62">IF(B62="","",SUMPRODUCT(('Fluxo de Caixa'!$B$82:$IL$82&gt;=B62)*('Fluxo de Caixa'!$B$82:$IL$82&lt;=MIN($C$6,IF($D$6="Dia",B62,IF($D$6="Semana",B62+6,IF($D$6="Mês",EOMONTH(B62,0),DATE(YEAR(B62),12,31))))))*'Fluxo de Caixa'!$B$140:$IL$140))</f>
        <v/>
      </c>
      <c r="G62" s="39" t="str">
        <f t="shared" si="5"/>
        <v/>
      </c>
      <c r="H62" s="63" t="str">
        <f t="shared" si="6"/>
        <v/>
      </c>
    </row>
    <row r="63" spans="2:13" x14ac:dyDescent="0.3">
      <c r="B63" s="2" t="str">
        <f t="shared" si="7"/>
        <v/>
      </c>
      <c r="C63" s="39" t="str">
        <f>IF(B63="","",SUMIFS(Lançamentos!$F:$F,Lançamentos!$A:$A,"&gt;="&amp;B63,Lançamentos!$A:$A,"&lt;="&amp;MIN($C$6,IF($D$6="Dia",B63,IF($D$6="Semana",B63+6,IF($D$6="Mês",EOMONTH(B63,0),DATE(YEAR(B63),12,31))))),Lançamentos!$I:$I,IF($E$6="Todos","*",$E$6)))</f>
        <v/>
      </c>
      <c r="D63" s="39" t="str" cm="1">
        <f t="array" ref="D63">IF(B63="","",SUMPRODUCT(('Fluxo de Caixa'!$B$82:$IL$82&gt;=B63)*('Fluxo de Caixa'!$B$82:$IL$82&lt;=MIN($C$6,IF($D$6="Dia",B63,IF($D$6="Semana",B63+6,IF($D$6="Mês",EOMONTH(B63,0),DATE(YEAR(B63),12,31))))))*'Fluxo de Caixa'!$B$96:$IL$96))</f>
        <v/>
      </c>
      <c r="E63" s="39" t="str">
        <f>IF(B63="","",SUMIFS(Lançamentos!$G:$G,Lançamentos!$A:$A,"&gt;="&amp;B63,Lançamentos!$A:$A,"&lt;="&amp;MIN($C$6,IF($D$6="Dia",B63,IF($D$6="Semana",B63+6,IF($D$6="Mês",EOMONTH(B63,0),DATE(YEAR(B63),12,31))))),Lançamentos!$I:$I,IF($E$6="Todos","*",$E$6)))</f>
        <v/>
      </c>
      <c r="F63" s="39" t="str" cm="1">
        <f t="array" ref="F63">IF(B63="","",SUMPRODUCT(('Fluxo de Caixa'!$B$82:$IL$82&gt;=B63)*('Fluxo de Caixa'!$B$82:$IL$82&lt;=MIN($C$6,IF($D$6="Dia",B63,IF($D$6="Semana",B63+6,IF($D$6="Mês",EOMONTH(B63,0),DATE(YEAR(B63),12,31))))))*'Fluxo de Caixa'!$B$140:$IL$140))</f>
        <v/>
      </c>
      <c r="G63" s="39" t="str">
        <f t="shared" si="5"/>
        <v/>
      </c>
      <c r="H63" s="63" t="str">
        <f t="shared" si="6"/>
        <v/>
      </c>
    </row>
    <row r="64" spans="2:13" x14ac:dyDescent="0.3">
      <c r="B64" s="2" t="str">
        <f t="shared" si="7"/>
        <v/>
      </c>
      <c r="C64" s="39" t="str">
        <f>IF(B64="","",SUMIFS(Lançamentos!$F:$F,Lançamentos!$A:$A,"&gt;="&amp;B64,Lançamentos!$A:$A,"&lt;="&amp;MIN($C$6,IF($D$6="Dia",B64,IF($D$6="Semana",B64+6,IF($D$6="Mês",EOMONTH(B64,0),DATE(YEAR(B64),12,31))))),Lançamentos!$I:$I,IF($E$6="Todos","*",$E$6)))</f>
        <v/>
      </c>
      <c r="D64" s="39" t="str" cm="1">
        <f t="array" ref="D64">IF(B64="","",SUMPRODUCT(('Fluxo de Caixa'!$B$82:$IL$82&gt;=B64)*('Fluxo de Caixa'!$B$82:$IL$82&lt;=MIN($C$6,IF($D$6="Dia",B64,IF($D$6="Semana",B64+6,IF($D$6="Mês",EOMONTH(B64,0),DATE(YEAR(B64),12,31))))))*'Fluxo de Caixa'!$B$96:$IL$96))</f>
        <v/>
      </c>
      <c r="E64" s="39" t="str">
        <f>IF(B64="","",SUMIFS(Lançamentos!$G:$G,Lançamentos!$A:$A,"&gt;="&amp;B64,Lançamentos!$A:$A,"&lt;="&amp;MIN($C$6,IF($D$6="Dia",B64,IF($D$6="Semana",B64+6,IF($D$6="Mês",EOMONTH(B64,0),DATE(YEAR(B64),12,31))))),Lançamentos!$I:$I,IF($E$6="Todos","*",$E$6)))</f>
        <v/>
      </c>
      <c r="F64" s="39" t="str" cm="1">
        <f t="array" ref="F64">IF(B64="","",SUMPRODUCT(('Fluxo de Caixa'!$B$82:$IL$82&gt;=B64)*('Fluxo de Caixa'!$B$82:$IL$82&lt;=MIN($C$6,IF($D$6="Dia",B64,IF($D$6="Semana",B64+6,IF($D$6="Mês",EOMONTH(B64,0),DATE(YEAR(B64),12,31))))))*'Fluxo de Caixa'!$B$140:$IL$140))</f>
        <v/>
      </c>
      <c r="G64" s="39" t="str">
        <f t="shared" si="5"/>
        <v/>
      </c>
      <c r="H64" s="63" t="str">
        <f t="shared" si="6"/>
        <v/>
      </c>
    </row>
    <row r="65" spans="2:8" x14ac:dyDescent="0.3">
      <c r="B65" s="2" t="str">
        <f t="shared" si="7"/>
        <v/>
      </c>
      <c r="C65" s="39" t="str">
        <f>IF(B65="","",SUMIFS(Lançamentos!$F:$F,Lançamentos!$A:$A,"&gt;="&amp;B65,Lançamentos!$A:$A,"&lt;="&amp;MIN($C$6,IF($D$6="Dia",B65,IF($D$6="Semana",B65+6,IF($D$6="Mês",EOMONTH(B65,0),DATE(YEAR(B65),12,31))))),Lançamentos!$I:$I,IF($E$6="Todos","*",$E$6)))</f>
        <v/>
      </c>
      <c r="D65" s="39" t="str" cm="1">
        <f t="array" ref="D65">IF(B65="","",SUMPRODUCT(('Fluxo de Caixa'!$B$82:$IL$82&gt;=B65)*('Fluxo de Caixa'!$B$82:$IL$82&lt;=MIN($C$6,IF($D$6="Dia",B65,IF($D$6="Semana",B65+6,IF($D$6="Mês",EOMONTH(B65,0),DATE(YEAR(B65),12,31))))))*'Fluxo de Caixa'!$B$96:$IL$96))</f>
        <v/>
      </c>
      <c r="E65" s="39" t="str">
        <f>IF(B65="","",SUMIFS(Lançamentos!$G:$G,Lançamentos!$A:$A,"&gt;="&amp;B65,Lançamentos!$A:$A,"&lt;="&amp;MIN($C$6,IF($D$6="Dia",B65,IF($D$6="Semana",B65+6,IF($D$6="Mês",EOMONTH(B65,0),DATE(YEAR(B65),12,31))))),Lançamentos!$I:$I,IF($E$6="Todos","*",$E$6)))</f>
        <v/>
      </c>
      <c r="F65" s="39" t="str" cm="1">
        <f t="array" ref="F65">IF(B65="","",SUMPRODUCT(('Fluxo de Caixa'!$B$82:$IL$82&gt;=B65)*('Fluxo de Caixa'!$B$82:$IL$82&lt;=MIN($C$6,IF($D$6="Dia",B65,IF($D$6="Semana",B65+6,IF($D$6="Mês",EOMONTH(B65,0),DATE(YEAR(B65),12,31))))))*'Fluxo de Caixa'!$B$140:$IL$140))</f>
        <v/>
      </c>
      <c r="G65" s="39" t="str">
        <f t="shared" si="5"/>
        <v/>
      </c>
      <c r="H65" s="63" t="str">
        <f t="shared" si="6"/>
        <v/>
      </c>
    </row>
    <row r="66" spans="2:8" x14ac:dyDescent="0.3">
      <c r="B66" s="2" t="str">
        <f t="shared" si="7"/>
        <v/>
      </c>
      <c r="C66" s="39" t="str">
        <f>IF(B66="","",SUMIFS(Lançamentos!$F:$F,Lançamentos!$A:$A,"&gt;="&amp;B66,Lançamentos!$A:$A,"&lt;="&amp;MIN($C$6,IF($D$6="Dia",B66,IF($D$6="Semana",B66+6,IF($D$6="Mês",EOMONTH(B66,0),DATE(YEAR(B66),12,31))))),Lançamentos!$I:$I,IF($E$6="Todos","*",$E$6)))</f>
        <v/>
      </c>
      <c r="D66" s="39" t="str" cm="1">
        <f t="array" ref="D66">IF(B66="","",SUMPRODUCT(('Fluxo de Caixa'!$B$82:$IL$82&gt;=B66)*('Fluxo de Caixa'!$B$82:$IL$82&lt;=MIN($C$6,IF($D$6="Dia",B66,IF($D$6="Semana",B66+6,IF($D$6="Mês",EOMONTH(B66,0),DATE(YEAR(B66),12,31))))))*'Fluxo de Caixa'!$B$96:$IL$96))</f>
        <v/>
      </c>
      <c r="E66" s="39" t="str">
        <f>IF(B66="","",SUMIFS(Lançamentos!$G:$G,Lançamentos!$A:$A,"&gt;="&amp;B66,Lançamentos!$A:$A,"&lt;="&amp;MIN($C$6,IF($D$6="Dia",B66,IF($D$6="Semana",B66+6,IF($D$6="Mês",EOMONTH(B66,0),DATE(YEAR(B66),12,31))))),Lançamentos!$I:$I,IF($E$6="Todos","*",$E$6)))</f>
        <v/>
      </c>
      <c r="F66" s="39" t="str" cm="1">
        <f t="array" ref="F66">IF(B66="","",SUMPRODUCT(('Fluxo de Caixa'!$B$82:$IL$82&gt;=B66)*('Fluxo de Caixa'!$B$82:$IL$82&lt;=MIN($C$6,IF($D$6="Dia",B66,IF($D$6="Semana",B66+6,IF($D$6="Mês",EOMONTH(B66,0),DATE(YEAR(B66),12,31))))))*'Fluxo de Caixa'!$B$140:$IL$140))</f>
        <v/>
      </c>
      <c r="G66" s="39" t="str">
        <f t="shared" si="5"/>
        <v/>
      </c>
      <c r="H66" s="63" t="str">
        <f t="shared" si="6"/>
        <v/>
      </c>
    </row>
    <row r="67" spans="2:8" x14ac:dyDescent="0.3">
      <c r="B67" s="2" t="str">
        <f t="shared" si="7"/>
        <v/>
      </c>
      <c r="C67" s="39" t="str">
        <f>IF(B67="","",SUMIFS(Lançamentos!$F:$F,Lançamentos!$A:$A,"&gt;="&amp;B67,Lançamentos!$A:$A,"&lt;="&amp;MIN($C$6,IF($D$6="Dia",B67,IF($D$6="Semana",B67+6,IF($D$6="Mês",EOMONTH(B67,0),DATE(YEAR(B67),12,31))))),Lançamentos!$I:$I,IF($E$6="Todos","*",$E$6)))</f>
        <v/>
      </c>
      <c r="D67" s="39" t="str" cm="1">
        <f t="array" ref="D67">IF(B67="","",SUMPRODUCT(('Fluxo de Caixa'!$B$82:$IL$82&gt;=B67)*('Fluxo de Caixa'!$B$82:$IL$82&lt;=MIN($C$6,IF($D$6="Dia",B67,IF($D$6="Semana",B67+6,IF($D$6="Mês",EOMONTH(B67,0),DATE(YEAR(B67),12,31))))))*'Fluxo de Caixa'!$B$96:$IL$96))</f>
        <v/>
      </c>
      <c r="E67" s="39" t="str">
        <f>IF(B67="","",SUMIFS(Lançamentos!$G:$G,Lançamentos!$A:$A,"&gt;="&amp;B67,Lançamentos!$A:$A,"&lt;="&amp;MIN($C$6,IF($D$6="Dia",B67,IF($D$6="Semana",B67+6,IF($D$6="Mês",EOMONTH(B67,0),DATE(YEAR(B67),12,31))))),Lançamentos!$I:$I,IF($E$6="Todos","*",$E$6)))</f>
        <v/>
      </c>
      <c r="F67" s="39" t="str" cm="1">
        <f t="array" ref="F67">IF(B67="","",SUMPRODUCT(('Fluxo de Caixa'!$B$82:$IL$82&gt;=B67)*('Fluxo de Caixa'!$B$82:$IL$82&lt;=MIN($C$6,IF($D$6="Dia",B67,IF($D$6="Semana",B67+6,IF($D$6="Mês",EOMONTH(B67,0),DATE(YEAR(B67),12,31))))))*'Fluxo de Caixa'!$B$140:$IL$140))</f>
        <v/>
      </c>
      <c r="G67" s="39" t="str">
        <f t="shared" si="5"/>
        <v/>
      </c>
      <c r="H67" s="63" t="str">
        <f t="shared" si="6"/>
        <v/>
      </c>
    </row>
  </sheetData>
  <mergeCells count="4">
    <mergeCell ref="B2:H2"/>
    <mergeCell ref="B4:E4"/>
    <mergeCell ref="B13:H13"/>
    <mergeCell ref="J4:M4"/>
  </mergeCells>
  <dataValidations count="2">
    <dataValidation type="list" allowBlank="1" showInputMessage="1" showErrorMessage="1" sqref="D6" xr:uid="{52326819-A895-4730-B216-28DA3AE6830B}">
      <formula1>"Dia,Semana,Mês,Ano"</formula1>
    </dataValidation>
    <dataValidation type="list" allowBlank="1" showInputMessage="1" showErrorMessage="1" sqref="E6" xr:uid="{1F1390AB-C56D-4063-8FD8-0B12731E66FA}">
      <formula1>"Todos,Banco do Brasil,Itaú,Caixa"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Lançamentos</vt:lpstr>
      <vt:lpstr>Categorias</vt:lpstr>
      <vt:lpstr>DRE</vt:lpstr>
      <vt:lpstr>Fluxo de Caixa</vt:lpstr>
      <vt:lpstr>Dashboard</vt:lpstr>
      <vt:lpstr>Realizado vs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Koyashiki</dc:creator>
  <cp:lastModifiedBy>Gabriel Koyashiki</cp:lastModifiedBy>
  <dcterms:created xsi:type="dcterms:W3CDTF">2026-04-23T16:43:57Z</dcterms:created>
  <dcterms:modified xsi:type="dcterms:W3CDTF">2026-04-26T13:34:00Z</dcterms:modified>
</cp:coreProperties>
</file>